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ÉEME" sheetId="1" state="visible" r:id="rId1"/>
    <sheet xmlns:r="http://schemas.openxmlformats.org/officeDocument/2006/relationships" name="Insumos" sheetId="2" state="visible" r:id="rId2"/>
    <sheet xmlns:r="http://schemas.openxmlformats.org/officeDocument/2006/relationships" name="Preparaciones de la casa" sheetId="3" state="visible" r:id="rId3"/>
    <sheet xmlns:r="http://schemas.openxmlformats.org/officeDocument/2006/relationships" name="Ingredientes" sheetId="4" state="visible" r:id="rId4"/>
    <sheet xmlns:r="http://schemas.openxmlformats.org/officeDocument/2006/relationships" name="Mi negocio" sheetId="5" state="visible" r:id="rId5"/>
    <sheet xmlns:r="http://schemas.openxmlformats.org/officeDocument/2006/relationships" name="Recetas y precios" sheetId="6" state="visible" r:id="rId6"/>
    <sheet xmlns:r="http://schemas.openxmlformats.org/officeDocument/2006/relationships" name="Producción" sheetId="7" state="visible" r:id="rId7"/>
    <sheet xmlns:r="http://schemas.openxmlformats.org/officeDocument/2006/relationships" name="Ventas" sheetId="8" state="visible" r:id="rId8"/>
    <sheet xmlns:r="http://schemas.openxmlformats.org/officeDocument/2006/relationships" name="Tablero" sheetId="9" state="visible" r:id="rId9"/>
  </sheets>
  <definedNames>
    <definedName name="_xlnm._FilterDatabase" localSheetId="1" hidden="1">'Insumos'!$A$4:$I$181</definedName>
    <definedName name="_xlnm._FilterDatabase" localSheetId="3" hidden="1">'Ingredientes'!$A$4:$I$530</definedName>
    <definedName name="_xlnm._FilterDatabase" localSheetId="5" hidden="1">'Recetas y precios'!$A$4:$AA$54</definedName>
  </definedNames>
  <calcPr calcId="124519" fullCalcOnLoad="1"/>
</workbook>
</file>

<file path=xl/styles.xml><?xml version="1.0" encoding="utf-8"?>
<styleSheet xmlns="http://schemas.openxmlformats.org/spreadsheetml/2006/main">
  <numFmts count="6">
    <numFmt numFmtId="164" formatCode="#,##0.##"/>
    <numFmt numFmtId="165" formatCode="&quot;$&quot;#,##0.00"/>
    <numFmt numFmtId="166" formatCode="&quot;$&quot;#,##0.0000"/>
    <numFmt numFmtId="167" formatCode="&quot;$&quot;#,##0"/>
    <numFmt numFmtId="168" formatCode="0.0%"/>
    <numFmt numFmtId="169" formatCode="dd/mm/yyyy"/>
  </numFmts>
  <fonts count="19">
    <font>
      <name val="Calibri"/>
      <family val="2"/>
      <color theme="1"/>
      <sz val="11"/>
      <scheme val="minor"/>
    </font>
    <font>
      <name val="Arial"/>
      <b val="1"/>
      <color rgb="004E1454"/>
      <sz val="16"/>
    </font>
    <font>
      <name val="Arial"/>
      <i val="1"/>
      <color rgb="006B5470"/>
      <sz val="9"/>
    </font>
    <font>
      <name val="Arial"/>
      <i val="1"/>
      <color rgb="00D85A30"/>
      <sz val="10"/>
    </font>
    <font>
      <name val="Arial"/>
      <b val="1"/>
      <color rgb="007A2E7E"/>
      <sz val="10"/>
    </font>
    <font>
      <name val="Arial"/>
      <color rgb="002A1330"/>
      <sz val="10"/>
    </font>
    <font>
      <name val="Arial"/>
      <i val="1"/>
      <color rgb="002A1330"/>
      <sz val="10"/>
    </font>
    <font>
      <name val="Arial"/>
      <b val="1"/>
      <color rgb="00FFFFFF"/>
      <sz val="9"/>
    </font>
    <font>
      <name val="Arial"/>
      <i val="1"/>
      <color rgb="007A2E7E"/>
      <sz val="10"/>
    </font>
    <font>
      <name val="Arial"/>
      <b val="1"/>
      <color rgb="004E1454"/>
      <sz val="12"/>
    </font>
    <font>
      <name val="Arial"/>
      <b val="1"/>
      <color rgb="002A1330"/>
      <sz val="10"/>
    </font>
    <font>
      <name val="Arial"/>
      <color rgb="002A1330"/>
      <sz val="9"/>
    </font>
    <font>
      <name val="Arial"/>
      <color rgb="006B5470"/>
      <sz val="8"/>
    </font>
    <font>
      <name val="Arial"/>
      <b val="1"/>
      <color rgb="004E1454"/>
      <sz val="10"/>
    </font>
    <font>
      <name val="Arial"/>
      <b val="1"/>
      <color rgb="004E1454"/>
      <sz val="11"/>
    </font>
    <font>
      <name val="Arial"/>
      <b val="1"/>
      <color rgb="007A2E7E"/>
      <sz val="13"/>
    </font>
    <font>
      <name val="Arial"/>
      <color rgb="007A2E7E"/>
      <sz val="10"/>
    </font>
    <font>
      <name val="Arial"/>
      <b val="1"/>
      <color rgb="00FFFFFF"/>
      <sz val="10"/>
    </font>
    <font>
      <name val="Arial"/>
      <b val="1"/>
      <color rgb="00D85A30"/>
      <sz val="9"/>
    </font>
  </fonts>
  <fills count="5">
    <fill>
      <patternFill/>
    </fill>
    <fill>
      <patternFill patternType="gray125"/>
    </fill>
    <fill>
      <patternFill patternType="solid">
        <fgColor rgb="00FFF2C4"/>
      </patternFill>
    </fill>
    <fill>
      <patternFill patternType="solid">
        <fgColor rgb="004E1454"/>
      </patternFill>
    </fill>
    <fill>
      <patternFill patternType="solid">
        <fgColor rgb="00FBF4E9"/>
      </patternFill>
    </fill>
  </fills>
  <borders count="2">
    <border>
      <left/>
      <right/>
      <top/>
      <bottom/>
      <diagonal/>
    </border>
    <border>
      <bottom style="thin">
        <color rgb="00E3D2E4"/>
      </bottom>
    </border>
  </borders>
  <cellStyleXfs count="1">
    <xf numFmtId="0" fontId="0" fillId="0" borderId="0"/>
  </cellStyleXfs>
  <cellXfs count="42">
    <xf numFmtId="0" fontId="0" fillId="0" borderId="0" pivotButton="0" quotePrefix="0" xfId="0"/>
    <xf numFmtId="0" fontId="1" fillId="0" borderId="0" pivotButton="0" quotePrefix="0" xfId="0"/>
    <xf numFmtId="0" fontId="3" fillId="0" borderId="0" pivotButton="0" quotePrefix="0" xfId="0"/>
    <xf numFmtId="0" fontId="4" fillId="0" borderId="0" pivotButton="0" quotePrefix="0" xfId="0"/>
    <xf numFmtId="0" fontId="5" fillId="0" borderId="0" applyAlignment="1" pivotButton="0" quotePrefix="0" xfId="0">
      <alignment vertical="top" wrapText="1"/>
    </xf>
    <xf numFmtId="0" fontId="6" fillId="0" borderId="0" pivotButton="0" quotePrefix="0" xfId="0"/>
    <xf numFmtId="0" fontId="0" fillId="2" borderId="0" pivotButton="0" quotePrefix="0" xfId="0"/>
    <xf numFmtId="0" fontId="2" fillId="0" borderId="0" pivotButton="0" quotePrefix="0" xfId="0"/>
    <xf numFmtId="0" fontId="7" fillId="3" borderId="0" applyAlignment="1" pivotButton="0" quotePrefix="0" xfId="0">
      <alignment vertical="center" wrapText="1"/>
    </xf>
    <xf numFmtId="0" fontId="5" fillId="0" borderId="0" pivotButton="0" quotePrefix="0" xfId="0"/>
    <xf numFmtId="164" fontId="5" fillId="2" borderId="0" pivotButton="0" quotePrefix="0" xfId="0"/>
    <xf numFmtId="165" fontId="0" fillId="2" borderId="0" pivotButton="0" quotePrefix="0" xfId="0"/>
    <xf numFmtId="166" fontId="0" fillId="0" borderId="0" pivotButton="0" quotePrefix="0" xfId="0"/>
    <xf numFmtId="164" fontId="5" fillId="0" borderId="0" pivotButton="0" quotePrefix="0" xfId="0"/>
    <xf numFmtId="165" fontId="8" fillId="0" borderId="0" pivotButton="0" quotePrefix="0" xfId="0"/>
    <xf numFmtId="0" fontId="0" fillId="0" borderId="0" applyAlignment="1" pivotButton="0" quotePrefix="0" xfId="0">
      <alignment wrapText="1"/>
    </xf>
    <xf numFmtId="164" fontId="0" fillId="2" borderId="0" pivotButton="0" quotePrefix="0" xfId="0"/>
    <xf numFmtId="165" fontId="0" fillId="0" borderId="0" pivotButton="0" quotePrefix="0" xfId="0"/>
    <xf numFmtId="0" fontId="9" fillId="0" borderId="0" pivotButton="0" quotePrefix="0" xfId="0"/>
    <xf numFmtId="0" fontId="10" fillId="0" borderId="0" pivotButton="0" quotePrefix="0" xfId="0"/>
    <xf numFmtId="0" fontId="11" fillId="0" borderId="0" applyAlignment="1" pivotButton="0" quotePrefix="0" xfId="0">
      <alignment wrapText="1"/>
    </xf>
    <xf numFmtId="0" fontId="11" fillId="0" borderId="0" pivotButton="0" quotePrefix="0" xfId="0"/>
    <xf numFmtId="0" fontId="12" fillId="0" borderId="0" pivotButton="0" quotePrefix="0" xfId="0"/>
    <xf numFmtId="167" fontId="0" fillId="2" borderId="0" pivotButton="0" quotePrefix="0" xfId="0"/>
    <xf numFmtId="167" fontId="10" fillId="0" borderId="0" pivotButton="0" quotePrefix="0" xfId="0"/>
    <xf numFmtId="3" fontId="0" fillId="2" borderId="0" pivotButton="0" quotePrefix="0" xfId="0"/>
    <xf numFmtId="165" fontId="4" fillId="0" borderId="0" pivotButton="0" quotePrefix="0" xfId="0"/>
    <xf numFmtId="168" fontId="0" fillId="2" borderId="0" pivotButton="0" quotePrefix="0" xfId="0"/>
    <xf numFmtId="0" fontId="13" fillId="0" borderId="0" pivotButton="0" quotePrefix="0" xfId="0"/>
    <xf numFmtId="168" fontId="0" fillId="0" borderId="0" pivotButton="0" quotePrefix="0" xfId="0"/>
    <xf numFmtId="165" fontId="13" fillId="0" borderId="0" pivotButton="0" quotePrefix="0" xfId="0"/>
    <xf numFmtId="167" fontId="0" fillId="0" borderId="0" pivotButton="0" quotePrefix="0" xfId="0"/>
    <xf numFmtId="169" fontId="0" fillId="2" borderId="0" pivotButton="0" quotePrefix="0" xfId="0"/>
    <xf numFmtId="0" fontId="17" fillId="3" borderId="0" pivotButton="0" quotePrefix="0" xfId="0"/>
    <xf numFmtId="167" fontId="14" fillId="4" borderId="1" pivotButton="0" quotePrefix="0" xfId="0"/>
    <xf numFmtId="3" fontId="0" fillId="0" borderId="0" pivotButton="0" quotePrefix="0" xfId="0"/>
    <xf numFmtId="3" fontId="14" fillId="4" borderId="1" pivotButton="0" quotePrefix="0" xfId="0"/>
    <xf numFmtId="168" fontId="14" fillId="4" borderId="1" pivotButton="0" quotePrefix="0" xfId="0"/>
    <xf numFmtId="165" fontId="14" fillId="4" borderId="1" pivotButton="0" quotePrefix="0" xfId="0"/>
    <xf numFmtId="0" fontId="16" fillId="0" borderId="0" pivotButton="0" quotePrefix="0" xfId="0"/>
    <xf numFmtId="3" fontId="15" fillId="4" borderId="1" pivotButton="0" quotePrefix="0" xfId="0"/>
    <xf numFmtId="0" fontId="18" fillId="0" borderId="0" pivotButton="0" quotePrefix="0" xfId="0"/>
  </cellXfs>
  <cellStyles count="1">
    <cellStyle name="Normal" xfId="0" builtinId="0" hidden="0"/>
  </cellStyles>
  <dxfs count="3">
    <dxf>
      <fill>
        <patternFill patternType="solid">
          <fgColor rgb="00F9D3C7"/>
        </patternFill>
      </fill>
    </dxf>
    <dxf>
      <font>
        <name val="Arial"/>
        <b val="1"/>
        <color rgb="00C0392B"/>
      </font>
    </dxf>
    <dxf>
      <font>
        <name val="Arial"/>
        <b val="1"/>
        <color rgb="00E4572E"/>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Endulcora</author>
  </authors>
  <commentList>
    <comment ref="C19" authorId="0" shapeId="0">
      <text>
        <t>Tablas producidas al mes. Los gastos fijos se reparten entre ellas.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00F8B818"/>
    <outlinePr summaryBelow="1" summaryRight="1"/>
    <pageSetUpPr/>
  </sheetPr>
  <dimension ref="A1:C14"/>
  <sheetViews>
    <sheetView showGridLines="0" workbookViewId="0">
      <selection activeCell="A1" sqref="A1"/>
    </sheetView>
  </sheetViews>
  <sheetFormatPr baseColWidth="8" defaultRowHeight="15"/>
  <cols>
    <col width="4" customWidth="1" min="1" max="1"/>
    <col width="112" customWidth="1" min="2" max="2"/>
  </cols>
  <sheetData>
    <row r="1">
      <c r="A1" s="1" t="inlineStr">
        <is>
          <t>Tablas de Charcutería · Curación, Afinado, Composición Visual, Maridaje y 50 Tablas de Autor</t>
        </is>
      </c>
    </row>
    <row r="2">
      <c r="A2" s="2" t="inlineStr">
        <is>
          <t>Anexo 1 · Costeo, merma y precios · Endulcora · Estudio Gastronómico · En colaboración con Levent</t>
        </is>
      </c>
    </row>
    <row r="4" ht="30" customHeight="1">
      <c r="A4" s="3" t="inlineStr">
        <is>
          <t>•</t>
        </is>
      </c>
      <c r="B4" s="4" t="inlineStr">
        <is>
          <t>Qué es: Hoja de costeo del eBook «Tablas de Charcutería». Calcula el costo real de las 50 tablas, su costo por comensal y su precio por canal con tus propios precios de compra.</t>
        </is>
      </c>
    </row>
    <row r="5" ht="60" customHeight="1">
      <c r="A5" s="3" t="inlineStr">
        <is>
          <t>•</t>
        </is>
      </c>
      <c r="B5" s="4" t="inlineStr">
        <is>
          <t>Cómo se usa: 1) Insumos: captura presentación y precio que tú pagas. 2) Preparaciones de la casa: revisa las preparaciones base; su costo alimenta a las recetas que las usan. 3) Mi negocio: gastos fijos, sueldo, horas, merma y márgenes. 4) Recetas y precios: revisa costos y precios. 5) Registra lotes en Producción y ventas en Ventas. 6) Revisa el Tablero cada semana.</t>
        </is>
      </c>
    </row>
    <row r="6" ht="15" customHeight="1">
      <c r="A6" s="3" t="inlineStr">
        <is>
          <t>•</t>
        </is>
      </c>
      <c r="B6" s="4" t="inlineStr">
        <is>
          <t>Celdas amarillas: Son las únicas que debes editar. Todo lo demás es fórmula: si la borras, se rompe el cálculo.</t>
        </is>
      </c>
    </row>
    <row r="7" ht="90" customHeight="1">
      <c r="A7" s="3" t="inlineStr">
        <is>
          <t>•</t>
        </is>
      </c>
      <c r="B7" s="4" t="inlineStr">
        <is>
          <t>Modelo de costeo: Costo por unidad = Precio ÷ Presentación · Las 4 preparaciones de la casa toman su costo de su propia fórmula (hoja «Preparaciones de la casa») · Insumos por tabla = Σ(cantidad × costo unitario) · Minutos por tabla = minutos de corte y mise en place ÷ tablas por tanda + minutos de montaje · Costo base = insumos + ramequines y empaque + soporte por uso + energía + mano de obra + gastos fijos · Costo total = Costo base ÷ (1 − merma) (se DIVIDE, no se suma) · Precio = Costo total ÷ (1 − margen), redondeado a $5 · Costo por comensal = Costo total ÷ comensales.</t>
        </is>
      </c>
    </row>
    <row r="8" ht="45" customHeight="1">
      <c r="A8" s="3" t="inlineStr">
        <is>
          <t>•</t>
        </is>
      </c>
      <c r="B8" s="4" t="inlineStr">
        <is>
          <t>Preparaciones de la casa: La hoja «Preparaciones de la casa» costea las mermeladas, reducciones, confits y encurtidos desde su propia fórmula. Cuando cambies el precio de la fruta, del azúcar o del vino, se recalculan las preparaciones y con ellas las 50 tablas.</t>
        </is>
      </c>
    </row>
    <row r="9" ht="60" customHeight="1">
      <c r="A9" s="3" t="inlineStr">
        <is>
          <t>•</t>
        </is>
      </c>
      <c r="B9" s="4" t="inlineStr">
        <is>
          <t>Hojas: Insumos (catálogo editable) · Preparaciones de la casa (las preparaciones base) · Ingredientes (cada línea del recetario normalizada, con el texto original) · Mi negocio (supuestos) · Recetas y precios (hoja principal) · Producción (bitácora de lotes y merma) · Ventas (bitácora) · Tablero (resumen).</t>
        </is>
      </c>
    </row>
    <row r="10" ht="45" customHeight="1">
      <c r="A10" s="3" t="inlineStr">
        <is>
          <t>•</t>
        </is>
      </c>
      <c r="B10" s="4" t="inlineStr">
        <is>
          <t>Unidades: Las 50 tablas se costean por TABLA COMPLETA, que es como se vende. La columna «Comensales» es la de la fórmula del chef (6 en 49 tablas, 10-12 en la tabla 50) y es editable: cámbiala y el «Costo por comensal» se recalcula, que es el número con el que se cotiza un evento.</t>
        </is>
      </c>
    </row>
    <row r="11" ht="30" customHeight="1">
      <c r="A11" s="3" t="inlineStr">
        <is>
          <t>•</t>
        </is>
      </c>
      <c r="B11" s="4" t="inlineStr">
        <is>
          <t>Advertencia: Los precios cargados son de referencia (mercado CDMX 2026), no cotizaciones. Los resultados son ilustrativos hasta que captures tus precios reales. No se promete ningún ingreso.</t>
        </is>
      </c>
    </row>
    <row r="12" ht="45" customHeight="1">
      <c r="A12" s="3" t="inlineStr">
        <is>
          <t>•</t>
        </is>
      </c>
      <c r="B12" s="4" t="inlineStr">
        <is>
          <t>Créditos: Contenido y recetas: Chef Luis Alfonso Jiménez Cárdenas · Edición y costeo: Manuel Ramiro Justo Guzmán · Endulcora · Estudio Gastronómico, en colaboración con Levent · WhatsApp 56 6527 1901. Uso personal del comprador; prohibida su reventa o redistribución.</t>
        </is>
      </c>
    </row>
    <row r="14">
      <c r="B14" s="5" t="inlineStr">
        <is>
          <t>Celda de ejemplo que sí puedes editar →</t>
        </is>
      </c>
      <c r="C14" s="6" t="n">
        <v>100</v>
      </c>
    </row>
  </sheetData>
  <pageMargins left="0.75" right="0.75" top="1" bottom="1" header="0.5" footer="0.5"/>
</worksheet>
</file>

<file path=xl/worksheets/sheet2.xml><?xml version="1.0" encoding="utf-8"?>
<worksheet xmlns="http://schemas.openxmlformats.org/spreadsheetml/2006/main">
  <sheetPr>
    <tabColor rgb="00C98BCB"/>
    <outlinePr summaryBelow="1" summaryRight="1"/>
    <pageSetUpPr/>
  </sheetPr>
  <dimension ref="A1:I183"/>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7" customWidth="1" min="1" max="1"/>
    <col width="26" customWidth="1" min="2" max="2"/>
    <col width="52" customWidth="1" min="3" max="3"/>
    <col width="8" customWidth="1" min="4" max="4"/>
    <col width="13" customWidth="1" min="5" max="5"/>
    <col width="15" customWidth="1" min="6" max="6"/>
    <col width="14" customWidth="1" min="7" max="7"/>
    <col width="8" customWidth="1" min="8" max="8"/>
    <col width="22" customWidth="1" min="9" max="9"/>
  </cols>
  <sheetData>
    <row r="1">
      <c r="A1" s="1" t="inlineStr">
        <is>
          <t>Insumos</t>
        </is>
      </c>
    </row>
    <row r="2">
      <c r="A2" s="7" t="inlineStr">
        <is>
          <t>Captura la presentación que compras y lo que pagas. Precios de referencia CDMX 2026 (no son cotizaciones).</t>
        </is>
      </c>
    </row>
    <row r="4" ht="30" customHeight="1">
      <c r="A4" s="8" t="inlineStr">
        <is>
          <t>ID</t>
        </is>
      </c>
      <c r="B4" s="8" t="inlineStr">
        <is>
          <t>Categoría</t>
        </is>
      </c>
      <c r="C4" s="8" t="inlineStr">
        <is>
          <t>Insumo</t>
        </is>
      </c>
      <c r="D4" s="8" t="inlineStr">
        <is>
          <t>Unidad</t>
        </is>
      </c>
      <c r="E4" s="8" t="inlineStr">
        <is>
          <t>Presentación</t>
        </is>
      </c>
      <c r="F4" s="8" t="inlineStr">
        <is>
          <t>Precio pagado</t>
        </is>
      </c>
      <c r="G4" s="8" t="inlineStr">
        <is>
          <t>Costo por unidad</t>
        </is>
      </c>
      <c r="H4" s="8" t="inlineStr">
        <is>
          <t>Usos</t>
        </is>
      </c>
      <c r="I4" s="8" t="inlineStr">
        <is>
          <t>Proveedor</t>
        </is>
      </c>
    </row>
    <row r="5">
      <c r="A5" s="9" t="inlineStr">
        <is>
          <t>I-001</t>
        </is>
      </c>
      <c r="B5" s="9" t="inlineStr">
        <is>
          <t>Jamones y paletas curadas</t>
        </is>
      </c>
      <c r="C5" s="9" t="inlineStr">
        <is>
          <t>Jamón 100% ibérico de bellota (loncheado a cuchillo)</t>
        </is>
      </c>
      <c r="D5" s="9" t="inlineStr">
        <is>
          <t>g</t>
        </is>
      </c>
      <c r="E5" s="10" t="n">
        <v>1000</v>
      </c>
      <c r="F5" s="11" t="n">
        <v>3200</v>
      </c>
      <c r="G5" s="12">
        <f>IFERROR(F5/E5,0)</f>
        <v/>
      </c>
      <c r="H5">
        <f>COUNTIF(Ingredientes!$E:$E,C5)</f>
        <v/>
      </c>
      <c r="I5" s="6" t="n"/>
    </row>
    <row r="6">
      <c r="A6" s="9" t="inlineStr">
        <is>
          <t>I-002</t>
        </is>
      </c>
      <c r="B6" s="9" t="inlineStr">
        <is>
          <t>Jamones y paletas curadas</t>
        </is>
      </c>
      <c r="C6" s="9" t="inlineStr">
        <is>
          <t>Paleta 100% ibérica de bellota DOP</t>
        </is>
      </c>
      <c r="D6" s="9" t="inlineStr">
        <is>
          <t>g</t>
        </is>
      </c>
      <c r="E6" s="10" t="n">
        <v>1000</v>
      </c>
      <c r="F6" s="11" t="n">
        <v>2350</v>
      </c>
      <c r="G6" s="12">
        <f>IFERROR(F6/E6,0)</f>
        <v/>
      </c>
      <c r="H6">
        <f>COUNTIF(Ingredientes!$E:$E,C6)</f>
        <v/>
      </c>
      <c r="I6" s="6" t="n"/>
    </row>
    <row r="7">
      <c r="A7" s="9" t="inlineStr">
        <is>
          <t>I-003</t>
        </is>
      </c>
      <c r="B7" s="9" t="inlineStr">
        <is>
          <t>Jamones y paletas curadas</t>
        </is>
      </c>
      <c r="C7" s="9" t="inlineStr">
        <is>
          <t>Jamón ibérico de cebo de campo (50-75% ibérico)</t>
        </is>
      </c>
      <c r="D7" s="9" t="inlineStr">
        <is>
          <t>g</t>
        </is>
      </c>
      <c r="E7" s="10" t="n">
        <v>1000</v>
      </c>
      <c r="F7" s="11" t="n">
        <v>1380</v>
      </c>
      <c r="G7" s="12">
        <f>IFERROR(F7/E7,0)</f>
        <v/>
      </c>
      <c r="H7">
        <f>COUNTIF(Ingredientes!$E:$E,C7)</f>
        <v/>
      </c>
      <c r="I7" s="6" t="n"/>
    </row>
    <row r="8">
      <c r="A8" s="9" t="inlineStr">
        <is>
          <t>I-004</t>
        </is>
      </c>
      <c r="B8" s="9" t="inlineStr">
        <is>
          <t>Jamones y paletas curadas</t>
        </is>
      </c>
      <c r="C8" s="9" t="inlineStr">
        <is>
          <t>Jamón serrano gran reserva 18-24 meses</t>
        </is>
      </c>
      <c r="D8" s="9" t="inlineStr">
        <is>
          <t>g</t>
        </is>
      </c>
      <c r="E8" s="10" t="n">
        <v>1000</v>
      </c>
      <c r="F8" s="11" t="n">
        <v>620</v>
      </c>
      <c r="G8" s="12">
        <f>IFERROR(F8/E8,0)</f>
        <v/>
      </c>
      <c r="H8">
        <f>COUNTIF(Ingredientes!$E:$E,C8)</f>
        <v/>
      </c>
      <c r="I8" s="6" t="n"/>
    </row>
    <row r="9">
      <c r="A9" s="9" t="inlineStr">
        <is>
          <t>I-005</t>
        </is>
      </c>
      <c r="B9" s="9" t="inlineStr">
        <is>
          <t>Jamones y paletas curadas</t>
        </is>
      </c>
      <c r="C9" s="9" t="inlineStr">
        <is>
          <t>Prosciutto di Parma DOP 24 meses</t>
        </is>
      </c>
      <c r="D9" s="9" t="inlineStr">
        <is>
          <t>g</t>
        </is>
      </c>
      <c r="E9" s="10" t="n">
        <v>1000</v>
      </c>
      <c r="F9" s="11" t="n">
        <v>1950</v>
      </c>
      <c r="G9" s="12">
        <f>IFERROR(F9/E9,0)</f>
        <v/>
      </c>
      <c r="H9">
        <f>COUNTIF(Ingredientes!$E:$E,C9)</f>
        <v/>
      </c>
      <c r="I9" s="6" t="n"/>
    </row>
    <row r="10">
      <c r="A10" s="9" t="inlineStr">
        <is>
          <t>I-006</t>
        </is>
      </c>
      <c r="B10" s="9" t="inlineStr">
        <is>
          <t>Jamones y paletas curadas</t>
        </is>
      </c>
      <c r="C10" s="9" t="inlineStr">
        <is>
          <t>Jamón francés de cerdo negro (Bayonne IGP, Bigorre AOP)</t>
        </is>
      </c>
      <c r="D10" s="9" t="inlineStr">
        <is>
          <t>g</t>
        </is>
      </c>
      <c r="E10" s="10" t="n">
        <v>1000</v>
      </c>
      <c r="F10" s="11" t="n">
        <v>1780</v>
      </c>
      <c r="G10" s="12">
        <f>IFERROR(F10/E10,0)</f>
        <v/>
      </c>
      <c r="H10">
        <f>COUNTIF(Ingredientes!$E:$E,C10)</f>
        <v/>
      </c>
      <c r="I10" s="6" t="n"/>
    </row>
    <row r="11">
      <c r="A11" s="9" t="inlineStr">
        <is>
          <t>I-007</t>
        </is>
      </c>
      <c r="B11" s="9" t="inlineStr">
        <is>
          <t>Jamones y paletas curadas</t>
        </is>
      </c>
      <c r="C11" s="9" t="inlineStr">
        <is>
          <t>Jamón ahumado de montaña (speck, schiffala, praga)</t>
        </is>
      </c>
      <c r="D11" s="9" t="inlineStr">
        <is>
          <t>g</t>
        </is>
      </c>
      <c r="E11" s="10" t="n">
        <v>1000</v>
      </c>
      <c r="F11" s="11" t="n">
        <v>780</v>
      </c>
      <c r="G11" s="12">
        <f>IFERROR(F11/E11,0)</f>
        <v/>
      </c>
      <c r="H11">
        <f>COUNTIF(Ingredientes!$E:$E,C11)</f>
        <v/>
      </c>
      <c r="I11" s="6" t="n"/>
    </row>
    <row r="12">
      <c r="A12" s="9" t="inlineStr">
        <is>
          <t>I-008</t>
        </is>
      </c>
      <c r="B12" s="9" t="inlineStr">
        <is>
          <t>Jamones y paletas curadas</t>
        </is>
      </c>
      <c r="C12" s="9" t="inlineStr">
        <is>
          <t>Jamón de oveja o de cabra artesanal</t>
        </is>
      </c>
      <c r="D12" s="9" t="inlineStr">
        <is>
          <t>g</t>
        </is>
      </c>
      <c r="E12" s="10" t="n">
        <v>1000</v>
      </c>
      <c r="F12" s="11" t="n">
        <v>1450</v>
      </c>
      <c r="G12" s="12">
        <f>IFERROR(F12/E12,0)</f>
        <v/>
      </c>
      <c r="H12">
        <f>COUNTIF(Ingredientes!$E:$E,C12)</f>
        <v/>
      </c>
      <c r="I12" s="6" t="n"/>
    </row>
    <row r="13">
      <c r="A13" s="9" t="inlineStr">
        <is>
          <t>I-009</t>
        </is>
      </c>
      <c r="B13" s="9" t="inlineStr">
        <is>
          <t>Jamones y paletas curadas</t>
        </is>
      </c>
      <c r="C13" s="9" t="inlineStr">
        <is>
          <t>Culatello di Zibello DOP</t>
        </is>
      </c>
      <c r="D13" s="9" t="inlineStr">
        <is>
          <t>g</t>
        </is>
      </c>
      <c r="E13" s="10" t="n">
        <v>1000</v>
      </c>
      <c r="F13" s="11" t="n">
        <v>3400</v>
      </c>
      <c r="G13" s="12">
        <f>IFERROR(F13/E13,0)</f>
        <v/>
      </c>
      <c r="H13">
        <f>COUNTIF(Ingredientes!$E:$E,C13)</f>
        <v/>
      </c>
      <c r="I13" s="6" t="n"/>
    </row>
    <row r="14">
      <c r="A14" s="9" t="inlineStr">
        <is>
          <t>I-010</t>
        </is>
      </c>
      <c r="B14" s="9" t="inlineStr">
        <is>
          <t>Jamones y paletas curadas</t>
        </is>
      </c>
      <c r="C14" s="9" t="inlineStr">
        <is>
          <t>Jamón cocido fino al torchon o trufado</t>
        </is>
      </c>
      <c r="D14" s="9" t="inlineStr">
        <is>
          <t>g</t>
        </is>
      </c>
      <c r="E14" s="10" t="n">
        <v>1000</v>
      </c>
      <c r="F14" s="11" t="n">
        <v>520</v>
      </c>
      <c r="G14" s="12">
        <f>IFERROR(F14/E14,0)</f>
        <v/>
      </c>
      <c r="H14">
        <f>COUNTIF(Ingredientes!$E:$E,C14)</f>
        <v/>
      </c>
      <c r="I14" s="6" t="n"/>
    </row>
    <row r="15">
      <c r="A15" s="9" t="inlineStr">
        <is>
          <t>I-011</t>
        </is>
      </c>
      <c r="B15" s="9" t="inlineStr">
        <is>
          <t>Jamones y paletas curadas</t>
        </is>
      </c>
      <c r="C15" s="9" t="inlineStr">
        <is>
          <t>Jamón criollo mexicano curado o ahumado</t>
        </is>
      </c>
      <c r="D15" s="9" t="inlineStr">
        <is>
          <t>g</t>
        </is>
      </c>
      <c r="E15" s="10" t="n">
        <v>1000</v>
      </c>
      <c r="F15" s="11" t="n">
        <v>520</v>
      </c>
      <c r="G15" s="12">
        <f>IFERROR(F15/E15,0)</f>
        <v/>
      </c>
      <c r="H15">
        <f>COUNTIF(Ingredientes!$E:$E,C15)</f>
        <v/>
      </c>
      <c r="I15" s="6" t="n"/>
    </row>
    <row r="16">
      <c r="A16" s="9" t="inlineStr">
        <is>
          <t>I-012</t>
        </is>
      </c>
      <c r="B16" s="9" t="inlineStr">
        <is>
          <t>Jamones y paletas curadas</t>
        </is>
      </c>
      <c r="C16" s="9" t="inlineStr">
        <is>
          <t>Magret o jamón de pato curado</t>
        </is>
      </c>
      <c r="D16" s="9" t="inlineStr">
        <is>
          <t>g</t>
        </is>
      </c>
      <c r="E16" s="10" t="n">
        <v>1000</v>
      </c>
      <c r="F16" s="11" t="n">
        <v>1350</v>
      </c>
      <c r="G16" s="12">
        <f>IFERROR(F16/E16,0)</f>
        <v/>
      </c>
      <c r="H16">
        <f>COUNTIF(Ingredientes!$E:$E,C16)</f>
        <v/>
      </c>
      <c r="I16" s="6" t="n"/>
    </row>
    <row r="17">
      <c r="A17" s="9" t="inlineStr">
        <is>
          <t>I-013</t>
        </is>
      </c>
      <c r="B17" s="9" t="inlineStr">
        <is>
          <t>Jamones y paletas curadas</t>
        </is>
      </c>
      <c r="C17" s="9" t="inlineStr">
        <is>
          <t>Lacón o brazuelo curado tradicional</t>
        </is>
      </c>
      <c r="D17" s="9" t="inlineStr">
        <is>
          <t>g</t>
        </is>
      </c>
      <c r="E17" s="10" t="n">
        <v>1000</v>
      </c>
      <c r="F17" s="11" t="n">
        <v>480</v>
      </c>
      <c r="G17" s="12">
        <f>IFERROR(F17/E17,0)</f>
        <v/>
      </c>
      <c r="H17">
        <f>COUNTIF(Ingredientes!$E:$E,C17)</f>
        <v/>
      </c>
      <c r="I17" s="6" t="n"/>
    </row>
    <row r="18">
      <c r="A18" s="9" t="inlineStr">
        <is>
          <t>I-014</t>
        </is>
      </c>
      <c r="B18" s="9" t="inlineStr">
        <is>
          <t>Lomos y cecinas curadas</t>
        </is>
      </c>
      <c r="C18" s="9" t="inlineStr">
        <is>
          <t>Caña de lomo 100% ibérico de bellota</t>
        </is>
      </c>
      <c r="D18" s="9" t="inlineStr">
        <is>
          <t>g</t>
        </is>
      </c>
      <c r="E18" s="10" t="n">
        <v>1000</v>
      </c>
      <c r="F18" s="11" t="n">
        <v>2200</v>
      </c>
      <c r="G18" s="12">
        <f>IFERROR(F18/E18,0)</f>
        <v/>
      </c>
      <c r="H18">
        <f>COUNTIF(Ingredientes!$E:$E,C18)</f>
        <v/>
      </c>
      <c r="I18" s="6" t="n"/>
    </row>
    <row r="19">
      <c r="A19" s="9" t="inlineStr">
        <is>
          <t>I-015</t>
        </is>
      </c>
      <c r="B19" s="9" t="inlineStr">
        <is>
          <t>Lomos y cecinas curadas</t>
        </is>
      </c>
      <c r="C19" s="9" t="inlineStr">
        <is>
          <t>Presa, lomito o morcón ibérico de bellota</t>
        </is>
      </c>
      <c r="D19" s="9" t="inlineStr">
        <is>
          <t>g</t>
        </is>
      </c>
      <c r="E19" s="10" t="n">
        <v>1000</v>
      </c>
      <c r="F19" s="11" t="n">
        <v>1850</v>
      </c>
      <c r="G19" s="12">
        <f>IFERROR(F19/E19,0)</f>
        <v/>
      </c>
      <c r="H19">
        <f>COUNTIF(Ingredientes!$E:$E,C19)</f>
        <v/>
      </c>
      <c r="I19" s="6" t="n"/>
    </row>
    <row r="20">
      <c r="A20" s="9" t="inlineStr">
        <is>
          <t>I-016</t>
        </is>
      </c>
      <c r="B20" s="9" t="inlineStr">
        <is>
          <t>Lomos y cecinas curadas</t>
        </is>
      </c>
      <c r="C20" s="9" t="inlineStr">
        <is>
          <t>Cecina de vacuno curada IGP (León, montaña)</t>
        </is>
      </c>
      <c r="D20" s="9" t="inlineStr">
        <is>
          <t>g</t>
        </is>
      </c>
      <c r="E20" s="10" t="n">
        <v>1000</v>
      </c>
      <c r="F20" s="11" t="n">
        <v>880</v>
      </c>
      <c r="G20" s="12">
        <f>IFERROR(F20/E20,0)</f>
        <v/>
      </c>
      <c r="H20">
        <f>COUNTIF(Ingredientes!$E:$E,C20)</f>
        <v/>
      </c>
      <c r="I20" s="6" t="n"/>
    </row>
    <row r="21">
      <c r="A21" s="9" t="inlineStr">
        <is>
          <t>I-017</t>
        </is>
      </c>
      <c r="B21" s="9" t="inlineStr">
        <is>
          <t>Lomos y cecinas curadas</t>
        </is>
      </c>
      <c r="C21" s="9" t="inlineStr">
        <is>
          <t>Cecina de buey premium</t>
        </is>
      </c>
      <c r="D21" s="9" t="inlineStr">
        <is>
          <t>g</t>
        </is>
      </c>
      <c r="E21" s="10" t="n">
        <v>1000</v>
      </c>
      <c r="F21" s="11" t="n">
        <v>1650</v>
      </c>
      <c r="G21" s="12">
        <f>IFERROR(F21/E21,0)</f>
        <v/>
      </c>
      <c r="H21">
        <f>COUNTIF(Ingredientes!$E:$E,C21)</f>
        <v/>
      </c>
      <c r="I21" s="6" t="n"/>
    </row>
    <row r="22">
      <c r="A22" s="9" t="inlineStr">
        <is>
          <t>I-018</t>
        </is>
      </c>
      <c r="B22" s="9" t="inlineStr">
        <is>
          <t>Lomos y cecinas curadas</t>
        </is>
      </c>
      <c r="C22" s="9" t="inlineStr">
        <is>
          <t>Bresaola della Valtellina IGP</t>
        </is>
      </c>
      <c r="D22" s="9" t="inlineStr">
        <is>
          <t>g</t>
        </is>
      </c>
      <c r="E22" s="10" t="n">
        <v>1000</v>
      </c>
      <c r="F22" s="11" t="n">
        <v>1420</v>
      </c>
      <c r="G22" s="12">
        <f>IFERROR(F22/E22,0)</f>
        <v/>
      </c>
      <c r="H22">
        <f>COUNTIF(Ingredientes!$E:$E,C22)</f>
        <v/>
      </c>
      <c r="I22" s="6" t="n"/>
    </row>
    <row r="23">
      <c r="A23" s="9" t="inlineStr">
        <is>
          <t>I-019</t>
        </is>
      </c>
      <c r="B23" s="9" t="inlineStr">
        <is>
          <t>Lomos y cecinas curadas</t>
        </is>
      </c>
      <c r="C23" s="9" t="inlineStr">
        <is>
          <t>Bresaola de wagyu o vacuno de raza premium</t>
        </is>
      </c>
      <c r="D23" s="9" t="inlineStr">
        <is>
          <t>g</t>
        </is>
      </c>
      <c r="E23" s="10" t="n">
        <v>1000</v>
      </c>
      <c r="F23" s="11" t="n">
        <v>2600</v>
      </c>
      <c r="G23" s="12">
        <f>IFERROR(F23/E23,0)</f>
        <v/>
      </c>
      <c r="H23">
        <f>COUNTIF(Ingredientes!$E:$E,C23)</f>
        <v/>
      </c>
      <c r="I23" s="6" t="n"/>
    </row>
    <row r="24">
      <c r="A24" s="9" t="inlineStr">
        <is>
          <t>I-020</t>
        </is>
      </c>
      <c r="B24" s="9" t="inlineStr">
        <is>
          <t>Lomos y cecinas curadas</t>
        </is>
      </c>
      <c r="C24" s="9" t="inlineStr">
        <is>
          <t>Carne seca curada de montaña (Grisons, brési)</t>
        </is>
      </c>
      <c r="D24" s="9" t="inlineStr">
        <is>
          <t>g</t>
        </is>
      </c>
      <c r="E24" s="10" t="n">
        <v>1000</v>
      </c>
      <c r="F24" s="11" t="n">
        <v>1550</v>
      </c>
      <c r="G24" s="12">
        <f>IFERROR(F24/E24,0)</f>
        <v/>
      </c>
      <c r="H24">
        <f>COUNTIF(Ingredientes!$E:$E,C24)</f>
        <v/>
      </c>
      <c r="I24" s="6" t="n"/>
    </row>
    <row r="25">
      <c r="A25" s="9" t="inlineStr">
        <is>
          <t>I-021</t>
        </is>
      </c>
      <c r="B25" s="9" t="inlineStr">
        <is>
          <t>Lomos y cecinas curadas</t>
        </is>
      </c>
      <c r="C25" s="9" t="inlineStr">
        <is>
          <t>Coppa o capocollo curado</t>
        </is>
      </c>
      <c r="D25" s="9" t="inlineStr">
        <is>
          <t>g</t>
        </is>
      </c>
      <c r="E25" s="10" t="n">
        <v>1000</v>
      </c>
      <c r="F25" s="11" t="n">
        <v>1150</v>
      </c>
      <c r="G25" s="12">
        <f>IFERROR(F25/E25,0)</f>
        <v/>
      </c>
      <c r="H25">
        <f>COUNTIF(Ingredientes!$E:$E,C25)</f>
        <v/>
      </c>
      <c r="I25" s="6" t="n"/>
    </row>
    <row r="26">
      <c r="A26" s="9" t="inlineStr">
        <is>
          <t>I-022</t>
        </is>
      </c>
      <c r="B26" s="9" t="inlineStr">
        <is>
          <t>Lomos y cecinas curadas</t>
        </is>
      </c>
      <c r="C26" s="9" t="inlineStr">
        <is>
          <t>Cecina mexicana oreada o enchilada</t>
        </is>
      </c>
      <c r="D26" s="9" t="inlineStr">
        <is>
          <t>g</t>
        </is>
      </c>
      <c r="E26" s="10" t="n">
        <v>1000</v>
      </c>
      <c r="F26" s="11" t="n">
        <v>380</v>
      </c>
      <c r="G26" s="12">
        <f>IFERROR(F26/E26,0)</f>
        <v/>
      </c>
      <c r="H26">
        <f>COUNTIF(Ingredientes!$E:$E,C26)</f>
        <v/>
      </c>
      <c r="I26" s="6" t="n"/>
    </row>
    <row r="27">
      <c r="A27" s="9" t="inlineStr">
        <is>
          <t>I-023</t>
        </is>
      </c>
      <c r="B27" s="9" t="inlineStr">
        <is>
          <t>Lomos y cecinas curadas</t>
        </is>
      </c>
      <c r="C27" s="9" t="inlineStr">
        <is>
          <t>Tasajo oaxaqueño de hebra</t>
        </is>
      </c>
      <c r="D27" s="9" t="inlineStr">
        <is>
          <t>g</t>
        </is>
      </c>
      <c r="E27" s="10" t="n">
        <v>1000</v>
      </c>
      <c r="F27" s="11" t="n">
        <v>360</v>
      </c>
      <c r="G27" s="12">
        <f>IFERROR(F27/E27,0)</f>
        <v/>
      </c>
      <c r="H27">
        <f>COUNTIF(Ingredientes!$E:$E,C27)</f>
        <v/>
      </c>
      <c r="I27" s="6" t="n"/>
    </row>
    <row r="28">
      <c r="A28" s="9" t="inlineStr">
        <is>
          <t>I-024</t>
        </is>
      </c>
      <c r="B28" s="9" t="inlineStr">
        <is>
          <t>Lomos y cecinas curadas</t>
        </is>
      </c>
      <c r="C28" s="9" t="inlineStr">
        <is>
          <t>Machaca o carne secada al sol norteña</t>
        </is>
      </c>
      <c r="D28" s="9" t="inlineStr">
        <is>
          <t>g</t>
        </is>
      </c>
      <c r="E28" s="10" t="n">
        <v>500</v>
      </c>
      <c r="F28" s="11" t="n">
        <v>420</v>
      </c>
      <c r="G28" s="12">
        <f>IFERROR(F28/E28,0)</f>
        <v/>
      </c>
      <c r="H28">
        <f>COUNTIF(Ingredientes!$E:$E,C28)</f>
        <v/>
      </c>
      <c r="I28" s="6" t="n"/>
    </row>
    <row r="29">
      <c r="A29" s="9" t="inlineStr">
        <is>
          <t>I-025</t>
        </is>
      </c>
      <c r="B29" s="9" t="inlineStr">
        <is>
          <t>Lomos y cecinas curadas</t>
        </is>
      </c>
      <c r="C29" s="9" t="inlineStr">
        <is>
          <t>Lomo de cerdo curado, mechado o enchilado</t>
        </is>
      </c>
      <c r="D29" s="9" t="inlineStr">
        <is>
          <t>g</t>
        </is>
      </c>
      <c r="E29" s="10" t="n">
        <v>1000</v>
      </c>
      <c r="F29" s="11" t="n">
        <v>420</v>
      </c>
      <c r="G29" s="12">
        <f>IFERROR(F29/E29,0)</f>
        <v/>
      </c>
      <c r="H29">
        <f>COUNTIF(Ingredientes!$E:$E,C29)</f>
        <v/>
      </c>
      <c r="I29" s="6" t="n"/>
    </row>
    <row r="30">
      <c r="A30" s="9" t="inlineStr">
        <is>
          <t>I-026</t>
        </is>
      </c>
      <c r="B30" s="9" t="inlineStr">
        <is>
          <t>Lomos y cecinas curadas</t>
        </is>
      </c>
      <c r="C30" s="9" t="inlineStr">
        <is>
          <t>Cecina de chivo o de caprino de montaña</t>
        </is>
      </c>
      <c r="D30" s="9" t="inlineStr">
        <is>
          <t>g</t>
        </is>
      </c>
      <c r="E30" s="10" t="n">
        <v>1000</v>
      </c>
      <c r="F30" s="11" t="n">
        <v>560</v>
      </c>
      <c r="G30" s="12">
        <f>IFERROR(F30/E30,0)</f>
        <v/>
      </c>
      <c r="H30">
        <f>COUNTIF(Ingredientes!$E:$E,C30)</f>
        <v/>
      </c>
      <c r="I30" s="6" t="n"/>
    </row>
    <row r="31">
      <c r="A31" s="9" t="inlineStr">
        <is>
          <t>I-027</t>
        </is>
      </c>
      <c r="B31" s="9" t="inlineStr">
        <is>
          <t>Embutidos curados</t>
        </is>
      </c>
      <c r="C31" s="9" t="inlineStr">
        <is>
          <t>Chorizo cular ibérico de bellota</t>
        </is>
      </c>
      <c r="D31" s="9" t="inlineStr">
        <is>
          <t>g</t>
        </is>
      </c>
      <c r="E31" s="10" t="n">
        <v>1000</v>
      </c>
      <c r="F31" s="11" t="n">
        <v>1150</v>
      </c>
      <c r="G31" s="12">
        <f>IFERROR(F31/E31,0)</f>
        <v/>
      </c>
      <c r="H31">
        <f>COUNTIF(Ingredientes!$E:$E,C31)</f>
        <v/>
      </c>
      <c r="I31" s="6" t="n"/>
    </row>
    <row r="32">
      <c r="A32" s="9" t="inlineStr">
        <is>
          <t>I-028</t>
        </is>
      </c>
      <c r="B32" s="9" t="inlineStr">
        <is>
          <t>Embutidos curados</t>
        </is>
      </c>
      <c r="C32" s="9" t="inlineStr">
        <is>
          <t>Chorizo ibérico de pimentón (Vera, herradura)</t>
        </is>
      </c>
      <c r="D32" s="9" t="inlineStr">
        <is>
          <t>g</t>
        </is>
      </c>
      <c r="E32" s="10" t="n">
        <v>1000</v>
      </c>
      <c r="F32" s="11" t="n">
        <v>620</v>
      </c>
      <c r="G32" s="12">
        <f>IFERROR(F32/E32,0)</f>
        <v/>
      </c>
      <c r="H32">
        <f>COUNTIF(Ingredientes!$E:$E,C32)</f>
        <v/>
      </c>
      <c r="I32" s="6" t="n"/>
    </row>
    <row r="33">
      <c r="A33" s="9" t="inlineStr">
        <is>
          <t>I-029</t>
        </is>
      </c>
      <c r="B33" s="9" t="inlineStr">
        <is>
          <t>Embutidos curados</t>
        </is>
      </c>
      <c r="C33" s="9" t="inlineStr">
        <is>
          <t>Salchichón ibérico de bellota</t>
        </is>
      </c>
      <c r="D33" s="9" t="inlineStr">
        <is>
          <t>g</t>
        </is>
      </c>
      <c r="E33" s="10" t="n">
        <v>1000</v>
      </c>
      <c r="F33" s="11" t="n">
        <v>980</v>
      </c>
      <c r="G33" s="12">
        <f>IFERROR(F33/E33,0)</f>
        <v/>
      </c>
      <c r="H33">
        <f>COUNTIF(Ingredientes!$E:$E,C33)</f>
        <v/>
      </c>
      <c r="I33" s="6" t="n"/>
    </row>
    <row r="34">
      <c r="A34" s="9" t="inlineStr">
        <is>
          <t>I-030</t>
        </is>
      </c>
      <c r="B34" s="9" t="inlineStr">
        <is>
          <t>Embutidos curados</t>
        </is>
      </c>
      <c r="C34" s="9" t="inlineStr">
        <is>
          <t>Salchichón o salame rústico de campaña</t>
        </is>
      </c>
      <c r="D34" s="9" t="inlineStr">
        <is>
          <t>g</t>
        </is>
      </c>
      <c r="E34" s="10" t="n">
        <v>1000</v>
      </c>
      <c r="F34" s="11" t="n">
        <v>420</v>
      </c>
      <c r="G34" s="12">
        <f>IFERROR(F34/E34,0)</f>
        <v/>
      </c>
      <c r="H34">
        <f>COUNTIF(Ingredientes!$E:$E,C34)</f>
        <v/>
      </c>
      <c r="I34" s="6" t="n"/>
    </row>
    <row r="35">
      <c r="A35" s="9" t="inlineStr">
        <is>
          <t>I-031</t>
        </is>
      </c>
      <c r="B35" s="9" t="inlineStr">
        <is>
          <t>Embutidos curados</t>
        </is>
      </c>
      <c r="C35" s="9" t="inlineStr">
        <is>
          <t>Fuet artesano catalán</t>
        </is>
      </c>
      <c r="D35" s="9" t="inlineStr">
        <is>
          <t>g</t>
        </is>
      </c>
      <c r="E35" s="10" t="n">
        <v>500</v>
      </c>
      <c r="F35" s="11" t="n">
        <v>260</v>
      </c>
      <c r="G35" s="12">
        <f>IFERROR(F35/E35,0)</f>
        <v/>
      </c>
      <c r="H35">
        <f>COUNTIF(Ingredientes!$E:$E,C35)</f>
        <v/>
      </c>
      <c r="I35" s="6" t="n"/>
    </row>
    <row r="36">
      <c r="A36" s="9" t="inlineStr">
        <is>
          <t>I-032</t>
        </is>
      </c>
      <c r="B36" s="9" t="inlineStr">
        <is>
          <t>Embutidos curados</t>
        </is>
      </c>
      <c r="C36" s="9" t="inlineStr">
        <is>
          <t>Salame italiano tradicional (Milano, Napoletano, Barolo)</t>
        </is>
      </c>
      <c r="D36" s="9" t="inlineStr">
        <is>
          <t>g</t>
        </is>
      </c>
      <c r="E36" s="10" t="n">
        <v>1000</v>
      </c>
      <c r="F36" s="11" t="n">
        <v>780</v>
      </c>
      <c r="G36" s="12">
        <f>IFERROR(F36/E36,0)</f>
        <v/>
      </c>
      <c r="H36">
        <f>COUNTIF(Ingredientes!$E:$E,C36)</f>
        <v/>
      </c>
      <c r="I36" s="6" t="n"/>
    </row>
    <row r="37">
      <c r="A37" s="9" t="inlineStr">
        <is>
          <t>I-033</t>
        </is>
      </c>
      <c r="B37" s="9" t="inlineStr">
        <is>
          <t>Embutidos curados</t>
        </is>
      </c>
      <c r="C37" s="9" t="inlineStr">
        <is>
          <t>Finocchiona IGP o salame de hinojo</t>
        </is>
      </c>
      <c r="D37" s="9" t="inlineStr">
        <is>
          <t>g</t>
        </is>
      </c>
      <c r="E37" s="10" t="n">
        <v>1000</v>
      </c>
      <c r="F37" s="11" t="n">
        <v>850</v>
      </c>
      <c r="G37" s="12">
        <f>IFERROR(F37/E37,0)</f>
        <v/>
      </c>
      <c r="H37">
        <f>COUNTIF(Ingredientes!$E:$E,C37)</f>
        <v/>
      </c>
      <c r="I37" s="6" t="n"/>
    </row>
    <row r="38">
      <c r="A38" s="9" t="inlineStr">
        <is>
          <t>I-034</t>
        </is>
      </c>
      <c r="B38" s="9" t="inlineStr">
        <is>
          <t>Embutidos curados</t>
        </is>
      </c>
      <c r="C38" s="9" t="inlineStr">
        <is>
          <t>Soppressata o soppressa DOP</t>
        </is>
      </c>
      <c r="D38" s="9" t="inlineStr">
        <is>
          <t>g</t>
        </is>
      </c>
      <c r="E38" s="10" t="n">
        <v>1000</v>
      </c>
      <c r="F38" s="11" t="n">
        <v>980</v>
      </c>
      <c r="G38" s="12">
        <f>IFERROR(F38/E38,0)</f>
        <v/>
      </c>
      <c r="H38">
        <f>COUNTIF(Ingredientes!$E:$E,C38)</f>
        <v/>
      </c>
      <c r="I38" s="6" t="n"/>
    </row>
    <row r="39">
      <c r="A39" s="9" t="inlineStr">
        <is>
          <t>I-035</t>
        </is>
      </c>
      <c r="B39" s="9" t="inlineStr">
        <is>
          <t>Embutidos curados</t>
        </is>
      </c>
      <c r="C39" s="9" t="inlineStr">
        <is>
          <t>Nduja de Spilinga untable</t>
        </is>
      </c>
      <c r="D39" s="9" t="inlineStr">
        <is>
          <t>g</t>
        </is>
      </c>
      <c r="E39" s="10" t="n">
        <v>500</v>
      </c>
      <c r="F39" s="11" t="n">
        <v>460</v>
      </c>
      <c r="G39" s="12">
        <f>IFERROR(F39/E39,0)</f>
        <v/>
      </c>
      <c r="H39">
        <f>COUNTIF(Ingredientes!$E:$E,C39)</f>
        <v/>
      </c>
      <c r="I39" s="6" t="n"/>
    </row>
    <row r="40">
      <c r="A40" s="9" t="inlineStr">
        <is>
          <t>I-036</t>
        </is>
      </c>
      <c r="B40" s="9" t="inlineStr">
        <is>
          <t>Embutidos curados</t>
        </is>
      </c>
      <c r="C40" s="9" t="inlineStr">
        <is>
          <t>Sobrasada de Mallorca IGP de cerdo negro</t>
        </is>
      </c>
      <c r="D40" s="9" t="inlineStr">
        <is>
          <t>g</t>
        </is>
      </c>
      <c r="E40" s="10" t="n">
        <v>500</v>
      </c>
      <c r="F40" s="11" t="n">
        <v>420</v>
      </c>
      <c r="G40" s="12">
        <f>IFERROR(F40/E40,0)</f>
        <v/>
      </c>
      <c r="H40">
        <f>COUNTIF(Ingredientes!$E:$E,C40)</f>
        <v/>
      </c>
      <c r="I40" s="6" t="n"/>
    </row>
    <row r="41">
      <c r="A41" s="9" t="inlineStr">
        <is>
          <t>I-037</t>
        </is>
      </c>
      <c r="B41" s="9" t="inlineStr">
        <is>
          <t>Embutidos curados</t>
        </is>
      </c>
      <c r="C41" s="9" t="inlineStr">
        <is>
          <t>Saucisson sec francés artesanal</t>
        </is>
      </c>
      <c r="D41" s="9" t="inlineStr">
        <is>
          <t>g</t>
        </is>
      </c>
      <c r="E41" s="10" t="n">
        <v>500</v>
      </c>
      <c r="F41" s="11" t="n">
        <v>390</v>
      </c>
      <c r="G41" s="12">
        <f>IFERROR(F41/E41,0)</f>
        <v/>
      </c>
      <c r="H41">
        <f>COUNTIF(Ingredientes!$E:$E,C41)</f>
        <v/>
      </c>
      <c r="I41" s="6" t="n"/>
    </row>
    <row r="42">
      <c r="A42" s="9" t="inlineStr">
        <is>
          <t>I-038</t>
        </is>
      </c>
      <c r="B42" s="9" t="inlineStr">
        <is>
          <t>Embutidos curados</t>
        </is>
      </c>
      <c r="C42" s="9" t="inlineStr">
        <is>
          <t>Gendarme, landjäger o embutido ahumado seco</t>
        </is>
      </c>
      <c r="D42" s="9" t="inlineStr">
        <is>
          <t>g</t>
        </is>
      </c>
      <c r="E42" s="10" t="n">
        <v>500</v>
      </c>
      <c r="F42" s="11" t="n">
        <v>320</v>
      </c>
      <c r="G42" s="12">
        <f>IFERROR(F42/E42,0)</f>
        <v/>
      </c>
      <c r="H42">
        <f>COUNTIF(Ingredientes!$E:$E,C42)</f>
        <v/>
      </c>
      <c r="I42" s="6" t="n"/>
    </row>
    <row r="43">
      <c r="A43" s="9" t="inlineStr">
        <is>
          <t>I-039</t>
        </is>
      </c>
      <c r="B43" s="9" t="inlineStr">
        <is>
          <t>Embutidos curados</t>
        </is>
      </c>
      <c r="C43" s="9" t="inlineStr">
        <is>
          <t>Embutido curado y ahumado tradicional (chosco, androlla, butifarra)</t>
        </is>
      </c>
      <c r="D43" s="9" t="inlineStr">
        <is>
          <t>g</t>
        </is>
      </c>
      <c r="E43" s="10" t="n">
        <v>1000</v>
      </c>
      <c r="F43" s="11" t="n">
        <v>480</v>
      </c>
      <c r="G43" s="12">
        <f>IFERROR(F43/E43,0)</f>
        <v/>
      </c>
      <c r="H43">
        <f>COUNTIF(Ingredientes!$E:$E,C43)</f>
        <v/>
      </c>
      <c r="I43" s="6" t="n"/>
    </row>
    <row r="44">
      <c r="A44" s="9" t="inlineStr">
        <is>
          <t>I-040</t>
        </is>
      </c>
      <c r="B44" s="9" t="inlineStr">
        <is>
          <t>Embutidos curados</t>
        </is>
      </c>
      <c r="C44" s="9" t="inlineStr">
        <is>
          <t>Chorizo mexicano curado (verde, rojo, zacatecano)</t>
        </is>
      </c>
      <c r="D44" s="9" t="inlineStr">
        <is>
          <t>g</t>
        </is>
      </c>
      <c r="E44" s="10" t="n">
        <v>1000</v>
      </c>
      <c r="F44" s="11" t="n">
        <v>360</v>
      </c>
      <c r="G44" s="12">
        <f>IFERROR(F44/E44,0)</f>
        <v/>
      </c>
      <c r="H44">
        <f>COUNTIF(Ingredientes!$E:$E,C44)</f>
        <v/>
      </c>
      <c r="I44" s="6" t="n"/>
    </row>
    <row r="45">
      <c r="A45" s="9" t="inlineStr">
        <is>
          <t>I-041</t>
        </is>
      </c>
      <c r="B45" s="9" t="inlineStr">
        <is>
          <t>Embutidos curados</t>
        </is>
      </c>
      <c r="C45" s="9" t="inlineStr">
        <is>
          <t>Longaniza o chorizo ahumado artesanal</t>
        </is>
      </c>
      <c r="D45" s="9" t="inlineStr">
        <is>
          <t>g</t>
        </is>
      </c>
      <c r="E45" s="10" t="n">
        <v>1000</v>
      </c>
      <c r="F45" s="11" t="n">
        <v>340</v>
      </c>
      <c r="G45" s="12">
        <f>IFERROR(F45/E45,0)</f>
        <v/>
      </c>
      <c r="H45">
        <f>COUNTIF(Ingredientes!$E:$E,C45)</f>
        <v/>
      </c>
      <c r="I45" s="6" t="n"/>
    </row>
    <row r="46">
      <c r="A46" s="9" t="inlineStr">
        <is>
          <t>I-042</t>
        </is>
      </c>
      <c r="B46" s="9" t="inlineStr">
        <is>
          <t>Embutidos curados</t>
        </is>
      </c>
      <c r="C46" s="9" t="inlineStr">
        <is>
          <t>Morcilla, but negro o embutido de sangre curado</t>
        </is>
      </c>
      <c r="D46" s="9" t="inlineStr">
        <is>
          <t>g</t>
        </is>
      </c>
      <c r="E46" s="10" t="n">
        <v>1000</v>
      </c>
      <c r="F46" s="11" t="n">
        <v>320</v>
      </c>
      <c r="G46" s="12">
        <f>IFERROR(F46/E46,0)</f>
        <v/>
      </c>
      <c r="H46">
        <f>COUNTIF(Ingredientes!$E:$E,C46)</f>
        <v/>
      </c>
      <c r="I46" s="6" t="n"/>
    </row>
    <row r="47">
      <c r="A47" s="9" t="inlineStr">
        <is>
          <t>I-043</t>
        </is>
      </c>
      <c r="B47" s="9" t="inlineStr">
        <is>
          <t>Embutidos curados</t>
        </is>
      </c>
      <c r="C47" s="9" t="inlineStr">
        <is>
          <t>Salsiccia o salchicha curada de pastoreo</t>
        </is>
      </c>
      <c r="D47" s="9" t="inlineStr">
        <is>
          <t>g</t>
        </is>
      </c>
      <c r="E47" s="10" t="n">
        <v>1000</v>
      </c>
      <c r="F47" s="11" t="n">
        <v>720</v>
      </c>
      <c r="G47" s="12">
        <f>IFERROR(F47/E47,0)</f>
        <v/>
      </c>
      <c r="H47">
        <f>COUNTIF(Ingredientes!$E:$E,C47)</f>
        <v/>
      </c>
      <c r="I47" s="6" t="n"/>
    </row>
    <row r="48">
      <c r="A48" s="9" t="inlineStr">
        <is>
          <t>I-044</t>
        </is>
      </c>
      <c r="B48" s="9" t="inlineStr">
        <is>
          <t>Cocidos, patés y confitados</t>
        </is>
      </c>
      <c r="C48" s="9" t="inlineStr">
        <is>
          <t>Mortadella Bologna IGP con pistachos</t>
        </is>
      </c>
      <c r="D48" s="9" t="inlineStr">
        <is>
          <t>g</t>
        </is>
      </c>
      <c r="E48" s="10" t="n">
        <v>1000</v>
      </c>
      <c r="F48" s="11" t="n">
        <v>620</v>
      </c>
      <c r="G48" s="12">
        <f>IFERROR(F48/E48,0)</f>
        <v/>
      </c>
      <c r="H48">
        <f>COUNTIF(Ingredientes!$E:$E,C48)</f>
        <v/>
      </c>
      <c r="I48" s="6" t="n"/>
    </row>
    <row r="49">
      <c r="A49" s="9" t="inlineStr">
        <is>
          <t>I-045</t>
        </is>
      </c>
      <c r="B49" s="9" t="inlineStr">
        <is>
          <t>Cocidos, patés y confitados</t>
        </is>
      </c>
      <c r="C49" s="9" t="inlineStr">
        <is>
          <t>Galantina, cuixot o embutido cocido y curado</t>
        </is>
      </c>
      <c r="D49" s="9" t="inlineStr">
        <is>
          <t>g</t>
        </is>
      </c>
      <c r="E49" s="10" t="n">
        <v>1000</v>
      </c>
      <c r="F49" s="11" t="n">
        <v>540</v>
      </c>
      <c r="G49" s="12">
        <f>IFERROR(F49/E49,0)</f>
        <v/>
      </c>
      <c r="H49">
        <f>COUNTIF(Ingredientes!$E:$E,C49)</f>
        <v/>
      </c>
      <c r="I49" s="6" t="n"/>
    </row>
    <row r="50">
      <c r="A50" s="9" t="inlineStr">
        <is>
          <t>I-046</t>
        </is>
      </c>
      <c r="B50" s="9" t="inlineStr">
        <is>
          <t>Cocidos, patés y confitados</t>
        </is>
      </c>
      <c r="C50" s="9" t="inlineStr">
        <is>
          <t>Rillettes o rillons de cerdo confitados</t>
        </is>
      </c>
      <c r="D50" s="9" t="inlineStr">
        <is>
          <t>g</t>
        </is>
      </c>
      <c r="E50" s="10" t="n">
        <v>500</v>
      </c>
      <c r="F50" s="11" t="n">
        <v>285</v>
      </c>
      <c r="G50" s="12">
        <f>IFERROR(F50/E50,0)</f>
        <v/>
      </c>
      <c r="H50">
        <f>COUNTIF(Ingredientes!$E:$E,C50)</f>
        <v/>
      </c>
      <c r="I50" s="6" t="n"/>
    </row>
    <row r="51">
      <c r="A51" s="9" t="inlineStr">
        <is>
          <t>I-047</t>
        </is>
      </c>
      <c r="B51" s="9" t="inlineStr">
        <is>
          <t>Cocidos, patés y confitados</t>
        </is>
      </c>
      <c r="C51" s="9" t="inlineStr">
        <is>
          <t>Paté de campaña con foie gras</t>
        </is>
      </c>
      <c r="D51" s="9" t="inlineStr">
        <is>
          <t>g</t>
        </is>
      </c>
      <c r="E51" s="10" t="n">
        <v>500</v>
      </c>
      <c r="F51" s="11" t="n">
        <v>420</v>
      </c>
      <c r="G51" s="12">
        <f>IFERROR(F51/E51,0)</f>
        <v/>
      </c>
      <c r="H51">
        <f>COUNTIF(Ingredientes!$E:$E,C51)</f>
        <v/>
      </c>
      <c r="I51" s="6" t="n"/>
    </row>
    <row r="52">
      <c r="A52" s="9" t="inlineStr">
        <is>
          <t>I-048</t>
        </is>
      </c>
      <c r="B52" s="9" t="inlineStr">
        <is>
          <t>Cocidos, patés y confitados</t>
        </is>
      </c>
      <c r="C52" s="9" t="inlineStr">
        <is>
          <t>Terrina artesanal de pato, conejo o ave</t>
        </is>
      </c>
      <c r="D52" s="9" t="inlineStr">
        <is>
          <t>g</t>
        </is>
      </c>
      <c r="E52" s="10" t="n">
        <v>500</v>
      </c>
      <c r="F52" s="11" t="n">
        <v>460</v>
      </c>
      <c r="G52" s="12">
        <f>IFERROR(F52/E52,0)</f>
        <v/>
      </c>
      <c r="H52">
        <f>COUNTIF(Ingredientes!$E:$E,C52)</f>
        <v/>
      </c>
      <c r="I52" s="6" t="n"/>
    </row>
    <row r="53">
      <c r="A53" s="9" t="inlineStr">
        <is>
          <t>I-049</t>
        </is>
      </c>
      <c r="B53" s="9" t="inlineStr">
        <is>
          <t>Cocidos, patés y confitados</t>
        </is>
      </c>
      <c r="C53" s="9" t="inlineStr">
        <is>
          <t>Foie gras de pato mi-cuit</t>
        </is>
      </c>
      <c r="D53" s="9" t="inlineStr">
        <is>
          <t>g</t>
        </is>
      </c>
      <c r="E53" s="10" t="n">
        <v>200</v>
      </c>
      <c r="F53" s="11" t="n">
        <v>590</v>
      </c>
      <c r="G53" s="12">
        <f>IFERROR(F53/E53,0)</f>
        <v/>
      </c>
      <c r="H53">
        <f>COUNTIF(Ingredientes!$E:$E,C53)</f>
        <v/>
      </c>
      <c r="I53" s="6" t="n"/>
    </row>
    <row r="54">
      <c r="A54" s="9" t="inlineStr">
        <is>
          <t>I-050</t>
        </is>
      </c>
      <c r="B54" s="9" t="inlineStr">
        <is>
          <t>Cocidos, patés y confitados</t>
        </is>
      </c>
      <c r="C54" s="9" t="inlineStr">
        <is>
          <t>Jambon persillé o carne en gelatina de hierbas</t>
        </is>
      </c>
      <c r="D54" s="9" t="inlineStr">
        <is>
          <t>g</t>
        </is>
      </c>
      <c r="E54" s="10" t="n">
        <v>1000</v>
      </c>
      <c r="F54" s="11" t="n">
        <v>780</v>
      </c>
      <c r="G54" s="12">
        <f>IFERROR(F54/E54,0)</f>
        <v/>
      </c>
      <c r="H54">
        <f>COUNTIF(Ingredientes!$E:$E,C54)</f>
        <v/>
      </c>
      <c r="I54" s="6" t="n"/>
    </row>
    <row r="55">
      <c r="A55" s="9" t="inlineStr">
        <is>
          <t>I-051</t>
        </is>
      </c>
      <c r="B55" s="9" t="inlineStr">
        <is>
          <t>Cocidos, patés y confitados</t>
        </is>
      </c>
      <c r="C55" s="9" t="inlineStr">
        <is>
          <t>Andouille o embutido cocido ahumado</t>
        </is>
      </c>
      <c r="D55" s="9" t="inlineStr">
        <is>
          <t>g</t>
        </is>
      </c>
      <c r="E55" s="10" t="n">
        <v>1000</v>
      </c>
      <c r="F55" s="11" t="n">
        <v>620</v>
      </c>
      <c r="G55" s="12">
        <f>IFERROR(F55/E55,0)</f>
        <v/>
      </c>
      <c r="H55">
        <f>COUNTIF(Ingredientes!$E:$E,C55)</f>
        <v/>
      </c>
      <c r="I55" s="6" t="n"/>
    </row>
    <row r="56">
      <c r="A56" s="9" t="inlineStr">
        <is>
          <t>I-052</t>
        </is>
      </c>
      <c r="B56" s="9" t="inlineStr">
        <is>
          <t>Cocidos, patés y confitados</t>
        </is>
      </c>
      <c r="C56" s="9" t="inlineStr">
        <is>
          <t>Chicharrón prensado, cicoli o carnitas en frío</t>
        </is>
      </c>
      <c r="D56" s="9" t="inlineStr">
        <is>
          <t>g</t>
        </is>
      </c>
      <c r="E56" s="10" t="n">
        <v>1000</v>
      </c>
      <c r="F56" s="11" t="n">
        <v>300</v>
      </c>
      <c r="G56" s="12">
        <f>IFERROR(F56/E56,0)</f>
        <v/>
      </c>
      <c r="H56">
        <f>COUNTIF(Ingredientes!$E:$E,C56)</f>
        <v/>
      </c>
      <c r="I56" s="6" t="n"/>
    </row>
    <row r="57">
      <c r="A57" s="9" t="inlineStr">
        <is>
          <t>I-053</t>
        </is>
      </c>
      <c r="B57" s="9" t="inlineStr">
        <is>
          <t>Cocidos, patés y confitados</t>
        </is>
      </c>
      <c r="C57" s="9" t="inlineStr">
        <is>
          <t>Chicharrón curado seco de cerdo</t>
        </is>
      </c>
      <c r="D57" s="9" t="inlineStr">
        <is>
          <t>g</t>
        </is>
      </c>
      <c r="E57" s="10" t="n">
        <v>500</v>
      </c>
      <c r="F57" s="11" t="n">
        <v>180</v>
      </c>
      <c r="G57" s="12">
        <f>IFERROR(F57/E57,0)</f>
        <v/>
      </c>
      <c r="H57">
        <f>COUNTIF(Ingredientes!$E:$E,C57)</f>
        <v/>
      </c>
      <c r="I57" s="6" t="n"/>
    </row>
    <row r="58">
      <c r="A58" s="9" t="inlineStr">
        <is>
          <t>I-054</t>
        </is>
      </c>
      <c r="B58" s="9" t="inlineStr">
        <is>
          <t>Tocinos y grasas curadas</t>
        </is>
      </c>
      <c r="C58" s="9" t="inlineStr">
        <is>
          <t>Lardo di Colonnata IGP o tocino curado en mármol</t>
        </is>
      </c>
      <c r="D58" s="9" t="inlineStr">
        <is>
          <t>g</t>
        </is>
      </c>
      <c r="E58" s="10" t="n">
        <v>500</v>
      </c>
      <c r="F58" s="11" t="n">
        <v>480</v>
      </c>
      <c r="G58" s="12">
        <f>IFERROR(F58/E58,0)</f>
        <v/>
      </c>
      <c r="H58">
        <f>COUNTIF(Ingredientes!$E:$E,C58)</f>
        <v/>
      </c>
      <c r="I58" s="6" t="n"/>
    </row>
    <row r="59">
      <c r="A59" s="9" t="inlineStr">
        <is>
          <t>I-055</t>
        </is>
      </c>
      <c r="B59" s="9" t="inlineStr">
        <is>
          <t>Tocinos y grasas curadas</t>
        </is>
      </c>
      <c r="C59" s="9" t="inlineStr">
        <is>
          <t>Panceta o pancetta curada DOP</t>
        </is>
      </c>
      <c r="D59" s="9" t="inlineStr">
        <is>
          <t>g</t>
        </is>
      </c>
      <c r="E59" s="10" t="n">
        <v>1000</v>
      </c>
      <c r="F59" s="11" t="n">
        <v>560</v>
      </c>
      <c r="G59" s="12">
        <f>IFERROR(F59/E59,0)</f>
        <v/>
      </c>
      <c r="H59">
        <f>COUNTIF(Ingredientes!$E:$E,C59)</f>
        <v/>
      </c>
      <c r="I59" s="6" t="n"/>
    </row>
    <row r="60">
      <c r="A60" s="9" t="inlineStr">
        <is>
          <t>I-056</t>
        </is>
      </c>
      <c r="B60" s="9" t="inlineStr">
        <is>
          <t>Tocinos y grasas curadas</t>
        </is>
      </c>
      <c r="C60" s="9" t="inlineStr">
        <is>
          <t>Tocino ahumado de cerdo</t>
        </is>
      </c>
      <c r="D60" s="9" t="inlineStr">
        <is>
          <t>g</t>
        </is>
      </c>
      <c r="E60" s="10" t="n">
        <v>500</v>
      </c>
      <c r="F60" s="11" t="n">
        <v>135</v>
      </c>
      <c r="G60" s="12">
        <f>IFERROR(F60/E60,0)</f>
        <v/>
      </c>
      <c r="H60">
        <f>COUNTIF(Ingredientes!$E:$E,C60)</f>
        <v/>
      </c>
      <c r="I60" s="6" t="n"/>
    </row>
    <row r="61">
      <c r="A61" s="9" t="inlineStr">
        <is>
          <t>I-057</t>
        </is>
      </c>
      <c r="B61" s="9" t="inlineStr">
        <is>
          <t>Quesos de pasta dura de oveja</t>
        </is>
      </c>
      <c r="C61" s="9" t="inlineStr">
        <is>
          <t>Queso manchego DOP artesano viejo o gran reserva</t>
        </is>
      </c>
      <c r="D61" s="9" t="inlineStr">
        <is>
          <t>g</t>
        </is>
      </c>
      <c r="E61" s="10" t="n">
        <v>1000</v>
      </c>
      <c r="F61" s="11" t="n">
        <v>780</v>
      </c>
      <c r="G61" s="12">
        <f>IFERROR(F61/E61,0)</f>
        <v/>
      </c>
      <c r="H61">
        <f>COUNTIF(Ingredientes!$E:$E,C61)</f>
        <v/>
      </c>
      <c r="I61" s="6" t="n"/>
    </row>
    <row r="62">
      <c r="A62" s="9" t="inlineStr">
        <is>
          <t>I-058</t>
        </is>
      </c>
      <c r="B62" s="9" t="inlineStr">
        <is>
          <t>Quesos de pasta dura de oveja</t>
        </is>
      </c>
      <c r="C62" s="9" t="inlineStr">
        <is>
          <t>Queso de oveja curado castellano o zamorano DOP</t>
        </is>
      </c>
      <c r="D62" s="9" t="inlineStr">
        <is>
          <t>g</t>
        </is>
      </c>
      <c r="E62" s="10" t="n">
        <v>1000</v>
      </c>
      <c r="F62" s="11" t="n">
        <v>640</v>
      </c>
      <c r="G62" s="12">
        <f>IFERROR(F62/E62,0)</f>
        <v/>
      </c>
      <c r="H62">
        <f>COUNTIF(Ingredientes!$E:$E,C62)</f>
        <v/>
      </c>
      <c r="I62" s="6" t="n"/>
    </row>
    <row r="63">
      <c r="A63" s="9" t="inlineStr">
        <is>
          <t>I-059</t>
        </is>
      </c>
      <c r="B63" s="9" t="inlineStr">
        <is>
          <t>Quesos de pasta dura de oveja</t>
        </is>
      </c>
      <c r="C63" s="9" t="inlineStr">
        <is>
          <t>Pecorino DOP stagionato (toscano, sardo)</t>
        </is>
      </c>
      <c r="D63" s="9" t="inlineStr">
        <is>
          <t>g</t>
        </is>
      </c>
      <c r="E63" s="10" t="n">
        <v>1000</v>
      </c>
      <c r="F63" s="11" t="n">
        <v>920</v>
      </c>
      <c r="G63" s="12">
        <f>IFERROR(F63/E63,0)</f>
        <v/>
      </c>
      <c r="H63">
        <f>COUNTIF(Ingredientes!$E:$E,C63)</f>
        <v/>
      </c>
      <c r="I63" s="6" t="n"/>
    </row>
    <row r="64">
      <c r="A64" s="9" t="inlineStr">
        <is>
          <t>I-060</t>
        </is>
      </c>
      <c r="B64" s="9" t="inlineStr">
        <is>
          <t>Quesos de pasta dura de oveja</t>
        </is>
      </c>
      <c r="C64" s="9" t="inlineStr">
        <is>
          <t>Queso de pastor de leche cruda (Fiore Sardo, trashumancia)</t>
        </is>
      </c>
      <c r="D64" s="9" t="inlineStr">
        <is>
          <t>g</t>
        </is>
      </c>
      <c r="E64" s="10" t="n">
        <v>1000</v>
      </c>
      <c r="F64" s="11" t="n">
        <v>1050</v>
      </c>
      <c r="G64" s="12">
        <f>IFERROR(F64/E64,0)</f>
        <v/>
      </c>
      <c r="H64">
        <f>COUNTIF(Ingredientes!$E:$E,C64)</f>
        <v/>
      </c>
      <c r="I64" s="6" t="n"/>
    </row>
    <row r="65">
      <c r="A65" s="9" t="inlineStr">
        <is>
          <t>I-061</t>
        </is>
      </c>
      <c r="B65" s="9" t="inlineStr">
        <is>
          <t>Quesos de pasta dura de oveja</t>
        </is>
      </c>
      <c r="C65" s="9" t="inlineStr">
        <is>
          <t>Queso de oveja prensado ahumado o de cuajo (Roncal, Idiazábal)</t>
        </is>
      </c>
      <c r="D65" s="9" t="inlineStr">
        <is>
          <t>g</t>
        </is>
      </c>
      <c r="E65" s="10" t="n">
        <v>1000</v>
      </c>
      <c r="F65" s="11" t="n">
        <v>880</v>
      </c>
      <c r="G65" s="12">
        <f>IFERROR(F65/E65,0)</f>
        <v/>
      </c>
      <c r="H65">
        <f>COUNTIF(Ingredientes!$E:$E,C65)</f>
        <v/>
      </c>
      <c r="I65" s="6" t="n"/>
    </row>
    <row r="66">
      <c r="A66" s="9" t="inlineStr">
        <is>
          <t>I-062</t>
        </is>
      </c>
      <c r="B66" s="9" t="inlineStr">
        <is>
          <t>Quesos de pasta dura de oveja</t>
        </is>
      </c>
      <c r="C66" s="9" t="inlineStr">
        <is>
          <t>Ossau-Iraty AOP u oveja fermier de los Pirineos</t>
        </is>
      </c>
      <c r="D66" s="9" t="inlineStr">
        <is>
          <t>g</t>
        </is>
      </c>
      <c r="E66" s="10" t="n">
        <v>1000</v>
      </c>
      <c r="F66" s="11" t="n">
        <v>1150</v>
      </c>
      <c r="G66" s="12">
        <f>IFERROR(F66/E66,0)</f>
        <v/>
      </c>
      <c r="H66">
        <f>COUNTIF(Ingredientes!$E:$E,C66)</f>
        <v/>
      </c>
      <c r="I66" s="6" t="n"/>
    </row>
    <row r="67">
      <c r="A67" s="9" t="inlineStr">
        <is>
          <t>I-063</t>
        </is>
      </c>
      <c r="B67" s="9" t="inlineStr">
        <is>
          <t>Quesos de pasta dura de oveja</t>
        </is>
      </c>
      <c r="C67" s="9" t="inlineStr">
        <is>
          <t>Queso de oveja afinado en manteca o en trufa</t>
        </is>
      </c>
      <c r="D67" s="9" t="inlineStr">
        <is>
          <t>g</t>
        </is>
      </c>
      <c r="E67" s="10" t="n">
        <v>1000</v>
      </c>
      <c r="F67" s="11" t="n">
        <v>1420</v>
      </c>
      <c r="G67" s="12">
        <f>IFERROR(F67/E67,0)</f>
        <v/>
      </c>
      <c r="H67">
        <f>COUNTIF(Ingredientes!$E:$E,C67)</f>
        <v/>
      </c>
      <c r="I67" s="6" t="n"/>
    </row>
    <row r="68">
      <c r="A68" s="9" t="inlineStr">
        <is>
          <t>I-064</t>
        </is>
      </c>
      <c r="B68" s="9" t="inlineStr">
        <is>
          <t>Quesos de pasta dura de vaca</t>
        </is>
      </c>
      <c r="C68" s="9" t="inlineStr">
        <is>
          <t>Parmigiano Reggiano DOP 30-36 meses</t>
        </is>
      </c>
      <c r="D68" s="9" t="inlineStr">
        <is>
          <t>g</t>
        </is>
      </c>
      <c r="E68" s="10" t="n">
        <v>1000</v>
      </c>
      <c r="F68" s="11" t="n">
        <v>1450</v>
      </c>
      <c r="G68" s="12">
        <f>IFERROR(F68/E68,0)</f>
        <v/>
      </c>
      <c r="H68">
        <f>COUNTIF(Ingredientes!$E:$E,C68)</f>
        <v/>
      </c>
      <c r="I68" s="6" t="n"/>
    </row>
    <row r="69">
      <c r="A69" s="9" t="inlineStr">
        <is>
          <t>I-065</t>
        </is>
      </c>
      <c r="B69" s="9" t="inlineStr">
        <is>
          <t>Quesos de pasta dura de vaca</t>
        </is>
      </c>
      <c r="C69" s="9" t="inlineStr">
        <is>
          <t>Grana Padano DOP 16-20 meses</t>
        </is>
      </c>
      <c r="D69" s="9" t="inlineStr">
        <is>
          <t>g</t>
        </is>
      </c>
      <c r="E69" s="10" t="n">
        <v>1000</v>
      </c>
      <c r="F69" s="11" t="n">
        <v>880</v>
      </c>
      <c r="G69" s="12">
        <f>IFERROR(F69/E69,0)</f>
        <v/>
      </c>
      <c r="H69">
        <f>COUNTIF(Ingredientes!$E:$E,C69)</f>
        <v/>
      </c>
      <c r="I69" s="6" t="n"/>
    </row>
    <row r="70">
      <c r="A70" s="9" t="inlineStr">
        <is>
          <t>I-066</t>
        </is>
      </c>
      <c r="B70" s="9" t="inlineStr">
        <is>
          <t>Quesos de pasta dura de vaca</t>
        </is>
      </c>
      <c r="C70" s="9" t="inlineStr">
        <is>
          <t>Comté AOP 18-24 meses</t>
        </is>
      </c>
      <c r="D70" s="9" t="inlineStr">
        <is>
          <t>g</t>
        </is>
      </c>
      <c r="E70" s="10" t="n">
        <v>1000</v>
      </c>
      <c r="F70" s="11" t="n">
        <v>1180</v>
      </c>
      <c r="G70" s="12">
        <f>IFERROR(F70/E70,0)</f>
        <v/>
      </c>
      <c r="H70">
        <f>COUNTIF(Ingredientes!$E:$E,C70)</f>
        <v/>
      </c>
      <c r="I70" s="6" t="n"/>
    </row>
    <row r="71">
      <c r="A71" s="9" t="inlineStr">
        <is>
          <t>I-067</t>
        </is>
      </c>
      <c r="B71" s="9" t="inlineStr">
        <is>
          <t>Quesos de pasta dura de vaca</t>
        </is>
      </c>
      <c r="C71" s="9" t="inlineStr">
        <is>
          <t>Queso de alpage AOP (Beaufort, Castelmagno)</t>
        </is>
      </c>
      <c r="D71" s="9" t="inlineStr">
        <is>
          <t>g</t>
        </is>
      </c>
      <c r="E71" s="10" t="n">
        <v>1000</v>
      </c>
      <c r="F71" s="11" t="n">
        <v>1480</v>
      </c>
      <c r="G71" s="12">
        <f>IFERROR(F71/E71,0)</f>
        <v/>
      </c>
      <c r="H71">
        <f>COUNTIF(Ingredientes!$E:$E,C71)</f>
        <v/>
      </c>
      <c r="I71" s="6" t="n"/>
    </row>
    <row r="72">
      <c r="A72" s="9" t="inlineStr">
        <is>
          <t>I-068</t>
        </is>
      </c>
      <c r="B72" s="9" t="inlineStr">
        <is>
          <t>Quesos de pasta dura de vaca</t>
        </is>
      </c>
      <c r="C72" s="9" t="inlineStr">
        <is>
          <t>Gouda añejo Boerenkaas 24 meses</t>
        </is>
      </c>
      <c r="D72" s="9" t="inlineStr">
        <is>
          <t>g</t>
        </is>
      </c>
      <c r="E72" s="10" t="n">
        <v>1000</v>
      </c>
      <c r="F72" s="11" t="n">
        <v>920</v>
      </c>
      <c r="G72" s="12">
        <f>IFERROR(F72/E72,0)</f>
        <v/>
      </c>
      <c r="H72">
        <f>COUNTIF(Ingredientes!$E:$E,C72)</f>
        <v/>
      </c>
      <c r="I72" s="6" t="n"/>
    </row>
    <row r="73">
      <c r="A73" s="9" t="inlineStr">
        <is>
          <t>I-069</t>
        </is>
      </c>
      <c r="B73" s="9" t="inlineStr">
        <is>
          <t>Quesos de pasta dura de vaca</t>
        </is>
      </c>
      <c r="C73" s="9" t="inlineStr">
        <is>
          <t>Cheddar vintage de granja</t>
        </is>
      </c>
      <c r="D73" s="9" t="inlineStr">
        <is>
          <t>g</t>
        </is>
      </c>
      <c r="E73" s="10" t="n">
        <v>1000</v>
      </c>
      <c r="F73" s="11" t="n">
        <v>880</v>
      </c>
      <c r="G73" s="12">
        <f>IFERROR(F73/E73,0)</f>
        <v/>
      </c>
      <c r="H73">
        <f>COUNTIF(Ingredientes!$E:$E,C73)</f>
        <v/>
      </c>
      <c r="I73" s="6" t="n"/>
    </row>
    <row r="74">
      <c r="A74" s="9" t="inlineStr">
        <is>
          <t>I-070</t>
        </is>
      </c>
      <c r="B74" s="9" t="inlineStr">
        <is>
          <t>Quesos de pasta dura de vaca</t>
        </is>
      </c>
      <c r="C74" s="9" t="inlineStr">
        <is>
          <t>Queso alpino stagionato (Piave, Montasio, Asiago)</t>
        </is>
      </c>
      <c r="D74" s="9" t="inlineStr">
        <is>
          <t>g</t>
        </is>
      </c>
      <c r="E74" s="10" t="n">
        <v>1000</v>
      </c>
      <c r="F74" s="11" t="n">
        <v>780</v>
      </c>
      <c r="G74" s="12">
        <f>IFERROR(F74/E74,0)</f>
        <v/>
      </c>
      <c r="H74">
        <f>COUNTIF(Ingredientes!$E:$E,C74)</f>
        <v/>
      </c>
      <c r="I74" s="6" t="n"/>
    </row>
    <row r="75">
      <c r="A75" s="9" t="inlineStr">
        <is>
          <t>I-071</t>
        </is>
      </c>
      <c r="B75" s="9" t="inlineStr">
        <is>
          <t>Quesos de pasta prensada</t>
        </is>
      </c>
      <c r="C75" s="9" t="inlineStr">
        <is>
          <t>Mahón-Menorca DOP curado</t>
        </is>
      </c>
      <c r="D75" s="9" t="inlineStr">
        <is>
          <t>g</t>
        </is>
      </c>
      <c r="E75" s="10" t="n">
        <v>1000</v>
      </c>
      <c r="F75" s="11" t="n">
        <v>680</v>
      </c>
      <c r="G75" s="12">
        <f>IFERROR(F75/E75,0)</f>
        <v/>
      </c>
      <c r="H75">
        <f>COUNTIF(Ingredientes!$E:$E,C75)</f>
        <v/>
      </c>
      <c r="I75" s="6" t="n"/>
    </row>
    <row r="76">
      <c r="A76" s="9" t="inlineStr">
        <is>
          <t>I-072</t>
        </is>
      </c>
      <c r="B76" s="9" t="inlineStr">
        <is>
          <t>Quesos de pasta prensada</t>
        </is>
      </c>
      <c r="C76" s="9" t="inlineStr">
        <is>
          <t>Queso de cabra prensado semiduro (Garrotxa, Payoyo, Ibores)</t>
        </is>
      </c>
      <c r="D76" s="9" t="inlineStr">
        <is>
          <t>g</t>
        </is>
      </c>
      <c r="E76" s="10" t="n">
        <v>1000</v>
      </c>
      <c r="F76" s="11" t="n">
        <v>820</v>
      </c>
      <c r="G76" s="12">
        <f>IFERROR(F76/E76,0)</f>
        <v/>
      </c>
      <c r="H76">
        <f>COUNTIF(Ingredientes!$E:$E,C76)</f>
        <v/>
      </c>
      <c r="I76" s="6" t="n"/>
    </row>
    <row r="77">
      <c r="A77" s="9" t="inlineStr">
        <is>
          <t>I-073</t>
        </is>
      </c>
      <c r="B77" s="9" t="inlineStr">
        <is>
          <t>Quesos de pasta prensada</t>
        </is>
      </c>
      <c r="C77" s="9" t="inlineStr">
        <is>
          <t>Tomme o Fontina DOP de montaña</t>
        </is>
      </c>
      <c r="D77" s="9" t="inlineStr">
        <is>
          <t>g</t>
        </is>
      </c>
      <c r="E77" s="10" t="n">
        <v>1000</v>
      </c>
      <c r="F77" s="11" t="n">
        <v>860</v>
      </c>
      <c r="G77" s="12">
        <f>IFERROR(F77/E77,0)</f>
        <v/>
      </c>
      <c r="H77">
        <f>COUNTIF(Ingredientes!$E:$E,C77)</f>
        <v/>
      </c>
      <c r="I77" s="6" t="n"/>
    </row>
    <row r="78">
      <c r="A78" s="9" t="inlineStr">
        <is>
          <t>I-074</t>
        </is>
      </c>
      <c r="B78" s="9" t="inlineStr">
        <is>
          <t>Quesos de pasta prensada</t>
        </is>
      </c>
      <c r="C78" s="9" t="inlineStr">
        <is>
          <t>Queso ahumado de pasta prensada (San Simón, Idiazábal ahumado)</t>
        </is>
      </c>
      <c r="D78" s="9" t="inlineStr">
        <is>
          <t>g</t>
        </is>
      </c>
      <c r="E78" s="10" t="n">
        <v>1000</v>
      </c>
      <c r="F78" s="11" t="n">
        <v>660</v>
      </c>
      <c r="G78" s="12">
        <f>IFERROR(F78/E78,0)</f>
        <v/>
      </c>
      <c r="H78">
        <f>COUNTIF(Ingredientes!$E:$E,C78)</f>
        <v/>
      </c>
      <c r="I78" s="6" t="n"/>
    </row>
    <row r="79">
      <c r="A79" s="9" t="inlineStr">
        <is>
          <t>I-075</t>
        </is>
      </c>
      <c r="B79" s="9" t="inlineStr">
        <is>
          <t>Quesos de pasta prensada</t>
        </is>
      </c>
      <c r="C79" s="9" t="inlineStr">
        <is>
          <t>Queso de corteza lavada de montaña (Morbier, Saint-Nectaire, Reblochon)</t>
        </is>
      </c>
      <c r="D79" s="9" t="inlineStr">
        <is>
          <t>g</t>
        </is>
      </c>
      <c r="E79" s="10" t="n">
        <v>1000</v>
      </c>
      <c r="F79" s="11" t="n">
        <v>980</v>
      </c>
      <c r="G79" s="12">
        <f>IFERROR(F79/E79,0)</f>
        <v/>
      </c>
      <c r="H79">
        <f>COUNTIF(Ingredientes!$E:$E,C79)</f>
        <v/>
      </c>
      <c r="I79" s="6" t="n"/>
    </row>
    <row r="80">
      <c r="A80" s="9" t="inlineStr">
        <is>
          <t>I-076</t>
        </is>
      </c>
      <c r="B80" s="9" t="inlineStr">
        <is>
          <t>Quesos de pasta prensada</t>
        </is>
      </c>
      <c r="C80" s="9" t="inlineStr">
        <is>
          <t>Queso de majada de leche mezclada (Gamonéu, Flor de Guía)</t>
        </is>
      </c>
      <c r="D80" s="9" t="inlineStr">
        <is>
          <t>g</t>
        </is>
      </c>
      <c r="E80" s="10" t="n">
        <v>1000</v>
      </c>
      <c r="F80" s="11" t="n">
        <v>1180</v>
      </c>
      <c r="G80" s="12">
        <f>IFERROR(F80/E80,0)</f>
        <v/>
      </c>
      <c r="H80">
        <f>COUNTIF(Ingredientes!$E:$E,C80)</f>
        <v/>
      </c>
      <c r="I80" s="6" t="n"/>
    </row>
    <row r="81">
      <c r="A81" s="9" t="inlineStr">
        <is>
          <t>I-077</t>
        </is>
      </c>
      <c r="B81" s="9" t="inlineStr">
        <is>
          <t>Quesos de pasta prensada</t>
        </is>
      </c>
      <c r="C81" s="9" t="inlineStr">
        <is>
          <t>Queso provolone o gouda ahumado comercial</t>
        </is>
      </c>
      <c r="D81" s="9" t="inlineStr">
        <is>
          <t>g</t>
        </is>
      </c>
      <c r="E81" s="10" t="n">
        <v>1000</v>
      </c>
      <c r="F81" s="11" t="n">
        <v>420</v>
      </c>
      <c r="G81" s="12">
        <f>IFERROR(F81/E81,0)</f>
        <v/>
      </c>
      <c r="H81">
        <f>COUNTIF(Ingredientes!$E:$E,C81)</f>
        <v/>
      </c>
      <c r="I81" s="6" t="n"/>
    </row>
    <row r="82">
      <c r="A82" s="9" t="inlineStr">
        <is>
          <t>I-078</t>
        </is>
      </c>
      <c r="B82" s="9" t="inlineStr">
        <is>
          <t>Quesos de pasta prensada</t>
        </is>
      </c>
      <c r="C82" s="9" t="inlineStr">
        <is>
          <t>Queso manchego mexicano prensado o de bola</t>
        </is>
      </c>
      <c r="D82" s="9" t="inlineStr">
        <is>
          <t>g</t>
        </is>
      </c>
      <c r="E82" s="10" t="n">
        <v>1000</v>
      </c>
      <c r="F82" s="11" t="n">
        <v>285</v>
      </c>
      <c r="G82" s="12">
        <f>IFERROR(F82/E82,0)</f>
        <v/>
      </c>
      <c r="H82">
        <f>COUNTIF(Ingredientes!$E:$E,C82)</f>
        <v/>
      </c>
      <c r="I82" s="6" t="n"/>
    </row>
    <row r="83">
      <c r="A83" s="9" t="inlineStr">
        <is>
          <t>I-079</t>
        </is>
      </c>
      <c r="B83" s="9" t="inlineStr">
        <is>
          <t>Quesos de pasta prensada</t>
        </is>
      </c>
      <c r="C83" s="9" t="inlineStr">
        <is>
          <t>Queso añejo, cotija o de cuadro seco</t>
        </is>
      </c>
      <c r="D83" s="9" t="inlineStr">
        <is>
          <t>g</t>
        </is>
      </c>
      <c r="E83" s="10" t="n">
        <v>1000</v>
      </c>
      <c r="F83" s="11" t="n">
        <v>350</v>
      </c>
      <c r="G83" s="12">
        <f>IFERROR(F83/E83,0)</f>
        <v/>
      </c>
      <c r="H83">
        <f>COUNTIF(Ingredientes!$E:$E,C83)</f>
        <v/>
      </c>
      <c r="I83" s="6" t="n"/>
    </row>
    <row r="84">
      <c r="A84" s="9" t="inlineStr">
        <is>
          <t>I-080</t>
        </is>
      </c>
      <c r="B84" s="9" t="inlineStr">
        <is>
          <t>Quesos de pasta prensada</t>
        </is>
      </c>
      <c r="C84" s="9" t="inlineStr">
        <is>
          <t>Queso adobera, asadero o botanero</t>
        </is>
      </c>
      <c r="D84" s="9" t="inlineStr">
        <is>
          <t>g</t>
        </is>
      </c>
      <c r="E84" s="10" t="n">
        <v>1000</v>
      </c>
      <c r="F84" s="11" t="n">
        <v>240</v>
      </c>
      <c r="G84" s="12">
        <f>IFERROR(F84/E84,0)</f>
        <v/>
      </c>
      <c r="H84">
        <f>COUNTIF(Ingredientes!$E:$E,C84)</f>
        <v/>
      </c>
      <c r="I84" s="6" t="n"/>
    </row>
    <row r="85">
      <c r="A85" s="9" t="inlineStr">
        <is>
          <t>I-081</t>
        </is>
      </c>
      <c r="B85" s="9" t="inlineStr">
        <is>
          <t>Quesos de pasta prensada</t>
        </is>
      </c>
      <c r="C85" s="9" t="inlineStr">
        <is>
          <t>Queso mexicano de cava o de guarda artesanal</t>
        </is>
      </c>
      <c r="D85" s="9" t="inlineStr">
        <is>
          <t>g</t>
        </is>
      </c>
      <c r="E85" s="10" t="n">
        <v>1000</v>
      </c>
      <c r="F85" s="11" t="n">
        <v>560</v>
      </c>
      <c r="G85" s="12">
        <f>IFERROR(F85/E85,0)</f>
        <v/>
      </c>
      <c r="H85">
        <f>COUNTIF(Ingredientes!$E:$E,C85)</f>
        <v/>
      </c>
      <c r="I85" s="6" t="n"/>
    </row>
    <row r="86">
      <c r="A86" s="9" t="inlineStr">
        <is>
          <t>I-082</t>
        </is>
      </c>
      <c r="B86" s="9" t="inlineStr">
        <is>
          <t>Quesos de pasta blanda</t>
        </is>
      </c>
      <c r="C86" s="9" t="inlineStr">
        <is>
          <t>Brie de Meaux o Camembert de Normandie AOP</t>
        </is>
      </c>
      <c r="D86" s="9" t="inlineStr">
        <is>
          <t>g</t>
        </is>
      </c>
      <c r="E86" s="10" t="n">
        <v>1000</v>
      </c>
      <c r="F86" s="11" t="n">
        <v>760</v>
      </c>
      <c r="G86" s="12">
        <f>IFERROR(F86/E86,0)</f>
        <v/>
      </c>
      <c r="H86">
        <f>COUNTIF(Ingredientes!$E:$E,C86)</f>
        <v/>
      </c>
      <c r="I86" s="6" t="n"/>
    </row>
    <row r="87">
      <c r="A87" s="9" t="inlineStr">
        <is>
          <t>I-083</t>
        </is>
      </c>
      <c r="B87" s="9" t="inlineStr">
        <is>
          <t>Quesos de pasta blanda</t>
        </is>
      </c>
      <c r="C87" s="9" t="inlineStr">
        <is>
          <t>Triple crema AOP (Brillat-Savarin, trufado)</t>
        </is>
      </c>
      <c r="D87" s="9" t="inlineStr">
        <is>
          <t>g</t>
        </is>
      </c>
      <c r="E87" s="10" t="n">
        <v>500</v>
      </c>
      <c r="F87" s="11" t="n">
        <v>580</v>
      </c>
      <c r="G87" s="12">
        <f>IFERROR(F87/E87,0)</f>
        <v/>
      </c>
      <c r="H87">
        <f>COUNTIF(Ingredientes!$E:$E,C87)</f>
        <v/>
      </c>
      <c r="I87" s="6" t="n"/>
    </row>
    <row r="88">
      <c r="A88" s="9" t="inlineStr">
        <is>
          <t>I-084</t>
        </is>
      </c>
      <c r="B88" s="9" t="inlineStr">
        <is>
          <t>Quesos de pasta blanda</t>
        </is>
      </c>
      <c r="C88" s="9" t="inlineStr">
        <is>
          <t>Queso de corteza lavada intensa (Époisses, Munster, Livarot, Pont-l'Évêque)</t>
        </is>
      </c>
      <c r="D88" s="9" t="inlineStr">
        <is>
          <t>g</t>
        </is>
      </c>
      <c r="E88" s="10" t="n">
        <v>500</v>
      </c>
      <c r="F88" s="11" t="n">
        <v>420</v>
      </c>
      <c r="G88" s="12">
        <f>IFERROR(F88/E88,0)</f>
        <v/>
      </c>
      <c r="H88">
        <f>COUNTIF(Ingredientes!$E:$E,C88)</f>
        <v/>
      </c>
      <c r="I88" s="6" t="n"/>
    </row>
    <row r="89">
      <c r="A89" s="9" t="inlineStr">
        <is>
          <t>I-085</t>
        </is>
      </c>
      <c r="B89" s="9" t="inlineStr">
        <is>
          <t>Quesos de pasta blanda</t>
        </is>
      </c>
      <c r="C89" s="9" t="inlineStr">
        <is>
          <t>Taleggio DOP di grotta</t>
        </is>
      </c>
      <c r="D89" s="9" t="inlineStr">
        <is>
          <t>g</t>
        </is>
      </c>
      <c r="E89" s="10" t="n">
        <v>1000</v>
      </c>
      <c r="F89" s="11" t="n">
        <v>620</v>
      </c>
      <c r="G89" s="12">
        <f>IFERROR(F89/E89,0)</f>
        <v/>
      </c>
      <c r="H89">
        <f>COUNTIF(Ingredientes!$E:$E,C89)</f>
        <v/>
      </c>
      <c r="I89" s="6" t="n"/>
    </row>
    <row r="90">
      <c r="A90" s="9" t="inlineStr">
        <is>
          <t>I-086</t>
        </is>
      </c>
      <c r="B90" s="9" t="inlineStr">
        <is>
          <t>Quesos de pasta blanda</t>
        </is>
      </c>
      <c r="C90" s="9" t="inlineStr">
        <is>
          <t>Queso de cuajada dulce (Squacquerone, Robiola, Arzúa-Ulloa)</t>
        </is>
      </c>
      <c r="D90" s="9" t="inlineStr">
        <is>
          <t>g</t>
        </is>
      </c>
      <c r="E90" s="10" t="n">
        <v>500</v>
      </c>
      <c r="F90" s="11" t="n">
        <v>340</v>
      </c>
      <c r="G90" s="12">
        <f>IFERROR(F90/E90,0)</f>
        <v/>
      </c>
      <c r="H90">
        <f>COUNTIF(Ingredientes!$E:$E,C90)</f>
        <v/>
      </c>
      <c r="I90" s="6" t="n"/>
    </row>
    <row r="91">
      <c r="A91" s="9" t="inlineStr">
        <is>
          <t>I-087</t>
        </is>
      </c>
      <c r="B91" s="9" t="inlineStr">
        <is>
          <t>Quesos de pasta blanda</t>
        </is>
      </c>
      <c r="C91" s="9" t="inlineStr">
        <is>
          <t>Torta de cuajo vegetal DOP (Casar, La Serena)</t>
        </is>
      </c>
      <c r="D91" s="9" t="inlineStr">
        <is>
          <t>g</t>
        </is>
      </c>
      <c r="E91" s="10" t="n">
        <v>1000</v>
      </c>
      <c r="F91" s="11" t="n">
        <v>1180</v>
      </c>
      <c r="G91" s="12">
        <f>IFERROR(F91/E91,0)</f>
        <v/>
      </c>
      <c r="H91">
        <f>COUNTIF(Ingredientes!$E:$E,C91)</f>
        <v/>
      </c>
      <c r="I91" s="6" t="n"/>
    </row>
    <row r="92">
      <c r="A92" s="9" t="inlineStr">
        <is>
          <t>I-088</t>
        </is>
      </c>
      <c r="B92" s="9" t="inlineStr">
        <is>
          <t>Quesos de pasta blanda</t>
        </is>
      </c>
      <c r="C92" s="9" t="inlineStr">
        <is>
          <t>Queso de cabra fresco láctico (chèvre, Banon, cendré, rulo)</t>
        </is>
      </c>
      <c r="D92" s="9" t="inlineStr">
        <is>
          <t>g</t>
        </is>
      </c>
      <c r="E92" s="10" t="n">
        <v>500</v>
      </c>
      <c r="F92" s="11" t="n">
        <v>320</v>
      </c>
      <c r="G92" s="12">
        <f>IFERROR(F92/E92,0)</f>
        <v/>
      </c>
      <c r="H92">
        <f>COUNTIF(Ingredientes!$E:$E,C92)</f>
        <v/>
      </c>
      <c r="I92" s="6" t="n"/>
    </row>
    <row r="93">
      <c r="A93" s="9" t="inlineStr">
        <is>
          <t>I-089</t>
        </is>
      </c>
      <c r="B93" s="9" t="inlineStr">
        <is>
          <t>Quesos de pasta blanda</t>
        </is>
      </c>
      <c r="C93" s="9" t="inlineStr">
        <is>
          <t>Caprino AOP de ceniza (Sainte-Maure, Valençay)</t>
        </is>
      </c>
      <c r="D93" s="9" t="inlineStr">
        <is>
          <t>g</t>
        </is>
      </c>
      <c r="E93" s="10" t="n">
        <v>250</v>
      </c>
      <c r="F93" s="11" t="n">
        <v>265</v>
      </c>
      <c r="G93" s="12">
        <f>IFERROR(F93/E93,0)</f>
        <v/>
      </c>
      <c r="H93">
        <f>COUNTIF(Ingredientes!$E:$E,C93)</f>
        <v/>
      </c>
      <c r="I93" s="6" t="n"/>
    </row>
    <row r="94">
      <c r="A94" s="9" t="inlineStr">
        <is>
          <t>I-090</t>
        </is>
      </c>
      <c r="B94" s="9" t="inlineStr">
        <is>
          <t>Quesos de pasta blanda</t>
        </is>
      </c>
      <c r="C94" s="9" t="inlineStr">
        <is>
          <t>Queso fresco de rancho prensado o molido</t>
        </is>
      </c>
      <c r="D94" s="9" t="inlineStr">
        <is>
          <t>g</t>
        </is>
      </c>
      <c r="E94" s="10" t="n">
        <v>1000</v>
      </c>
      <c r="F94" s="11" t="n">
        <v>180</v>
      </c>
      <c r="G94" s="12">
        <f>IFERROR(F94/E94,0)</f>
        <v/>
      </c>
      <c r="H94">
        <f>COUNTIF(Ingredientes!$E:$E,C94)</f>
        <v/>
      </c>
      <c r="I94" s="6" t="n"/>
    </row>
    <row r="95">
      <c r="A95" s="9" t="inlineStr">
        <is>
          <t>I-091</t>
        </is>
      </c>
      <c r="B95" s="9" t="inlineStr">
        <is>
          <t>Quesos de pasta blanda</t>
        </is>
      </c>
      <c r="C95" s="9" t="inlineStr">
        <is>
          <t>Queso doble crema o crema de rancho</t>
        </is>
      </c>
      <c r="D95" s="9" t="inlineStr">
        <is>
          <t>g</t>
        </is>
      </c>
      <c r="E95" s="10" t="n">
        <v>1000</v>
      </c>
      <c r="F95" s="11" t="n">
        <v>260</v>
      </c>
      <c r="G95" s="12">
        <f>IFERROR(F95/E95,0)</f>
        <v/>
      </c>
      <c r="H95">
        <f>COUNTIF(Ingredientes!$E:$E,C95)</f>
        <v/>
      </c>
      <c r="I95" s="6" t="n"/>
    </row>
    <row r="96">
      <c r="A96" s="9" t="inlineStr">
        <is>
          <t>I-092</t>
        </is>
      </c>
      <c r="B96" s="9" t="inlineStr">
        <is>
          <t>Quesos azules</t>
        </is>
      </c>
      <c r="C96" s="9" t="inlineStr">
        <is>
          <t>Roquefort AOP de cueva</t>
        </is>
      </c>
      <c r="D96" s="9" t="inlineStr">
        <is>
          <t>g</t>
        </is>
      </c>
      <c r="E96" s="10" t="n">
        <v>500</v>
      </c>
      <c r="F96" s="11" t="n">
        <v>490</v>
      </c>
      <c r="G96" s="12">
        <f>IFERROR(F96/E96,0)</f>
        <v/>
      </c>
      <c r="H96">
        <f>COUNTIF(Ingredientes!$E:$E,C96)</f>
        <v/>
      </c>
      <c r="I96" s="6" t="n"/>
    </row>
    <row r="97">
      <c r="A97" s="9" t="inlineStr">
        <is>
          <t>I-093</t>
        </is>
      </c>
      <c r="B97" s="9" t="inlineStr">
        <is>
          <t>Quesos azules</t>
        </is>
      </c>
      <c r="C97" s="9" t="inlineStr">
        <is>
          <t>Cabrales DOP o azul de leche cruda española</t>
        </is>
      </c>
      <c r="D97" s="9" t="inlineStr">
        <is>
          <t>g</t>
        </is>
      </c>
      <c r="E97" s="10" t="n">
        <v>500</v>
      </c>
      <c r="F97" s="11" t="n">
        <v>420</v>
      </c>
      <c r="G97" s="12">
        <f>IFERROR(F97/E97,0)</f>
        <v/>
      </c>
      <c r="H97">
        <f>COUNTIF(Ingredientes!$E:$E,C97)</f>
        <v/>
      </c>
      <c r="I97" s="6" t="n"/>
    </row>
    <row r="98">
      <c r="A98" s="9" t="inlineStr">
        <is>
          <t>I-094</t>
        </is>
      </c>
      <c r="B98" s="9" t="inlineStr">
        <is>
          <t>Quesos azules</t>
        </is>
      </c>
      <c r="C98" s="9" t="inlineStr">
        <is>
          <t>Gorgonzola DOP dolce o piccante</t>
        </is>
      </c>
      <c r="D98" s="9" t="inlineStr">
        <is>
          <t>g</t>
        </is>
      </c>
      <c r="E98" s="10" t="n">
        <v>1000</v>
      </c>
      <c r="F98" s="11" t="n">
        <v>640</v>
      </c>
      <c r="G98" s="12">
        <f>IFERROR(F98/E98,0)</f>
        <v/>
      </c>
      <c r="H98">
        <f>COUNTIF(Ingredientes!$E:$E,C98)</f>
        <v/>
      </c>
      <c r="I98" s="6" t="n"/>
    </row>
    <row r="99">
      <c r="A99" s="9" t="inlineStr">
        <is>
          <t>I-095</t>
        </is>
      </c>
      <c r="B99" s="9" t="inlineStr">
        <is>
          <t>Quesos azules</t>
        </is>
      </c>
      <c r="C99" s="9" t="inlineStr">
        <is>
          <t>Stilton DOP o azul inglés de granja</t>
        </is>
      </c>
      <c r="D99" s="9" t="inlineStr">
        <is>
          <t>g</t>
        </is>
      </c>
      <c r="E99" s="10" t="n">
        <v>500</v>
      </c>
      <c r="F99" s="11" t="n">
        <v>460</v>
      </c>
      <c r="G99" s="12">
        <f>IFERROR(F99/E99,0)</f>
        <v/>
      </c>
      <c r="H99">
        <f>COUNTIF(Ingredientes!$E:$E,C99)</f>
        <v/>
      </c>
      <c r="I99" s="6" t="n"/>
    </row>
    <row r="100">
      <c r="A100" s="9" t="inlineStr">
        <is>
          <t>I-096</t>
        </is>
      </c>
      <c r="B100" s="9" t="inlineStr">
        <is>
          <t>Quesos de pasta hilada</t>
        </is>
      </c>
      <c r="C100" s="9" t="inlineStr">
        <is>
          <t>Mozzarella di Bufala Campana DOP</t>
        </is>
      </c>
      <c r="D100" s="9" t="inlineStr">
        <is>
          <t>g</t>
        </is>
      </c>
      <c r="E100" s="10" t="n">
        <v>500</v>
      </c>
      <c r="F100" s="11" t="n">
        <v>265</v>
      </c>
      <c r="G100" s="12">
        <f>IFERROR(F100/E100,0)</f>
        <v/>
      </c>
      <c r="H100">
        <f>COUNTIF(Ingredientes!$E:$E,C100)</f>
        <v/>
      </c>
      <c r="I100" s="6" t="n"/>
    </row>
    <row r="101">
      <c r="A101" s="9" t="inlineStr">
        <is>
          <t>I-097</t>
        </is>
      </c>
      <c r="B101" s="9" t="inlineStr">
        <is>
          <t>Quesos de pasta hilada</t>
        </is>
      </c>
      <c r="C101" s="9" t="inlineStr">
        <is>
          <t>Caciocavallo o Provolone DOP stagionato</t>
        </is>
      </c>
      <c r="D101" s="9" t="inlineStr">
        <is>
          <t>g</t>
        </is>
      </c>
      <c r="E101" s="10" t="n">
        <v>1000</v>
      </c>
      <c r="F101" s="11" t="n">
        <v>720</v>
      </c>
      <c r="G101" s="12">
        <f>IFERROR(F101/E101,0)</f>
        <v/>
      </c>
      <c r="H101">
        <f>COUNTIF(Ingredientes!$E:$E,C101)</f>
        <v/>
      </c>
      <c r="I101" s="6" t="n"/>
    </row>
    <row r="102">
      <c r="A102" s="9" t="inlineStr">
        <is>
          <t>I-098</t>
        </is>
      </c>
      <c r="B102" s="9" t="inlineStr">
        <is>
          <t>Quesos de pasta hilada</t>
        </is>
      </c>
      <c r="C102" s="9" t="inlineStr">
        <is>
          <t>Provola o pasta hilada ahumada</t>
        </is>
      </c>
      <c r="D102" s="9" t="inlineStr">
        <is>
          <t>g</t>
        </is>
      </c>
      <c r="E102" s="10" t="n">
        <v>1000</v>
      </c>
      <c r="F102" s="11" t="n">
        <v>420</v>
      </c>
      <c r="G102" s="12">
        <f>IFERROR(F102/E102,0)</f>
        <v/>
      </c>
      <c r="H102">
        <f>COUNTIF(Ingredientes!$E:$E,C102)</f>
        <v/>
      </c>
      <c r="I102" s="6" t="n"/>
    </row>
    <row r="103">
      <c r="A103" s="9" t="inlineStr">
        <is>
          <t>I-099</t>
        </is>
      </c>
      <c r="B103" s="9" t="inlineStr">
        <is>
          <t>Quesos de pasta hilada</t>
        </is>
      </c>
      <c r="C103" s="9" t="inlineStr">
        <is>
          <t>Quesillo de Etla, Oaxaca o queso de hebra</t>
        </is>
      </c>
      <c r="D103" s="9" t="inlineStr">
        <is>
          <t>g</t>
        </is>
      </c>
      <c r="E103" s="10" t="n">
        <v>1000</v>
      </c>
      <c r="F103" s="11" t="n">
        <v>220</v>
      </c>
      <c r="G103" s="12">
        <f>IFERROR(F103/E103,0)</f>
        <v/>
      </c>
      <c r="H103">
        <f>COUNTIF(Ingredientes!$E:$E,C103)</f>
        <v/>
      </c>
      <c r="I103" s="6" t="n"/>
    </row>
    <row r="104">
      <c r="A104" s="9" t="inlineStr">
        <is>
          <t>I-100</t>
        </is>
      </c>
      <c r="B104" s="9" t="inlineStr">
        <is>
          <t>Panes y crujientes</t>
        </is>
      </c>
      <c r="C104" s="9" t="inlineStr">
        <is>
          <t>Picos, regañás o colines andaluces</t>
        </is>
      </c>
      <c r="D104" s="9" t="inlineStr">
        <is>
          <t>g</t>
        </is>
      </c>
      <c r="E104" s="10" t="n">
        <v>500</v>
      </c>
      <c r="F104" s="11" t="n">
        <v>98</v>
      </c>
      <c r="G104" s="12">
        <f>IFERROR(F104/E104,0)</f>
        <v/>
      </c>
      <c r="H104">
        <f>COUNTIF(Ingredientes!$E:$E,C104)</f>
        <v/>
      </c>
      <c r="I104" s="6" t="n"/>
    </row>
    <row r="105">
      <c r="A105" s="9" t="inlineStr">
        <is>
          <t>I-101</t>
        </is>
      </c>
      <c r="B105" s="9" t="inlineStr">
        <is>
          <t>Panes y crujientes</t>
        </is>
      </c>
      <c r="C105" s="9" t="inlineStr">
        <is>
          <t>Pan artesanal de masa madre (cristal, payés, candeal, hogaza)</t>
        </is>
      </c>
      <c r="D105" s="9" t="inlineStr">
        <is>
          <t>g</t>
        </is>
      </c>
      <c r="E105" s="10" t="n">
        <v>1000</v>
      </c>
      <c r="F105" s="11" t="n">
        <v>98</v>
      </c>
      <c r="G105" s="12">
        <f>IFERROR(F105/E105,0)</f>
        <v/>
      </c>
      <c r="H105">
        <f>COUNTIF(Ingredientes!$E:$E,C105)</f>
        <v/>
      </c>
      <c r="I105" s="6" t="n"/>
    </row>
    <row r="106">
      <c r="A106" s="9" t="inlineStr">
        <is>
          <t>I-102</t>
        </is>
      </c>
      <c r="B106" s="9" t="inlineStr">
        <is>
          <t>Panes y crujientes</t>
        </is>
      </c>
      <c r="C106" s="9" t="inlineStr">
        <is>
          <t>Pan de centeno, espelta o escanda artesanal</t>
        </is>
      </c>
      <c r="D106" s="9" t="inlineStr">
        <is>
          <t>g</t>
        </is>
      </c>
      <c r="E106" s="10" t="n">
        <v>1000</v>
      </c>
      <c r="F106" s="11" t="n">
        <v>125</v>
      </c>
      <c r="G106" s="12">
        <f>IFERROR(F106/E106,0)</f>
        <v/>
      </c>
      <c r="H106">
        <f>COUNTIF(Ingredientes!$E:$E,C106)</f>
        <v/>
      </c>
      <c r="I106" s="6" t="n"/>
    </row>
    <row r="107">
      <c r="A107" s="9" t="inlineStr">
        <is>
          <t>I-103</t>
        </is>
      </c>
      <c r="B107" s="9" t="inlineStr">
        <is>
          <t>Panes y crujientes</t>
        </is>
      </c>
      <c r="C107" s="9" t="inlineStr">
        <is>
          <t>Baguette de tradición francesa</t>
        </is>
      </c>
      <c r="D107" s="9" t="inlineStr">
        <is>
          <t>pz</t>
        </is>
      </c>
      <c r="E107" s="10" t="n">
        <v>1</v>
      </c>
      <c r="F107" s="11" t="n">
        <v>45</v>
      </c>
      <c r="G107" s="12">
        <f>IFERROR(F107/E107,0)</f>
        <v/>
      </c>
      <c r="H107">
        <f>COUNTIF(Ingredientes!$E:$E,C107)</f>
        <v/>
      </c>
      <c r="I107" s="6" t="n"/>
    </row>
    <row r="108">
      <c r="A108" s="9" t="inlineStr">
        <is>
          <t>I-104</t>
        </is>
      </c>
      <c r="B108" s="9" t="inlineStr">
        <is>
          <t>Panes y crujientes</t>
        </is>
      </c>
      <c r="C108" s="9" t="inlineStr">
        <is>
          <t>Pan brioche artesanal</t>
        </is>
      </c>
      <c r="D108" s="9" t="inlineStr">
        <is>
          <t>g</t>
        </is>
      </c>
      <c r="E108" s="10" t="n">
        <v>1000</v>
      </c>
      <c r="F108" s="11" t="n">
        <v>185</v>
      </c>
      <c r="G108" s="12">
        <f>IFERROR(F108/E108,0)</f>
        <v/>
      </c>
      <c r="H108">
        <f>COUNTIF(Ingredientes!$E:$E,C108)</f>
        <v/>
      </c>
      <c r="I108" s="6" t="n"/>
    </row>
    <row r="109">
      <c r="A109" s="9" t="inlineStr">
        <is>
          <t>I-105</t>
        </is>
      </c>
      <c r="B109" s="9" t="inlineStr">
        <is>
          <t>Panes y crujientes</t>
        </is>
      </c>
      <c r="C109" s="9" t="inlineStr">
        <is>
          <t>Grissini torinesi o rubatà artesanales</t>
        </is>
      </c>
      <c r="D109" s="9" t="inlineStr">
        <is>
          <t>g</t>
        </is>
      </c>
      <c r="E109" s="10" t="n">
        <v>250</v>
      </c>
      <c r="F109" s="11" t="n">
        <v>98</v>
      </c>
      <c r="G109" s="12">
        <f>IFERROR(F109/E109,0)</f>
        <v/>
      </c>
      <c r="H109">
        <f>COUNTIF(Ingredientes!$E:$E,C109)</f>
        <v/>
      </c>
      <c r="I109" s="6" t="n"/>
    </row>
    <row r="110">
      <c r="A110" s="9" t="inlineStr">
        <is>
          <t>I-106</t>
        </is>
      </c>
      <c r="B110" s="9" t="inlineStr">
        <is>
          <t>Panes y crujientes</t>
        </is>
      </c>
      <c r="C110" s="9" t="inlineStr">
        <is>
          <t>Crackers artesanales de semillas o masa madre</t>
        </is>
      </c>
      <c r="D110" s="9" t="inlineStr">
        <is>
          <t>g</t>
        </is>
      </c>
      <c r="E110" s="10" t="n">
        <v>200</v>
      </c>
      <c r="F110" s="11" t="n">
        <v>82</v>
      </c>
      <c r="G110" s="12">
        <f>IFERROR(F110/E110,0)</f>
        <v/>
      </c>
      <c r="H110">
        <f>COUNTIF(Ingredientes!$E:$E,C110)</f>
        <v/>
      </c>
      <c r="I110" s="6" t="n"/>
    </row>
    <row r="111">
      <c r="A111" s="9" t="inlineStr">
        <is>
          <t>I-107</t>
        </is>
      </c>
      <c r="B111" s="9" t="inlineStr">
        <is>
          <t>Panes y crujientes</t>
        </is>
      </c>
      <c r="C111" s="9" t="inlineStr">
        <is>
          <t>Taralli, bretzels o galleta salada tradicional</t>
        </is>
      </c>
      <c r="D111" s="9" t="inlineStr">
        <is>
          <t>g</t>
        </is>
      </c>
      <c r="E111" s="10" t="n">
        <v>250</v>
      </c>
      <c r="F111" s="11" t="n">
        <v>88</v>
      </c>
      <c r="G111" s="12">
        <f>IFERROR(F111/E111,0)</f>
        <v/>
      </c>
      <c r="H111">
        <f>COUNTIF(Ingredientes!$E:$E,C111)</f>
        <v/>
      </c>
      <c r="I111" s="6" t="n"/>
    </row>
    <row r="112">
      <c r="A112" s="9" t="inlineStr">
        <is>
          <t>I-108</t>
        </is>
      </c>
      <c r="B112" s="9" t="inlineStr">
        <is>
          <t>Panes y crujientes</t>
        </is>
      </c>
      <c r="C112" s="9" t="inlineStr">
        <is>
          <t>Pane carasau o pan plano crujiente</t>
        </is>
      </c>
      <c r="D112" s="9" t="inlineStr">
        <is>
          <t>g</t>
        </is>
      </c>
      <c r="E112" s="10" t="n">
        <v>250</v>
      </c>
      <c r="F112" s="11" t="n">
        <v>120</v>
      </c>
      <c r="G112" s="12">
        <f>IFERROR(F112/E112,0)</f>
        <v/>
      </c>
      <c r="H112">
        <f>COUNTIF(Ingredientes!$E:$E,C112)</f>
        <v/>
      </c>
      <c r="I112" s="6" t="n"/>
    </row>
    <row r="113">
      <c r="A113" s="9" t="inlineStr">
        <is>
          <t>I-109</t>
        </is>
      </c>
      <c r="B113" s="9" t="inlineStr">
        <is>
          <t>Panes y crujientes</t>
        </is>
      </c>
      <c r="C113" s="9" t="inlineStr">
        <is>
          <t>Galleta de avena, digestive o de mantequilla</t>
        </is>
      </c>
      <c r="D113" s="9" t="inlineStr">
        <is>
          <t>g</t>
        </is>
      </c>
      <c r="E113" s="10" t="n">
        <v>250</v>
      </c>
      <c r="F113" s="11" t="n">
        <v>72</v>
      </c>
      <c r="G113" s="12">
        <f>IFERROR(F113/E113,0)</f>
        <v/>
      </c>
      <c r="H113">
        <f>COUNTIF(Ingredientes!$E:$E,C113)</f>
        <v/>
      </c>
      <c r="I113" s="6" t="n"/>
    </row>
    <row r="114">
      <c r="A114" s="9" t="inlineStr">
        <is>
          <t>I-110</t>
        </is>
      </c>
      <c r="B114" s="9" t="inlineStr">
        <is>
          <t>Panes y crujientes</t>
        </is>
      </c>
      <c r="C114" s="9" t="inlineStr">
        <is>
          <t>Pan frito o focaccia delgada (gnocco fritto, schiacciata, fougasse)</t>
        </is>
      </c>
      <c r="D114" s="9" t="inlineStr">
        <is>
          <t>g</t>
        </is>
      </c>
      <c r="E114" s="10" t="n">
        <v>1000</v>
      </c>
      <c r="F114" s="11" t="n">
        <v>115</v>
      </c>
      <c r="G114" s="12">
        <f>IFERROR(F114/E114,0)</f>
        <v/>
      </c>
      <c r="H114">
        <f>COUNTIF(Ingredientes!$E:$E,C114)</f>
        <v/>
      </c>
      <c r="I114" s="6" t="n"/>
    </row>
    <row r="115">
      <c r="A115" s="9" t="inlineStr">
        <is>
          <t>I-111</t>
        </is>
      </c>
      <c r="B115" s="9" t="inlineStr">
        <is>
          <t>Panes y crujientes</t>
        </is>
      </c>
      <c r="C115" s="9" t="inlineStr">
        <is>
          <t>Totopos o tostaditas de maíz nixtamalizado</t>
        </is>
      </c>
      <c r="D115" s="9" t="inlineStr">
        <is>
          <t>g</t>
        </is>
      </c>
      <c r="E115" s="10" t="n">
        <v>500</v>
      </c>
      <c r="F115" s="11" t="n">
        <v>65</v>
      </c>
      <c r="G115" s="12">
        <f>IFERROR(F115/E115,0)</f>
        <v/>
      </c>
      <c r="H115">
        <f>COUNTIF(Ingredientes!$E:$E,C115)</f>
        <v/>
      </c>
      <c r="I115" s="6" t="n"/>
    </row>
    <row r="116">
      <c r="A116" s="9" t="inlineStr">
        <is>
          <t>I-112</t>
        </is>
      </c>
      <c r="B116" s="9" t="inlineStr">
        <is>
          <t>Panes y crujientes</t>
        </is>
      </c>
      <c r="C116" s="9" t="inlineStr">
        <is>
          <t>Tlayuda, tostada raspada o gordita de maíz</t>
        </is>
      </c>
      <c r="D116" s="9" t="inlineStr">
        <is>
          <t>pz</t>
        </is>
      </c>
      <c r="E116" s="10" t="n">
        <v>1</v>
      </c>
      <c r="F116" s="11" t="n">
        <v>9</v>
      </c>
      <c r="G116" s="12">
        <f>IFERROR(F116/E116,0)</f>
        <v/>
      </c>
      <c r="H116">
        <f>COUNTIF(Ingredientes!$E:$E,C116)</f>
        <v/>
      </c>
      <c r="I116" s="6" t="n"/>
    </row>
    <row r="117">
      <c r="A117" s="9" t="inlineStr">
        <is>
          <t>I-113</t>
        </is>
      </c>
      <c r="B117" s="9" t="inlineStr">
        <is>
          <t>Panes y crujientes</t>
        </is>
      </c>
      <c r="C117" s="9" t="inlineStr">
        <is>
          <t>Tortilla de harina sobaquera, marquesita o cucharita crujiente</t>
        </is>
      </c>
      <c r="D117" s="9" t="inlineStr">
        <is>
          <t>g</t>
        </is>
      </c>
      <c r="E117" s="10" t="n">
        <v>500</v>
      </c>
      <c r="F117" s="11" t="n">
        <v>72</v>
      </c>
      <c r="G117" s="12">
        <f>IFERROR(F117/E117,0)</f>
        <v/>
      </c>
      <c r="H117">
        <f>COUNTIF(Ingredientes!$E:$E,C117)</f>
        <v/>
      </c>
      <c r="I117" s="6" t="n"/>
    </row>
    <row r="118">
      <c r="A118" s="9" t="inlineStr">
        <is>
          <t>I-114</t>
        </is>
      </c>
      <c r="B118" s="9" t="inlineStr">
        <is>
          <t>Panes y crujientes</t>
        </is>
      </c>
      <c r="C118" s="9" t="inlineStr">
        <is>
          <t>Chip artesanal de plátano macho o de papa en AOVE</t>
        </is>
      </c>
      <c r="D118" s="9" t="inlineStr">
        <is>
          <t>g</t>
        </is>
      </c>
      <c r="E118" s="10" t="n">
        <v>500</v>
      </c>
      <c r="F118" s="11" t="n">
        <v>88</v>
      </c>
      <c r="G118" s="12">
        <f>IFERROR(F118/E118,0)</f>
        <v/>
      </c>
      <c r="H118">
        <f>COUNTIF(Ingredientes!$E:$E,C118)</f>
        <v/>
      </c>
      <c r="I118" s="6" t="n"/>
    </row>
    <row r="119">
      <c r="A119" s="9" t="inlineStr">
        <is>
          <t>I-115</t>
        </is>
      </c>
      <c r="B119" s="9" t="inlineStr">
        <is>
          <t>Panes y crujientes</t>
        </is>
      </c>
      <c r="C119" s="9" t="inlineStr">
        <is>
          <t>Pan de higo con almendra</t>
        </is>
      </c>
      <c r="D119" s="9" t="inlineStr">
        <is>
          <t>g</t>
        </is>
      </c>
      <c r="E119" s="10" t="n">
        <v>500</v>
      </c>
      <c r="F119" s="11" t="n">
        <v>180</v>
      </c>
      <c r="G119" s="12">
        <f>IFERROR(F119/E119,0)</f>
        <v/>
      </c>
      <c r="H119">
        <f>COUNTIF(Ingredientes!$E:$E,C119)</f>
        <v/>
      </c>
      <c r="I119" s="6" t="n"/>
    </row>
    <row r="120">
      <c r="A120" s="9" t="inlineStr">
        <is>
          <t>I-116</t>
        </is>
      </c>
      <c r="B120" s="9" t="inlineStr">
        <is>
          <t>Panes y crujientes</t>
        </is>
      </c>
      <c r="C120" s="9" t="inlineStr">
        <is>
          <t>Pan de especias o pain d'épices</t>
        </is>
      </c>
      <c r="D120" s="9" t="inlineStr">
        <is>
          <t>g</t>
        </is>
      </c>
      <c r="E120" s="10" t="n">
        <v>500</v>
      </c>
      <c r="F120" s="11" t="n">
        <v>155</v>
      </c>
      <c r="G120" s="12">
        <f>IFERROR(F120/E120,0)</f>
        <v/>
      </c>
      <c r="H120">
        <f>COUNTIF(Ingredientes!$E:$E,C120)</f>
        <v/>
      </c>
      <c r="I120" s="6" t="n"/>
    </row>
    <row r="121">
      <c r="A121" s="9" t="inlineStr">
        <is>
          <t>I-117</t>
        </is>
      </c>
      <c r="B121" s="9" t="inlineStr">
        <is>
          <t>Panes y crujientes</t>
        </is>
      </c>
      <c r="C121" s="9" t="inlineStr">
        <is>
          <t>Crujiente de polenta u hojaldre horneado</t>
        </is>
      </c>
      <c r="D121" s="9" t="inlineStr">
        <is>
          <t>g</t>
        </is>
      </c>
      <c r="E121" s="10" t="n">
        <v>500</v>
      </c>
      <c r="F121" s="11" t="n">
        <v>72</v>
      </c>
      <c r="G121" s="12">
        <f>IFERROR(F121/E121,0)</f>
        <v/>
      </c>
      <c r="H121">
        <f>COUNTIF(Ingredientes!$E:$E,C121)</f>
        <v/>
      </c>
      <c r="I121" s="6" t="n"/>
    </row>
    <row r="122">
      <c r="A122" s="9" t="inlineStr">
        <is>
          <t>I-118</t>
        </is>
      </c>
      <c r="B122" s="9" t="inlineStr">
        <is>
          <t>Frutos secos y semillas</t>
        </is>
      </c>
      <c r="C122" s="9" t="inlineStr">
        <is>
          <t>Almendra Marcona pelada y frita en AOVE</t>
        </is>
      </c>
      <c r="D122" s="9" t="inlineStr">
        <is>
          <t>g</t>
        </is>
      </c>
      <c r="E122" s="10" t="n">
        <v>500</v>
      </c>
      <c r="F122" s="11" t="n">
        <v>285</v>
      </c>
      <c r="G122" s="12">
        <f>IFERROR(F122/E122,0)</f>
        <v/>
      </c>
      <c r="H122">
        <f>COUNTIF(Ingredientes!$E:$E,C122)</f>
        <v/>
      </c>
      <c r="I122" s="6" t="n"/>
    </row>
    <row r="123">
      <c r="A123" s="9" t="inlineStr">
        <is>
          <t>I-119</t>
        </is>
      </c>
      <c r="B123" s="9" t="inlineStr">
        <is>
          <t>Frutos secos y semillas</t>
        </is>
      </c>
      <c r="C123" s="9" t="inlineStr">
        <is>
          <t>Almendra tostada con piel (Mallorca, Toritto, Provenza)</t>
        </is>
      </c>
      <c r="D123" s="9" t="inlineStr">
        <is>
          <t>g</t>
        </is>
      </c>
      <c r="E123" s="10" t="n">
        <v>500</v>
      </c>
      <c r="F123" s="11" t="n">
        <v>195</v>
      </c>
      <c r="G123" s="12">
        <f>IFERROR(F123/E123,0)</f>
        <v/>
      </c>
      <c r="H123">
        <f>COUNTIF(Ingredientes!$E:$E,C123)</f>
        <v/>
      </c>
      <c r="I123" s="6" t="n"/>
    </row>
    <row r="124">
      <c r="A124" s="9" t="inlineStr">
        <is>
          <t>I-120</t>
        </is>
      </c>
      <c r="B124" s="9" t="inlineStr">
        <is>
          <t>Frutos secos y semillas</t>
        </is>
      </c>
      <c r="C124" s="9" t="inlineStr">
        <is>
          <t>Nuez de Castilla o de nogal en mitades</t>
        </is>
      </c>
      <c r="D124" s="9" t="inlineStr">
        <is>
          <t>g</t>
        </is>
      </c>
      <c r="E124" s="10" t="n">
        <v>500</v>
      </c>
      <c r="F124" s="11" t="n">
        <v>230</v>
      </c>
      <c r="G124" s="12">
        <f>IFERROR(F124/E124,0)</f>
        <v/>
      </c>
      <c r="H124">
        <f>COUNTIF(Ingredientes!$E:$E,C124)</f>
        <v/>
      </c>
      <c r="I124" s="6" t="n"/>
    </row>
    <row r="125">
      <c r="A125" s="9" t="inlineStr">
        <is>
          <t>I-121</t>
        </is>
      </c>
      <c r="B125" s="9" t="inlineStr">
        <is>
          <t>Frutos secos y semillas</t>
        </is>
      </c>
      <c r="C125" s="9" t="inlineStr">
        <is>
          <t>Nuez fina de importación (Grenoble AOP, Périgord)</t>
        </is>
      </c>
      <c r="D125" s="9" t="inlineStr">
        <is>
          <t>g</t>
        </is>
      </c>
      <c r="E125" s="10" t="n">
        <v>500</v>
      </c>
      <c r="F125" s="11" t="n">
        <v>320</v>
      </c>
      <c r="G125" s="12">
        <f>IFERROR(F125/E125,0)</f>
        <v/>
      </c>
      <c r="H125">
        <f>COUNTIF(Ingredientes!$E:$E,C125)</f>
        <v/>
      </c>
      <c r="I125" s="6" t="n"/>
    </row>
    <row r="126">
      <c r="A126" s="9" t="inlineStr">
        <is>
          <t>I-122</t>
        </is>
      </c>
      <c r="B126" s="9" t="inlineStr">
        <is>
          <t>Frutos secos y semillas</t>
        </is>
      </c>
      <c r="C126" s="9" t="inlineStr">
        <is>
          <t>Avellana tostada (Reus DOP, Piamonte IGP)</t>
        </is>
      </c>
      <c r="D126" s="9" t="inlineStr">
        <is>
          <t>g</t>
        </is>
      </c>
      <c r="E126" s="10" t="n">
        <v>500</v>
      </c>
      <c r="F126" s="11" t="n">
        <v>330</v>
      </c>
      <c r="G126" s="12">
        <f>IFERROR(F126/E126,0)</f>
        <v/>
      </c>
      <c r="H126">
        <f>COUNTIF(Ingredientes!$E:$E,C126)</f>
        <v/>
      </c>
      <c r="I126" s="6" t="n"/>
    </row>
    <row r="127">
      <c r="A127" s="9" t="inlineStr">
        <is>
          <t>I-123</t>
        </is>
      </c>
      <c r="B127" s="9" t="inlineStr">
        <is>
          <t>Frutos secos y semillas</t>
        </is>
      </c>
      <c r="C127" s="9" t="inlineStr">
        <is>
          <t>Pistacho verde pelado (Bronte, Sicilia)</t>
        </is>
      </c>
      <c r="D127" s="9" t="inlineStr">
        <is>
          <t>g</t>
        </is>
      </c>
      <c r="E127" s="10" t="n">
        <v>250</v>
      </c>
      <c r="F127" s="11" t="n">
        <v>280</v>
      </c>
      <c r="G127" s="12">
        <f>IFERROR(F127/E127,0)</f>
        <v/>
      </c>
      <c r="H127">
        <f>COUNTIF(Ingredientes!$E:$E,C127)</f>
        <v/>
      </c>
      <c r="I127" s="6" t="n"/>
    </row>
    <row r="128">
      <c r="A128" s="9" t="inlineStr">
        <is>
          <t>I-124</t>
        </is>
      </c>
      <c r="B128" s="9" t="inlineStr">
        <is>
          <t>Frutos secos y semillas</t>
        </is>
      </c>
      <c r="C128" s="9" t="inlineStr">
        <is>
          <t>Piñón entero</t>
        </is>
      </c>
      <c r="D128" s="9" t="inlineStr">
        <is>
          <t>g</t>
        </is>
      </c>
      <c r="E128" s="10" t="n">
        <v>100</v>
      </c>
      <c r="F128" s="11" t="n">
        <v>195</v>
      </c>
      <c r="G128" s="12">
        <f>IFERROR(F128/E128,0)</f>
        <v/>
      </c>
      <c r="H128">
        <f>COUNTIF(Ingredientes!$E:$E,C128)</f>
        <v/>
      </c>
      <c r="I128" s="6" t="n"/>
    </row>
    <row r="129">
      <c r="A129" s="9" t="inlineStr">
        <is>
          <t>I-125</t>
        </is>
      </c>
      <c r="B129" s="9" t="inlineStr">
        <is>
          <t>Frutos secos y semillas</t>
        </is>
      </c>
      <c r="C129" s="9" t="inlineStr">
        <is>
          <t>Nuez pecana o nuez de la India</t>
        </is>
      </c>
      <c r="D129" s="9" t="inlineStr">
        <is>
          <t>g</t>
        </is>
      </c>
      <c r="E129" s="10" t="n">
        <v>500</v>
      </c>
      <c r="F129" s="11" t="n">
        <v>260</v>
      </c>
      <c r="G129" s="12">
        <f>IFERROR(F129/E129,0)</f>
        <v/>
      </c>
      <c r="H129">
        <f>COUNTIF(Ingredientes!$E:$E,C129)</f>
        <v/>
      </c>
      <c r="I129" s="6" t="n"/>
    </row>
    <row r="130">
      <c r="A130" s="9" t="inlineStr">
        <is>
          <t>I-126</t>
        </is>
      </c>
      <c r="B130" s="9" t="inlineStr">
        <is>
          <t>Frutos secos y semillas</t>
        </is>
      </c>
      <c r="C130" s="9" t="inlineStr">
        <is>
          <t>Macadamia tostada</t>
        </is>
      </c>
      <c r="D130" s="9" t="inlineStr">
        <is>
          <t>g</t>
        </is>
      </c>
      <c r="E130" s="10" t="n">
        <v>250</v>
      </c>
      <c r="F130" s="11" t="n">
        <v>215</v>
      </c>
      <c r="G130" s="12">
        <f>IFERROR(F130/E130,0)</f>
        <v/>
      </c>
      <c r="H130">
        <f>COUNTIF(Ingredientes!$E:$E,C130)</f>
        <v/>
      </c>
      <c r="I130" s="6" t="n"/>
    </row>
    <row r="131">
      <c r="A131" s="9" t="inlineStr">
        <is>
          <t>I-127</t>
        </is>
      </c>
      <c r="B131" s="9" t="inlineStr">
        <is>
          <t>Frutos secos y semillas</t>
        </is>
      </c>
      <c r="C131" s="9" t="inlineStr">
        <is>
          <t>Cacahuate tostado y aliñado</t>
        </is>
      </c>
      <c r="D131" s="9" t="inlineStr">
        <is>
          <t>g</t>
        </is>
      </c>
      <c r="E131" s="10" t="n">
        <v>500</v>
      </c>
      <c r="F131" s="11" t="n">
        <v>78</v>
      </c>
      <c r="G131" s="12">
        <f>IFERROR(F131/E131,0)</f>
        <v/>
      </c>
      <c r="H131">
        <f>COUNTIF(Ingredientes!$E:$E,C131)</f>
        <v/>
      </c>
      <c r="I131" s="6" t="n"/>
    </row>
    <row r="132">
      <c r="A132" s="9" t="inlineStr">
        <is>
          <t>I-128</t>
        </is>
      </c>
      <c r="B132" s="9" t="inlineStr">
        <is>
          <t>Frutos secos y semillas</t>
        </is>
      </c>
      <c r="C132" s="9" t="inlineStr">
        <is>
          <t>Pepita de calabaza tostada</t>
        </is>
      </c>
      <c r="D132" s="9" t="inlineStr">
        <is>
          <t>g</t>
        </is>
      </c>
      <c r="E132" s="10" t="n">
        <v>500</v>
      </c>
      <c r="F132" s="11" t="n">
        <v>110</v>
      </c>
      <c r="G132" s="12">
        <f>IFERROR(F132/E132,0)</f>
        <v/>
      </c>
      <c r="H132">
        <f>COUNTIF(Ingredientes!$E:$E,C132)</f>
        <v/>
      </c>
      <c r="I132" s="6" t="n"/>
    </row>
    <row r="133">
      <c r="A133" s="9" t="inlineStr">
        <is>
          <t>I-129</t>
        </is>
      </c>
      <c r="B133" s="9" t="inlineStr">
        <is>
          <t>Frutos secos y semillas</t>
        </is>
      </c>
      <c r="C133" s="9" t="inlineStr">
        <is>
          <t>Castaña pilonga o asada seca</t>
        </is>
      </c>
      <c r="D133" s="9" t="inlineStr">
        <is>
          <t>g</t>
        </is>
      </c>
      <c r="E133" s="10" t="n">
        <v>250</v>
      </c>
      <c r="F133" s="11" t="n">
        <v>120</v>
      </c>
      <c r="G133" s="12">
        <f>IFERROR(F133/E133,0)</f>
        <v/>
      </c>
      <c r="H133">
        <f>COUNTIF(Ingredientes!$E:$E,C133)</f>
        <v/>
      </c>
      <c r="I133" s="6" t="n"/>
    </row>
    <row r="134">
      <c r="A134" s="9" t="inlineStr">
        <is>
          <t>I-130</t>
        </is>
      </c>
      <c r="B134" s="9" t="inlineStr">
        <is>
          <t>Frutos secos y semillas</t>
        </is>
      </c>
      <c r="C134" s="9" t="inlineStr">
        <is>
          <t>Chapulines tostados</t>
        </is>
      </c>
      <c r="D134" s="9" t="inlineStr">
        <is>
          <t>g</t>
        </is>
      </c>
      <c r="E134" s="10" t="n">
        <v>100</v>
      </c>
      <c r="F134" s="11" t="n">
        <v>125</v>
      </c>
      <c r="G134" s="12">
        <f>IFERROR(F134/E134,0)</f>
        <v/>
      </c>
      <c r="H134">
        <f>COUNTIF(Ingredientes!$E:$E,C134)</f>
        <v/>
      </c>
      <c r="I134" s="6" t="n"/>
    </row>
    <row r="135">
      <c r="A135" s="9" t="inlineStr">
        <is>
          <t>I-131</t>
        </is>
      </c>
      <c r="B135" s="9" t="inlineStr">
        <is>
          <t>Frutas y vegetales</t>
        </is>
      </c>
      <c r="C135" s="9" t="inlineStr">
        <is>
          <t>Uva de mesa sin semilla (blanca, roja o negra)</t>
        </is>
      </c>
      <c r="D135" s="9" t="inlineStr">
        <is>
          <t>g</t>
        </is>
      </c>
      <c r="E135" s="10" t="n">
        <v>1000</v>
      </c>
      <c r="F135" s="11" t="n">
        <v>82</v>
      </c>
      <c r="G135" s="12">
        <f>IFERROR(F135/E135,0)</f>
        <v/>
      </c>
      <c r="H135">
        <f>COUNTIF(Ingredientes!$E:$E,C135)</f>
        <v/>
      </c>
      <c r="I135" s="6" t="n"/>
    </row>
    <row r="136">
      <c r="A136" s="9" t="inlineStr">
        <is>
          <t>I-132</t>
        </is>
      </c>
      <c r="B136" s="9" t="inlineStr">
        <is>
          <t>Frutas y vegetales</t>
        </is>
      </c>
      <c r="C136" s="9" t="inlineStr">
        <is>
          <t>Pera firme de temporada</t>
        </is>
      </c>
      <c r="D136" s="9" t="inlineStr">
        <is>
          <t>g</t>
        </is>
      </c>
      <c r="E136" s="10" t="n">
        <v>1000</v>
      </c>
      <c r="F136" s="11" t="n">
        <v>62</v>
      </c>
      <c r="G136" s="12">
        <f>IFERROR(F136/E136,0)</f>
        <v/>
      </c>
      <c r="H136">
        <f>COUNTIF(Ingredientes!$E:$E,C136)</f>
        <v/>
      </c>
      <c r="I136" s="6" t="n"/>
    </row>
    <row r="137">
      <c r="A137" s="9" t="inlineStr">
        <is>
          <t>I-133</t>
        </is>
      </c>
      <c r="B137" s="9" t="inlineStr">
        <is>
          <t>Frutas y vegetales</t>
        </is>
      </c>
      <c r="C137" s="9" t="inlineStr">
        <is>
          <t>Manzana ácida (Granny Smith, reineta, perona)</t>
        </is>
      </c>
      <c r="D137" s="9" t="inlineStr">
        <is>
          <t>g</t>
        </is>
      </c>
      <c r="E137" s="10" t="n">
        <v>1000</v>
      </c>
      <c r="F137" s="11" t="n">
        <v>52</v>
      </c>
      <c r="G137" s="12">
        <f>IFERROR(F137/E137,0)</f>
        <v/>
      </c>
      <c r="H137">
        <f>COUNTIF(Ingredientes!$E:$E,C137)</f>
        <v/>
      </c>
      <c r="I137" s="6" t="n"/>
    </row>
    <row r="138">
      <c r="A138" s="9" t="inlineStr">
        <is>
          <t>I-134</t>
        </is>
      </c>
      <c r="B138" s="9" t="inlineStr">
        <is>
          <t>Frutas y vegetales</t>
        </is>
      </c>
      <c r="C138" s="9" t="inlineStr">
        <is>
          <t>Higo fresco maduro</t>
        </is>
      </c>
      <c r="D138" s="9" t="inlineStr">
        <is>
          <t>g</t>
        </is>
      </c>
      <c r="E138" s="10" t="n">
        <v>1000</v>
      </c>
      <c r="F138" s="11" t="n">
        <v>220</v>
      </c>
      <c r="G138" s="12">
        <f>IFERROR(F138/E138,0)</f>
        <v/>
      </c>
      <c r="H138">
        <f>COUNTIF(Ingredientes!$E:$E,C138)</f>
        <v/>
      </c>
      <c r="I138" s="6" t="n"/>
    </row>
    <row r="139">
      <c r="A139" s="9" t="inlineStr">
        <is>
          <t>I-135</t>
        </is>
      </c>
      <c r="B139" s="9" t="inlineStr">
        <is>
          <t>Frutas y vegetales</t>
        </is>
      </c>
      <c r="C139" s="9" t="inlineStr">
        <is>
          <t>Higo seco o pasa de higo</t>
        </is>
      </c>
      <c r="D139" s="9" t="inlineStr">
        <is>
          <t>g</t>
        </is>
      </c>
      <c r="E139" s="10" t="n">
        <v>500</v>
      </c>
      <c r="F139" s="11" t="n">
        <v>155</v>
      </c>
      <c r="G139" s="12">
        <f>IFERROR(F139/E139,0)</f>
        <v/>
      </c>
      <c r="H139">
        <f>COUNTIF(Ingredientes!$E:$E,C139)</f>
        <v/>
      </c>
      <c r="I139" s="6" t="n"/>
    </row>
    <row r="140">
      <c r="A140" s="9" t="inlineStr">
        <is>
          <t>I-136</t>
        </is>
      </c>
      <c r="B140" s="9" t="inlineStr">
        <is>
          <t>Frutas y vegetales</t>
        </is>
      </c>
      <c r="C140" s="9" t="inlineStr">
        <is>
          <t>Dátil, ciruela pasa u orejón</t>
        </is>
      </c>
      <c r="D140" s="9" t="inlineStr">
        <is>
          <t>g</t>
        </is>
      </c>
      <c r="E140" s="10" t="n">
        <v>500</v>
      </c>
      <c r="F140" s="11" t="n">
        <v>135</v>
      </c>
      <c r="G140" s="12">
        <f>IFERROR(F140/E140,0)</f>
        <v/>
      </c>
      <c r="H140">
        <f>COUNTIF(Ingredientes!$E:$E,C140)</f>
        <v/>
      </c>
      <c r="I140" s="6" t="n"/>
    </row>
    <row r="141">
      <c r="A141" s="9" t="inlineStr">
        <is>
          <t>I-137</t>
        </is>
      </c>
      <c r="B141" s="9" t="inlineStr">
        <is>
          <t>Frutas y vegetales</t>
        </is>
      </c>
      <c r="C141" s="9" t="inlineStr">
        <is>
          <t>Pasas Moscatel o de Corinto</t>
        </is>
      </c>
      <c r="D141" s="9" t="inlineStr">
        <is>
          <t>g</t>
        </is>
      </c>
      <c r="E141" s="10" t="n">
        <v>500</v>
      </c>
      <c r="F141" s="11" t="n">
        <v>95</v>
      </c>
      <c r="G141" s="12">
        <f>IFERROR(F141/E141,0)</f>
        <v/>
      </c>
      <c r="H141">
        <f>COUNTIF(Ingredientes!$E:$E,C141)</f>
        <v/>
      </c>
      <c r="I141" s="6" t="n"/>
    </row>
    <row r="142">
      <c r="A142" s="9" t="inlineStr">
        <is>
          <t>I-138</t>
        </is>
      </c>
      <c r="B142" s="9" t="inlineStr">
        <is>
          <t>Frutas y vegetales</t>
        </is>
      </c>
      <c r="C142" s="9" t="inlineStr">
        <is>
          <t>Mora, fresa silvestre o cereza fresca</t>
        </is>
      </c>
      <c r="D142" s="9" t="inlineStr">
        <is>
          <t>g</t>
        </is>
      </c>
      <c r="E142" s="10" t="n">
        <v>500</v>
      </c>
      <c r="F142" s="11" t="n">
        <v>185</v>
      </c>
      <c r="G142" s="12">
        <f>IFERROR(F142/E142,0)</f>
        <v/>
      </c>
      <c r="H142">
        <f>COUNTIF(Ingredientes!$E:$E,C142)</f>
        <v/>
      </c>
      <c r="I142" s="6" t="n"/>
    </row>
    <row r="143">
      <c r="A143" s="9" t="inlineStr">
        <is>
          <t>I-139</t>
        </is>
      </c>
      <c r="B143" s="9" t="inlineStr">
        <is>
          <t>Frutas y vegetales</t>
        </is>
      </c>
      <c r="C143" s="9" t="inlineStr">
        <is>
          <t>Mango manila o ataulfo</t>
        </is>
      </c>
      <c r="D143" s="9" t="inlineStr">
        <is>
          <t>g</t>
        </is>
      </c>
      <c r="E143" s="10" t="n">
        <v>1000</v>
      </c>
      <c r="F143" s="11" t="n">
        <v>62</v>
      </c>
      <c r="G143" s="12">
        <f>IFERROR(F143/E143,0)</f>
        <v/>
      </c>
      <c r="H143">
        <f>COUNTIF(Ingredientes!$E:$E,C143)</f>
        <v/>
      </c>
      <c r="I143" s="6" t="n"/>
    </row>
    <row r="144">
      <c r="A144" s="9" t="inlineStr">
        <is>
          <t>I-140</t>
        </is>
      </c>
      <c r="B144" s="9" t="inlineStr">
        <is>
          <t>Frutas y vegetales</t>
        </is>
      </c>
      <c r="C144" s="9" t="inlineStr">
        <is>
          <t>Naranja, lima o cítrico fresco</t>
        </is>
      </c>
      <c r="D144" s="9" t="inlineStr">
        <is>
          <t>g</t>
        </is>
      </c>
      <c r="E144" s="10" t="n">
        <v>1000</v>
      </c>
      <c r="F144" s="11" t="n">
        <v>42</v>
      </c>
      <c r="G144" s="12">
        <f>IFERROR(F144/E144,0)</f>
        <v/>
      </c>
      <c r="H144">
        <f>COUNTIF(Ingredientes!$E:$E,C144)</f>
        <v/>
      </c>
      <c r="I144" s="6" t="n"/>
    </row>
    <row r="145">
      <c r="A145" s="9" t="inlineStr">
        <is>
          <t>I-141</t>
        </is>
      </c>
      <c r="B145" s="9" t="inlineStr">
        <is>
          <t>Frutas y vegetales</t>
        </is>
      </c>
      <c r="C145" s="9" t="inlineStr">
        <is>
          <t>Aguacate criollo o Hass</t>
        </is>
      </c>
      <c r="D145" s="9" t="inlineStr">
        <is>
          <t>g</t>
        </is>
      </c>
      <c r="E145" s="10" t="n">
        <v>1000</v>
      </c>
      <c r="F145" s="11" t="n">
        <v>95</v>
      </c>
      <c r="G145" s="12">
        <f>IFERROR(F145/E145,0)</f>
        <v/>
      </c>
      <c r="H145">
        <f>COUNTIF(Ingredientes!$E:$E,C145)</f>
        <v/>
      </c>
      <c r="I145" s="6" t="n"/>
    </row>
    <row r="146">
      <c r="A146" s="9" t="inlineStr">
        <is>
          <t>I-142</t>
        </is>
      </c>
      <c r="B146" s="9" t="inlineStr">
        <is>
          <t>Frutas y vegetales</t>
        </is>
      </c>
      <c r="C146" s="9" t="inlineStr">
        <is>
          <t>Fruta regional en almíbar (tejocote, xoconostle, papaya, tuna)</t>
        </is>
      </c>
      <c r="D146" s="9" t="inlineStr">
        <is>
          <t>g</t>
        </is>
      </c>
      <c r="E146" s="10" t="n">
        <v>500</v>
      </c>
      <c r="F146" s="11" t="n">
        <v>98</v>
      </c>
      <c r="G146" s="12">
        <f>IFERROR(F146/E146,0)</f>
        <v/>
      </c>
      <c r="H146">
        <f>COUNTIF(Ingredientes!$E:$E,C146)</f>
        <v/>
      </c>
      <c r="I146" s="6" t="n"/>
    </row>
    <row r="147">
      <c r="A147" s="9" t="inlineStr">
        <is>
          <t>I-143</t>
        </is>
      </c>
      <c r="B147" s="9" t="inlineStr">
        <is>
          <t>Frutas y vegetales</t>
        </is>
      </c>
      <c r="C147" s="9" t="inlineStr">
        <is>
          <t>Fruta de temporada para mermelada o compota</t>
        </is>
      </c>
      <c r="D147" s="9" t="inlineStr">
        <is>
          <t>g</t>
        </is>
      </c>
      <c r="E147" s="10" t="n">
        <v>1000</v>
      </c>
      <c r="F147" s="11" t="n">
        <v>58</v>
      </c>
      <c r="G147" s="12">
        <f>IFERROR(F147/E147,0)</f>
        <v/>
      </c>
      <c r="H147">
        <f>COUNTIF(Ingredientes!$E:$E,C147)</f>
        <v/>
      </c>
      <c r="I147" s="6" t="n"/>
    </row>
    <row r="148">
      <c r="A148" s="9" t="inlineStr">
        <is>
          <t>I-144</t>
        </is>
      </c>
      <c r="B148" s="9" t="inlineStr">
        <is>
          <t>Frutas y vegetales</t>
        </is>
      </c>
      <c r="C148" s="9" t="inlineStr">
        <is>
          <t>Rúcula, berro, brote o microvegetal</t>
        </is>
      </c>
      <c r="D148" s="9" t="inlineStr">
        <is>
          <t>g</t>
        </is>
      </c>
      <c r="E148" s="10" t="n">
        <v>250</v>
      </c>
      <c r="F148" s="11" t="n">
        <v>68</v>
      </c>
      <c r="G148" s="12">
        <f>IFERROR(F148/E148,0)</f>
        <v/>
      </c>
      <c r="H148">
        <f>COUNTIF(Ingredientes!$E:$E,C148)</f>
        <v/>
      </c>
      <c r="I148" s="6" t="n"/>
    </row>
    <row r="149">
      <c r="A149" s="9" t="inlineStr">
        <is>
          <t>I-145</t>
        </is>
      </c>
      <c r="B149" s="9" t="inlineStr">
        <is>
          <t>Frutas y vegetales</t>
        </is>
      </c>
      <c r="C149" s="9" t="inlineStr">
        <is>
          <t>Hongo o seta deshidratada</t>
        </is>
      </c>
      <c r="D149" s="9" t="inlineStr">
        <is>
          <t>g</t>
        </is>
      </c>
      <c r="E149" s="10" t="n">
        <v>100</v>
      </c>
      <c r="F149" s="11" t="n">
        <v>180</v>
      </c>
      <c r="G149" s="12">
        <f>IFERROR(F149/E149,0)</f>
        <v/>
      </c>
      <c r="H149">
        <f>COUNTIF(Ingredientes!$E:$E,C149)</f>
        <v/>
      </c>
      <c r="I149" s="6" t="n"/>
    </row>
    <row r="150">
      <c r="A150" s="9" t="inlineStr">
        <is>
          <t>I-146</t>
        </is>
      </c>
      <c r="B150" s="9" t="inlineStr">
        <is>
          <t>Frutas y vegetales</t>
        </is>
      </c>
      <c r="C150" s="9" t="inlineStr">
        <is>
          <t>Cebolla, chalota o cebollita de cambray</t>
        </is>
      </c>
      <c r="D150" s="9" t="inlineStr">
        <is>
          <t>g</t>
        </is>
      </c>
      <c r="E150" s="10" t="n">
        <v>1000</v>
      </c>
      <c r="F150" s="11" t="n">
        <v>42</v>
      </c>
      <c r="G150" s="12">
        <f>IFERROR(F150/E150,0)</f>
        <v/>
      </c>
      <c r="H150">
        <f>COUNTIF(Ingredientes!$E:$E,C150)</f>
        <v/>
      </c>
      <c r="I150" s="6" t="n"/>
    </row>
    <row r="151">
      <c r="A151" s="9" t="inlineStr">
        <is>
          <t>I-147</t>
        </is>
      </c>
      <c r="B151" s="9" t="inlineStr">
        <is>
          <t>Dulces, mieles y untables</t>
        </is>
      </c>
      <c r="C151" s="9" t="inlineStr">
        <is>
          <t>Carne de membrillo, ate o dulce de fruta artesanal</t>
        </is>
      </c>
      <c r="D151" s="9" t="inlineStr">
        <is>
          <t>g</t>
        </is>
      </c>
      <c r="E151" s="10" t="n">
        <v>500</v>
      </c>
      <c r="F151" s="11" t="n">
        <v>125</v>
      </c>
      <c r="G151" s="12">
        <f>IFERROR(F151/E151,0)</f>
        <v/>
      </c>
      <c r="H151">
        <f>COUNTIF(Ingredientes!$E:$E,C151)</f>
        <v/>
      </c>
      <c r="I151" s="6" t="n"/>
    </row>
    <row r="152">
      <c r="A152" s="9" t="inlineStr">
        <is>
          <t>I-148</t>
        </is>
      </c>
      <c r="B152" s="9" t="inlineStr">
        <is>
          <t>Dulces, mieles y untables</t>
        </is>
      </c>
      <c r="C152" s="9" t="inlineStr">
        <is>
          <t>Mostarda italiana o cugnà (Cremona, Voghera, Veneta)</t>
        </is>
      </c>
      <c r="D152" s="9" t="inlineStr">
        <is>
          <t>g</t>
        </is>
      </c>
      <c r="E152" s="10" t="n">
        <v>300</v>
      </c>
      <c r="F152" s="11" t="n">
        <v>280</v>
      </c>
      <c r="G152" s="12">
        <f>IFERROR(F152/E152,0)</f>
        <v/>
      </c>
      <c r="H152">
        <f>COUNTIF(Ingredientes!$E:$E,C152)</f>
        <v/>
      </c>
      <c r="I152" s="6" t="n"/>
    </row>
    <row r="153">
      <c r="A153" s="9" t="inlineStr">
        <is>
          <t>I-149</t>
        </is>
      </c>
      <c r="B153" s="9" t="inlineStr">
        <is>
          <t>Dulces, mieles y untables</t>
        </is>
      </c>
      <c r="C153" s="9" t="inlineStr">
        <is>
          <t>Miel pura monofloral artesanal</t>
        </is>
      </c>
      <c r="D153" s="9" t="inlineStr">
        <is>
          <t>g</t>
        </is>
      </c>
      <c r="E153" s="10" t="n">
        <v>500</v>
      </c>
      <c r="F153" s="11" t="n">
        <v>195</v>
      </c>
      <c r="G153" s="12">
        <f>IFERROR(F153/E153,0)</f>
        <v/>
      </c>
      <c r="H153">
        <f>COUNTIF(Ingredientes!$E:$E,C153)</f>
        <v/>
      </c>
      <c r="I153" s="6" t="n"/>
    </row>
    <row r="154">
      <c r="A154" s="9" t="inlineStr">
        <is>
          <t>I-150</t>
        </is>
      </c>
      <c r="B154" s="9" t="inlineStr">
        <is>
          <t>Dulces, mieles y untables</t>
        </is>
      </c>
      <c r="C154" s="9" t="inlineStr">
        <is>
          <t>Chutney o confitura fina de importación</t>
        </is>
      </c>
      <c r="D154" s="9" t="inlineStr">
        <is>
          <t>g</t>
        </is>
      </c>
      <c r="E154" s="10" t="n">
        <v>300</v>
      </c>
      <c r="F154" s="11" t="n">
        <v>220</v>
      </c>
      <c r="G154" s="12">
        <f>IFERROR(F154/E154,0)</f>
        <v/>
      </c>
      <c r="H154">
        <f>COUNTIF(Ingredientes!$E:$E,C154)</f>
        <v/>
      </c>
      <c r="I154" s="6" t="n"/>
    </row>
    <row r="155">
      <c r="A155" s="9" t="inlineStr">
        <is>
          <t>I-151</t>
        </is>
      </c>
      <c r="B155" s="9" t="inlineStr">
        <is>
          <t>Dulces, mieles y untables</t>
        </is>
      </c>
      <c r="C155" s="9" t="inlineStr">
        <is>
          <t>Turrón de Jijona IGP o dulce de almendra</t>
        </is>
      </c>
      <c r="D155" s="9" t="inlineStr">
        <is>
          <t>g</t>
        </is>
      </c>
      <c r="E155" s="10" t="n">
        <v>300</v>
      </c>
      <c r="F155" s="11" t="n">
        <v>165</v>
      </c>
      <c r="G155" s="12">
        <f>IFERROR(F155/E155,0)</f>
        <v/>
      </c>
      <c r="H155">
        <f>COUNTIF(Ingredientes!$E:$E,C155)</f>
        <v/>
      </c>
      <c r="I155" s="6" t="n"/>
    </row>
    <row r="156">
      <c r="A156" s="9" t="inlineStr">
        <is>
          <t>I-152</t>
        </is>
      </c>
      <c r="B156" s="9" t="inlineStr">
        <is>
          <t>Dulces, mieles y untables</t>
        </is>
      </c>
      <c r="C156" s="9" t="inlineStr">
        <is>
          <t>Chocolate negro de origen 85%</t>
        </is>
      </c>
      <c r="D156" s="9" t="inlineStr">
        <is>
          <t>g</t>
        </is>
      </c>
      <c r="E156" s="10" t="n">
        <v>500</v>
      </c>
      <c r="F156" s="11" t="n">
        <v>380</v>
      </c>
      <c r="G156" s="12">
        <f>IFERROR(F156/E156,0)</f>
        <v/>
      </c>
      <c r="H156">
        <f>COUNTIF(Ingredientes!$E:$E,C156)</f>
        <v/>
      </c>
      <c r="I156" s="6" t="n"/>
    </row>
    <row r="157">
      <c r="A157" s="9" t="inlineStr">
        <is>
          <t>I-153</t>
        </is>
      </c>
      <c r="B157" s="9" t="inlineStr">
        <is>
          <t>Dulces, mieles y untables</t>
        </is>
      </c>
      <c r="C157" s="9" t="inlineStr">
        <is>
          <t>Aceto Balsamico Tradizionale di Modena DOP</t>
        </is>
      </c>
      <c r="D157" s="9" t="inlineStr">
        <is>
          <t>ml</t>
        </is>
      </c>
      <c r="E157" s="10" t="n">
        <v>100</v>
      </c>
      <c r="F157" s="11" t="n">
        <v>680</v>
      </c>
      <c r="G157" s="12">
        <f>IFERROR(F157/E157,0)</f>
        <v/>
      </c>
      <c r="H157">
        <f>COUNTIF(Ingredientes!$E:$E,C157)</f>
        <v/>
      </c>
      <c r="I157" s="6" t="n"/>
    </row>
    <row r="158">
      <c r="A158" s="9" t="inlineStr">
        <is>
          <t>I-154</t>
        </is>
      </c>
      <c r="B158" s="9" t="inlineStr">
        <is>
          <t>Dulces, mieles y untables</t>
        </is>
      </c>
      <c r="C158" s="9" t="inlineStr">
        <is>
          <t>Tapenade o pasta de aceituna negra</t>
        </is>
      </c>
      <c r="D158" s="9" t="inlineStr">
        <is>
          <t>g</t>
        </is>
      </c>
      <c r="E158" s="10" t="n">
        <v>200</v>
      </c>
      <c r="F158" s="11" t="n">
        <v>135</v>
      </c>
      <c r="G158" s="12">
        <f>IFERROR(F158/E158,0)</f>
        <v/>
      </c>
      <c r="H158">
        <f>COUNTIF(Ingredientes!$E:$E,C158)</f>
        <v/>
      </c>
      <c r="I158" s="6" t="n"/>
    </row>
    <row r="159">
      <c r="A159" s="9" t="inlineStr">
        <is>
          <t>I-155</t>
        </is>
      </c>
      <c r="B159" s="9" t="inlineStr">
        <is>
          <t>Dulces, mieles y untables</t>
        </is>
      </c>
      <c r="C159" s="9" t="inlineStr">
        <is>
          <t>Azúcar blanco refinado</t>
        </is>
      </c>
      <c r="D159" s="9" t="inlineStr">
        <is>
          <t>g</t>
        </is>
      </c>
      <c r="E159" s="10" t="n">
        <v>1000</v>
      </c>
      <c r="F159" s="11" t="n">
        <v>30</v>
      </c>
      <c r="G159" s="12">
        <f>IFERROR(F159/E159,0)</f>
        <v/>
      </c>
      <c r="H159">
        <f>COUNTIF(Ingredientes!$E:$E,C159)</f>
        <v/>
      </c>
      <c r="I159" s="6" t="n"/>
    </row>
    <row r="160">
      <c r="A160" s="9" t="inlineStr">
        <is>
          <t>I-156</t>
        </is>
      </c>
      <c r="B160" s="9" t="inlineStr">
        <is>
          <t>Encurtidos y guarniciones</t>
        </is>
      </c>
      <c r="C160" s="9" t="inlineStr">
        <is>
          <t>Aceituna de mesa aliñada (Gordal, Manzanilla, Campo Real, Gaeta)</t>
        </is>
      </c>
      <c r="D160" s="9" t="inlineStr">
        <is>
          <t>g</t>
        </is>
      </c>
      <c r="E160" s="10" t="n">
        <v>1000</v>
      </c>
      <c r="F160" s="11" t="n">
        <v>185</v>
      </c>
      <c r="G160" s="12">
        <f>IFERROR(F160/E160,0)</f>
        <v/>
      </c>
      <c r="H160">
        <f>COUNTIF(Ingredientes!$E:$E,C160)</f>
        <v/>
      </c>
      <c r="I160" s="6" t="n"/>
    </row>
    <row r="161">
      <c r="A161" s="9" t="inlineStr">
        <is>
          <t>I-157</t>
        </is>
      </c>
      <c r="B161" s="9" t="inlineStr">
        <is>
          <t>Encurtidos y guarniciones</t>
        </is>
      </c>
      <c r="C161" s="9" t="inlineStr">
        <is>
          <t>Pepinillo, cornichon o encurtido agridulce</t>
        </is>
      </c>
      <c r="D161" s="9" t="inlineStr">
        <is>
          <t>g</t>
        </is>
      </c>
      <c r="E161" s="10" t="n">
        <v>500</v>
      </c>
      <c r="F161" s="11" t="n">
        <v>115</v>
      </c>
      <c r="G161" s="12">
        <f>IFERROR(F161/E161,0)</f>
        <v/>
      </c>
      <c r="H161">
        <f>COUNTIF(Ingredientes!$E:$E,C161)</f>
        <v/>
      </c>
      <c r="I161" s="6" t="n"/>
    </row>
    <row r="162">
      <c r="A162" s="9" t="inlineStr">
        <is>
          <t>I-158</t>
        </is>
      </c>
      <c r="B162" s="9" t="inlineStr">
        <is>
          <t>Encurtidos y guarniciones</t>
        </is>
      </c>
      <c r="C162" s="9" t="inlineStr">
        <is>
          <t>Alcaparra o alcaparrón en vinagre</t>
        </is>
      </c>
      <c r="D162" s="9" t="inlineStr">
        <is>
          <t>g</t>
        </is>
      </c>
      <c r="E162" s="10" t="n">
        <v>250</v>
      </c>
      <c r="F162" s="11" t="n">
        <v>125</v>
      </c>
      <c r="G162" s="12">
        <f>IFERROR(F162/E162,0)</f>
        <v/>
      </c>
      <c r="H162">
        <f>COUNTIF(Ingredientes!$E:$E,C162)</f>
        <v/>
      </c>
      <c r="I162" s="6" t="n"/>
    </row>
    <row r="163">
      <c r="A163" s="9" t="inlineStr">
        <is>
          <t>I-159</t>
        </is>
      </c>
      <c r="B163" s="9" t="inlineStr">
        <is>
          <t>Encurtidos y guarniciones</t>
        </is>
      </c>
      <c r="C163" s="9" t="inlineStr">
        <is>
          <t>Chile en escabeche o encurtido (manzano, jalapeño, poblano, simojovel)</t>
        </is>
      </c>
      <c r="D163" s="9" t="inlineStr">
        <is>
          <t>g</t>
        </is>
      </c>
      <c r="E163" s="10" t="n">
        <v>500</v>
      </c>
      <c r="F163" s="11" t="n">
        <v>82</v>
      </c>
      <c r="G163" s="12">
        <f>IFERROR(F163/E163,0)</f>
        <v/>
      </c>
      <c r="H163">
        <f>COUNTIF(Ingredientes!$E:$E,C163)</f>
        <v/>
      </c>
      <c r="I163" s="6" t="n"/>
    </row>
    <row r="164">
      <c r="A164" s="9" t="inlineStr">
        <is>
          <t>I-160</t>
        </is>
      </c>
      <c r="B164" s="9" t="inlineStr">
        <is>
          <t>Encurtidos y guarniciones</t>
        </is>
      </c>
      <c r="C164" s="9" t="inlineStr">
        <is>
          <t>Chile seco entero o en polvo (habanero, chiltepín, piquín, pasilla)</t>
        </is>
      </c>
      <c r="D164" s="9" t="inlineStr">
        <is>
          <t>g</t>
        </is>
      </c>
      <c r="E164" s="10" t="n">
        <v>100</v>
      </c>
      <c r="F164" s="11" t="n">
        <v>88</v>
      </c>
      <c r="G164" s="12">
        <f>IFERROR(F164/E164,0)</f>
        <v/>
      </c>
      <c r="H164">
        <f>COUNTIF(Ingredientes!$E:$E,C164)</f>
        <v/>
      </c>
      <c r="I164" s="6" t="n"/>
    </row>
    <row r="165">
      <c r="A165" s="9" t="inlineStr">
        <is>
          <t>I-161</t>
        </is>
      </c>
      <c r="B165" s="9" t="inlineStr">
        <is>
          <t>Encurtidos y guarniciones</t>
        </is>
      </c>
      <c r="C165" s="9" t="inlineStr">
        <is>
          <t>Verdura en aceite sott'olio (berenjena, alcachofa, pimiento)</t>
        </is>
      </c>
      <c r="D165" s="9" t="inlineStr">
        <is>
          <t>g</t>
        </is>
      </c>
      <c r="E165" s="10" t="n">
        <v>500</v>
      </c>
      <c r="F165" s="11" t="n">
        <v>175</v>
      </c>
      <c r="G165" s="12">
        <f>IFERROR(F165/E165,0)</f>
        <v/>
      </c>
      <c r="H165">
        <f>COUNTIF(Ingredientes!$E:$E,C165)</f>
        <v/>
      </c>
      <c r="I165" s="6" t="n"/>
    </row>
    <row r="166">
      <c r="A166" s="9" t="inlineStr">
        <is>
          <t>I-162</t>
        </is>
      </c>
      <c r="B166" s="9" t="inlineStr">
        <is>
          <t>Encurtidos y guarniciones</t>
        </is>
      </c>
      <c r="C166" s="9" t="inlineStr">
        <is>
          <t>Tomate seco o cherry confitado en AOVE</t>
        </is>
      </c>
      <c r="D166" s="9" t="inlineStr">
        <is>
          <t>g</t>
        </is>
      </c>
      <c r="E166" s="10" t="n">
        <v>250</v>
      </c>
      <c r="F166" s="11" t="n">
        <v>150</v>
      </c>
      <c r="G166" s="12">
        <f>IFERROR(F166/E166,0)</f>
        <v/>
      </c>
      <c r="H166">
        <f>COUNTIF(Ingredientes!$E:$E,C166)</f>
        <v/>
      </c>
      <c r="I166" s="6" t="n"/>
    </row>
    <row r="167">
      <c r="A167" s="9" t="inlineStr">
        <is>
          <t>I-163</t>
        </is>
      </c>
      <c r="B167" s="9" t="inlineStr">
        <is>
          <t>Encurtidos y guarniciones</t>
        </is>
      </c>
      <c r="C167" s="9" t="inlineStr">
        <is>
          <t>Chucrut o col fermentada</t>
        </is>
      </c>
      <c r="D167" s="9" t="inlineStr">
        <is>
          <t>g</t>
        </is>
      </c>
      <c r="E167" s="10" t="n">
        <v>500</v>
      </c>
      <c r="F167" s="11" t="n">
        <v>98</v>
      </c>
      <c r="G167" s="12">
        <f>IFERROR(F167/E167,0)</f>
        <v/>
      </c>
      <c r="H167">
        <f>COUNTIF(Ingredientes!$E:$E,C167)</f>
        <v/>
      </c>
      <c r="I167" s="6" t="n"/>
    </row>
    <row r="168">
      <c r="A168" s="9" t="inlineStr">
        <is>
          <t>I-164</t>
        </is>
      </c>
      <c r="B168" s="9" t="inlineStr">
        <is>
          <t>Encurtidos y guarniciones</t>
        </is>
      </c>
      <c r="C168" s="9" t="inlineStr">
        <is>
          <t>Conserva del mar en escabeche (mejillón, anchoa, bonito)</t>
        </is>
      </c>
      <c r="D168" s="9" t="inlineStr">
        <is>
          <t>g</t>
        </is>
      </c>
      <c r="E168" s="10" t="n">
        <v>120</v>
      </c>
      <c r="F168" s="11" t="n">
        <v>148</v>
      </c>
      <c r="G168" s="12">
        <f>IFERROR(F168/E168,0)</f>
        <v/>
      </c>
      <c r="H168">
        <f>COUNTIF(Ingredientes!$E:$E,C168)</f>
        <v/>
      </c>
      <c r="I168" s="6" t="n"/>
    </row>
    <row r="169">
      <c r="A169" s="9" t="inlineStr">
        <is>
          <t>I-165</t>
        </is>
      </c>
      <c r="B169" s="9" t="inlineStr">
        <is>
          <t>Encurtidos y guarniciones</t>
        </is>
      </c>
      <c r="C169" s="9" t="inlineStr">
        <is>
          <t>Mostaza artesanal en grano (Meaux, Dijon, Brive, cerveza)</t>
        </is>
      </c>
      <c r="D169" s="9" t="inlineStr">
        <is>
          <t>g</t>
        </is>
      </c>
      <c r="E169" s="10" t="n">
        <v>200</v>
      </c>
      <c r="F169" s="11" t="n">
        <v>125</v>
      </c>
      <c r="G169" s="12">
        <f>IFERROR(F169/E169,0)</f>
        <v/>
      </c>
      <c r="H169">
        <f>COUNTIF(Ingredientes!$E:$E,C169)</f>
        <v/>
      </c>
      <c r="I169" s="6" t="n"/>
    </row>
    <row r="170">
      <c r="A170" s="9" t="inlineStr">
        <is>
          <t>I-166</t>
        </is>
      </c>
      <c r="B170" s="9" t="inlineStr">
        <is>
          <t>Encurtidos y guarniciones</t>
        </is>
      </c>
      <c r="C170" s="9" t="inlineStr">
        <is>
          <t>Tomate maduro o de colgar</t>
        </is>
      </c>
      <c r="D170" s="9" t="inlineStr">
        <is>
          <t>g</t>
        </is>
      </c>
      <c r="E170" s="10" t="n">
        <v>1000</v>
      </c>
      <c r="F170" s="11" t="n">
        <v>42</v>
      </c>
      <c r="G170" s="12">
        <f>IFERROR(F170/E170,0)</f>
        <v/>
      </c>
      <c r="H170">
        <f>COUNTIF(Ingredientes!$E:$E,C170)</f>
        <v/>
      </c>
      <c r="I170" s="6" t="n"/>
    </row>
    <row r="171">
      <c r="A171" s="9" t="inlineStr">
        <is>
          <t>I-167</t>
        </is>
      </c>
      <c r="B171" s="9" t="inlineStr">
        <is>
          <t>Grasas y condimentos</t>
        </is>
      </c>
      <c r="C171" s="9" t="inlineStr">
        <is>
          <t>Aceite de oliva virgen extra</t>
        </is>
      </c>
      <c r="D171" s="9" t="inlineStr">
        <is>
          <t>ml</t>
        </is>
      </c>
      <c r="E171" s="10" t="n">
        <v>1000</v>
      </c>
      <c r="F171" s="11" t="n">
        <v>290</v>
      </c>
      <c r="G171" s="12">
        <f>IFERROR(F171/E171,0)</f>
        <v/>
      </c>
      <c r="H171">
        <f>COUNTIF(Ingredientes!$E:$E,C171)</f>
        <v/>
      </c>
      <c r="I171" s="6" t="n"/>
    </row>
    <row r="172">
      <c r="A172" s="9" t="inlineStr">
        <is>
          <t>I-168</t>
        </is>
      </c>
      <c r="B172" s="9" t="inlineStr">
        <is>
          <t>Grasas y condimentos</t>
        </is>
      </c>
      <c r="C172" s="9" t="inlineStr">
        <is>
          <t>Vinagre de Jerez, balsámico o de sidra</t>
        </is>
      </c>
      <c r="D172" s="9" t="inlineStr">
        <is>
          <t>ml</t>
        </is>
      </c>
      <c r="E172" s="10" t="n">
        <v>500</v>
      </c>
      <c r="F172" s="11" t="n">
        <v>125</v>
      </c>
      <c r="G172" s="12">
        <f>IFERROR(F172/E172,0)</f>
        <v/>
      </c>
      <c r="H172">
        <f>COUNTIF(Ingredientes!$E:$E,C172)</f>
        <v/>
      </c>
      <c r="I172" s="6" t="n"/>
    </row>
    <row r="173">
      <c r="A173" s="9" t="inlineStr">
        <is>
          <t>I-169</t>
        </is>
      </c>
      <c r="B173" s="9" t="inlineStr">
        <is>
          <t>Grasas y condimentos</t>
        </is>
      </c>
      <c r="C173" s="9" t="inlineStr">
        <is>
          <t>Sal marina fina o de grano</t>
        </is>
      </c>
      <c r="D173" s="9" t="inlineStr">
        <is>
          <t>g</t>
        </is>
      </c>
      <c r="E173" s="10" t="n">
        <v>1000</v>
      </c>
      <c r="F173" s="11" t="n">
        <v>45</v>
      </c>
      <c r="G173" s="12">
        <f>IFERROR(F173/E173,0)</f>
        <v/>
      </c>
      <c r="H173">
        <f>COUNTIF(Ingredientes!$E:$E,C173)</f>
        <v/>
      </c>
      <c r="I173" s="6" t="n"/>
    </row>
    <row r="174">
      <c r="A174" s="9" t="inlineStr">
        <is>
          <t>I-170</t>
        </is>
      </c>
      <c r="B174" s="9" t="inlineStr">
        <is>
          <t>Grasas y condimentos</t>
        </is>
      </c>
      <c r="C174" s="9" t="inlineStr">
        <is>
          <t>Hierbas frescas (tomillo, romero, albahaca, menta, orégano)</t>
        </is>
      </c>
      <c r="D174" s="9" t="inlineStr">
        <is>
          <t>g</t>
        </is>
      </c>
      <c r="E174" s="10" t="n">
        <v>100</v>
      </c>
      <c r="F174" s="11" t="n">
        <v>58</v>
      </c>
      <c r="G174" s="12">
        <f>IFERROR(F174/E174,0)</f>
        <v/>
      </c>
      <c r="H174">
        <f>COUNTIF(Ingredientes!$E:$E,C174)</f>
        <v/>
      </c>
      <c r="I174" s="6" t="n"/>
    </row>
    <row r="175">
      <c r="A175" s="9" t="inlineStr">
        <is>
          <t>I-171</t>
        </is>
      </c>
      <c r="B175" s="9" t="inlineStr">
        <is>
          <t>Grasas y condimentos</t>
        </is>
      </c>
      <c r="C175" s="9" t="inlineStr">
        <is>
          <t>Especias y semillas aromáticas (comino, hinojo, anís, enebro, canela)</t>
        </is>
      </c>
      <c r="D175" s="9" t="inlineStr">
        <is>
          <t>g</t>
        </is>
      </c>
      <c r="E175" s="10" t="n">
        <v>100</v>
      </c>
      <c r="F175" s="11" t="n">
        <v>88</v>
      </c>
      <c r="G175" s="12">
        <f>IFERROR(F175/E175,0)</f>
        <v/>
      </c>
      <c r="H175">
        <f>COUNTIF(Ingredientes!$E:$E,C175)</f>
        <v/>
      </c>
      <c r="I175" s="6" t="n"/>
    </row>
    <row r="176">
      <c r="A176" s="9" t="inlineStr">
        <is>
          <t>I-172</t>
        </is>
      </c>
      <c r="B176" s="9" t="inlineStr">
        <is>
          <t>Grasas y condimentos</t>
        </is>
      </c>
      <c r="C176" s="9" t="inlineStr">
        <is>
          <t>Vino, licor o destilado para macerar y reducir</t>
        </is>
      </c>
      <c r="D176" s="9" t="inlineStr">
        <is>
          <t>ml</t>
        </is>
      </c>
      <c r="E176" s="10" t="n">
        <v>750</v>
      </c>
      <c r="F176" s="11" t="n">
        <v>380</v>
      </c>
      <c r="G176" s="12">
        <f>IFERROR(F176/E176,0)</f>
        <v/>
      </c>
      <c r="H176">
        <f>COUNTIF(Ingredientes!$E:$E,C176)</f>
        <v/>
      </c>
      <c r="I176" s="6" t="n"/>
    </row>
    <row r="177">
      <c r="A177" s="9" t="inlineStr">
        <is>
          <t>I-173</t>
        </is>
      </c>
      <c r="B177" s="9" t="inlineStr">
        <is>
          <t>Grasas y condimentos</t>
        </is>
      </c>
      <c r="C177" s="9" t="inlineStr">
        <is>
          <t>Agua purificada</t>
        </is>
      </c>
      <c r="D177" s="9" t="inlineStr">
        <is>
          <t>ml</t>
        </is>
      </c>
      <c r="E177" s="10" t="n">
        <v>20000</v>
      </c>
      <c r="F177" s="11" t="n">
        <v>42</v>
      </c>
      <c r="G177" s="12">
        <f>IFERROR(F177/E177,0)</f>
        <v/>
      </c>
      <c r="H177">
        <f>COUNTIF(Ingredientes!$E:$E,C177)</f>
        <v/>
      </c>
      <c r="I177" s="6" t="n"/>
    </row>
    <row r="178">
      <c r="A178" s="9" t="inlineStr">
        <is>
          <t>I-174</t>
        </is>
      </c>
      <c r="B178" s="9" t="inlineStr">
        <is>
          <t>Preparaciones de la casa</t>
        </is>
      </c>
      <c r="C178" s="9" t="inlineStr">
        <is>
          <t>Mermelada o compota densa de la casa (elaborada)</t>
        </is>
      </c>
      <c r="D178" s="9" t="inlineStr">
        <is>
          <t>g</t>
        </is>
      </c>
      <c r="E178" s="13">
        <f>'Preparaciones de la casa'!D5</f>
        <v/>
      </c>
      <c r="F178" s="14">
        <f>'Preparaciones de la casa'!F5</f>
        <v/>
      </c>
      <c r="G178" s="12">
        <f>IFERROR(F178/E178,0)</f>
        <v/>
      </c>
      <c r="H178">
        <f>COUNTIF(Ingredientes!$E:$E,C178)</f>
        <v/>
      </c>
      <c r="I178" s="6" t="n"/>
    </row>
    <row r="179">
      <c r="A179" s="9" t="inlineStr">
        <is>
          <t>I-175</t>
        </is>
      </c>
      <c r="B179" s="9" t="inlineStr">
        <is>
          <t>Preparaciones de la casa</t>
        </is>
      </c>
      <c r="C179" s="9" t="inlineStr">
        <is>
          <t>Reducción densa de vino para tabla (elaborada)</t>
        </is>
      </c>
      <c r="D179" s="9" t="inlineStr">
        <is>
          <t>ml</t>
        </is>
      </c>
      <c r="E179" s="13">
        <f>'Preparaciones de la casa'!D6</f>
        <v/>
      </c>
      <c r="F179" s="14">
        <f>'Preparaciones de la casa'!F6</f>
        <v/>
      </c>
      <c r="G179" s="12">
        <f>IFERROR(F179/E179,0)</f>
        <v/>
      </c>
      <c r="H179">
        <f>COUNTIF(Ingredientes!$E:$E,C179)</f>
        <v/>
      </c>
      <c r="I179" s="6" t="n"/>
    </row>
    <row r="180">
      <c r="A180" s="9" t="inlineStr">
        <is>
          <t>I-176</t>
        </is>
      </c>
      <c r="B180" s="9" t="inlineStr">
        <is>
          <t>Preparaciones de la casa</t>
        </is>
      </c>
      <c r="C180" s="9" t="inlineStr">
        <is>
          <t>Confit de cebolla o chalota al vino (elaborado)</t>
        </is>
      </c>
      <c r="D180" s="9" t="inlineStr">
        <is>
          <t>g</t>
        </is>
      </c>
      <c r="E180" s="13">
        <f>'Preparaciones de la casa'!D7</f>
        <v/>
      </c>
      <c r="F180" s="14">
        <f>'Preparaciones de la casa'!F7</f>
        <v/>
      </c>
      <c r="G180" s="12">
        <f>IFERROR(F180/E180,0)</f>
        <v/>
      </c>
      <c r="H180">
        <f>COUNTIF(Ingredientes!$E:$E,C180)</f>
        <v/>
      </c>
      <c r="I180" s="6" t="n"/>
    </row>
    <row r="181">
      <c r="A181" s="9" t="inlineStr">
        <is>
          <t>I-177</t>
        </is>
      </c>
      <c r="B181" s="9" t="inlineStr">
        <is>
          <t>Preparaciones de la casa</t>
        </is>
      </c>
      <c r="C181" s="9" t="inlineStr">
        <is>
          <t>Encurtido rápido de la casa (elaborado)</t>
        </is>
      </c>
      <c r="D181" s="9" t="inlineStr">
        <is>
          <t>g</t>
        </is>
      </c>
      <c r="E181" s="13">
        <f>'Preparaciones de la casa'!D8</f>
        <v/>
      </c>
      <c r="F181" s="14">
        <f>'Preparaciones de la casa'!F8</f>
        <v/>
      </c>
      <c r="G181" s="12">
        <f>IFERROR(F181/E181,0)</f>
        <v/>
      </c>
      <c r="H181">
        <f>COUNTIF(Ingredientes!$E:$E,C181)</f>
        <v/>
      </c>
      <c r="I181" s="6" t="n"/>
    </row>
    <row r="183">
      <c r="C183" s="7" t="inlineStr">
        <is>
          <t>Las preparaciones del recetario toman su precio de la hoja «Preparaciones de la casa»: no se capturan a mano.</t>
        </is>
      </c>
    </row>
  </sheetData>
  <autoFilter ref="A4:I181"/>
  <pageMargins left="0.75" right="0.75" top="1" bottom="1" header="0.5" footer="0.5"/>
</worksheet>
</file>

<file path=xl/worksheets/sheet3.xml><?xml version="1.0" encoding="utf-8"?>
<worksheet xmlns="http://schemas.openxmlformats.org/spreadsheetml/2006/main">
  <sheetPr>
    <tabColor rgb="00C98BCB"/>
    <outlinePr summaryBelow="1" summaryRight="1"/>
    <pageSetUpPr/>
  </sheetPr>
  <dimension ref="A1:H15"/>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46" customWidth="1" min="3" max="3"/>
    <col width="12" customWidth="1" min="4" max="4"/>
    <col width="11" customWidth="1" min="5" max="5"/>
    <col width="15" customWidth="1" min="6" max="6"/>
    <col width="14" customWidth="1" min="7" max="7"/>
    <col width="40" customWidth="1" min="8" max="8"/>
  </cols>
  <sheetData>
    <row r="1">
      <c r="A1" s="1" t="inlineStr">
        <is>
          <t>Las cuatro preparaciones de la casa</t>
        </is>
      </c>
    </row>
    <row r="2">
      <c r="A2" s="7" t="inlineStr">
        <is>
          <t>Las mermeladas, reducciones, confits y encurtidos del ramequín no se compran: se elaboran. Su costo sale de su propia fórmula y alimenta a las 50 tablas. Cambia el precio de la fruta o del vino en «Insumos» y esta hoja se recalcula sola.</t>
        </is>
      </c>
    </row>
    <row r="4" ht="30" customHeight="1">
      <c r="A4" s="8" t="inlineStr">
        <is>
          <t>Código</t>
        </is>
      </c>
      <c r="B4" s="8" t="inlineStr">
        <is>
          <t>Preparación base</t>
        </is>
      </c>
      <c r="C4" s="8" t="inlineStr">
        <is>
          <t>Para qué sirve</t>
        </is>
      </c>
      <c r="D4" s="8" t="inlineStr">
        <is>
          <t>Rendimiento</t>
        </is>
      </c>
      <c r="E4" s="8" t="inlineStr">
        <is>
          <t>Unidad</t>
        </is>
      </c>
      <c r="F4" s="8" t="inlineStr">
        <is>
          <t>Costo de insumos del lote</t>
        </is>
      </c>
      <c r="G4" s="8" t="inlineStr">
        <is>
          <t>Costo unitario</t>
        </is>
      </c>
      <c r="H4" s="8" t="inlineStr">
        <is>
          <t>Entra en las recetas</t>
        </is>
      </c>
    </row>
    <row r="5" ht="30" customHeight="1">
      <c r="A5" s="3" t="inlineStr">
        <is>
          <t>B-1</t>
        </is>
      </c>
      <c r="B5" t="inlineStr">
        <is>
          <t>Mermelada o compota densa de la casa</t>
        </is>
      </c>
      <c r="C5" s="15" t="inlineStr">
        <is>
          <t>La mermelada, compota, confitura o pasta densa de fruta que va en el ramequín. Es la guarnición húmeda más repetida del recetario y la que más caro se compra hecha.</t>
        </is>
      </c>
      <c r="D5" s="16" t="n">
        <v>600</v>
      </c>
      <c r="E5" t="inlineStr">
        <is>
          <t>g</t>
        </is>
      </c>
      <c r="F5" s="17">
        <f>SUMIF(Ingredientes!$A:$A,102,Ingredientes!$I:$I)</f>
        <v/>
      </c>
      <c r="G5" s="12">
        <f>IFERROR(F5/D5,0)</f>
        <v/>
      </c>
      <c r="H5" t="inlineStr">
        <is>
          <t>22 de las 50 tablas · 900 g de fruta + 300 g de azúcar + vinagre y cítrico, reducidos a 600 g de pasta densa</t>
        </is>
      </c>
    </row>
    <row r="6" ht="30" customHeight="1">
      <c r="A6" s="3" t="inlineStr">
        <is>
          <t>B-2</t>
        </is>
      </c>
      <c r="B6" t="inlineStr">
        <is>
          <t>Reducción densa de vino para tabla</t>
        </is>
      </c>
      <c r="C6" s="15" t="inlineStr">
        <is>
          <t>La reducción de Pedro Ximénez, Oporto o tinto de guarda que se dibuja en hilo sobre la tabla. Se reduce a un tercio y aguanta un mes en refrigeración.</t>
        </is>
      </c>
      <c r="D6" s="16" t="n">
        <v>250</v>
      </c>
      <c r="E6" t="inlineStr">
        <is>
          <t>ml</t>
        </is>
      </c>
      <c r="F6" s="17">
        <f>SUMIF(Ingredientes!$A:$A,103,Ingredientes!$I:$I)</f>
        <v/>
      </c>
      <c r="G6" s="12">
        <f>IFERROR(F6/D6,0)</f>
        <v/>
      </c>
      <c r="H6" t="inlineStr">
        <is>
          <t>5 de las 50 tablas · 750 ml de vino + azúcar y aromáticos reducidos a 250 ml de jarabe espeso</t>
        </is>
      </c>
    </row>
    <row r="7" ht="30" customHeight="1">
      <c r="A7" s="3" t="inlineStr">
        <is>
          <t>B-3</t>
        </is>
      </c>
      <c r="B7" t="inlineStr">
        <is>
          <t>Confit de cebolla o chalota al vino</t>
        </is>
      </c>
      <c r="C7" s="15" t="inlineStr">
        <is>
          <t>El confit de cebolla, chalota o cebollita caramelizada. Es la guarnición que mejor sostiene los quesos de corteza lavada y la que se puede producir en lote grande.</t>
        </is>
      </c>
      <c r="D7" s="16" t="n">
        <v>500</v>
      </c>
      <c r="E7" t="inlineStr">
        <is>
          <t>g</t>
        </is>
      </c>
      <c r="F7" s="17">
        <f>SUMIF(Ingredientes!$A:$A,104,Ingredientes!$I:$I)</f>
        <v/>
      </c>
      <c r="G7" s="12">
        <f>IFERROR(F7/D7,0)</f>
        <v/>
      </c>
      <c r="H7" t="inlineStr">
        <is>
          <t>2 de las 50 tablas · 1 kg de cebolla pochada con azúcar, vino y AOVE hasta 500 g de confit</t>
        </is>
      </c>
    </row>
    <row r="8" ht="30" customHeight="1">
      <c r="A8" s="3" t="inlineStr">
        <is>
          <t>B-4</t>
        </is>
      </c>
      <c r="B8" t="inlineStr">
        <is>
          <t>Encurtido rápido de la casa</t>
        </is>
      </c>
      <c r="C8" s="15" t="inlineStr">
        <is>
          <t>El encurtido rápido de cebolla morada, chile, ajo o verdura de temporada. Sale en veinte minutos, cuesta una fracción del tarro de importación y es el contrapunto ácido de la tabla.</t>
        </is>
      </c>
      <c r="D8" s="16" t="n">
        <v>700</v>
      </c>
      <c r="E8" t="inlineStr">
        <is>
          <t>g</t>
        </is>
      </c>
      <c r="F8" s="17">
        <f>SUMIF(Ingredientes!$A:$A,105,Ingredientes!$I:$I)</f>
        <v/>
      </c>
      <c r="G8" s="12">
        <f>IFERROR(F8/D8,0)</f>
        <v/>
      </c>
      <c r="H8" t="inlineStr">
        <is>
          <t>2 de las 50 tablas · 500 g de verdura + salmuera de vinagre, agua, azúcar y sal, rinde 700 g</t>
        </is>
      </c>
    </row>
    <row r="10">
      <c r="B10" s="7" t="inlineStr">
        <is>
          <t>Las cuatro preparaciones tienen su propia fórmula, cargada en la hoja «Ingredientes» con los números 102 en adelante. El costo del lote incluye sólo los insumos: la mano de obra de prepararlas ya está contada en los minutos de mise en place de cada tabla.</t>
        </is>
      </c>
    </row>
    <row r="12">
      <c r="A12" s="18" t="inlineStr">
        <is>
          <t>Notas técnicas</t>
        </is>
      </c>
    </row>
    <row r="13">
      <c r="B13" s="19" t="inlineStr">
        <is>
          <t>El ramequín es donde está el ahorro</t>
        </is>
      </c>
      <c r="C13" s="20" t="inlineStr">
        <is>
          <t>Una mermelada artesanal de importación cuesta entre $280 y $400 el kilo. La de la casa cuesta una fracción de eso, y es la guarnición húmeda más repetida del recetario.</t>
        </is>
      </c>
    </row>
    <row r="14">
      <c r="B14" s="19" t="inlineStr">
        <is>
          <t>Pésalas</t>
        </is>
      </c>
      <c r="C14" s="20" t="inlineStr">
        <is>
          <t>Hacer las guarniciones a ojo es la causa número uno de que el sabor de tus tablas cambie de una semana a otra. Estas cuatro fórmulas son la referencia.</t>
        </is>
      </c>
    </row>
    <row r="15">
      <c r="B15" s="19" t="inlineStr">
        <is>
          <t>El rendimiento es editable</t>
        </is>
      </c>
      <c r="C15" s="20" t="inlineStr">
        <is>
          <t>Si tu lote rinde más o menos, cámbialo aquí y las 50 tablas se recalculan. Mide una vez y ajústalo.</t>
        </is>
      </c>
    </row>
  </sheetData>
  <pageMargins left="0.75" right="0.75" top="1" bottom="1" header="0.5" footer="0.5"/>
</worksheet>
</file>

<file path=xl/worksheets/sheet4.xml><?xml version="1.0" encoding="utf-8"?>
<worksheet xmlns="http://schemas.openxmlformats.org/spreadsheetml/2006/main">
  <sheetPr>
    <tabColor rgb="00C98BCB"/>
    <outlinePr summaryBelow="1" summaryRight="1"/>
    <pageSetUpPr/>
  </sheetPr>
  <dimension ref="A1:I530"/>
  <sheetViews>
    <sheetView showGridLines="0" workbookViewId="0">
      <pane xSplit="4" ySplit="4" topLeftCell="E5" activePane="bottomRight" state="frozen"/>
      <selection pane="topRight"/>
      <selection pane="bottomLeft"/>
      <selection pane="bottomRight" activeCell="A1" sqref="A1"/>
    </sheetView>
  </sheetViews>
  <sheetFormatPr baseColWidth="8" defaultRowHeight="15"/>
  <cols>
    <col width="6" customWidth="1" min="1" max="1"/>
    <col width="42" customWidth="1" min="2" max="2"/>
    <col width="12" customWidth="1" min="3" max="3"/>
    <col width="60" customWidth="1" min="4" max="4"/>
    <col width="46" customWidth="1" min="5" max="5"/>
    <col width="11" customWidth="1" min="6" max="6"/>
    <col width="8" customWidth="1" min="7" max="7"/>
    <col width="13" customWidth="1" min="8" max="8"/>
    <col width="12" customWidth="1" min="9" max="9"/>
  </cols>
  <sheetData>
    <row r="1">
      <c r="A1" s="1" t="inlineStr">
        <is>
          <t>Ingredientes</t>
        </is>
      </c>
    </row>
    <row r="2">
      <c r="A2" s="7" t="inlineStr">
        <is>
          <t>Cada línea del recetario normalizada a un insumo del catálogo, con el texto original del chef al lado para auditarla.</t>
        </is>
      </c>
    </row>
    <row r="4" ht="30" customHeight="1">
      <c r="A4" s="8" t="inlineStr">
        <is>
          <t>Nº</t>
        </is>
      </c>
      <c r="B4" s="8" t="inlineStr">
        <is>
          <t>Receta</t>
        </is>
      </c>
      <c r="C4" s="8" t="inlineStr">
        <is>
          <t>Bloque</t>
        </is>
      </c>
      <c r="D4" s="8" t="inlineStr">
        <is>
          <t>Texto original del chef</t>
        </is>
      </c>
      <c r="E4" s="8" t="inlineStr">
        <is>
          <t>Insumo</t>
        </is>
      </c>
      <c r="F4" s="8" t="inlineStr">
        <is>
          <t>Cantidad</t>
        </is>
      </c>
      <c r="G4" s="8" t="inlineStr">
        <is>
          <t>Unidad</t>
        </is>
      </c>
      <c r="H4" s="8" t="inlineStr">
        <is>
          <t>Costo unitario</t>
        </is>
      </c>
      <c r="I4" s="8" t="inlineStr">
        <is>
          <t>Costo</t>
        </is>
      </c>
    </row>
    <row r="5">
      <c r="A5" t="n">
        <v>1</v>
      </c>
      <c r="B5" s="21" t="inlineStr">
        <is>
          <t>Tabla Ibérica Pura Bellota (Jamón 100% Ibérico de Bellota, Lomo de Bellota, Manchego DOP Viejo y Torta del Casar DOP)</t>
        </is>
      </c>
      <c r="C5" t="inlineStr">
        <is>
          <t>charcuteria</t>
        </is>
      </c>
      <c r="D5" s="22" t="inlineStr">
        <is>
          <t>120 g Jamón 100% Ibérico de Bellota cortado a cuchillo en lonchas traslúcidas de 4 a 5 cm (aprox. 1 mm de espesor, con grasa infiltrada nacarada)</t>
        </is>
      </c>
      <c r="E5" s="6" t="inlineStr">
        <is>
          <t>Jamón 100% ibérico de bellota (loncheado a cuchillo)</t>
        </is>
      </c>
      <c r="F5" s="16" t="n">
        <v>120</v>
      </c>
      <c r="G5" t="inlineStr">
        <is>
          <t>g</t>
        </is>
      </c>
      <c r="H5" s="12">
        <f>IFERROR(VLOOKUP(E5,Insumos!$C$5:$G$181,5,FALSE),0)</f>
        <v/>
      </c>
      <c r="I5" s="17">
        <f>F5*H5</f>
        <v/>
      </c>
    </row>
    <row r="6">
      <c r="A6" t="n">
        <v>1</v>
      </c>
      <c r="B6" s="21" t="inlineStr">
        <is>
          <t>Tabla Ibérica Pura Bellota (Jamón 100% Ibérico de Bellota, Lomo de Bellota, Manchego DOP Viejo y Torta del Casar DOP)</t>
        </is>
      </c>
      <c r="C6" t="inlineStr">
        <is>
          <t>charcuteria</t>
        </is>
      </c>
      <c r="D6" s="22" t="inlineStr">
        <is>
          <t>80 g Caña de Lomo 100% Ibérico de Bellota curado en tripa natural, cortado al bies en láminas de 1.5 mm</t>
        </is>
      </c>
      <c r="E6" s="6" t="inlineStr">
        <is>
          <t>Caña de lomo 100% ibérico de bellota</t>
        </is>
      </c>
      <c r="F6" s="16" t="n">
        <v>80</v>
      </c>
      <c r="G6" t="inlineStr">
        <is>
          <t>g</t>
        </is>
      </c>
      <c r="H6" s="12">
        <f>IFERROR(VLOOKUP(E6,Insumos!$C$5:$G$181,5,FALSE),0)</f>
        <v/>
      </c>
      <c r="I6" s="17">
        <f>F6*H6</f>
        <v/>
      </c>
    </row>
    <row r="7">
      <c r="A7" t="n">
        <v>1</v>
      </c>
      <c r="B7" s="21" t="inlineStr">
        <is>
          <t>Tabla Ibérica Pura Bellota (Jamón 100% Ibérico de Bellota, Lomo de Bellota, Manchego DOP Viejo y Torta del Casar DOP)</t>
        </is>
      </c>
      <c r="C7" t="inlineStr">
        <is>
          <t>queso</t>
        </is>
      </c>
      <c r="D7" s="22" t="inlineStr">
        <is>
          <t>130 g Torta del Casar DOP (queso de leche cruda de oveja merina, coagulación con cuajo vegetal de flor de cardo Cynara cardunculus, pasta blanda untuosa fluida)</t>
        </is>
      </c>
      <c r="E7" s="6" t="inlineStr">
        <is>
          <t>Torta de cuajo vegetal DOP (Casar, La Serena)</t>
        </is>
      </c>
      <c r="F7" s="16" t="n">
        <v>130</v>
      </c>
      <c r="G7" t="inlineStr">
        <is>
          <t>g</t>
        </is>
      </c>
      <c r="H7" s="12">
        <f>IFERROR(VLOOKUP(E7,Insumos!$C$5:$G$181,5,FALSE),0)</f>
        <v/>
      </c>
      <c r="I7" s="17">
        <f>F7*H7</f>
        <v/>
      </c>
    </row>
    <row r="8">
      <c r="A8" t="n">
        <v>1</v>
      </c>
      <c r="B8" s="21" t="inlineStr">
        <is>
          <t>Tabla Ibérica Pura Bellota (Jamón 100% Ibérico de Bellota, Lomo de Bellota, Manchego DOP Viejo y Torta del Casar DOP)</t>
        </is>
      </c>
      <c r="C8" t="inlineStr">
        <is>
          <t>queso</t>
        </is>
      </c>
      <c r="D8" s="22" t="inlineStr">
        <is>
          <t>120 g Queso Manchego DOP Artesano Viejo (mínimo 10 a 12 meses de maduración, leche cruda de oveja manchega, pasta dura quebradiza) cortado en cuñas de 5 mm</t>
        </is>
      </c>
      <c r="E8" s="6" t="inlineStr">
        <is>
          <t>Queso manchego DOP artesano viejo o gran reserva</t>
        </is>
      </c>
      <c r="F8" s="16" t="n">
        <v>120</v>
      </c>
      <c r="G8" t="inlineStr">
        <is>
          <t>g</t>
        </is>
      </c>
      <c r="H8" s="12">
        <f>IFERROR(VLOOKUP(E8,Insumos!$C$5:$G$181,5,FALSE),0)</f>
        <v/>
      </c>
      <c r="I8" s="17">
        <f>F8*H8</f>
        <v/>
      </c>
    </row>
    <row r="9">
      <c r="A9" t="n">
        <v>1</v>
      </c>
      <c r="B9" s="21" t="inlineStr">
        <is>
          <t>Tabla Ibérica Pura Bellota (Jamón 100% Ibérico de Bellota, Lomo de Bellota, Manchego DOP Viejo y Torta del Casar DOP)</t>
        </is>
      </c>
      <c r="C9" t="inlineStr">
        <is>
          <t>seco</t>
        </is>
      </c>
      <c r="D9" s="22" t="inlineStr">
        <is>
          <t>60 g Picos camperos andaluces elaborados con aceite de oliva virgen extra y masa madre</t>
        </is>
      </c>
      <c r="E9" s="6" t="inlineStr">
        <is>
          <t>Picos, regañás o colines andaluces</t>
        </is>
      </c>
      <c r="F9" s="16" t="n">
        <v>60</v>
      </c>
      <c r="G9" t="inlineStr">
        <is>
          <t>g</t>
        </is>
      </c>
      <c r="H9" s="12">
        <f>IFERROR(VLOOKUP(E9,Insumos!$C$5:$G$181,5,FALSE),0)</f>
        <v/>
      </c>
      <c r="I9" s="17">
        <f>F9*H9</f>
        <v/>
      </c>
    </row>
    <row r="10">
      <c r="A10" t="n">
        <v>1</v>
      </c>
      <c r="B10" s="21" t="inlineStr">
        <is>
          <t>Tabla Ibérica Pura Bellota (Jamón 100% Ibérico de Bellota, Lomo de Bellota, Manchego DOP Viejo y Torta del Casar DOP)</t>
        </is>
      </c>
      <c r="C10" t="inlineStr">
        <is>
          <t>seco</t>
        </is>
      </c>
      <c r="D10" s="22" t="inlineStr">
        <is>
          <t>40 g Regañás sevillanas artesanales de ajonjolí</t>
        </is>
      </c>
      <c r="E10" s="6" t="inlineStr">
        <is>
          <t>Picos, regañás o colines andaluces</t>
        </is>
      </c>
      <c r="F10" s="16" t="n">
        <v>40</v>
      </c>
      <c r="G10" t="inlineStr">
        <is>
          <t>g</t>
        </is>
      </c>
      <c r="H10" s="12">
        <f>IFERROR(VLOOKUP(E10,Insumos!$C$5:$G$181,5,FALSE),0)</f>
        <v/>
      </c>
      <c r="I10" s="17">
        <f>F10*H10</f>
        <v/>
      </c>
    </row>
    <row r="11">
      <c r="A11" t="n">
        <v>1</v>
      </c>
      <c r="B11" s="21" t="inlineStr">
        <is>
          <t>Tabla Ibérica Pura Bellota (Jamón 100% Ibérico de Bellota, Lomo de Bellota, Manchego DOP Viejo y Torta del Casar DOP)</t>
        </is>
      </c>
      <c r="C11" t="inlineStr">
        <is>
          <t>seco</t>
        </is>
      </c>
      <c r="D11" s="22" t="inlineStr">
        <is>
          <t>50 g Almendras variedad Marcona tostadas y fritas en AOVE con sal marina gruesa</t>
        </is>
      </c>
      <c r="E11" s="6" t="inlineStr">
        <is>
          <t>Almendra Marcona pelada y frita en AOVE</t>
        </is>
      </c>
      <c r="F11" s="16" t="n">
        <v>50</v>
      </c>
      <c r="G11" t="inlineStr">
        <is>
          <t>g</t>
        </is>
      </c>
      <c r="H11" s="12">
        <f>IFERROR(VLOOKUP(E11,Insumos!$C$5:$G$181,5,FALSE),0)</f>
        <v/>
      </c>
      <c r="I11" s="17">
        <f>F11*H11</f>
        <v/>
      </c>
    </row>
    <row r="12">
      <c r="A12" t="n">
        <v>1</v>
      </c>
      <c r="B12" s="21" t="inlineStr">
        <is>
          <t>Tabla Ibérica Pura Bellota (Jamón 100% Ibérico de Bellota, Lomo de Bellota, Manchego DOP Viejo y Torta del Casar DOP)</t>
        </is>
      </c>
      <c r="C12" t="inlineStr">
        <is>
          <t>humedo</t>
        </is>
      </c>
      <c r="D12" s="22" t="inlineStr">
        <is>
          <t>80 g Uvas blancas de mesa variedad Moscatel o Thompson sin semillas (racimo pequeño seco)</t>
        </is>
      </c>
      <c r="E12" s="6" t="inlineStr">
        <is>
          <t>Uva de mesa sin semilla (blanca, roja o negra)</t>
        </is>
      </c>
      <c r="F12" s="16" t="n">
        <v>80</v>
      </c>
      <c r="G12" t="inlineStr">
        <is>
          <t>g</t>
        </is>
      </c>
      <c r="H12" s="12">
        <f>IFERROR(VLOOKUP(E12,Insumos!$C$5:$G$181,5,FALSE),0)</f>
        <v/>
      </c>
      <c r="I12" s="17">
        <f>F12*H12</f>
        <v/>
      </c>
    </row>
    <row r="13">
      <c r="A13" t="n">
        <v>1</v>
      </c>
      <c r="B13" s="21" t="inlineStr">
        <is>
          <t>Tabla Ibérica Pura Bellota (Jamón 100% Ibérico de Bellota, Lomo de Bellota, Manchego DOP Viejo y Torta del Casar DOP)</t>
        </is>
      </c>
      <c r="C13" t="inlineStr">
        <is>
          <t>humedo</t>
        </is>
      </c>
      <c r="D13" s="22" t="inlineStr">
        <is>
          <t>50 g Membrillo artesanal de Puente Genil cortado en dados de 1 cm</t>
        </is>
      </c>
      <c r="E13" s="6" t="inlineStr">
        <is>
          <t>Carne de membrillo, ate o dulce de fruta artesanal</t>
        </is>
      </c>
      <c r="F13" s="16" t="n">
        <v>50</v>
      </c>
      <c r="G13" t="inlineStr">
        <is>
          <t>g</t>
        </is>
      </c>
      <c r="H13" s="12">
        <f>IFERROR(VLOOKUP(E13,Insumos!$C$5:$G$181,5,FALSE),0)</f>
        <v/>
      </c>
      <c r="I13" s="17">
        <f>F13*H13</f>
        <v/>
      </c>
    </row>
    <row r="14">
      <c r="A14" t="n">
        <v>1</v>
      </c>
      <c r="B14" s="21" t="inlineStr">
        <is>
          <t>Tabla Ibérica Pura Bellota (Jamón 100% Ibérico de Bellota, Lomo de Bellota, Manchego DOP Viejo y Torta del Casar DOP)</t>
        </is>
      </c>
      <c r="C14" t="inlineStr">
        <is>
          <t>humedo</t>
        </is>
      </c>
      <c r="D14" s="22" t="inlineStr">
        <is>
          <t>40 g Aceitunas Gordal sevillanas marinadas con naranja y orégano (en ramequín cerámico cerrado)</t>
        </is>
      </c>
      <c r="E14" s="6" t="inlineStr">
        <is>
          <t>Aceituna de mesa aliñada (Gordal, Manzanilla, Campo Real, Gaeta)</t>
        </is>
      </c>
      <c r="F14" s="16" t="n">
        <v>40</v>
      </c>
      <c r="G14" t="inlineStr">
        <is>
          <t>g</t>
        </is>
      </c>
      <c r="H14" s="12">
        <f>IFERROR(VLOOKUP(E14,Insumos!$C$5:$G$181,5,FALSE),0)</f>
        <v/>
      </c>
      <c r="I14" s="17">
        <f>F14*H14</f>
        <v/>
      </c>
    </row>
    <row r="15">
      <c r="A15" t="n">
        <v>2</v>
      </c>
      <c r="B15" s="21" t="inlineStr">
        <is>
          <t>Dehesa &amp; Montanera (Salchichón Ibérico de Bellota, Chorizo Cular, Mahón Curado y Queso Idiazábal Ahumado DOP)</t>
        </is>
      </c>
      <c r="C15" t="inlineStr">
        <is>
          <t>charcuteria</t>
        </is>
      </c>
      <c r="D15" s="22" t="inlineStr">
        <is>
          <t>90 g Chorizo Cular Ibérico de Bellota (carne de cerdo ibérico picada gruesa, pimentón de la Vera DOP dulce y agridulce, ajo y orégano) cortado al bies en láminas de 1.5 mm</t>
        </is>
      </c>
      <c r="E15" s="6" t="inlineStr">
        <is>
          <t>Chorizo cular ibérico de bellota</t>
        </is>
      </c>
      <c r="F15" s="16" t="n">
        <v>90</v>
      </c>
      <c r="G15" t="inlineStr">
        <is>
          <t>g</t>
        </is>
      </c>
      <c r="H15" s="12">
        <f>IFERROR(VLOOKUP(E15,Insumos!$C$5:$G$181,5,FALSE),0)</f>
        <v/>
      </c>
      <c r="I15" s="17">
        <f>F15*H15</f>
        <v/>
      </c>
    </row>
    <row r="16">
      <c r="A16" t="n">
        <v>2</v>
      </c>
      <c r="B16" s="21" t="inlineStr">
        <is>
          <t>Dehesa &amp; Montanera (Salchichón Ibérico de Bellota, Chorizo Cular, Mahón Curado y Queso Idiazábal Ahumado DOP)</t>
        </is>
      </c>
      <c r="C16" t="inlineStr">
        <is>
          <t>charcuteria</t>
        </is>
      </c>
      <c r="D16" s="22" t="inlineStr">
        <is>
          <t>90 g Salchichón Ibérico de Bellota (carne magra de cerdo ibérico con grasa picada, pimienta negra en grano entero y nuez moscada) cortado en láminas de 1.5 mm</t>
        </is>
      </c>
      <c r="E16" s="6" t="inlineStr">
        <is>
          <t>Salchichón ibérico de bellota</t>
        </is>
      </c>
      <c r="F16" s="16" t="n">
        <v>90</v>
      </c>
      <c r="G16" t="inlineStr">
        <is>
          <t>g</t>
        </is>
      </c>
      <c r="H16" s="12">
        <f>IFERROR(VLOOKUP(E16,Insumos!$C$5:$G$181,5,FALSE),0)</f>
        <v/>
      </c>
      <c r="I16" s="17">
        <f>F16*H16</f>
        <v/>
      </c>
    </row>
    <row r="17">
      <c r="A17" t="n">
        <v>2</v>
      </c>
      <c r="B17" s="21" t="inlineStr">
        <is>
          <t>Dehesa &amp; Montanera (Salchichón Ibérico de Bellota, Chorizo Cular, Mahón Curado y Queso Idiazábal Ahumado DOP)</t>
        </is>
      </c>
      <c r="C17" t="inlineStr">
        <is>
          <t>queso</t>
        </is>
      </c>
      <c r="D17" s="22" t="inlineStr">
        <is>
          <t>110 g Queso Idiazábal DOP Ahumado (leche cruda de oveja Latxa o Carranzana, pasta prensada dura, ahumado tradicional con madera de haya o roble) cortado en bastones de 6 cm x 1 cm x 1 cm</t>
        </is>
      </c>
      <c r="E17" s="6" t="inlineStr">
        <is>
          <t>Queso de oveja prensado ahumado o de cuajo (Roncal, Idiazábal)</t>
        </is>
      </c>
      <c r="F17" s="16" t="n">
        <v>110</v>
      </c>
      <c r="G17" t="inlineStr">
        <is>
          <t>g</t>
        </is>
      </c>
      <c r="H17" s="12">
        <f>IFERROR(VLOOKUP(E17,Insumos!$C$5:$G$181,5,FALSE),0)</f>
        <v/>
      </c>
      <c r="I17" s="17">
        <f>F17*H17</f>
        <v/>
      </c>
    </row>
    <row r="18">
      <c r="A18" t="n">
        <v>2</v>
      </c>
      <c r="B18" s="21" t="inlineStr">
        <is>
          <t>Dehesa &amp; Montanera (Salchichón Ibérico de Bellota, Chorizo Cular, Mahón Curado y Queso Idiazábal Ahumado DOP)</t>
        </is>
      </c>
      <c r="C18" t="inlineStr">
        <is>
          <t>queso</t>
        </is>
      </c>
      <c r="D18" s="22" t="inlineStr">
        <is>
          <t>110 g Queso Mahón-Menorca DOP Curado (leche cruda de vaca frisona y menorquina, maduración superior a 9 meses, corteza untada en pimentón y aceite) cortado en triángulos de 4 mm</t>
        </is>
      </c>
      <c r="E18" s="6" t="inlineStr">
        <is>
          <t>Mahón-Menorca DOP curado</t>
        </is>
      </c>
      <c r="F18" s="16" t="n">
        <v>110</v>
      </c>
      <c r="G18" t="inlineStr">
        <is>
          <t>g</t>
        </is>
      </c>
      <c r="H18" s="12">
        <f>IFERROR(VLOOKUP(E18,Insumos!$C$5:$G$181,5,FALSE),0)</f>
        <v/>
      </c>
      <c r="I18" s="17">
        <f>F18*H18</f>
        <v/>
      </c>
    </row>
    <row r="19">
      <c r="A19" t="n">
        <v>2</v>
      </c>
      <c r="B19" s="21" t="inlineStr">
        <is>
          <t>Dehesa &amp; Montanera (Salchichón Ibérico de Bellota, Chorizo Cular, Mahón Curado y Queso Idiazábal Ahumado DOP)</t>
        </is>
      </c>
      <c r="C19" t="inlineStr">
        <is>
          <t>seco</t>
        </is>
      </c>
      <c r="D19" s="22" t="inlineStr">
        <is>
          <t>50 g Tostas de pan de cristal artesanal horneadas con aceite de oliva virgen extra</t>
        </is>
      </c>
      <c r="E19" s="6" t="inlineStr">
        <is>
          <t>Pan artesanal de masa madre (cristal, payés, candeal, hogaza)</t>
        </is>
      </c>
      <c r="F19" s="16" t="n">
        <v>50</v>
      </c>
      <c r="G19" t="inlineStr">
        <is>
          <t>g</t>
        </is>
      </c>
      <c r="H19" s="12">
        <f>IFERROR(VLOOKUP(E19,Insumos!$C$5:$G$181,5,FALSE),0)</f>
        <v/>
      </c>
      <c r="I19" s="17">
        <f>F19*H19</f>
        <v/>
      </c>
    </row>
    <row r="20">
      <c r="A20" t="n">
        <v>2</v>
      </c>
      <c r="B20" s="21" t="inlineStr">
        <is>
          <t>Dehesa &amp; Montanera (Salchichón Ibérico de Bellota, Chorizo Cular, Mahón Curado y Queso Idiazábal Ahumado DOP)</t>
        </is>
      </c>
      <c r="C20" t="inlineStr">
        <is>
          <t>seco</t>
        </is>
      </c>
      <c r="D20" s="22" t="inlineStr">
        <is>
          <t>40 g Colines de trigo sarraceno crujientes</t>
        </is>
      </c>
      <c r="E20" s="6" t="inlineStr">
        <is>
          <t>Picos, regañás o colines andaluces</t>
        </is>
      </c>
      <c r="F20" s="16" t="n">
        <v>40</v>
      </c>
      <c r="G20" t="inlineStr">
        <is>
          <t>g</t>
        </is>
      </c>
      <c r="H20" s="12">
        <f>IFERROR(VLOOKUP(E20,Insumos!$C$5:$G$181,5,FALSE),0)</f>
        <v/>
      </c>
      <c r="I20" s="17">
        <f>F20*H20</f>
        <v/>
      </c>
    </row>
    <row r="21">
      <c r="A21" t="n">
        <v>2</v>
      </c>
      <c r="B21" s="21" t="inlineStr">
        <is>
          <t>Dehesa &amp; Montanera (Salchichón Ibérico de Bellota, Chorizo Cular, Mahón Curado y Queso Idiazábal Ahumado DOP)</t>
        </is>
      </c>
      <c r="C21" t="inlineStr">
        <is>
          <t>seco</t>
        </is>
      </c>
      <c r="D21" s="22" t="inlineStr">
        <is>
          <t>40 g Nueces de Castilla peladas en mitades enteras tostadas sin sal</t>
        </is>
      </c>
      <c r="E21" s="6" t="inlineStr">
        <is>
          <t>Nuez de Castilla o de nogal en mitades</t>
        </is>
      </c>
      <c r="F21" s="16" t="n">
        <v>40</v>
      </c>
      <c r="G21" t="inlineStr">
        <is>
          <t>g</t>
        </is>
      </c>
      <c r="H21" s="12">
        <f>IFERROR(VLOOKUP(E21,Insumos!$C$5:$G$181,5,FALSE),0)</f>
        <v/>
      </c>
      <c r="I21" s="17">
        <f>F21*H21</f>
        <v/>
      </c>
    </row>
    <row r="22">
      <c r="A22" t="n">
        <v>2</v>
      </c>
      <c r="B22" s="21" t="inlineStr">
        <is>
          <t>Dehesa &amp; Montanera (Salchichón Ibérico de Bellota, Chorizo Cular, Mahón Curado y Queso Idiazábal Ahumado DOP)</t>
        </is>
      </c>
      <c r="C22" t="inlineStr">
        <is>
          <t>humedo</t>
        </is>
      </c>
      <c r="D22" s="22" t="inlineStr">
        <is>
          <t>45 g Mermelada densa de higos negros con vinagre de Jerez (en ramequín cerámico)</t>
        </is>
      </c>
      <c r="E22" s="6" t="inlineStr">
        <is>
          <t>Mermelada o compota densa de la casa (elaborada)</t>
        </is>
      </c>
      <c r="F22" s="16" t="n">
        <v>45</v>
      </c>
      <c r="G22" t="inlineStr">
        <is>
          <t>g</t>
        </is>
      </c>
      <c r="H22" s="12">
        <f>IFERROR(VLOOKUP(E22,Insumos!$C$5:$G$181,5,FALSE),0)</f>
        <v/>
      </c>
      <c r="I22" s="17">
        <f>F22*H22</f>
        <v/>
      </c>
    </row>
    <row r="23">
      <c r="A23" t="n">
        <v>2</v>
      </c>
      <c r="B23" s="21" t="inlineStr">
        <is>
          <t>Dehesa &amp; Montanera (Salchichón Ibérico de Bellota, Chorizo Cular, Mahón Curado y Queso Idiazábal Ahumado DOP)</t>
        </is>
      </c>
      <c r="C23" t="inlineStr">
        <is>
          <t>humedo</t>
        </is>
      </c>
      <c r="D23" s="22" t="inlineStr">
        <is>
          <t>40 g Pepinillos encurtidos baby en vinagre de manzana (en ramequín)</t>
        </is>
      </c>
      <c r="E23" s="6" t="inlineStr">
        <is>
          <t>Pepinillo, cornichon o encurtido agridulce</t>
        </is>
      </c>
      <c r="F23" s="16" t="n">
        <v>40</v>
      </c>
      <c r="G23" t="inlineStr">
        <is>
          <t>g</t>
        </is>
      </c>
      <c r="H23" s="12">
        <f>IFERROR(VLOOKUP(E23,Insumos!$C$5:$G$181,5,FALSE),0)</f>
        <v/>
      </c>
      <c r="I23" s="17">
        <f>F23*H23</f>
        <v/>
      </c>
    </row>
    <row r="24">
      <c r="A24" t="n">
        <v>2</v>
      </c>
      <c r="B24" s="21" t="inlineStr">
        <is>
          <t>Dehesa &amp; Montanera (Salchichón Ibérico de Bellota, Chorizo Cular, Mahón Curado y Queso Idiazábal Ahumado DOP)</t>
        </is>
      </c>
      <c r="C24" t="inlineStr">
        <is>
          <t>humedo</t>
        </is>
      </c>
      <c r="D24" s="22" t="inlineStr">
        <is>
          <t>60 g Manzana reineta o Granny Smith cortada en medias lunas finas maceradas en unas gotas de limón</t>
        </is>
      </c>
      <c r="E24" s="6" t="inlineStr">
        <is>
          <t>Manzana ácida (Granny Smith, reineta, perona)</t>
        </is>
      </c>
      <c r="F24" s="16" t="n">
        <v>60</v>
      </c>
      <c r="G24" t="inlineStr">
        <is>
          <t>g</t>
        </is>
      </c>
      <c r="H24" s="12">
        <f>IFERROR(VLOOKUP(E24,Insumos!$C$5:$G$181,5,FALSE),0)</f>
        <v/>
      </c>
      <c r="I24" s="17">
        <f>F24*H24</f>
        <v/>
      </c>
    </row>
    <row r="25">
      <c r="A25" t="n">
        <v>3</v>
      </c>
      <c r="B25" s="21" t="inlineStr">
        <is>
          <t>Pirineos &amp; Rastrojo (Cecina de León IGP, Fuet Artesano de Vic, Garrotxa de Cabra y Roncal DOP)</t>
        </is>
      </c>
      <c r="C25" t="inlineStr">
        <is>
          <t>charcuteria</t>
        </is>
      </c>
      <c r="D25" s="22" t="inlineStr">
        <is>
          <t>100 g Cecina de León IGP de vacuno mayor (mínimo 12 meses de curado, corte de tapa o babilla, ahumado suave con roble) cortada a máquina en lonchas de 1 mm</t>
        </is>
      </c>
      <c r="E25" s="6" t="inlineStr">
        <is>
          <t>Cecina de vacuno curada IGP (León, montaña)</t>
        </is>
      </c>
      <c r="F25" s="16" t="n">
        <v>100</v>
      </c>
      <c r="G25" t="inlineStr">
        <is>
          <t>g</t>
        </is>
      </c>
      <c r="H25" s="12">
        <f>IFERROR(VLOOKUP(E25,Insumos!$C$5:$G$181,5,FALSE),0)</f>
        <v/>
      </c>
      <c r="I25" s="17">
        <f>F25*H25</f>
        <v/>
      </c>
    </row>
    <row r="26">
      <c r="A26" t="n">
        <v>3</v>
      </c>
      <c r="B26" s="21" t="inlineStr">
        <is>
          <t>Pirineos &amp; Rastrojo (Cecina de León IGP, Fuet Artesano de Vic, Garrotxa de Cabra y Roncal DOP)</t>
        </is>
      </c>
      <c r="C26" t="inlineStr">
        <is>
          <t>charcuteria</t>
        </is>
      </c>
      <c r="D26" s="22" t="inlineStr">
        <is>
          <t>80 g Fuet artesano catalán con indicación tradicional (tripa natural con floración superficial de Penicillium nalgiovense) cortado en rodajas de 4 mm</t>
        </is>
      </c>
      <c r="E26" s="6" t="inlineStr">
        <is>
          <t>Fuet artesano catalán</t>
        </is>
      </c>
      <c r="F26" s="16" t="n">
        <v>80</v>
      </c>
      <c r="G26" t="inlineStr">
        <is>
          <t>g</t>
        </is>
      </c>
      <c r="H26" s="12">
        <f>IFERROR(VLOOKUP(E26,Insumos!$C$5:$G$181,5,FALSE),0)</f>
        <v/>
      </c>
      <c r="I26" s="17">
        <f>F26*H26</f>
        <v/>
      </c>
    </row>
    <row r="27">
      <c r="A27" t="n">
        <v>3</v>
      </c>
      <c r="B27" s="21" t="inlineStr">
        <is>
          <t>Pirineos &amp; Rastrojo (Cecina de León IGP, Fuet Artesano de Vic, Garrotxa de Cabra y Roncal DOP)</t>
        </is>
      </c>
      <c r="C27" t="inlineStr">
        <is>
          <t>queso</t>
        </is>
      </c>
      <c r="D27" s="22" t="inlineStr">
        <is>
          <t>110 g Queso Garrotxa (leche pasteurizada de cabra, pasta prensada semidura, corteza gris aterciopelada enmohecida natural) cortado en cuñas de 6 mm</t>
        </is>
      </c>
      <c r="E27" s="6" t="inlineStr">
        <is>
          <t>Queso de cabra prensado semiduro (Garrotxa, Payoyo, Ibores)</t>
        </is>
      </c>
      <c r="F27" s="16" t="n">
        <v>110</v>
      </c>
      <c r="G27" t="inlineStr">
        <is>
          <t>g</t>
        </is>
      </c>
      <c r="H27" s="12">
        <f>IFERROR(VLOOKUP(E27,Insumos!$C$5:$G$181,5,FALSE),0)</f>
        <v/>
      </c>
      <c r="I27" s="17">
        <f>F27*H27</f>
        <v/>
      </c>
    </row>
    <row r="28">
      <c r="A28" t="n">
        <v>3</v>
      </c>
      <c r="B28" s="21" t="inlineStr">
        <is>
          <t>Pirineos &amp; Rastrojo (Cecina de León IGP, Fuet Artesano de Vic, Garrotxa de Cabra y Roncal DOP)</t>
        </is>
      </c>
      <c r="C28" t="inlineStr">
        <is>
          <t>queso</t>
        </is>
      </c>
      <c r="D28" s="22" t="inlineStr">
        <is>
          <t>110 g Queso Roncal DOP (primer queso con denominación de origen en España, leche cruda de oveja Rasa y Lacha, 6 meses de curación mínima) cortado en triángulos finos de 4 mm</t>
        </is>
      </c>
      <c r="E28" s="6" t="inlineStr">
        <is>
          <t>Queso de oveja prensado ahumado o de cuajo (Roncal, Idiazábal)</t>
        </is>
      </c>
      <c r="F28" s="16" t="n">
        <v>110</v>
      </c>
      <c r="G28" t="inlineStr">
        <is>
          <t>g</t>
        </is>
      </c>
      <c r="H28" s="12">
        <f>IFERROR(VLOOKUP(E28,Insumos!$C$5:$G$181,5,FALSE),0)</f>
        <v/>
      </c>
      <c r="I28" s="17">
        <f>F28*H28</f>
        <v/>
      </c>
    </row>
    <row r="29">
      <c r="A29" t="n">
        <v>3</v>
      </c>
      <c r="B29" s="21" t="inlineStr">
        <is>
          <t>Pirineos &amp; Rastrojo (Cecina de León IGP, Fuet Artesano de Vic, Garrotxa de Cabra y Roncal DOP)</t>
        </is>
      </c>
      <c r="C29" t="inlineStr">
        <is>
          <t>seco</t>
        </is>
      </c>
      <c r="D29" s="22" t="inlineStr">
        <is>
          <t>60 g Rebanadas finas de pan de payés tostado a la leña</t>
        </is>
      </c>
      <c r="E29" s="6" t="inlineStr">
        <is>
          <t>Pan artesanal de masa madre (cristal, payés, candeal, hogaza)</t>
        </is>
      </c>
      <c r="F29" s="16" t="n">
        <v>60</v>
      </c>
      <c r="G29" t="inlineStr">
        <is>
          <t>g</t>
        </is>
      </c>
      <c r="H29" s="12">
        <f>IFERROR(VLOOKUP(E29,Insumos!$C$5:$G$181,5,FALSE),0)</f>
        <v/>
      </c>
      <c r="I29" s="17">
        <f>F29*H29</f>
        <v/>
      </c>
    </row>
    <row r="30">
      <c r="A30" t="n">
        <v>3</v>
      </c>
      <c r="B30" s="21" t="inlineStr">
        <is>
          <t>Pirineos &amp; Rastrojo (Cecina de León IGP, Fuet Artesano de Vic, Garrotxa de Cabra y Roncal DOP)</t>
        </is>
      </c>
      <c r="C30" t="inlineStr">
        <is>
          <t>seco</t>
        </is>
      </c>
      <c r="D30" s="22" t="inlineStr">
        <is>
          <t>40 g Picos de pan artesanos con aceite de oliva virgen extra</t>
        </is>
      </c>
      <c r="E30" s="6" t="inlineStr">
        <is>
          <t>Picos, regañás o colines andaluces</t>
        </is>
      </c>
      <c r="F30" s="16" t="n">
        <v>40</v>
      </c>
      <c r="G30" t="inlineStr">
        <is>
          <t>g</t>
        </is>
      </c>
      <c r="H30" s="12">
        <f>IFERROR(VLOOKUP(E30,Insumos!$C$5:$G$181,5,FALSE),0)</f>
        <v/>
      </c>
      <c r="I30" s="17">
        <f>F30*H30</f>
        <v/>
      </c>
    </row>
    <row r="31">
      <c r="A31" t="n">
        <v>3</v>
      </c>
      <c r="B31" s="21" t="inlineStr">
        <is>
          <t>Pirineos &amp; Rastrojo (Cecina de León IGP, Fuet Artesano de Vic, Garrotxa de Cabra y Roncal DOP)</t>
        </is>
      </c>
      <c r="C31" t="inlineStr">
        <is>
          <t>seco</t>
        </is>
      </c>
      <c r="D31" s="22" t="inlineStr">
        <is>
          <t>35 g Avellanas de Reus DOP tostadas con piel</t>
        </is>
      </c>
      <c r="E31" s="6" t="inlineStr">
        <is>
          <t>Avellana tostada (Reus DOP, Piamonte IGP)</t>
        </is>
      </c>
      <c r="F31" s="16" t="n">
        <v>35</v>
      </c>
      <c r="G31" t="inlineStr">
        <is>
          <t>g</t>
        </is>
      </c>
      <c r="H31" s="12">
        <f>IFERROR(VLOOKUP(E31,Insumos!$C$5:$G$181,5,FALSE),0)</f>
        <v/>
      </c>
      <c r="I31" s="17">
        <f>F31*H31</f>
        <v/>
      </c>
    </row>
    <row r="32">
      <c r="A32" t="n">
        <v>3</v>
      </c>
      <c r="B32" s="21" t="inlineStr">
        <is>
          <t>Pirineos &amp; Rastrojo (Cecina de León IGP, Fuet Artesano de Vic, Garrotxa de Cabra y Roncal DOP)</t>
        </is>
      </c>
      <c r="C32" t="inlineStr">
        <is>
          <t>humedo</t>
        </is>
      </c>
      <c r="D32" s="22" t="inlineStr">
        <is>
          <t>60 g Pulpa de tomate de colgar maduro rallada al momento emulsionada con 15 ml de AOVE y 1 g de sal marina (en cuenco cerámico)</t>
        </is>
      </c>
      <c r="E32" s="6" t="inlineStr">
        <is>
          <t>Tomate maduro o de colgar</t>
        </is>
      </c>
      <c r="F32" s="16" t="n">
        <v>60</v>
      </c>
      <c r="G32" t="inlineStr">
        <is>
          <t>g</t>
        </is>
      </c>
      <c r="H32" s="12">
        <f>IFERROR(VLOOKUP(E32,Insumos!$C$5:$G$181,5,FALSE),0)</f>
        <v/>
      </c>
      <c r="I32" s="17">
        <f>F32*H32</f>
        <v/>
      </c>
    </row>
    <row r="33">
      <c r="A33" t="n">
        <v>3</v>
      </c>
      <c r="B33" s="21" t="inlineStr">
        <is>
          <t>Pirineos &amp; Rastrojo (Cecina de León IGP, Fuet Artesano de Vic, Garrotxa de Cabra y Roncal DOP)</t>
        </is>
      </c>
      <c r="C33" t="inlineStr">
        <is>
          <t>humedo</t>
        </is>
      </c>
      <c r="D33" s="22" t="inlineStr">
        <is>
          <t>30 g Aceitunas negras variedad Empeltre de Aragón arrugadas en salmuera seca (en ramequín)</t>
        </is>
      </c>
      <c r="E33" s="6" t="inlineStr">
        <is>
          <t>Aceituna de mesa aliñada (Gordal, Manzanilla, Campo Real, Gaeta)</t>
        </is>
      </c>
      <c r="F33" s="16" t="n">
        <v>30</v>
      </c>
      <c r="G33" t="inlineStr">
        <is>
          <t>g</t>
        </is>
      </c>
      <c r="H33" s="12">
        <f>IFERROR(VLOOKUP(E33,Insumos!$C$5:$G$181,5,FALSE),0)</f>
        <v/>
      </c>
      <c r="I33" s="17">
        <f>F33*H33</f>
        <v/>
      </c>
    </row>
    <row r="34">
      <c r="A34" t="n">
        <v>4</v>
      </c>
      <c r="B34" s="21" t="inlineStr">
        <is>
          <t>Meseta Castellana (Jamón Serrano Gran Reserva, Morcón Ibérico, Zamorano DOP y Queso Castellano Añejo)</t>
        </is>
      </c>
      <c r="C34" t="inlineStr">
        <is>
          <t>charcuteria</t>
        </is>
      </c>
      <c r="D34" s="22" t="inlineStr">
        <is>
          <t>110 g Jamón Serrano Gran Reserva (mínimo 18 a 24 meses de curación en secadero natural de montaña) cortado a cuchillo en láminas delgadas de 1.5 mm</t>
        </is>
      </c>
      <c r="E34" s="6" t="inlineStr">
        <is>
          <t>Jamón serrano gran reserva 18-24 meses</t>
        </is>
      </c>
      <c r="F34" s="16" t="n">
        <v>110</v>
      </c>
      <c r="G34" t="inlineStr">
        <is>
          <t>g</t>
        </is>
      </c>
      <c r="H34" s="12">
        <f>IFERROR(VLOOKUP(E34,Insumos!$C$5:$G$181,5,FALSE),0)</f>
        <v/>
      </c>
      <c r="I34" s="17">
        <f>F34*H34</f>
        <v/>
      </c>
    </row>
    <row r="35">
      <c r="A35" t="n">
        <v>4</v>
      </c>
      <c r="B35" s="21" t="inlineStr">
        <is>
          <t>Meseta Castellana (Jamón Serrano Gran Reserva, Morcón Ibérico, Zamorano DOP y Queso Castellano Añejo)</t>
        </is>
      </c>
      <c r="C35" t="inlineStr">
        <is>
          <t>charcuteria</t>
        </is>
      </c>
      <c r="D35" s="22" t="inlineStr">
        <is>
          <t>80 g Morcón Ibérico de Bellota (elaborado con magros nobles de presa y solomillo, pimentón dulce y sal, embutido en tripa ciego gruesa) cortado en lonchas circulares de 2 mm</t>
        </is>
      </c>
      <c r="E35" s="6" t="inlineStr">
        <is>
          <t>Presa, lomito o morcón ibérico de bellota</t>
        </is>
      </c>
      <c r="F35" s="16" t="n">
        <v>80</v>
      </c>
      <c r="G35" t="inlineStr">
        <is>
          <t>g</t>
        </is>
      </c>
      <c r="H35" s="12">
        <f>IFERROR(VLOOKUP(E35,Insumos!$C$5:$G$181,5,FALSE),0)</f>
        <v/>
      </c>
      <c r="I35" s="17">
        <f>F35*H35</f>
        <v/>
      </c>
    </row>
    <row r="36">
      <c r="A36" t="n">
        <v>4</v>
      </c>
      <c r="B36" s="21" t="inlineStr">
        <is>
          <t>Meseta Castellana (Jamón Serrano Gran Reserva, Morcón Ibérico, Zamorano DOP y Queso Castellano Añejo)</t>
        </is>
      </c>
      <c r="C36" t="inlineStr">
        <is>
          <t>queso</t>
        </is>
      </c>
      <c r="D36" s="22" t="inlineStr">
        <is>
          <t>120 g Queso Zamorano DOP (leche cruda de oveja Churra y Castellana, curación superior a 9 meses en cueva) cortado en cuñas triangulares de 5 mm</t>
        </is>
      </c>
      <c r="E36" s="6" t="inlineStr">
        <is>
          <t>Queso de oveja curado castellano o zamorano DOP</t>
        </is>
      </c>
      <c r="F36" s="16" t="n">
        <v>120</v>
      </c>
      <c r="G36" t="inlineStr">
        <is>
          <t>g</t>
        </is>
      </c>
      <c r="H36" s="12">
        <f>IFERROR(VLOOKUP(E36,Insumos!$C$5:$G$181,5,FALSE),0)</f>
        <v/>
      </c>
      <c r="I36" s="17">
        <f>F36*H36</f>
        <v/>
      </c>
    </row>
    <row r="37">
      <c r="A37" t="n">
        <v>4</v>
      </c>
      <c r="B37" s="21" t="inlineStr">
        <is>
          <t>Meseta Castellana (Jamón Serrano Gran Reserva, Morcón Ibérico, Zamorano DOP y Queso Castellano Añejo)</t>
        </is>
      </c>
      <c r="C37" t="inlineStr">
        <is>
          <t>queso</t>
        </is>
      </c>
      <c r="D37" s="22" t="inlineStr">
        <is>
          <t>110 g Queso Castellano Añejo (100% leche cruda de oveja, madurado 12 meses, pasta dura quebradiza) cortado en cubos de 1.5 cm x 1.5 cm</t>
        </is>
      </c>
      <c r="E37" s="6" t="inlineStr">
        <is>
          <t>Queso de oveja curado castellano o zamorano DOP</t>
        </is>
      </c>
      <c r="F37" s="16" t="n">
        <v>110</v>
      </c>
      <c r="G37" t="inlineStr">
        <is>
          <t>g</t>
        </is>
      </c>
      <c r="H37" s="12">
        <f>IFERROR(VLOOKUP(E37,Insumos!$C$5:$G$181,5,FALSE),0)</f>
        <v/>
      </c>
      <c r="I37" s="17">
        <f>F37*H37</f>
        <v/>
      </c>
    </row>
    <row r="38">
      <c r="A38" t="n">
        <v>4</v>
      </c>
      <c r="B38" s="21" t="inlineStr">
        <is>
          <t>Meseta Castellana (Jamón Serrano Gran Reserva, Morcón Ibérico, Zamorano DOP y Queso Castellano Añejo)</t>
        </is>
      </c>
      <c r="C38" t="inlineStr">
        <is>
          <t>seco</t>
        </is>
      </c>
      <c r="D38" s="22" t="inlineStr">
        <is>
          <t>60 g Rebanadas finas tostadas de pan candeal artesanal de Castilla</t>
        </is>
      </c>
      <c r="E38" s="6" t="inlineStr">
        <is>
          <t>Totopos o tostaditas de maíz nixtamalizado</t>
        </is>
      </c>
      <c r="F38" s="16" t="n">
        <v>60</v>
      </c>
      <c r="G38" t="inlineStr">
        <is>
          <t>g</t>
        </is>
      </c>
      <c r="H38" s="12">
        <f>IFERROR(VLOOKUP(E38,Insumos!$C$5:$G$181,5,FALSE),0)</f>
        <v/>
      </c>
      <c r="I38" s="17">
        <f>F38*H38</f>
        <v/>
      </c>
    </row>
    <row r="39">
      <c r="A39" t="n">
        <v>4</v>
      </c>
      <c r="B39" s="21" t="inlineStr">
        <is>
          <t>Meseta Castellana (Jamón Serrano Gran Reserva, Morcón Ibérico, Zamorano DOP y Queso Castellano Añejo)</t>
        </is>
      </c>
      <c r="C39" t="inlineStr">
        <is>
          <t>seco</t>
        </is>
      </c>
      <c r="D39" s="22" t="inlineStr">
        <is>
          <t>40 g Picos de pan tostados tradicionales</t>
        </is>
      </c>
      <c r="E39" s="6" t="inlineStr">
        <is>
          <t>Picos, regañás o colines andaluces</t>
        </is>
      </c>
      <c r="F39" s="16" t="n">
        <v>40</v>
      </c>
      <c r="G39" t="inlineStr">
        <is>
          <t>g</t>
        </is>
      </c>
      <c r="H39" s="12">
        <f>IFERROR(VLOOKUP(E39,Insumos!$C$5:$G$181,5,FALSE),0)</f>
        <v/>
      </c>
      <c r="I39" s="17">
        <f>F39*H39</f>
        <v/>
      </c>
    </row>
    <row r="40">
      <c r="A40" t="n">
        <v>4</v>
      </c>
      <c r="B40" s="21" t="inlineStr">
        <is>
          <t>Meseta Castellana (Jamón Serrano Gran Reserva, Morcón Ibérico, Zamorano DOP y Queso Castellano Añejo)</t>
        </is>
      </c>
      <c r="C40" t="inlineStr">
        <is>
          <t>seco</t>
        </is>
      </c>
      <c r="D40" s="22" t="inlineStr">
        <is>
          <t>40 g Nueces peladas de la comarca del Duero</t>
        </is>
      </c>
      <c r="E40" s="6" t="inlineStr">
        <is>
          <t>Nuez de Castilla o de nogal en mitades</t>
        </is>
      </c>
      <c r="F40" s="16" t="n">
        <v>40</v>
      </c>
      <c r="G40" t="inlineStr">
        <is>
          <t>g</t>
        </is>
      </c>
      <c r="H40" s="12">
        <f>IFERROR(VLOOKUP(E40,Insumos!$C$5:$G$181,5,FALSE),0)</f>
        <v/>
      </c>
      <c r="I40" s="17">
        <f>F40*H40</f>
        <v/>
      </c>
    </row>
    <row r="41">
      <c r="A41" t="n">
        <v>4</v>
      </c>
      <c r="B41" s="21" t="inlineStr">
        <is>
          <t>Meseta Castellana (Jamón Serrano Gran Reserva, Morcón Ibérico, Zamorano DOP y Queso Castellano Añejo)</t>
        </is>
      </c>
      <c r="C41" t="inlineStr">
        <is>
          <t>humedo</t>
        </is>
      </c>
      <c r="D41" s="22" t="inlineStr">
        <is>
          <t>50 g Uvas pasas Moscatel de Málaga sin semillas</t>
        </is>
      </c>
      <c r="E41" s="6" t="inlineStr">
        <is>
          <t>Pasas Moscatel o de Corinto</t>
        </is>
      </c>
      <c r="F41" s="16" t="n">
        <v>50</v>
      </c>
      <c r="G41" t="inlineStr">
        <is>
          <t>g</t>
        </is>
      </c>
      <c r="H41" s="12">
        <f>IFERROR(VLOOKUP(E41,Insumos!$C$5:$G$181,5,FALSE),0)</f>
        <v/>
      </c>
      <c r="I41" s="17">
        <f>F41*H41</f>
        <v/>
      </c>
    </row>
    <row r="42">
      <c r="A42" t="n">
        <v>4</v>
      </c>
      <c r="B42" s="21" t="inlineStr">
        <is>
          <t>Meseta Castellana (Jamón Serrano Gran Reserva, Morcón Ibérico, Zamorano DOP y Queso Castellano Añejo)</t>
        </is>
      </c>
      <c r="C42" t="inlineStr">
        <is>
          <t>humedo</t>
        </is>
      </c>
      <c r="D42" s="22" t="inlineStr">
        <is>
          <t>40 g Dulce de manzana casero o membrillo denso en dados de 1 cm</t>
        </is>
      </c>
      <c r="E42" s="6" t="inlineStr">
        <is>
          <t>Mermelada o compota densa de la casa (elaborada)</t>
        </is>
      </c>
      <c r="F42" s="16" t="n">
        <v>40</v>
      </c>
      <c r="G42" t="inlineStr">
        <is>
          <t>g</t>
        </is>
      </c>
      <c r="H42" s="12">
        <f>IFERROR(VLOOKUP(E42,Insumos!$C$5:$G$181,5,FALSE),0)</f>
        <v/>
      </c>
      <c r="I42" s="17">
        <f>F42*H42</f>
        <v/>
      </c>
    </row>
    <row r="43">
      <c r="A43" t="n">
        <v>4</v>
      </c>
      <c r="B43" s="21" t="inlineStr">
        <is>
          <t>Meseta Castellana (Jamón Serrano Gran Reserva, Morcón Ibérico, Zamorano DOP y Queso Castellano Añejo)</t>
        </is>
      </c>
      <c r="C43" t="inlineStr">
        <is>
          <t>humedo</t>
        </is>
      </c>
      <c r="D43" s="22" t="inlineStr">
        <is>
          <t>40 g Encurtidos variados castellanos (alcaparrones y cebollitas perla en ramequín)</t>
        </is>
      </c>
      <c r="E43" s="6" t="inlineStr">
        <is>
          <t>Alcaparra o alcaparrón en vinagre</t>
        </is>
      </c>
      <c r="F43" s="16" t="n">
        <v>40</v>
      </c>
      <c r="G43" t="inlineStr">
        <is>
          <t>g</t>
        </is>
      </c>
      <c r="H43" s="12">
        <f>IFERROR(VLOOKUP(E43,Insumos!$C$5:$G$181,5,FALSE),0)</f>
        <v/>
      </c>
      <c r="I43" s="17">
        <f>F43*H43</f>
        <v/>
      </c>
    </row>
    <row r="44">
      <c r="A44" t="n">
        <v>5</v>
      </c>
      <c r="B44" s="21" t="inlineStr">
        <is>
          <t>Andalucía &amp; Dehesas del Sur (Paleta Ibérica de Jabugo DOP, Caña de Lomo, Payoyo de Grazalema y Miel de Azahar)</t>
        </is>
      </c>
      <c r="C44" t="inlineStr">
        <is>
          <t>charcuteria</t>
        </is>
      </c>
      <c r="D44" s="22" t="inlineStr">
        <is>
          <t>110 g Paleta 100% Ibérica de Bellota con DOP Jabugo (curada en bodegas naturales de la Sierra de Huelva, aroma dulce y aceitoso profundo) cortada a mano en lonchas de 4 cm</t>
        </is>
      </c>
      <c r="E44" s="6" t="inlineStr">
        <is>
          <t>Paleta 100% ibérica de bellota DOP</t>
        </is>
      </c>
      <c r="F44" s="16" t="n">
        <v>110</v>
      </c>
      <c r="G44" t="inlineStr">
        <is>
          <t>g</t>
        </is>
      </c>
      <c r="H44" s="12">
        <f>IFERROR(VLOOKUP(E44,Insumos!$C$5:$G$181,5,FALSE),0)</f>
        <v/>
      </c>
      <c r="I44" s="17">
        <f>F44*H44</f>
        <v/>
      </c>
    </row>
    <row r="45">
      <c r="A45" t="n">
        <v>5</v>
      </c>
      <c r="B45" s="21" t="inlineStr">
        <is>
          <t>Andalucía &amp; Dehesas del Sur (Paleta Ibérica de Jabugo DOP, Caña de Lomo, Payoyo de Grazalema y Miel de Azahar)</t>
        </is>
      </c>
      <c r="C45" t="inlineStr">
        <is>
          <t>charcuteria</t>
        </is>
      </c>
      <c r="D45" s="22" t="inlineStr">
        <is>
          <t>70 g Caña de Lomo Ibérica de Bellota de Huelva (aderezada con pimentón dulce, ajo y sal marina) cortada al bies a 1.5 mm</t>
        </is>
      </c>
      <c r="E45" s="6" t="inlineStr">
        <is>
          <t>Caña de lomo 100% ibérico de bellota</t>
        </is>
      </c>
      <c r="F45" s="16" t="n">
        <v>70</v>
      </c>
      <c r="G45" t="inlineStr">
        <is>
          <t>g</t>
        </is>
      </c>
      <c r="H45" s="12">
        <f>IFERROR(VLOOKUP(E45,Insumos!$C$5:$G$181,5,FALSE),0)</f>
        <v/>
      </c>
      <c r="I45" s="17">
        <f>F45*H45</f>
        <v/>
      </c>
    </row>
    <row r="46">
      <c r="A46" t="n">
        <v>5</v>
      </c>
      <c r="B46" s="21" t="inlineStr">
        <is>
          <t>Andalucía &amp; Dehesas del Sur (Paleta Ibérica de Jabugo DOP, Caña de Lomo, Payoyo de Grazalema y Miel de Azahar)</t>
        </is>
      </c>
      <c r="C46" t="inlineStr">
        <is>
          <t>queso</t>
        </is>
      </c>
      <c r="D46" s="22" t="inlineStr">
        <is>
          <t>110 g Queso Payoyo Curado en Manteca Ibérica (mezcla de leche de cabra Payoya y oveja Merina de Grazalema, madurado con grasa de cerdo ibérico en corteza) cortado en cuñas de 5 mm</t>
        </is>
      </c>
      <c r="E46" s="6" t="inlineStr">
        <is>
          <t>Queso de cabra prensado semiduro (Garrotxa, Payoyo, Ibores)</t>
        </is>
      </c>
      <c r="F46" s="16" t="n">
        <v>110</v>
      </c>
      <c r="G46" t="inlineStr">
        <is>
          <t>g</t>
        </is>
      </c>
      <c r="H46" s="12">
        <f>IFERROR(VLOOKUP(E46,Insumos!$C$5:$G$181,5,FALSE),0)</f>
        <v/>
      </c>
      <c r="I46" s="17">
        <f>F46*H46</f>
        <v/>
      </c>
    </row>
    <row r="47">
      <c r="A47" t="n">
        <v>5</v>
      </c>
      <c r="B47" s="21" t="inlineStr">
        <is>
          <t>Andalucía &amp; Dehesas del Sur (Paleta Ibérica de Jabugo DOP, Caña de Lomo, Payoyo de Grazalema y Miel de Azahar)</t>
        </is>
      </c>
      <c r="C47" t="inlineStr">
        <is>
          <t>queso</t>
        </is>
      </c>
      <c r="D47" s="22" t="inlineStr">
        <is>
          <t>110 g Queso de Cabra Payoya Puro Curado en Romero Silvestre (leche cruda de cabra Payoya, corteza rebozada en hojas de romero de monte) cortado en triángulos de 5 mm</t>
        </is>
      </c>
      <c r="E47" s="6" t="inlineStr">
        <is>
          <t>Queso de cabra prensado semiduro (Garrotxa, Payoyo, Ibores)</t>
        </is>
      </c>
      <c r="F47" s="16" t="n">
        <v>110</v>
      </c>
      <c r="G47" t="inlineStr">
        <is>
          <t>g</t>
        </is>
      </c>
      <c r="H47" s="12">
        <f>IFERROR(VLOOKUP(E47,Insumos!$C$5:$G$181,5,FALSE),0)</f>
        <v/>
      </c>
      <c r="I47" s="17">
        <f>F47*H47</f>
        <v/>
      </c>
    </row>
    <row r="48">
      <c r="A48" t="n">
        <v>5</v>
      </c>
      <c r="B48" s="21" t="inlineStr">
        <is>
          <t>Andalucía &amp; Dehesas del Sur (Paleta Ibérica de Jabugo DOP, Caña de Lomo, Payoyo de Grazalema y Miel de Azahar)</t>
        </is>
      </c>
      <c r="C48" t="inlineStr">
        <is>
          <t>seco</t>
        </is>
      </c>
      <c r="D48" s="22" t="inlineStr">
        <is>
          <t>60 g Picos de pan de Jerez (Picos gitanos) horneados con masa madre</t>
        </is>
      </c>
      <c r="E48" s="6" t="inlineStr">
        <is>
          <t>Picos, regañás o colines andaluces</t>
        </is>
      </c>
      <c r="F48" s="16" t="n">
        <v>60</v>
      </c>
      <c r="G48" t="inlineStr">
        <is>
          <t>g</t>
        </is>
      </c>
      <c r="H48" s="12">
        <f>IFERROR(VLOOKUP(E48,Insumos!$C$5:$G$181,5,FALSE),0)</f>
        <v/>
      </c>
      <c r="I48" s="17">
        <f>F48*H48</f>
        <v/>
      </c>
    </row>
    <row r="49">
      <c r="A49" t="n">
        <v>5</v>
      </c>
      <c r="B49" s="21" t="inlineStr">
        <is>
          <t>Andalucía &amp; Dehesas del Sur (Paleta Ibérica de Jabugo DOP, Caña de Lomo, Payoyo de Grazalema y Miel de Azahar)</t>
        </is>
      </c>
      <c r="C49" t="inlineStr">
        <is>
          <t>seco</t>
        </is>
      </c>
      <c r="D49" s="22" t="inlineStr">
        <is>
          <t>40 g Regañás con semillas de chía y ajonjolí</t>
        </is>
      </c>
      <c r="E49" s="6" t="inlineStr">
        <is>
          <t>Picos, regañás o colines andaluces</t>
        </is>
      </c>
      <c r="F49" s="16" t="n">
        <v>40</v>
      </c>
      <c r="G49" t="inlineStr">
        <is>
          <t>g</t>
        </is>
      </c>
      <c r="H49" s="12">
        <f>IFERROR(VLOOKUP(E49,Insumos!$C$5:$G$181,5,FALSE),0)</f>
        <v/>
      </c>
      <c r="I49" s="17">
        <f>F49*H49</f>
        <v/>
      </c>
    </row>
    <row r="50">
      <c r="A50" t="n">
        <v>5</v>
      </c>
      <c r="B50" s="21" t="inlineStr">
        <is>
          <t>Andalucía &amp; Dehesas del Sur (Paleta Ibérica de Jabugo DOP, Caña de Lomo, Payoyo de Grazalema y Miel de Azahar)</t>
        </is>
      </c>
      <c r="C50" t="inlineStr">
        <is>
          <t>seco</t>
        </is>
      </c>
      <c r="D50" s="22" t="inlineStr">
        <is>
          <t>40 g Higos secos variedad Cuello de Dama abiertos por la mitad</t>
        </is>
      </c>
      <c r="E50" s="6" t="inlineStr">
        <is>
          <t>Higo seco o pasa de higo</t>
        </is>
      </c>
      <c r="F50" s="16" t="n">
        <v>40</v>
      </c>
      <c r="G50" t="inlineStr">
        <is>
          <t>g</t>
        </is>
      </c>
      <c r="H50" s="12">
        <f>IFERROR(VLOOKUP(E50,Insumos!$C$5:$G$181,5,FALSE),0)</f>
        <v/>
      </c>
      <c r="I50" s="17">
        <f>F50*H50</f>
        <v/>
      </c>
    </row>
    <row r="51">
      <c r="A51" t="n">
        <v>5</v>
      </c>
      <c r="B51" s="21" t="inlineStr">
        <is>
          <t>Andalucía &amp; Dehesas del Sur (Paleta Ibérica de Jabugo DOP, Caña de Lomo, Payoyo de Grazalema y Miel de Azahar)</t>
        </is>
      </c>
      <c r="C51" t="inlineStr">
        <is>
          <t>humedo</t>
        </is>
      </c>
      <c r="D51" s="22" t="inlineStr">
        <is>
          <t>40 ml Miel pura monofloral de flor de azahar (en cuenco cerámico)</t>
        </is>
      </c>
      <c r="E51" s="6" t="inlineStr">
        <is>
          <t>Miel pura monofloral artesanal</t>
        </is>
      </c>
      <c r="F51" s="16" t="n">
        <v>40</v>
      </c>
      <c r="G51" t="inlineStr">
        <is>
          <t>g</t>
        </is>
      </c>
      <c r="H51" s="12">
        <f>IFERROR(VLOOKUP(E51,Insumos!$C$5:$G$181,5,FALSE),0)</f>
        <v/>
      </c>
      <c r="I51" s="17">
        <f>F51*H51</f>
        <v/>
      </c>
    </row>
    <row r="52">
      <c r="A52" t="n">
        <v>5</v>
      </c>
      <c r="B52" s="21" t="inlineStr">
        <is>
          <t>Andalucía &amp; Dehesas del Sur (Paleta Ibérica de Jabugo DOP, Caña de Lomo, Payoyo de Grazalema y Miel de Azahar)</t>
        </is>
      </c>
      <c r="C52" t="inlineStr">
        <is>
          <t>humedo</t>
        </is>
      </c>
      <c r="D52" s="22" t="inlineStr">
        <is>
          <t>30 g Aceitunas Manzanilla sevillanas aliñadas con tomillo y limón (en ramequín)</t>
        </is>
      </c>
      <c r="E52" s="6" t="inlineStr">
        <is>
          <t>Aceituna de mesa aliñada (Gordal, Manzanilla, Campo Real, Gaeta)</t>
        </is>
      </c>
      <c r="F52" s="16" t="n">
        <v>30</v>
      </c>
      <c r="G52" t="inlineStr">
        <is>
          <t>g</t>
        </is>
      </c>
      <c r="H52" s="12">
        <f>IFERROR(VLOOKUP(E52,Insumos!$C$5:$G$181,5,FALSE),0)</f>
        <v/>
      </c>
      <c r="I52" s="17">
        <f>F52*H52</f>
        <v/>
      </c>
    </row>
    <row r="53">
      <c r="A53" t="n">
        <v>6</v>
      </c>
      <c r="B53" s="21" t="inlineStr">
        <is>
          <t>Asturias de Cueva y Montaña (Gamonéu del Puerto, Cabrales DOP de Cueva, Chosco de Tineo IGP y Chorizo Asturiano a la Sidra)</t>
        </is>
      </c>
      <c r="C53" t="inlineStr">
        <is>
          <t>charcuteria</t>
        </is>
      </c>
      <c r="D53" s="22" t="inlineStr">
        <is>
          <t>100 g Chosco de Tineo IGP (embutido crudo curado y ahumado en tripa ciega, elaborado con cabecera de lomo y lengua de cerdo deshuesada, sal, pimentón y ajo) cocido, enfriado y rebanado a 2 mm</t>
        </is>
      </c>
      <c r="E53" s="6" t="inlineStr">
        <is>
          <t>Embutido curado y ahumado tradicional (chosco, androlla, butifarra)</t>
        </is>
      </c>
      <c r="F53" s="16" t="n">
        <v>100</v>
      </c>
      <c r="G53" t="inlineStr">
        <is>
          <t>g</t>
        </is>
      </c>
      <c r="H53" s="12">
        <f>IFERROR(VLOOKUP(E53,Insumos!$C$5:$G$181,5,FALSE),0)</f>
        <v/>
      </c>
      <c r="I53" s="17">
        <f>F53*H53</f>
        <v/>
      </c>
    </row>
    <row r="54">
      <c r="A54" t="n">
        <v>6</v>
      </c>
      <c r="B54" s="21" t="inlineStr">
        <is>
          <t>Asturias de Cueva y Montaña (Gamonéu del Puerto, Cabrales DOP de Cueva, Chosco de Tineo IGP y Chorizo Asturiano a la Sidra)</t>
        </is>
      </c>
      <c r="C54" t="inlineStr">
        <is>
          <t>charcuteria</t>
        </is>
      </c>
      <c r="D54" s="22" t="inlineStr">
        <is>
          <t>80 g Chorizo Asturiano Ahumado Tradicional (magro de cerdo, tocino, pimentón dulce y picante, sal y ajo, ahumado con madera de roble) cortado en rodajas al bies de 2 mm</t>
        </is>
      </c>
      <c r="E54" s="6" t="inlineStr">
        <is>
          <t>Tocino ahumado de cerdo</t>
        </is>
      </c>
      <c r="F54" s="16" t="n">
        <v>80</v>
      </c>
      <c r="G54" t="inlineStr">
        <is>
          <t>g</t>
        </is>
      </c>
      <c r="H54" s="12">
        <f>IFERROR(VLOOKUP(E54,Insumos!$C$5:$G$181,5,FALSE),0)</f>
        <v/>
      </c>
      <c r="I54" s="17">
        <f>F54*H54</f>
        <v/>
      </c>
    </row>
    <row r="55">
      <c r="A55" t="n">
        <v>6</v>
      </c>
      <c r="B55" s="21" t="inlineStr">
        <is>
          <t>Asturias de Cueva y Montaña (Gamonéu del Puerto, Cabrales DOP de Cueva, Chosco de Tineo IGP y Chorizo Asturiano a la Sidra)</t>
        </is>
      </c>
      <c r="C55" t="inlineStr">
        <is>
          <t>queso</t>
        </is>
      </c>
      <c r="D55" s="22" t="inlineStr">
        <is>
          <t>110 g Queso Gamonéu del Puerto DOP (leche cruda de vaca, oveja y cabra de majadas de alta montaña, pasta semidura ligeramente azulada, ahumado en cabaña y madurado en cueva natural 5 meses) cortado en lascas rústicas de 4 mm</t>
        </is>
      </c>
      <c r="E55" s="6" t="inlineStr">
        <is>
          <t>Queso de majada de leche mezclada (Gamonéu, Flor de Guía)</t>
        </is>
      </c>
      <c r="F55" s="16" t="n">
        <v>110</v>
      </c>
      <c r="G55" t="inlineStr">
        <is>
          <t>g</t>
        </is>
      </c>
      <c r="H55" s="12">
        <f>IFERROR(VLOOKUP(E55,Insumos!$C$5:$G$181,5,FALSE),0)</f>
        <v/>
      </c>
      <c r="I55" s="17">
        <f>F55*H55</f>
        <v/>
      </c>
    </row>
    <row r="56">
      <c r="A56" t="n">
        <v>6</v>
      </c>
      <c r="B56" s="21" t="inlineStr">
        <is>
          <t>Asturias de Cueva y Montaña (Gamonéu del Puerto, Cabrales DOP de Cueva, Chosco de Tineo IGP y Chorizo Asturiano a la Sidra)</t>
        </is>
      </c>
      <c r="C56" t="inlineStr">
        <is>
          <t>queso</t>
        </is>
      </c>
      <c r="D56" s="22" t="inlineStr">
        <is>
          <t>110 g Queso Cabrales DOP (leche cruda de tres leches o vaca pura, sin prensar, maduración de 4 a 6 meses en cuevas kársticas con 90% de humedad relativa, veteado azul profundo de Penicillium roqueforti) desmoronado en rocas medianas</t>
        </is>
      </c>
      <c r="E56" s="6" t="inlineStr">
        <is>
          <t>Cabrales DOP o azul de leche cruda española</t>
        </is>
      </c>
      <c r="F56" s="16" t="n">
        <v>110</v>
      </c>
      <c r="G56" t="inlineStr">
        <is>
          <t>g</t>
        </is>
      </c>
      <c r="H56" s="12">
        <f>IFERROR(VLOOKUP(E56,Insumos!$C$5:$G$181,5,FALSE),0)</f>
        <v/>
      </c>
      <c r="I56" s="17">
        <f>F56*H56</f>
        <v/>
      </c>
    </row>
    <row r="57">
      <c r="A57" t="n">
        <v>6</v>
      </c>
      <c r="B57" s="21" t="inlineStr">
        <is>
          <t>Asturias de Cueva y Montaña (Gamonéu del Puerto, Cabrales DOP de Cueva, Chosco de Tineo IGP y Chorizo Asturiano a la Sidra)</t>
        </is>
      </c>
      <c r="C57" t="inlineStr">
        <is>
          <t>seco</t>
        </is>
      </c>
      <c r="D57" s="22" t="inlineStr">
        <is>
          <t>60 g Rebanadas finas tostadas de pan de escanda asturiana (espelta autóctona)</t>
        </is>
      </c>
      <c r="E57" s="6" t="inlineStr">
        <is>
          <t>Totopos o tostaditas de maíz nixtamalizado</t>
        </is>
      </c>
      <c r="F57" s="16" t="n">
        <v>60</v>
      </c>
      <c r="G57" t="inlineStr">
        <is>
          <t>g</t>
        </is>
      </c>
      <c r="H57" s="12">
        <f>IFERROR(VLOOKUP(E57,Insumos!$C$5:$G$181,5,FALSE),0)</f>
        <v/>
      </c>
      <c r="I57" s="17">
        <f>F57*H57</f>
        <v/>
      </c>
    </row>
    <row r="58">
      <c r="A58" t="n">
        <v>6</v>
      </c>
      <c r="B58" s="21" t="inlineStr">
        <is>
          <t>Asturias de Cueva y Montaña (Gamonéu del Puerto, Cabrales DOP de Cueva, Chosco de Tineo IGP y Chorizo Asturiano a la Sidra)</t>
        </is>
      </c>
      <c r="C58" t="inlineStr">
        <is>
          <t>seco</t>
        </is>
      </c>
      <c r="D58" s="22" t="inlineStr">
        <is>
          <t>40 g Marañueles o picos de pan secos crujientes</t>
        </is>
      </c>
      <c r="E58" s="6" t="inlineStr">
        <is>
          <t>Picos, regañás o colines andaluces</t>
        </is>
      </c>
      <c r="F58" s="16" t="n">
        <v>40</v>
      </c>
      <c r="G58" t="inlineStr">
        <is>
          <t>g</t>
        </is>
      </c>
      <c r="H58" s="12">
        <f>IFERROR(VLOOKUP(E58,Insumos!$C$5:$G$181,5,FALSE),0)</f>
        <v/>
      </c>
      <c r="I58" s="17">
        <f>F58*H58</f>
        <v/>
      </c>
    </row>
    <row r="59">
      <c r="A59" t="n">
        <v>6</v>
      </c>
      <c r="B59" s="21" t="inlineStr">
        <is>
          <t>Asturias de Cueva y Montaña (Gamonéu del Puerto, Cabrales DOP de Cueva, Chosco de Tineo IGP y Chorizo Asturiano a la Sidra)</t>
        </is>
      </c>
      <c r="C59" t="inlineStr">
        <is>
          <t>seco</t>
        </is>
      </c>
      <c r="D59" s="22" t="inlineStr">
        <is>
          <t>35 g Avellanas de Cangas de Onís tostadas al comal con sal</t>
        </is>
      </c>
      <c r="E59" s="6" t="inlineStr">
        <is>
          <t>Avellana tostada (Reus DOP, Piamonte IGP)</t>
        </is>
      </c>
      <c r="F59" s="16" t="n">
        <v>35</v>
      </c>
      <c r="G59" t="inlineStr">
        <is>
          <t>g</t>
        </is>
      </c>
      <c r="H59" s="12">
        <f>IFERROR(VLOOKUP(E59,Insumos!$C$5:$G$181,5,FALSE),0)</f>
        <v/>
      </c>
      <c r="I59" s="17">
        <f>F59*H59</f>
        <v/>
      </c>
    </row>
    <row r="60">
      <c r="A60" t="n">
        <v>6</v>
      </c>
      <c r="B60" s="21" t="inlineStr">
        <is>
          <t>Asturias de Cueva y Montaña (Gamonéu del Puerto, Cabrales DOP de Cueva, Chosco de Tineo IGP y Chorizo Asturiano a la Sidra)</t>
        </is>
      </c>
      <c r="C60" t="inlineStr">
        <is>
          <t>humedo</t>
        </is>
      </c>
      <c r="D60" s="22" t="inlineStr">
        <is>
          <t>50 g Compota densa de manzana reineta asturiana pochada en sidra natural sin filtrar (en ramequín cerámico)</t>
        </is>
      </c>
      <c r="E60" s="6" t="inlineStr">
        <is>
          <t>Mermelada o compota densa de la casa (elaborada)</t>
        </is>
      </c>
      <c r="F60" s="16" t="n">
        <v>50</v>
      </c>
      <c r="G60" t="inlineStr">
        <is>
          <t>g</t>
        </is>
      </c>
      <c r="H60" s="12">
        <f>IFERROR(VLOOKUP(E60,Insumos!$C$5:$G$181,5,FALSE),0)</f>
        <v/>
      </c>
      <c r="I60" s="17">
        <f>F60*H60</f>
        <v/>
      </c>
    </row>
    <row r="61">
      <c r="A61" t="n">
        <v>6</v>
      </c>
      <c r="B61" s="21" t="inlineStr">
        <is>
          <t>Asturias de Cueva y Montaña (Gamonéu del Puerto, Cabrales DOP de Cueva, Chosco de Tineo IGP y Chorizo Asturiano a la Sidra)</t>
        </is>
      </c>
      <c r="C61" t="inlineStr">
        <is>
          <t>humedo</t>
        </is>
      </c>
      <c r="D61" s="22" t="inlineStr">
        <is>
          <t>40 g Nueces frescas peladas en mitades</t>
        </is>
      </c>
      <c r="E61" s="6" t="inlineStr">
        <is>
          <t>Nuez de Castilla o de nogal en mitades</t>
        </is>
      </c>
      <c r="F61" s="16" t="n">
        <v>40</v>
      </c>
      <c r="G61" t="inlineStr">
        <is>
          <t>g</t>
        </is>
      </c>
      <c r="H61" s="12">
        <f>IFERROR(VLOOKUP(E61,Insumos!$C$5:$G$181,5,FALSE),0)</f>
        <v/>
      </c>
      <c r="I61" s="17">
        <f>F61*H61</f>
        <v/>
      </c>
    </row>
    <row r="62">
      <c r="A62" t="n">
        <v>6</v>
      </c>
      <c r="B62" s="21" t="inlineStr">
        <is>
          <t>Asturias de Cueva y Montaña (Gamonéu del Puerto, Cabrales DOP de Cueva, Chosco de Tineo IGP y Chorizo Asturiano a la Sidra)</t>
        </is>
      </c>
      <c r="C62" t="inlineStr">
        <is>
          <t>humedo</t>
        </is>
      </c>
      <c r="D62" s="22" t="inlineStr">
        <is>
          <t>40 g Manzanas verdes ácidas descorazonadas cortadas en láminas finas al momento</t>
        </is>
      </c>
      <c r="E62" s="6" t="inlineStr">
        <is>
          <t>Manzana ácida (Granny Smith, reineta, perona)</t>
        </is>
      </c>
      <c r="F62" s="16" t="n">
        <v>40</v>
      </c>
      <c r="G62" t="inlineStr">
        <is>
          <t>g</t>
        </is>
      </c>
      <c r="H62" s="12">
        <f>IFERROR(VLOOKUP(E62,Insumos!$C$5:$G$181,5,FALSE),0)</f>
        <v/>
      </c>
      <c r="I62" s="17">
        <f>F62*H62</f>
        <v/>
      </c>
    </row>
    <row r="63">
      <c r="A63" t="n">
        <v>7</v>
      </c>
      <c r="B63" s="21" t="inlineStr">
        <is>
          <t>Extremadura Silvestre (Lomito Ibérico de Presa, Chorizo de Pimentón de la Vera, Ibores DOP al Pimentón y Torta de la Serena DOP)</t>
        </is>
      </c>
      <c r="C63" t="inlineStr">
        <is>
          <t>charcuteria</t>
        </is>
      </c>
      <c r="D63" s="22" t="inlineStr">
        <is>
          <t>100 g Lomito Ibérico de Bellota (elaborado con presa ibérica entera, marinado con sal marina, pimentón de la Vera y ajo, curado 6 meses en secadero) cortado fino al bies a 1 mm</t>
        </is>
      </c>
      <c r="E63" s="6" t="inlineStr">
        <is>
          <t>Presa, lomito o morcón ibérico de bellota</t>
        </is>
      </c>
      <c r="F63" s="16" t="n">
        <v>100</v>
      </c>
      <c r="G63" t="inlineStr">
        <is>
          <t>g</t>
        </is>
      </c>
      <c r="H63" s="12">
        <f>IFERROR(VLOOKUP(E63,Insumos!$C$5:$G$181,5,FALSE),0)</f>
        <v/>
      </c>
      <c r="I63" s="17">
        <f>F63*H63</f>
        <v/>
      </c>
    </row>
    <row r="64">
      <c r="A64" t="n">
        <v>7</v>
      </c>
      <c r="B64" s="21" t="inlineStr">
        <is>
          <t>Extremadura Silvestre (Lomito Ibérico de Presa, Chorizo de Pimentón de la Vera, Ibores DOP al Pimentón y Torta de la Serena DOP)</t>
        </is>
      </c>
      <c r="C64" t="inlineStr">
        <is>
          <t>charcuteria</t>
        </is>
      </c>
      <c r="D64" s="22" t="inlineStr">
        <is>
          <t>80 g Chorizo Ibérico Herradura de la Vera (magro de cerdo ibérico picado grueso, pimentón agridulce con DOP Pimentón de la Vera secado al humo de encina) cortado en rodajas de 2 mm</t>
        </is>
      </c>
      <c r="E64" s="6" t="inlineStr">
        <is>
          <t>Chorizo ibérico de pimentón (Vera, herradura)</t>
        </is>
      </c>
      <c r="F64" s="16" t="n">
        <v>80</v>
      </c>
      <c r="G64" t="inlineStr">
        <is>
          <t>g</t>
        </is>
      </c>
      <c r="H64" s="12">
        <f>IFERROR(VLOOKUP(E64,Insumos!$C$5:$G$181,5,FALSE),0)</f>
        <v/>
      </c>
      <c r="I64" s="17">
        <f>F64*H64</f>
        <v/>
      </c>
    </row>
    <row r="65">
      <c r="A65" t="n">
        <v>7</v>
      </c>
      <c r="B65" s="21" t="inlineStr">
        <is>
          <t>Extremadura Silvestre (Lomito Ibérico de Presa, Chorizo de Pimentón de la Vera, Ibores DOP al Pimentón y Torta de la Serena DOP)</t>
        </is>
      </c>
      <c r="C65" t="inlineStr">
        <is>
          <t>queso</t>
        </is>
      </c>
      <c r="D65" s="22" t="inlineStr">
        <is>
          <t>130 g Torta de la Serena DOP (leche 100% cruda de oveja merina autóctona, cuajo vegetal puro de Cynara cardunculus, maduración mínima de 60 días, pasta blanda untuosa cremosa extrema)</t>
        </is>
      </c>
      <c r="E65" s="6" t="inlineStr">
        <is>
          <t>Torta de cuajo vegetal DOP (Casar, La Serena)</t>
        </is>
      </c>
      <c r="F65" s="16" t="n">
        <v>130</v>
      </c>
      <c r="G65" t="inlineStr">
        <is>
          <t>g</t>
        </is>
      </c>
      <c r="H65" s="12">
        <f>IFERROR(VLOOKUP(E65,Insumos!$C$5:$G$181,5,FALSE),0)</f>
        <v/>
      </c>
      <c r="I65" s="17">
        <f>F65*H65</f>
        <v/>
      </c>
    </row>
    <row r="66">
      <c r="A66" t="n">
        <v>7</v>
      </c>
      <c r="B66" s="21" t="inlineStr">
        <is>
          <t>Extremadura Silvestre (Lomito Ibérico de Presa, Chorizo de Pimentón de la Vera, Ibores DOP al Pimentón y Torta de la Serena DOP)</t>
        </is>
      </c>
      <c r="C66" t="inlineStr">
        <is>
          <t>queso</t>
        </is>
      </c>
      <c r="D66" s="22" t="inlineStr">
        <is>
          <t>110 g Queso Ibores DOP al Pimentón (leche cruda de cabra serrana/verata/retinta, pasta prensada semidura, corteza untada con aceite de oliva virgen extra y pimentón de la Vera) cortado en cuñas de 5 mm</t>
        </is>
      </c>
      <c r="E66" s="6" t="inlineStr">
        <is>
          <t>Queso de cabra prensado semiduro (Garrotxa, Payoyo, Ibores)</t>
        </is>
      </c>
      <c r="F66" s="16" t="n">
        <v>110</v>
      </c>
      <c r="G66" t="inlineStr">
        <is>
          <t>g</t>
        </is>
      </c>
      <c r="H66" s="12">
        <f>IFERROR(VLOOKUP(E66,Insumos!$C$5:$G$181,5,FALSE),0)</f>
        <v/>
      </c>
      <c r="I66" s="17">
        <f>F66*H66</f>
        <v/>
      </c>
    </row>
    <row r="67">
      <c r="A67" t="n">
        <v>7</v>
      </c>
      <c r="B67" s="21" t="inlineStr">
        <is>
          <t>Extremadura Silvestre (Lomito Ibérico de Presa, Chorizo de Pimentón de la Vera, Ibores DOP al Pimentón y Torta de la Serena DOP)</t>
        </is>
      </c>
      <c r="C67" t="inlineStr">
        <is>
          <t>seco</t>
        </is>
      </c>
      <c r="D67" s="22" t="inlineStr">
        <is>
          <t>60 g Regañás artesanales de ajonjolí y trigo blanco</t>
        </is>
      </c>
      <c r="E67" s="6" t="inlineStr">
        <is>
          <t>Picos, regañás o colines andaluces</t>
        </is>
      </c>
      <c r="F67" s="16" t="n">
        <v>60</v>
      </c>
      <c r="G67" t="inlineStr">
        <is>
          <t>g</t>
        </is>
      </c>
      <c r="H67" s="12">
        <f>IFERROR(VLOOKUP(E67,Insumos!$C$5:$G$181,5,FALSE),0)</f>
        <v/>
      </c>
      <c r="I67" s="17">
        <f>F67*H67</f>
        <v/>
      </c>
    </row>
    <row r="68">
      <c r="A68" t="n">
        <v>7</v>
      </c>
      <c r="B68" s="21" t="inlineStr">
        <is>
          <t>Extremadura Silvestre (Lomito Ibérico de Presa, Chorizo de Pimentón de la Vera, Ibores DOP al Pimentón y Torta de la Serena DOP)</t>
        </is>
      </c>
      <c r="C68" t="inlineStr">
        <is>
          <t>seco</t>
        </is>
      </c>
      <c r="D68" s="22" t="inlineStr">
        <is>
          <t>40 g Picos de pan de telera extremeña</t>
        </is>
      </c>
      <c r="E68" s="6" t="inlineStr">
        <is>
          <t>Picos, regañás o colines andaluces</t>
        </is>
      </c>
      <c r="F68" s="16" t="n">
        <v>40</v>
      </c>
      <c r="G68" t="inlineStr">
        <is>
          <t>g</t>
        </is>
      </c>
      <c r="H68" s="12">
        <f>IFERROR(VLOOKUP(E68,Insumos!$C$5:$G$181,5,FALSE),0)</f>
        <v/>
      </c>
      <c r="I68" s="17">
        <f>F68*H68</f>
        <v/>
      </c>
    </row>
    <row r="69">
      <c r="A69" t="n">
        <v>7</v>
      </c>
      <c r="B69" s="21" t="inlineStr">
        <is>
          <t>Extremadura Silvestre (Lomito Ibérico de Presa, Chorizo de Pimentón de la Vera, Ibores DOP al Pimentón y Torta de la Serena DOP)</t>
        </is>
      </c>
      <c r="C69" t="inlineStr">
        <is>
          <t>seco</t>
        </is>
      </c>
      <c r="D69" s="22" t="inlineStr">
        <is>
          <t>40 g Nueces peladas de la Siberia extremeña</t>
        </is>
      </c>
      <c r="E69" s="6" t="inlineStr">
        <is>
          <t>Nuez de Castilla o de nogal en mitades</t>
        </is>
      </c>
      <c r="F69" s="16" t="n">
        <v>40</v>
      </c>
      <c r="G69" t="inlineStr">
        <is>
          <t>g</t>
        </is>
      </c>
      <c r="H69" s="12">
        <f>IFERROR(VLOOKUP(E69,Insumos!$C$5:$G$181,5,FALSE),0)</f>
        <v/>
      </c>
      <c r="I69" s="17">
        <f>F69*H69</f>
        <v/>
      </c>
    </row>
    <row r="70">
      <c r="A70" t="n">
        <v>7</v>
      </c>
      <c r="B70" s="21" t="inlineStr">
        <is>
          <t>Extremadura Silvestre (Lomito Ibérico de Presa, Chorizo de Pimentón de la Vera, Ibores DOP al Pimentón y Torta de la Serena DOP)</t>
        </is>
      </c>
      <c r="C70" t="inlineStr">
        <is>
          <t>humedo</t>
        </is>
      </c>
      <c r="D70" s="22" t="inlineStr">
        <is>
          <t>40 ml Miel pura de romero de la Sierra de San Pedro (en cuenco cerámico)</t>
        </is>
      </c>
      <c r="E70" s="6" t="inlineStr">
        <is>
          <t>Miel pura monofloral artesanal</t>
        </is>
      </c>
      <c r="F70" s="16" t="n">
        <v>40</v>
      </c>
      <c r="G70" t="inlineStr">
        <is>
          <t>g</t>
        </is>
      </c>
      <c r="H70" s="12">
        <f>IFERROR(VLOOKUP(E70,Insumos!$C$5:$G$181,5,FALSE),0)</f>
        <v/>
      </c>
      <c r="I70" s="17">
        <f>F70*H70</f>
        <v/>
      </c>
    </row>
    <row r="71">
      <c r="A71" t="n">
        <v>7</v>
      </c>
      <c r="B71" s="21" t="inlineStr">
        <is>
          <t>Extremadura Silvestre (Lomito Ibérico de Presa, Chorizo de Pimentón de la Vera, Ibores DOP al Pimentón y Torta de la Serena DOP)</t>
        </is>
      </c>
      <c r="C71" t="inlineStr">
        <is>
          <t>humedo</t>
        </is>
      </c>
      <c r="D71" s="22" t="inlineStr">
        <is>
          <t>40 g Dulce de higo casero en bloques de 1 cm</t>
        </is>
      </c>
      <c r="E71" s="6" t="inlineStr">
        <is>
          <t>Mermelada o compota densa de la casa (elaborada)</t>
        </is>
      </c>
      <c r="F71" s="16" t="n">
        <v>40</v>
      </c>
      <c r="G71" t="inlineStr">
        <is>
          <t>g</t>
        </is>
      </c>
      <c r="H71" s="12">
        <f>IFERROR(VLOOKUP(E71,Insumos!$C$5:$G$181,5,FALSE),0)</f>
        <v/>
      </c>
      <c r="I71" s="17">
        <f>F71*H71</f>
        <v/>
      </c>
    </row>
    <row r="72">
      <c r="A72" t="n">
        <v>7</v>
      </c>
      <c r="B72" s="21" t="inlineStr">
        <is>
          <t>Extremadura Silvestre (Lomito Ibérico de Presa, Chorizo de Pimentón de la Vera, Ibores DOP al Pimentón y Torta de la Serena DOP)</t>
        </is>
      </c>
      <c r="C72" t="inlineStr">
        <is>
          <t>humedo</t>
        </is>
      </c>
      <c r="D72" s="22" t="inlineStr">
        <is>
          <t>30 g Aceitunas Manzanilla Cacereña machacadas en salmuera con orégano y ajo (en ramequín)</t>
        </is>
      </c>
      <c r="E72" s="6" t="inlineStr">
        <is>
          <t>Aceituna de mesa aliñada (Gordal, Manzanilla, Campo Real, Gaeta)</t>
        </is>
      </c>
      <c r="F72" s="16" t="n">
        <v>30</v>
      </c>
      <c r="G72" t="inlineStr">
        <is>
          <t>g</t>
        </is>
      </c>
      <c r="H72" s="12">
        <f>IFERROR(VLOOKUP(E72,Insumos!$C$5:$G$181,5,FALSE),0)</f>
        <v/>
      </c>
      <c r="I72" s="17">
        <f>F72*H72</f>
        <v/>
      </c>
    </row>
    <row r="73">
      <c r="A73" t="n">
        <v>8</v>
      </c>
      <c r="B73" s="21" t="inlineStr">
        <is>
          <t>Islas Baleares &amp; Salazón Marina (Sobrasada de Mallorca de Cerdo Negro, Cuixot Menorquín, Mahón Artesano Reserva y Sal de Es Trenc)</t>
        </is>
      </c>
      <c r="C73" t="inlineStr">
        <is>
          <t>charcuteria</t>
        </is>
      </c>
      <c r="D73" s="22" t="inlineStr">
        <is>
          <t>110 g Sobrasada de Mallorca de Cerdo Negro IGP (Porc Negre, carne y tocino picados en masa fina, pimentón dulce y picante tap de cortí, sal marina, madurada en tripa natural rizada) atemperada para untar</t>
        </is>
      </c>
      <c r="E73" s="6" t="inlineStr">
        <is>
          <t>Sobrasada de Mallorca IGP de cerdo negro</t>
        </is>
      </c>
      <c r="F73" s="16" t="n">
        <v>110</v>
      </c>
      <c r="G73" t="inlineStr">
        <is>
          <t>g</t>
        </is>
      </c>
      <c r="H73" s="12">
        <f>IFERROR(VLOOKUP(E73,Insumos!$C$5:$G$181,5,FALSE),0)</f>
        <v/>
      </c>
      <c r="I73" s="17">
        <f>F73*H73</f>
        <v/>
      </c>
    </row>
    <row r="74">
      <c r="A74" t="n">
        <v>8</v>
      </c>
      <c r="B74" s="21" t="inlineStr">
        <is>
          <t>Islas Baleares &amp; Salazón Marina (Sobrasada de Mallorca de Cerdo Negro, Cuixot Menorquín, Mahón Artesano Reserva y Sal de Es Trenc)</t>
        </is>
      </c>
      <c r="C74" t="inlineStr">
        <is>
          <t>charcuteria</t>
        </is>
      </c>
      <c r="D74" s="22" t="inlineStr">
        <is>
          <t>80 g Cuixot o Camaiot Menorquín (embutido cocido y curado en corteza de pierna de cerdo, relleno de carnes picadas magras, sangre, pimienta negra, anís y canela) rebanado en lonchas semicirculares de 1.5 mm</t>
        </is>
      </c>
      <c r="E74" s="6" t="inlineStr">
        <is>
          <t>Galantina, cuixot o embutido cocido y curado</t>
        </is>
      </c>
      <c r="F74" s="16" t="n">
        <v>80</v>
      </c>
      <c r="G74" t="inlineStr">
        <is>
          <t>g</t>
        </is>
      </c>
      <c r="H74" s="12">
        <f>IFERROR(VLOOKUP(E74,Insumos!$C$5:$G$181,5,FALSE),0)</f>
        <v/>
      </c>
      <c r="I74" s="17">
        <f>F74*H74</f>
        <v/>
      </c>
    </row>
    <row r="75">
      <c r="A75" t="n">
        <v>8</v>
      </c>
      <c r="B75" s="21" t="inlineStr">
        <is>
          <t>Islas Baleares &amp; Salazón Marina (Sobrasada de Mallorca de Cerdo Negro, Cuixot Menorquín, Mahón Artesano Reserva y Sal de Es Trenc)</t>
        </is>
      </c>
      <c r="C75" t="inlineStr">
        <is>
          <t>queso</t>
        </is>
      </c>
      <c r="D75" s="22" t="inlineStr">
        <is>
          <t>120 g Queso Mahón-Menorca Artesano DOP Reserva (elaborado con leche 100% cruda de vaca menorquina y frisona, madurado en cava durante 12 a 15 meses, corteza parda untada con aceite y pimentón, pasta dura quebradiza con cristales salinos) cortado en cuñas de 4 mm</t>
        </is>
      </c>
      <c r="E75" s="6" t="inlineStr">
        <is>
          <t>Mahón-Menorca DOP curado</t>
        </is>
      </c>
      <c r="F75" s="16" t="n">
        <v>120</v>
      </c>
      <c r="G75" t="inlineStr">
        <is>
          <t>g</t>
        </is>
      </c>
      <c r="H75" s="12">
        <f>IFERROR(VLOOKUP(E75,Insumos!$C$5:$G$181,5,FALSE),0)</f>
        <v/>
      </c>
      <c r="I75" s="17">
        <f>F75*H75</f>
        <v/>
      </c>
    </row>
    <row r="76">
      <c r="A76" t="n">
        <v>8</v>
      </c>
      <c r="B76" s="21" t="inlineStr">
        <is>
          <t>Islas Baleares &amp; Salazón Marina (Sobrasada de Mallorca de Cerdo Negro, Cuixot Menorquín, Mahón Artesano Reserva y Sal de Es Trenc)</t>
        </is>
      </c>
      <c r="C76" t="inlineStr">
        <is>
          <t>seco</t>
        </is>
      </c>
      <c r="D76" s="22" t="inlineStr">
        <is>
          <t>60 g Rebanadas finas de Pan Moreno Mallorquín tostadas al horno</t>
        </is>
      </c>
      <c r="E76" s="6" t="inlineStr">
        <is>
          <t>Totopos o tostaditas de maíz nixtamalizado</t>
        </is>
      </c>
      <c r="F76" s="16" t="n">
        <v>60</v>
      </c>
      <c r="G76" t="inlineStr">
        <is>
          <t>g</t>
        </is>
      </c>
      <c r="H76" s="12">
        <f>IFERROR(VLOOKUP(E76,Insumos!$C$5:$G$181,5,FALSE),0)</f>
        <v/>
      </c>
      <c r="I76" s="17">
        <f>F76*H76</f>
        <v/>
      </c>
    </row>
    <row r="77">
      <c r="A77" t="n">
        <v>8</v>
      </c>
      <c r="B77" s="21" t="inlineStr">
        <is>
          <t>Islas Baleares &amp; Salazón Marina (Sobrasada de Mallorca de Cerdo Negro, Cuixot Menorquín, Mahón Artesano Reserva y Sal de Es Trenc)</t>
        </is>
      </c>
      <c r="C77" t="inlineStr">
        <is>
          <t>seco</t>
        </is>
      </c>
      <c r="D77" s="22" t="inlineStr">
        <is>
          <t>40 g Quelitas o galletas de aceite tradicionales de Inca crujientes</t>
        </is>
      </c>
      <c r="E77" s="6" t="inlineStr">
        <is>
          <t>Picos, regañás o colines andaluces</t>
        </is>
      </c>
      <c r="F77" s="16" t="n">
        <v>40</v>
      </c>
      <c r="G77" t="inlineStr">
        <is>
          <t>g</t>
        </is>
      </c>
      <c r="H77" s="12">
        <f>IFERROR(VLOOKUP(E77,Insumos!$C$5:$G$181,5,FALSE),0)</f>
        <v/>
      </c>
      <c r="I77" s="17">
        <f>F77*H77</f>
        <v/>
      </c>
    </row>
    <row r="78">
      <c r="A78" t="n">
        <v>8</v>
      </c>
      <c r="B78" s="21" t="inlineStr">
        <is>
          <t>Islas Baleares &amp; Salazón Marina (Sobrasada de Mallorca de Cerdo Negro, Cuixot Menorquín, Mahón Artesano Reserva y Sal de Es Trenc)</t>
        </is>
      </c>
      <c r="C78" t="inlineStr">
        <is>
          <t>seco</t>
        </is>
      </c>
      <c r="D78" s="22" t="inlineStr">
        <is>
          <t>30 g Almendras de Mallorca DOP tostadas con piel</t>
        </is>
      </c>
      <c r="E78" s="6" t="inlineStr">
        <is>
          <t>Almendra tostada con piel (Mallorca, Toritto, Provenza)</t>
        </is>
      </c>
      <c r="F78" s="16" t="n">
        <v>30</v>
      </c>
      <c r="G78" t="inlineStr">
        <is>
          <t>g</t>
        </is>
      </c>
      <c r="H78" s="12">
        <f>IFERROR(VLOOKUP(E78,Insumos!$C$5:$G$181,5,FALSE),0)</f>
        <v/>
      </c>
      <c r="I78" s="17">
        <f>F78*H78</f>
        <v/>
      </c>
    </row>
    <row r="79">
      <c r="A79" t="n">
        <v>8</v>
      </c>
      <c r="B79" s="21" t="inlineStr">
        <is>
          <t>Islas Baleares &amp; Salazón Marina (Sobrasada de Mallorca de Cerdo Negro, Cuixot Menorquín, Mahón Artesano Reserva y Sal de Es Trenc)</t>
        </is>
      </c>
      <c r="C79" t="inlineStr">
        <is>
          <t>humedo</t>
        </is>
      </c>
      <c r="D79" s="22" t="inlineStr">
        <is>
          <t>40 ml Miel pura de milflores de la Sierra de Tramuntana (en cuenco cerámico)</t>
        </is>
      </c>
      <c r="E79" s="6" t="inlineStr">
        <is>
          <t>Miel pura monofloral artesanal</t>
        </is>
      </c>
      <c r="F79" s="16" t="n">
        <v>40</v>
      </c>
      <c r="G79" t="inlineStr">
        <is>
          <t>g</t>
        </is>
      </c>
      <c r="H79" s="12">
        <f>IFERROR(VLOOKUP(E79,Insumos!$C$5:$G$181,5,FALSE),0)</f>
        <v/>
      </c>
      <c r="I79" s="17">
        <f>F79*H79</f>
        <v/>
      </c>
    </row>
    <row r="80">
      <c r="A80" t="n">
        <v>8</v>
      </c>
      <c r="B80" s="21" t="inlineStr">
        <is>
          <t>Islas Baleares &amp; Salazón Marina (Sobrasada de Mallorca de Cerdo Negro, Cuixot Menorquín, Mahón Artesano Reserva y Sal de Es Trenc)</t>
        </is>
      </c>
      <c r="C80" t="inlineStr">
        <is>
          <t>humedo</t>
        </is>
      </c>
      <c r="D80" s="22" t="inlineStr">
        <is>
          <t>40 g Higos secos baleares prensados con hierbas aromáticas y anís en dados de 1 cm</t>
        </is>
      </c>
      <c r="E80" s="6" t="inlineStr">
        <is>
          <t>Higo seco o pasa de higo</t>
        </is>
      </c>
      <c r="F80" s="16" t="n">
        <v>40</v>
      </c>
      <c r="G80" t="inlineStr">
        <is>
          <t>g</t>
        </is>
      </c>
      <c r="H80" s="12">
        <f>IFERROR(VLOOKUP(E80,Insumos!$C$5:$G$181,5,FALSE),0)</f>
        <v/>
      </c>
      <c r="I80" s="17">
        <f>F80*H80</f>
        <v/>
      </c>
    </row>
    <row r="81">
      <c r="A81" t="n">
        <v>8</v>
      </c>
      <c r="B81" s="21" t="inlineStr">
        <is>
          <t>Islas Baleares &amp; Salazón Marina (Sobrasada de Mallorca de Cerdo Negro, Cuixot Menorquín, Mahón Artesano Reserva y Sal de Es Trenc)</t>
        </is>
      </c>
      <c r="C81" t="inlineStr">
        <is>
          <t>humedo</t>
        </is>
      </c>
      <c r="D81" s="22" t="inlineStr">
        <is>
          <t>25 g Alcaparras y alcaparrones de Formentera en vinagre de vino blanco (en ramequín)</t>
        </is>
      </c>
      <c r="E81" s="6" t="inlineStr">
        <is>
          <t>Alcaparra o alcaparrón en vinagre</t>
        </is>
      </c>
      <c r="F81" s="16" t="n">
        <v>25</v>
      </c>
      <c r="G81" t="inlineStr">
        <is>
          <t>g</t>
        </is>
      </c>
      <c r="H81" s="12">
        <f>IFERROR(VLOOKUP(E81,Insumos!$C$5:$G$181,5,FALSE),0)</f>
        <v/>
      </c>
      <c r="I81" s="17">
        <f>F81*H81</f>
        <v/>
      </c>
    </row>
    <row r="82">
      <c r="A82" t="n">
        <v>9</v>
      </c>
      <c r="B82" s="21" t="inlineStr">
        <is>
          <t>Galicia Rústica (Lacón Curado Tradicional, Androlla de Ourense, Queso San Simón da Costa DOP y Arzúa-Ulloa)</t>
        </is>
      </c>
      <c r="C82" t="inlineStr">
        <is>
          <t>charcuteria</t>
        </is>
      </c>
      <c r="D82" s="22" t="inlineStr">
        <is>
          <t>100 g Lacón Gallego Curado Tradicional (brazuelo de cerdo alimentado con castañas, curado en seco con sal gorda y reposado 4 meses) cortado a cuchillo en lonchas de 1.5 mm</t>
        </is>
      </c>
      <c r="E82" s="6" t="inlineStr">
        <is>
          <t>Lacón o brazuelo curado tradicional</t>
        </is>
      </c>
      <c r="F82" s="16" t="n">
        <v>100</v>
      </c>
      <c r="G82" t="inlineStr">
        <is>
          <t>g</t>
        </is>
      </c>
      <c r="H82" s="12">
        <f>IFERROR(VLOOKUP(E82,Insumos!$C$5:$G$181,5,FALSE),0)</f>
        <v/>
      </c>
      <c r="I82" s="17">
        <f>F82*H82</f>
        <v/>
      </c>
    </row>
    <row r="83">
      <c r="A83" t="n">
        <v>9</v>
      </c>
      <c r="B83" s="21" t="inlineStr">
        <is>
          <t>Galicia Rústica (Lacón Curado Tradicional, Androlla de Ourense, Queso San Simón da Costa DOP y Arzúa-Ulloa)</t>
        </is>
      </c>
      <c r="C83" t="inlineStr">
        <is>
          <t>charcuteria</t>
        </is>
      </c>
      <c r="D83" s="22" t="inlineStr">
        <is>
          <t>80 g Androlla de Ourense (embutido tradicional curado y ahumado en tripa gorda, elaborado con costilla de cerdo troceada, magro, pimentón picante, ajo y sal) cocida al vapor, enfriada y rebanada en rodajas de 3 mm</t>
        </is>
      </c>
      <c r="E83" s="6" t="inlineStr">
        <is>
          <t>Embutido curado y ahumado tradicional (chosco, androlla, butifarra)</t>
        </is>
      </c>
      <c r="F83" s="16" t="n">
        <v>80</v>
      </c>
      <c r="G83" t="inlineStr">
        <is>
          <t>g</t>
        </is>
      </c>
      <c r="H83" s="12">
        <f>IFERROR(VLOOKUP(E83,Insumos!$C$5:$G$181,5,FALSE),0)</f>
        <v/>
      </c>
      <c r="I83" s="17">
        <f>F83*H83</f>
        <v/>
      </c>
    </row>
    <row r="84">
      <c r="A84" t="n">
        <v>9</v>
      </c>
      <c r="B84" s="21" t="inlineStr">
        <is>
          <t>Galicia Rústica (Lacón Curado Tradicional, Androlla de Ourense, Queso San Simón da Costa DOP y Arzúa-Ulloa)</t>
        </is>
      </c>
      <c r="C84" t="inlineStr">
        <is>
          <t>queso</t>
        </is>
      </c>
      <c r="D84" s="22" t="inlineStr">
        <is>
          <t>110 g Queso San Simón da Costa DOP (leche pasteurizada de vaca Rubia Gallega y frisona, pasta semidura prensada, forma cónica tradicional, ahumado con madera de abedul sin corteza) cortado en cuñas longitudinales de 5 mm</t>
        </is>
      </c>
      <c r="E84" s="6" t="inlineStr">
        <is>
          <t>Queso ahumado de pasta prensada (San Simón, Idiazábal ahumado)</t>
        </is>
      </c>
      <c r="F84" s="16" t="n">
        <v>110</v>
      </c>
      <c r="G84" t="inlineStr">
        <is>
          <t>g</t>
        </is>
      </c>
      <c r="H84" s="12">
        <f>IFERROR(VLOOKUP(E84,Insumos!$C$5:$G$181,5,FALSE),0)</f>
        <v/>
      </c>
      <c r="I84" s="17">
        <f>F84*H84</f>
        <v/>
      </c>
    </row>
    <row r="85">
      <c r="A85" t="n">
        <v>9</v>
      </c>
      <c r="B85" s="21" t="inlineStr">
        <is>
          <t>Galicia Rústica (Lacón Curado Tradicional, Androlla de Ourense, Queso San Simón da Costa DOP y Arzúa-Ulloa)</t>
        </is>
      </c>
      <c r="C85" t="inlineStr">
        <is>
          <t>queso</t>
        </is>
      </c>
      <c r="D85" s="22" t="inlineStr">
        <is>
          <t>110 g Queso Arzúa-Ulloa DOP Tradicional (leche cruda o pasteurizada de vaca, pasta blanda láctica, cremosa y fundente, corteza fina amarillenta lavada) cortado en cuñas de 8 mm</t>
        </is>
      </c>
      <c r="E85" s="6" t="inlineStr">
        <is>
          <t>Queso de cuajada dulce (Squacquerone, Robiola, Arzúa-Ulloa)</t>
        </is>
      </c>
      <c r="F85" s="16" t="n">
        <v>110</v>
      </c>
      <c r="G85" t="inlineStr">
        <is>
          <t>g</t>
        </is>
      </c>
      <c r="H85" s="12">
        <f>IFERROR(VLOOKUP(E85,Insumos!$C$5:$G$181,5,FALSE),0)</f>
        <v/>
      </c>
      <c r="I85" s="17">
        <f>F85*H85</f>
        <v/>
      </c>
    </row>
    <row r="86">
      <c r="A86" t="n">
        <v>9</v>
      </c>
      <c r="B86" s="21" t="inlineStr">
        <is>
          <t>Galicia Rústica (Lacón Curado Tradicional, Androlla de Ourense, Queso San Simón da Costa DOP y Arzúa-Ulloa)</t>
        </is>
      </c>
      <c r="C86" t="inlineStr">
        <is>
          <t>seco</t>
        </is>
      </c>
      <c r="D86" s="22" t="inlineStr">
        <is>
          <t>60 g Rebanadas finas tostadas de Pan de Cea IGP (harina de trigo y centeno, masa madre y horneado en leña)</t>
        </is>
      </c>
      <c r="E86" s="6" t="inlineStr">
        <is>
          <t>Totopos o tostaditas de maíz nixtamalizado</t>
        </is>
      </c>
      <c r="F86" s="16" t="n">
        <v>60</v>
      </c>
      <c r="G86" t="inlineStr">
        <is>
          <t>g</t>
        </is>
      </c>
      <c r="H86" s="12">
        <f>IFERROR(VLOOKUP(E86,Insumos!$C$5:$G$181,5,FALSE),0)</f>
        <v/>
      </c>
      <c r="I86" s="17">
        <f>F86*H86</f>
        <v/>
      </c>
    </row>
    <row r="87">
      <c r="A87" t="n">
        <v>9</v>
      </c>
      <c r="B87" s="21" t="inlineStr">
        <is>
          <t>Galicia Rústica (Lacón Curado Tradicional, Androlla de Ourense, Queso San Simón da Costa DOP y Arzúa-Ulloa)</t>
        </is>
      </c>
      <c r="C87" t="inlineStr">
        <is>
          <t>seco</t>
        </is>
      </c>
      <c r="D87" s="22" t="inlineStr">
        <is>
          <t>40 g Colines rústicos de maíz gallego</t>
        </is>
      </c>
      <c r="E87" s="6" t="inlineStr">
        <is>
          <t>Picos, regañás o colines andaluces</t>
        </is>
      </c>
      <c r="F87" s="16" t="n">
        <v>40</v>
      </c>
      <c r="G87" t="inlineStr">
        <is>
          <t>g</t>
        </is>
      </c>
      <c r="H87" s="12">
        <f>IFERROR(VLOOKUP(E87,Insumos!$C$5:$G$181,5,FALSE),0)</f>
        <v/>
      </c>
      <c r="I87" s="17">
        <f>F87*H87</f>
        <v/>
      </c>
    </row>
    <row r="88">
      <c r="A88" t="n">
        <v>9</v>
      </c>
      <c r="B88" s="21" t="inlineStr">
        <is>
          <t>Galicia Rústica (Lacón Curado Tradicional, Androlla de Ourense, Queso San Simón da Costa DOP y Arzúa-Ulloa)</t>
        </is>
      </c>
      <c r="C88" t="inlineStr">
        <is>
          <t>seco</t>
        </is>
      </c>
      <c r="D88" s="22" t="inlineStr">
        <is>
          <t>35 g Castañas asadas secas (castañas pilongas) o nueces peladas</t>
        </is>
      </c>
      <c r="E88" s="6" t="inlineStr">
        <is>
          <t>Castaña pilonga o asada seca</t>
        </is>
      </c>
      <c r="F88" s="16" t="n">
        <v>35</v>
      </c>
      <c r="G88" t="inlineStr">
        <is>
          <t>g</t>
        </is>
      </c>
      <c r="H88" s="12">
        <f>IFERROR(VLOOKUP(E88,Insumos!$C$5:$G$181,5,FALSE),0)</f>
        <v/>
      </c>
      <c r="I88" s="17">
        <f>F88*H88</f>
        <v/>
      </c>
    </row>
    <row r="89">
      <c r="A89" t="n">
        <v>9</v>
      </c>
      <c r="B89" s="21" t="inlineStr">
        <is>
          <t>Galicia Rústica (Lacón Curado Tradicional, Androlla de Ourense, Queso San Simón da Costa DOP y Arzúa-Ulloa)</t>
        </is>
      </c>
      <c r="C89" t="inlineStr">
        <is>
          <t>humedo</t>
        </is>
      </c>
      <c r="D89" s="22" t="inlineStr">
        <is>
          <t>45 g Mermelada densa de uva Mencía o compota de manzana autóctona Camuesa (en ramequín)</t>
        </is>
      </c>
      <c r="E89" s="6" t="inlineStr">
        <is>
          <t>Mermelada o compota densa de la casa (elaborada)</t>
        </is>
      </c>
      <c r="F89" s="16" t="n">
        <v>45</v>
      </c>
      <c r="G89" t="inlineStr">
        <is>
          <t>g</t>
        </is>
      </c>
      <c r="H89" s="12">
        <f>IFERROR(VLOOKUP(E89,Insumos!$C$5:$G$181,5,FALSE),0)</f>
        <v/>
      </c>
      <c r="I89" s="17">
        <f>F89*H89</f>
        <v/>
      </c>
    </row>
    <row r="90">
      <c r="A90" t="n">
        <v>9</v>
      </c>
      <c r="B90" s="21" t="inlineStr">
        <is>
          <t>Galicia Rústica (Lacón Curado Tradicional, Androlla de Ourense, Queso San Simón da Costa DOP y Arzúa-Ulloa)</t>
        </is>
      </c>
      <c r="C90" t="inlineStr">
        <is>
          <t>humedo</t>
        </is>
      </c>
      <c r="D90" s="22" t="inlineStr">
        <is>
          <t>35 g Pimientos de Padrón confitados en frío en aceite de oliva con sal gruesa (en ramequín cerámico)</t>
        </is>
      </c>
      <c r="E90" s="6" t="inlineStr">
        <is>
          <t>Verdura en aceite sott'olio (berenjena, alcachofa, pimiento)</t>
        </is>
      </c>
      <c r="F90" s="16" t="n">
        <v>35</v>
      </c>
      <c r="G90" t="inlineStr">
        <is>
          <t>g</t>
        </is>
      </c>
      <c r="H90" s="12">
        <f>IFERROR(VLOOKUP(E90,Insumos!$C$5:$G$181,5,FALSE),0)</f>
        <v/>
      </c>
      <c r="I90" s="17">
        <f>F90*H90</f>
        <v/>
      </c>
    </row>
    <row r="91">
      <c r="A91" t="n">
        <v>9</v>
      </c>
      <c r="B91" s="21" t="inlineStr">
        <is>
          <t>Galicia Rústica (Lacón Curado Tradicional, Androlla de Ourense, Queso San Simón da Costa DOP y Arzúa-Ulloa)</t>
        </is>
      </c>
      <c r="C91" t="inlineStr">
        <is>
          <t>humedo</t>
        </is>
      </c>
      <c r="D91" s="22" t="inlineStr">
        <is>
          <t>40 g Uvas blancas Albariño frescas limpias y secas</t>
        </is>
      </c>
      <c r="E91" s="6" t="inlineStr">
        <is>
          <t>Uva de mesa sin semilla (blanca, roja o negra)</t>
        </is>
      </c>
      <c r="F91" s="16" t="n">
        <v>40</v>
      </c>
      <c r="G91" t="inlineStr">
        <is>
          <t>g</t>
        </is>
      </c>
      <c r="H91" s="12">
        <f>IFERROR(VLOOKUP(E91,Insumos!$C$5:$G$181,5,FALSE),0)</f>
        <v/>
      </c>
      <c r="I91" s="17">
        <f>F91*H91</f>
        <v/>
      </c>
    </row>
    <row r="92">
      <c r="A92" t="n">
        <v>10</v>
      </c>
      <c r="B92" s="21" t="inlineStr">
        <is>
          <t>Dehesa Urbana Contemporánea (Presa Ibérica Curada al Vino Tinto, Chicharrón Ibérico Prensado, Flor de Guía DOP y Almendras Marcona Tostadas)</t>
        </is>
      </c>
      <c r="C92" t="inlineStr">
        <is>
          <t>charcuteria</t>
        </is>
      </c>
      <c r="D92" s="22" t="inlineStr">
        <is>
          <t>100 g Presa Ibérica de Bellota Curada (corte noble de presa marinada en vino tinto de autor, sal marina, pimienta de Jamaica y nuez moscada, curada en secadero natural) rebanada a 1 mm</t>
        </is>
      </c>
      <c r="E92" s="6" t="inlineStr">
        <is>
          <t>Presa, lomito o morcón ibérico de bellota</t>
        </is>
      </c>
      <c r="F92" s="16" t="n">
        <v>100</v>
      </c>
      <c r="G92" t="inlineStr">
        <is>
          <t>g</t>
        </is>
      </c>
      <c r="H92" s="12">
        <f>IFERROR(VLOOKUP(E92,Insumos!$C$5:$G$181,5,FALSE),0)</f>
        <v/>
      </c>
      <c r="I92" s="17">
        <f>F92*H92</f>
        <v/>
      </c>
    </row>
    <row r="93">
      <c r="A93" t="n">
        <v>10</v>
      </c>
      <c r="B93" s="21" t="inlineStr">
        <is>
          <t>Dehesa Urbana Contemporánea (Presa Ibérica Curada al Vino Tinto, Chicharrón Ibérico Prensado, Flor de Guía DOP y Almendras Marcona Tostadas)</t>
        </is>
      </c>
      <c r="C93" t="inlineStr">
        <is>
          <t>charcuteria</t>
        </is>
      </c>
      <c r="D93" s="22" t="inlineStr">
        <is>
          <t>80 g Chicharrón Ibérico Prensado Artesanal (carne magra y panceta de cerdo ibérico confitadas lentamente en manteca con laurel, pimienta y sal marina, prensadas en bloque frío y aromatizadas con cáscara de limón) cortado en cubos de 1.5 cm x 1.5 cm</t>
        </is>
      </c>
      <c r="E93" s="6" t="inlineStr">
        <is>
          <t>Chicharrón prensado, cicoli o carnitas en frío</t>
        </is>
      </c>
      <c r="F93" s="16" t="n">
        <v>80</v>
      </c>
      <c r="G93" t="inlineStr">
        <is>
          <t>g</t>
        </is>
      </c>
      <c r="H93" s="12">
        <f>IFERROR(VLOOKUP(E93,Insumos!$C$5:$G$181,5,FALSE),0)</f>
        <v/>
      </c>
      <c r="I93" s="17">
        <f>F93*H93</f>
        <v/>
      </c>
    </row>
    <row r="94">
      <c r="A94" t="n">
        <v>10</v>
      </c>
      <c r="B94" s="21" t="inlineStr">
        <is>
          <t>Dehesa Urbana Contemporánea (Presa Ibérica Curada al Vino Tinto, Chicharrón Ibérico Prensado, Flor de Guía DOP y Almendras Marcona Tostadas)</t>
        </is>
      </c>
      <c r="C94" t="inlineStr">
        <is>
          <t>queso</t>
        </is>
      </c>
      <c r="D94" s="22" t="inlineStr">
        <is>
          <t>110 g Queso Flor de Guía DOP (isla de Gran Canaria, mezcla de leche cruda de oveja canaria y vaca, cuajo vegetal de flor de cardo Cynara cardunculus azul, pasta blanda untuosa con notas amargas nobles) cortado en cuñas de 6 mm</t>
        </is>
      </c>
      <c r="E94" s="6" t="inlineStr">
        <is>
          <t>Queso de majada de leche mezclada (Gamonéu, Flor de Guía)</t>
        </is>
      </c>
      <c r="F94" s="16" t="n">
        <v>110</v>
      </c>
      <c r="G94" t="inlineStr">
        <is>
          <t>g</t>
        </is>
      </c>
      <c r="H94" s="12">
        <f>IFERROR(VLOOKUP(E94,Insumos!$C$5:$G$181,5,FALSE),0)</f>
        <v/>
      </c>
      <c r="I94" s="17">
        <f>F94*H94</f>
        <v/>
      </c>
    </row>
    <row r="95">
      <c r="A95" t="n">
        <v>10</v>
      </c>
      <c r="B95" s="21" t="inlineStr">
        <is>
          <t>Dehesa Urbana Contemporánea (Presa Ibérica Curada al Vino Tinto, Chicharrón Ibérico Prensado, Flor de Guía DOP y Almendras Marcona Tostadas)</t>
        </is>
      </c>
      <c r="C95" t="inlineStr">
        <is>
          <t>queso</t>
        </is>
      </c>
      <c r="D95" s="22" t="inlineStr">
        <is>
          <t>110 g Queso de Oveja Curado en Manteca y Trufa Negra (leche cruda de oveja, madurado 9 meses, afinado en corteza con grasa ibérica y trufa de invierno Tuber melanosporum) cortado en triángulos de 4 mm</t>
        </is>
      </c>
      <c r="E95" s="6" t="inlineStr">
        <is>
          <t>Queso de oveja afinado en manteca o en trufa</t>
        </is>
      </c>
      <c r="F95" s="16" t="n">
        <v>110</v>
      </c>
      <c r="G95" t="inlineStr">
        <is>
          <t>g</t>
        </is>
      </c>
      <c r="H95" s="12">
        <f>IFERROR(VLOOKUP(E95,Insumos!$C$5:$G$181,5,FALSE),0)</f>
        <v/>
      </c>
      <c r="I95" s="17">
        <f>F95*H95</f>
        <v/>
      </c>
    </row>
    <row r="96">
      <c r="A96" t="n">
        <v>10</v>
      </c>
      <c r="B96" s="21" t="inlineStr">
        <is>
          <t>Dehesa Urbana Contemporánea (Presa Ibérica Curada al Vino Tinto, Chicharrón Ibérico Prensado, Flor de Guía DOP y Almendras Marcona Tostadas)</t>
        </is>
      </c>
      <c r="C96" t="inlineStr">
        <is>
          <t>seco</t>
        </is>
      </c>
      <c r="D96" s="22" t="inlineStr">
        <is>
          <t>60 g Crackers artesanales de masa madre y carbón activo crujientes</t>
        </is>
      </c>
      <c r="E96" s="6" t="inlineStr">
        <is>
          <t>Crackers artesanales de semillas o masa madre</t>
        </is>
      </c>
      <c r="F96" s="16" t="n">
        <v>60</v>
      </c>
      <c r="G96" t="inlineStr">
        <is>
          <t>g</t>
        </is>
      </c>
      <c r="H96" s="12">
        <f>IFERROR(VLOOKUP(E96,Insumos!$C$5:$G$181,5,FALSE),0)</f>
        <v/>
      </c>
      <c r="I96" s="17">
        <f>F96*H96</f>
        <v/>
      </c>
    </row>
    <row r="97">
      <c r="A97" t="n">
        <v>10</v>
      </c>
      <c r="B97" s="21" t="inlineStr">
        <is>
          <t>Dehesa Urbana Contemporánea (Presa Ibérica Curada al Vino Tinto, Chicharrón Ibérico Prensado, Flor de Guía DOP y Almendras Marcona Tostadas)</t>
        </is>
      </c>
      <c r="C97" t="inlineStr">
        <is>
          <t>seco</t>
        </is>
      </c>
      <c r="D97" s="22" t="inlineStr">
        <is>
          <t>40 g Regañás finas con flor de sal marina</t>
        </is>
      </c>
      <c r="E97" s="6" t="inlineStr">
        <is>
          <t>Picos, regañás o colines andaluces</t>
        </is>
      </c>
      <c r="F97" s="16" t="n">
        <v>40</v>
      </c>
      <c r="G97" t="inlineStr">
        <is>
          <t>g</t>
        </is>
      </c>
      <c r="H97" s="12">
        <f>IFERROR(VLOOKUP(E97,Insumos!$C$5:$G$181,5,FALSE),0)</f>
        <v/>
      </c>
      <c r="I97" s="17">
        <f>F97*H97</f>
        <v/>
      </c>
    </row>
    <row r="98">
      <c r="A98" t="n">
        <v>10</v>
      </c>
      <c r="B98" s="21" t="inlineStr">
        <is>
          <t>Dehesa Urbana Contemporánea (Presa Ibérica Curada al Vino Tinto, Chicharrón Ibérico Prensado, Flor de Guía DOP y Almendras Marcona Tostadas)</t>
        </is>
      </c>
      <c r="C98" t="inlineStr">
        <is>
          <t>seco</t>
        </is>
      </c>
      <c r="D98" s="22" t="inlineStr">
        <is>
          <t>40 g Almendras variedad Marcona tostadas y fritas en AOVE con sal gruesa</t>
        </is>
      </c>
      <c r="E98" s="6" t="inlineStr">
        <is>
          <t>Almendra Marcona pelada y frita en AOVE</t>
        </is>
      </c>
      <c r="F98" s="16" t="n">
        <v>40</v>
      </c>
      <c r="G98" t="inlineStr">
        <is>
          <t>g</t>
        </is>
      </c>
      <c r="H98" s="12">
        <f>IFERROR(VLOOKUP(E98,Insumos!$C$5:$G$181,5,FALSE),0)</f>
        <v/>
      </c>
      <c r="I98" s="17">
        <f>F98*H98</f>
        <v/>
      </c>
    </row>
    <row r="99">
      <c r="A99" t="n">
        <v>10</v>
      </c>
      <c r="B99" s="21" t="inlineStr">
        <is>
          <t>Dehesa Urbana Contemporánea (Presa Ibérica Curada al Vino Tinto, Chicharrón Ibérico Prensado, Flor de Guía DOP y Almendras Marcona Tostadas)</t>
        </is>
      </c>
      <c r="C99" t="inlineStr">
        <is>
          <t>humedo</t>
        </is>
      </c>
      <c r="D99" s="22" t="inlineStr">
        <is>
          <t>40 ml Reducción densa de vino Pedro Ximénez con infusión de romero fresco (en cuenco vitrificado)</t>
        </is>
      </c>
      <c r="E99" s="6" t="inlineStr">
        <is>
          <t>Reducción densa de vino para tabla (elaborada)</t>
        </is>
      </c>
      <c r="F99" s="16" t="n">
        <v>40</v>
      </c>
      <c r="G99" t="inlineStr">
        <is>
          <t>ml</t>
        </is>
      </c>
      <c r="H99" s="12">
        <f>IFERROR(VLOOKUP(E99,Insumos!$C$5:$G$181,5,FALSE),0)</f>
        <v/>
      </c>
      <c r="I99" s="17">
        <f>F99*H99</f>
        <v/>
      </c>
    </row>
    <row r="100">
      <c r="A100" t="n">
        <v>10</v>
      </c>
      <c r="B100" s="21" t="inlineStr">
        <is>
          <t>Dehesa Urbana Contemporánea (Presa Ibérica Curada al Vino Tinto, Chicharrón Ibérico Prensado, Flor de Guía DOP y Almendras Marcona Tostadas)</t>
        </is>
      </c>
      <c r="C100" t="inlineStr">
        <is>
          <t>humedo</t>
        </is>
      </c>
      <c r="D100" s="22" t="inlineStr">
        <is>
          <t>35 g Tomates cherry secados al sol confitados en AOVE con albahaca (en ramequín)</t>
        </is>
      </c>
      <c r="E100" s="6" t="inlineStr">
        <is>
          <t>Tomate seco o cherry confitado en AOVE</t>
        </is>
      </c>
      <c r="F100" s="16" t="n">
        <v>35</v>
      </c>
      <c r="G100" t="inlineStr">
        <is>
          <t>g</t>
        </is>
      </c>
      <c r="H100" s="12">
        <f>IFERROR(VLOOKUP(E100,Insumos!$C$5:$G$181,5,FALSE),0)</f>
        <v/>
      </c>
      <c r="I100" s="17">
        <f>F100*H100</f>
        <v/>
      </c>
    </row>
    <row r="101">
      <c r="A101" t="n">
        <v>10</v>
      </c>
      <c r="B101" s="21" t="inlineStr">
        <is>
          <t>Dehesa Urbana Contemporánea (Presa Ibérica Curada al Vino Tinto, Chicharrón Ibérico Prensado, Flor de Guía DOP y Almendras Marcona Tostadas)</t>
        </is>
      </c>
      <c r="C101" t="inlineStr">
        <is>
          <t>humedo</t>
        </is>
      </c>
      <c r="D101" s="22" t="inlineStr">
        <is>
          <t>40 g Fresas silvestres o moras frescas limpias y secas</t>
        </is>
      </c>
      <c r="E101" s="6" t="inlineStr">
        <is>
          <t>Mora, fresa silvestre o cereza fresca</t>
        </is>
      </c>
      <c r="F101" s="16" t="n">
        <v>40</v>
      </c>
      <c r="G101" t="inlineStr">
        <is>
          <t>g</t>
        </is>
      </c>
      <c r="H101" s="12">
        <f>IFERROR(VLOOKUP(E101,Insumos!$C$5:$G$181,5,FALSE),0)</f>
        <v/>
      </c>
      <c r="I101" s="17">
        <f>F101*H101</f>
        <v/>
      </c>
    </row>
    <row r="102">
      <c r="A102" t="n">
        <v>11</v>
      </c>
      <c r="B102" s="21" t="inlineStr">
        <is>
          <t>Gran Tabla Emiliana (Prosciutto di Parma DOP 24 Meses, Mortadella Bologna IGP, Parmigiano Reggiano DOP 30 Meses y Squacquerone di Romagna DOP)</t>
        </is>
      </c>
      <c r="C102" t="inlineStr">
        <is>
          <t>charcuteria</t>
        </is>
      </c>
      <c r="D102" s="22" t="inlineStr">
        <is>
          <t>110 g Prosciutto di Parma DOP curado 24 meses (pierna trasera de cerdo pesado italiano Large White/Landrace, salazón marina seca en cavas de Langhirano, grasa blanca nacarada dulce) rebanado ultrafino a máquina a 0.8 mm</t>
        </is>
      </c>
      <c r="E102" s="6" t="inlineStr">
        <is>
          <t>Prosciutto di Parma DOP 24 meses</t>
        </is>
      </c>
      <c r="F102" s="16" t="n">
        <v>110</v>
      </c>
      <c r="G102" t="inlineStr">
        <is>
          <t>g</t>
        </is>
      </c>
      <c r="H102" s="12">
        <f>IFERROR(VLOOKUP(E102,Insumos!$C$5:$G$181,5,FALSE),0)</f>
        <v/>
      </c>
      <c r="I102" s="17">
        <f>F102*H102</f>
        <v/>
      </c>
    </row>
    <row r="103">
      <c r="A103" t="n">
        <v>11</v>
      </c>
      <c r="B103" s="21" t="inlineStr">
        <is>
          <t>Gran Tabla Emiliana (Prosciutto di Parma DOP 24 Meses, Mortadella Bologna IGP, Parmigiano Reggiano DOP 30 Meses y Squacquerone di Romagna DOP)</t>
        </is>
      </c>
      <c r="C103" t="inlineStr">
        <is>
          <t>charcuteria</t>
        </is>
      </c>
      <c r="D103" s="22" t="inlineStr">
        <is>
          <t>90 g Mortadella Bologna IGP con pistachos (emulsión cárnica fina de carne magra de cerdo con dados enteros de grasa dura de garganta lardelli al 15% y pistachos de Bronte, cocción lenta en estufa de aire seco) cortada en lonchas de 1 mm</t>
        </is>
      </c>
      <c r="E103" s="6" t="inlineStr">
        <is>
          <t>Mortadella Bologna IGP con pistachos</t>
        </is>
      </c>
      <c r="F103" s="16" t="n">
        <v>90</v>
      </c>
      <c r="G103" t="inlineStr">
        <is>
          <t>g</t>
        </is>
      </c>
      <c r="H103" s="12">
        <f>IFERROR(VLOOKUP(E103,Insumos!$C$5:$G$181,5,FALSE),0)</f>
        <v/>
      </c>
      <c r="I103" s="17">
        <f>F103*H103</f>
        <v/>
      </c>
    </row>
    <row r="104">
      <c r="A104" t="n">
        <v>11</v>
      </c>
      <c r="B104" s="21" t="inlineStr">
        <is>
          <t>Gran Tabla Emiliana (Prosciutto di Parma DOP 24 Meses, Mortadella Bologna IGP, Parmigiano Reggiano DOP 30 Meses y Squacquerone di Romagna DOP)</t>
        </is>
      </c>
      <c r="C104" t="inlineStr">
        <is>
          <t>queso</t>
        </is>
      </c>
      <c r="D104" s="22" t="inlineStr">
        <is>
          <t>120 g Parmigiano Reggiano DOP Stravecchio madurado 30 meses (leche cruda de vaca de dos ordeños, parcialmente desnatada por reposo natural, pasta dura granular quebradiza saturada de cristales de tirosina) fracturado con cuchillo de gota en rocas irregulares</t>
        </is>
      </c>
      <c r="E104" s="6" t="inlineStr">
        <is>
          <t>Parmigiano Reggiano DOP 30-36 meses</t>
        </is>
      </c>
      <c r="F104" s="16" t="n">
        <v>120</v>
      </c>
      <c r="G104" t="inlineStr">
        <is>
          <t>g</t>
        </is>
      </c>
      <c r="H104" s="12">
        <f>IFERROR(VLOOKUP(E104,Insumos!$C$5:$G$181,5,FALSE),0)</f>
        <v/>
      </c>
      <c r="I104" s="17">
        <f>F104*H104</f>
        <v/>
      </c>
    </row>
    <row r="105">
      <c r="A105" t="n">
        <v>11</v>
      </c>
      <c r="B105" s="21" t="inlineStr">
        <is>
          <t>Gran Tabla Emiliana (Prosciutto di Parma DOP 24 Meses, Mortadella Bologna IGP, Parmigiano Reggiano DOP 30 Meses y Squacquerone di Romagna DOP)</t>
        </is>
      </c>
      <c r="C105" t="inlineStr">
        <is>
          <t>queso</t>
        </is>
      </c>
      <c r="D105" s="22" t="inlineStr">
        <is>
          <t>100 g Squacquerone di Romagna DOP (leche entera pasteurizada de vaca, cuajada dulce sin prensar, maduración ultracorta de 4 días, pasta blanda no elástica sumamente fundente y untuosa)</t>
        </is>
      </c>
      <c r="E105" s="6" t="inlineStr">
        <is>
          <t>Queso de cuajada dulce (Squacquerone, Robiola, Arzúa-Ulloa)</t>
        </is>
      </c>
      <c r="F105" s="16" t="n">
        <v>100</v>
      </c>
      <c r="G105" t="inlineStr">
        <is>
          <t>g</t>
        </is>
      </c>
      <c r="H105" s="12">
        <f>IFERROR(VLOOKUP(E105,Insumos!$C$5:$G$181,5,FALSE),0)</f>
        <v/>
      </c>
      <c r="I105" s="17">
        <f>F105*H105</f>
        <v/>
      </c>
    </row>
    <row r="106">
      <c r="A106" t="n">
        <v>11</v>
      </c>
      <c r="B106" s="21" t="inlineStr">
        <is>
          <t>Gran Tabla Emiliana (Prosciutto di Parma DOP 24 Meses, Mortadella Bologna IGP, Parmigiano Reggiano DOP 30 Meses y Squacquerone di Romagna DOP)</t>
        </is>
      </c>
      <c r="C106" t="inlineStr">
        <is>
          <t>seco</t>
        </is>
      </c>
      <c r="D106" s="22" t="inlineStr">
        <is>
          <t>60 g Gnocco Fritto emiliano (o Crescentina) cortado en rombos huecos fritos en manteca de cerdo limpia</t>
        </is>
      </c>
      <c r="E106" s="6" t="inlineStr">
        <is>
          <t>Pan frito o focaccia delgada (gnocco fritto, schiacciata, fougasse)</t>
        </is>
      </c>
      <c r="F106" s="16" t="n">
        <v>60</v>
      </c>
      <c r="G106" t="inlineStr">
        <is>
          <t>g</t>
        </is>
      </c>
      <c r="H106" s="12">
        <f>IFERROR(VLOOKUP(E106,Insumos!$C$5:$G$181,5,FALSE),0)</f>
        <v/>
      </c>
      <c r="I106" s="17">
        <f>F106*H106</f>
        <v/>
      </c>
    </row>
    <row r="107">
      <c r="A107" t="n">
        <v>11</v>
      </c>
      <c r="B107" s="21" t="inlineStr">
        <is>
          <t>Gran Tabla Emiliana (Prosciutto di Parma DOP 24 Meses, Mortadella Bologna IGP, Parmigiano Reggiano DOP 30 Meses y Squacquerone di Romagna DOP)</t>
        </is>
      </c>
      <c r="C107" t="inlineStr">
        <is>
          <t>seco</t>
        </is>
      </c>
      <c r="D107" s="22" t="inlineStr">
        <is>
          <t>40 g Grissini Torinesi artesanales estirados a mano con aceite de oliva virgen extra</t>
        </is>
      </c>
      <c r="E107" s="6" t="inlineStr">
        <is>
          <t>Grissini torinesi o rubatà artesanales</t>
        </is>
      </c>
      <c r="F107" s="16" t="n">
        <v>40</v>
      </c>
      <c r="G107" t="inlineStr">
        <is>
          <t>g</t>
        </is>
      </c>
      <c r="H107" s="12">
        <f>IFERROR(VLOOKUP(E107,Insumos!$C$5:$G$181,5,FALSE),0)</f>
        <v/>
      </c>
      <c r="I107" s="17">
        <f>F107*H107</f>
        <v/>
      </c>
    </row>
    <row r="108">
      <c r="A108" t="n">
        <v>11</v>
      </c>
      <c r="B108" s="21" t="inlineStr">
        <is>
          <t>Gran Tabla Emiliana (Prosciutto di Parma DOP 24 Meses, Mortadella Bologna IGP, Parmigiano Reggiano DOP 30 Meses y Squacquerone di Romagna DOP)</t>
        </is>
      </c>
      <c r="C108" t="inlineStr">
        <is>
          <t>seco</t>
        </is>
      </c>
      <c r="D108" s="22" t="inlineStr">
        <is>
          <t>30 g Piñones italianos tostados ligeramente al horno sin sal</t>
        </is>
      </c>
      <c r="E108" s="6" t="inlineStr">
        <is>
          <t>Piñón entero</t>
        </is>
      </c>
      <c r="F108" s="16" t="n">
        <v>30</v>
      </c>
      <c r="G108" t="inlineStr">
        <is>
          <t>g</t>
        </is>
      </c>
      <c r="H108" s="12">
        <f>IFERROR(VLOOKUP(E108,Insumos!$C$5:$G$181,5,FALSE),0)</f>
        <v/>
      </c>
      <c r="I108" s="17">
        <f>F108*H108</f>
        <v/>
      </c>
    </row>
    <row r="109">
      <c r="A109" t="n">
        <v>11</v>
      </c>
      <c r="B109" s="21" t="inlineStr">
        <is>
          <t>Gran Tabla Emiliana (Prosciutto di Parma DOP 24 Meses, Mortadella Bologna IGP, Parmigiano Reggiano DOP 30 Meses y Squacquerone di Romagna DOP)</t>
        </is>
      </c>
      <c r="C109" t="inlineStr">
        <is>
          <t>humedo</t>
        </is>
      </c>
      <c r="D109" s="22" t="inlineStr">
        <is>
          <t>30 ml Aceto Balsamico Tradizionale di Modena DOP afinado en baterías de barricas de maderas nobles (en gotero o cuenco cerámico vitrificado miniatura)</t>
        </is>
      </c>
      <c r="E109" s="6" t="inlineStr">
        <is>
          <t>Aceto Balsamico Tradizionale di Modena DOP</t>
        </is>
      </c>
      <c r="F109" s="16" t="n">
        <v>30</v>
      </c>
      <c r="G109" t="inlineStr">
        <is>
          <t>ml</t>
        </is>
      </c>
      <c r="H109" s="12">
        <f>IFERROR(VLOOKUP(E109,Insumos!$C$5:$G$181,5,FALSE),0)</f>
        <v/>
      </c>
      <c r="I109" s="17">
        <f>F109*H109</f>
        <v/>
      </c>
    </row>
    <row r="110">
      <c r="A110" t="n">
        <v>11</v>
      </c>
      <c r="B110" s="21" t="inlineStr">
        <is>
          <t>Gran Tabla Emiliana (Prosciutto di Parma DOP 24 Meses, Mortadella Bologna IGP, Parmigiano Reggiano DOP 30 Meses y Squacquerone di Romagna DOP)</t>
        </is>
      </c>
      <c r="C110" t="inlineStr">
        <is>
          <t>humedo</t>
        </is>
      </c>
      <c r="D110" s="22" t="inlineStr">
        <is>
          <t>45 g Mostarda di Cremona tradicional (frutas enteras confitadas en almíbar picante de aceite esencial de mostaza: cerezas e higos en dados) en ramequín cerámico</t>
        </is>
      </c>
      <c r="E110" s="6" t="inlineStr">
        <is>
          <t>Mostarda italiana o cugnà (Cremona, Voghera, Veneta)</t>
        </is>
      </c>
      <c r="F110" s="16" t="n">
        <v>45</v>
      </c>
      <c r="G110" t="inlineStr">
        <is>
          <t>g</t>
        </is>
      </c>
      <c r="H110" s="12">
        <f>IFERROR(VLOOKUP(E110,Insumos!$C$5:$G$181,5,FALSE),0)</f>
        <v/>
      </c>
      <c r="I110" s="17">
        <f>F110*H110</f>
        <v/>
      </c>
    </row>
    <row r="111">
      <c r="A111" t="n">
        <v>11</v>
      </c>
      <c r="B111" s="21" t="inlineStr">
        <is>
          <t>Gran Tabla Emiliana (Prosciutto di Parma DOP 24 Meses, Mortadella Bologna IGP, Parmigiano Reggiano DOP 30 Meses y Squacquerone di Romagna DOP)</t>
        </is>
      </c>
      <c r="C111" t="inlineStr">
        <is>
          <t>humedo</t>
        </is>
      </c>
      <c r="D111" s="22" t="inlineStr">
        <is>
          <t>40 g Uvas blancas italianas frescas secadas meticulosamente</t>
        </is>
      </c>
      <c r="E111" s="6" t="inlineStr">
        <is>
          <t>Uva de mesa sin semilla (blanca, roja o negra)</t>
        </is>
      </c>
      <c r="F111" s="16" t="n">
        <v>40</v>
      </c>
      <c r="G111" t="inlineStr">
        <is>
          <t>g</t>
        </is>
      </c>
      <c r="H111" s="12">
        <f>IFERROR(VLOOKUP(E111,Insumos!$C$5:$G$181,5,FALSE),0)</f>
        <v/>
      </c>
      <c r="I111" s="17">
        <f>F111*H111</f>
        <v/>
      </c>
    </row>
    <row r="112">
      <c r="A112" t="n">
        <v>12</v>
      </c>
      <c r="B112" s="21" t="inlineStr">
        <is>
          <t>Antica Norcineria Toscana (Finocchiona IGP al Hinojo Silvestre, Capocollo Toscano, Pecorino Toscano DOP Stagionato y Caciotta)</t>
        </is>
      </c>
      <c r="C112" t="inlineStr">
        <is>
          <t>charcuteria</t>
        </is>
      </c>
      <c r="D112" s="22" t="inlineStr">
        <is>
          <t>100 g Finocchiona IGP (embutido toscano tradicional de carne picada de cerdo, semillas y flores de hinojo silvestre finocchietto, vino tinto Chianti, ajo y sal marina) rebanada a 2 mm</t>
        </is>
      </c>
      <c r="E112" s="6" t="inlineStr">
        <is>
          <t>Finocchiona IGP o salame de hinojo</t>
        </is>
      </c>
      <c r="F112" s="16" t="n">
        <v>100</v>
      </c>
      <c r="G112" t="inlineStr">
        <is>
          <t>g</t>
        </is>
      </c>
      <c r="H112" s="12">
        <f>IFERROR(VLOOKUP(E112,Insumos!$C$5:$G$181,5,FALSE),0)</f>
        <v/>
      </c>
      <c r="I112" s="17">
        <f>F112*H112</f>
        <v/>
      </c>
    </row>
    <row r="113">
      <c r="A113" t="n">
        <v>12</v>
      </c>
      <c r="B113" s="21" t="inlineStr">
        <is>
          <t>Antica Norcineria Toscana (Finocchiona IGP al Hinojo Silvestre, Capocollo Toscano, Pecorino Toscano DOP Stagionato y Caciotta)</t>
        </is>
      </c>
      <c r="C113" t="inlineStr">
        <is>
          <t>charcuteria</t>
        </is>
      </c>
      <c r="D113" s="22" t="inlineStr">
        <is>
          <t>90 g Capocollo Toscano Curado (cabecero de cerdo deshuesado, salado en seco con sal gorda marina, granos de pimienta negra machacados, ajo y romero, curado en cueva 5 meses) cortado a 1.2 mm</t>
        </is>
      </c>
      <c r="E113" s="6" t="inlineStr">
        <is>
          <t>Coppa o capocollo curado</t>
        </is>
      </c>
      <c r="F113" s="16" t="n">
        <v>90</v>
      </c>
      <c r="G113" t="inlineStr">
        <is>
          <t>g</t>
        </is>
      </c>
      <c r="H113" s="12">
        <f>IFERROR(VLOOKUP(E113,Insumos!$C$5:$G$181,5,FALSE),0)</f>
        <v/>
      </c>
      <c r="I113" s="17">
        <f>F113*H113</f>
        <v/>
      </c>
    </row>
    <row r="114">
      <c r="A114" t="n">
        <v>12</v>
      </c>
      <c r="B114" s="21" t="inlineStr">
        <is>
          <t>Antica Norcineria Toscana (Finocchiona IGP al Hinojo Silvestre, Capocollo Toscano, Pecorino Toscano DOP Stagionato y Caciotta)</t>
        </is>
      </c>
      <c r="C114" t="inlineStr">
        <is>
          <t>queso</t>
        </is>
      </c>
      <c r="D114" s="22" t="inlineStr">
        <is>
          <t>120 g Pecorino Toscano DOP Stagionato (leche 100% cruda de oveja de pastos toscanos, maduración mínima de 6 a 8 meses, pasta compacta de color amarillo pajizo, corteza tratada con aceite de oliva virgen extra) cortado en cuñas de 4 mm</t>
        </is>
      </c>
      <c r="E114" s="6" t="inlineStr">
        <is>
          <t>Pecorino DOP stagionato (toscano, sardo)</t>
        </is>
      </c>
      <c r="F114" s="16" t="n">
        <v>120</v>
      </c>
      <c r="G114" t="inlineStr">
        <is>
          <t>g</t>
        </is>
      </c>
      <c r="H114" s="12">
        <f>IFERROR(VLOOKUP(E114,Insumos!$C$5:$G$181,5,FALSE),0)</f>
        <v/>
      </c>
      <c r="I114" s="17">
        <f>F114*H114</f>
        <v/>
      </c>
    </row>
    <row r="115">
      <c r="A115" t="n">
        <v>12</v>
      </c>
      <c r="B115" s="21" t="inlineStr">
        <is>
          <t>Antica Norcineria Toscana (Finocchiona IGP al Hinojo Silvestre, Capocollo Toscano, Pecorino Toscano DOP Stagionato y Caciotta)</t>
        </is>
      </c>
      <c r="C115" t="inlineStr">
        <is>
          <t>queso</t>
        </is>
      </c>
      <c r="D115" s="22" t="inlineStr">
        <is>
          <t>100 g Caciotta Toscana Artesanal (mezcla equilibrada de leche de vaca y oveja, maduración corta de 30 a 45 días, pasta semiblanda mantecosa y láctica) cortada en dados de 1.5 cm x 1.5 cm</t>
        </is>
      </c>
      <c r="E115" s="6" t="inlineStr">
        <is>
          <t>Provola o pasta hilada ahumada</t>
        </is>
      </c>
      <c r="F115" s="16" t="n">
        <v>100</v>
      </c>
      <c r="G115" t="inlineStr">
        <is>
          <t>g</t>
        </is>
      </c>
      <c r="H115" s="12">
        <f>IFERROR(VLOOKUP(E115,Insumos!$C$5:$G$181,5,FALSE),0)</f>
        <v/>
      </c>
      <c r="I115" s="17">
        <f>F115*H115</f>
        <v/>
      </c>
    </row>
    <row r="116">
      <c r="A116" t="n">
        <v>12</v>
      </c>
      <c r="B116" s="21" t="inlineStr">
        <is>
          <t>Antica Norcineria Toscana (Finocchiona IGP al Hinojo Silvestre, Capocollo Toscano, Pecorino Toscano DOP Stagionato y Caciotta)</t>
        </is>
      </c>
      <c r="C116" t="inlineStr">
        <is>
          <t>seco</t>
        </is>
      </c>
      <c r="D116" s="22" t="inlineStr">
        <is>
          <t>60 g Rebanadas finas tostadas de Pane Sciocco toscano tradicional (pan blanco de masa madre elaborado históricamente sin pizca de sal)</t>
        </is>
      </c>
      <c r="E116" s="6" t="inlineStr">
        <is>
          <t>Totopos o tostaditas de maíz nixtamalizado</t>
        </is>
      </c>
      <c r="F116" s="16" t="n">
        <v>60</v>
      </c>
      <c r="G116" t="inlineStr">
        <is>
          <t>g</t>
        </is>
      </c>
      <c r="H116" s="12">
        <f>IFERROR(VLOOKUP(E116,Insumos!$C$5:$G$181,5,FALSE),0)</f>
        <v/>
      </c>
      <c r="I116" s="17">
        <f>F116*H116</f>
        <v/>
      </c>
    </row>
    <row r="117">
      <c r="A117" t="n">
        <v>12</v>
      </c>
      <c r="B117" s="21" t="inlineStr">
        <is>
          <t>Antica Norcineria Toscana (Finocchiona IGP al Hinojo Silvestre, Capocollo Toscano, Pecorino Toscano DOP Stagionato y Caciotta)</t>
        </is>
      </c>
      <c r="C117" t="inlineStr">
        <is>
          <t>seco</t>
        </is>
      </c>
      <c r="D117" s="22" t="inlineStr">
        <is>
          <t>40 g Schiacciata toscana al romero crujiente (focaccia delgada horneada con sal gruesa y AOVE)</t>
        </is>
      </c>
      <c r="E117" s="6" t="inlineStr">
        <is>
          <t>Pan frito o focaccia delgada (gnocco fritto, schiacciata, fougasse)</t>
        </is>
      </c>
      <c r="F117" s="16" t="n">
        <v>40</v>
      </c>
      <c r="G117" t="inlineStr">
        <is>
          <t>g</t>
        </is>
      </c>
      <c r="H117" s="12">
        <f>IFERROR(VLOOKUP(E117,Insumos!$C$5:$G$181,5,FALSE),0)</f>
        <v/>
      </c>
      <c r="I117" s="17">
        <f>F117*H117</f>
        <v/>
      </c>
    </row>
    <row r="118">
      <c r="A118" t="n">
        <v>12</v>
      </c>
      <c r="B118" s="21" t="inlineStr">
        <is>
          <t>Antica Norcineria Toscana (Finocchiona IGP al Hinojo Silvestre, Capocollo Toscano, Pecorino Toscano DOP Stagionato y Caciotta)</t>
        </is>
      </c>
      <c r="C118" t="inlineStr">
        <is>
          <t>seco</t>
        </is>
      </c>
      <c r="D118" s="22" t="inlineStr">
        <is>
          <t>35 g Nueces toscanas peladas en mitades</t>
        </is>
      </c>
      <c r="E118" s="6" t="inlineStr">
        <is>
          <t>Nuez de Castilla o de nogal en mitades</t>
        </is>
      </c>
      <c r="F118" s="16" t="n">
        <v>35</v>
      </c>
      <c r="G118" t="inlineStr">
        <is>
          <t>g</t>
        </is>
      </c>
      <c r="H118" s="12">
        <f>IFERROR(VLOOKUP(E118,Insumos!$C$5:$G$181,5,FALSE),0)</f>
        <v/>
      </c>
      <c r="I118" s="17">
        <f>F118*H118</f>
        <v/>
      </c>
    </row>
    <row r="119">
      <c r="A119" t="n">
        <v>12</v>
      </c>
      <c r="B119" s="21" t="inlineStr">
        <is>
          <t>Antica Norcineria Toscana (Finocchiona IGP al Hinojo Silvestre, Capocollo Toscano, Pecorino Toscano DOP Stagionato y Caciotta)</t>
        </is>
      </c>
      <c r="C119" t="inlineStr">
        <is>
          <t>humedo</t>
        </is>
      </c>
      <c r="D119" s="22" t="inlineStr">
        <is>
          <t>40 ml Miel pura amarga de castaño toscano (Miele di Castagno, en cuenco cerámico)</t>
        </is>
      </c>
      <c r="E119" s="6" t="inlineStr">
        <is>
          <t>Miel pura monofloral artesanal</t>
        </is>
      </c>
      <c r="F119" s="16" t="n">
        <v>40</v>
      </c>
      <c r="G119" t="inlineStr">
        <is>
          <t>g</t>
        </is>
      </c>
      <c r="H119" s="12">
        <f>IFERROR(VLOOKUP(E119,Insumos!$C$5:$G$181,5,FALSE),0)</f>
        <v/>
      </c>
      <c r="I119" s="17">
        <f>F119*H119</f>
        <v/>
      </c>
    </row>
    <row r="120">
      <c r="A120" t="n">
        <v>12</v>
      </c>
      <c r="B120" s="21" t="inlineStr">
        <is>
          <t>Antica Norcineria Toscana (Finocchiona IGP al Hinojo Silvestre, Capocollo Toscano, Pecorino Toscano DOP Stagionato y Caciotta)</t>
        </is>
      </c>
      <c r="C120" t="inlineStr">
        <is>
          <t>humedo</t>
        </is>
      </c>
      <c r="D120" s="22" t="inlineStr">
        <is>
          <t>40 g Alcachofas baby toscanas (Carciofini) confitadas en aceite de oliva virgen extra con laurel y sal marina (en ramequín)</t>
        </is>
      </c>
      <c r="E120" s="6" t="inlineStr">
        <is>
          <t>Verdura en aceite sott'olio (berenjena, alcachofa, pimiento)</t>
        </is>
      </c>
      <c r="F120" s="16" t="n">
        <v>40</v>
      </c>
      <c r="G120" t="inlineStr">
        <is>
          <t>g</t>
        </is>
      </c>
      <c r="H120" s="12">
        <f>IFERROR(VLOOKUP(E120,Insumos!$C$5:$G$181,5,FALSE),0)</f>
        <v/>
      </c>
      <c r="I120" s="17">
        <f>F120*H120</f>
        <v/>
      </c>
    </row>
    <row r="121">
      <c r="A121" t="n">
        <v>12</v>
      </c>
      <c r="B121" s="21" t="inlineStr">
        <is>
          <t>Antica Norcineria Toscana (Finocchiona IGP al Hinojo Silvestre, Capocollo Toscano, Pecorino Toscano DOP Stagionato y Caciotta)</t>
        </is>
      </c>
      <c r="C121" t="inlineStr">
        <is>
          <t>humedo</t>
        </is>
      </c>
      <c r="D121" s="22" t="inlineStr">
        <is>
          <t>30 g Aceitunas moradas tostadas al horno con ralladura de naranja y tomillo</t>
        </is>
      </c>
      <c r="E121" s="6" t="inlineStr">
        <is>
          <t>Aceituna de mesa aliñada (Gordal, Manzanilla, Campo Real, Gaeta)</t>
        </is>
      </c>
      <c r="F121" s="16" t="n">
        <v>30</v>
      </c>
      <c r="G121" t="inlineStr">
        <is>
          <t>g</t>
        </is>
      </c>
      <c r="H121" s="12">
        <f>IFERROR(VLOOKUP(E121,Insumos!$C$5:$G$181,5,FALSE),0)</f>
        <v/>
      </c>
      <c r="I121" s="17">
        <f>F121*H121</f>
        <v/>
      </c>
    </row>
    <row r="122">
      <c r="A122" t="n">
        <v>13</v>
      </c>
      <c r="B122" s="21" t="inlineStr">
        <is>
          <t>Alpi &amp; Dolomitas del Norte (Speck dell'Alto Adige IGP, Bresaola della Valtellina IGP, Fontina DOP y Asiago Mezzano DOP)</t>
        </is>
      </c>
      <c r="C122" t="inlineStr">
        <is>
          <t>charcuteria</t>
        </is>
      </c>
      <c r="D122" s="22" t="inlineStr">
        <is>
          <t>100 g Speck dell'Alto Adige IGP (pierna de cerdo deshuesada, curada en salazón marina con pimienta, enebro, laurel y romero, ahumada en frío a menos de 20 °C con madera de haya y curada al aire puro alpino durante 22 semanas) cortado a máquina a 1 mm</t>
        </is>
      </c>
      <c r="E122" s="6" t="inlineStr">
        <is>
          <t>Jamón ahumado de montaña (speck, schiffala, praga)</t>
        </is>
      </c>
      <c r="F122" s="16" t="n">
        <v>100</v>
      </c>
      <c r="G122" t="inlineStr">
        <is>
          <t>g</t>
        </is>
      </c>
      <c r="H122" s="12">
        <f>IFERROR(VLOOKUP(E122,Insumos!$C$5:$G$181,5,FALSE),0)</f>
        <v/>
      </c>
      <c r="I122" s="17">
        <f>F122*H122</f>
        <v/>
      </c>
    </row>
    <row r="123">
      <c r="A123" t="n">
        <v>13</v>
      </c>
      <c r="B123" s="21" t="inlineStr">
        <is>
          <t>Alpi &amp; Dolomitas del Norte (Speck dell'Alto Adige IGP, Bresaola della Valtellina IGP, Fontina DOP y Asiago Mezzano DOP)</t>
        </is>
      </c>
      <c r="C123" t="inlineStr">
        <is>
          <t>charcuteria</t>
        </is>
      </c>
      <c r="D123" s="22" t="inlineStr">
        <is>
          <t>90 g Bresaola della Valtellina IGP (pieza noble de vacuno maduro corte punta d'anca, curada en seco con especias alpinas, vino tinto y sal, secada al viento frío de los valles) cortada en lonchas de 0.8 mm</t>
        </is>
      </c>
      <c r="E123" s="6" t="inlineStr">
        <is>
          <t>Bresaola della Valtellina IGP</t>
        </is>
      </c>
      <c r="F123" s="16" t="n">
        <v>90</v>
      </c>
      <c r="G123" t="inlineStr">
        <is>
          <t>g</t>
        </is>
      </c>
      <c r="H123" s="12">
        <f>IFERROR(VLOOKUP(E123,Insumos!$C$5:$G$181,5,FALSE),0)</f>
        <v/>
      </c>
      <c r="I123" s="17">
        <f>F123*H123</f>
        <v/>
      </c>
    </row>
    <row r="124">
      <c r="A124" t="n">
        <v>13</v>
      </c>
      <c r="B124" s="21" t="inlineStr">
        <is>
          <t>Alpi &amp; Dolomitas del Norte (Speck dell'Alto Adige IGP, Bresaola della Valtellina IGP, Fontina DOP y Asiago Mezzano DOP)</t>
        </is>
      </c>
      <c r="C124" t="inlineStr">
        <is>
          <t>queso</t>
        </is>
      </c>
      <c r="D124" s="22" t="inlineStr">
        <is>
          <t>120 g Fontina DOP Valle d'Aosta (leche cruda de vaca autóctona Valdostana Pezzata Rossa, cuajada semicocida prensada, maduración mínima de 90 a 120 días en galerías de roca de montaña, pasta densa y elástica fundente) cortado en cuñas de 5 mm</t>
        </is>
      </c>
      <c r="E124" s="6" t="inlineStr">
        <is>
          <t>Tomme o Fontina DOP de montaña</t>
        </is>
      </c>
      <c r="F124" s="16" t="n">
        <v>120</v>
      </c>
      <c r="G124" t="inlineStr">
        <is>
          <t>g</t>
        </is>
      </c>
      <c r="H124" s="12">
        <f>IFERROR(VLOOKUP(E124,Insumos!$C$5:$G$181,5,FALSE),0)</f>
        <v/>
      </c>
      <c r="I124" s="17">
        <f>F124*H124</f>
        <v/>
      </c>
    </row>
    <row r="125">
      <c r="A125" t="n">
        <v>13</v>
      </c>
      <c r="B125" s="21" t="inlineStr">
        <is>
          <t>Alpi &amp; Dolomitas del Norte (Speck dell'Alto Adige IGP, Bresaola della Valtellina IGP, Fontina DOP y Asiago Mezzano DOP)</t>
        </is>
      </c>
      <c r="C125" t="inlineStr">
        <is>
          <t>queso</t>
        </is>
      </c>
      <c r="D125" s="22" t="inlineStr">
        <is>
          <t>110 g Asiago DOP Mezzano (altiplano de Asiago, leche de vaca de pastura alpina, maduración de 4 a 6 meses, pasta semicocida con ojos difusos pequeños, sabor dulce con notas de levadura) cortado en bastones de 5 cm x 1 cm x 1 cm</t>
        </is>
      </c>
      <c r="E125" s="6" t="inlineStr">
        <is>
          <t>Queso alpino stagionato (Piave, Montasio, Asiago)</t>
        </is>
      </c>
      <c r="F125" s="16" t="n">
        <v>110</v>
      </c>
      <c r="G125" t="inlineStr">
        <is>
          <t>g</t>
        </is>
      </c>
      <c r="H125" s="12">
        <f>IFERROR(VLOOKUP(E125,Insumos!$C$5:$G$181,5,FALSE),0)</f>
        <v/>
      </c>
      <c r="I125" s="17">
        <f>F125*H125</f>
        <v/>
      </c>
    </row>
    <row r="126">
      <c r="A126" t="n">
        <v>13</v>
      </c>
      <c r="B126" s="21" t="inlineStr">
        <is>
          <t>Alpi &amp; Dolomitas del Norte (Speck dell'Alto Adige IGP, Bresaola della Valtellina IGP, Fontina DOP y Asiago Mezzano DOP)</t>
        </is>
      </c>
      <c r="C126" t="inlineStr">
        <is>
          <t>seco</t>
        </is>
      </c>
      <c r="D126" s="22" t="inlineStr">
        <is>
          <t>60 g Schüttelbrot tirolés tradicional (pan crujiente plano de harina de centeno aromatizado con semillas de hinojo, anís y comino) quebrado en lajas rústicas</t>
        </is>
      </c>
      <c r="E126" s="6" t="inlineStr">
        <is>
          <t>Taralli, bretzels o galleta salada tradicional</t>
        </is>
      </c>
      <c r="F126" s="16" t="n">
        <v>60</v>
      </c>
      <c r="G126" t="inlineStr">
        <is>
          <t>g</t>
        </is>
      </c>
      <c r="H126" s="12">
        <f>IFERROR(VLOOKUP(E126,Insumos!$C$5:$G$181,5,FALSE),0)</f>
        <v/>
      </c>
      <c r="I126" s="17">
        <f>F126*H126</f>
        <v/>
      </c>
    </row>
    <row r="127">
      <c r="A127" t="n">
        <v>13</v>
      </c>
      <c r="B127" s="21" t="inlineStr">
        <is>
          <t>Alpi &amp; Dolomitas del Norte (Speck dell'Alto Adige IGP, Bresaola della Valtellina IGP, Fontina DOP y Asiago Mezzano DOP)</t>
        </is>
      </c>
      <c r="C127" t="inlineStr">
        <is>
          <t>seco</t>
        </is>
      </c>
      <c r="D127" s="22" t="inlineStr">
        <is>
          <t>40 g Grissini rústicos de harina integral y trigo sarraceno</t>
        </is>
      </c>
      <c r="E127" s="6" t="inlineStr">
        <is>
          <t>Grissini torinesi o rubatà artesanales</t>
        </is>
      </c>
      <c r="F127" s="16" t="n">
        <v>40</v>
      </c>
      <c r="G127" t="inlineStr">
        <is>
          <t>g</t>
        </is>
      </c>
      <c r="H127" s="12">
        <f>IFERROR(VLOOKUP(E127,Insumos!$C$5:$G$181,5,FALSE),0)</f>
        <v/>
      </c>
      <c r="I127" s="17">
        <f>F127*H127</f>
        <v/>
      </c>
    </row>
    <row r="128">
      <c r="A128" t="n">
        <v>13</v>
      </c>
      <c r="B128" s="21" t="inlineStr">
        <is>
          <t>Alpi &amp; Dolomitas del Norte (Speck dell'Alto Adige IGP, Bresaola della Valtellina IGP, Fontina DOP y Asiago Mezzano DOP)</t>
        </is>
      </c>
      <c r="C128" t="inlineStr">
        <is>
          <t>seco</t>
        </is>
      </c>
      <c r="D128" s="22" t="inlineStr">
        <is>
          <t>35 g Nueces y avellanas alpinas tostadas al natural</t>
        </is>
      </c>
      <c r="E128" s="6" t="inlineStr">
        <is>
          <t>Nuez de Castilla o de nogal en mitades</t>
        </is>
      </c>
      <c r="F128" s="16" t="n">
        <v>35</v>
      </c>
      <c r="G128" t="inlineStr">
        <is>
          <t>g</t>
        </is>
      </c>
      <c r="H128" s="12">
        <f>IFERROR(VLOOKUP(E128,Insumos!$C$5:$G$181,5,FALSE),0)</f>
        <v/>
      </c>
      <c r="I128" s="17">
        <f>F128*H128</f>
        <v/>
      </c>
    </row>
    <row r="129">
      <c r="A129" t="n">
        <v>13</v>
      </c>
      <c r="B129" s="21" t="inlineStr">
        <is>
          <t>Alpi &amp; Dolomitas del Norte (Speck dell'Alto Adige IGP, Bresaola della Valtellina IGP, Fontina DOP y Asiago Mezzano DOP)</t>
        </is>
      </c>
      <c r="C129" t="inlineStr">
        <is>
          <t>humedo</t>
        </is>
      </c>
      <c r="D129" s="22" t="inlineStr">
        <is>
          <t>45 g Mermelada densa ácida de arándanos rojos silvestres de montaña (Preiselbeeren, en ramequín)</t>
        </is>
      </c>
      <c r="E129" s="6" t="inlineStr">
        <is>
          <t>Mermelada o compota densa de la casa (elaborada)</t>
        </is>
      </c>
      <c r="F129" s="16" t="n">
        <v>45</v>
      </c>
      <c r="G129" t="inlineStr">
        <is>
          <t>g</t>
        </is>
      </c>
      <c r="H129" s="12">
        <f>IFERROR(VLOOKUP(E129,Insumos!$C$5:$G$181,5,FALSE),0)</f>
        <v/>
      </c>
      <c r="I129" s="17">
        <f>F129*H129</f>
        <v/>
      </c>
    </row>
    <row r="130">
      <c r="A130" t="n">
        <v>13</v>
      </c>
      <c r="B130" s="21" t="inlineStr">
        <is>
          <t>Alpi &amp; Dolomitas del Norte (Speck dell'Alto Adige IGP, Bresaola della Valtellina IGP, Fontina DOP y Asiago Mezzano DOP)</t>
        </is>
      </c>
      <c r="C130" t="inlineStr">
        <is>
          <t>humedo</t>
        </is>
      </c>
      <c r="D130" s="22" t="inlineStr">
        <is>
          <t>40 g Pepinillos encurtidos agridulces en vinagre de manzana con mostaza en grano (en ramequín)</t>
        </is>
      </c>
      <c r="E130" s="6" t="inlineStr">
        <is>
          <t>Pepinillo, cornichon o encurtido agridulce</t>
        </is>
      </c>
      <c r="F130" s="16" t="n">
        <v>40</v>
      </c>
      <c r="G130" t="inlineStr">
        <is>
          <t>g</t>
        </is>
      </c>
      <c r="H130" s="12">
        <f>IFERROR(VLOOKUP(E130,Insumos!$C$5:$G$181,5,FALSE),0)</f>
        <v/>
      </c>
      <c r="I130" s="17">
        <f>F130*H130</f>
        <v/>
      </c>
    </row>
    <row r="131">
      <c r="A131" t="n">
        <v>13</v>
      </c>
      <c r="B131" s="21" t="inlineStr">
        <is>
          <t>Alpi &amp; Dolomitas del Norte (Speck dell'Alto Adige IGP, Bresaola della Valtellina IGP, Fontina DOP y Asiago Mezzano DOP)</t>
        </is>
      </c>
      <c r="C131" t="inlineStr">
        <is>
          <t>humedo</t>
        </is>
      </c>
      <c r="D131" s="22" t="inlineStr">
        <is>
          <t>40 g Manzanas rojas del Alto Adigio cortadas en láminas finas al momento</t>
        </is>
      </c>
      <c r="E131" s="6" t="inlineStr">
        <is>
          <t>Manzana ácida (Granny Smith, reineta, perona)</t>
        </is>
      </c>
      <c r="F131" s="16" t="n">
        <v>40</v>
      </c>
      <c r="G131" t="inlineStr">
        <is>
          <t>g</t>
        </is>
      </c>
      <c r="H131" s="12">
        <f>IFERROR(VLOOKUP(E131,Insumos!$C$5:$G$181,5,FALSE),0)</f>
        <v/>
      </c>
      <c r="I131" s="17">
        <f>F131*H131</f>
        <v/>
      </c>
    </row>
    <row r="132">
      <c r="A132" t="n">
        <v>14</v>
      </c>
      <c r="B132" s="21" t="inlineStr">
        <is>
          <t>Mezzogiorno &amp; Piccante del Sur (Nduja di Spilinga, Soppressata di Calabria DOP, Caciocavallo Silano DOP y Provola Affumicata)</t>
        </is>
      </c>
      <c r="C132" t="inlineStr">
        <is>
          <t>charcuteria</t>
        </is>
      </c>
      <c r="D132" s="22" t="inlineStr">
        <is>
          <t>100 g Nduja di Spilinga Tradicional (embutido blando y untable de carne de cerdo picada ultrafina con papada, tocino, sal y 30% de chile rojo calabrés picante puro Peperoncino di Calabria, ahumado suave en tripa ciega) atemperada para untar</t>
        </is>
      </c>
      <c r="E132" s="6" t="inlineStr">
        <is>
          <t>Nduja de Spilinga untable</t>
        </is>
      </c>
      <c r="F132" s="16" t="n">
        <v>100</v>
      </c>
      <c r="G132" t="inlineStr">
        <is>
          <t>g</t>
        </is>
      </c>
      <c r="H132" s="12">
        <f>IFERROR(VLOOKUP(E132,Insumos!$C$5:$G$181,5,FALSE),0)</f>
        <v/>
      </c>
      <c r="I132" s="17">
        <f>F132*H132</f>
        <v/>
      </c>
    </row>
    <row r="133">
      <c r="A133" t="n">
        <v>14</v>
      </c>
      <c r="B133" s="21" t="inlineStr">
        <is>
          <t>Mezzogiorno &amp; Piccante del Sur (Nduja di Spilinga, Soppressata di Calabria DOP, Caciocavallo Silano DOP y Provola Affumicata)</t>
        </is>
      </c>
      <c r="C133" t="inlineStr">
        <is>
          <t>charcuteria</t>
        </is>
      </c>
      <c r="D133" s="22" t="inlineStr">
        <is>
          <t>80 g Soppressata di Calabria DOP Piccante (magro de jamón y paleta de cerdo seleccionado, dados de tocino dorsal duro, crema de pimentón picante calabrés y pimienta negra en grano, prensada y curada 60 días) cortada al bies a 2 mm</t>
        </is>
      </c>
      <c r="E133" s="6" t="inlineStr">
        <is>
          <t>Soppressata o soppressa DOP</t>
        </is>
      </c>
      <c r="F133" s="16" t="n">
        <v>80</v>
      </c>
      <c r="G133" t="inlineStr">
        <is>
          <t>g</t>
        </is>
      </c>
      <c r="H133" s="12">
        <f>IFERROR(VLOOKUP(E133,Insumos!$C$5:$G$181,5,FALSE),0)</f>
        <v/>
      </c>
      <c r="I133" s="17">
        <f>F133*H133</f>
        <v/>
      </c>
    </row>
    <row r="134">
      <c r="A134" t="n">
        <v>14</v>
      </c>
      <c r="B134" s="21" t="inlineStr">
        <is>
          <t>Mezzogiorno &amp; Piccante del Sur (Nduja di Spilinga, Soppressata di Calabria DOP, Caciocavallo Silano DOP y Provola Affumicata)</t>
        </is>
      </c>
      <c r="C134" t="inlineStr">
        <is>
          <t>queso</t>
        </is>
      </c>
      <c r="D134" s="22" t="inlineStr">
        <is>
          <t>120 g Caciocavallo Silano DOP Stagionato (leche cruda o termizada de vaca Podolica o cruzada, pasta hilada dura madurada durante 5 a 6 meses atada por el cuello en cordel doble, sabor aromático con toque picante caprino) cortado en cuñas longitudinales de 5 mm</t>
        </is>
      </c>
      <c r="E134" s="6" t="inlineStr">
        <is>
          <t>Caciocavallo o Provolone DOP stagionato</t>
        </is>
      </c>
      <c r="F134" s="16" t="n">
        <v>120</v>
      </c>
      <c r="G134" t="inlineStr">
        <is>
          <t>g</t>
        </is>
      </c>
      <c r="H134" s="12">
        <f>IFERROR(VLOOKUP(E134,Insumos!$C$5:$G$181,5,FALSE),0)</f>
        <v/>
      </c>
      <c r="I134" s="17">
        <f>F134*H134</f>
        <v/>
      </c>
    </row>
    <row r="135">
      <c r="A135" t="n">
        <v>14</v>
      </c>
      <c r="B135" s="21" t="inlineStr">
        <is>
          <t>Mezzogiorno &amp; Piccante del Sur (Nduja di Spilinga, Soppressata di Calabria DOP, Caciocavallo Silano DOP y Provola Affumicata)</t>
        </is>
      </c>
      <c r="C135" t="inlineStr">
        <is>
          <t>queso</t>
        </is>
      </c>
      <c r="D135" s="22" t="inlineStr">
        <is>
          <t>100 g Provola Affumicata Calabrese (pasta hilada compacta y elástica ahumada en frío con paja de trigo o leña de olivo durante 24 horas, corteza dorada tostada brillante) cortada en rodajas de 5 mm</t>
        </is>
      </c>
      <c r="E135" s="6" t="inlineStr">
        <is>
          <t>Provola o pasta hilada ahumada</t>
        </is>
      </c>
      <c r="F135" s="16" t="n">
        <v>100</v>
      </c>
      <c r="G135" t="inlineStr">
        <is>
          <t>g</t>
        </is>
      </c>
      <c r="H135" s="12">
        <f>IFERROR(VLOOKUP(E135,Insumos!$C$5:$G$181,5,FALSE),0)</f>
        <v/>
      </c>
      <c r="I135" s="17">
        <f>F135*H135</f>
        <v/>
      </c>
    </row>
    <row r="136">
      <c r="A136" t="n">
        <v>14</v>
      </c>
      <c r="B136" s="21" t="inlineStr">
        <is>
          <t>Mezzogiorno &amp; Piccante del Sur (Nduja di Spilinga, Soppressata di Calabria DOP, Caciocavallo Silano DOP y Provola Affumicata)</t>
        </is>
      </c>
      <c r="C136" t="inlineStr">
        <is>
          <t>seco</t>
        </is>
      </c>
      <c r="D136" s="22" t="inlineStr">
        <is>
          <t>60 g Rebanadas gruesas tostadas de Pan de Altamura DOP (harina de sémola de trigo duro remolida de Puglia)</t>
        </is>
      </c>
      <c r="E136" s="6" t="inlineStr">
        <is>
          <t>Totopos o tostaditas de maíz nixtamalizado</t>
        </is>
      </c>
      <c r="F136" s="16" t="n">
        <v>60</v>
      </c>
      <c r="G136" t="inlineStr">
        <is>
          <t>g</t>
        </is>
      </c>
      <c r="H136" s="12">
        <f>IFERROR(VLOOKUP(E136,Insumos!$C$5:$G$181,5,FALSE),0)</f>
        <v/>
      </c>
      <c r="I136" s="17">
        <f>F136*H136</f>
        <v/>
      </c>
    </row>
    <row r="137">
      <c r="A137" t="n">
        <v>14</v>
      </c>
      <c r="B137" s="21" t="inlineStr">
        <is>
          <t>Mezzogiorno &amp; Piccante del Sur (Nduja di Spilinga, Soppressata di Calabria DOP, Caciocavallo Silano DOP y Provola Affumicata)</t>
        </is>
      </c>
      <c r="C137" t="inlineStr">
        <is>
          <t>seco</t>
        </is>
      </c>
      <c r="D137" s="22" t="inlineStr">
        <is>
          <t>40 g Taralli tradicionales de Puglia crujientes con semillas de hinojo y aceite de oliva</t>
        </is>
      </c>
      <c r="E137" s="6" t="inlineStr">
        <is>
          <t>Taralli, bretzels o galleta salada tradicional</t>
        </is>
      </c>
      <c r="F137" s="16" t="n">
        <v>40</v>
      </c>
      <c r="G137" t="inlineStr">
        <is>
          <t>g</t>
        </is>
      </c>
      <c r="H137" s="12">
        <f>IFERROR(VLOOKUP(E137,Insumos!$C$5:$G$181,5,FALSE),0)</f>
        <v/>
      </c>
      <c r="I137" s="17">
        <f>F137*H137</f>
        <v/>
      </c>
    </row>
    <row r="138">
      <c r="A138" t="n">
        <v>14</v>
      </c>
      <c r="B138" s="21" t="inlineStr">
        <is>
          <t>Mezzogiorno &amp; Piccante del Sur (Nduja di Spilinga, Soppressata di Calabria DOP, Caciocavallo Silano DOP y Provola Affumicata)</t>
        </is>
      </c>
      <c r="C138" t="inlineStr">
        <is>
          <t>seco</t>
        </is>
      </c>
      <c r="D138" s="22" t="inlineStr">
        <is>
          <t>30 g Almendras de Toritto tostadas con sal marina gruesa</t>
        </is>
      </c>
      <c r="E138" s="6" t="inlineStr">
        <is>
          <t>Almendra tostada con piel (Mallorca, Toritto, Provenza)</t>
        </is>
      </c>
      <c r="F138" s="16" t="n">
        <v>30</v>
      </c>
      <c r="G138" t="inlineStr">
        <is>
          <t>g</t>
        </is>
      </c>
      <c r="H138" s="12">
        <f>IFERROR(VLOOKUP(E138,Insumos!$C$5:$G$181,5,FALSE),0)</f>
        <v/>
      </c>
      <c r="I138" s="17">
        <f>F138*H138</f>
        <v/>
      </c>
    </row>
    <row r="139">
      <c r="A139" t="n">
        <v>14</v>
      </c>
      <c r="B139" s="21" t="inlineStr">
        <is>
          <t>Mezzogiorno &amp; Piccante del Sur (Nduja di Spilinga, Soppressata di Calabria DOP, Caciocavallo Silano DOP y Provola Affumicata)</t>
        </is>
      </c>
      <c r="C139" t="inlineStr">
        <is>
          <t>humedo</t>
        </is>
      </c>
      <c r="D139" s="22" t="inlineStr">
        <is>
          <t>40 ml Miel de acacia aromatizada con infusión de chile calabrés en copos (en cuenco cerámico)</t>
        </is>
      </c>
      <c r="E139" s="6" t="inlineStr">
        <is>
          <t>Miel pura monofloral artesanal</t>
        </is>
      </c>
      <c r="F139" s="16" t="n">
        <v>40</v>
      </c>
      <c r="G139" t="inlineStr">
        <is>
          <t>g</t>
        </is>
      </c>
      <c r="H139" s="12">
        <f>IFERROR(VLOOKUP(E139,Insumos!$C$5:$G$181,5,FALSE),0)</f>
        <v/>
      </c>
      <c r="I139" s="17">
        <f>F139*H139</f>
        <v/>
      </c>
    </row>
    <row r="140">
      <c r="A140" t="n">
        <v>14</v>
      </c>
      <c r="B140" s="21" t="inlineStr">
        <is>
          <t>Mezzogiorno &amp; Piccante del Sur (Nduja di Spilinga, Soppressata di Calabria DOP, Caciocavallo Silano DOP y Provola Affumicata)</t>
        </is>
      </c>
      <c r="C140" t="inlineStr">
        <is>
          <t>humedo</t>
        </is>
      </c>
      <c r="D140" s="22" t="inlineStr">
        <is>
          <t>40 g Berenjenas fileteadas encurtidas en aceite de oliva con ajo, menta y vinagre (Melanzane sott'olio, en ramequín)</t>
        </is>
      </c>
      <c r="E140" s="6" t="inlineStr">
        <is>
          <t>Verdura en aceite sott'olio (berenjena, alcachofa, pimiento)</t>
        </is>
      </c>
      <c r="F140" s="16" t="n">
        <v>40</v>
      </c>
      <c r="G140" t="inlineStr">
        <is>
          <t>g</t>
        </is>
      </c>
      <c r="H140" s="12">
        <f>IFERROR(VLOOKUP(E140,Insumos!$C$5:$G$181,5,FALSE),0)</f>
        <v/>
      </c>
      <c r="I140" s="17">
        <f>F140*H140</f>
        <v/>
      </c>
    </row>
    <row r="141">
      <c r="A141" t="n">
        <v>14</v>
      </c>
      <c r="B141" s="21" t="inlineStr">
        <is>
          <t>Mezzogiorno &amp; Piccante del Sur (Nduja di Spilinga, Soppressata di Calabria DOP, Caciocavallo Silano DOP y Provola Affumicata)</t>
        </is>
      </c>
      <c r="C141" t="inlineStr">
        <is>
          <t>humedo</t>
        </is>
      </c>
      <c r="D141" s="22" t="inlineStr">
        <is>
          <t>30 g Tomates secos rehidratados en aceite de oliva virgen extra con alcaparras</t>
        </is>
      </c>
      <c r="E141" s="6" t="inlineStr">
        <is>
          <t>Tomate seco o cherry confitado en AOVE</t>
        </is>
      </c>
      <c r="F141" s="16" t="n">
        <v>30</v>
      </c>
      <c r="G141" t="inlineStr">
        <is>
          <t>g</t>
        </is>
      </c>
      <c r="H141" s="12">
        <f>IFERROR(VLOOKUP(E141,Insumos!$C$5:$G$181,5,FALSE),0)</f>
        <v/>
      </c>
      <c r="I141" s="17">
        <f>F141*H141</f>
        <v/>
      </c>
    </row>
    <row r="142">
      <c r="A142" t="n">
        <v>15</v>
      </c>
      <c r="B142" s="21" t="inlineStr">
        <is>
          <t>Piamonte &amp; Langhe Trufada (Salame al Barolo, Lardo di Colonnata IGP, Castelmagno DOP de Cueva y Robiola di Roccaverano DOP)</t>
        </is>
      </c>
      <c r="C142" t="inlineStr">
        <is>
          <t>charcuteria</t>
        </is>
      </c>
      <c r="D142" s="22" t="inlineStr">
        <is>
          <t>100 g Salame al Barolo Tradicional (carne magra de cerdo piamontés macerada con vino tinto Barolo DOCG de uva Nebbiolo, sal marina, ajo, canela y pimienta negra en grano) cortado en rodajas al bies de 2 mm</t>
        </is>
      </c>
      <c r="E142" s="6" t="inlineStr">
        <is>
          <t>Salame italiano tradicional (Milano, Napoletano, Barolo)</t>
        </is>
      </c>
      <c r="F142" s="16" t="n">
        <v>100</v>
      </c>
      <c r="G142" t="inlineStr">
        <is>
          <t>g</t>
        </is>
      </c>
      <c r="H142" s="12">
        <f>IFERROR(VLOOKUP(E142,Insumos!$C$5:$G$181,5,FALSE),0)</f>
        <v/>
      </c>
      <c r="I142" s="17">
        <f>F142*H142</f>
        <v/>
      </c>
    </row>
    <row r="143">
      <c r="A143" t="n">
        <v>15</v>
      </c>
      <c r="B143" s="21" t="inlineStr">
        <is>
          <t>Piamonte &amp; Langhe Trufada (Salame al Barolo, Lardo di Colonnata IGP, Castelmagno DOP de Cueva y Robiola di Roccaverano DOP)</t>
        </is>
      </c>
      <c r="C143" t="inlineStr">
        <is>
          <t>charcuteria</t>
        </is>
      </c>
      <c r="D143" s="22" t="inlineStr">
        <is>
          <t>80 g Lardo di Colonnata IGP (tocino dorsal grueso de cerdo madurado en pilas de mármol de Carrara frotadas con ajo, romero, salvia, anís estrellado, clavo y canela durante un mínimo de 6 meses) rebanado ultrafino a 0.5 mm</t>
        </is>
      </c>
      <c r="E143" s="6" t="inlineStr">
        <is>
          <t>Lardo di Colonnata IGP o tocino curado en mármol</t>
        </is>
      </c>
      <c r="F143" s="16" t="n">
        <v>80</v>
      </c>
      <c r="G143" t="inlineStr">
        <is>
          <t>g</t>
        </is>
      </c>
      <c r="H143" s="12">
        <f>IFERROR(VLOOKUP(E143,Insumos!$C$5:$G$181,5,FALSE),0)</f>
        <v/>
      </c>
      <c r="I143" s="17">
        <f>F143*H143</f>
        <v/>
      </c>
    </row>
    <row r="144">
      <c r="A144" t="n">
        <v>15</v>
      </c>
      <c r="B144" s="21" t="inlineStr">
        <is>
          <t>Piamonte &amp; Langhe Trufada (Salame al Barolo, Lardo di Colonnata IGP, Castelmagno DOP de Cueva y Robiola di Roccaverano DOP)</t>
        </is>
      </c>
      <c r="C144" t="inlineStr">
        <is>
          <t>queso</t>
        </is>
      </c>
      <c r="D144" s="22" t="inlineStr">
        <is>
          <t>120 g Castelmagno DOP d'Alpeggio (leche cruda de vaca con adición de oveja/cabra de pastos a más de 1,000 m de altitud, cuajada triturada dos veces, maduración en cueva natural de piedra durante 6 meses, pasta dura quebradiza granulosa con vetas verdes sutiles) desmoronado en rocas medianas</t>
        </is>
      </c>
      <c r="E144" s="6" t="inlineStr">
        <is>
          <t>Queso de alpage AOP (Beaufort, Castelmagno)</t>
        </is>
      </c>
      <c r="F144" s="16" t="n">
        <v>120</v>
      </c>
      <c r="G144" t="inlineStr">
        <is>
          <t>g</t>
        </is>
      </c>
      <c r="H144" s="12">
        <f>IFERROR(VLOOKUP(E144,Insumos!$C$5:$G$181,5,FALSE),0)</f>
        <v/>
      </c>
      <c r="I144" s="17">
        <f>F144*H144</f>
        <v/>
      </c>
    </row>
    <row r="145">
      <c r="A145" t="n">
        <v>15</v>
      </c>
      <c r="B145" s="21" t="inlineStr">
        <is>
          <t>Piamonte &amp; Langhe Trufada (Salame al Barolo, Lardo di Colonnata IGP, Castelmagno DOP de Cueva y Robiola di Roccaverano DOP)</t>
        </is>
      </c>
      <c r="C145" t="inlineStr">
        <is>
          <t>queso</t>
        </is>
      </c>
      <c r="D145" s="22" t="inlineStr">
        <is>
          <t>100 g Robiola di Roccaverano DOP (leche cruda de cabra autóctona Roccaverano o mezcla con oveja/vaca, pasta blanda láctica untuosa, corteza fina rugosa enmohecida natural de color blanco cremoso) cortado en cuartos</t>
        </is>
      </c>
      <c r="E145" s="6" t="inlineStr">
        <is>
          <t>Queso de cuajada dulce (Squacquerone, Robiola, Arzúa-Ulloa)</t>
        </is>
      </c>
      <c r="F145" s="16" t="n">
        <v>100</v>
      </c>
      <c r="G145" t="inlineStr">
        <is>
          <t>g</t>
        </is>
      </c>
      <c r="H145" s="12">
        <f>IFERROR(VLOOKUP(E145,Insumos!$C$5:$G$181,5,FALSE),0)</f>
        <v/>
      </c>
      <c r="I145" s="17">
        <f>F145*H145</f>
        <v/>
      </c>
    </row>
    <row r="146">
      <c r="A146" t="n">
        <v>15</v>
      </c>
      <c r="B146" s="21" t="inlineStr">
        <is>
          <t>Piamonte &amp; Langhe Trufada (Salame al Barolo, Lardo di Colonnata IGP, Castelmagno DOP de Cueva y Robiola di Roccaverano DOP)</t>
        </is>
      </c>
      <c r="C146" t="inlineStr">
        <is>
          <t>seco</t>
        </is>
      </c>
      <c r="D146" s="22" t="inlineStr">
        <is>
          <t>60 g Grissini Rubatà tradicionales del Piamonte (grissini gruesos y nudosos hechos a mano)</t>
        </is>
      </c>
      <c r="E146" s="6" t="inlineStr">
        <is>
          <t>Grissini torinesi o rubatà artesanales</t>
        </is>
      </c>
      <c r="F146" s="16" t="n">
        <v>60</v>
      </c>
      <c r="G146" t="inlineStr">
        <is>
          <t>g</t>
        </is>
      </c>
      <c r="H146" s="12">
        <f>IFERROR(VLOOKUP(E146,Insumos!$C$5:$G$181,5,FALSE),0)</f>
        <v/>
      </c>
      <c r="I146" s="17">
        <f>F146*H146</f>
        <v/>
      </c>
    </row>
    <row r="147">
      <c r="A147" t="n">
        <v>15</v>
      </c>
      <c r="B147" s="21" t="inlineStr">
        <is>
          <t>Piamonte &amp; Langhe Trufada (Salame al Barolo, Lardo di Colonnata IGP, Castelmagno DOP de Cueva y Robiola di Roccaverano DOP)</t>
        </is>
      </c>
      <c r="C147" t="inlineStr">
        <is>
          <t>seco</t>
        </is>
      </c>
      <c r="D147" s="22" t="inlineStr">
        <is>
          <t>40 g Tostas finas de pan de nuez horneadas con aceite de oliva</t>
        </is>
      </c>
      <c r="E147" s="6" t="inlineStr">
        <is>
          <t>Pan artesanal de masa madre (cristal, payés, candeal, hogaza)</t>
        </is>
      </c>
      <c r="F147" s="16" t="n">
        <v>40</v>
      </c>
      <c r="G147" t="inlineStr">
        <is>
          <t>g</t>
        </is>
      </c>
      <c r="H147" s="12">
        <f>IFERROR(VLOOKUP(E147,Insumos!$C$5:$G$181,5,FALSE),0)</f>
        <v/>
      </c>
      <c r="I147" s="17">
        <f>F147*H147</f>
        <v/>
      </c>
    </row>
    <row r="148">
      <c r="A148" t="n">
        <v>15</v>
      </c>
      <c r="B148" s="21" t="inlineStr">
        <is>
          <t>Piamonte &amp; Langhe Trufada (Salame al Barolo, Lardo di Colonnata IGP, Castelmagno DOP de Cueva y Robiola di Roccaverano DOP)</t>
        </is>
      </c>
      <c r="C148" t="inlineStr">
        <is>
          <t>seco</t>
        </is>
      </c>
      <c r="D148" s="22" t="inlineStr">
        <is>
          <t>40 g Avellanas del Piamonte IGP (Tonda Gentile delle Langhe) tostadas y peladas enteras</t>
        </is>
      </c>
      <c r="E148" s="6" t="inlineStr">
        <is>
          <t>Avellana tostada (Reus DOP, Piamonte IGP)</t>
        </is>
      </c>
      <c r="F148" s="16" t="n">
        <v>40</v>
      </c>
      <c r="G148" t="inlineStr">
        <is>
          <t>g</t>
        </is>
      </c>
      <c r="H148" s="12">
        <f>IFERROR(VLOOKUP(E148,Insumos!$C$5:$G$181,5,FALSE),0)</f>
        <v/>
      </c>
      <c r="I148" s="17">
        <f>F148*H148</f>
        <v/>
      </c>
    </row>
    <row r="149">
      <c r="A149" t="n">
        <v>15</v>
      </c>
      <c r="B149" s="21" t="inlineStr">
        <is>
          <t>Piamonte &amp; Langhe Trufada (Salame al Barolo, Lardo di Colonnata IGP, Castelmagno DOP de Cueva y Robiola di Roccaverano DOP)</t>
        </is>
      </c>
      <c r="C149" t="inlineStr">
        <is>
          <t>humedo</t>
        </is>
      </c>
      <c r="D149" s="22" t="inlineStr">
        <is>
          <t>35 ml Miel de acacia aromatizada con láminas de trufa blanca de Alba (Tartufo Bianco, en cuenco vitrificado)</t>
        </is>
      </c>
      <c r="E149" s="6" t="inlineStr">
        <is>
          <t>Miel pura monofloral artesanal</t>
        </is>
      </c>
      <c r="F149" s="16" t="n">
        <v>35</v>
      </c>
      <c r="G149" t="inlineStr">
        <is>
          <t>g</t>
        </is>
      </c>
      <c r="H149" s="12">
        <f>IFERROR(VLOOKUP(E149,Insumos!$C$5:$G$181,5,FALSE),0)</f>
        <v/>
      </c>
      <c r="I149" s="17">
        <f>F149*H149</f>
        <v/>
      </c>
    </row>
    <row r="150">
      <c r="A150" t="n">
        <v>15</v>
      </c>
      <c r="B150" s="21" t="inlineStr">
        <is>
          <t>Piamonte &amp; Langhe Trufada (Salame al Barolo, Lardo di Colonnata IGP, Castelmagno DOP de Cueva y Robiola di Roccaverano DOP)</t>
        </is>
      </c>
      <c r="C150" t="inlineStr">
        <is>
          <t>humedo</t>
        </is>
      </c>
      <c r="D150" s="22" t="inlineStr">
        <is>
          <t>40 g Cugnà piamontesa tradicional (mostarda densa a base de mosto de uva Nebbiolo o Barbera cocido lentamente con peras maduras, manzanas membrillo, higos y frutos secos) en ramequín</t>
        </is>
      </c>
      <c r="E150" s="6" t="inlineStr">
        <is>
          <t>Mostarda italiana o cugnà (Cremona, Voghera, Veneta)</t>
        </is>
      </c>
      <c r="F150" s="16" t="n">
        <v>40</v>
      </c>
      <c r="G150" t="inlineStr">
        <is>
          <t>g</t>
        </is>
      </c>
      <c r="H150" s="12">
        <f>IFERROR(VLOOKUP(E150,Insumos!$C$5:$G$181,5,FALSE),0)</f>
        <v/>
      </c>
      <c r="I150" s="17">
        <f>F150*H150</f>
        <v/>
      </c>
    </row>
    <row r="151">
      <c r="A151" t="n">
        <v>15</v>
      </c>
      <c r="B151" s="21" t="inlineStr">
        <is>
          <t>Piamonte &amp; Langhe Trufada (Salame al Barolo, Lardo di Colonnata IGP, Castelmagno DOP de Cueva y Robiola di Roccaverano DOP)</t>
        </is>
      </c>
      <c r="C151" t="inlineStr">
        <is>
          <t>humedo</t>
        </is>
      </c>
      <c r="D151" s="22" t="inlineStr">
        <is>
          <t>40 g Peras maduras firmes rebanadas al momento</t>
        </is>
      </c>
      <c r="E151" s="6" t="inlineStr">
        <is>
          <t>Pera firme de temporada</t>
        </is>
      </c>
      <c r="F151" s="16" t="n">
        <v>40</v>
      </c>
      <c r="G151" t="inlineStr">
        <is>
          <t>g</t>
        </is>
      </c>
      <c r="H151" s="12">
        <f>IFERROR(VLOOKUP(E151,Insumos!$C$5:$G$181,5,FALSE),0)</f>
        <v/>
      </c>
      <c r="I151" s="17">
        <f>F151*H151</f>
        <v/>
      </c>
    </row>
    <row r="152">
      <c r="A152" t="n">
        <v>16</v>
      </c>
      <c r="B152" s="21" t="inlineStr">
        <is>
          <t>Val Padana &amp; Valles Verdes (Coppa Piacentina DOP, Pancetta Piacentina Arrotolata DOP, Grana Padano DOP 20 Meses y Taleggio DOP)</t>
        </is>
      </c>
      <c r="C152" t="inlineStr">
        <is>
          <t>charcuteria</t>
        </is>
      </c>
      <c r="D152" s="22" t="inlineStr">
        <is>
          <t>100 g Coppa Piacentina DOP (músculo cervical de cerdo pesado, sal marina, pimienta negra, canela, clavo, laurel y nuez moscada, embutida en redaño y curada un mínimo de 6 meses) rebanada a 1 mm</t>
        </is>
      </c>
      <c r="E152" s="6" t="inlineStr">
        <is>
          <t>Coppa o capocollo curado</t>
        </is>
      </c>
      <c r="F152" s="16" t="n">
        <v>100</v>
      </c>
      <c r="G152" t="inlineStr">
        <is>
          <t>g</t>
        </is>
      </c>
      <c r="H152" s="12">
        <f>IFERROR(VLOOKUP(E152,Insumos!$C$5:$G$181,5,FALSE),0)</f>
        <v/>
      </c>
      <c r="I152" s="17">
        <f>F152*H152</f>
        <v/>
      </c>
    </row>
    <row r="153">
      <c r="A153" t="n">
        <v>16</v>
      </c>
      <c r="B153" s="21" t="inlineStr">
        <is>
          <t>Val Padana &amp; Valles Verdes (Coppa Piacentina DOP, Pancetta Piacentina Arrotolata DOP, Grana Padano DOP 20 Meses y Taleggio DOP)</t>
        </is>
      </c>
      <c r="C153" t="inlineStr">
        <is>
          <t>charcuteria</t>
        </is>
      </c>
      <c r="D153" s="22" t="inlineStr">
        <is>
          <t>90 g Pancetta Piacentina Arrotolata DOP (panceta dorsal y ventral desgrasada parcialmente, salazón en seco con especias, enrollada apretada en cilindro sin corteza exterior y curada 4 meses) cortada en discos finos a 0.8 mm</t>
        </is>
      </c>
      <c r="E153" s="6" t="inlineStr">
        <is>
          <t>Panceta o pancetta curada DOP</t>
        </is>
      </c>
      <c r="F153" s="16" t="n">
        <v>90</v>
      </c>
      <c r="G153" t="inlineStr">
        <is>
          <t>g</t>
        </is>
      </c>
      <c r="H153" s="12">
        <f>IFERROR(VLOOKUP(E153,Insumos!$C$5:$G$181,5,FALSE),0)</f>
        <v/>
      </c>
      <c r="I153" s="17">
        <f>F153*H153</f>
        <v/>
      </c>
    </row>
    <row r="154">
      <c r="A154" t="n">
        <v>16</v>
      </c>
      <c r="B154" s="21" t="inlineStr">
        <is>
          <t>Val Padana &amp; Valles Verdes (Coppa Piacentina DOP, Pancetta Piacentina Arrotolata DOP, Grana Padano DOP 20 Meses y Taleggio DOP)</t>
        </is>
      </c>
      <c r="C154" t="inlineStr">
        <is>
          <t>queso</t>
        </is>
      </c>
      <c r="D154" s="22" t="inlineStr">
        <is>
          <t>120 g Grana Padano DOP 20 Meses Riserva (leche cruda de vaca parcialmente desnatada, cocción de cuajada, maduración de 20 meses, textura granular dura con fractura en lascas) fragmentado con punzón de gota</t>
        </is>
      </c>
      <c r="E154" s="6" t="inlineStr">
        <is>
          <t>Grana Padano DOP 16-20 meses</t>
        </is>
      </c>
      <c r="F154" s="16" t="n">
        <v>120</v>
      </c>
      <c r="G154" t="inlineStr">
        <is>
          <t>g</t>
        </is>
      </c>
      <c r="H154" s="12">
        <f>IFERROR(VLOOKUP(E154,Insumos!$C$5:$G$181,5,FALSE),0)</f>
        <v/>
      </c>
      <c r="I154" s="17">
        <f>F154*H154</f>
        <v/>
      </c>
    </row>
    <row r="155">
      <c r="A155" t="n">
        <v>16</v>
      </c>
      <c r="B155" s="21" t="inlineStr">
        <is>
          <t>Val Padana &amp; Valles Verdes (Coppa Piacentina DOP, Pancetta Piacentina Arrotolata DOP, Grana Padano DOP 20 Meses y Taleggio DOP)</t>
        </is>
      </c>
      <c r="C155" t="inlineStr">
        <is>
          <t>queso</t>
        </is>
      </c>
      <c r="D155" s="22" t="inlineStr">
        <is>
          <t>100 g Taleggio DOP di Grotta (leche entera pasteurizada de vaca, pasta blanda cruda no prensada, corteza lavada anaranjada con salmuera, aroma fúngico penetrante y corazón fundente) cortado en paralelepípedos de 1.5 cm de grosor</t>
        </is>
      </c>
      <c r="E155" s="6" t="inlineStr">
        <is>
          <t>Taleggio DOP di grotta</t>
        </is>
      </c>
      <c r="F155" s="16" t="n">
        <v>100</v>
      </c>
      <c r="G155" t="inlineStr">
        <is>
          <t>g</t>
        </is>
      </c>
      <c r="H155" s="12">
        <f>IFERROR(VLOOKUP(E155,Insumos!$C$5:$G$181,5,FALSE),0)</f>
        <v/>
      </c>
      <c r="I155" s="17">
        <f>F155*H155</f>
        <v/>
      </c>
    </row>
    <row r="156">
      <c r="A156" t="n">
        <v>16</v>
      </c>
      <c r="B156" s="21" t="inlineStr">
        <is>
          <t>Val Padana &amp; Valles Verdes (Coppa Piacentina DOP, Pancetta Piacentina Arrotolata DOP, Grana Padano DOP 20 Meses y Taleggio DOP)</t>
        </is>
      </c>
      <c r="C156" t="inlineStr">
        <is>
          <t>seco</t>
        </is>
      </c>
      <c r="D156" s="22" t="inlineStr">
        <is>
          <t>60 g Michetta milanesa tostada al horno en rebanadas crocantes</t>
        </is>
      </c>
      <c r="E156" s="6" t="inlineStr">
        <is>
          <t>Pan frito o focaccia delgada (gnocco fritto, schiacciata, fougasse)</t>
        </is>
      </c>
      <c r="F156" s="16" t="n">
        <v>60</v>
      </c>
      <c r="G156" t="inlineStr">
        <is>
          <t>g</t>
        </is>
      </c>
      <c r="H156" s="12">
        <f>IFERROR(VLOOKUP(E156,Insumos!$C$5:$G$181,5,FALSE),0)</f>
        <v/>
      </c>
      <c r="I156" s="17">
        <f>F156*H156</f>
        <v/>
      </c>
    </row>
    <row r="157">
      <c r="A157" t="n">
        <v>16</v>
      </c>
      <c r="B157" s="21" t="inlineStr">
        <is>
          <t>Val Padana &amp; Valles Verdes (Coppa Piacentina DOP, Pancetta Piacentina Arrotolata DOP, Grana Padano DOP 20 Meses y Taleggio DOP)</t>
        </is>
      </c>
      <c r="C157" t="inlineStr">
        <is>
          <t>seco</t>
        </is>
      </c>
      <c r="D157" s="22" t="inlineStr">
        <is>
          <t>40 g Grissini stirati al aceite de oliva virgen extra</t>
        </is>
      </c>
      <c r="E157" s="6" t="inlineStr">
        <is>
          <t>Grissini torinesi o rubatà artesanales</t>
        </is>
      </c>
      <c r="F157" s="16" t="n">
        <v>40</v>
      </c>
      <c r="G157" t="inlineStr">
        <is>
          <t>g</t>
        </is>
      </c>
      <c r="H157" s="12">
        <f>IFERROR(VLOOKUP(E157,Insumos!$C$5:$G$181,5,FALSE),0)</f>
        <v/>
      </c>
      <c r="I157" s="17">
        <f>F157*H157</f>
        <v/>
      </c>
    </row>
    <row r="158">
      <c r="A158" t="n">
        <v>16</v>
      </c>
      <c r="B158" s="21" t="inlineStr">
        <is>
          <t>Val Padana &amp; Valles Verdes (Coppa Piacentina DOP, Pancetta Piacentina Arrotolata DOP, Grana Padano DOP 20 Meses y Taleggio DOP)</t>
        </is>
      </c>
      <c r="C158" t="inlineStr">
        <is>
          <t>seco</t>
        </is>
      </c>
      <c r="D158" s="22" t="inlineStr">
        <is>
          <t>30 g Nueces lombardas tostadas al natural</t>
        </is>
      </c>
      <c r="E158" s="6" t="inlineStr">
        <is>
          <t>Nuez de Castilla o de nogal en mitades</t>
        </is>
      </c>
      <c r="F158" s="16" t="n">
        <v>30</v>
      </c>
      <c r="G158" t="inlineStr">
        <is>
          <t>g</t>
        </is>
      </c>
      <c r="H158" s="12">
        <f>IFERROR(VLOOKUP(E158,Insumos!$C$5:$G$181,5,FALSE),0)</f>
        <v/>
      </c>
      <c r="I158" s="17">
        <f>F158*H158</f>
        <v/>
      </c>
    </row>
    <row r="159">
      <c r="A159" t="n">
        <v>16</v>
      </c>
      <c r="B159" s="21" t="inlineStr">
        <is>
          <t>Val Padana &amp; Valles Verdes (Coppa Piacentina DOP, Pancetta Piacentina Arrotolata DOP, Grana Padano DOP 20 Meses y Taleggio DOP)</t>
        </is>
      </c>
      <c r="C159" t="inlineStr">
        <is>
          <t>humedo</t>
        </is>
      </c>
      <c r="D159" s="22" t="inlineStr">
        <is>
          <t>45 g Mostarda di Voghera (peras y membrillos en almíbar picante con esencia concentrada de mostaza, en ramequín)</t>
        </is>
      </c>
      <c r="E159" s="6" t="inlineStr">
        <is>
          <t>Mostarda italiana o cugnà (Cremona, Voghera, Veneta)</t>
        </is>
      </c>
      <c r="F159" s="16" t="n">
        <v>45</v>
      </c>
      <c r="G159" t="inlineStr">
        <is>
          <t>g</t>
        </is>
      </c>
      <c r="H159" s="12">
        <f>IFERROR(VLOOKUP(E159,Insumos!$C$5:$G$181,5,FALSE),0)</f>
        <v/>
      </c>
      <c r="I159" s="17">
        <f>F159*H159</f>
        <v/>
      </c>
    </row>
    <row r="160">
      <c r="A160" t="n">
        <v>16</v>
      </c>
      <c r="B160" s="21" t="inlineStr">
        <is>
          <t>Val Padana &amp; Valles Verdes (Coppa Piacentina DOP, Pancetta Piacentina Arrotolata DOP, Grana Padano DOP 20 Meses y Taleggio DOP)</t>
        </is>
      </c>
      <c r="C160" t="inlineStr">
        <is>
          <t>humedo</t>
        </is>
      </c>
      <c r="D160" s="22" t="inlineStr">
        <is>
          <t>35 g Cebollitas perla al vinagre balsámico maceradas (en ramequín cerámico)</t>
        </is>
      </c>
      <c r="E160" s="6" t="inlineStr">
        <is>
          <t>Cebolla, chalota o cebollita de cambray</t>
        </is>
      </c>
      <c r="F160" s="16" t="n">
        <v>35</v>
      </c>
      <c r="G160" t="inlineStr">
        <is>
          <t>g</t>
        </is>
      </c>
      <c r="H160" s="12">
        <f>IFERROR(VLOOKUP(E160,Insumos!$C$5:$G$181,5,FALSE),0)</f>
        <v/>
      </c>
      <c r="I160" s="17">
        <f>F160*H160</f>
        <v/>
      </c>
    </row>
    <row r="161">
      <c r="A161" t="n">
        <v>16</v>
      </c>
      <c r="B161" s="21" t="inlineStr">
        <is>
          <t>Val Padana &amp; Valles Verdes (Coppa Piacentina DOP, Pancetta Piacentina Arrotolata DOP, Grana Padano DOP 20 Meses y Taleggio DOP)</t>
        </is>
      </c>
      <c r="C161" t="inlineStr">
        <is>
          <t>humedo</t>
        </is>
      </c>
      <c r="D161" s="22" t="inlineStr">
        <is>
          <t>40 g Uvas rojas secadas a paño</t>
        </is>
      </c>
      <c r="E161" s="6" t="inlineStr">
        <is>
          <t>Uva de mesa sin semilla (blanca, roja o negra)</t>
        </is>
      </c>
      <c r="F161" s="16" t="n">
        <v>40</v>
      </c>
      <c r="G161" t="inlineStr">
        <is>
          <t>g</t>
        </is>
      </c>
      <c r="H161" s="12">
        <f>IFERROR(VLOOKUP(E161,Insumos!$C$5:$G$181,5,FALSE),0)</f>
        <v/>
      </c>
      <c r="I161" s="17">
        <f>F161*H161</f>
        <v/>
      </c>
    </row>
    <row r="162">
      <c r="A162" t="n">
        <v>17</v>
      </c>
      <c r="B162" s="21" t="inlineStr">
        <is>
          <t>Campania &amp; Tradición Volcánica (Salame Napoletano, Cicoli Tradizionali, Mozzarella di Bufala Campana DOP y Provolone del Monaco DOP)</t>
        </is>
      </c>
      <c r="C162" t="inlineStr">
        <is>
          <t>charcuteria</t>
        </is>
      </c>
      <c r="D162" s="22" t="inlineStr">
        <is>
          <t>100 g Salame Napoletano Tradizionale (magro de jamón y paleta de cerdo con cubos grandes de grasa dura dorsal cortados a cuchillo, sal marina, pimienta negra en grano entero, ajo y toque de humo de leña dulce) cortado en rodajas al bies de 2 mm</t>
        </is>
      </c>
      <c r="E162" s="6" t="inlineStr">
        <is>
          <t>Salame italiano tradicional (Milano, Napoletano, Barolo)</t>
        </is>
      </c>
      <c r="F162" s="16" t="n">
        <v>100</v>
      </c>
      <c r="G162" t="inlineStr">
        <is>
          <t>g</t>
        </is>
      </c>
      <c r="H162" s="12">
        <f>IFERROR(VLOOKUP(E162,Insumos!$C$5:$G$181,5,FALSE),0)</f>
        <v/>
      </c>
      <c r="I162" s="17">
        <f>F162*H162</f>
        <v/>
      </c>
    </row>
    <row r="163">
      <c r="A163" t="n">
        <v>17</v>
      </c>
      <c r="B163" s="21" t="inlineStr">
        <is>
          <t>Campania &amp; Tradición Volcánica (Salame Napoletano, Cicoli Tradizionali, Mozzarella di Bufala Campana DOP y Provolone del Monaco DOP)</t>
        </is>
      </c>
      <c r="C163" t="inlineStr">
        <is>
          <t>charcuteria</t>
        </is>
      </c>
      <c r="D163" s="22" t="inlineStr">
        <is>
          <t>80 g Cicoli Campani o Cingoli (chicharrones prensados de cerdo obtenidos del filtrado y prensado mecánico de la manteca en lienzo, aromatizados con pimienta y laurel) cortados en dados limpios de 1.5 cm x 1.5 cm</t>
        </is>
      </c>
      <c r="E163" s="6" t="inlineStr">
        <is>
          <t>Chicharrón prensado, cicoli o carnitas en frío</t>
        </is>
      </c>
      <c r="F163" s="16" t="n">
        <v>80</v>
      </c>
      <c r="G163" t="inlineStr">
        <is>
          <t>g</t>
        </is>
      </c>
      <c r="H163" s="12">
        <f>IFERROR(VLOOKUP(E163,Insumos!$C$5:$G$181,5,FALSE),0)</f>
        <v/>
      </c>
      <c r="I163" s="17">
        <f>F163*H163</f>
        <v/>
      </c>
    </row>
    <row r="164">
      <c r="A164" t="n">
        <v>17</v>
      </c>
      <c r="B164" s="21" t="inlineStr">
        <is>
          <t>Campania &amp; Tradición Volcánica (Salame Napoletano, Cicoli Tradizionali, Mozzarella di Bufala Campana DOP y Provolone del Monaco DOP)</t>
        </is>
      </c>
      <c r="C164" t="inlineStr">
        <is>
          <t>queso</t>
        </is>
      </c>
      <c r="D164" s="22" t="inlineStr">
        <is>
          <t>150 g Mozzarella di Bufala Campana DOP (leche 100% fresca de búfala mediterránea, pasta hilada húmeda no madurada, textura elástica que libera gotas de suero al corte) esfera entera atemperada</t>
        </is>
      </c>
      <c r="E164" s="6" t="inlineStr">
        <is>
          <t>Mozzarella di Bufala Campana DOP</t>
        </is>
      </c>
      <c r="F164" s="16" t="n">
        <v>150</v>
      </c>
      <c r="G164" t="inlineStr">
        <is>
          <t>g</t>
        </is>
      </c>
      <c r="H164" s="12">
        <f>IFERROR(VLOOKUP(E164,Insumos!$C$5:$G$181,5,FALSE),0)</f>
        <v/>
      </c>
      <c r="I164" s="17">
        <f>F164*H164</f>
        <v/>
      </c>
    </row>
    <row r="165">
      <c r="A165" t="n">
        <v>17</v>
      </c>
      <c r="B165" s="21" t="inlineStr">
        <is>
          <t>Campania &amp; Tradición Volcánica (Salame Napoletano, Cicoli Tradizionali, Mozzarella di Bufala Campana DOP y Provolone del Monaco DOP)</t>
        </is>
      </c>
      <c r="C165" t="inlineStr">
        <is>
          <t>queso</t>
        </is>
      </c>
      <c r="D165" s="22" t="inlineStr">
        <is>
          <t>110 g Provolone del Monaco DOP (leche cruda de vaca con al menos 20% de raza Agerolese, pasta hilada semidura madurada durante 6 a 8 meses, sabor mantecoso y picante al final) cortado en cuñas de 4 mm</t>
        </is>
      </c>
      <c r="E165" s="6" t="inlineStr">
        <is>
          <t>Caciocavallo o Provolone DOP stagionato</t>
        </is>
      </c>
      <c r="F165" s="16" t="n">
        <v>110</v>
      </c>
      <c r="G165" t="inlineStr">
        <is>
          <t>g</t>
        </is>
      </c>
      <c r="H165" s="12">
        <f>IFERROR(VLOOKUP(E165,Insumos!$C$5:$G$181,5,FALSE),0)</f>
        <v/>
      </c>
      <c r="I165" s="17">
        <f>F165*H165</f>
        <v/>
      </c>
    </row>
    <row r="166">
      <c r="A166" t="n">
        <v>17</v>
      </c>
      <c r="B166" s="21" t="inlineStr">
        <is>
          <t>Campania &amp; Tradición Volcánica (Salame Napoletano, Cicoli Tradizionali, Mozzarella di Bufala Campana DOP y Provolone del Monaco DOP)</t>
        </is>
      </c>
      <c r="C166" t="inlineStr">
        <is>
          <t>seco</t>
        </is>
      </c>
      <c r="D166" s="22" t="inlineStr">
        <is>
          <t>60 g Taralli Napoletani 'nzogna e pepe (rosquillas crujientes horneadas con manteca de cerdo, abundante pimienta negra machacada y almendras enteras incrustadas) quebrados en trozos</t>
        </is>
      </c>
      <c r="E166" s="6" t="inlineStr">
        <is>
          <t>Taralli, bretzels o galleta salada tradicional</t>
        </is>
      </c>
      <c r="F166" s="16" t="n">
        <v>60</v>
      </c>
      <c r="G166" t="inlineStr">
        <is>
          <t>g</t>
        </is>
      </c>
      <c r="H166" s="12">
        <f>IFERROR(VLOOKUP(E166,Insumos!$C$5:$G$181,5,FALSE),0)</f>
        <v/>
      </c>
      <c r="I166" s="17">
        <f>F166*H166</f>
        <v/>
      </c>
    </row>
    <row r="167">
      <c r="A167" t="n">
        <v>17</v>
      </c>
      <c r="B167" s="21" t="inlineStr">
        <is>
          <t>Campania &amp; Tradición Volcánica (Salame Napoletano, Cicoli Tradizionali, Mozzarella di Bufala Campana DOP y Provolone del Monaco DOP)</t>
        </is>
      </c>
      <c r="C167" t="inlineStr">
        <is>
          <t>seco</t>
        </is>
      </c>
      <c r="D167" s="22" t="inlineStr">
        <is>
          <t>40 g Pane Cafone napolitano de masa madre tostado a la parrilla</t>
        </is>
      </c>
      <c r="E167" s="6" t="inlineStr">
        <is>
          <t>Pan artesanal de masa madre (cristal, payés, candeal, hogaza)</t>
        </is>
      </c>
      <c r="F167" s="16" t="n">
        <v>40</v>
      </c>
      <c r="G167" t="inlineStr">
        <is>
          <t>g</t>
        </is>
      </c>
      <c r="H167" s="12">
        <f>IFERROR(VLOOKUP(E167,Insumos!$C$5:$G$181,5,FALSE),0)</f>
        <v/>
      </c>
      <c r="I167" s="17">
        <f>F167*H167</f>
        <v/>
      </c>
    </row>
    <row r="168">
      <c r="A168" t="n">
        <v>17</v>
      </c>
      <c r="B168" s="21" t="inlineStr">
        <is>
          <t>Campania &amp; Tradición Volcánica (Salame Napoletano, Cicoli Tradizionali, Mozzarella di Bufala Campana DOP y Provolone del Monaco DOP)</t>
        </is>
      </c>
      <c r="C168" t="inlineStr">
        <is>
          <t>seco</t>
        </is>
      </c>
      <c r="D168" s="22" t="inlineStr">
        <is>
          <t>30 g Almendras tostadas con sal marina gruesa</t>
        </is>
      </c>
      <c r="E168" s="6" t="inlineStr">
        <is>
          <t>Almendra tostada con piel (Mallorca, Toritto, Provenza)</t>
        </is>
      </c>
      <c r="F168" s="16" t="n">
        <v>30</v>
      </c>
      <c r="G168" t="inlineStr">
        <is>
          <t>g</t>
        </is>
      </c>
      <c r="H168" s="12">
        <f>IFERROR(VLOOKUP(E168,Insumos!$C$5:$G$181,5,FALSE),0)</f>
        <v/>
      </c>
      <c r="I168" s="17">
        <f>F168*H168</f>
        <v/>
      </c>
    </row>
    <row r="169">
      <c r="A169" t="n">
        <v>17</v>
      </c>
      <c r="B169" s="21" t="inlineStr">
        <is>
          <t>Campania &amp; Tradición Volcánica (Salame Napoletano, Cicoli Tradizionali, Mozzarella di Bufala Campana DOP y Provolone del Monaco DOP)</t>
        </is>
      </c>
      <c r="C169" t="inlineStr">
        <is>
          <t>humedo</t>
        </is>
      </c>
      <c r="D169" s="22" t="inlineStr">
        <is>
          <t>45 g Tomates Pomodorino del Piennolo del Vesuvio DOP confitados en frío en AOVE con orégano silvestre (en ramequín)</t>
        </is>
      </c>
      <c r="E169" s="6" t="inlineStr">
        <is>
          <t>Tomate maduro o de colgar</t>
        </is>
      </c>
      <c r="F169" s="16" t="n">
        <v>45</v>
      </c>
      <c r="G169" t="inlineStr">
        <is>
          <t>g</t>
        </is>
      </c>
      <c r="H169" s="12">
        <f>IFERROR(VLOOKUP(E169,Insumos!$C$5:$G$181,5,FALSE),0)</f>
        <v/>
      </c>
      <c r="I169" s="17">
        <f>F169*H169</f>
        <v/>
      </c>
    </row>
    <row r="170">
      <c r="A170" t="n">
        <v>17</v>
      </c>
      <c r="B170" s="21" t="inlineStr">
        <is>
          <t>Campania &amp; Tradición Volcánica (Salame Napoletano, Cicoli Tradizionali, Mozzarella di Bufala Campana DOP y Provolone del Monaco DOP)</t>
        </is>
      </c>
      <c r="C170" t="inlineStr">
        <is>
          <t>humedo</t>
        </is>
      </c>
      <c r="D170" s="22" t="inlineStr">
        <is>
          <t>35 g Berenjenas a la napolitana con vinagre, ajo y menta fresca (en ramequín cerámico)</t>
        </is>
      </c>
      <c r="E170" s="6" t="inlineStr">
        <is>
          <t>Verdura en aceite sott'olio (berenjena, alcachofa, pimiento)</t>
        </is>
      </c>
      <c r="F170" s="16" t="n">
        <v>35</v>
      </c>
      <c r="G170" t="inlineStr">
        <is>
          <t>g</t>
        </is>
      </c>
      <c r="H170" s="12">
        <f>IFERROR(VLOOKUP(E170,Insumos!$C$5:$G$181,5,FALSE),0)</f>
        <v/>
      </c>
      <c r="I170" s="17">
        <f>F170*H170</f>
        <v/>
      </c>
    </row>
    <row r="171">
      <c r="A171" t="n">
        <v>17</v>
      </c>
      <c r="B171" s="21" t="inlineStr">
        <is>
          <t>Campania &amp; Tradición Volcánica (Salame Napoletano, Cicoli Tradizionali, Mozzarella di Bufala Campana DOP y Provolone del Monaco DOP)</t>
        </is>
      </c>
      <c r="C171" t="inlineStr">
        <is>
          <t>humedo</t>
        </is>
      </c>
      <c r="D171" s="22" t="inlineStr">
        <is>
          <t>30 g Aceitunas Gaeta negras arrugadas en salazón seca</t>
        </is>
      </c>
      <c r="E171" s="6" t="inlineStr">
        <is>
          <t>Aceituna de mesa aliñada (Gordal, Manzanilla, Campo Real, Gaeta)</t>
        </is>
      </c>
      <c r="F171" s="16" t="n">
        <v>30</v>
      </c>
      <c r="G171" t="inlineStr">
        <is>
          <t>g</t>
        </is>
      </c>
      <c r="H171" s="12">
        <f>IFERROR(VLOOKUP(E171,Insumos!$C$5:$G$181,5,FALSE),0)</f>
        <v/>
      </c>
      <c r="I171" s="17">
        <f>F171*H171</f>
        <v/>
      </c>
    </row>
    <row r="172">
      <c r="A172" t="n">
        <v>18</v>
      </c>
      <c r="B172" s="21" t="inlineStr">
        <is>
          <t>Cerdeña Pastoral (Prosciutto di Pecora, Salsiccia Sarda al Anís, Pecorino Sardo Maturo DOP y Fiore Sardo DOP de Fuego)</t>
        </is>
      </c>
      <c r="C172" t="inlineStr">
        <is>
          <t>charcuteria</t>
        </is>
      </c>
      <c r="D172" s="22" t="inlineStr">
        <is>
          <t>90 g Prosciutto di Pecora artesanal (pierna trasera desgrasada de oveja sarda adulta, salazón con hierbas aromáticas del maquis mediterráneo, pimienta y nuez moscada, curada en secadero de montaña durante 5 meses) rebanado fino a 1 mm</t>
        </is>
      </c>
      <c r="E172" s="6" t="inlineStr">
        <is>
          <t>Jamón de oveja o de cabra artesanal</t>
        </is>
      </c>
      <c r="F172" s="16" t="n">
        <v>90</v>
      </c>
      <c r="G172" t="inlineStr">
        <is>
          <t>g</t>
        </is>
      </c>
      <c r="H172" s="12">
        <f>IFERROR(VLOOKUP(E172,Insumos!$C$5:$G$181,5,FALSE),0)</f>
        <v/>
      </c>
      <c r="I172" s="17">
        <f>F172*H172</f>
        <v/>
      </c>
    </row>
    <row r="173">
      <c r="A173" t="n">
        <v>18</v>
      </c>
      <c r="B173" s="21" t="inlineStr">
        <is>
          <t>Cerdeña Pastoral (Prosciutto di Pecora, Salsiccia Sarda al Anís, Pecorino Sardo Maturo DOP y Fiore Sardo DOP de Fuego)</t>
        </is>
      </c>
      <c r="C173" t="inlineStr">
        <is>
          <t>charcuteria</t>
        </is>
      </c>
      <c r="D173" s="22" t="inlineStr">
        <is>
          <t>90 g Salsiccia Sarda Stagionata (carne magra de cerdo de pastoreo picada a cuchillo con tocino dorsal, semillas de hinojo salvaje, granos de anís estrellado molido, pimienta y sal marina) cortada al bies a 2 mm</t>
        </is>
      </c>
      <c r="E173" s="6" t="inlineStr">
        <is>
          <t>Salsiccia o salchicha curada de pastoreo</t>
        </is>
      </c>
      <c r="F173" s="16" t="n">
        <v>90</v>
      </c>
      <c r="G173" t="inlineStr">
        <is>
          <t>g</t>
        </is>
      </c>
      <c r="H173" s="12">
        <f>IFERROR(VLOOKUP(E173,Insumos!$C$5:$G$181,5,FALSE),0)</f>
        <v/>
      </c>
      <c r="I173" s="17">
        <f>F173*H173</f>
        <v/>
      </c>
    </row>
    <row r="174">
      <c r="A174" t="n">
        <v>18</v>
      </c>
      <c r="B174" s="21" t="inlineStr">
        <is>
          <t>Cerdeña Pastoral (Prosciutto di Pecora, Salsiccia Sarda al Anís, Pecorino Sardo Maturo DOP y Fiore Sardo DOP de Fuego)</t>
        </is>
      </c>
      <c r="C174" t="inlineStr">
        <is>
          <t>queso</t>
        </is>
      </c>
      <c r="D174" s="22" t="inlineStr">
        <is>
          <t>120 g Fiore Sardo DOP Tradizionale (leche 100% cruda de oveja de raza sarda, coagulada con cuajo en pasta de cordero, moldeado en recipientes tradicionales, ahumado con ramas de lentisco, mirto y encina, madurado en cueva 8 meses) quebrado en lascas y cuñas de 4 mm</t>
        </is>
      </c>
      <c r="E174" s="6" t="inlineStr">
        <is>
          <t>Queso de pastor de leche cruda (Fiore Sardo, trashumancia)</t>
        </is>
      </c>
      <c r="F174" s="16" t="n">
        <v>120</v>
      </c>
      <c r="G174" t="inlineStr">
        <is>
          <t>g</t>
        </is>
      </c>
      <c r="H174" s="12">
        <f>IFERROR(VLOOKUP(E174,Insumos!$C$5:$G$181,5,FALSE),0)</f>
        <v/>
      </c>
      <c r="I174" s="17">
        <f>F174*H174</f>
        <v/>
      </c>
    </row>
    <row r="175">
      <c r="A175" t="n">
        <v>18</v>
      </c>
      <c r="B175" s="21" t="inlineStr">
        <is>
          <t>Cerdeña Pastoral (Prosciutto di Pecora, Salsiccia Sarda al Anís, Pecorino Sardo Maturo DOP y Fiore Sardo DOP de Fuego)</t>
        </is>
      </c>
      <c r="C175" t="inlineStr">
        <is>
          <t>queso</t>
        </is>
      </c>
      <c r="D175" s="22" t="inlineStr">
        <is>
          <t>110 g Pecorino Sardo DOP Maturo (leche entera de oveja sarda termizada, pasta prensada semicocida, madurado 6 meses, sabor fuerte y estructurado) cortado en cuñas de 5 mm</t>
        </is>
      </c>
      <c r="E175" s="6" t="inlineStr">
        <is>
          <t>Pecorino DOP stagionato (toscano, sardo)</t>
        </is>
      </c>
      <c r="F175" s="16" t="n">
        <v>110</v>
      </c>
      <c r="G175" t="inlineStr">
        <is>
          <t>g</t>
        </is>
      </c>
      <c r="H175" s="12">
        <f>IFERROR(VLOOKUP(E175,Insumos!$C$5:$G$181,5,FALSE),0)</f>
        <v/>
      </c>
      <c r="I175" s="17">
        <f>F175*H175</f>
        <v/>
      </c>
    </row>
    <row r="176">
      <c r="A176" t="n">
        <v>18</v>
      </c>
      <c r="B176" s="21" t="inlineStr">
        <is>
          <t>Cerdeña Pastoral (Prosciutto di Pecora, Salsiccia Sarda al Anís, Pecorino Sardo Maturo DOP y Fiore Sardo DOP de Fuego)</t>
        </is>
      </c>
      <c r="C176" t="inlineStr">
        <is>
          <t>seco</t>
        </is>
      </c>
      <c r="D176" s="22" t="inlineStr">
        <is>
          <t>60 g Pane Carasau tradicional (pan plano sardo finísimo como papel de pergamino, doble horneado en horno de leña, crujiente y seco) quebrado en lajas grandes</t>
        </is>
      </c>
      <c r="E176" s="6" t="inlineStr">
        <is>
          <t>Pane carasau o pan plano crujiente</t>
        </is>
      </c>
      <c r="F176" s="16" t="n">
        <v>60</v>
      </c>
      <c r="G176" t="inlineStr">
        <is>
          <t>g</t>
        </is>
      </c>
      <c r="H176" s="12">
        <f>IFERROR(VLOOKUP(E176,Insumos!$C$5:$G$181,5,FALSE),0)</f>
        <v/>
      </c>
      <c r="I176" s="17">
        <f>F176*H176</f>
        <v/>
      </c>
    </row>
    <row r="177">
      <c r="A177" t="n">
        <v>18</v>
      </c>
      <c r="B177" s="21" t="inlineStr">
        <is>
          <t>Cerdeña Pastoral (Prosciutto di Pecora, Salsiccia Sarda al Anís, Pecorino Sardo Maturo DOP y Fiore Sardo DOP de Fuego)</t>
        </is>
      </c>
      <c r="C177" t="inlineStr">
        <is>
          <t>seco</t>
        </is>
      </c>
      <c r="D177" s="22" t="inlineStr">
        <is>
          <t>40 g Pane Guttiau (láminas de pan carasau aromatizadas con aceite de oliva virgen extra y sal marina)</t>
        </is>
      </c>
      <c r="E177" s="6" t="inlineStr">
        <is>
          <t>Pane carasau o pan plano crujiente</t>
        </is>
      </c>
      <c r="F177" s="16" t="n">
        <v>40</v>
      </c>
      <c r="G177" t="inlineStr">
        <is>
          <t>g</t>
        </is>
      </c>
      <c r="H177" s="12">
        <f>IFERROR(VLOOKUP(E177,Insumos!$C$5:$G$181,5,FALSE),0)</f>
        <v/>
      </c>
      <c r="I177" s="17">
        <f>F177*H177</f>
        <v/>
      </c>
    </row>
    <row r="178">
      <c r="A178" t="n">
        <v>18</v>
      </c>
      <c r="B178" s="21" t="inlineStr">
        <is>
          <t>Cerdeña Pastoral (Prosciutto di Pecora, Salsiccia Sarda al Anís, Pecorino Sardo Maturo DOP y Fiore Sardo DOP de Fuego)</t>
        </is>
      </c>
      <c r="C178" t="inlineStr">
        <is>
          <t>seco</t>
        </is>
      </c>
      <c r="D178" s="22" t="inlineStr">
        <is>
          <t>35 g Nueces y avellanas sardas tostadas</t>
        </is>
      </c>
      <c r="E178" s="6" t="inlineStr">
        <is>
          <t>Nuez de Castilla o de nogal en mitades</t>
        </is>
      </c>
      <c r="F178" s="16" t="n">
        <v>35</v>
      </c>
      <c r="G178" t="inlineStr">
        <is>
          <t>g</t>
        </is>
      </c>
      <c r="H178" s="12">
        <f>IFERROR(VLOOKUP(E178,Insumos!$C$5:$G$181,5,FALSE),0)</f>
        <v/>
      </c>
      <c r="I178" s="17">
        <f>F178*H178</f>
        <v/>
      </c>
    </row>
    <row r="179">
      <c r="A179" t="n">
        <v>18</v>
      </c>
      <c r="B179" s="21" t="inlineStr">
        <is>
          <t>Cerdeña Pastoral (Prosciutto di Pecora, Salsiccia Sarda al Anís, Pecorino Sardo Maturo DOP y Fiore Sardo DOP de Fuego)</t>
        </is>
      </c>
      <c r="C179" t="inlineStr">
        <is>
          <t>humedo</t>
        </is>
      </c>
      <c r="D179" s="22" t="inlineStr">
        <is>
          <t>35 ml Miel amarga pura de madroño de Cerdeña (Miele di Corbezzolo, en cuenco cerámico)</t>
        </is>
      </c>
      <c r="E179" s="6" t="inlineStr">
        <is>
          <t>Miel pura monofloral artesanal</t>
        </is>
      </c>
      <c r="F179" s="16" t="n">
        <v>35</v>
      </c>
      <c r="G179" t="inlineStr">
        <is>
          <t>g</t>
        </is>
      </c>
      <c r="H179" s="12">
        <f>IFERROR(VLOOKUP(E179,Insumos!$C$5:$G$181,5,FALSE),0)</f>
        <v/>
      </c>
      <c r="I179" s="17">
        <f>F179*H179</f>
        <v/>
      </c>
    </row>
    <row r="180">
      <c r="A180" t="n">
        <v>18</v>
      </c>
      <c r="B180" s="21" t="inlineStr">
        <is>
          <t>Cerdeña Pastoral (Prosciutto di Pecora, Salsiccia Sarda al Anís, Pecorino Sardo Maturo DOP y Fiore Sardo DOP de Fuego)</t>
        </is>
      </c>
      <c r="C180" t="inlineStr">
        <is>
          <t>humedo</t>
        </is>
      </c>
      <c r="D180" s="22" t="inlineStr">
        <is>
          <t>40 g Aceitunas verdes sardas machacadas con semillas de hinojo y ajo silvestre (en ramequín)</t>
        </is>
      </c>
      <c r="E180" s="6" t="inlineStr">
        <is>
          <t>Aceituna de mesa aliñada (Gordal, Manzanilla, Campo Real, Gaeta)</t>
        </is>
      </c>
      <c r="F180" s="16" t="n">
        <v>40</v>
      </c>
      <c r="G180" t="inlineStr">
        <is>
          <t>g</t>
        </is>
      </c>
      <c r="H180" s="12">
        <f>IFERROR(VLOOKUP(E180,Insumos!$C$5:$G$181,5,FALSE),0)</f>
        <v/>
      </c>
      <c r="I180" s="17">
        <f>F180*H180</f>
        <v/>
      </c>
    </row>
    <row r="181">
      <c r="A181" t="n">
        <v>18</v>
      </c>
      <c r="B181" s="21" t="inlineStr">
        <is>
          <t>Cerdeña Pastoral (Prosciutto di Pecora, Salsiccia Sarda al Anís, Pecorino Sardo Maturo DOP y Fiore Sardo DOP de Fuego)</t>
        </is>
      </c>
      <c r="C181" t="inlineStr">
        <is>
          <t>humedo</t>
        </is>
      </c>
      <c r="D181" s="22" t="inlineStr">
        <is>
          <t>40 g Higos secos sardos abiertos por la mitad</t>
        </is>
      </c>
      <c r="E181" s="6" t="inlineStr">
        <is>
          <t>Higo seco o pasa de higo</t>
        </is>
      </c>
      <c r="F181" s="16" t="n">
        <v>40</v>
      </c>
      <c r="G181" t="inlineStr">
        <is>
          <t>g</t>
        </is>
      </c>
      <c r="H181" s="12">
        <f>IFERROR(VLOOKUP(E181,Insumos!$C$5:$G$181,5,FALSE),0)</f>
        <v/>
      </c>
      <c r="I181" s="17">
        <f>F181*H181</f>
        <v/>
      </c>
    </row>
    <row r="182">
      <c r="A182" t="n">
        <v>19</v>
      </c>
      <c r="B182" s="21" t="inlineStr">
        <is>
          <t>Veneto &amp; Terruño Histórico (Culatello di Zibello DOP, Soppressa Vicentina DOP, Piave DOP Vecchio y Montasio DOP Stagionato)</t>
        </is>
      </c>
      <c r="C182" t="inlineStr">
        <is>
          <t>charcuteria</t>
        </is>
      </c>
      <c r="D182" s="22" t="inlineStr">
        <is>
          <t>90 g Culatello di Zibello DOP (músculo femoral noble posterior desprovisto de hueso y corteza, embutido en vejiga de cerdo natural, salado con sal marina, pimienta y vino blanco seco, madurado 18 meses bajo las nieblas húmedas del río Po) rebanado a 0.7 mm</t>
        </is>
      </c>
      <c r="E182" s="6" t="inlineStr">
        <is>
          <t>Culatello di Zibello DOP</t>
        </is>
      </c>
      <c r="F182" s="16" t="n">
        <v>90</v>
      </c>
      <c r="G182" t="inlineStr">
        <is>
          <t>g</t>
        </is>
      </c>
      <c r="H182" s="12">
        <f>IFERROR(VLOOKUP(E182,Insumos!$C$5:$G$181,5,FALSE),0)</f>
        <v/>
      </c>
      <c r="I182" s="17">
        <f>F182*H182</f>
        <v/>
      </c>
    </row>
    <row r="183">
      <c r="A183" t="n">
        <v>19</v>
      </c>
      <c r="B183" s="21" t="inlineStr">
        <is>
          <t>Veneto &amp; Terruño Histórico (Culatello di Zibello DOP, Soppressa Vicentina DOP, Piave DOP Vecchio y Montasio DOP Stagionato)</t>
        </is>
      </c>
      <c r="C183" t="inlineStr">
        <is>
          <t>charcuteria</t>
        </is>
      </c>
      <c r="D183" s="22" t="inlineStr">
        <is>
          <t>100 g Soppressa Vicentina DOP (embutido grueso de cortes nobles de cerdo: jamón, lomo, panceta y garganta, aromatizado con canela, clavo, ajo macerado en vino blanco y pimienta negra en grano) cortado en rodajas grandes de 2 mm</t>
        </is>
      </c>
      <c r="E183" s="6" t="inlineStr">
        <is>
          <t>Soppressata o soppressa DOP</t>
        </is>
      </c>
      <c r="F183" s="16" t="n">
        <v>100</v>
      </c>
      <c r="G183" t="inlineStr">
        <is>
          <t>g</t>
        </is>
      </c>
      <c r="H183" s="12">
        <f>IFERROR(VLOOKUP(E183,Insumos!$C$5:$G$181,5,FALSE),0)</f>
        <v/>
      </c>
      <c r="I183" s="17">
        <f>F183*H183</f>
        <v/>
      </c>
    </row>
    <row r="184">
      <c r="A184" t="n">
        <v>19</v>
      </c>
      <c r="B184" s="21" t="inlineStr">
        <is>
          <t>Veneto &amp; Terruño Histórico (Culatello di Zibello DOP, Soppressa Vicentina DOP, Piave DOP Vecchio y Montasio DOP Stagionato)</t>
        </is>
      </c>
      <c r="C184" t="inlineStr">
        <is>
          <t>queso</t>
        </is>
      </c>
      <c r="D184" s="22" t="inlineStr">
        <is>
          <t>120 g Piave DOP Vecchio (leche cruda o pasteurizada de vaca de Belluno, cuajada cocida prensada, madurado durante 10 a 12 meses, pasta dura quebradiza de color ocre con notas de caramelo tostado) cortado en cuñas de 4 mm</t>
        </is>
      </c>
      <c r="E184" s="6" t="inlineStr">
        <is>
          <t>Queso alpino stagionato (Piave, Montasio, Asiago)</t>
        </is>
      </c>
      <c r="F184" s="16" t="n">
        <v>120</v>
      </c>
      <c r="G184" t="inlineStr">
        <is>
          <t>g</t>
        </is>
      </c>
      <c r="H184" s="12">
        <f>IFERROR(VLOOKUP(E184,Insumos!$C$5:$G$181,5,FALSE),0)</f>
        <v/>
      </c>
      <c r="I184" s="17">
        <f>F184*H184</f>
        <v/>
      </c>
    </row>
    <row r="185">
      <c r="A185" t="n">
        <v>19</v>
      </c>
      <c r="B185" s="21" t="inlineStr">
        <is>
          <t>Veneto &amp; Terruño Histórico (Culatello di Zibello DOP, Soppressa Vicentina DOP, Piave DOP Vecchio y Montasio DOP Stagionato)</t>
        </is>
      </c>
      <c r="C185" t="inlineStr">
        <is>
          <t>queso</t>
        </is>
      </c>
      <c r="D185" s="22" t="inlineStr">
        <is>
          <t>110 g Montasio DOP Stagionato (leche cruda de vaca de pastura, prensado mecánico, madurado durante 12 a 18 meses, pasta compacta friable con ojos pequeños) cortado en bastones de 5 cm x 1 cm</t>
        </is>
      </c>
      <c r="E185" s="6" t="inlineStr">
        <is>
          <t>Queso alpino stagionato (Piave, Montasio, Asiago)</t>
        </is>
      </c>
      <c r="F185" s="16" t="n">
        <v>110</v>
      </c>
      <c r="G185" t="inlineStr">
        <is>
          <t>g</t>
        </is>
      </c>
      <c r="H185" s="12">
        <f>IFERROR(VLOOKUP(E185,Insumos!$C$5:$G$181,5,FALSE),0)</f>
        <v/>
      </c>
      <c r="I185" s="17">
        <f>F185*H185</f>
        <v/>
      </c>
    </row>
    <row r="186">
      <c r="A186" t="n">
        <v>19</v>
      </c>
      <c r="B186" s="21" t="inlineStr">
        <is>
          <t>Veneto &amp; Terruño Histórico (Culatello di Zibello DOP, Soppressa Vicentina DOP, Piave DOP Vecchio y Montasio DOP Stagionato)</t>
        </is>
      </c>
      <c r="C186" t="inlineStr">
        <is>
          <t>seco</t>
        </is>
      </c>
      <c r="D186" s="22" t="inlineStr">
        <is>
          <t>60 g Rebanadas ultrafinas de polenta blanca veneciana horneadas crujientes (crostini di polenta)</t>
        </is>
      </c>
      <c r="E186" s="6" t="inlineStr">
        <is>
          <t>Crujiente de polenta u hojaldre horneado</t>
        </is>
      </c>
      <c r="F186" s="16" t="n">
        <v>60</v>
      </c>
      <c r="G186" t="inlineStr">
        <is>
          <t>g</t>
        </is>
      </c>
      <c r="H186" s="12">
        <f>IFERROR(VLOOKUP(E186,Insumos!$C$5:$G$181,5,FALSE),0)</f>
        <v/>
      </c>
      <c r="I186" s="17">
        <f>F186*H186</f>
        <v/>
      </c>
    </row>
    <row r="187">
      <c r="A187" t="n">
        <v>19</v>
      </c>
      <c r="B187" s="21" t="inlineStr">
        <is>
          <t>Veneto &amp; Terruño Histórico (Culatello di Zibello DOP, Soppressa Vicentina DOP, Piave DOP Vecchio y Montasio DOP Stagionato)</t>
        </is>
      </c>
      <c r="C187" t="inlineStr">
        <is>
          <t>seco</t>
        </is>
      </c>
      <c r="D187" s="22" t="inlineStr">
        <is>
          <t>40 g Grissini gruesos con harina de maíz (mais marano)</t>
        </is>
      </c>
      <c r="E187" s="6" t="inlineStr">
        <is>
          <t>Grissini torinesi o rubatà artesanales</t>
        </is>
      </c>
      <c r="F187" s="16" t="n">
        <v>40</v>
      </c>
      <c r="G187" t="inlineStr">
        <is>
          <t>g</t>
        </is>
      </c>
      <c r="H187" s="12">
        <f>IFERROR(VLOOKUP(E187,Insumos!$C$5:$G$181,5,FALSE),0)</f>
        <v/>
      </c>
      <c r="I187" s="17">
        <f>F187*H187</f>
        <v/>
      </c>
    </row>
    <row r="188">
      <c r="A188" t="n">
        <v>19</v>
      </c>
      <c r="B188" s="21" t="inlineStr">
        <is>
          <t>Veneto &amp; Terruño Histórico (Culatello di Zibello DOP, Soppressa Vicentina DOP, Piave DOP Vecchio y Montasio DOP Stagionato)</t>
        </is>
      </c>
      <c r="C188" t="inlineStr">
        <is>
          <t>seco</t>
        </is>
      </c>
      <c r="D188" s="22" t="inlineStr">
        <is>
          <t>35 g Nueces del Véneto peladas tostadas al natural</t>
        </is>
      </c>
      <c r="E188" s="6" t="inlineStr">
        <is>
          <t>Nuez de Castilla o de nogal en mitades</t>
        </is>
      </c>
      <c r="F188" s="16" t="n">
        <v>35</v>
      </c>
      <c r="G188" t="inlineStr">
        <is>
          <t>g</t>
        </is>
      </c>
      <c r="H188" s="12">
        <f>IFERROR(VLOOKUP(E188,Insumos!$C$5:$G$181,5,FALSE),0)</f>
        <v/>
      </c>
      <c r="I188" s="17">
        <f>F188*H188</f>
        <v/>
      </c>
    </row>
    <row r="189">
      <c r="A189" t="n">
        <v>19</v>
      </c>
      <c r="B189" s="21" t="inlineStr">
        <is>
          <t>Veneto &amp; Terruño Histórico (Culatello di Zibello DOP, Soppressa Vicentina DOP, Piave DOP Vecchio y Montasio DOP Stagionato)</t>
        </is>
      </c>
      <c r="C189" t="inlineStr">
        <is>
          <t>humedo</t>
        </is>
      </c>
      <c r="D189" s="22" t="inlineStr">
        <is>
          <t>45 g Mostarda Veneta de membrillo y cítricos en almíbar especiado (en ramequín)</t>
        </is>
      </c>
      <c r="E189" s="6" t="inlineStr">
        <is>
          <t>Mostarda italiana o cugnà (Cremona, Voghera, Veneta)</t>
        </is>
      </c>
      <c r="F189" s="16" t="n">
        <v>45</v>
      </c>
      <c r="G189" t="inlineStr">
        <is>
          <t>g</t>
        </is>
      </c>
      <c r="H189" s="12">
        <f>IFERROR(VLOOKUP(E189,Insumos!$C$5:$G$181,5,FALSE),0)</f>
        <v/>
      </c>
      <c r="I189" s="17">
        <f>F189*H189</f>
        <v/>
      </c>
    </row>
    <row r="190">
      <c r="A190" t="n">
        <v>19</v>
      </c>
      <c r="B190" s="21" t="inlineStr">
        <is>
          <t>Veneto &amp; Terruño Histórico (Culatello di Zibello DOP, Soppressa Vicentina DOP, Piave DOP Vecchio y Montasio DOP Stagionato)</t>
        </is>
      </c>
      <c r="C190" t="inlineStr">
        <is>
          <t>humedo</t>
        </is>
      </c>
      <c r="D190" s="22" t="inlineStr">
        <is>
          <t>35 g Setas boletus (Porcini) encurtidas en aceite de oliva virgen extra con pimienta blanca (en ramequín)</t>
        </is>
      </c>
      <c r="E190" s="6" t="inlineStr">
        <is>
          <t>Hongo o seta deshidratada</t>
        </is>
      </c>
      <c r="F190" s="16" t="n">
        <v>35</v>
      </c>
      <c r="G190" t="inlineStr">
        <is>
          <t>g</t>
        </is>
      </c>
      <c r="H190" s="12">
        <f>IFERROR(VLOOKUP(E190,Insumos!$C$5:$G$181,5,FALSE),0)</f>
        <v/>
      </c>
      <c r="I190" s="17">
        <f>F190*H190</f>
        <v/>
      </c>
    </row>
    <row r="191">
      <c r="A191" t="n">
        <v>19</v>
      </c>
      <c r="B191" s="21" t="inlineStr">
        <is>
          <t>Veneto &amp; Terruño Histórico (Culatello di Zibello DOP, Soppressa Vicentina DOP, Piave DOP Vecchio y Montasio DOP Stagionato)</t>
        </is>
      </c>
      <c r="C191" t="inlineStr">
        <is>
          <t>humedo</t>
        </is>
      </c>
      <c r="D191" s="22" t="inlineStr">
        <is>
          <t>40 g Uvas rojas secas de la colina de Valdobbiadene</t>
        </is>
      </c>
      <c r="E191" s="6" t="inlineStr">
        <is>
          <t>Uva de mesa sin semilla (blanca, roja o negra)</t>
        </is>
      </c>
      <c r="F191" s="16" t="n">
        <v>40</v>
      </c>
      <c r="G191" t="inlineStr">
        <is>
          <t>g</t>
        </is>
      </c>
      <c r="H191" s="12">
        <f>IFERROR(VLOOKUP(E191,Insumos!$C$5:$G$181,5,FALSE),0)</f>
        <v/>
      </c>
      <c r="I191" s="17">
        <f>F191*H191</f>
        <v/>
      </c>
    </row>
    <row r="192">
      <c r="A192" t="n">
        <v>20</v>
      </c>
      <c r="B192" s="21" t="inlineStr">
        <is>
          <t>Aperitivo Moderno di Milano (Salame Milano Tradizionale, Bresaola de Wagyu al Romero, Gorgonzola Dolce DOP y Grissini Torinesi)</t>
        </is>
      </c>
      <c r="C192" t="inlineStr">
        <is>
          <t>charcuteria</t>
        </is>
      </c>
      <c r="D192" s="22" t="inlineStr">
        <is>
          <t>100 g Salame Milano Tradizionale (carne de cerdo y vacuno picada ultrafina en grano de arroz a grana di riso, grasa dorsal blanca pura distribuida homogéneamente, ajo macerado en vino blanco, pimienta negra molida y sal marina) cortado a 1.2 mm</t>
        </is>
      </c>
      <c r="E192" s="6" t="inlineStr">
        <is>
          <t>Salame italiano tradicional (Milano, Napoletano, Barolo)</t>
        </is>
      </c>
      <c r="F192" s="16" t="n">
        <v>100</v>
      </c>
      <c r="G192" t="inlineStr">
        <is>
          <t>g</t>
        </is>
      </c>
      <c r="H192" s="12">
        <f>IFERROR(VLOOKUP(E192,Insumos!$C$5:$G$181,5,FALSE),0)</f>
        <v/>
      </c>
      <c r="I192" s="17">
        <f>F192*H192</f>
        <v/>
      </c>
    </row>
    <row r="193">
      <c r="A193" t="n">
        <v>20</v>
      </c>
      <c r="B193" s="21" t="inlineStr">
        <is>
          <t>Aperitivo Moderno di Milano (Salame Milano Tradizionale, Bresaola de Wagyu al Romero, Gorgonzola Dolce DOP y Grissini Torinesi)</t>
        </is>
      </c>
      <c r="C193" t="inlineStr">
        <is>
          <t>charcuteria</t>
        </is>
      </c>
      <c r="D193" s="22" t="inlineStr">
        <is>
          <t>90 g Bresaola de Wagyu Artesanal (corte noble de vacuno Wagyu con marmoleo de grasa intramuscular infiltrada grado 6+, curada en frío con romero silvestre, bayas de enebro y vino tinto) cortada en láminas de 0.8 mm</t>
        </is>
      </c>
      <c r="E193" s="6" t="inlineStr">
        <is>
          <t>Bresaola de wagyu o vacuno de raza premium</t>
        </is>
      </c>
      <c r="F193" s="16" t="n">
        <v>90</v>
      </c>
      <c r="G193" t="inlineStr">
        <is>
          <t>g</t>
        </is>
      </c>
      <c r="H193" s="12">
        <f>IFERROR(VLOOKUP(E193,Insumos!$C$5:$G$181,5,FALSE),0)</f>
        <v/>
      </c>
      <c r="I193" s="17">
        <f>F193*H193</f>
        <v/>
      </c>
    </row>
    <row r="194">
      <c r="A194" t="n">
        <v>20</v>
      </c>
      <c r="B194" s="21" t="inlineStr">
        <is>
          <t>Aperitivo Moderno di Milano (Salame Milano Tradizionale, Bresaola de Wagyu al Romero, Gorgonzola Dolce DOP y Grissini Torinesi)</t>
        </is>
      </c>
      <c r="C194" t="inlineStr">
        <is>
          <t>queso</t>
        </is>
      </c>
      <c r="D194" s="22" t="inlineStr">
        <is>
          <t>130 g Gorgonzola Dolce DOP (leche pasteurizada de vaca, pasta blanda cruda con vetas azul-verdosas claras de Penicillium roqueforti, maduración de 60 a 70 días, textura cremosa, casi fundente y dulce con picor ausente)</t>
        </is>
      </c>
      <c r="E194" s="6" t="inlineStr">
        <is>
          <t>Gorgonzola DOP dolce o piccante</t>
        </is>
      </c>
      <c r="F194" s="16" t="n">
        <v>130</v>
      </c>
      <c r="G194" t="inlineStr">
        <is>
          <t>g</t>
        </is>
      </c>
      <c r="H194" s="12">
        <f>IFERROR(VLOOKUP(E194,Insumos!$C$5:$G$181,5,FALSE),0)</f>
        <v/>
      </c>
      <c r="I194" s="17">
        <f>F194*H194</f>
        <v/>
      </c>
    </row>
    <row r="195">
      <c r="A195" t="n">
        <v>20</v>
      </c>
      <c r="B195" s="21" t="inlineStr">
        <is>
          <t>Aperitivo Moderno di Milano (Salame Milano Tradizionale, Bresaola de Wagyu al Romero, Gorgonzola Dolce DOP y Grissini Torinesi)</t>
        </is>
      </c>
      <c r="C195" t="inlineStr">
        <is>
          <t>queso</t>
        </is>
      </c>
      <c r="D195" s="22" t="inlineStr">
        <is>
          <t>100 g Grana Padano DOP 16 Meses (pasta dura semigranular, sabor láctico suave y fragante) cortado en lascas finas</t>
        </is>
      </c>
      <c r="E195" s="6" t="inlineStr">
        <is>
          <t>Grana Padano DOP 16-20 meses</t>
        </is>
      </c>
      <c r="F195" s="16" t="n">
        <v>100</v>
      </c>
      <c r="G195" t="inlineStr">
        <is>
          <t>g</t>
        </is>
      </c>
      <c r="H195" s="12">
        <f>IFERROR(VLOOKUP(E195,Insumos!$C$5:$G$181,5,FALSE),0)</f>
        <v/>
      </c>
      <c r="I195" s="17">
        <f>F195*H195</f>
        <v/>
      </c>
    </row>
    <row r="196">
      <c r="A196" t="n">
        <v>20</v>
      </c>
      <c r="B196" s="21" t="inlineStr">
        <is>
          <t>Aperitivo Moderno di Milano (Salame Milano Tradizionale, Bresaola de Wagyu al Romero, Gorgonzola Dolce DOP y Grissini Torinesi)</t>
        </is>
      </c>
      <c r="C196" t="inlineStr">
        <is>
          <t>seco</t>
        </is>
      </c>
      <c r="D196" s="22" t="inlineStr">
        <is>
          <t>60 g Grissini Torinesi artesanales extralargos estirados a mano con aceite de oliva</t>
        </is>
      </c>
      <c r="E196" s="6" t="inlineStr">
        <is>
          <t>Grissini torinesi o rubatà artesanales</t>
        </is>
      </c>
      <c r="F196" s="16" t="n">
        <v>60</v>
      </c>
      <c r="G196" t="inlineStr">
        <is>
          <t>g</t>
        </is>
      </c>
      <c r="H196" s="12">
        <f>IFERROR(VLOOKUP(E196,Insumos!$C$5:$G$181,5,FALSE),0)</f>
        <v/>
      </c>
      <c r="I196" s="17">
        <f>F196*H196</f>
        <v/>
      </c>
    </row>
    <row r="197">
      <c r="A197" t="n">
        <v>20</v>
      </c>
      <c r="B197" s="21" t="inlineStr">
        <is>
          <t>Aperitivo Moderno di Milano (Salame Milano Tradizionale, Bresaola de Wagyu al Romero, Gorgonzola Dolce DOP y Grissini Torinesi)</t>
        </is>
      </c>
      <c r="C197" t="inlineStr">
        <is>
          <t>seco</t>
        </is>
      </c>
      <c r="D197" s="22" t="inlineStr">
        <is>
          <t>40 g Crackers de semillas de hinojo y trigo sarraceno crujientes</t>
        </is>
      </c>
      <c r="E197" s="6" t="inlineStr">
        <is>
          <t>Crackers artesanales de semillas o masa madre</t>
        </is>
      </c>
      <c r="F197" s="16" t="n">
        <v>40</v>
      </c>
      <c r="G197" t="inlineStr">
        <is>
          <t>g</t>
        </is>
      </c>
      <c r="H197" s="12">
        <f>IFERROR(VLOOKUP(E197,Insumos!$C$5:$G$181,5,FALSE),0)</f>
        <v/>
      </c>
      <c r="I197" s="17">
        <f>F197*H197</f>
        <v/>
      </c>
    </row>
    <row r="198">
      <c r="A198" t="n">
        <v>20</v>
      </c>
      <c r="B198" s="21" t="inlineStr">
        <is>
          <t>Aperitivo Moderno di Milano (Salame Milano Tradizionale, Bresaola de Wagyu al Romero, Gorgonzola Dolce DOP y Grissini Torinesi)</t>
        </is>
      </c>
      <c r="C198" t="inlineStr">
        <is>
          <t>seco</t>
        </is>
      </c>
      <c r="D198" s="22" t="inlineStr">
        <is>
          <t>35 g Nueces de montaña peladas en mitades enteras</t>
        </is>
      </c>
      <c r="E198" s="6" t="inlineStr">
        <is>
          <t>Nuez de Castilla o de nogal en mitades</t>
        </is>
      </c>
      <c r="F198" s="16" t="n">
        <v>35</v>
      </c>
      <c r="G198" t="inlineStr">
        <is>
          <t>g</t>
        </is>
      </c>
      <c r="H198" s="12">
        <f>IFERROR(VLOOKUP(E198,Insumos!$C$5:$G$181,5,FALSE),0)</f>
        <v/>
      </c>
      <c r="I198" s="17">
        <f>F198*H198</f>
        <v/>
      </c>
    </row>
    <row r="199">
      <c r="A199" t="n">
        <v>20</v>
      </c>
      <c r="B199" s="21" t="inlineStr">
        <is>
          <t>Aperitivo Moderno di Milano (Salame Milano Tradizionale, Bresaola de Wagyu al Romero, Gorgonzola Dolce DOP y Grissini Torinesi)</t>
        </is>
      </c>
      <c r="C199" t="inlineStr">
        <is>
          <t>humedo</t>
        </is>
      </c>
      <c r="D199" s="22" t="inlineStr">
        <is>
          <t>40 ml Miel pura de flor de azahar (en cuenco cerámico)</t>
        </is>
      </c>
      <c r="E199" s="6" t="inlineStr">
        <is>
          <t>Miel pura monofloral artesanal</t>
        </is>
      </c>
      <c r="F199" s="16" t="n">
        <v>40</v>
      </c>
      <c r="G199" t="inlineStr">
        <is>
          <t>g</t>
        </is>
      </c>
      <c r="H199" s="12">
        <f>IFERROR(VLOOKUP(E199,Insumos!$C$5:$G$181,5,FALSE),0)</f>
        <v/>
      </c>
      <c r="I199" s="17">
        <f>F199*H199</f>
        <v/>
      </c>
    </row>
    <row r="200">
      <c r="A200" t="n">
        <v>20</v>
      </c>
      <c r="B200" s="21" t="inlineStr">
        <is>
          <t>Aperitivo Moderno di Milano (Salame Milano Tradizionale, Bresaola de Wagyu al Romero, Gorgonzola Dolce DOP y Grissini Torinesi)</t>
        </is>
      </c>
      <c r="C200" t="inlineStr">
        <is>
          <t>humedo</t>
        </is>
      </c>
      <c r="D200" s="22" t="inlineStr">
        <is>
          <t>40 g Cebollitas caramelizadas en reducción de vino tinto Barbera (en ramequín)</t>
        </is>
      </c>
      <c r="E200" s="6" t="inlineStr">
        <is>
          <t>Confit de cebolla o chalota al vino (elaborado)</t>
        </is>
      </c>
      <c r="F200" s="16" t="n">
        <v>40</v>
      </c>
      <c r="G200" t="inlineStr">
        <is>
          <t>g</t>
        </is>
      </c>
      <c r="H200" s="12">
        <f>IFERROR(VLOOKUP(E200,Insumos!$C$5:$G$181,5,FALSE),0)</f>
        <v/>
      </c>
      <c r="I200" s="17">
        <f>F200*H200</f>
        <v/>
      </c>
    </row>
    <row r="201">
      <c r="A201" t="n">
        <v>20</v>
      </c>
      <c r="B201" s="21" t="inlineStr">
        <is>
          <t>Aperitivo Moderno di Milano (Salame Milano Tradizionale, Bresaola de Wagyu al Romero, Gorgonzola Dolce DOP y Grissini Torinesi)</t>
        </is>
      </c>
      <c r="C201" t="inlineStr">
        <is>
          <t>humedo</t>
        </is>
      </c>
      <c r="D201" s="22" t="inlineStr">
        <is>
          <t>30 g Rúcula fresca limpia y seca con gotas de jugo de limón (como cama para la bresaola)</t>
        </is>
      </c>
      <c r="E201" s="6" t="inlineStr">
        <is>
          <t>Rúcula, berro, brote o microvegetal</t>
        </is>
      </c>
      <c r="F201" s="16" t="n">
        <v>30</v>
      </c>
      <c r="G201" t="inlineStr">
        <is>
          <t>g</t>
        </is>
      </c>
      <c r="H201" s="12">
        <f>IFERROR(VLOOKUP(E201,Insumos!$C$5:$G$181,5,FALSE),0)</f>
        <v/>
      </c>
      <c r="I201" s="17">
        <f>F201*H201</f>
        <v/>
      </c>
    </row>
    <row r="202">
      <c r="A202" t="n">
        <v>21</v>
      </c>
      <c r="B202" s="21" t="inlineStr">
        <is>
          <t>Plateau Royal de Terroir (Jambon de Bayonne IGP, Saucisson Sec d'Auvergne, Comté AOP 24 Mois y Camembert de Normandie AOP)</t>
        </is>
      </c>
      <c r="C202" t="inlineStr">
        <is>
          <t>charcuteria</t>
        </is>
      </c>
      <c r="D202" s="22" t="inlineStr">
        <is>
          <t>110 g Jambon de Bayonne IGP (pierna de cerdo del suroeste francés, salazón seca con sal mineral fósil de Salies-de-Béarn, sellado de corte con grasa de cerdo y harina panage, curado al viento de los Pirineos durante 14 meses) rebanado a máquina a 1 mm</t>
        </is>
      </c>
      <c r="E202" s="6" t="inlineStr">
        <is>
          <t>Jamón francés de cerdo negro (Bayonne IGP, Bigorre AOP)</t>
        </is>
      </c>
      <c r="F202" s="16" t="n">
        <v>110</v>
      </c>
      <c r="G202" t="inlineStr">
        <is>
          <t>g</t>
        </is>
      </c>
      <c r="H202" s="12">
        <f>IFERROR(VLOOKUP(E202,Insumos!$C$5:$G$181,5,FALSE),0)</f>
        <v/>
      </c>
      <c r="I202" s="17">
        <f>F202*H202</f>
        <v/>
      </c>
    </row>
    <row r="203">
      <c r="A203" t="n">
        <v>21</v>
      </c>
      <c r="B203" s="21" t="inlineStr">
        <is>
          <t>Plateau Royal de Terroir (Jambon de Bayonne IGP, Saucisson Sec d'Auvergne, Comté AOP 24 Mois y Camembert de Normandie AOP)</t>
        </is>
      </c>
      <c r="C203" t="inlineStr">
        <is>
          <t>charcuteria</t>
        </is>
      </c>
      <c r="D203" s="22" t="inlineStr">
        <is>
          <t>90 g Saucisson Sec d'Auvergne Traditionnel (carne magra de cerdo de montaña picada gruesa, dados firmes de tocino dorsal duro, pimienta negra machacada, ajo fresco y floración superficial de Penicillium) rebanado al bies a 2.5 mm</t>
        </is>
      </c>
      <c r="E203" s="6" t="inlineStr">
        <is>
          <t>Saucisson sec francés artesanal</t>
        </is>
      </c>
      <c r="F203" s="16" t="n">
        <v>90</v>
      </c>
      <c r="G203" t="inlineStr">
        <is>
          <t>g</t>
        </is>
      </c>
      <c r="H203" s="12">
        <f>IFERROR(VLOOKUP(E203,Insumos!$C$5:$G$181,5,FALSE),0)</f>
        <v/>
      </c>
      <c r="I203" s="17">
        <f>F203*H203</f>
        <v/>
      </c>
    </row>
    <row r="204">
      <c r="A204" t="n">
        <v>21</v>
      </c>
      <c r="B204" s="21" t="inlineStr">
        <is>
          <t>Plateau Royal de Terroir (Jambon de Bayonne IGP, Saucisson Sec d'Auvergne, Comté AOP 24 Mois y Camembert de Normandie AOP)</t>
        </is>
      </c>
      <c r="C204" t="inlineStr">
        <is>
          <t>queso</t>
        </is>
      </c>
      <c r="D204" s="22" t="inlineStr">
        <is>
          <t>120 g Comté AOP Réservation madurado 24 meses (leche cruda de vaca Montbéliarde de pastos de verano ricos en flora alpina, pasta prensada cocida, maduración lenta en cavas de piedra con volteo y salado periódico en salmuera) cortado en bastones de 5 cm x 1 cm x 1 cm y virutas onduladas</t>
        </is>
      </c>
      <c r="E204" s="6" t="inlineStr">
        <is>
          <t>Comté AOP 18-24 meses</t>
        </is>
      </c>
      <c r="F204" s="16" t="n">
        <v>120</v>
      </c>
      <c r="G204" t="inlineStr">
        <is>
          <t>g</t>
        </is>
      </c>
      <c r="H204" s="12">
        <f>IFERROR(VLOOKUP(E204,Insumos!$C$5:$G$181,5,FALSE),0)</f>
        <v/>
      </c>
      <c r="I204" s="17">
        <f>F204*H204</f>
        <v/>
      </c>
    </row>
    <row r="205">
      <c r="A205" t="n">
        <v>21</v>
      </c>
      <c r="B205" s="21" t="inlineStr">
        <is>
          <t>Plateau Royal de Terroir (Jambon de Bayonne IGP, Saucisson Sec d'Auvergne, Comté AOP 24 Mois y Camembert de Normandie AOP)</t>
        </is>
      </c>
      <c r="C205" t="inlineStr">
        <is>
          <t>queso</t>
        </is>
      </c>
      <c r="D205" s="22" t="inlineStr">
        <is>
          <t>110 g Camembert de Normandie AOP (elaborado exclusivamente con leche 100% cruda de vacas de raza normanda, moldeado manual con cucharón en 5 capas sucesivas moulé à la louche, coagulación láctica dominante, afinado 35 días con corteza blanca de Penicillium camemberti) cortado en cuña de un tercio de rueda</t>
        </is>
      </c>
      <c r="E205" s="6" t="inlineStr">
        <is>
          <t>Brie de Meaux o Camembert de Normandie AOP</t>
        </is>
      </c>
      <c r="F205" s="16" t="n">
        <v>110</v>
      </c>
      <c r="G205" t="inlineStr">
        <is>
          <t>g</t>
        </is>
      </c>
      <c r="H205" s="12">
        <f>IFERROR(VLOOKUP(E205,Insumos!$C$5:$G$181,5,FALSE),0)</f>
        <v/>
      </c>
      <c r="I205" s="17">
        <f>F205*H205</f>
        <v/>
      </c>
    </row>
    <row r="206">
      <c r="A206" t="n">
        <v>21</v>
      </c>
      <c r="B206" s="21" t="inlineStr">
        <is>
          <t>Plateau Royal de Terroir (Jambon de Bayonne IGP, Saucisson Sec d'Auvergne, Comté AOP 24 Mois y Camembert de Normandie AOP)</t>
        </is>
      </c>
      <c r="C206" t="inlineStr">
        <is>
          <t>seco</t>
        </is>
      </c>
      <c r="D206" s="22" t="inlineStr">
        <is>
          <t>60 g Rebanadas finas de Baguette de Tradition Française tostadas al horno con un velo de mantequilla salada</t>
        </is>
      </c>
      <c r="E206" s="6" t="inlineStr">
        <is>
          <t>Baguette de tradición francesa</t>
        </is>
      </c>
      <c r="F206" s="16" t="n">
        <v>0.5</v>
      </c>
      <c r="G206" t="inlineStr">
        <is>
          <t>pz</t>
        </is>
      </c>
      <c r="H206" s="12">
        <f>IFERROR(VLOOKUP(E206,Insumos!$C$5:$G$181,5,FALSE),0)</f>
        <v/>
      </c>
      <c r="I206" s="17">
        <f>F206*H206</f>
        <v/>
      </c>
    </row>
    <row r="207">
      <c r="A207" t="n">
        <v>21</v>
      </c>
      <c r="B207" s="21" t="inlineStr">
        <is>
          <t>Plateau Royal de Terroir (Jambon de Bayonne IGP, Saucisson Sec d'Auvergne, Comté AOP 24 Mois y Camembert de Normandie AOP)</t>
        </is>
      </c>
      <c r="C207" t="inlineStr">
        <is>
          <t>seco</t>
        </is>
      </c>
      <c r="D207" s="22" t="inlineStr">
        <is>
          <t>40 g Crackers franceses crujientes de trigo sarraceno (sarrasin) de Bretaña</t>
        </is>
      </c>
      <c r="E207" s="6" t="inlineStr">
        <is>
          <t>Crackers artesanales de semillas o masa madre</t>
        </is>
      </c>
      <c r="F207" s="16" t="n">
        <v>40</v>
      </c>
      <c r="G207" t="inlineStr">
        <is>
          <t>g</t>
        </is>
      </c>
      <c r="H207" s="12">
        <f>IFERROR(VLOOKUP(E207,Insumos!$C$5:$G$181,5,FALSE),0)</f>
        <v/>
      </c>
      <c r="I207" s="17">
        <f>F207*H207</f>
        <v/>
      </c>
    </row>
    <row r="208">
      <c r="A208" t="n">
        <v>21</v>
      </c>
      <c r="B208" s="21" t="inlineStr">
        <is>
          <t>Plateau Royal de Terroir (Jambon de Bayonne IGP, Saucisson Sec d'Auvergne, Comté AOP 24 Mois y Camembert de Normandie AOP)</t>
        </is>
      </c>
      <c r="C208" t="inlineStr">
        <is>
          <t>seco</t>
        </is>
      </c>
      <c r="D208" s="22" t="inlineStr">
        <is>
          <t>30 g Nueces de Grenoble AOP peladas en mitades</t>
        </is>
      </c>
      <c r="E208" s="6" t="inlineStr">
        <is>
          <t>Nuez fina de importación (Grenoble AOP, Périgord)</t>
        </is>
      </c>
      <c r="F208" s="16" t="n">
        <v>30</v>
      </c>
      <c r="G208" t="inlineStr">
        <is>
          <t>g</t>
        </is>
      </c>
      <c r="H208" s="12">
        <f>IFERROR(VLOOKUP(E208,Insumos!$C$5:$G$181,5,FALSE),0)</f>
        <v/>
      </c>
      <c r="I208" s="17">
        <f>F208*H208</f>
        <v/>
      </c>
    </row>
    <row r="209">
      <c r="A209" t="n">
        <v>21</v>
      </c>
      <c r="B209" s="21" t="inlineStr">
        <is>
          <t>Plateau Royal de Terroir (Jambon de Bayonne IGP, Saucisson Sec d'Auvergne, Comté AOP 24 Mois y Camembert de Normandie AOP)</t>
        </is>
      </c>
      <c r="C209" t="inlineStr">
        <is>
          <t>humedo</t>
        </is>
      </c>
      <c r="D209" s="22" t="inlineStr">
        <is>
          <t>45 g Confiture de Cerises Noires d'Itxassou tradicional vasco-francesa (en ramequín cerámico vitrificado)</t>
        </is>
      </c>
      <c r="E209" s="6" t="inlineStr">
        <is>
          <t>Mermelada o compota densa de la casa (elaborada)</t>
        </is>
      </c>
      <c r="F209" s="16" t="n">
        <v>45</v>
      </c>
      <c r="G209" t="inlineStr">
        <is>
          <t>g</t>
        </is>
      </c>
      <c r="H209" s="12">
        <f>IFERROR(VLOOKUP(E209,Insumos!$C$5:$G$181,5,FALSE),0)</f>
        <v/>
      </c>
      <c r="I209" s="17">
        <f>F209*H209</f>
        <v/>
      </c>
    </row>
    <row r="210">
      <c r="A210" t="n">
        <v>21</v>
      </c>
      <c r="B210" s="21" t="inlineStr">
        <is>
          <t>Plateau Royal de Terroir (Jambon de Bayonne IGP, Saucisson Sec d'Auvergne, Comté AOP 24 Mois y Camembert de Normandie AOP)</t>
        </is>
      </c>
      <c r="C210" t="inlineStr">
        <is>
          <t>humedo</t>
        </is>
      </c>
      <c r="D210" s="22" t="inlineStr">
        <is>
          <t>35 g Cornichons extra-fins franceses encurtidos en vinagre de alcohol con semillas de mostaza y estragón fresco (en ramequín)</t>
        </is>
      </c>
      <c r="E210" s="6" t="inlineStr">
        <is>
          <t>Pepinillo, cornichon o encurtido agridulce</t>
        </is>
      </c>
      <c r="F210" s="16" t="n">
        <v>35</v>
      </c>
      <c r="G210" t="inlineStr">
        <is>
          <t>g</t>
        </is>
      </c>
      <c r="H210" s="12">
        <f>IFERROR(VLOOKUP(E210,Insumos!$C$5:$G$181,5,FALSE),0)</f>
        <v/>
      </c>
      <c r="I210" s="17">
        <f>F210*H210</f>
        <v/>
      </c>
    </row>
    <row r="211">
      <c r="A211" t="n">
        <v>21</v>
      </c>
      <c r="B211" s="21" t="inlineStr">
        <is>
          <t>Plateau Royal de Terroir (Jambon de Bayonne IGP, Saucisson Sec d'Auvergne, Comté AOP 24 Mois y Camembert de Normandie AOP)</t>
        </is>
      </c>
      <c r="C211" t="inlineStr">
        <is>
          <t>humedo</t>
        </is>
      </c>
      <c r="D211" s="22" t="inlineStr">
        <is>
          <t>40 g Uvas blancas Chasselas limpias secadas a paño de lino</t>
        </is>
      </c>
      <c r="E211" s="6" t="inlineStr">
        <is>
          <t>Uva de mesa sin semilla (blanca, roja o negra)</t>
        </is>
      </c>
      <c r="F211" s="16" t="n">
        <v>40</v>
      </c>
      <c r="G211" t="inlineStr">
        <is>
          <t>g</t>
        </is>
      </c>
      <c r="H211" s="12">
        <f>IFERROR(VLOOKUP(E211,Insumos!$C$5:$G$181,5,FALSE),0)</f>
        <v/>
      </c>
      <c r="I211" s="17">
        <f>F211*H211</f>
        <v/>
      </c>
    </row>
    <row r="212">
      <c r="A212" t="n">
        <v>22</v>
      </c>
      <c r="B212" s="21" t="inlineStr">
        <is>
          <t>Tour de France de Pâtes Molles (Brie de Meaux AOP, Reblochon de Savoie AOP, Rosette de Lyon y Rillettes de Tours IGP)</t>
        </is>
      </c>
      <c r="C212" t="inlineStr">
        <is>
          <t>charcuteria</t>
        </is>
      </c>
      <c r="D212" s="22" t="inlineStr">
        <is>
          <t>100 g Rosette de Lyon Tradicional (carne magra de cerdo seleccionada con grasa dorsal dura picada fina, sal marina, ajo macerado, vino blanco y pimienta negra en grano, embutida en la tripa terminal fuseau y secada durante 3 meses) rebanada al bies a 1.5 mm</t>
        </is>
      </c>
      <c r="E212" s="6" t="inlineStr">
        <is>
          <t>Sal marina fina o de grano</t>
        </is>
      </c>
      <c r="F212" s="16" t="n">
        <v>100</v>
      </c>
      <c r="G212" t="inlineStr">
        <is>
          <t>g</t>
        </is>
      </c>
      <c r="H212" s="12">
        <f>IFERROR(VLOOKUP(E212,Insumos!$C$5:$G$181,5,FALSE),0)</f>
        <v/>
      </c>
      <c r="I212" s="17">
        <f>F212*H212</f>
        <v/>
      </c>
    </row>
    <row r="213">
      <c r="A213" t="n">
        <v>22</v>
      </c>
      <c r="B213" s="21" t="inlineStr">
        <is>
          <t>Tour de France de Pâtes Molles (Brie de Meaux AOP, Reblochon de Savoie AOP, Rosette de Lyon y Rillettes de Tours IGP)</t>
        </is>
      </c>
      <c r="C213" t="inlineStr">
        <is>
          <t>charcuteria</t>
        </is>
      </c>
      <c r="D213" s="22" t="inlineStr">
        <is>
          <t>90 g Rillettes de Tours IGP (magro de cerdo cocido lentamente durante 6 horas en grasa de cerdo en marmita abierta sin tapa hasta que la carne se deshebre en hebras largas y doradas con notas de caramelo) servidas en terrina de gres</t>
        </is>
      </c>
      <c r="E213" s="6" t="inlineStr">
        <is>
          <t>Rillettes o rillons de cerdo confitados</t>
        </is>
      </c>
      <c r="F213" s="16" t="n">
        <v>90</v>
      </c>
      <c r="G213" t="inlineStr">
        <is>
          <t>g</t>
        </is>
      </c>
      <c r="H213" s="12">
        <f>IFERROR(VLOOKUP(E213,Insumos!$C$5:$G$181,5,FALSE),0)</f>
        <v/>
      </c>
      <c r="I213" s="17">
        <f>F213*H213</f>
        <v/>
      </c>
    </row>
    <row r="214">
      <c r="A214" t="n">
        <v>22</v>
      </c>
      <c r="B214" s="21" t="inlineStr">
        <is>
          <t>Tour de France de Pâtes Molles (Brie de Meaux AOP, Reblochon de Savoie AOP, Rosette de Lyon y Rillettes de Tours IGP)</t>
        </is>
      </c>
      <c r="C214" t="inlineStr">
        <is>
          <t>queso</t>
        </is>
      </c>
      <c r="D214" s="22" t="inlineStr">
        <is>
          <t>130 g Brie de Meaux AOP (leche cruda de vaca, desuerado espontáneo sin prensado sobre esteras de carrizo paillons, corteza enmohecida blanca estriada de pigmentos pardorrojizos, pasta cremosa pajiza con aroma a sotobosque y champiñón fresco) cuña de corte radial</t>
        </is>
      </c>
      <c r="E214" s="6" t="inlineStr">
        <is>
          <t>Brie de Meaux o Camembert de Normandie AOP</t>
        </is>
      </c>
      <c r="F214" s="16" t="n">
        <v>130</v>
      </c>
      <c r="G214" t="inlineStr">
        <is>
          <t>g</t>
        </is>
      </c>
      <c r="H214" s="12">
        <f>IFERROR(VLOOKUP(E214,Insumos!$C$5:$G$181,5,FALSE),0)</f>
        <v/>
      </c>
      <c r="I214" s="17">
        <f>F214*H214</f>
        <v/>
      </c>
    </row>
    <row r="215">
      <c r="A215" t="n">
        <v>22</v>
      </c>
      <c r="B215" s="21" t="inlineStr">
        <is>
          <t>Tour de France de Pâtes Molles (Brie de Meaux AOP, Reblochon de Savoie AOP, Rosette de Lyon y Rillettes de Tours IGP)</t>
        </is>
      </c>
      <c r="C215" t="inlineStr">
        <is>
          <t>queso</t>
        </is>
      </c>
      <c r="D215" s="22" t="inlineStr">
        <is>
          <t>110 g Reblochon de Savoie AOP Fermier (leche 100% cruda de vacas alpinas Abondance, Tarine y Montbéliarde, pasta prensada no cocida, corteza lavada aterciopelada de color azafrán con fino velo blanco, pasta suave fundente con pastilla verde de caseína) media rueda</t>
        </is>
      </c>
      <c r="E215" s="6" t="inlineStr">
        <is>
          <t>Queso de corteza lavada de montaña (Morbier, Saint-Nectaire, Reblochon)</t>
        </is>
      </c>
      <c r="F215" s="16" t="n">
        <v>110</v>
      </c>
      <c r="G215" t="inlineStr">
        <is>
          <t>g</t>
        </is>
      </c>
      <c r="H215" s="12">
        <f>IFERROR(VLOOKUP(E215,Insumos!$C$5:$G$181,5,FALSE),0)</f>
        <v/>
      </c>
      <c r="I215" s="17">
        <f>F215*H215</f>
        <v/>
      </c>
    </row>
    <row r="216">
      <c r="A216" t="n">
        <v>22</v>
      </c>
      <c r="B216" s="21" t="inlineStr">
        <is>
          <t>Tour de France de Pâtes Molles (Brie de Meaux AOP, Reblochon de Savoie AOP, Rosette de Lyon y Rillettes de Tours IGP)</t>
        </is>
      </c>
      <c r="C216" t="inlineStr">
        <is>
          <t>seco</t>
        </is>
      </c>
      <c r="D216" s="22" t="inlineStr">
        <is>
          <t>60 g Rebanadas tostadas de Pain de Campagne de masa madre con harina de centeno</t>
        </is>
      </c>
      <c r="E216" s="6" t="inlineStr">
        <is>
          <t>Totopos o tostaditas de maíz nixtamalizado</t>
        </is>
      </c>
      <c r="F216" s="16" t="n">
        <v>60</v>
      </c>
      <c r="G216" t="inlineStr">
        <is>
          <t>g</t>
        </is>
      </c>
      <c r="H216" s="12">
        <f>IFERROR(VLOOKUP(E216,Insumos!$C$5:$G$181,5,FALSE),0)</f>
        <v/>
      </c>
      <c r="I216" s="17">
        <f>F216*H216</f>
        <v/>
      </c>
    </row>
    <row r="217">
      <c r="A217" t="n">
        <v>22</v>
      </c>
      <c r="B217" s="21" t="inlineStr">
        <is>
          <t>Tour de France de Pâtes Molles (Brie de Meaux AOP, Reblochon de Savoie AOP, Rosette de Lyon y Rillettes de Tours IGP)</t>
        </is>
      </c>
      <c r="C217" t="inlineStr">
        <is>
          <t>seco</t>
        </is>
      </c>
      <c r="D217" s="22" t="inlineStr">
        <is>
          <t>40 g Tostas finas de pan brioche ligero secadas al horno</t>
        </is>
      </c>
      <c r="E217" s="6" t="inlineStr">
        <is>
          <t>Pan brioche artesanal</t>
        </is>
      </c>
      <c r="F217" s="16" t="n">
        <v>40</v>
      </c>
      <c r="G217" t="inlineStr">
        <is>
          <t>g</t>
        </is>
      </c>
      <c r="H217" s="12">
        <f>IFERROR(VLOOKUP(E217,Insumos!$C$5:$G$181,5,FALSE),0)</f>
        <v/>
      </c>
      <c r="I217" s="17">
        <f>F217*H217</f>
        <v/>
      </c>
    </row>
    <row r="218">
      <c r="A218" t="n">
        <v>22</v>
      </c>
      <c r="B218" s="21" t="inlineStr">
        <is>
          <t>Tour de France de Pâtes Molles (Brie de Meaux AOP, Reblochon de Savoie AOP, Rosette de Lyon y Rillettes de Tours IGP)</t>
        </is>
      </c>
      <c r="C218" t="inlineStr">
        <is>
          <t>seco</t>
        </is>
      </c>
      <c r="D218" s="22" t="inlineStr">
        <is>
          <t>30 g Avellanas tostadas de Lyon partidas en mitades</t>
        </is>
      </c>
      <c r="E218" s="6" t="inlineStr">
        <is>
          <t>Avellana tostada (Reus DOP, Piamonte IGP)</t>
        </is>
      </c>
      <c r="F218" s="16" t="n">
        <v>30</v>
      </c>
      <c r="G218" t="inlineStr">
        <is>
          <t>g</t>
        </is>
      </c>
      <c r="H218" s="12">
        <f>IFERROR(VLOOKUP(E218,Insumos!$C$5:$G$181,5,FALSE),0)</f>
        <v/>
      </c>
      <c r="I218" s="17">
        <f>F218*H218</f>
        <v/>
      </c>
    </row>
    <row r="219">
      <c r="A219" t="n">
        <v>22</v>
      </c>
      <c r="B219" s="21" t="inlineStr">
        <is>
          <t>Tour de France de Pâtes Molles (Brie de Meaux AOP, Reblochon de Savoie AOP, Rosette de Lyon y Rillettes de Tours IGP)</t>
        </is>
      </c>
      <c r="C219" t="inlineStr">
        <is>
          <t>humedo</t>
        </is>
      </c>
      <c r="D219" s="22" t="inlineStr">
        <is>
          <t>45 g Compota / confit de chalotas confitadas al vino tinto de Borgoña y tomillo (en ramequín)</t>
        </is>
      </c>
      <c r="E219" s="6" t="inlineStr">
        <is>
          <t>Mermelada o compota densa de la casa (elaborada)</t>
        </is>
      </c>
      <c r="F219" s="16" t="n">
        <v>45</v>
      </c>
      <c r="G219" t="inlineStr">
        <is>
          <t>g</t>
        </is>
      </c>
      <c r="H219" s="12">
        <f>IFERROR(VLOOKUP(E219,Insumos!$C$5:$G$181,5,FALSE),0)</f>
        <v/>
      </c>
      <c r="I219" s="17">
        <f>F219*H219</f>
        <v/>
      </c>
    </row>
    <row r="220">
      <c r="A220" t="n">
        <v>22</v>
      </c>
      <c r="B220" s="21" t="inlineStr">
        <is>
          <t>Tour de France de Pâtes Molles (Brie de Meaux AOP, Reblochon de Savoie AOP, Rosette de Lyon y Rillettes de Tours IGP)</t>
        </is>
      </c>
      <c r="C220" t="inlineStr">
        <is>
          <t>humedo</t>
        </is>
      </c>
      <c r="D220" s="22" t="inlineStr">
        <is>
          <t>35 g Cornichons franceses y cebollitas perla encurtidas en vinagre de sidra (en ramequín cerámico)</t>
        </is>
      </c>
      <c r="E220" s="6" t="inlineStr">
        <is>
          <t>Pepinillo, cornichon o encurtido agridulce</t>
        </is>
      </c>
      <c r="F220" s="16" t="n">
        <v>35</v>
      </c>
      <c r="G220" t="inlineStr">
        <is>
          <t>g</t>
        </is>
      </c>
      <c r="H220" s="12">
        <f>IFERROR(VLOOKUP(E220,Insumos!$C$5:$G$181,5,FALSE),0)</f>
        <v/>
      </c>
      <c r="I220" s="17">
        <f>F220*H220</f>
        <v/>
      </c>
    </row>
    <row r="221">
      <c r="A221" t="n">
        <v>22</v>
      </c>
      <c r="B221" s="21" t="inlineStr">
        <is>
          <t>Tour de France de Pâtes Molles (Brie de Meaux AOP, Reblochon de Savoie AOP, Rosette de Lyon y Rillettes de Tours IGP)</t>
        </is>
      </c>
      <c r="C221" t="inlineStr">
        <is>
          <t>humedo</t>
        </is>
      </c>
      <c r="D221" s="22" t="inlineStr">
        <is>
          <t>40 g Manzanas Golden de Saboya cortadas en láminas finas al momento</t>
        </is>
      </c>
      <c r="E221" s="6" t="inlineStr">
        <is>
          <t>Manzana ácida (Granny Smith, reineta, perona)</t>
        </is>
      </c>
      <c r="F221" s="16" t="n">
        <v>40</v>
      </c>
      <c r="G221" t="inlineStr">
        <is>
          <t>g</t>
        </is>
      </c>
      <c r="H221" s="12">
        <f>IFERROR(VLOOKUP(E221,Insumos!$C$5:$G$181,5,FALSE),0)</f>
        <v/>
      </c>
      <c r="I221" s="17">
        <f>F221*H221</f>
        <v/>
      </c>
    </row>
    <row r="222">
      <c r="A222" t="n">
        <v>23</v>
      </c>
      <c r="B222" s="21" t="inlineStr">
        <is>
          <t>Sud-Ouest &amp; Confiture Noble (Pâté de Campagne au Foie Gras, Jambon Noir de Bigorre AOP, Roquefort AOP y Ossau-Iraty AOP)</t>
        </is>
      </c>
      <c r="C222" t="inlineStr">
        <is>
          <t>charcuteria</t>
        </is>
      </c>
      <c r="D222" s="22" t="inlineStr">
        <is>
          <t>100 g Jambon Noir de Bigorre AOP (jamón de cerdo autóctono negro de Gascuña de raza pura criado en libertad bajo robles y castaños, curado 24 meses en los valles pirenaicos, grasa infiltrada rica en ácido oleico) rebanado a máquina a 1 mm</t>
        </is>
      </c>
      <c r="E222" s="6" t="inlineStr">
        <is>
          <t>Jamón francés de cerdo negro (Bayonne IGP, Bigorre AOP)</t>
        </is>
      </c>
      <c r="F222" s="16" t="n">
        <v>100</v>
      </c>
      <c r="G222" t="inlineStr">
        <is>
          <t>g</t>
        </is>
      </c>
      <c r="H222" s="12">
        <f>IFERROR(VLOOKUP(E222,Insumos!$C$5:$G$181,5,FALSE),0)</f>
        <v/>
      </c>
      <c r="I222" s="17">
        <f>F222*H222</f>
        <v/>
      </c>
    </row>
    <row r="223">
      <c r="A223" t="n">
        <v>23</v>
      </c>
      <c r="B223" s="21" t="inlineStr">
        <is>
          <t>Sud-Ouest &amp; Confiture Noble (Pâté de Campagne au Foie Gras, Jambon Noir de Bigorre AOP, Roquefort AOP y Ossau-Iraty AOP)</t>
        </is>
      </c>
      <c r="C223" t="inlineStr">
        <is>
          <t>charcuteria</t>
        </is>
      </c>
      <c r="D223" s="22" t="inlineStr">
        <is>
          <t>90 g Pâté de Campagne au Foie Gras (farsa tradicional de garganta y magro de cerdo de granja picada a cuchillo, marinada con coñac, pimienta negra y especias, con núcleo de 25% de bloque de foie gras de pato del Suroeste) rebanado en bloques de 1 cm</t>
        </is>
      </c>
      <c r="E223" s="6" t="inlineStr">
        <is>
          <t>Paté de campaña con foie gras</t>
        </is>
      </c>
      <c r="F223" s="16" t="n">
        <v>90</v>
      </c>
      <c r="G223" t="inlineStr">
        <is>
          <t>g</t>
        </is>
      </c>
      <c r="H223" s="12">
        <f>IFERROR(VLOOKUP(E223,Insumos!$C$5:$G$181,5,FALSE),0)</f>
        <v/>
      </c>
      <c r="I223" s="17">
        <f>F223*H223</f>
        <v/>
      </c>
    </row>
    <row r="224">
      <c r="A224" t="n">
        <v>23</v>
      </c>
      <c r="B224" s="21" t="inlineStr">
        <is>
          <t>Sud-Ouest &amp; Confiture Noble (Pâté de Campagne au Foie Gras, Jambon Noir de Bigorre AOP, Roquefort AOP y Ossau-Iraty AOP)</t>
        </is>
      </c>
      <c r="C224" t="inlineStr">
        <is>
          <t>queso</t>
        </is>
      </c>
      <c r="D224" s="22" t="inlineStr">
        <is>
          <t>110 g Roquefort AOP de Cueva Tradicional (leche 100% cruda e íntegra de oveja de raza Lacaune, sin prensar, maduración de 3 a 5 meses en las bodegas naturales de las fallas kársticas de Combalou en Roquefort-sur-Soulzon, veteado azul verdoso regular de Penicillium roqueforti) desmoronado en rocas</t>
        </is>
      </c>
      <c r="E224" s="6" t="inlineStr">
        <is>
          <t>Roquefort AOP de cueva</t>
        </is>
      </c>
      <c r="F224" s="16" t="n">
        <v>110</v>
      </c>
      <c r="G224" t="inlineStr">
        <is>
          <t>g</t>
        </is>
      </c>
      <c r="H224" s="12">
        <f>IFERROR(VLOOKUP(E224,Insumos!$C$5:$G$181,5,FALSE),0)</f>
        <v/>
      </c>
      <c r="I224" s="17">
        <f>F224*H224</f>
        <v/>
      </c>
    </row>
    <row r="225">
      <c r="A225" t="n">
        <v>23</v>
      </c>
      <c r="B225" s="21" t="inlineStr">
        <is>
          <t>Sud-Ouest &amp; Confiture Noble (Pâté de Campagne au Foie Gras, Jambon Noir de Bigorre AOP, Roquefort AOP y Ossau-Iraty AOP)</t>
        </is>
      </c>
      <c r="C225" t="inlineStr">
        <is>
          <t>queso</t>
        </is>
      </c>
      <c r="D225" s="22" t="inlineStr">
        <is>
          <t>120 g Ossau-Iraty AOP Fermier (leche cruda de ovejas autóctonas Manech Tête Noire y Basco-Béarnaise, pasta prensada no cocida, afinado de 6 a 8 meses en cavas de montaña, corteza parda anaranjada, pasta firme y suave con notas a frutos secos) cortado en cuñas de 4 mm</t>
        </is>
      </c>
      <c r="E225" s="6" t="inlineStr">
        <is>
          <t>Ossau-Iraty AOP u oveja fermier de los Pirineos</t>
        </is>
      </c>
      <c r="F225" s="16" t="n">
        <v>120</v>
      </c>
      <c r="G225" t="inlineStr">
        <is>
          <t>g</t>
        </is>
      </c>
      <c r="H225" s="12">
        <f>IFERROR(VLOOKUP(E225,Insumos!$C$5:$G$181,5,FALSE),0)</f>
        <v/>
      </c>
      <c r="I225" s="17">
        <f>F225*H225</f>
        <v/>
      </c>
    </row>
    <row r="226">
      <c r="A226" t="n">
        <v>23</v>
      </c>
      <c r="B226" s="21" t="inlineStr">
        <is>
          <t>Sud-Ouest &amp; Confiture Noble (Pâté de Campagne au Foie Gras, Jambon Noir de Bigorre AOP, Roquefort AOP y Ossau-Iraty AOP)</t>
        </is>
      </c>
      <c r="C226" t="inlineStr">
        <is>
          <t>seco</t>
        </is>
      </c>
      <c r="D226" s="22" t="inlineStr">
        <is>
          <t>60 g Rebanadas tostadas de pan de nuez del Périgord (Pain aux Noix)</t>
        </is>
      </c>
      <c r="E226" s="6" t="inlineStr">
        <is>
          <t>Totopos o tostaditas de maíz nixtamalizado</t>
        </is>
      </c>
      <c r="F226" s="16" t="n">
        <v>60</v>
      </c>
      <c r="G226" t="inlineStr">
        <is>
          <t>g</t>
        </is>
      </c>
      <c r="H226" s="12">
        <f>IFERROR(VLOOKUP(E226,Insumos!$C$5:$G$181,5,FALSE),0)</f>
        <v/>
      </c>
      <c r="I226" s="17">
        <f>F226*H226</f>
        <v/>
      </c>
    </row>
    <row r="227">
      <c r="A227" t="n">
        <v>23</v>
      </c>
      <c r="B227" s="21" t="inlineStr">
        <is>
          <t>Sud-Ouest &amp; Confiture Noble (Pâté de Campagne au Foie Gras, Jambon Noir de Bigorre AOP, Roquefort AOP y Ossau-Iraty AOP)</t>
        </is>
      </c>
      <c r="C227" t="inlineStr">
        <is>
          <t>seco</t>
        </is>
      </c>
      <c r="D227" s="22" t="inlineStr">
        <is>
          <t>40 g Croustous vasco-franceses o tostas de pan de campo al horno</t>
        </is>
      </c>
      <c r="E227" s="6" t="inlineStr">
        <is>
          <t>Picos, regañás o colines andaluces</t>
        </is>
      </c>
      <c r="F227" s="16" t="n">
        <v>40</v>
      </c>
      <c r="G227" t="inlineStr">
        <is>
          <t>g</t>
        </is>
      </c>
      <c r="H227" s="12">
        <f>IFERROR(VLOOKUP(E227,Insumos!$C$5:$G$181,5,FALSE),0)</f>
        <v/>
      </c>
      <c r="I227" s="17">
        <f>F227*H227</f>
        <v/>
      </c>
    </row>
    <row r="228">
      <c r="A228" t="n">
        <v>23</v>
      </c>
      <c r="B228" s="21" t="inlineStr">
        <is>
          <t>Sud-Ouest &amp; Confiture Noble (Pâté de Campagne au Foie Gras, Jambon Noir de Bigorre AOP, Roquefort AOP y Ossau-Iraty AOP)</t>
        </is>
      </c>
      <c r="C228" t="inlineStr">
        <is>
          <t>seco</t>
        </is>
      </c>
      <c r="D228" s="22" t="inlineStr">
        <is>
          <t>30 g Almendras y nueces del Suroeste tostadas al natural</t>
        </is>
      </c>
      <c r="E228" s="6" t="inlineStr">
        <is>
          <t>Almendra tostada con piel (Mallorca, Toritto, Provenza)</t>
        </is>
      </c>
      <c r="F228" s="16" t="n">
        <v>30</v>
      </c>
      <c r="G228" t="inlineStr">
        <is>
          <t>g</t>
        </is>
      </c>
      <c r="H228" s="12">
        <f>IFERROR(VLOOKUP(E228,Insumos!$C$5:$G$181,5,FALSE),0)</f>
        <v/>
      </c>
      <c r="I228" s="17">
        <f>F228*H228</f>
        <v/>
      </c>
    </row>
    <row r="229">
      <c r="A229" t="n">
        <v>23</v>
      </c>
      <c r="B229" s="21" t="inlineStr">
        <is>
          <t>Sud-Ouest &amp; Confiture Noble (Pâté de Campagne au Foie Gras, Jambon Noir de Bigorre AOP, Roquefort AOP y Ossau-Iraty AOP)</t>
        </is>
      </c>
      <c r="C229" t="inlineStr">
        <is>
          <t>humedo</t>
        </is>
      </c>
      <c r="D229" s="22" t="inlineStr">
        <is>
          <t>45 g Confiture de Figues Noires aux Noix del Périgord (en ramequín cerámico)</t>
        </is>
      </c>
      <c r="E229" s="6" t="inlineStr">
        <is>
          <t>Mermelada o compota densa de la casa (elaborada)</t>
        </is>
      </c>
      <c r="F229" s="16" t="n">
        <v>45</v>
      </c>
      <c r="G229" t="inlineStr">
        <is>
          <t>g</t>
        </is>
      </c>
      <c r="H229" s="12">
        <f>IFERROR(VLOOKUP(E229,Insumos!$C$5:$G$181,5,FALSE),0)</f>
        <v/>
      </c>
      <c r="I229" s="17">
        <f>F229*H229</f>
        <v/>
      </c>
    </row>
    <row r="230">
      <c r="A230" t="n">
        <v>23</v>
      </c>
      <c r="B230" s="21" t="inlineStr">
        <is>
          <t>Sud-Ouest &amp; Confiture Noble (Pâté de Campagne au Foie Gras, Jambon Noir de Bigorre AOP, Roquefort AOP y Ossau-Iraty AOP)</t>
        </is>
      </c>
      <c r="C230" t="inlineStr">
        <is>
          <t>humedo</t>
        </is>
      </c>
      <c r="D230" s="22" t="inlineStr">
        <is>
          <t>30 g Moutarde Violette de Brive tradicional (mostaza elaborada con mosto de uva tinta de fermentación y semillas de mostaza molidas) en ramequín pequeño</t>
        </is>
      </c>
      <c r="E230" s="6" t="inlineStr">
        <is>
          <t>Mostaza artesanal en grano (Meaux, Dijon, Brive, cerveza)</t>
        </is>
      </c>
      <c r="F230" s="16" t="n">
        <v>30</v>
      </c>
      <c r="G230" t="inlineStr">
        <is>
          <t>g</t>
        </is>
      </c>
      <c r="H230" s="12">
        <f>IFERROR(VLOOKUP(E230,Insumos!$C$5:$G$181,5,FALSE),0)</f>
        <v/>
      </c>
      <c r="I230" s="17">
        <f>F230*H230</f>
        <v/>
      </c>
    </row>
    <row r="231">
      <c r="A231" t="n">
        <v>23</v>
      </c>
      <c r="B231" s="21" t="inlineStr">
        <is>
          <t>Sud-Ouest &amp; Confiture Noble (Pâté de Campagne au Foie Gras, Jambon Noir de Bigorre AOP, Roquefort AOP y Ossau-Iraty AOP)</t>
        </is>
      </c>
      <c r="C231" t="inlineStr">
        <is>
          <t>humedo</t>
        </is>
      </c>
      <c r="D231" s="22" t="inlineStr">
        <is>
          <t>40 g Uvas negras Moscatel limpias secadas a paño</t>
        </is>
      </c>
      <c r="E231" s="6" t="inlineStr">
        <is>
          <t>Uva de mesa sin semilla (blanca, roja o negra)</t>
        </is>
      </c>
      <c r="F231" s="16" t="n">
        <v>40</v>
      </c>
      <c r="G231" t="inlineStr">
        <is>
          <t>g</t>
        </is>
      </c>
      <c r="H231" s="12">
        <f>IFERROR(VLOOKUP(E231,Insumos!$C$5:$G$181,5,FALSE),0)</f>
        <v/>
      </c>
      <c r="I231" s="17">
        <f>F231*H231</f>
        <v/>
      </c>
    </row>
    <row r="232">
      <c r="A232" t="n">
        <v>24</v>
      </c>
      <c r="B232" s="21" t="inlineStr">
        <is>
          <t>Bourgogne &amp; Côtes de Nuits (Jambon Persillé de Bourgogne, Terrina de Pato a la Naranja, Époisses de Bourgogne AOP y Morbier AOP)</t>
        </is>
      </c>
      <c r="C232" t="inlineStr">
        <is>
          <t>charcuteria</t>
        </is>
      </c>
      <c r="D232" s="22" t="inlineStr">
        <is>
          <t>100 g Jambon Persillé de Bourgogne Tradicional (paleta y corvejón de cerdo cocidos a fuego lento en caldo aromático con vino blanco Bourgogne Aligoté, ajo, chalotas y abundante perejil fresco picado, ensamblado en bloque frío con su gelatina natural rica en colágeno) cortado en cubos de 2 cm x 2 cm</t>
        </is>
      </c>
      <c r="E232" s="6" t="inlineStr">
        <is>
          <t>Jambon persillé o carne en gelatina de hierbas</t>
        </is>
      </c>
      <c r="F232" s="16" t="n">
        <v>100</v>
      </c>
      <c r="G232" t="inlineStr">
        <is>
          <t>g</t>
        </is>
      </c>
      <c r="H232" s="12">
        <f>IFERROR(VLOOKUP(E232,Insumos!$C$5:$G$181,5,FALSE),0)</f>
        <v/>
      </c>
      <c r="I232" s="17">
        <f>F232*H232</f>
        <v/>
      </c>
    </row>
    <row r="233">
      <c r="A233" t="n">
        <v>24</v>
      </c>
      <c r="B233" s="21" t="inlineStr">
        <is>
          <t>Bourgogne &amp; Côtes de Nuits (Jambon Persillé de Bourgogne, Terrina de Pato a la Naranja, Époisses de Bourgogne AOP y Morbier AOP)</t>
        </is>
      </c>
      <c r="C233" t="inlineStr">
        <is>
          <t>charcuteria</t>
        </is>
      </c>
      <c r="D233" s="22" t="inlineStr">
        <is>
          <t>90 g Terrine de Canard à l'Orange (carne magra de pato confitada troceada a cuchillo, grasa de cerdo, piel de naranja confitada, licor Grand Marnier, sal marina y pimienta verde) rebanada en losas de 1 cm</t>
        </is>
      </c>
      <c r="E233" s="6" t="inlineStr">
        <is>
          <t>Terrina artesanal de pato, conejo o ave</t>
        </is>
      </c>
      <c r="F233" s="16" t="n">
        <v>90</v>
      </c>
      <c r="G233" t="inlineStr">
        <is>
          <t>g</t>
        </is>
      </c>
      <c r="H233" s="12">
        <f>IFERROR(VLOOKUP(E233,Insumos!$C$5:$G$181,5,FALSE),0)</f>
        <v/>
      </c>
      <c r="I233" s="17">
        <f>F233*H233</f>
        <v/>
      </c>
    </row>
    <row r="234">
      <c r="A234" t="n">
        <v>24</v>
      </c>
      <c r="B234" s="21" t="inlineStr">
        <is>
          <t>Bourgogne &amp; Côtes de Nuits (Jambon Persillé de Bourgogne, Terrina de Pato a la Naranja, Époisses de Bourgogne AOP y Morbier AOP)</t>
        </is>
      </c>
      <c r="C234" t="inlineStr">
        <is>
          <t>queso</t>
        </is>
      </c>
      <c r="D234" s="22" t="inlineStr">
        <is>
          <t>120 g Époisses de Bourgogne AOP (leche cruda o pasteurizada de vaca de razas Brune, Simmental y Montbéliarde, cuajado láctico muy lento de 16 horas, corteza lavada frotada repetidamente con aguardiente de orujo Marc de Bourgogne, pasta untuosa líquida con aroma pungente y sabor afrutado dulce) en su caja de madera</t>
        </is>
      </c>
      <c r="E234" s="6" t="inlineStr">
        <is>
          <t>Queso de corteza lavada intensa (Époisses, Munster, Livarot, Pont-l'Évêque)</t>
        </is>
      </c>
      <c r="F234" s="16" t="n">
        <v>120</v>
      </c>
      <c r="G234" t="inlineStr">
        <is>
          <t>g</t>
        </is>
      </c>
      <c r="H234" s="12">
        <f>IFERROR(VLOOKUP(E234,Insumos!$C$5:$G$181,5,FALSE),0)</f>
        <v/>
      </c>
      <c r="I234" s="17">
        <f>F234*H234</f>
        <v/>
      </c>
    </row>
    <row r="235">
      <c r="A235" t="n">
        <v>24</v>
      </c>
      <c r="B235" s="21" t="inlineStr">
        <is>
          <t>Bourgogne &amp; Côtes de Nuits (Jambon Persillé de Bourgogne, Terrina de Pato a la Naranja, Époisses de Bourgogne AOP y Morbier AOP)</t>
        </is>
      </c>
      <c r="C235" t="inlineStr">
        <is>
          <t>queso</t>
        </is>
      </c>
      <c r="D235" s="22" t="inlineStr">
        <is>
          <t>110 g Morbier AOP (leche cruda de vaca de montaña, pasta prensada no cocida, afinado mínimo de 60 a 90 días, dividida horizontalmente por una raya central de carbón vegetal vegetal negro, pasta suave y elástica con notas de leche fresca y heno) cortado en cuñas de 5 mm</t>
        </is>
      </c>
      <c r="E235" s="6" t="inlineStr">
        <is>
          <t>Queso de corteza lavada de montaña (Morbier, Saint-Nectaire, Reblochon)</t>
        </is>
      </c>
      <c r="F235" s="16" t="n">
        <v>110</v>
      </c>
      <c r="G235" t="inlineStr">
        <is>
          <t>g</t>
        </is>
      </c>
      <c r="H235" s="12">
        <f>IFERROR(VLOOKUP(E235,Insumos!$C$5:$G$181,5,FALSE),0)</f>
        <v/>
      </c>
      <c r="I235" s="17">
        <f>F235*H235</f>
        <v/>
      </c>
    </row>
    <row r="236">
      <c r="A236" t="n">
        <v>24</v>
      </c>
      <c r="B236" s="21" t="inlineStr">
        <is>
          <t>Bourgogne &amp; Côtes de Nuits (Jambon Persillé de Bourgogne, Terrina de Pato a la Naranja, Époisses de Bourgogne AOP y Morbier AOP)</t>
        </is>
      </c>
      <c r="C236" t="inlineStr">
        <is>
          <t>seco</t>
        </is>
      </c>
      <c r="D236" s="22" t="inlineStr">
        <is>
          <t>60 g Rebanadas finas tostadas de baguette rústica con harina de trigo molida a la piedra</t>
        </is>
      </c>
      <c r="E236" s="6" t="inlineStr">
        <is>
          <t>Baguette de tradición francesa</t>
        </is>
      </c>
      <c r="F236" s="16" t="n">
        <v>0.5</v>
      </c>
      <c r="G236" t="inlineStr">
        <is>
          <t>pz</t>
        </is>
      </c>
      <c r="H236" s="12">
        <f>IFERROR(VLOOKUP(E236,Insumos!$C$5:$G$181,5,FALSE),0)</f>
        <v/>
      </c>
      <c r="I236" s="17">
        <f>F236*H236</f>
        <v/>
      </c>
    </row>
    <row r="237">
      <c r="A237" t="n">
        <v>24</v>
      </c>
      <c r="B237" s="21" t="inlineStr">
        <is>
          <t>Bourgogne &amp; Côtes de Nuits (Jambon Persillé de Bourgogne, Terrina de Pato a la Naranja, Époisses de Bourgogne AOP y Morbier AOP)</t>
        </is>
      </c>
      <c r="C237" t="inlineStr">
        <is>
          <t>seco</t>
        </is>
      </c>
      <c r="D237" s="22" t="inlineStr">
        <is>
          <t>35 g Rebanadas finas deshidratadas crujientes de Pain d'Épices tradicional de Dijon (pan dulce especiado con miel, anís verde, canela y nuez moscada)</t>
        </is>
      </c>
      <c r="E237" s="6" t="inlineStr">
        <is>
          <t>Pan de especias o pain d'épices</t>
        </is>
      </c>
      <c r="F237" s="16" t="n">
        <v>35</v>
      </c>
      <c r="G237" t="inlineStr">
        <is>
          <t>g</t>
        </is>
      </c>
      <c r="H237" s="12">
        <f>IFERROR(VLOOKUP(E237,Insumos!$C$5:$G$181,5,FALSE),0)</f>
        <v/>
      </c>
      <c r="I237" s="17">
        <f>F237*H237</f>
        <v/>
      </c>
    </row>
    <row r="238">
      <c r="A238" t="n">
        <v>24</v>
      </c>
      <c r="B238" s="21" t="inlineStr">
        <is>
          <t>Bourgogne &amp; Côtes de Nuits (Jambon Persillé de Bourgogne, Terrina de Pato a la Naranja, Époisses de Bourgogne AOP y Morbier AOP)</t>
        </is>
      </c>
      <c r="C238" t="inlineStr">
        <is>
          <t>seco</t>
        </is>
      </c>
      <c r="D238" s="22" t="inlineStr">
        <is>
          <t>30 g Nueces borgoñonas tostadas al natural</t>
        </is>
      </c>
      <c r="E238" s="6" t="inlineStr">
        <is>
          <t>Nuez de Castilla o de nogal en mitades</t>
        </is>
      </c>
      <c r="F238" s="16" t="n">
        <v>30</v>
      </c>
      <c r="G238" t="inlineStr">
        <is>
          <t>g</t>
        </is>
      </c>
      <c r="H238" s="12">
        <f>IFERROR(VLOOKUP(E238,Insumos!$C$5:$G$181,5,FALSE),0)</f>
        <v/>
      </c>
      <c r="I238" s="17">
        <f>F238*H238</f>
        <v/>
      </c>
    </row>
    <row r="239">
      <c r="A239" t="n">
        <v>24</v>
      </c>
      <c r="B239" s="21" t="inlineStr">
        <is>
          <t>Bourgogne &amp; Côtes de Nuits (Jambon Persillé de Bourgogne, Terrina de Pato a la Naranja, Époisses de Bourgogne AOP y Morbier AOP)</t>
        </is>
      </c>
      <c r="C239" t="inlineStr">
        <is>
          <t>humedo</t>
        </is>
      </c>
      <c r="D239" s="22" t="inlineStr">
        <is>
          <t>40 g Moutarde de Bourgogne / Dijon à l'Ancienne con granos de mostaza enteros marinados en vino blanco (en ramequín)</t>
        </is>
      </c>
      <c r="E239" s="6" t="inlineStr">
        <is>
          <t>Mostaza artesanal en grano (Meaux, Dijon, Brive, cerveza)</t>
        </is>
      </c>
      <c r="F239" s="16" t="n">
        <v>40</v>
      </c>
      <c r="G239" t="inlineStr">
        <is>
          <t>g</t>
        </is>
      </c>
      <c r="H239" s="12">
        <f>IFERROR(VLOOKUP(E239,Insumos!$C$5:$G$181,5,FALSE),0)</f>
        <v/>
      </c>
      <c r="I239" s="17">
        <f>F239*H239</f>
        <v/>
      </c>
    </row>
    <row r="240">
      <c r="A240" t="n">
        <v>24</v>
      </c>
      <c r="B240" s="21" t="inlineStr">
        <is>
          <t>Bourgogne &amp; Côtes de Nuits (Jambon Persillé de Bourgogne, Terrina de Pato a la Naranja, Époisses de Bourgogne AOP y Morbier AOP)</t>
        </is>
      </c>
      <c r="C240" t="inlineStr">
        <is>
          <t>humedo</t>
        </is>
      </c>
      <c r="D240" s="22" t="inlineStr">
        <is>
          <t>35 g Cornichons franceses al vinagre de vino blanco con estragón (en ramequín cerámico)</t>
        </is>
      </c>
      <c r="E240" s="6" t="inlineStr">
        <is>
          <t>Pepinillo, cornichon o encurtido agridulce</t>
        </is>
      </c>
      <c r="F240" s="16" t="n">
        <v>35</v>
      </c>
      <c r="G240" t="inlineStr">
        <is>
          <t>g</t>
        </is>
      </c>
      <c r="H240" s="12">
        <f>IFERROR(VLOOKUP(E240,Insumos!$C$5:$G$181,5,FALSE),0)</f>
        <v/>
      </c>
      <c r="I240" s="17">
        <f>F240*H240</f>
        <v/>
      </c>
    </row>
    <row r="241">
      <c r="A241" t="n">
        <v>24</v>
      </c>
      <c r="B241" s="21" t="inlineStr">
        <is>
          <t>Bourgogne &amp; Côtes de Nuits (Jambon Persillé de Bourgogne, Terrina de Pato a la Naranja, Époisses de Bourgogne AOP y Morbier AOP)</t>
        </is>
      </c>
      <c r="C241" t="inlineStr">
        <is>
          <t>humedo</t>
        </is>
      </c>
      <c r="D241" s="22" t="inlineStr">
        <is>
          <t>40 g Moras silvestres o cerezas negras maduras frescas y secas</t>
        </is>
      </c>
      <c r="E241" s="6" t="inlineStr">
        <is>
          <t>Mora, fresa silvestre o cereza fresca</t>
        </is>
      </c>
      <c r="F241" s="16" t="n">
        <v>40</v>
      </c>
      <c r="G241" t="inlineStr">
        <is>
          <t>g</t>
        </is>
      </c>
      <c r="H241" s="12">
        <f>IFERROR(VLOOKUP(E241,Insumos!$C$5:$G$181,5,FALSE),0)</f>
        <v/>
      </c>
      <c r="I241" s="17">
        <f>F241*H241</f>
        <v/>
      </c>
    </row>
    <row r="242">
      <c r="A242" t="n">
        <v>25</v>
      </c>
      <c r="B242" s="21" t="inlineStr">
        <is>
          <t>Saboya Alpina &amp; Altura (Saucisson Sec aux Noisettes, Viande des Grisons, Beaufort d'Alpage AOP y Tomme de Savoie AOP)</t>
        </is>
      </c>
      <c r="C242" t="inlineStr">
        <is>
          <t>charcuteria</t>
        </is>
      </c>
      <c r="D242" s="22" t="inlineStr">
        <is>
          <t>100 g Saucisson Sec aux Noisettes de Savoie (salchichón artesanal curado de montaña elaborado con carne de cerdo saboyano picada gruesa, sal marina, especias de montaña y 20% de avellanas enteras tostadas incrustadas en la masa embutida, curado en secadero alpino a 1,200 m de altitud durante 8 semanas) cortado al bies a 2 mm</t>
        </is>
      </c>
      <c r="E242" s="6" t="inlineStr">
        <is>
          <t>Saucisson sec francés artesanal</t>
        </is>
      </c>
      <c r="F242" s="16" t="n">
        <v>100</v>
      </c>
      <c r="G242" t="inlineStr">
        <is>
          <t>g</t>
        </is>
      </c>
      <c r="H242" s="12">
        <f>IFERROR(VLOOKUP(E242,Insumos!$C$5:$G$181,5,FALSE),0)</f>
        <v/>
      </c>
      <c r="I242" s="17">
        <f>F242*H242</f>
        <v/>
      </c>
    </row>
    <row r="243">
      <c r="A243" t="n">
        <v>25</v>
      </c>
      <c r="B243" s="21" t="inlineStr">
        <is>
          <t>Saboya Alpina &amp; Altura (Saucisson Sec aux Noisettes, Viande des Grisons, Beaufort d'Alpage AOP y Tomme de Savoie AOP)</t>
        </is>
      </c>
      <c r="C243" t="inlineStr">
        <is>
          <t>charcuteria</t>
        </is>
      </c>
      <c r="D243" s="22" t="inlineStr">
        <is>
          <t>80 g Viande des Grisons / Brési de Savoie (corte noble de vacuno desgrasado de montaña, salado en seco con hierbas alpinas, enebro y vino blanco, prensado en bloque rectangular y secado al aire seco de los valles glaciares durante 4 meses) rebanado ultrafino a 0.8 mm</t>
        </is>
      </c>
      <c r="E243" s="6" t="inlineStr">
        <is>
          <t>Carne seca curada de montaña (Grisons, brési)</t>
        </is>
      </c>
      <c r="F243" s="16" t="n">
        <v>80</v>
      </c>
      <c r="G243" t="inlineStr">
        <is>
          <t>g</t>
        </is>
      </c>
      <c r="H243" s="12">
        <f>IFERROR(VLOOKUP(E243,Insumos!$C$5:$G$181,5,FALSE),0)</f>
        <v/>
      </c>
      <c r="I243" s="17">
        <f>F243*H243</f>
        <v/>
      </c>
    </row>
    <row r="244">
      <c r="A244" t="n">
        <v>25</v>
      </c>
      <c r="B244" s="21" t="inlineStr">
        <is>
          <t>Saboya Alpina &amp; Altura (Saucisson Sec aux Noisettes, Viande des Grisons, Beaufort d'Alpage AOP y Tomme de Savoie AOP)</t>
        </is>
      </c>
      <c r="C244" t="inlineStr">
        <is>
          <t>queso</t>
        </is>
      </c>
      <c r="D244" s="22" t="inlineStr">
        <is>
          <t>120 g Beaufort d'Alpage AOP (elaborado exclusivamente en pastos alpinos de alta montaña a más de 1,500 m de altitud durante el verano, con leche cruda y caliente de vacas de razas Tarine y Abondance, pasta prensada cocida madurada durante 18 meses, textura grasa mantecosa con notas florales y de piña madura) cortado en cuñas de 4 mm</t>
        </is>
      </c>
      <c r="E244" s="6" t="inlineStr">
        <is>
          <t>Queso de alpage AOP (Beaufort, Castelmagno)</t>
        </is>
      </c>
      <c r="F244" s="16" t="n">
        <v>120</v>
      </c>
      <c r="G244" t="inlineStr">
        <is>
          <t>g</t>
        </is>
      </c>
      <c r="H244" s="12">
        <f>IFERROR(VLOOKUP(E244,Insumos!$C$5:$G$181,5,FALSE),0)</f>
        <v/>
      </c>
      <c r="I244" s="17">
        <f>F244*H244</f>
        <v/>
      </c>
    </row>
    <row r="245">
      <c r="A245" t="n">
        <v>25</v>
      </c>
      <c r="B245" s="21" t="inlineStr">
        <is>
          <t>Saboya Alpina &amp; Altura (Saucisson Sec aux Noisettes, Viande des Grisons, Beaufort d'Alpage AOP y Tomme de Savoie AOP)</t>
        </is>
      </c>
      <c r="C245" t="inlineStr">
        <is>
          <t>queso</t>
        </is>
      </c>
      <c r="D245" s="22" t="inlineStr">
        <is>
          <t>110 g Tomme de Savoie AOP Fermière (leche cruda de vaca parcialmente desnatada, pasta prensada no cocida, corteza gris gruesa rústica cubierta de colonias de Mucor o "pelo de gato", pasta firme y tierna con ojos mecánicos pequeños) cortado en cuñas de 5 mm</t>
        </is>
      </c>
      <c r="E245" s="6" t="inlineStr">
        <is>
          <t>Tomme o Fontina DOP de montaña</t>
        </is>
      </c>
      <c r="F245" s="16" t="n">
        <v>110</v>
      </c>
      <c r="G245" t="inlineStr">
        <is>
          <t>g</t>
        </is>
      </c>
      <c r="H245" s="12">
        <f>IFERROR(VLOOKUP(E245,Insumos!$C$5:$G$181,5,FALSE),0)</f>
        <v/>
      </c>
      <c r="I245" s="17">
        <f>F245*H245</f>
        <v/>
      </c>
    </row>
    <row r="246">
      <c r="A246" t="n">
        <v>25</v>
      </c>
      <c r="B246" s="21" t="inlineStr">
        <is>
          <t>Saboya Alpina &amp; Altura (Saucisson Sec aux Noisettes, Viande des Grisons, Beaufort d'Alpage AOP y Tomme de Savoie AOP)</t>
        </is>
      </c>
      <c r="C246" t="inlineStr">
        <is>
          <t>seco</t>
        </is>
      </c>
      <c r="D246" s="22" t="inlineStr">
        <is>
          <t>60 g Rebanadas tostadas crujientes de pan de centeno alpino (Pain de Seigle)</t>
        </is>
      </c>
      <c r="E246" s="6" t="inlineStr">
        <is>
          <t>Totopos o tostaditas de maíz nixtamalizado</t>
        </is>
      </c>
      <c r="F246" s="16" t="n">
        <v>60</v>
      </c>
      <c r="G246" t="inlineStr">
        <is>
          <t>g</t>
        </is>
      </c>
      <c r="H246" s="12">
        <f>IFERROR(VLOOKUP(E246,Insumos!$C$5:$G$181,5,FALSE),0)</f>
        <v/>
      </c>
      <c r="I246" s="17">
        <f>F246*H246</f>
        <v/>
      </c>
    </row>
    <row r="247">
      <c r="A247" t="n">
        <v>25</v>
      </c>
      <c r="B247" s="21" t="inlineStr">
        <is>
          <t>Saboya Alpina &amp; Altura (Saucisson Sec aux Noisettes, Viande des Grisons, Beaufort d'Alpage AOP y Tomme de Savoie AOP)</t>
        </is>
      </c>
      <c r="C247" t="inlineStr">
        <is>
          <t>seco</t>
        </is>
      </c>
      <c r="D247" s="22" t="inlineStr">
        <is>
          <t>40 g Grissini rústicos de harina integral y trigo sarraceno</t>
        </is>
      </c>
      <c r="E247" s="6" t="inlineStr">
        <is>
          <t>Grissini torinesi o rubatà artesanales</t>
        </is>
      </c>
      <c r="F247" s="16" t="n">
        <v>40</v>
      </c>
      <c r="G247" t="inlineStr">
        <is>
          <t>g</t>
        </is>
      </c>
      <c r="H247" s="12">
        <f>IFERROR(VLOOKUP(E247,Insumos!$C$5:$G$181,5,FALSE),0)</f>
        <v/>
      </c>
      <c r="I247" s="17">
        <f>F247*H247</f>
        <v/>
      </c>
    </row>
    <row r="248">
      <c r="A248" t="n">
        <v>25</v>
      </c>
      <c r="B248" s="21" t="inlineStr">
        <is>
          <t>Saboya Alpina &amp; Altura (Saucisson Sec aux Noisettes, Viande des Grisons, Beaufort d'Alpage AOP y Tomme de Savoie AOP)</t>
        </is>
      </c>
      <c r="C248" t="inlineStr">
        <is>
          <t>seco</t>
        </is>
      </c>
      <c r="D248" s="22" t="inlineStr">
        <is>
          <t>35 g Avellanas y nueces alpinas tostadas enteras</t>
        </is>
      </c>
      <c r="E248" s="6" t="inlineStr">
        <is>
          <t>Avellana tostada (Reus DOP, Piamonte IGP)</t>
        </is>
      </c>
      <c r="F248" s="16" t="n">
        <v>35</v>
      </c>
      <c r="G248" t="inlineStr">
        <is>
          <t>g</t>
        </is>
      </c>
      <c r="H248" s="12">
        <f>IFERROR(VLOOKUP(E248,Insumos!$C$5:$G$181,5,FALSE),0)</f>
        <v/>
      </c>
      <c r="I248" s="17">
        <f>F248*H248</f>
        <v/>
      </c>
    </row>
    <row r="249">
      <c r="A249" t="n">
        <v>25</v>
      </c>
      <c r="B249" s="21" t="inlineStr">
        <is>
          <t>Saboya Alpina &amp; Altura (Saucisson Sec aux Noisettes, Viande des Grisons, Beaufort d'Alpage AOP y Tomme de Savoie AOP)</t>
        </is>
      </c>
      <c r="C249" t="inlineStr">
        <is>
          <t>humedo</t>
        </is>
      </c>
      <c r="D249" s="22" t="inlineStr">
        <is>
          <t>40 ml Miel pura oscura de abeto de montaña (Miel de Sapin des Vosges/Savoie, en cuenco cerámico)</t>
        </is>
      </c>
      <c r="E249" s="6" t="inlineStr">
        <is>
          <t>Miel pura monofloral artesanal</t>
        </is>
      </c>
      <c r="F249" s="16" t="n">
        <v>40</v>
      </c>
      <c r="G249" t="inlineStr">
        <is>
          <t>g</t>
        </is>
      </c>
      <c r="H249" s="12">
        <f>IFERROR(VLOOKUP(E249,Insumos!$C$5:$G$181,5,FALSE),0)</f>
        <v/>
      </c>
      <c r="I249" s="17">
        <f>F249*H249</f>
        <v/>
      </c>
    </row>
    <row r="250">
      <c r="A250" t="n">
        <v>25</v>
      </c>
      <c r="B250" s="21" t="inlineStr">
        <is>
          <t>Saboya Alpina &amp; Altura (Saucisson Sec aux Noisettes, Viande des Grisons, Beaufort d'Alpage AOP y Tomme de Savoie AOP)</t>
        </is>
      </c>
      <c r="C250" t="inlineStr">
        <is>
          <t>humedo</t>
        </is>
      </c>
      <c r="D250" s="22" t="inlineStr">
        <is>
          <t>40 g Mermelada densa de arándanos silvestres de montaña (Confiture de Myrtilles Sauvages, en ramequín)</t>
        </is>
      </c>
      <c r="E250" s="6" t="inlineStr">
        <is>
          <t>Mermelada o compota densa de la casa (elaborada)</t>
        </is>
      </c>
      <c r="F250" s="16" t="n">
        <v>40</v>
      </c>
      <c r="G250" t="inlineStr">
        <is>
          <t>g</t>
        </is>
      </c>
      <c r="H250" s="12">
        <f>IFERROR(VLOOKUP(E250,Insumos!$C$5:$G$181,5,FALSE),0)</f>
        <v/>
      </c>
      <c r="I250" s="17">
        <f>F250*H250</f>
        <v/>
      </c>
    </row>
    <row r="251">
      <c r="A251" t="n">
        <v>25</v>
      </c>
      <c r="B251" s="21" t="inlineStr">
        <is>
          <t>Saboya Alpina &amp; Altura (Saucisson Sec aux Noisettes, Viande des Grisons, Beaufort d'Alpage AOP y Tomme de Savoie AOP)</t>
        </is>
      </c>
      <c r="C251" t="inlineStr">
        <is>
          <t>humedo</t>
        </is>
      </c>
      <c r="D251" s="22" t="inlineStr">
        <is>
          <t>35 g Pepinillos encurtidos franceses con semillas de mostaza y estragón</t>
        </is>
      </c>
      <c r="E251" s="6" t="inlineStr">
        <is>
          <t>Pepinillo, cornichon o encurtido agridulce</t>
        </is>
      </c>
      <c r="F251" s="16" t="n">
        <v>35</v>
      </c>
      <c r="G251" t="inlineStr">
        <is>
          <t>g</t>
        </is>
      </c>
      <c r="H251" s="12">
        <f>IFERROR(VLOOKUP(E251,Insumos!$C$5:$G$181,5,FALSE),0)</f>
        <v/>
      </c>
      <c r="I251" s="17">
        <f>F251*H251</f>
        <v/>
      </c>
    </row>
    <row r="252">
      <c r="A252" t="n">
        <v>26</v>
      </c>
      <c r="B252" s="21" t="inlineStr">
        <is>
          <t>Alsacia &amp; Rin Tradicional (Schiffala Ahumado, Gendarme Alsaciano, Munster AOP al Comino y Chucrut Fermentado)</t>
        </is>
      </c>
      <c r="C252" t="inlineStr">
        <is>
          <t>charcuteria</t>
        </is>
      </c>
      <c r="D252" s="22" t="inlineStr">
        <is>
          <t>100 g Schiffala alsaciano curado y ahumado (paleta de cerdo deshuesada, curada en salmuera con bayas de enebro, clavo y laurel, ahumada lentamente en frío con madera de haya de los Vosgos, cocida y enfriada) cortado en láminas delgadas de 1.5 mm</t>
        </is>
      </c>
      <c r="E252" s="6" t="inlineStr">
        <is>
          <t>Jamón ahumado de montaña (speck, schiffala, praga)</t>
        </is>
      </c>
      <c r="F252" s="16" t="n">
        <v>100</v>
      </c>
      <c r="G252" t="inlineStr">
        <is>
          <t>g</t>
        </is>
      </c>
      <c r="H252" s="12">
        <f>IFERROR(VLOOKUP(E252,Insumos!$C$5:$G$181,5,FALSE),0)</f>
        <v/>
      </c>
      <c r="I252" s="17">
        <f>F252*H252</f>
        <v/>
      </c>
    </row>
    <row r="253">
      <c r="A253" t="n">
        <v>26</v>
      </c>
      <c r="B253" s="21" t="inlineStr">
        <is>
          <t>Alsacia &amp; Rin Tradicional (Schiffala Ahumado, Gendarme Alsaciano, Munster AOP al Comino y Chucrut Fermentado)</t>
        </is>
      </c>
      <c r="C253" t="inlineStr">
        <is>
          <t>charcuteria</t>
        </is>
      </c>
      <c r="D253" s="22" t="inlineStr">
        <is>
          <t>80 g Gendarme o Landjäger alsaciano (salchicha prensada de sección cuadrangular, elaborada con carne de vacuno y cerdo picada fina, pimienta negra, nuez moscada, vino blanco riesling, ahumada intensamente y deshidratada al aire) cortada en bastones de 3 cm al sesgo</t>
        </is>
      </c>
      <c r="E253" s="6" t="inlineStr">
        <is>
          <t>Gendarme, landjäger o embutido ahumado seco</t>
        </is>
      </c>
      <c r="F253" s="16" t="n">
        <v>80</v>
      </c>
      <c r="G253" t="inlineStr">
        <is>
          <t>g</t>
        </is>
      </c>
      <c r="H253" s="12">
        <f>IFERROR(VLOOKUP(E253,Insumos!$C$5:$G$181,5,FALSE),0)</f>
        <v/>
      </c>
      <c r="I253" s="17">
        <f>F253*H253</f>
        <v/>
      </c>
    </row>
    <row r="254">
      <c r="A254" t="n">
        <v>26</v>
      </c>
      <c r="B254" s="21" t="inlineStr">
        <is>
          <t>Alsacia &amp; Rin Tradicional (Schiffala Ahumado, Gendarme Alsaciano, Munster AOP al Comino y Chucrut Fermentado)</t>
        </is>
      </c>
      <c r="C254" t="inlineStr">
        <is>
          <t>queso</t>
        </is>
      </c>
      <c r="D254" s="22" t="inlineStr">
        <is>
          <t>120 g Munster AOP Fermier (leche cruda de vaca de raza Vosgienne, cuajada rota gruesa, maduración en bodega húmeda durante 5 a 8 semanas con lavados sucesivos en salmuera enriquecida con Brevibacterium linens, pasta cremosa fundente de aroma muy penetrante) cortado en cuña de 6 mm</t>
        </is>
      </c>
      <c r="E254" s="6" t="inlineStr">
        <is>
          <t>Queso de corteza lavada intensa (Époisses, Munster, Livarot, Pont-l'Évêque)</t>
        </is>
      </c>
      <c r="F254" s="16" t="n">
        <v>120</v>
      </c>
      <c r="G254" t="inlineStr">
        <is>
          <t>g</t>
        </is>
      </c>
      <c r="H254" s="12">
        <f>IFERROR(VLOOKUP(E254,Insumos!$C$5:$G$181,5,FALSE),0)</f>
        <v/>
      </c>
      <c r="I254" s="17">
        <f>F254*H254</f>
        <v/>
      </c>
    </row>
    <row r="255">
      <c r="A255" t="n">
        <v>26</v>
      </c>
      <c r="B255" s="21" t="inlineStr">
        <is>
          <t>Alsacia &amp; Rin Tradicional (Schiffala Ahumado, Gendarme Alsaciano, Munster AOP al Comino y Chucrut Fermentado)</t>
        </is>
      </c>
      <c r="C255" t="inlineStr">
        <is>
          <t>queso</t>
        </is>
      </c>
      <c r="D255" s="22" t="inlineStr">
        <is>
          <t>110 g Tomme d'Alsace Fermière (leche cruda de vaca de montaña, pasta prensada no cocida, corteza grisacea lavada, madurada durante 4 meses con sutiles ojos mecánicos) cortada en cuñas de 4 mm</t>
        </is>
      </c>
      <c r="E255" s="6" t="inlineStr">
        <is>
          <t>Tomme o Fontina DOP de montaña</t>
        </is>
      </c>
      <c r="F255" s="16" t="n">
        <v>110</v>
      </c>
      <c r="G255" t="inlineStr">
        <is>
          <t>g</t>
        </is>
      </c>
      <c r="H255" s="12">
        <f>IFERROR(VLOOKUP(E255,Insumos!$C$5:$G$181,5,FALSE),0)</f>
        <v/>
      </c>
      <c r="I255" s="17">
        <f>F255*H255</f>
        <v/>
      </c>
    </row>
    <row r="256">
      <c r="A256" t="n">
        <v>26</v>
      </c>
      <c r="B256" s="21" t="inlineStr">
        <is>
          <t>Alsacia &amp; Rin Tradicional (Schiffala Ahumado, Gendarme Alsaciano, Munster AOP al Comino y Chucrut Fermentado)</t>
        </is>
      </c>
      <c r="C256" t="inlineStr">
        <is>
          <t>seco</t>
        </is>
      </c>
      <c r="D256" s="22" t="inlineStr">
        <is>
          <t>60 g Rebanadas tostadas crujientes de pan de centeno alsaciano (Roggenbrot) con comino</t>
        </is>
      </c>
      <c r="E256" s="6" t="inlineStr">
        <is>
          <t>Totopos o tostaditas de maíz nixtamalizado</t>
        </is>
      </c>
      <c r="F256" s="16" t="n">
        <v>60</v>
      </c>
      <c r="G256" t="inlineStr">
        <is>
          <t>g</t>
        </is>
      </c>
      <c r="H256" s="12">
        <f>IFERROR(VLOOKUP(E256,Insumos!$C$5:$G$181,5,FALSE),0)</f>
        <v/>
      </c>
      <c r="I256" s="17">
        <f>F256*H256</f>
        <v/>
      </c>
    </row>
    <row r="257">
      <c r="A257" t="n">
        <v>26</v>
      </c>
      <c r="B257" s="21" t="inlineStr">
        <is>
          <t>Alsacia &amp; Rin Tradicional (Schiffala Ahumado, Gendarme Alsaciano, Munster AOP al Comino y Chucrut Fermentado)</t>
        </is>
      </c>
      <c r="C257" t="inlineStr">
        <is>
          <t>seco</t>
        </is>
      </c>
      <c r="D257" s="22" t="inlineStr">
        <is>
          <t>40 g Bretzels alsacianos tradicionales pequeños horneados con sal gorda</t>
        </is>
      </c>
      <c r="E257" s="6" t="inlineStr">
        <is>
          <t>Taralli, bretzels o galleta salada tradicional</t>
        </is>
      </c>
      <c r="F257" s="16" t="n">
        <v>40</v>
      </c>
      <c r="G257" t="inlineStr">
        <is>
          <t>g</t>
        </is>
      </c>
      <c r="H257" s="12">
        <f>IFERROR(VLOOKUP(E257,Insumos!$C$5:$G$181,5,FALSE),0)</f>
        <v/>
      </c>
      <c r="I257" s="17">
        <f>F257*H257</f>
        <v/>
      </c>
    </row>
    <row r="258">
      <c r="A258" t="n">
        <v>26</v>
      </c>
      <c r="B258" s="21" t="inlineStr">
        <is>
          <t>Alsacia &amp; Rin Tradicional (Schiffala Ahumado, Gendarme Alsaciano, Munster AOP al Comino y Chucrut Fermentado)</t>
        </is>
      </c>
      <c r="C258" t="inlineStr">
        <is>
          <t>seco</t>
        </is>
      </c>
      <c r="D258" s="22" t="inlineStr">
        <is>
          <t>30 g Nueces de los Vosgos peladas en mitades enteras tostadas</t>
        </is>
      </c>
      <c r="E258" s="6" t="inlineStr">
        <is>
          <t>Nuez de Castilla o de nogal en mitades</t>
        </is>
      </c>
      <c r="F258" s="16" t="n">
        <v>30</v>
      </c>
      <c r="G258" t="inlineStr">
        <is>
          <t>g</t>
        </is>
      </c>
      <c r="H258" s="12">
        <f>IFERROR(VLOOKUP(E258,Insumos!$C$5:$G$181,5,FALSE),0)</f>
        <v/>
      </c>
      <c r="I258" s="17">
        <f>F258*H258</f>
        <v/>
      </c>
    </row>
    <row r="259">
      <c r="A259" t="n">
        <v>26</v>
      </c>
      <c r="B259" s="21" t="inlineStr">
        <is>
          <t>Alsacia &amp; Rin Tradicional (Schiffala Ahumado, Gendarme Alsaciano, Munster AOP al Comino y Chucrut Fermentado)</t>
        </is>
      </c>
      <c r="C259" t="inlineStr">
        <is>
          <t>humedo</t>
        </is>
      </c>
      <c r="D259" s="22" t="inlineStr">
        <is>
          <t>50 g Choucroute d'Alsace IGP cruda fermentada al natural, aromatizada con bayas de enebro y vino blanco seco (exprimida a fondo, servida en ramequín de gres)</t>
        </is>
      </c>
      <c r="E259" s="6" t="inlineStr">
        <is>
          <t>Chucrut o col fermentada</t>
        </is>
      </c>
      <c r="F259" s="16" t="n">
        <v>50</v>
      </c>
      <c r="G259" t="inlineStr">
        <is>
          <t>g</t>
        </is>
      </c>
      <c r="H259" s="12">
        <f>IFERROR(VLOOKUP(E259,Insumos!$C$5:$G$181,5,FALSE),0)</f>
        <v/>
      </c>
      <c r="I259" s="17">
        <f>F259*H259</f>
        <v/>
      </c>
    </row>
    <row r="260">
      <c r="A260" t="n">
        <v>26</v>
      </c>
      <c r="B260" s="21" t="inlineStr">
        <is>
          <t>Alsacia &amp; Rin Tradicional (Schiffala Ahumado, Gendarme Alsaciano, Munster AOP al Comino y Chucrut Fermentado)</t>
        </is>
      </c>
      <c r="C260" t="inlineStr">
        <is>
          <t>humedo</t>
        </is>
      </c>
      <c r="D260" s="22" t="inlineStr">
        <is>
          <t>35 g Mostaza tradicional dulce alsaciana suave en grano (Moutarde douce d'Alsace, en ramequín)</t>
        </is>
      </c>
      <c r="E260" s="6" t="inlineStr">
        <is>
          <t>Mostaza artesanal en grano (Meaux, Dijon, Brive, cerveza)</t>
        </is>
      </c>
      <c r="F260" s="16" t="n">
        <v>35</v>
      </c>
      <c r="G260" t="inlineStr">
        <is>
          <t>g</t>
        </is>
      </c>
      <c r="H260" s="12">
        <f>IFERROR(VLOOKUP(E260,Insumos!$C$5:$G$181,5,FALSE),0)</f>
        <v/>
      </c>
      <c r="I260" s="17">
        <f>F260*H260</f>
        <v/>
      </c>
    </row>
    <row r="261">
      <c r="A261" t="n">
        <v>26</v>
      </c>
      <c r="B261" s="21" t="inlineStr">
        <is>
          <t>Alsacia &amp; Rin Tradicional (Schiffala Ahumado, Gendarme Alsaciano, Munster AOP al Comino y Chucrut Fermentado)</t>
        </is>
      </c>
      <c r="C261" t="inlineStr">
        <is>
          <t>humedo</t>
        </is>
      </c>
      <c r="D261" s="22" t="inlineStr">
        <is>
          <t>4 g Semillas enteras de comino de prado (Carvi) servidas en cuenco miniatura para espolvorear sobre el Munster</t>
        </is>
      </c>
      <c r="E261" s="6" t="inlineStr">
        <is>
          <t>Especias y semillas aromáticas (comino, hinojo, anís, enebro, canela)</t>
        </is>
      </c>
      <c r="F261" s="16" t="n">
        <v>4</v>
      </c>
      <c r="G261" t="inlineStr">
        <is>
          <t>g</t>
        </is>
      </c>
      <c r="H261" s="12">
        <f>IFERROR(VLOOKUP(E261,Insumos!$C$5:$G$181,5,FALSE),0)</f>
        <v/>
      </c>
      <c r="I261" s="17">
        <f>F261*H261</f>
        <v/>
      </c>
    </row>
    <row r="262">
      <c r="A262" t="n">
        <v>27</v>
      </c>
      <c r="B262" s="21" t="inlineStr">
        <is>
          <t>Provenza &amp; Jardín Botánico (Terrina de Conejo al Romero, Saucisson aux Herbes de Provence, Banon AOP en Hoja de Castaño y Chèvre Cendré)</t>
        </is>
      </c>
      <c r="C262" t="inlineStr">
        <is>
          <t>charcuteria</t>
        </is>
      </c>
      <c r="D262" s="22" t="inlineStr">
        <is>
          <t>100 g Saucisson Sec aux Herbes de Provence (salchichón tradicional de carne magra de cerdo provenzal picada gruesa, sal marina de Camarga, vino blanco, pimienta negra y corteza exterior rebozada densamente con tomillo silvestre, romero, ajedrea, orégano y mejorana) cortado al bies a 2 mm</t>
        </is>
      </c>
      <c r="E262" s="6" t="inlineStr">
        <is>
          <t>Saucisson sec francés artesanal</t>
        </is>
      </c>
      <c r="F262" s="16" t="n">
        <v>100</v>
      </c>
      <c r="G262" t="inlineStr">
        <is>
          <t>g</t>
        </is>
      </c>
      <c r="H262" s="12">
        <f>IFERROR(VLOOKUP(E262,Insumos!$C$5:$G$181,5,FALSE),0)</f>
        <v/>
      </c>
      <c r="I262" s="17">
        <f>F262*H262</f>
        <v/>
      </c>
    </row>
    <row r="263">
      <c r="A263" t="n">
        <v>27</v>
      </c>
      <c r="B263" s="21" t="inlineStr">
        <is>
          <t>Provenza &amp; Jardín Botánico (Terrina de Conejo al Romero, Saucisson aux Herbes de Provence, Banon AOP en Hoja de Castaño y Chèvre Cendré)</t>
        </is>
      </c>
      <c r="C263" t="inlineStr">
        <is>
          <t>charcuteria</t>
        </is>
      </c>
      <c r="D263" s="22" t="inlineStr">
        <is>
          <t>90 g Terrine de Lapin au Romarin (carne de conejo de granja marinada en vino blanco de Cassis, hierbas de monte, hígado de ave, dados de tocino y romero fresco picado, cocida lentamente en terrina de loza al baño María) cortada en losas de 1 cm</t>
        </is>
      </c>
      <c r="E263" s="6" t="inlineStr">
        <is>
          <t>Terrina artesanal de pato, conejo o ave</t>
        </is>
      </c>
      <c r="F263" s="16" t="n">
        <v>90</v>
      </c>
      <c r="G263" t="inlineStr">
        <is>
          <t>g</t>
        </is>
      </c>
      <c r="H263" s="12">
        <f>IFERROR(VLOOKUP(E263,Insumos!$C$5:$G$181,5,FALSE),0)</f>
        <v/>
      </c>
      <c r="I263" s="17">
        <f>F263*H263</f>
        <v/>
      </c>
    </row>
    <row r="264">
      <c r="A264" t="n">
        <v>27</v>
      </c>
      <c r="B264" s="21" t="inlineStr">
        <is>
          <t>Provenza &amp; Jardín Botánico (Terrina de Conejo al Romero, Saucisson aux Herbes de Provence, Banon AOP en Hoja de Castaño y Chèvre Cendré)</t>
        </is>
      </c>
      <c r="C264" t="inlineStr">
        <is>
          <t>queso</t>
        </is>
      </c>
      <c r="D264" s="22" t="inlineStr">
        <is>
          <t>110 g Banon AOP Tradicional (leche 100% cruda e íntegra de cabra de razas</t>
        </is>
      </c>
      <c r="E264" s="6" t="inlineStr">
        <is>
          <t>Queso de cabra fresco láctico (chèvre, Banon, cendré, rulo)</t>
        </is>
      </c>
      <c r="F264" s="16" t="n">
        <v>110</v>
      </c>
      <c r="G264" t="inlineStr">
        <is>
          <t>g</t>
        </is>
      </c>
      <c r="H264" s="12">
        <f>IFERROR(VLOOKUP(E264,Insumos!$C$5:$G$181,5,FALSE),0)</f>
        <v/>
      </c>
      <c r="I264" s="17">
        <f>F264*H264</f>
        <v/>
      </c>
    </row>
    <row r="265">
      <c r="A265" t="n">
        <v>27</v>
      </c>
      <c r="B265" s="21" t="inlineStr">
        <is>
          <t>Provenza &amp; Jardín Botánico (Terrina de Conejo al Romero, Saucisson aux Herbes de Provence, Banon AOP en Hoja de Castaño y Chèvre Cendré)</t>
        </is>
      </c>
      <c r="C265" t="inlineStr">
        <is>
          <t>queso</t>
        </is>
      </c>
      <c r="D265" s="22" t="inlineStr">
        <is>
          <t>110 g Chèvre Cendré Provençal (leche cruda de cabra, pasta blanda láctica de coagulación lenta, cubierta con polvo fino de carbón vegetal y sal marina, afinada 4 semanas con velo fúngico de Geotrichum candidum) cortado en discos de 1 cm</t>
        </is>
      </c>
      <c r="E265" s="6" t="inlineStr">
        <is>
          <t>Queso de cabra fresco láctico (chèvre, Banon, cendré, rulo)</t>
        </is>
      </c>
      <c r="F265" s="16" t="n">
        <v>110</v>
      </c>
      <c r="G265" t="inlineStr">
        <is>
          <t>g</t>
        </is>
      </c>
      <c r="H265" s="12">
        <f>IFERROR(VLOOKUP(E265,Insumos!$C$5:$G$181,5,FALSE),0)</f>
        <v/>
      </c>
      <c r="I265" s="17">
        <f>F265*H265</f>
        <v/>
      </c>
    </row>
    <row r="266">
      <c r="A266" t="n">
        <v>27</v>
      </c>
      <c r="B266" s="21" t="inlineStr">
        <is>
          <t>Provenza &amp; Jardín Botánico (Terrina de Conejo al Romero, Saucisson aux Herbes de Provence, Banon AOP en Hoja de Castaño y Chèvre Cendré)</t>
        </is>
      </c>
      <c r="C266" t="inlineStr">
        <is>
          <t>seco</t>
        </is>
      </c>
      <c r="D266" s="22" t="inlineStr">
        <is>
          <t>60 g Rebanadas tostadas crujientes de Fougasse provenzal horneada con aceite de oliva virgen extra</t>
        </is>
      </c>
      <c r="E266" s="6" t="inlineStr">
        <is>
          <t>Pan frito o focaccia delgada (gnocco fritto, schiacciata, fougasse)</t>
        </is>
      </c>
      <c r="F266" s="16" t="n">
        <v>60</v>
      </c>
      <c r="G266" t="inlineStr">
        <is>
          <t>g</t>
        </is>
      </c>
      <c r="H266" s="12">
        <f>IFERROR(VLOOKUP(E266,Insumos!$C$5:$G$181,5,FALSE),0)</f>
        <v/>
      </c>
      <c r="I266" s="17">
        <f>F266*H266</f>
        <v/>
      </c>
    </row>
    <row r="267">
      <c r="A267" t="n">
        <v>27</v>
      </c>
      <c r="B267" s="21" t="inlineStr">
        <is>
          <t>Provenza &amp; Jardín Botánico (Terrina de Conejo al Romero, Saucisson aux Herbes de Provence, Banon AOP en Hoja de Castaño y Chèvre Cendré)</t>
        </is>
      </c>
      <c r="C267" t="inlineStr">
        <is>
          <t>seco</t>
        </is>
      </c>
      <c r="D267" s="22" t="inlineStr">
        <is>
          <t>40 g Navettes saladas o picos de pan rústico con semillas de anís</t>
        </is>
      </c>
      <c r="E267" s="6" t="inlineStr">
        <is>
          <t>Picos, regañás o colines andaluces</t>
        </is>
      </c>
      <c r="F267" s="16" t="n">
        <v>40</v>
      </c>
      <c r="G267" t="inlineStr">
        <is>
          <t>g</t>
        </is>
      </c>
      <c r="H267" s="12">
        <f>IFERROR(VLOOKUP(E267,Insumos!$C$5:$G$181,5,FALSE),0)</f>
        <v/>
      </c>
      <c r="I267" s="17">
        <f>F267*H267</f>
        <v/>
      </c>
    </row>
    <row r="268">
      <c r="A268" t="n">
        <v>27</v>
      </c>
      <c r="B268" s="21" t="inlineStr">
        <is>
          <t>Provenza &amp; Jardín Botánico (Terrina de Conejo al Romero, Saucisson aux Herbes de Provence, Banon AOP en Hoja de Castaño y Chèvre Cendré)</t>
        </is>
      </c>
      <c r="C268" t="inlineStr">
        <is>
          <t>seco</t>
        </is>
      </c>
      <c r="D268" s="22" t="inlineStr">
        <is>
          <t>30 g Almendras de Provenza tostadas al comal con flor de sal de Camarga</t>
        </is>
      </c>
      <c r="E268" s="6" t="inlineStr">
        <is>
          <t>Almendra tostada con piel (Mallorca, Toritto, Provenza)</t>
        </is>
      </c>
      <c r="F268" s="16" t="n">
        <v>30</v>
      </c>
      <c r="G268" t="inlineStr">
        <is>
          <t>g</t>
        </is>
      </c>
      <c r="H268" s="12">
        <f>IFERROR(VLOOKUP(E268,Insumos!$C$5:$G$181,5,FALSE),0)</f>
        <v/>
      </c>
      <c r="I268" s="17">
        <f>F268*H268</f>
        <v/>
      </c>
    </row>
    <row r="269">
      <c r="A269" t="n">
        <v>27</v>
      </c>
      <c r="B269" s="21" t="inlineStr">
        <is>
          <t>Provenza &amp; Jardín Botánico (Terrina de Conejo al Romero, Saucisson aux Herbes de Provence, Banon AOP en Hoja de Castaño y Chèvre Cendré)</t>
        </is>
      </c>
      <c r="C269" t="inlineStr">
        <is>
          <t>humedo</t>
        </is>
      </c>
      <c r="D269" s="22" t="inlineStr">
        <is>
          <t>40 g Tapenade Noire de Nyons DOP tradicional (pasta rústica de aceitunas negras de Nyons machacadas con alcaparras, filetes de anchoa, ajo y AOVE, en ramequín)</t>
        </is>
      </c>
      <c r="E269" s="6" t="inlineStr">
        <is>
          <t>Tapenade o pasta de aceituna negra</t>
        </is>
      </c>
      <c r="F269" s="16" t="n">
        <v>40</v>
      </c>
      <c r="G269" t="inlineStr">
        <is>
          <t>g</t>
        </is>
      </c>
      <c r="H269" s="12">
        <f>IFERROR(VLOOKUP(E269,Insumos!$C$5:$G$181,5,FALSE),0)</f>
        <v/>
      </c>
      <c r="I269" s="17">
        <f>F269*H269</f>
        <v/>
      </c>
    </row>
    <row r="270">
      <c r="A270" t="n">
        <v>27</v>
      </c>
      <c r="B270" s="21" t="inlineStr">
        <is>
          <t>Provenza &amp; Jardín Botánico (Terrina de Conejo al Romero, Saucisson aux Herbes de Provence, Banon AOP en Hoja de Castaño y Chèvre Cendré)</t>
        </is>
      </c>
      <c r="C270" t="inlineStr">
        <is>
          <t>humedo</t>
        </is>
      </c>
      <c r="D270" s="22" t="inlineStr">
        <is>
          <t>35 ml Miel pura monofloral de lavanda de la meseta de Valensole (Miel de Lavande de Provence Label Rouge, en cuenco cerámico)</t>
        </is>
      </c>
      <c r="E270" s="6" t="inlineStr">
        <is>
          <t>Miel pura monofloral artesanal</t>
        </is>
      </c>
      <c r="F270" s="16" t="n">
        <v>35</v>
      </c>
      <c r="G270" t="inlineStr">
        <is>
          <t>g</t>
        </is>
      </c>
      <c r="H270" s="12">
        <f>IFERROR(VLOOKUP(E270,Insumos!$C$5:$G$181,5,FALSE),0)</f>
        <v/>
      </c>
      <c r="I270" s="17">
        <f>F270*H270</f>
        <v/>
      </c>
    </row>
    <row r="271">
      <c r="A271" t="n">
        <v>27</v>
      </c>
      <c r="B271" s="21" t="inlineStr">
        <is>
          <t>Provenza &amp; Jardín Botánico (Terrina de Conejo al Romero, Saucisson aux Herbes de Provence, Banon AOP en Hoja de Castaño y Chèvre Cendré)</t>
        </is>
      </c>
      <c r="C271" t="inlineStr">
        <is>
          <t>humedo</t>
        </is>
      </c>
      <c r="D271" s="22" t="inlineStr">
        <is>
          <t>40 g Higos frescos de Solliès AOP cortados en cuartos</t>
        </is>
      </c>
      <c r="E271" s="6" t="inlineStr">
        <is>
          <t>Higo fresco maduro</t>
        </is>
      </c>
      <c r="F271" s="16" t="n">
        <v>40</v>
      </c>
      <c r="G271" t="inlineStr">
        <is>
          <t>g</t>
        </is>
      </c>
      <c r="H271" s="12">
        <f>IFERROR(VLOOKUP(E271,Insumos!$C$5:$G$181,5,FALSE),0)</f>
        <v/>
      </c>
      <c r="I271" s="17">
        <f>F271*H271</f>
        <v/>
      </c>
    </row>
    <row r="272">
      <c r="A272" t="n">
        <v>28</v>
      </c>
      <c r="B272" s="21" t="inlineStr">
        <is>
          <t>Normandía Marina &amp; Manzana (Andouille de Guémené, Rillons de Cerdo Confitados, Pont-l'Évêque AOP y Livarot AOP)</t>
        </is>
      </c>
      <c r="C272" t="inlineStr">
        <is>
          <t>charcuteria</t>
        </is>
      </c>
      <c r="D272" s="22" t="inlineStr">
        <is>
          <t>100 g Andouille de Guémené Tradicional (elaborada manualmente mediante el ensartado sucesivo de 20 a 25 tripas de cerdo chaudins insertadas concéntricamente unas dentro de otras, salazón con sal de Guérande, pimienta negra, ahumado con leña de roble y haya durante semanas y cocida en caldo) cortada en rodajas de 2.5 mm</t>
        </is>
      </c>
      <c r="E272" s="6" t="inlineStr">
        <is>
          <t>Andouille o embutido cocido ahumado</t>
        </is>
      </c>
      <c r="F272" s="16" t="n">
        <v>100</v>
      </c>
      <c r="G272" t="inlineStr">
        <is>
          <t>g</t>
        </is>
      </c>
      <c r="H272" s="12">
        <f>IFERROR(VLOOKUP(E272,Insumos!$C$5:$G$181,5,FALSE),0)</f>
        <v/>
      </c>
      <c r="I272" s="17">
        <f>F272*H272</f>
        <v/>
      </c>
    </row>
    <row r="273">
      <c r="A273" t="n">
        <v>28</v>
      </c>
      <c r="B273" s="21" t="inlineStr">
        <is>
          <t>Normandía Marina &amp; Manzana (Andouille de Guémené, Rillons de Cerdo Confitados, Pont-l'Évêque AOP y Livarot AOP)</t>
        </is>
      </c>
      <c r="C273" t="inlineStr">
        <is>
          <t>charcuteria</t>
        </is>
      </c>
      <c r="D273" s="22" t="inlineStr">
        <is>
          <t>90 g Rillons de Cerdo Confitados (dados gruesos de panceta y magro de cerdo marinados en sal marina y sidra brut, confitados lentamente en grasa de cerdo en caldero hasta dorar la superficie) cortados en cubos de 2 cm</t>
        </is>
      </c>
      <c r="E273" s="6" t="inlineStr">
        <is>
          <t>Rillettes o rillons de cerdo confitados</t>
        </is>
      </c>
      <c r="F273" s="16" t="n">
        <v>90</v>
      </c>
      <c r="G273" t="inlineStr">
        <is>
          <t>g</t>
        </is>
      </c>
      <c r="H273" s="12">
        <f>IFERROR(VLOOKUP(E273,Insumos!$C$5:$G$181,5,FALSE),0)</f>
        <v/>
      </c>
      <c r="I273" s="17">
        <f>F273*H273</f>
        <v/>
      </c>
    </row>
    <row r="274">
      <c r="A274" t="n">
        <v>28</v>
      </c>
      <c r="B274" s="21" t="inlineStr">
        <is>
          <t>Normandía Marina &amp; Manzana (Andouille de Guémené, Rillons de Cerdo Confitados, Pont-l'Évêque AOP y Livarot AOP)</t>
        </is>
      </c>
      <c r="C274" t="inlineStr">
        <is>
          <t>queso</t>
        </is>
      </c>
      <c r="D274" s="22" t="inlineStr">
        <is>
          <t>120 g Pont-l'Évêque AOP (leche cruda de vaca Normanda, pasta blanda de lavado ligero, forma cuadrada tradicional de 11 cm, corteza estriada amarillo-anaranjada con fino vello blanco, pasta cremosa elástica con notas a mantequilla y avellana) cuña de media pieza</t>
        </is>
      </c>
      <c r="E274" s="6" t="inlineStr">
        <is>
          <t>Queso de corteza lavada intensa (Époisses, Munster, Livarot, Pont-l'Évêque)</t>
        </is>
      </c>
      <c r="F274" s="16" t="n">
        <v>120</v>
      </c>
      <c r="G274" t="inlineStr">
        <is>
          <t>g</t>
        </is>
      </c>
      <c r="H274" s="12">
        <f>IFERROR(VLOOKUP(E274,Insumos!$C$5:$G$181,5,FALSE),0)</f>
        <v/>
      </c>
      <c r="I274" s="17">
        <f>F274*H274</f>
        <v/>
      </c>
    </row>
    <row r="275">
      <c r="A275" t="n">
        <v>28</v>
      </c>
      <c r="B275" s="21" t="inlineStr">
        <is>
          <t>Normandía Marina &amp; Manzana (Andouille de Guémené, Rillons de Cerdo Confitados, Pont-l'Évêque AOP y Livarot AOP)</t>
        </is>
      </c>
      <c r="C275" t="inlineStr">
        <is>
          <t>queso</t>
        </is>
      </c>
      <c r="D275" s="22" t="inlineStr">
        <is>
          <t>110 g Livarot AOP Fermier apodado "Le Colonel" (leche cruda de vaca parcialmente desnatada, cuajado largo, corteza lavada anaranjada teñida naturalmente con achiote rocou, rodeado perimetralmente por 5 tiras de juncia vegetal Typha latifolia que impiden que el queso se desparrame en el afinado) cortado en cuña triangular de 5 mm</t>
        </is>
      </c>
      <c r="E275" s="6" t="inlineStr">
        <is>
          <t>Queso de corteza lavada intensa (Époisses, Munster, Livarot, Pont-l'Évêque)</t>
        </is>
      </c>
      <c r="F275" s="16" t="n">
        <v>110</v>
      </c>
      <c r="G275" t="inlineStr">
        <is>
          <t>g</t>
        </is>
      </c>
      <c r="H275" s="12">
        <f>IFERROR(VLOOKUP(E275,Insumos!$C$5:$G$181,5,FALSE),0)</f>
        <v/>
      </c>
      <c r="I275" s="17">
        <f>F275*H275</f>
        <v/>
      </c>
    </row>
    <row r="276">
      <c r="A276" t="n">
        <v>28</v>
      </c>
      <c r="B276" s="21" t="inlineStr">
        <is>
          <t>Normandía Marina &amp; Manzana (Andouille de Guémené, Rillons de Cerdo Confitados, Pont-l'Évêque AOP y Livarot AOP)</t>
        </is>
      </c>
      <c r="C276" t="inlineStr">
        <is>
          <t>seco</t>
        </is>
      </c>
      <c r="D276" s="22" t="inlineStr">
        <is>
          <t>60 g Rebanadas finas tostadas de pan rústico normando de masa madre y centeno</t>
        </is>
      </c>
      <c r="E276" s="6" t="inlineStr">
        <is>
          <t>Totopos o tostaditas de maíz nixtamalizado</t>
        </is>
      </c>
      <c r="F276" s="16" t="n">
        <v>60</v>
      </c>
      <c r="G276" t="inlineStr">
        <is>
          <t>g</t>
        </is>
      </c>
      <c r="H276" s="12">
        <f>IFERROR(VLOOKUP(E276,Insumos!$C$5:$G$181,5,FALSE),0)</f>
        <v/>
      </c>
      <c r="I276" s="17">
        <f>F276*H276</f>
        <v/>
      </c>
    </row>
    <row r="277">
      <c r="A277" t="n">
        <v>28</v>
      </c>
      <c r="B277" s="21" t="inlineStr">
        <is>
          <t>Normandía Marina &amp; Manzana (Andouille de Guémené, Rillons de Cerdo Confitados, Pont-l'Évêque AOP y Livarot AOP)</t>
        </is>
      </c>
      <c r="C277" t="inlineStr">
        <is>
          <t>seco</t>
        </is>
      </c>
      <c r="D277" s="22" t="inlineStr">
        <is>
          <t>40 g Crackers secos de avena y mantequilla salada</t>
        </is>
      </c>
      <c r="E277" s="6" t="inlineStr">
        <is>
          <t>Galleta de avena, digestive o de mantequilla</t>
        </is>
      </c>
      <c r="F277" s="16" t="n">
        <v>40</v>
      </c>
      <c r="G277" t="inlineStr">
        <is>
          <t>g</t>
        </is>
      </c>
      <c r="H277" s="12">
        <f>IFERROR(VLOOKUP(E277,Insumos!$C$5:$G$181,5,FALSE),0)</f>
        <v/>
      </c>
      <c r="I277" s="17">
        <f>F277*H277</f>
        <v/>
      </c>
    </row>
    <row r="278">
      <c r="A278" t="n">
        <v>28</v>
      </c>
      <c r="B278" s="21" t="inlineStr">
        <is>
          <t>Normandía Marina &amp; Manzana (Andouille de Guémené, Rillons de Cerdo Confitados, Pont-l'Évêque AOP y Livarot AOP)</t>
        </is>
      </c>
      <c r="C278" t="inlineStr">
        <is>
          <t>seco</t>
        </is>
      </c>
      <c r="D278" s="22" t="inlineStr">
        <is>
          <t>30 g Nueces y avellanas normandas tostadas al natural</t>
        </is>
      </c>
      <c r="E278" s="6" t="inlineStr">
        <is>
          <t>Nuez de Castilla o de nogal en mitades</t>
        </is>
      </c>
      <c r="F278" s="16" t="n">
        <v>30</v>
      </c>
      <c r="G278" t="inlineStr">
        <is>
          <t>g</t>
        </is>
      </c>
      <c r="H278" s="12">
        <f>IFERROR(VLOOKUP(E278,Insumos!$C$5:$G$181,5,FALSE),0)</f>
        <v/>
      </c>
      <c r="I278" s="17">
        <f>F278*H278</f>
        <v/>
      </c>
    </row>
    <row r="279">
      <c r="A279" t="n">
        <v>28</v>
      </c>
      <c r="B279" s="21" t="inlineStr">
        <is>
          <t>Normandía Marina &amp; Manzana (Andouille de Guémené, Rillons de Cerdo Confitados, Pont-l'Évêque AOP y Livarot AOP)</t>
        </is>
      </c>
      <c r="C279" t="inlineStr">
        <is>
          <t>humedo</t>
        </is>
      </c>
      <c r="D279" s="22" t="inlineStr">
        <is>
          <t>45 g Pommé Normand o compota espesa de manzanas de sidra cocidas en caldero de cobre sin azúcar añadido (en ramequín)</t>
        </is>
      </c>
      <c r="E279" s="6" t="inlineStr">
        <is>
          <t>Mermelada o compota densa de la casa (elaborada)</t>
        </is>
      </c>
      <c r="F279" s="16" t="n">
        <v>45</v>
      </c>
      <c r="G279" t="inlineStr">
        <is>
          <t>g</t>
        </is>
      </c>
      <c r="H279" s="12">
        <f>IFERROR(VLOOKUP(E279,Insumos!$C$5:$G$181,5,FALSE),0)</f>
        <v/>
      </c>
      <c r="I279" s="17">
        <f>F279*H279</f>
        <v/>
      </c>
    </row>
    <row r="280">
      <c r="A280" t="n">
        <v>28</v>
      </c>
      <c r="B280" s="21" t="inlineStr">
        <is>
          <t>Normandía Marina &amp; Manzana (Andouille de Guémené, Rillons de Cerdo Confitados, Pont-l'Évêque AOP y Livarot AOP)</t>
        </is>
      </c>
      <c r="C280" t="inlineStr">
        <is>
          <t>humedo</t>
        </is>
      </c>
      <c r="D280" s="22" t="inlineStr">
        <is>
          <t>35 g Cornichons extra-finos al vinagre de sidra normanda con mostaza en grano</t>
        </is>
      </c>
      <c r="E280" s="6" t="inlineStr">
        <is>
          <t>Pepinillo, cornichon o encurtido agridulce</t>
        </is>
      </c>
      <c r="F280" s="16" t="n">
        <v>35</v>
      </c>
      <c r="G280" t="inlineStr">
        <is>
          <t>g</t>
        </is>
      </c>
      <c r="H280" s="12">
        <f>IFERROR(VLOOKUP(E280,Insumos!$C$5:$G$181,5,FALSE),0)</f>
        <v/>
      </c>
      <c r="I280" s="17">
        <f>F280*H280</f>
        <v/>
      </c>
    </row>
    <row r="281">
      <c r="A281" t="n">
        <v>28</v>
      </c>
      <c r="B281" s="21" t="inlineStr">
        <is>
          <t>Normandía Marina &amp; Manzana (Andouille de Guémené, Rillons de Cerdo Confitados, Pont-l'Évêque AOP y Livarot AOP)</t>
        </is>
      </c>
      <c r="C281" t="inlineStr">
        <is>
          <t>humedo</t>
        </is>
      </c>
      <c r="D281" s="22" t="inlineStr">
        <is>
          <t>40 g Manzanas ácidas de sidra cortadas en gajos finos al momento</t>
        </is>
      </c>
      <c r="E281" s="6" t="inlineStr">
        <is>
          <t>Manzana ácida (Granny Smith, reineta, perona)</t>
        </is>
      </c>
      <c r="F281" s="16" t="n">
        <v>40</v>
      </c>
      <c r="G281" t="inlineStr">
        <is>
          <t>g</t>
        </is>
      </c>
      <c r="H281" s="12">
        <f>IFERROR(VLOOKUP(E281,Insumos!$C$5:$G$181,5,FALSE),0)</f>
        <v/>
      </c>
      <c r="I281" s="17">
        <f>F281*H281</f>
        <v/>
      </c>
    </row>
    <row r="282">
      <c r="A282" t="n">
        <v>29</v>
      </c>
      <c r="B282" s="21" t="inlineStr">
        <is>
          <t>Valle del Loira &amp; Châteaux (Rillettes de Tours IGP, Rillons Rissolés de Touraine, Sainte-Maure de Touraine AOP y Valençay AOP)</t>
        </is>
      </c>
      <c r="C282" t="inlineStr">
        <is>
          <t>charcuteria</t>
        </is>
      </c>
      <c r="D282" s="22" t="inlineStr">
        <is>
          <t>100 g Rillettes de Tours IGP (magro de cerdo noble de Touraine deshebrado en hebras largas, cocido a fuego vivo en olla de hierro fundido sin tapa durante 6 horas con grasa de cerdo, sal marina y pimienta blanca, textura caramelizada dorada) en terrina de gres</t>
        </is>
      </c>
      <c r="E282" s="6" t="inlineStr">
        <is>
          <t>Rillettes o rillons de cerdo confitados</t>
        </is>
      </c>
      <c r="F282" s="16" t="n">
        <v>100</v>
      </c>
      <c r="G282" t="inlineStr">
        <is>
          <t>g</t>
        </is>
      </c>
      <c r="H282" s="12">
        <f>IFERROR(VLOOKUP(E282,Insumos!$C$5:$G$181,5,FALSE),0)</f>
        <v/>
      </c>
      <c r="I282" s="17">
        <f>F282*H282</f>
        <v/>
      </c>
    </row>
    <row r="283">
      <c r="A283" t="n">
        <v>29</v>
      </c>
      <c r="B283" s="21" t="inlineStr">
        <is>
          <t>Valle del Loira &amp; Châteaux (Rillettes de Tours IGP, Rillons Rissolés de Touraine, Sainte-Maure de Touraine AOP y Valençay AOP)</t>
        </is>
      </c>
      <c r="C283" t="inlineStr">
        <is>
          <t>charcuteria</t>
        </is>
      </c>
      <c r="D283" s="22" t="inlineStr">
        <is>
          <t>80 g Rillons Rissolés de Touraine (dados de panceta de cerdo marinados en vino blanco Chenin Blanc y especias, fritos en grasa de cerdo hirviendo hasta dorar y crujir la corteza exterior conservando el centro tierno) cortados en cubos de 2 cm</t>
        </is>
      </c>
      <c r="E283" s="6" t="inlineStr">
        <is>
          <t>Rillettes o rillons de cerdo confitados</t>
        </is>
      </c>
      <c r="F283" s="16" t="n">
        <v>80</v>
      </c>
      <c r="G283" t="inlineStr">
        <is>
          <t>g</t>
        </is>
      </c>
      <c r="H283" s="12">
        <f>IFERROR(VLOOKUP(E283,Insumos!$C$5:$G$181,5,FALSE),0)</f>
        <v/>
      </c>
      <c r="I283" s="17">
        <f>F283*H283</f>
        <v/>
      </c>
    </row>
    <row r="284">
      <c r="A284" t="n">
        <v>29</v>
      </c>
      <c r="B284" s="21" t="inlineStr">
        <is>
          <t>Valle del Loira &amp; Châteaux (Rillettes de Tours IGP, Rillons Rissolés de Touraine, Sainte-Maure de Touraine AOP y Valençay AOP)</t>
        </is>
      </c>
      <c r="C284" t="inlineStr">
        <is>
          <t>queso</t>
        </is>
      </c>
      <c r="D284" s="22" t="inlineStr">
        <is>
          <t>120 g Sainte-Maure de Touraine AOP (leche cruda de cabra, moldeado cilíndrico alargado en forma de leño de 16 cm, afinado mínimo de 10 días, cubierto con polvo de carbón vegetal, atravesado longitudinalmente de parte a parte por una paja de centeno natural grabada con el número de registro del productor) cortado en rodajas de 1.5 cm</t>
        </is>
      </c>
      <c r="E284" s="6" t="inlineStr">
        <is>
          <t>Caprino AOP de ceniza (Sainte-Maure, Valençay)</t>
        </is>
      </c>
      <c r="F284" s="16" t="n">
        <v>120</v>
      </c>
      <c r="G284" t="inlineStr">
        <is>
          <t>g</t>
        </is>
      </c>
      <c r="H284" s="12">
        <f>IFERROR(VLOOKUP(E284,Insumos!$C$5:$G$181,5,FALSE),0)</f>
        <v/>
      </c>
      <c r="I284" s="17">
        <f>F284*H284</f>
        <v/>
      </c>
    </row>
    <row r="285">
      <c r="A285" t="n">
        <v>29</v>
      </c>
      <c r="B285" s="21" t="inlineStr">
        <is>
          <t>Valle del Loira &amp; Châteaux (Rillettes de Tours IGP, Rillons Rissolés de Touraine, Sainte-Maure de Touraine AOP y Valençay AOP)</t>
        </is>
      </c>
      <c r="C285" t="inlineStr">
        <is>
          <t>queso</t>
        </is>
      </c>
      <c r="D285" s="22" t="inlineStr">
        <is>
          <t>110 g Valençay AOP (leche 100% cruda e íntegra de cabra, moldeado manual en forma de pirámide cuadrangular truncada sin ápice, afinado de 3 a 5 semanas, corteza gris ceniza cubierta de carbón vegetal vegetal y moho blanco de Geotrichum, pasta densa de tono marfil) media pirámide cortada verticalmente</t>
        </is>
      </c>
      <c r="E285" s="6" t="inlineStr">
        <is>
          <t>Caprino AOP de ceniza (Sainte-Maure, Valençay)</t>
        </is>
      </c>
      <c r="F285" s="16" t="n">
        <v>110</v>
      </c>
      <c r="G285" t="inlineStr">
        <is>
          <t>g</t>
        </is>
      </c>
      <c r="H285" s="12">
        <f>IFERROR(VLOOKUP(E285,Insumos!$C$5:$G$181,5,FALSE),0)</f>
        <v/>
      </c>
      <c r="I285" s="17">
        <f>F285*H285</f>
        <v/>
      </c>
    </row>
    <row r="286">
      <c r="A286" t="n">
        <v>29</v>
      </c>
      <c r="B286" s="21" t="inlineStr">
        <is>
          <t>Valle del Loira &amp; Châteaux (Rillettes de Tours IGP, Rillons Rissolés de Touraine, Sainte-Maure de Touraine AOP y Valençay AOP)</t>
        </is>
      </c>
      <c r="C286" t="inlineStr">
        <is>
          <t>seco</t>
        </is>
      </c>
      <c r="D286" s="22" t="inlineStr">
        <is>
          <t>60 g Rebanadas tostadas crujientes de pan campesino de Touraine de harina blanca y centeno</t>
        </is>
      </c>
      <c r="E286" s="6" t="inlineStr">
        <is>
          <t>Totopos o tostaditas de maíz nixtamalizado</t>
        </is>
      </c>
      <c r="F286" s="16" t="n">
        <v>60</v>
      </c>
      <c r="G286" t="inlineStr">
        <is>
          <t>g</t>
        </is>
      </c>
      <c r="H286" s="12">
        <f>IFERROR(VLOOKUP(E286,Insumos!$C$5:$G$181,5,FALSE),0)</f>
        <v/>
      </c>
      <c r="I286" s="17">
        <f>F286*H286</f>
        <v/>
      </c>
    </row>
    <row r="287">
      <c r="A287" t="n">
        <v>29</v>
      </c>
      <c r="B287" s="21" t="inlineStr">
        <is>
          <t>Valle del Loira &amp; Châteaux (Rillettes de Tours IGP, Rillons Rissolés de Touraine, Sainte-Maure de Touraine AOP y Valençay AOP)</t>
        </is>
      </c>
      <c r="C287" t="inlineStr">
        <is>
          <t>seco</t>
        </is>
      </c>
      <c r="D287" s="22" t="inlineStr">
        <is>
          <t>40 g Crackers franceses crujientes con semillas de amapola y lino</t>
        </is>
      </c>
      <c r="E287" s="6" t="inlineStr">
        <is>
          <t>Crackers artesanales de semillas o masa madre</t>
        </is>
      </c>
      <c r="F287" s="16" t="n">
        <v>40</v>
      </c>
      <c r="G287" t="inlineStr">
        <is>
          <t>g</t>
        </is>
      </c>
      <c r="H287" s="12">
        <f>IFERROR(VLOOKUP(E287,Insumos!$C$5:$G$181,5,FALSE),0)</f>
        <v/>
      </c>
      <c r="I287" s="17">
        <f>F287*H287</f>
        <v/>
      </c>
    </row>
    <row r="288">
      <c r="A288" t="n">
        <v>29</v>
      </c>
      <c r="B288" s="21" t="inlineStr">
        <is>
          <t>Valle del Loira &amp; Châteaux (Rillettes de Tours IGP, Rillons Rissolés de Touraine, Sainte-Maure de Touraine AOP y Valençay AOP)</t>
        </is>
      </c>
      <c r="C288" t="inlineStr">
        <is>
          <t>seco</t>
        </is>
      </c>
      <c r="D288" s="22" t="inlineStr">
        <is>
          <t>30 g Nueces y avellanas del Loira tostadas al natural</t>
        </is>
      </c>
      <c r="E288" s="6" t="inlineStr">
        <is>
          <t>Nuez de Castilla o de nogal en mitades</t>
        </is>
      </c>
      <c r="F288" s="16" t="n">
        <v>30</v>
      </c>
      <c r="G288" t="inlineStr">
        <is>
          <t>g</t>
        </is>
      </c>
      <c r="H288" s="12">
        <f>IFERROR(VLOOKUP(E288,Insumos!$C$5:$G$181,5,FALSE),0)</f>
        <v/>
      </c>
      <c r="I288" s="17">
        <f>F288*H288</f>
        <v/>
      </c>
    </row>
    <row r="289">
      <c r="A289" t="n">
        <v>29</v>
      </c>
      <c r="B289" s="21" t="inlineStr">
        <is>
          <t>Valle del Loira &amp; Châteaux (Rillettes de Tours IGP, Rillons Rissolés de Touraine, Sainte-Maure de Touraine AOP y Valençay AOP)</t>
        </is>
      </c>
      <c r="C289" t="inlineStr">
        <is>
          <t>humedo</t>
        </is>
      </c>
      <c r="D289" s="22" t="inlineStr">
        <is>
          <t>45 g Mermelada densa de peras deshidratadas tradicionales (Poires tapées de Rivarennes) rehidratadas en vino Vouvray Moelleux (en ramequín)</t>
        </is>
      </c>
      <c r="E289" s="6" t="inlineStr">
        <is>
          <t>Mermelada o compota densa de la casa (elaborada)</t>
        </is>
      </c>
      <c r="F289" s="16" t="n">
        <v>45</v>
      </c>
      <c r="G289" t="inlineStr">
        <is>
          <t>g</t>
        </is>
      </c>
      <c r="H289" s="12">
        <f>IFERROR(VLOOKUP(E289,Insumos!$C$5:$G$181,5,FALSE),0)</f>
        <v/>
      </c>
      <c r="I289" s="17">
        <f>F289*H289</f>
        <v/>
      </c>
    </row>
    <row r="290">
      <c r="A290" t="n">
        <v>29</v>
      </c>
      <c r="B290" s="21" t="inlineStr">
        <is>
          <t>Valle del Loira &amp; Châteaux (Rillettes de Tours IGP, Rillons Rissolés de Touraine, Sainte-Maure de Touraine AOP y Valençay AOP)</t>
        </is>
      </c>
      <c r="C290" t="inlineStr">
        <is>
          <t>humedo</t>
        </is>
      </c>
      <c r="D290" s="22" t="inlineStr">
        <is>
          <t>35 g Cornichons franceses y alcaparrones al vinagre de vino blanco (en ramequín cerámico)</t>
        </is>
      </c>
      <c r="E290" s="6" t="inlineStr">
        <is>
          <t>Pepinillo, cornichon o encurtido agridulce</t>
        </is>
      </c>
      <c r="F290" s="16" t="n">
        <v>35</v>
      </c>
      <c r="G290" t="inlineStr">
        <is>
          <t>g</t>
        </is>
      </c>
      <c r="H290" s="12">
        <f>IFERROR(VLOOKUP(E290,Insumos!$C$5:$G$181,5,FALSE),0)</f>
        <v/>
      </c>
      <c r="I290" s="17">
        <f>F290*H290</f>
        <v/>
      </c>
    </row>
    <row r="291">
      <c r="A291" t="n">
        <v>29</v>
      </c>
      <c r="B291" s="21" t="inlineStr">
        <is>
          <t>Valle del Loira &amp; Châteaux (Rillettes de Tours IGP, Rillons Rissolés de Touraine, Sainte-Maure de Touraine AOP y Valençay AOP)</t>
        </is>
      </c>
      <c r="C291" t="inlineStr">
        <is>
          <t>humedo</t>
        </is>
      </c>
      <c r="D291" s="22" t="inlineStr">
        <is>
          <t>40 g Uvas blancas de uva Chenin Blanc maduras limpias y secas</t>
        </is>
      </c>
      <c r="E291" s="6" t="inlineStr">
        <is>
          <t>Uva de mesa sin semilla (blanca, roja o negra)</t>
        </is>
      </c>
      <c r="F291" s="16" t="n">
        <v>40</v>
      </c>
      <c r="G291" t="inlineStr">
        <is>
          <t>g</t>
        </is>
      </c>
      <c r="H291" s="12">
        <f>IFERROR(VLOOKUP(E291,Insumos!$C$5:$G$181,5,FALSE),0)</f>
        <v/>
      </c>
      <c r="I291" s="17">
        <f>F291*H291</f>
        <v/>
      </c>
    </row>
    <row r="292">
      <c r="A292" t="n">
        <v>30</v>
      </c>
      <c r="B292" s="21" t="inlineStr">
        <is>
          <t>Bistró Contemporáneo Parisino (Jambon Blanc Trufado Artesanal, Terrine de Canard au Poivre Vert, Brillat-Savarin AOP Triple Crème y Saint-Nectaire AOP)</t>
        </is>
      </c>
      <c r="C292" t="inlineStr">
        <is>
          <t>charcuteria</t>
        </is>
      </c>
      <c r="D292" s="22" t="inlineStr">
        <is>
          <t>110 g Jambon de Paris au Torchon Truffé (pierna entera fresca de cerdo de granja deshuesada a mano, salmuera aromatizada con hierbas, cocción lenta al vacío en paño au torchon a 72 °C con 1.5% de láminas de trufa negra de invierno Tuber melanosporum incrustadas entre los músculos nobles) cortado a máquina a 1.2 mm</t>
        </is>
      </c>
      <c r="E292" s="6" t="inlineStr">
        <is>
          <t>Jamón cocido fino al torchon o trufado</t>
        </is>
      </c>
      <c r="F292" s="16" t="n">
        <v>110</v>
      </c>
      <c r="G292" t="inlineStr">
        <is>
          <t>g</t>
        </is>
      </c>
      <c r="H292" s="12">
        <f>IFERROR(VLOOKUP(E292,Insumos!$C$5:$G$181,5,FALSE),0)</f>
        <v/>
      </c>
      <c r="I292" s="17">
        <f>F292*H292</f>
        <v/>
      </c>
    </row>
    <row r="293">
      <c r="A293" t="n">
        <v>30</v>
      </c>
      <c r="B293" s="21" t="inlineStr">
        <is>
          <t>Bistró Contemporáneo Parisino (Jambon Blanc Trufado Artesanal, Terrine de Canard au Poivre Vert, Brillat-Savarin AOP Triple Crème y Saint-Nectaire AOP)</t>
        </is>
      </c>
      <c r="C293" t="inlineStr">
        <is>
          <t>charcuteria</t>
        </is>
      </c>
      <c r="D293" s="22" t="inlineStr">
        <is>
          <t>90 g Terrine de Canard au Poivre Vert (carne de pato de granja troceada gruesa, hígado de pato confitado, tocino de cerdo, granos frescos de pimienta verde de Madagascar macerados en coñac y sal marina) cortada en losas de 1 cm</t>
        </is>
      </c>
      <c r="E293" s="6" t="inlineStr">
        <is>
          <t>Terrina artesanal de pato, conejo o ave</t>
        </is>
      </c>
      <c r="F293" s="16" t="n">
        <v>90</v>
      </c>
      <c r="G293" t="inlineStr">
        <is>
          <t>g</t>
        </is>
      </c>
      <c r="H293" s="12">
        <f>IFERROR(VLOOKUP(E293,Insumos!$C$5:$G$181,5,FALSE),0)</f>
        <v/>
      </c>
      <c r="I293" s="17">
        <f>F293*H293</f>
        <v/>
      </c>
    </row>
    <row r="294">
      <c r="A294" t="n">
        <v>30</v>
      </c>
      <c r="B294" s="21" t="inlineStr">
        <is>
          <t>Bistró Contemporáneo Parisino (Jambon Blanc Trufado Artesanal, Terrine de Canard au Poivre Vert, Brillat-Savarin AOP Triple Crème y Saint-Nectaire AOP)</t>
        </is>
      </c>
      <c r="C294" t="inlineStr">
        <is>
          <t>queso</t>
        </is>
      </c>
      <c r="D294" s="22" t="inlineStr">
        <is>
          <t>130 g Brillat-Savarin AOP Triple Crème (leche entera pasteurizada de vaca enriquecida con crema láctea pura pasteurizada, materia grasa superior al 72% sobre extracto seco, maduración corta de 3 semanas, corteza enmohecida de nieve blanca de Penicillium camemberti, pasta sumamente untuosa y fundente con sabor a mantequilla fresca y nata montada) cuña de corteza aterciopelada</t>
        </is>
      </c>
      <c r="E294" s="6" t="inlineStr">
        <is>
          <t>Triple crema AOP (Brillat-Savarin, trufado)</t>
        </is>
      </c>
      <c r="F294" s="16" t="n">
        <v>130</v>
      </c>
      <c r="G294" t="inlineStr">
        <is>
          <t>g</t>
        </is>
      </c>
      <c r="H294" s="12">
        <f>IFERROR(VLOOKUP(E294,Insumos!$C$5:$G$181,5,FALSE),0)</f>
        <v/>
      </c>
      <c r="I294" s="17">
        <f>F294*H294</f>
        <v/>
      </c>
    </row>
    <row r="295">
      <c r="A295" t="n">
        <v>30</v>
      </c>
      <c r="B295" s="21" t="inlineStr">
        <is>
          <t>Bistró Contemporáneo Parisino (Jambon Blanc Trufado Artesanal, Terrine de Canard au Poivre Vert, Brillat-Savarin AOP Triple Crème y Saint-Nectaire AOP)</t>
        </is>
      </c>
      <c r="C295" t="inlineStr">
        <is>
          <t>queso</t>
        </is>
      </c>
      <c r="D295" s="22" t="inlineStr">
        <is>
          <t>110 g Saint-Nectaire AOP Fermier (leche cruda de vacas Salers y Montbéliarde sobre los pastos volcánicos de Auvernia, pasta prensada no cocida madurada durante 8 semanas sobre lecho de paja de centeno en cavas naturales, corteza rústica grisácea moteada con velo de moho noble) cortado en cuñas de 5 mm</t>
        </is>
      </c>
      <c r="E295" s="6" t="inlineStr">
        <is>
          <t>Queso de corteza lavada de montaña (Morbier, Saint-Nectaire, Reblochon)</t>
        </is>
      </c>
      <c r="F295" s="16" t="n">
        <v>110</v>
      </c>
      <c r="G295" t="inlineStr">
        <is>
          <t>g</t>
        </is>
      </c>
      <c r="H295" s="12">
        <f>IFERROR(VLOOKUP(E295,Insumos!$C$5:$G$181,5,FALSE),0)</f>
        <v/>
      </c>
      <c r="I295" s="17">
        <f>F295*H295</f>
        <v/>
      </c>
    </row>
    <row r="296">
      <c r="A296" t="n">
        <v>30</v>
      </c>
      <c r="B296" s="21" t="inlineStr">
        <is>
          <t>Bistró Contemporáneo Parisino (Jambon Blanc Trufado Artesanal, Terrine de Canard au Poivre Vert, Brillat-Savarin AOP Triple Crème y Saint-Nectaire AOP)</t>
        </is>
      </c>
      <c r="C296" t="inlineStr">
        <is>
          <t>seco</t>
        </is>
      </c>
      <c r="D296" s="22" t="inlineStr">
        <is>
          <t>60 g Rebanadas finas de Baguette de París con masa madre tostadas ligeramente</t>
        </is>
      </c>
      <c r="E296" s="6" t="inlineStr">
        <is>
          <t>Baguette de tradición francesa</t>
        </is>
      </c>
      <c r="F296" s="16" t="n">
        <v>0.5</v>
      </c>
      <c r="G296" t="inlineStr">
        <is>
          <t>pz</t>
        </is>
      </c>
      <c r="H296" s="12">
        <f>IFERROR(VLOOKUP(E296,Insumos!$C$5:$G$181,5,FALSE),0)</f>
        <v/>
      </c>
      <c r="I296" s="17">
        <f>F296*H296</f>
        <v/>
      </c>
    </row>
    <row r="297">
      <c r="A297" t="n">
        <v>30</v>
      </c>
      <c r="B297" s="21" t="inlineStr">
        <is>
          <t>Bistró Contemporáneo Parisino (Jambon Blanc Trufado Artesanal, Terrine de Canard au Poivre Vert, Brillat-Savarin AOP Triple Crème y Saint-Nectaire AOP)</t>
        </is>
      </c>
      <c r="C297" t="inlineStr">
        <is>
          <t>seco</t>
        </is>
      </c>
      <c r="D297" s="22" t="inlineStr">
        <is>
          <t>35 g Rebanadas finas de pan brioche artesanal secadas al horno hasta textura crujiente</t>
        </is>
      </c>
      <c r="E297" s="6" t="inlineStr">
        <is>
          <t>Pan brioche artesanal</t>
        </is>
      </c>
      <c r="F297" s="16" t="n">
        <v>35</v>
      </c>
      <c r="G297" t="inlineStr">
        <is>
          <t>g</t>
        </is>
      </c>
      <c r="H297" s="12">
        <f>IFERROR(VLOOKUP(E297,Insumos!$C$5:$G$181,5,FALSE),0)</f>
        <v/>
      </c>
      <c r="I297" s="17">
        <f>F297*H297</f>
        <v/>
      </c>
    </row>
    <row r="298">
      <c r="A298" t="n">
        <v>30</v>
      </c>
      <c r="B298" s="21" t="inlineStr">
        <is>
          <t>Bistró Contemporáneo Parisino (Jambon Blanc Trufado Artesanal, Terrine de Canard au Poivre Vert, Brillat-Savarin AOP Triple Crème y Saint-Nectaire AOP)</t>
        </is>
      </c>
      <c r="C298" t="inlineStr">
        <is>
          <t>seco</t>
        </is>
      </c>
      <c r="D298" s="22" t="inlineStr">
        <is>
          <t>30 g Pistachos verdes tostados pelados sin sal marina</t>
        </is>
      </c>
      <c r="E298" s="6" t="inlineStr">
        <is>
          <t>Pistacho verde pelado (Bronte, Sicilia)</t>
        </is>
      </c>
      <c r="F298" s="16" t="n">
        <v>30</v>
      </c>
      <c r="G298" t="inlineStr">
        <is>
          <t>g</t>
        </is>
      </c>
      <c r="H298" s="12">
        <f>IFERROR(VLOOKUP(E298,Insumos!$C$5:$G$181,5,FALSE),0)</f>
        <v/>
      </c>
      <c r="I298" s="17">
        <f>F298*H298</f>
        <v/>
      </c>
    </row>
    <row r="299">
      <c r="A299" t="n">
        <v>30</v>
      </c>
      <c r="B299" s="21" t="inlineStr">
        <is>
          <t>Bistró Contemporáneo Parisino (Jambon Blanc Trufado Artesanal, Terrine de Canard au Poivre Vert, Brillat-Savarin AOP Triple Crème y Saint-Nectaire AOP)</t>
        </is>
      </c>
      <c r="C299" t="inlineStr">
        <is>
          <t>humedo</t>
        </is>
      </c>
      <c r="D299" s="22" t="inlineStr">
        <is>
          <t>40 g Moutarde de Meaux Pommery tradicional en tarro cerámico (mostaza en grano macerada en vinagre y especias secretas desde 1760)</t>
        </is>
      </c>
      <c r="E299" s="6" t="inlineStr">
        <is>
          <t>Mostaza artesanal en grano (Meaux, Dijon, Brive, cerveza)</t>
        </is>
      </c>
      <c r="F299" s="16" t="n">
        <v>40</v>
      </c>
      <c r="G299" t="inlineStr">
        <is>
          <t>g</t>
        </is>
      </c>
      <c r="H299" s="12">
        <f>IFERROR(VLOOKUP(E299,Insumos!$C$5:$G$181,5,FALSE),0)</f>
        <v/>
      </c>
      <c r="I299" s="17">
        <f>F299*H299</f>
        <v/>
      </c>
    </row>
    <row r="300">
      <c r="A300" t="n">
        <v>30</v>
      </c>
      <c r="B300" s="21" t="inlineStr">
        <is>
          <t>Bistró Contemporáneo Parisino (Jambon Blanc Trufado Artesanal, Terrine de Canard au Poivre Vert, Brillat-Savarin AOP Triple Crème y Saint-Nectaire AOP)</t>
        </is>
      </c>
      <c r="C300" t="inlineStr">
        <is>
          <t>humedo</t>
        </is>
      </c>
      <c r="D300" s="22" t="inlineStr">
        <is>
          <t>40 g Confit de cebollas moradas caramelizadas al licor de Cassis de Dijon (en ramequín)</t>
        </is>
      </c>
      <c r="E300" s="6" t="inlineStr">
        <is>
          <t>Confit de cebolla o chalota al vino (elaborado)</t>
        </is>
      </c>
      <c r="F300" s="16" t="n">
        <v>40</v>
      </c>
      <c r="G300" t="inlineStr">
        <is>
          <t>g</t>
        </is>
      </c>
      <c r="H300" s="12">
        <f>IFERROR(VLOOKUP(E300,Insumos!$C$5:$G$181,5,FALSE),0)</f>
        <v/>
      </c>
      <c r="I300" s="17">
        <f>F300*H300</f>
        <v/>
      </c>
    </row>
    <row r="301">
      <c r="A301" t="n">
        <v>30</v>
      </c>
      <c r="B301" s="21" t="inlineStr">
        <is>
          <t>Bistró Contemporáneo Parisino (Jambon Blanc Trufado Artesanal, Terrine de Canard au Poivre Vert, Brillat-Savarin AOP Triple Crème y Saint-Nectaire AOP)</t>
        </is>
      </c>
      <c r="C301" t="inlineStr">
        <is>
          <t>humedo</t>
        </is>
      </c>
      <c r="D301" s="22" t="inlineStr">
        <is>
          <t>35 g Cornichons extra-finos al estragón y cebollitas glaseadas al vinagre</t>
        </is>
      </c>
      <c r="E301" s="6" t="inlineStr">
        <is>
          <t>Pepinillo, cornichon o encurtido agridulce</t>
        </is>
      </c>
      <c r="F301" s="16" t="n">
        <v>35</v>
      </c>
      <c r="G301" t="inlineStr">
        <is>
          <t>g</t>
        </is>
      </c>
      <c r="H301" s="12">
        <f>IFERROR(VLOOKUP(E301,Insumos!$C$5:$G$181,5,FALSE),0)</f>
        <v/>
      </c>
      <c r="I301" s="17">
        <f>F301*H301</f>
        <v/>
      </c>
    </row>
    <row r="302">
      <c r="A302" t="n">
        <v>31</v>
      </c>
      <c r="B302" s="21" t="inlineStr">
        <is>
          <t>Altiplano Central &amp; Valle de Toluca (Chorizo Verde al Quelite, Chorizo Almendrado Seco, Queso Provolone Ahumado y Queso Molido de Rancho)</t>
        </is>
      </c>
      <c r="C302" t="inlineStr">
        <is>
          <t>charcuteria</t>
        </is>
      </c>
      <c r="D302" s="22" t="inlineStr">
        <is>
          <t>100 g Chorizo Verde Tradicional de Toluca (carne de cerdo picada, hojas verdes de cilantro, perejil, espinaca, quelites, pepita verde de calabaza, chile poblano y chile serrano) secado y oreado en secadero natural durante 7 días, rebanado fino al bies (2 mm)</t>
        </is>
      </c>
      <c r="E302" s="6" t="inlineStr">
        <is>
          <t>Chorizo mexicano curado (verde, rojo, zacatecano)</t>
        </is>
      </c>
      <c r="F302" s="16" t="n">
        <v>100</v>
      </c>
      <c r="G302" t="inlineStr">
        <is>
          <t>g</t>
        </is>
      </c>
      <c r="H302" s="12">
        <f>IFERROR(VLOOKUP(E302,Insumos!$C$5:$G$181,5,FALSE),0)</f>
        <v/>
      </c>
      <c r="I302" s="17">
        <f>F302*H302</f>
        <v/>
      </c>
    </row>
    <row r="303">
      <c r="A303" t="n">
        <v>31</v>
      </c>
      <c r="B303" s="21" t="inlineStr">
        <is>
          <t>Altiplano Central &amp; Valle de Toluca (Chorizo Verde al Quelite, Chorizo Almendrado Seco, Queso Provolone Ahumado y Queso Molido de Rancho)</t>
        </is>
      </c>
      <c r="C303" t="inlineStr">
        <is>
          <t>charcuteria</t>
        </is>
      </c>
      <c r="D303" s="22" t="inlineStr">
        <is>
          <t>90 g Chorizo Rojo Almendrado Curado (carne magra de cerdo con grasa dorsal, pimentón dulce, comino, pasas y almendras enteras tostadas incrustadas en la masa embutida) cortado en rodajas de 2 mm</t>
        </is>
      </c>
      <c r="E303" s="6" t="inlineStr">
        <is>
          <t>Chorizo mexicano curado (verde, rojo, zacatecano)</t>
        </is>
      </c>
      <c r="F303" s="16" t="n">
        <v>90</v>
      </c>
      <c r="G303" t="inlineStr">
        <is>
          <t>g</t>
        </is>
      </c>
      <c r="H303" s="12">
        <f>IFERROR(VLOOKUP(E303,Insumos!$C$5:$G$181,5,FALSE),0)</f>
        <v/>
      </c>
      <c r="I303" s="17">
        <f>F303*H303</f>
        <v/>
      </c>
    </row>
    <row r="304">
      <c r="A304" t="n">
        <v>31</v>
      </c>
      <c r="B304" s="21" t="inlineStr">
        <is>
          <t>Altiplano Central &amp; Valle de Toluca (Chorizo Verde al Quelite, Chorizo Almendrado Seco, Queso Provolone Ahumado y Queso Molido de Rancho)</t>
        </is>
      </c>
      <c r="C304" t="inlineStr">
        <is>
          <t>queso</t>
        </is>
      </c>
      <c r="D304" s="22" t="inlineStr">
        <is>
          <t>110 g Queso Provolone Ahumado de Aculco (pasta hilada madurada durante 4 a 6 meses, ahumado con leña de manzano y encino) cortado en bastones de 6 cm x 1 cm</t>
        </is>
      </c>
      <c r="E304" s="6" t="inlineStr">
        <is>
          <t>Queso provolone o gouda ahumado comercial</t>
        </is>
      </c>
      <c r="F304" s="16" t="n">
        <v>110</v>
      </c>
      <c r="G304" t="inlineStr">
        <is>
          <t>g</t>
        </is>
      </c>
      <c r="H304" s="12">
        <f>IFERROR(VLOOKUP(E304,Insumos!$C$5:$G$181,5,FALSE),0)</f>
        <v/>
      </c>
      <c r="I304" s="17">
        <f>F304*H304</f>
        <v/>
      </c>
    </row>
    <row r="305">
      <c r="A305" t="n">
        <v>31</v>
      </c>
      <c r="B305" s="21" t="inlineStr">
        <is>
          <t>Altiplano Central &amp; Valle de Toluca (Chorizo Verde al Quelite, Chorizo Almendrado Seco, Queso Provolone Ahumado y Queso Molido de Rancho)</t>
        </is>
      </c>
      <c r="C305" t="inlineStr">
        <is>
          <t>queso</t>
        </is>
      </c>
      <c r="D305" s="22" t="inlineStr">
        <is>
          <t>100 g Queso Molido de Rancho de San José del Rincón (leche bronca cruda de vaca, prensado rústico en aro de madera y salado a mano en seco, pasta semidura granulosa) cortado en trozos irregulares quebradizos</t>
        </is>
      </c>
      <c r="E305" s="6" t="inlineStr">
        <is>
          <t>Queso fresco de rancho prensado o molido</t>
        </is>
      </c>
      <c r="F305" s="16" t="n">
        <v>100</v>
      </c>
      <c r="G305" t="inlineStr">
        <is>
          <t>g</t>
        </is>
      </c>
      <c r="H305" s="12">
        <f>IFERROR(VLOOKUP(E305,Insumos!$C$5:$G$181,5,FALSE),0)</f>
        <v/>
      </c>
      <c r="I305" s="17">
        <f>F305*H305</f>
        <v/>
      </c>
    </row>
    <row r="306">
      <c r="A306" t="n">
        <v>31</v>
      </c>
      <c r="B306" s="21" t="inlineStr">
        <is>
          <t>Altiplano Central &amp; Valle de Toluca (Chorizo Verde al Quelite, Chorizo Almendrado Seco, Queso Provolone Ahumado y Queso Molido de Rancho)</t>
        </is>
      </c>
      <c r="C306" t="inlineStr">
        <is>
          <t>seco</t>
        </is>
      </c>
      <c r="D306" s="22" t="inlineStr">
        <is>
          <t>60 g Totopos triangulares de maíz azul criollo nixtamalizado fritos en manteca de cerdo limpia o maíz</t>
        </is>
      </c>
      <c r="E306" s="6" t="inlineStr">
        <is>
          <t>Totopos o tostaditas de maíz nixtamalizado</t>
        </is>
      </c>
      <c r="F306" s="16" t="n">
        <v>60</v>
      </c>
      <c r="G306" t="inlineStr">
        <is>
          <t>g</t>
        </is>
      </c>
      <c r="H306" s="12">
        <f>IFERROR(VLOOKUP(E306,Insumos!$C$5:$G$181,5,FALSE),0)</f>
        <v/>
      </c>
      <c r="I306" s="17">
        <f>F306*H306</f>
        <v/>
      </c>
    </row>
    <row r="307">
      <c r="A307" t="n">
        <v>31</v>
      </c>
      <c r="B307" s="21" t="inlineStr">
        <is>
          <t>Altiplano Central &amp; Valle de Toluca (Chorizo Verde al Quelite, Chorizo Almendrado Seco, Queso Provolone Ahumado y Queso Molido de Rancho)</t>
        </is>
      </c>
      <c r="C307" t="inlineStr">
        <is>
          <t>seco</t>
        </is>
      </c>
      <c r="D307" s="22" t="inlineStr">
        <is>
          <t>40 g Tostaditas crujientes de maíz blanco del Valle de Toluca horneadas al comal</t>
        </is>
      </c>
      <c r="E307" s="6" t="inlineStr">
        <is>
          <t>Totopos o tostaditas de maíz nixtamalizado</t>
        </is>
      </c>
      <c r="F307" s="16" t="n">
        <v>40</v>
      </c>
      <c r="G307" t="inlineStr">
        <is>
          <t>g</t>
        </is>
      </c>
      <c r="H307" s="12">
        <f>IFERROR(VLOOKUP(E307,Insumos!$C$5:$G$181,5,FALSE),0)</f>
        <v/>
      </c>
      <c r="I307" s="17">
        <f>F307*H307</f>
        <v/>
      </c>
    </row>
    <row r="308">
      <c r="A308" t="n">
        <v>31</v>
      </c>
      <c r="B308" s="21" t="inlineStr">
        <is>
          <t>Altiplano Central &amp; Valle de Toluca (Chorizo Verde al Quelite, Chorizo Almendrado Seco, Queso Provolone Ahumado y Queso Molido de Rancho)</t>
        </is>
      </c>
      <c r="C308" t="inlineStr">
        <is>
          <t>seco</t>
        </is>
      </c>
      <c r="D308" s="22" t="inlineStr">
        <is>
          <t>35 g Pepitas de calabaza verde tostadas al comal con flor de sal de Colima</t>
        </is>
      </c>
      <c r="E308" s="6" t="inlineStr">
        <is>
          <t>Pepita de calabaza tostada</t>
        </is>
      </c>
      <c r="F308" s="16" t="n">
        <v>35</v>
      </c>
      <c r="G308" t="inlineStr">
        <is>
          <t>g</t>
        </is>
      </c>
      <c r="H308" s="12">
        <f>IFERROR(VLOOKUP(E308,Insumos!$C$5:$G$181,5,FALSE),0)</f>
        <v/>
      </c>
      <c r="I308" s="17">
        <f>F308*H308</f>
        <v/>
      </c>
    </row>
    <row r="309">
      <c r="A309" t="n">
        <v>31</v>
      </c>
      <c r="B309" s="21" t="inlineStr">
        <is>
          <t>Altiplano Central &amp; Valle de Toluca (Chorizo Verde al Quelite, Chorizo Almendrado Seco, Queso Provolone Ahumado y Queso Molido de Rancho)</t>
        </is>
      </c>
      <c r="C309" t="inlineStr">
        <is>
          <t>humedo</t>
        </is>
      </c>
      <c r="D309" s="22" t="inlineStr">
        <is>
          <t>50 g Mermelada rústica de xoconostle al mezcal artesanal (en cazuelita de barro / ramequín)</t>
        </is>
      </c>
      <c r="E309" s="6" t="inlineStr">
        <is>
          <t>Mermelada o compota densa de la casa (elaborada)</t>
        </is>
      </c>
      <c r="F309" s="16" t="n">
        <v>50</v>
      </c>
      <c r="G309" t="inlineStr">
        <is>
          <t>g</t>
        </is>
      </c>
      <c r="H309" s="12">
        <f>IFERROR(VLOOKUP(E309,Insumos!$C$5:$G$181,5,FALSE),0)</f>
        <v/>
      </c>
      <c r="I309" s="17">
        <f>F309*H309</f>
        <v/>
      </c>
    </row>
    <row r="310">
      <c r="A310" t="n">
        <v>31</v>
      </c>
      <c r="B310" s="21" t="inlineStr">
        <is>
          <t>Altiplano Central &amp; Valle de Toluca (Chorizo Verde al Quelite, Chorizo Almendrado Seco, Queso Provolone Ahumado y Queso Molido de Rancho)</t>
        </is>
      </c>
      <c r="C310" t="inlineStr">
        <is>
          <t>humedo</t>
        </is>
      </c>
      <c r="D310" s="22" t="inlineStr">
        <is>
          <t>40 g Chiles manzanos amarillos encurtidos en vinagre de manzana con cebolla morada y orégano de monte (en ramequín cerámico)</t>
        </is>
      </c>
      <c r="E310" s="6" t="inlineStr">
        <is>
          <t>Chile en escabeche o encurtido (manzano, jalapeño, poblano, simojovel)</t>
        </is>
      </c>
      <c r="F310" s="16" t="n">
        <v>40</v>
      </c>
      <c r="G310" t="inlineStr">
        <is>
          <t>g</t>
        </is>
      </c>
      <c r="H310" s="12">
        <f>IFERROR(VLOOKUP(E310,Insumos!$C$5:$G$181,5,FALSE),0)</f>
        <v/>
      </c>
      <c r="I310" s="17">
        <f>F310*H310</f>
        <v/>
      </c>
    </row>
    <row r="311">
      <c r="A311" t="n">
        <v>31</v>
      </c>
      <c r="B311" s="21" t="inlineStr">
        <is>
          <t>Altiplano Central &amp; Valle de Toluca (Chorizo Verde al Quelite, Chorizo Almendrado Seco, Queso Provolone Ahumado y Queso Molido de Rancho)</t>
        </is>
      </c>
      <c r="C311" t="inlineStr">
        <is>
          <t>humedo</t>
        </is>
      </c>
      <c r="D311" s="22" t="inlineStr">
        <is>
          <t>50 g Higos frescos de huerto cortados en cuartos</t>
        </is>
      </c>
      <c r="E311" s="6" t="inlineStr">
        <is>
          <t>Higo fresco maduro</t>
        </is>
      </c>
      <c r="F311" s="16" t="n">
        <v>50</v>
      </c>
      <c r="G311" t="inlineStr">
        <is>
          <t>g</t>
        </is>
      </c>
      <c r="H311" s="12">
        <f>IFERROR(VLOOKUP(E311,Insumos!$C$5:$G$181,5,FALSE),0)</f>
        <v/>
      </c>
      <c r="I311" s="17">
        <f>F311*H311</f>
        <v/>
      </c>
    </row>
    <row r="312">
      <c r="A312" t="n">
        <v>32</v>
      </c>
      <c r="B312" s="21" t="inlineStr">
        <is>
          <t>Valles Centrales de Oaxaca &amp; Costa Chica (Tasajo de Hebra Oaxaqueño, Cecina Enchilada, Quesillo Tradicional de Etla y Queso de Cuadrito Añejo)</t>
        </is>
      </c>
      <c r="C312" t="inlineStr">
        <is>
          <t>charcuteria</t>
        </is>
      </c>
      <c r="D312" s="22" t="inlineStr">
        <is>
          <t>100 g Tasajo Tradicional de Hebra (pulpa de res de pastoreo cortada a sábana delgada, salada en seco con sal marina de Salina Cruz y oreada al viento durante 48 horas) cortado en tiras finas de 5 cm</t>
        </is>
      </c>
      <c r="E312" s="6" t="inlineStr">
        <is>
          <t>Tasajo oaxaqueño de hebra</t>
        </is>
      </c>
      <c r="F312" s="16" t="n">
        <v>100</v>
      </c>
      <c r="G312" t="inlineStr">
        <is>
          <t>g</t>
        </is>
      </c>
      <c r="H312" s="12">
        <f>IFERROR(VLOOKUP(E312,Insumos!$C$5:$G$181,5,FALSE),0)</f>
        <v/>
      </c>
      <c r="I312" s="17">
        <f>F312*H312</f>
        <v/>
      </c>
    </row>
    <row r="313">
      <c r="A313" t="n">
        <v>32</v>
      </c>
      <c r="B313" s="21" t="inlineStr">
        <is>
          <t>Valles Centrales de Oaxaca &amp; Costa Chica (Tasajo de Hebra Oaxaqueño, Cecina Enchilada, Quesillo Tradicional de Etla y Queso de Cuadrito Añejo)</t>
        </is>
      </c>
      <c r="C313" t="inlineStr">
        <is>
          <t>charcuteria</t>
        </is>
      </c>
      <c r="D313" s="22" t="inlineStr">
        <is>
          <t>90 g Cecina de Cerdo Enchilada Oaxaqueña (pulpa de pierna de cerdo marinada en pasta de chile costeño, chile pasilla oaxaqueño, ajo, pimienta negra, vinagre y orégano seco, oreada al sol) cortada en tiras finas</t>
        </is>
      </c>
      <c r="E313" s="6" t="inlineStr">
        <is>
          <t>Cecina mexicana oreada o enchilada</t>
        </is>
      </c>
      <c r="F313" s="16" t="n">
        <v>90</v>
      </c>
      <c r="G313" t="inlineStr">
        <is>
          <t>g</t>
        </is>
      </c>
      <c r="H313" s="12">
        <f>IFERROR(VLOOKUP(E313,Insumos!$C$5:$G$181,5,FALSE),0)</f>
        <v/>
      </c>
      <c r="I313" s="17">
        <f>F313*H313</f>
        <v/>
      </c>
    </row>
    <row r="314">
      <c r="A314" t="n">
        <v>32</v>
      </c>
      <c r="B314" s="21" t="inlineStr">
        <is>
          <t>Valles Centrales de Oaxaca &amp; Costa Chica (Tasajo de Hebra Oaxaqueño, Cecina Enchilada, Quesillo Tradicional de Etla y Queso de Cuadrito Añejo)</t>
        </is>
      </c>
      <c r="C314" t="inlineStr">
        <is>
          <t>queso</t>
        </is>
      </c>
      <c r="D314" s="22" t="inlineStr">
        <is>
          <t>130 g Quesillo de Reyes Etla (pasta hilada ácida artesanal con leche cruda de vaca, elaborado con fermentación natural de suero ácido, salazón manual en salmuera fría) desenrollado y montado en hilos gruesos de 1 cm</t>
        </is>
      </c>
      <c r="E314" s="6" t="inlineStr">
        <is>
          <t>Quesillo de Etla, Oaxaca o queso de hebra</t>
        </is>
      </c>
      <c r="F314" s="16" t="n">
        <v>130</v>
      </c>
      <c r="G314" t="inlineStr">
        <is>
          <t>g</t>
        </is>
      </c>
      <c r="H314" s="12">
        <f>IFERROR(VLOOKUP(E314,Insumos!$C$5:$G$181,5,FALSE),0)</f>
        <v/>
      </c>
      <c r="I314" s="17">
        <f>F314*H314</f>
        <v/>
      </c>
    </row>
    <row r="315">
      <c r="A315" t="n">
        <v>32</v>
      </c>
      <c r="B315" s="21" t="inlineStr">
        <is>
          <t>Valles Centrales de Oaxaca &amp; Costa Chica (Tasajo de Hebra Oaxaqueño, Cecina Enchilada, Quesillo Tradicional de Etla y Queso de Cuadrito Añejo)</t>
        </is>
      </c>
      <c r="C315" t="inlineStr">
        <is>
          <t>queso</t>
        </is>
      </c>
      <c r="D315" s="22" t="inlineStr">
        <is>
          <t>100 g Queso de Cuadrito Añejo de la Costa Chica (queso prensado seco de leche cruda de vaca, maduración en costra salina durante 3 a 5 meses, textura quebradiza y salinidad punzante) cortado en cubos de 1.5 cm</t>
        </is>
      </c>
      <c r="E315" s="6" t="inlineStr">
        <is>
          <t>Queso añejo, cotija o de cuadro seco</t>
        </is>
      </c>
      <c r="F315" s="16" t="n">
        <v>100</v>
      </c>
      <c r="G315" t="inlineStr">
        <is>
          <t>g</t>
        </is>
      </c>
      <c r="H315" s="12">
        <f>IFERROR(VLOOKUP(E315,Insumos!$C$5:$G$181,5,FALSE),0)</f>
        <v/>
      </c>
      <c r="I315" s="17">
        <f>F315*H315</f>
        <v/>
      </c>
    </row>
    <row r="316">
      <c r="A316" t="n">
        <v>32</v>
      </c>
      <c r="B316" s="21" t="inlineStr">
        <is>
          <t>Valles Centrales de Oaxaca &amp; Costa Chica (Tasajo de Hebra Oaxaqueño, Cecina Enchilada, Quesillo Tradicional de Etla y Queso de Cuadrito Añejo)</t>
        </is>
      </c>
      <c r="C316" t="inlineStr">
        <is>
          <t>seco</t>
        </is>
      </c>
      <c r="D316" s="22" t="inlineStr">
        <is>
          <t>60 g Tlayuda de maíz criollo blanco o amarillo dorada al comal con leña, quebrada en lajas crujientes triangulares</t>
        </is>
      </c>
      <c r="E316" s="6" t="inlineStr">
        <is>
          <t>Tlayuda, tostada raspada o gordita de maíz</t>
        </is>
      </c>
      <c r="F316" s="16" t="n">
        <v>1</v>
      </c>
      <c r="G316" t="inlineStr">
        <is>
          <t>pz</t>
        </is>
      </c>
      <c r="H316" s="12">
        <f>IFERROR(VLOOKUP(E316,Insumos!$C$5:$G$181,5,FALSE),0)</f>
        <v/>
      </c>
      <c r="I316" s="17">
        <f>F316*H316</f>
        <v/>
      </c>
    </row>
    <row r="317">
      <c r="A317" t="n">
        <v>32</v>
      </c>
      <c r="B317" s="21" t="inlineStr">
        <is>
          <t>Valles Centrales de Oaxaca &amp; Costa Chica (Tasajo de Hebra Oaxaqueño, Cecina Enchilada, Quesillo Tradicional de Etla y Queso de Cuadrito Añejo)</t>
        </is>
      </c>
      <c r="C317" t="inlineStr">
        <is>
          <t>seco</t>
        </is>
      </c>
      <c r="D317" s="22" t="inlineStr">
        <is>
          <t>40 g Tostaditas delgadas de maíz blanco cocidas en comal de barro</t>
        </is>
      </c>
      <c r="E317" s="6" t="inlineStr">
        <is>
          <t>Totopos o tostaditas de maíz nixtamalizado</t>
        </is>
      </c>
      <c r="F317" s="16" t="n">
        <v>40</v>
      </c>
      <c r="G317" t="inlineStr">
        <is>
          <t>g</t>
        </is>
      </c>
      <c r="H317" s="12">
        <f>IFERROR(VLOOKUP(E317,Insumos!$C$5:$G$181,5,FALSE),0)</f>
        <v/>
      </c>
      <c r="I317" s="17">
        <f>F317*H317</f>
        <v/>
      </c>
    </row>
    <row r="318">
      <c r="A318" t="n">
        <v>32</v>
      </c>
      <c r="B318" s="21" t="inlineStr">
        <is>
          <t>Valles Centrales de Oaxaca &amp; Costa Chica (Tasajo de Hebra Oaxaqueño, Cecina Enchilada, Quesillo Tradicional de Etla y Queso de Cuadrito Añejo)</t>
        </is>
      </c>
      <c r="C318" t="inlineStr">
        <is>
          <t>seco</t>
        </is>
      </c>
      <c r="D318" s="22" t="inlineStr">
        <is>
          <t>30 g Cacahuates tostados con ajo deshidratado y chile de árbol</t>
        </is>
      </c>
      <c r="E318" s="6" t="inlineStr">
        <is>
          <t>Cacahuate tostado y aliñado</t>
        </is>
      </c>
      <c r="F318" s="16" t="n">
        <v>30</v>
      </c>
      <c r="G318" t="inlineStr">
        <is>
          <t>g</t>
        </is>
      </c>
      <c r="H318" s="12">
        <f>IFERROR(VLOOKUP(E318,Insumos!$C$5:$G$181,5,FALSE),0)</f>
        <v/>
      </c>
      <c r="I318" s="17">
        <f>F318*H318</f>
        <v/>
      </c>
    </row>
    <row r="319">
      <c r="A319" t="n">
        <v>32</v>
      </c>
      <c r="B319" s="21" t="inlineStr">
        <is>
          <t>Valles Centrales de Oaxaca &amp; Costa Chica (Tasajo de Hebra Oaxaqueño, Cecina Enchilada, Quesillo Tradicional de Etla y Queso de Cuadrito Añejo)</t>
        </is>
      </c>
      <c r="C319" t="inlineStr">
        <is>
          <t>humedo</t>
        </is>
      </c>
      <c r="D319" s="22" t="inlineStr">
        <is>
          <t>35 g Chapulines medianos tostados en comal con ajo, limón y sal marina (en cazuelita de barro)</t>
        </is>
      </c>
      <c r="E319" s="6" t="inlineStr">
        <is>
          <t>Chapulines tostados</t>
        </is>
      </c>
      <c r="F319" s="16" t="n">
        <v>35</v>
      </c>
      <c r="G319" t="inlineStr">
        <is>
          <t>g</t>
        </is>
      </c>
      <c r="H319" s="12">
        <f>IFERROR(VLOOKUP(E319,Insumos!$C$5:$G$181,5,FALSE),0)</f>
        <v/>
      </c>
      <c r="I319" s="17">
        <f>F319*H319</f>
        <v/>
      </c>
    </row>
    <row r="320">
      <c r="A320" t="n">
        <v>32</v>
      </c>
      <c r="B320" s="21" t="inlineStr">
        <is>
          <t>Valles Centrales de Oaxaca &amp; Costa Chica (Tasajo de Hebra Oaxaqueño, Cecina Enchilada, Quesillo Tradicional de Etla y Queso de Cuadrito Añejo)</t>
        </is>
      </c>
      <c r="C320" t="inlineStr">
        <is>
          <t>humedo</t>
        </is>
      </c>
      <c r="D320" s="22" t="inlineStr">
        <is>
          <t>50 g Mermelada o pasta densa de miltomate y chile pasilla oaxaqueño tatemado (en ramequín)</t>
        </is>
      </c>
      <c r="E320" s="6" t="inlineStr">
        <is>
          <t>Mermelada o compota densa de la casa (elaborada)</t>
        </is>
      </c>
      <c r="F320" s="16" t="n">
        <v>50</v>
      </c>
      <c r="G320" t="inlineStr">
        <is>
          <t>g</t>
        </is>
      </c>
      <c r="H320" s="12">
        <f>IFERROR(VLOOKUP(E320,Insumos!$C$5:$G$181,5,FALSE),0)</f>
        <v/>
      </c>
      <c r="I320" s="17">
        <f>F320*H320</f>
        <v/>
      </c>
    </row>
    <row r="321">
      <c r="A321" t="n">
        <v>32</v>
      </c>
      <c r="B321" s="21" t="inlineStr">
        <is>
          <t>Valles Centrales de Oaxaca &amp; Costa Chica (Tasajo de Hebra Oaxaqueño, Cecina Enchilada, Quesillo Tradicional de Etla y Queso de Cuadrito Añejo)</t>
        </is>
      </c>
      <c r="C321" t="inlineStr">
        <is>
          <t>humedo</t>
        </is>
      </c>
      <c r="D321" s="22" t="inlineStr">
        <is>
          <t>40 g Aguacate criollo con cáscara delgada comestible cortado en gajos</t>
        </is>
      </c>
      <c r="E321" s="6" t="inlineStr">
        <is>
          <t>Aguacate criollo o Hass</t>
        </is>
      </c>
      <c r="F321" s="16" t="n">
        <v>40</v>
      </c>
      <c r="G321" t="inlineStr">
        <is>
          <t>g</t>
        </is>
      </c>
      <c r="H321" s="12">
        <f>IFERROR(VLOOKUP(E321,Insumos!$C$5:$G$181,5,FALSE),0)</f>
        <v/>
      </c>
      <c r="I321" s="17">
        <f>F321*H321</f>
        <v/>
      </c>
    </row>
    <row r="322">
      <c r="A322" t="n">
        <v>33</v>
      </c>
      <c r="B322" s="21" t="inlineStr">
        <is>
          <t>Tierra Caliente &amp; Sierra de Jiquilpan (Carnitas Prensadas al Cazo, Lomo Mechado en Adobo, Queso Cotija Región de Origen y Queso Adobera Artesanal)</t>
        </is>
      </c>
      <c r="C322" t="inlineStr">
        <is>
          <t>charcuteria</t>
        </is>
      </c>
      <c r="D322" s="22" t="inlineStr">
        <is>
          <t>100 g Carnitas Prensadas Artesanales en Frío (magro de cerdo confitado lentamente en cazo de cobre en su propia manteca con naranja, sal marina y especias, prensado mecánicamente en frío para retirar exceso de grasa) cortado en lingotes rectangulares de 4 cm x 2 cm x 1 cm</t>
        </is>
      </c>
      <c r="E322" s="6" t="inlineStr">
        <is>
          <t>Chicharrón prensado, cicoli o carnitas en frío</t>
        </is>
      </c>
      <c r="F322" s="16" t="n">
        <v>100</v>
      </c>
      <c r="G322" t="inlineStr">
        <is>
          <t>g</t>
        </is>
      </c>
      <c r="H322" s="12">
        <f>IFERROR(VLOOKUP(E322,Insumos!$C$5:$G$181,5,FALSE),0)</f>
        <v/>
      </c>
      <c r="I322" s="17">
        <f>F322*H322</f>
        <v/>
      </c>
    </row>
    <row r="323">
      <c r="A323" t="n">
        <v>33</v>
      </c>
      <c r="B323" s="21" t="inlineStr">
        <is>
          <t>Tierra Caliente &amp; Sierra de Jiquilpan (Carnitas Prensadas al Cazo, Lomo Mechado en Adobo, Queso Cotija Región de Origen y Queso Adobera Artesanal)</t>
        </is>
      </c>
      <c r="C323" t="inlineStr">
        <is>
          <t>charcuteria</t>
        </is>
      </c>
      <c r="D323" s="22" t="inlineStr">
        <is>
          <t>90 g Lomo de Cerdo Mechado en Frío (lomo mechado con almendras y ciruelas pasas, marinado en adobo de chiles guajillo, ancho, comino y clavo, horneado y reposado) rebanado en láminas delgadas de 1.5 mm</t>
        </is>
      </c>
      <c r="E323" s="6" t="inlineStr">
        <is>
          <t>Lomo de cerdo curado, mechado o enchilado</t>
        </is>
      </c>
      <c r="F323" s="16" t="n">
        <v>90</v>
      </c>
      <c r="G323" t="inlineStr">
        <is>
          <t>g</t>
        </is>
      </c>
      <c r="H323" s="12">
        <f>IFERROR(VLOOKUP(E323,Insumos!$C$5:$G$181,5,FALSE),0)</f>
        <v/>
      </c>
      <c r="I323" s="17">
        <f>F323*H323</f>
        <v/>
      </c>
    </row>
    <row r="324">
      <c r="A324" t="n">
        <v>33</v>
      </c>
      <c r="B324" s="21" t="inlineStr">
        <is>
          <t>Tierra Caliente &amp; Sierra de Jiquilpan (Carnitas Prensadas al Cazo, Lomo Mechado en Adobo, Queso Cotija Región de Origen y Queso Adobera Artesanal)</t>
        </is>
      </c>
      <c r="C324" t="inlineStr">
        <is>
          <t>queso</t>
        </is>
      </c>
      <c r="D324" s="22" t="inlineStr">
        <is>
          <t>120 g Queso Cotija Región de Origen Artesanal (leche bronca cruda de vaca de libre pastoreo en la sierra de Jiquilpan/Cotija, elaborado exclusivamente en época de lluvias, maduración en cava natural durante 12 meses, pasta dura extraseca salada con cristales de tirosina) quebrado en lascas naturales y cuñas</t>
        </is>
      </c>
      <c r="E324" s="6" t="inlineStr">
        <is>
          <t>Queso añejo, cotija o de cuadro seco</t>
        </is>
      </c>
      <c r="F324" s="16" t="n">
        <v>120</v>
      </c>
      <c r="G324" t="inlineStr">
        <is>
          <t>g</t>
        </is>
      </c>
      <c r="H324" s="12">
        <f>IFERROR(VLOOKUP(E324,Insumos!$C$5:$G$181,5,FALSE),0)</f>
        <v/>
      </c>
      <c r="I324" s="17">
        <f>F324*H324</f>
        <v/>
      </c>
    </row>
    <row r="325">
      <c r="A325" t="n">
        <v>33</v>
      </c>
      <c r="B325" s="21" t="inlineStr">
        <is>
          <t>Tierra Caliente &amp; Sierra de Jiquilpan (Carnitas Prensadas al Cazo, Lomo Mechado en Adobo, Queso Cotija Región de Origen y Queso Adobera Artesanal)</t>
        </is>
      </c>
      <c r="C325" t="inlineStr">
        <is>
          <t>queso</t>
        </is>
      </c>
      <c r="D325" s="22" t="inlineStr">
        <is>
          <t>100 g Queso Adobera Tradicional de Los Altos de Jalisco (pasta blanda desmoronable / prensada suave, leche entera de vaca, aroma láctico fresco) cortado en bastones de 6 cm x 1 cm</t>
        </is>
      </c>
      <c r="E325" s="6" t="inlineStr">
        <is>
          <t>Queso adobera, asadero o botanero</t>
        </is>
      </c>
      <c r="F325" s="16" t="n">
        <v>100</v>
      </c>
      <c r="G325" t="inlineStr">
        <is>
          <t>g</t>
        </is>
      </c>
      <c r="H325" s="12">
        <f>IFERROR(VLOOKUP(E325,Insumos!$C$5:$G$181,5,FALSE),0)</f>
        <v/>
      </c>
      <c r="I325" s="17">
        <f>F325*H325</f>
        <v/>
      </c>
    </row>
    <row r="326">
      <c r="A326" t="n">
        <v>33</v>
      </c>
      <c r="B326" s="21" t="inlineStr">
        <is>
          <t>Tierra Caliente &amp; Sierra de Jiquilpan (Carnitas Prensadas al Cazo, Lomo Mechado en Adobo, Queso Cotija Región de Origen y Queso Adobera Artesanal)</t>
        </is>
      </c>
      <c r="C326" t="inlineStr">
        <is>
          <t>seco</t>
        </is>
      </c>
      <c r="D326" s="22" t="inlineStr">
        <is>
          <t>60 g Tostadas raspadas artesanales de Zapotlanejo o totopos de maíz criollo tostados al comal</t>
        </is>
      </c>
      <c r="E326" s="6" t="inlineStr">
        <is>
          <t>Totopos o tostaditas de maíz nixtamalizado</t>
        </is>
      </c>
      <c r="F326" s="16" t="n">
        <v>60</v>
      </c>
      <c r="G326" t="inlineStr">
        <is>
          <t>g</t>
        </is>
      </c>
      <c r="H326" s="12">
        <f>IFERROR(VLOOKUP(E326,Insumos!$C$5:$G$181,5,FALSE),0)</f>
        <v/>
      </c>
      <c r="I326" s="17">
        <f>F326*H326</f>
        <v/>
      </c>
    </row>
    <row r="327">
      <c r="A327" t="n">
        <v>33</v>
      </c>
      <c r="B327" s="21" t="inlineStr">
        <is>
          <t>Tierra Caliente &amp; Sierra de Jiquilpan (Carnitas Prensadas al Cazo, Lomo Mechado en Adobo, Queso Cotija Región de Origen y Queso Adobera Artesanal)</t>
        </is>
      </c>
      <c r="C327" t="inlineStr">
        <is>
          <t>seco</t>
        </is>
      </c>
      <c r="D327" s="22" t="inlineStr">
        <is>
          <t>40 g Cucharitas de maíz crujiente horneadas</t>
        </is>
      </c>
      <c r="E327" s="6" t="inlineStr">
        <is>
          <t>Tlayuda, tostada raspada o gordita de maíz</t>
        </is>
      </c>
      <c r="F327" s="16" t="n">
        <v>0.7</v>
      </c>
      <c r="G327" t="inlineStr">
        <is>
          <t>pz</t>
        </is>
      </c>
      <c r="H327" s="12">
        <f>IFERROR(VLOOKUP(E327,Insumos!$C$5:$G$181,5,FALSE),0)</f>
        <v/>
      </c>
      <c r="I327" s="17">
        <f>F327*H327</f>
        <v/>
      </c>
    </row>
    <row r="328">
      <c r="A328" t="n">
        <v>33</v>
      </c>
      <c r="B328" s="21" t="inlineStr">
        <is>
          <t>Tierra Caliente &amp; Sierra de Jiquilpan (Carnitas Prensadas al Cazo, Lomo Mechado en Adobo, Queso Cotija Región de Origen y Queso Adobera Artesanal)</t>
        </is>
      </c>
      <c r="C328" t="inlineStr">
        <is>
          <t>seco</t>
        </is>
      </c>
      <c r="D328" s="22" t="inlineStr">
        <is>
          <t>35 g Nueces de macadamia o nueces de Castilla peladas tostadas</t>
        </is>
      </c>
      <c r="E328" s="6" t="inlineStr">
        <is>
          <t>Macadamia tostada</t>
        </is>
      </c>
      <c r="F328" s="16" t="n">
        <v>35</v>
      </c>
      <c r="G328" t="inlineStr">
        <is>
          <t>g</t>
        </is>
      </c>
      <c r="H328" s="12">
        <f>IFERROR(VLOOKUP(E328,Insumos!$C$5:$G$181,5,FALSE),0)</f>
        <v/>
      </c>
      <c r="I328" s="17">
        <f>F328*H328</f>
        <v/>
      </c>
    </row>
    <row r="329">
      <c r="A329" t="n">
        <v>33</v>
      </c>
      <c r="B329" s="21" t="inlineStr">
        <is>
          <t>Tierra Caliente &amp; Sierra de Jiquilpan (Carnitas Prensadas al Cazo, Lomo Mechado en Adobo, Queso Cotija Región de Origen y Queso Adobera Artesanal)</t>
        </is>
      </c>
      <c r="C329" t="inlineStr">
        <is>
          <t>humedo</t>
        </is>
      </c>
      <c r="D329" s="22" t="inlineStr">
        <is>
          <t>45 g Mermelada densa de zarzamoras silvestres de Michoacán al chile chipotle seco (en ramequín)</t>
        </is>
      </c>
      <c r="E329" s="6" t="inlineStr">
        <is>
          <t>Mermelada o compota densa de la casa (elaborada)</t>
        </is>
      </c>
      <c r="F329" s="16" t="n">
        <v>45</v>
      </c>
      <c r="G329" t="inlineStr">
        <is>
          <t>g</t>
        </is>
      </c>
      <c r="H329" s="12">
        <f>IFERROR(VLOOKUP(E329,Insumos!$C$5:$G$181,5,FALSE),0)</f>
        <v/>
      </c>
      <c r="I329" s="17">
        <f>F329*H329</f>
        <v/>
      </c>
    </row>
    <row r="330">
      <c r="A330" t="n">
        <v>33</v>
      </c>
      <c r="B330" s="21" t="inlineStr">
        <is>
          <t>Tierra Caliente &amp; Sierra de Jiquilpan (Carnitas Prensadas al Cazo, Lomo Mechado en Adobo, Queso Cotija Región de Origen y Queso Adobera Artesanal)</t>
        </is>
      </c>
      <c r="C330" t="inlineStr">
        <is>
          <t>humedo</t>
        </is>
      </c>
      <c r="D330" s="22" t="inlineStr">
        <is>
          <t>40 g Cebollitas cambray asadas al comal glaseadas con jugo de naranja agria y soya (en ramequín)</t>
        </is>
      </c>
      <c r="E330" s="6" t="inlineStr">
        <is>
          <t>Cebolla, chalota o cebollita de cambray</t>
        </is>
      </c>
      <c r="F330" s="16" t="n">
        <v>40</v>
      </c>
      <c r="G330" t="inlineStr">
        <is>
          <t>g</t>
        </is>
      </c>
      <c r="H330" s="12">
        <f>IFERROR(VLOOKUP(E330,Insumos!$C$5:$G$181,5,FALSE),0)</f>
        <v/>
      </c>
      <c r="I330" s="17">
        <f>F330*H330</f>
        <v/>
      </c>
    </row>
    <row r="331">
      <c r="A331" t="n">
        <v>33</v>
      </c>
      <c r="B331" s="21" t="inlineStr">
        <is>
          <t>Tierra Caliente &amp; Sierra de Jiquilpan (Carnitas Prensadas al Cazo, Lomo Mechado en Adobo, Queso Cotija Región de Origen y Queso Adobera Artesanal)</t>
        </is>
      </c>
      <c r="C331" t="inlineStr">
        <is>
          <t>humedo</t>
        </is>
      </c>
      <c r="D331" s="22" t="inlineStr">
        <is>
          <t>50 g Ciruelas pasas deshuesadas maceradas en tequila reposado</t>
        </is>
      </c>
      <c r="E331" s="6" t="inlineStr">
        <is>
          <t>Dátil, ciruela pasa u orejón</t>
        </is>
      </c>
      <c r="F331" s="16" t="n">
        <v>50</v>
      </c>
      <c r="G331" t="inlineStr">
        <is>
          <t>g</t>
        </is>
      </c>
      <c r="H331" s="12">
        <f>IFERROR(VLOOKUP(E331,Insumos!$C$5:$G$181,5,FALSE),0)</f>
        <v/>
      </c>
      <c r="I331" s="17">
        <f>F331*H331</f>
        <v/>
      </c>
    </row>
    <row r="332">
      <c r="A332" t="n">
        <v>34</v>
      </c>
      <c r="B332" s="21" t="inlineStr">
        <is>
          <t>Huasteca Hidalguense &amp; Sierra Gorda (Cecina Oreada a la Leña, Jamón Serrano Queretano de Cava, Queso de Cabra al Carbón y Queso Huasteco Botanero)</t>
        </is>
      </c>
      <c r="C332" t="inlineStr">
        <is>
          <t>charcuteria</t>
        </is>
      </c>
      <c r="D332" s="22" t="inlineStr">
        <is>
          <t>100 g Jamón Serrano Queretano Artesanal (maduración mínima de 14 a 16 meses en cavas del semidesierto de Tequisquiapan/Ezequiel Montes, corteza curada en manteca y pimentón) cortado en lonchas de 1 mm</t>
        </is>
      </c>
      <c r="E332" s="6" t="inlineStr">
        <is>
          <t>Jamón criollo mexicano curado o ahumado</t>
        </is>
      </c>
      <c r="F332" s="16" t="n">
        <v>100</v>
      </c>
      <c r="G332" t="inlineStr">
        <is>
          <t>g</t>
        </is>
      </c>
      <c r="H332" s="12">
        <f>IFERROR(VLOOKUP(E332,Insumos!$C$5:$G$181,5,FALSE),0)</f>
        <v/>
      </c>
      <c r="I332" s="17">
        <f>F332*H332</f>
        <v/>
      </c>
    </row>
    <row r="333">
      <c r="A333" t="n">
        <v>34</v>
      </c>
      <c r="B333" s="21" t="inlineStr">
        <is>
          <t>Huasteca Hidalguense &amp; Sierra Gorda (Cecina Oreada a la Leña, Jamón Serrano Queretano de Cava, Queso de Cabra al Carbón y Queso Huasteco Botanero)</t>
        </is>
      </c>
      <c r="C333" t="inlineStr">
        <is>
          <t>charcuteria</t>
        </is>
      </c>
      <c r="D333" s="22" t="inlineStr">
        <is>
          <t>90 g Cecina Huasteca Oreada (pulpa de res fileteada delgada, salada con sal de grano, oreada al humo frío de leña de encino y naranjo en la Huasteca) cortada en tiras finas de 1.5 cm x 6 cm</t>
        </is>
      </c>
      <c r="E333" s="6" t="inlineStr">
        <is>
          <t>Cecina mexicana oreada o enchilada</t>
        </is>
      </c>
      <c r="F333" s="16" t="n">
        <v>90</v>
      </c>
      <c r="G333" t="inlineStr">
        <is>
          <t>g</t>
        </is>
      </c>
      <c r="H333" s="12">
        <f>IFERROR(VLOOKUP(E333,Insumos!$C$5:$G$181,5,FALSE),0)</f>
        <v/>
      </c>
      <c r="I333" s="17">
        <f>F333*H333</f>
        <v/>
      </c>
    </row>
    <row r="334">
      <c r="A334" t="n">
        <v>34</v>
      </c>
      <c r="B334" s="21" t="inlineStr">
        <is>
          <t>Huasteca Hidalguense &amp; Sierra Gorda (Cecina Oreada a la Leña, Jamón Serrano Queretano de Cava, Queso de Cabra al Carbón y Queso Huasteco Botanero)</t>
        </is>
      </c>
      <c r="C334" t="inlineStr">
        <is>
          <t>queso</t>
        </is>
      </c>
      <c r="D334" s="22" t="inlineStr">
        <is>
          <t>110 g Queso de Cabra al Carbón Vegetal de Tequisquiapan (leche pasteurizada de cabra, pasta blanda láctica, afinado con ceniza de olote vegetal durante 3 semanas, corteza enmohecida gris) cortado en discos de 1 cm</t>
        </is>
      </c>
      <c r="E334" s="6" t="inlineStr">
        <is>
          <t>Queso de cabra prensado semiduro (Garrotxa, Payoyo, Ibores)</t>
        </is>
      </c>
      <c r="F334" s="16" t="n">
        <v>110</v>
      </c>
      <c r="G334" t="inlineStr">
        <is>
          <t>g</t>
        </is>
      </c>
      <c r="H334" s="12">
        <f>IFERROR(VLOOKUP(E334,Insumos!$C$5:$G$181,5,FALSE),0)</f>
        <v/>
      </c>
      <c r="I334" s="17">
        <f>F334*H334</f>
        <v/>
      </c>
    </row>
    <row r="335">
      <c r="A335" t="n">
        <v>34</v>
      </c>
      <c r="B335" s="21" t="inlineStr">
        <is>
          <t>Huasteca Hidalguense &amp; Sierra Gorda (Cecina Oreada a la Leña, Jamón Serrano Queretano de Cava, Queso de Cabra al Carbón y Queso Huasteco Botanero)</t>
        </is>
      </c>
      <c r="C335" t="inlineStr">
        <is>
          <t>queso</t>
        </is>
      </c>
      <c r="D335" s="22" t="inlineStr">
        <is>
          <t>110 g Queso Huasteco Botanero Tradicional (queso prensado semiduro de leche de vaca de la Huasteca hidalguense, inclusionado con epazote fresco picado y chiles verdes secos) cortado en cubos de 1.5 cm</t>
        </is>
      </c>
      <c r="E335" s="6" t="inlineStr">
        <is>
          <t>Queso adobera, asadero o botanero</t>
        </is>
      </c>
      <c r="F335" s="16" t="n">
        <v>110</v>
      </c>
      <c r="G335" t="inlineStr">
        <is>
          <t>g</t>
        </is>
      </c>
      <c r="H335" s="12">
        <f>IFERROR(VLOOKUP(E335,Insumos!$C$5:$G$181,5,FALSE),0)</f>
        <v/>
      </c>
      <c r="I335" s="17">
        <f>F335*H335</f>
        <v/>
      </c>
    </row>
    <row r="336">
      <c r="A336" t="n">
        <v>34</v>
      </c>
      <c r="B336" s="21" t="inlineStr">
        <is>
          <t>Huasteca Hidalguense &amp; Sierra Gorda (Cecina Oreada a la Leña, Jamón Serrano Queretano de Cava, Queso de Cabra al Carbón y Queso Huasteco Botanero)</t>
        </is>
      </c>
      <c r="C336" t="inlineStr">
        <is>
          <t>seco</t>
        </is>
      </c>
      <c r="D336" s="22" t="inlineStr">
        <is>
          <t>60 g Crackers o tostas finas artesanales de maíz quebrado con semillas de girasol</t>
        </is>
      </c>
      <c r="E336" s="6" t="inlineStr">
        <is>
          <t>Totopos o tostaditas de maíz nixtamalizado</t>
        </is>
      </c>
      <c r="F336" s="16" t="n">
        <v>60</v>
      </c>
      <c r="G336" t="inlineStr">
        <is>
          <t>g</t>
        </is>
      </c>
      <c r="H336" s="12">
        <f>IFERROR(VLOOKUP(E336,Insumos!$C$5:$G$181,5,FALSE),0)</f>
        <v/>
      </c>
      <c r="I336" s="17">
        <f>F336*H336</f>
        <v/>
      </c>
    </row>
    <row r="337">
      <c r="A337" t="n">
        <v>34</v>
      </c>
      <c r="B337" s="21" t="inlineStr">
        <is>
          <t>Huasteca Hidalguense &amp; Sierra Gorda (Cecina Oreada a la Leña, Jamón Serrano Queretano de Cava, Queso de Cabra al Carbón y Queso Huasteco Botanero)</t>
        </is>
      </c>
      <c r="C337" t="inlineStr">
        <is>
          <t>seco</t>
        </is>
      </c>
      <c r="D337" s="22" t="inlineStr">
        <is>
          <t>40 g Picos de pan tostados con aceite de oliva</t>
        </is>
      </c>
      <c r="E337" s="6" t="inlineStr">
        <is>
          <t>Picos, regañás o colines andaluces</t>
        </is>
      </c>
      <c r="F337" s="16" t="n">
        <v>40</v>
      </c>
      <c r="G337" t="inlineStr">
        <is>
          <t>g</t>
        </is>
      </c>
      <c r="H337" s="12">
        <f>IFERROR(VLOOKUP(E337,Insumos!$C$5:$G$181,5,FALSE),0)</f>
        <v/>
      </c>
      <c r="I337" s="17">
        <f>F337*H337</f>
        <v/>
      </c>
    </row>
    <row r="338">
      <c r="A338" t="n">
        <v>34</v>
      </c>
      <c r="B338" s="21" t="inlineStr">
        <is>
          <t>Huasteca Hidalguense &amp; Sierra Gorda (Cecina Oreada a la Leña, Jamón Serrano Queretano de Cava, Queso de Cabra al Carbón y Queso Huasteco Botanero)</t>
        </is>
      </c>
      <c r="C338" t="inlineStr">
        <is>
          <t>seco</t>
        </is>
      </c>
      <c r="D338" s="22" t="inlineStr">
        <is>
          <t>35 g Piñones rosas o nueces de macadamia mexicanas tostadas</t>
        </is>
      </c>
      <c r="E338" s="6" t="inlineStr">
        <is>
          <t>Piñón entero</t>
        </is>
      </c>
      <c r="F338" s="16" t="n">
        <v>35</v>
      </c>
      <c r="G338" t="inlineStr">
        <is>
          <t>g</t>
        </is>
      </c>
      <c r="H338" s="12">
        <f>IFERROR(VLOOKUP(E338,Insumos!$C$5:$G$181,5,FALSE),0)</f>
        <v/>
      </c>
      <c r="I338" s="17">
        <f>F338*H338</f>
        <v/>
      </c>
    </row>
    <row r="339">
      <c r="A339" t="n">
        <v>34</v>
      </c>
      <c r="B339" s="21" t="inlineStr">
        <is>
          <t>Huasteca Hidalguense &amp; Sierra Gorda (Cecina Oreada a la Leña, Jamón Serrano Queretano de Cava, Queso de Cabra al Carbón y Queso Huasteco Botanero)</t>
        </is>
      </c>
      <c r="C339" t="inlineStr">
        <is>
          <t>humedo</t>
        </is>
      </c>
      <c r="D339" s="22" t="inlineStr">
        <is>
          <t>45 g Reducción / jalea espesa de vino tinto Syrah queretano con canela de Ceilán (en ramequín)</t>
        </is>
      </c>
      <c r="E339" s="6" t="inlineStr">
        <is>
          <t>Reducción densa de vino para tabla (elaborada)</t>
        </is>
      </c>
      <c r="F339" s="16" t="n">
        <v>45</v>
      </c>
      <c r="G339" t="inlineStr">
        <is>
          <t>ml</t>
        </is>
      </c>
      <c r="H339" s="12">
        <f>IFERROR(VLOOKUP(E339,Insumos!$C$5:$G$181,5,FALSE),0)</f>
        <v/>
      </c>
      <c r="I339" s="17">
        <f>F339*H339</f>
        <v/>
      </c>
    </row>
    <row r="340">
      <c r="A340" t="n">
        <v>34</v>
      </c>
      <c r="B340" s="21" t="inlineStr">
        <is>
          <t>Huasteca Hidalguense &amp; Sierra Gorda (Cecina Oreada a la Leña, Jamón Serrano Queretano de Cava, Queso de Cabra al Carbón y Queso Huasteco Botanero)</t>
        </is>
      </c>
      <c r="C340" t="inlineStr">
        <is>
          <t>humedo</t>
        </is>
      </c>
      <c r="D340" s="22" t="inlineStr">
        <is>
          <t>40 g Dientes de ajo confitados en aceite de oliva con tomillo silvestre (en ramequín)</t>
        </is>
      </c>
      <c r="E340" s="6" t="inlineStr">
        <is>
          <t>Encurtido rápido de la casa (elaborado)</t>
        </is>
      </c>
      <c r="F340" s="16" t="n">
        <v>40</v>
      </c>
      <c r="G340" t="inlineStr">
        <is>
          <t>g</t>
        </is>
      </c>
      <c r="H340" s="12">
        <f>IFERROR(VLOOKUP(E340,Insumos!$C$5:$G$181,5,FALSE),0)</f>
        <v/>
      </c>
      <c r="I340" s="17">
        <f>F340*H340</f>
        <v/>
      </c>
    </row>
    <row r="341">
      <c r="A341" t="n">
        <v>34</v>
      </c>
      <c r="B341" s="21" t="inlineStr">
        <is>
          <t>Huasteca Hidalguense &amp; Sierra Gorda (Cecina Oreada a la Leña, Jamón Serrano Queretano de Cava, Queso de Cabra al Carbón y Queso Huasteco Botanero)</t>
        </is>
      </c>
      <c r="C341" t="inlineStr">
        <is>
          <t>humedo</t>
        </is>
      </c>
      <c r="D341" s="22" t="inlineStr">
        <is>
          <t>50 g Uvas rojas globo partidas por la mitad limpias y secas</t>
        </is>
      </c>
      <c r="E341" s="6" t="inlineStr">
        <is>
          <t>Uva de mesa sin semilla (blanca, roja o negra)</t>
        </is>
      </c>
      <c r="F341" s="16" t="n">
        <v>50</v>
      </c>
      <c r="G341" t="inlineStr">
        <is>
          <t>g</t>
        </is>
      </c>
      <c r="H341" s="12">
        <f>IFERROR(VLOOKUP(E341,Insumos!$C$5:$G$181,5,FALSE),0)</f>
        <v/>
      </c>
      <c r="I341" s="17">
        <f>F341*H341</f>
        <v/>
      </c>
    </row>
    <row r="342">
      <c r="A342" t="n">
        <v>35</v>
      </c>
      <c r="B342" s="21" t="inlineStr">
        <is>
          <t>Península de Yucatán &amp; Terruño Maya (But Negro Tradicional, Longaniza Ahumada de Valladolid, Queso de Bola Edam Añejo y Queso Fresco con Hoja Santa)</t>
        </is>
      </c>
      <c r="C342" t="inlineStr">
        <is>
          <t>charcuteria</t>
        </is>
      </c>
      <c r="D342" s="22" t="inlineStr">
        <is>
          <t>100 g Longaniza Ahumada de Valladolid (carne de cerdo picada, marinada en vinagre de caña, ajo, achiote, pimienta de Tabasco y orégano yucateco, embutida en tripa natural y ahumada en leña de jabín durante 24 horas) asada al comal y rebanada al bies a 3 mm</t>
        </is>
      </c>
      <c r="E342" s="6" t="inlineStr">
        <is>
          <t>Longaniza o chorizo ahumado artesanal</t>
        </is>
      </c>
      <c r="F342" s="16" t="n">
        <v>100</v>
      </c>
      <c r="G342" t="inlineStr">
        <is>
          <t>g</t>
        </is>
      </c>
      <c r="H342" s="12">
        <f>IFERROR(VLOOKUP(E342,Insumos!$C$5:$G$181,5,FALSE),0)</f>
        <v/>
      </c>
      <c r="I342" s="17">
        <f>F342*H342</f>
        <v/>
      </c>
    </row>
    <row r="343">
      <c r="A343" t="n">
        <v>35</v>
      </c>
      <c r="B343" s="21" t="inlineStr">
        <is>
          <t>Península de Yucatán &amp; Terruño Maya (But Negro Tradicional, Longaniza Ahumada de Valladolid, Queso de Bola Edam Añejo y Queso Fresco con Hoja Santa)</t>
        </is>
      </c>
      <c r="C343" t="inlineStr">
        <is>
          <t>charcuteria</t>
        </is>
      </c>
      <c r="D343" s="22" t="inlineStr">
        <is>
          <t>90 g But Negro Artesanal (embutido tradicional de carne de cerdo y res molida, sazonada con recado negro de chiles paises tatemados al carbón, achiote y especias mayas) cocido al vapor, enfriado y rebanado en lonchas de 2 mm</t>
        </is>
      </c>
      <c r="E343" s="6" t="inlineStr">
        <is>
          <t>Morcilla, but negro o embutido de sangre curado</t>
        </is>
      </c>
      <c r="F343" s="16" t="n">
        <v>90</v>
      </c>
      <c r="G343" t="inlineStr">
        <is>
          <t>g</t>
        </is>
      </c>
      <c r="H343" s="12">
        <f>IFERROR(VLOOKUP(E343,Insumos!$C$5:$G$181,5,FALSE),0)</f>
        <v/>
      </c>
      <c r="I343" s="17">
        <f>F343*H343</f>
        <v/>
      </c>
    </row>
    <row r="344">
      <c r="A344" t="n">
        <v>35</v>
      </c>
      <c r="B344" s="21" t="inlineStr">
        <is>
          <t>Península de Yucatán &amp; Terruño Maya (But Negro Tradicional, Longaniza Ahumada de Valladolid, Queso de Bola Edam Añejo y Queso Fresco con Hoja Santa)</t>
        </is>
      </c>
      <c r="C344" t="inlineStr">
        <is>
          <t>queso</t>
        </is>
      </c>
      <c r="D344" s="22" t="inlineStr">
        <is>
          <t>120 g Queso de Bola Gallo Azul (Queso Edam añejado tradicional de importación arraigado en la gastronomía yucateca, pasta dura prensada, 40% M.G., corteza de parafina roja retirada) cortado en lascas finas con girolle o pelador y cuñas delgadas de 3 mm</t>
        </is>
      </c>
      <c r="E344" s="6" t="inlineStr">
        <is>
          <t>Queso manchego mexicano prensado o de bola</t>
        </is>
      </c>
      <c r="F344" s="16" t="n">
        <v>120</v>
      </c>
      <c r="G344" t="inlineStr">
        <is>
          <t>g</t>
        </is>
      </c>
      <c r="H344" s="12">
        <f>IFERROR(VLOOKUP(E344,Insumos!$C$5:$G$181,5,FALSE),0)</f>
        <v/>
      </c>
      <c r="I344" s="17">
        <f>F344*H344</f>
        <v/>
      </c>
    </row>
    <row r="345">
      <c r="A345" t="n">
        <v>35</v>
      </c>
      <c r="B345" s="21" t="inlineStr">
        <is>
          <t>Península de Yucatán &amp; Terruño Maya (But Negro Tradicional, Longaniza Ahumada de Valladolid, Queso de Bola Edam Añejo y Queso Fresco con Hoja Santa)</t>
        </is>
      </c>
      <c r="C345" t="inlineStr">
        <is>
          <t>queso</t>
        </is>
      </c>
      <c r="D345" s="22" t="inlineStr">
        <is>
          <t>100 g Queso Fresco Artesanal de Rancho Prensado en Hoja Santa (leche de vaca, pasta firme prensada envuelta en hojas frescas de acuyo / hoja santa que transmiten aroma anisado) cortado en cuñas de 6 mm</t>
        </is>
      </c>
      <c r="E345" s="6" t="inlineStr">
        <is>
          <t>Queso fresco de rancho prensado o molido</t>
        </is>
      </c>
      <c r="F345" s="16" t="n">
        <v>100</v>
      </c>
      <c r="G345" t="inlineStr">
        <is>
          <t>g</t>
        </is>
      </c>
      <c r="H345" s="12">
        <f>IFERROR(VLOOKUP(E345,Insumos!$C$5:$G$181,5,FALSE),0)</f>
        <v/>
      </c>
      <c r="I345" s="17">
        <f>F345*H345</f>
        <v/>
      </c>
    </row>
    <row r="346">
      <c r="A346" t="n">
        <v>35</v>
      </c>
      <c r="B346" s="21" t="inlineStr">
        <is>
          <t>Península de Yucatán &amp; Terruño Maya (But Negro Tradicional, Longaniza Ahumada de Valladolid, Queso de Bola Edam Añejo y Queso Fresco con Hoja Santa)</t>
        </is>
      </c>
      <c r="C346" t="inlineStr">
        <is>
          <t>seco</t>
        </is>
      </c>
      <c r="D346" s="22" t="inlineStr">
        <is>
          <t>60 g Totopos de maíz amarillo nixtamalizado crujientes fritos en manteca</t>
        </is>
      </c>
      <c r="E346" s="6" t="inlineStr">
        <is>
          <t>Totopos o tostaditas de maíz nixtamalizado</t>
        </is>
      </c>
      <c r="F346" s="16" t="n">
        <v>60</v>
      </c>
      <c r="G346" t="inlineStr">
        <is>
          <t>g</t>
        </is>
      </c>
      <c r="H346" s="12">
        <f>IFERROR(VLOOKUP(E346,Insumos!$C$5:$G$181,5,FALSE),0)</f>
        <v/>
      </c>
      <c r="I346" s="17">
        <f>F346*H346</f>
        <v/>
      </c>
    </row>
    <row r="347">
      <c r="A347" t="n">
        <v>35</v>
      </c>
      <c r="B347" s="21" t="inlineStr">
        <is>
          <t>Península de Yucatán &amp; Terruño Maya (But Negro Tradicional, Longaniza Ahumada de Valladolid, Queso de Bola Edam Añejo y Queso Fresco con Hoja Santa)</t>
        </is>
      </c>
      <c r="C347" t="inlineStr">
        <is>
          <t>seco</t>
        </is>
      </c>
      <c r="D347" s="22" t="inlineStr">
        <is>
          <t>40 g Crackers delgadas de maíz con pepita de calabaza molida</t>
        </is>
      </c>
      <c r="E347" s="6" t="inlineStr">
        <is>
          <t>Totopos o tostaditas de maíz nixtamalizado</t>
        </is>
      </c>
      <c r="F347" s="16" t="n">
        <v>40</v>
      </c>
      <c r="G347" t="inlineStr">
        <is>
          <t>g</t>
        </is>
      </c>
      <c r="H347" s="12">
        <f>IFERROR(VLOOKUP(E347,Insumos!$C$5:$G$181,5,FALSE),0)</f>
        <v/>
      </c>
      <c r="I347" s="17">
        <f>F347*H347</f>
        <v/>
      </c>
    </row>
    <row r="348">
      <c r="A348" t="n">
        <v>35</v>
      </c>
      <c r="B348" s="21" t="inlineStr">
        <is>
          <t>Península de Yucatán &amp; Terruño Maya (But Negro Tradicional, Longaniza Ahumada de Valladolid, Queso de Bola Edam Añejo y Queso Fresco con Hoja Santa)</t>
        </is>
      </c>
      <c r="C348" t="inlineStr">
        <is>
          <t>seco</t>
        </is>
      </c>
      <c r="D348" s="22" t="inlineStr">
        <is>
          <t>35 g Pepitas de calabaza gruesas tostadas con chile habanero y sal marina</t>
        </is>
      </c>
      <c r="E348" s="6" t="inlineStr">
        <is>
          <t>Pepita de calabaza tostada</t>
        </is>
      </c>
      <c r="F348" s="16" t="n">
        <v>35</v>
      </c>
      <c r="G348" t="inlineStr">
        <is>
          <t>g</t>
        </is>
      </c>
      <c r="H348" s="12">
        <f>IFERROR(VLOOKUP(E348,Insumos!$C$5:$G$181,5,FALSE),0)</f>
        <v/>
      </c>
      <c r="I348" s="17">
        <f>F348*H348</f>
        <v/>
      </c>
    </row>
    <row r="349">
      <c r="A349" t="n">
        <v>35</v>
      </c>
      <c r="B349" s="21" t="inlineStr">
        <is>
          <t>Península de Yucatán &amp; Terruño Maya (But Negro Tradicional, Longaniza Ahumada de Valladolid, Queso de Bola Edam Añejo y Queso Fresco con Hoja Santa)</t>
        </is>
      </c>
      <c r="C349" t="inlineStr">
        <is>
          <t>humedo</t>
        </is>
      </c>
      <c r="D349" s="22" t="inlineStr">
        <is>
          <t>45 g Cebolla morada yucateca fileteada finísima encurtida con naranja agria y orégano seco de monte (en cazuelita de barro)</t>
        </is>
      </c>
      <c r="E349" s="6" t="inlineStr">
        <is>
          <t>Cebolla, chalota o cebollita de cambray</t>
        </is>
      </c>
      <c r="F349" s="16" t="n">
        <v>45</v>
      </c>
      <c r="G349" t="inlineStr">
        <is>
          <t>g</t>
        </is>
      </c>
      <c r="H349" s="12">
        <f>IFERROR(VLOOKUP(E349,Insumos!$C$5:$G$181,5,FALSE),0)</f>
        <v/>
      </c>
      <c r="I349" s="17">
        <f>F349*H349</f>
        <v/>
      </c>
    </row>
    <row r="350">
      <c r="A350" t="n">
        <v>35</v>
      </c>
      <c r="B350" s="21" t="inlineStr">
        <is>
          <t>Península de Yucatán &amp; Terruño Maya (But Negro Tradicional, Longaniza Ahumada de Valladolid, Queso de Bola Edam Añejo y Queso Fresco con Hoja Santa)</t>
        </is>
      </c>
      <c r="C350" t="inlineStr">
        <is>
          <t>humedo</t>
        </is>
      </c>
      <c r="D350" s="22" t="inlineStr">
        <is>
          <t>30 g Pasta densa de chile habanero tatemado en cenizas con jugo de lima y sal (en ramequín pequeño)</t>
        </is>
      </c>
      <c r="E350" s="6" t="inlineStr">
        <is>
          <t>Mermelada o compota densa de la casa (elaborada)</t>
        </is>
      </c>
      <c r="F350" s="16" t="n">
        <v>30</v>
      </c>
      <c r="G350" t="inlineStr">
        <is>
          <t>g</t>
        </is>
      </c>
      <c r="H350" s="12">
        <f>IFERROR(VLOOKUP(E350,Insumos!$C$5:$G$181,5,FALSE),0)</f>
        <v/>
      </c>
      <c r="I350" s="17">
        <f>F350*H350</f>
        <v/>
      </c>
    </row>
    <row r="351">
      <c r="A351" t="n">
        <v>35</v>
      </c>
      <c r="B351" s="21" t="inlineStr">
        <is>
          <t>Península de Yucatán &amp; Terruño Maya (But Negro Tradicional, Longaniza Ahumada de Valladolid, Queso de Bola Edam Añejo y Queso Fresco con Hoja Santa)</t>
        </is>
      </c>
      <c r="C351" t="inlineStr">
        <is>
          <t>humedo</t>
        </is>
      </c>
      <c r="D351" s="22" t="inlineStr">
        <is>
          <t>40 g Dulce de papaya verde en almíbar denso cortado en cubos de 1 cm (en ramequín)</t>
        </is>
      </c>
      <c r="E351" s="6" t="inlineStr">
        <is>
          <t>Mermelada o compota densa de la casa (elaborada)</t>
        </is>
      </c>
      <c r="F351" s="16" t="n">
        <v>40</v>
      </c>
      <c r="G351" t="inlineStr">
        <is>
          <t>g</t>
        </is>
      </c>
      <c r="H351" s="12">
        <f>IFERROR(VLOOKUP(E351,Insumos!$C$5:$G$181,5,FALSE),0)</f>
        <v/>
      </c>
      <c r="I351" s="17">
        <f>F351*H351</f>
        <v/>
      </c>
    </row>
    <row r="352">
      <c r="A352" t="n">
        <v>36</v>
      </c>
      <c r="B352" s="21" t="inlineStr">
        <is>
          <t>Desierto del Norte &amp; Valle de Guadalupe (Machaca de Res Tradicional al Sol, Cecina de Sonora, Queso Real del Castillo Añejo y Queso Ramónetti al Romero)</t>
        </is>
      </c>
      <c r="C352" t="inlineStr">
        <is>
          <t>charcuteria</t>
        </is>
      </c>
      <c r="D352" s="22" t="inlineStr">
        <is>
          <t>90 g Machaca Sonorense Tradicional (pulpa negra de res de pastoreo, tasajeada en sábanas milimétricas, salada en seco, secada al sol del desierto sobre cuerdas de ixtle y aporreada en tronco de mezquite hasta hebra esponjosa)</t>
        </is>
      </c>
      <c r="E352" s="6" t="inlineStr">
        <is>
          <t>Machaca o carne secada al sol norteña</t>
        </is>
      </c>
      <c r="F352" s="16" t="n">
        <v>90</v>
      </c>
      <c r="G352" t="inlineStr">
        <is>
          <t>g</t>
        </is>
      </c>
      <c r="H352" s="12">
        <f>IFERROR(VLOOKUP(E352,Insumos!$C$5:$G$181,5,FALSE),0)</f>
        <v/>
      </c>
      <c r="I352" s="17">
        <f>F352*H352</f>
        <v/>
      </c>
    </row>
    <row r="353">
      <c r="A353" t="n">
        <v>36</v>
      </c>
      <c r="B353" s="21" t="inlineStr">
        <is>
          <t>Desierto del Norte &amp; Valle de Guadalupe (Machaca de Res Tradicional al Sol, Cecina de Sonora, Queso Real del Castillo Añejo y Queso Ramónetti al Romero)</t>
        </is>
      </c>
      <c r="C353" t="inlineStr">
        <is>
          <t>charcuteria</t>
        </is>
      </c>
      <c r="D353" s="22" t="inlineStr">
        <is>
          <t>90 g Cecina de Sonora Seca al Sol (pulpa de lomo o pulpa blanca tasajeada fina, salada y secada con grasa perimetral dorada) cortada en lajas crujientes de 4 cm x 4 cm</t>
        </is>
      </c>
      <c r="E353" s="6" t="inlineStr">
        <is>
          <t>Cecina mexicana oreada o enchilada</t>
        </is>
      </c>
      <c r="F353" s="16" t="n">
        <v>90</v>
      </c>
      <c r="G353" t="inlineStr">
        <is>
          <t>g</t>
        </is>
      </c>
      <c r="H353" s="12">
        <f>IFERROR(VLOOKUP(E353,Insumos!$C$5:$G$181,5,FALSE),0)</f>
        <v/>
      </c>
      <c r="I353" s="17">
        <f>F353*H353</f>
        <v/>
      </c>
    </row>
    <row r="354">
      <c r="A354" t="n">
        <v>36</v>
      </c>
      <c r="B354" s="21" t="inlineStr">
        <is>
          <t>Desierto del Norte &amp; Valle de Guadalupe (Machaca de Res Tradicional al Sol, Cecina de Sonora, Queso Real del Castillo Añejo y Queso Ramónetti al Romero)</t>
        </is>
      </c>
      <c r="C354" t="inlineStr">
        <is>
          <t>queso</t>
        </is>
      </c>
      <c r="D354" s="22" t="inlineStr">
        <is>
          <t>120 g Queso Real del Castillo Añejo (valle de Ojos Negros, leche cruda de vaca holstein, maduración en cava subterránea durante 8 a 10 meses, corteza cepillada natural) cortado en cuñas de 4 mm</t>
        </is>
      </c>
      <c r="E354" s="6" t="inlineStr">
        <is>
          <t>Queso mexicano de cava o de guarda artesanal</t>
        </is>
      </c>
      <c r="F354" s="16" t="n">
        <v>120</v>
      </c>
      <c r="G354" t="inlineStr">
        <is>
          <t>g</t>
        </is>
      </c>
      <c r="H354" s="12">
        <f>IFERROR(VLOOKUP(E354,Insumos!$C$5:$G$181,5,FALSE),0)</f>
        <v/>
      </c>
      <c r="I354" s="17">
        <f>F354*H354</f>
        <v/>
      </c>
    </row>
    <row r="355">
      <c r="A355" t="n">
        <v>36</v>
      </c>
      <c r="B355" s="21" t="inlineStr">
        <is>
          <t>Desierto del Norte &amp; Valle de Guadalupe (Machaca de Res Tradicional al Sol, Cecina de Sonora, Queso Real del Castillo Añejo y Queso Ramónetti al Romero)</t>
        </is>
      </c>
      <c r="C355" t="inlineStr">
        <is>
          <t>queso</t>
        </is>
      </c>
      <c r="D355" s="22" t="inlineStr">
        <is>
          <t>110 g Queso Ramónetti al Romero Silvestre (valle de Ojos Negros, pasta semidura madurada 6 meses, corteza rebozada en hojas de romero de la península) cortado en bastones de 5 cm x 1 cm</t>
        </is>
      </c>
      <c r="E355" s="6" t="inlineStr">
        <is>
          <t>Queso mexicano de cava o de guarda artesanal</t>
        </is>
      </c>
      <c r="F355" s="16" t="n">
        <v>110</v>
      </c>
      <c r="G355" t="inlineStr">
        <is>
          <t>g</t>
        </is>
      </c>
      <c r="H355" s="12">
        <f>IFERROR(VLOOKUP(E355,Insumos!$C$5:$G$181,5,FALSE),0)</f>
        <v/>
      </c>
      <c r="I355" s="17">
        <f>F355*H355</f>
        <v/>
      </c>
    </row>
    <row r="356">
      <c r="A356" t="n">
        <v>36</v>
      </c>
      <c r="B356" s="21" t="inlineStr">
        <is>
          <t>Desierto del Norte &amp; Valle de Guadalupe (Machaca de Res Tradicional al Sol, Cecina de Sonora, Queso Real del Castillo Añejo y Queso Ramónetti al Romero)</t>
        </is>
      </c>
      <c r="C356" t="inlineStr">
        <is>
          <t>seco</t>
        </is>
      </c>
      <c r="D356" s="22" t="inlineStr">
        <is>
          <t>60 g Tiras de tortilla sobaquera sonorense de harina de trigo tostadas al comal (totopos de sobaquera)</t>
        </is>
      </c>
      <c r="E356" s="6" t="inlineStr">
        <is>
          <t>Tortilla de harina sobaquera, marquesita o cucharita crujiente</t>
        </is>
      </c>
      <c r="F356" s="16" t="n">
        <v>60</v>
      </c>
      <c r="G356" t="inlineStr">
        <is>
          <t>g</t>
        </is>
      </c>
      <c r="H356" s="12">
        <f>IFERROR(VLOOKUP(E356,Insumos!$C$5:$G$181,5,FALSE),0)</f>
        <v/>
      </c>
      <c r="I356" s="17">
        <f>F356*H356</f>
        <v/>
      </c>
    </row>
    <row r="357">
      <c r="A357" t="n">
        <v>36</v>
      </c>
      <c r="B357" s="21" t="inlineStr">
        <is>
          <t>Desierto del Norte &amp; Valle de Guadalupe (Machaca de Res Tradicional al Sol, Cecina de Sonora, Queso Real del Castillo Añejo y Queso Ramónetti al Romero)</t>
        </is>
      </c>
      <c r="C357" t="inlineStr">
        <is>
          <t>seco</t>
        </is>
      </c>
      <c r="D357" s="22" t="inlineStr">
        <is>
          <t>40 g Galletas saladas artesanales de vino blanco y salvado</t>
        </is>
      </c>
      <c r="E357" s="6" t="inlineStr">
        <is>
          <t>Crackers artesanales de semillas o masa madre</t>
        </is>
      </c>
      <c r="F357" s="16" t="n">
        <v>40</v>
      </c>
      <c r="G357" t="inlineStr">
        <is>
          <t>g</t>
        </is>
      </c>
      <c r="H357" s="12">
        <f>IFERROR(VLOOKUP(E357,Insumos!$C$5:$G$181,5,FALSE),0)</f>
        <v/>
      </c>
      <c r="I357" s="17">
        <f>F357*H357</f>
        <v/>
      </c>
    </row>
    <row r="358">
      <c r="A358" t="n">
        <v>36</v>
      </c>
      <c r="B358" s="21" t="inlineStr">
        <is>
          <t>Desierto del Norte &amp; Valle de Guadalupe (Machaca de Res Tradicional al Sol, Cecina de Sonora, Queso Real del Castillo Añejo y Queso Ramónetti al Romero)</t>
        </is>
      </c>
      <c r="C358" t="inlineStr">
        <is>
          <t>seco</t>
        </is>
      </c>
      <c r="D358" s="22" t="inlineStr">
        <is>
          <t>35 g Nueces pecanas criollas tostadas al natural</t>
        </is>
      </c>
      <c r="E358" s="6" t="inlineStr">
        <is>
          <t>Nuez pecana o nuez de la India</t>
        </is>
      </c>
      <c r="F358" s="16" t="n">
        <v>35</v>
      </c>
      <c r="G358" t="inlineStr">
        <is>
          <t>g</t>
        </is>
      </c>
      <c r="H358" s="12">
        <f>IFERROR(VLOOKUP(E358,Insumos!$C$5:$G$181,5,FALSE),0)</f>
        <v/>
      </c>
      <c r="I358" s="17">
        <f>F358*H358</f>
        <v/>
      </c>
    </row>
    <row r="359">
      <c r="A359" t="n">
        <v>36</v>
      </c>
      <c r="B359" s="21" t="inlineStr">
        <is>
          <t>Desierto del Norte &amp; Valle de Guadalupe (Machaca de Res Tradicional al Sol, Cecina de Sonora, Queso Real del Castillo Añejo y Queso Ramónetti al Romero)</t>
        </is>
      </c>
      <c r="C359" t="inlineStr">
        <is>
          <t>humedo</t>
        </is>
      </c>
      <c r="D359" s="22" t="inlineStr">
        <is>
          <t>45 g Mermelada densa de uva Mission y vino Nebbiolo del Valle de Guadalupe (en ramequín)</t>
        </is>
      </c>
      <c r="E359" s="6" t="inlineStr">
        <is>
          <t>Mermelada o compota densa de la casa (elaborada)</t>
        </is>
      </c>
      <c r="F359" s="16" t="n">
        <v>45</v>
      </c>
      <c r="G359" t="inlineStr">
        <is>
          <t>g</t>
        </is>
      </c>
      <c r="H359" s="12">
        <f>IFERROR(VLOOKUP(E359,Insumos!$C$5:$G$181,5,FALSE),0)</f>
        <v/>
      </c>
      <c r="I359" s="17">
        <f>F359*H359</f>
        <v/>
      </c>
    </row>
    <row r="360">
      <c r="A360" t="n">
        <v>36</v>
      </c>
      <c r="B360" s="21" t="inlineStr">
        <is>
          <t>Desierto del Norte &amp; Valle de Guadalupe (Machaca de Res Tradicional al Sol, Cecina de Sonora, Queso Real del Castillo Añejo y Queso Ramónetti al Romero)</t>
        </is>
      </c>
      <c r="C360" t="inlineStr">
        <is>
          <t>humedo</t>
        </is>
      </c>
      <c r="D360" s="22" t="inlineStr">
        <is>
          <t>40 g Aceitunas Misión de Ensenada marinadas en salmuera con cáscara de naranja y orégano (en ramequín)</t>
        </is>
      </c>
      <c r="E360" s="6" t="inlineStr">
        <is>
          <t>Aceituna de mesa aliñada (Gordal, Manzanilla, Campo Real, Gaeta)</t>
        </is>
      </c>
      <c r="F360" s="16" t="n">
        <v>40</v>
      </c>
      <c r="G360" t="inlineStr">
        <is>
          <t>g</t>
        </is>
      </c>
      <c r="H360" s="12">
        <f>IFERROR(VLOOKUP(E360,Insumos!$C$5:$G$181,5,FALSE),0)</f>
        <v/>
      </c>
      <c r="I360" s="17">
        <f>F360*H360</f>
        <v/>
      </c>
    </row>
    <row r="361">
      <c r="A361" t="n">
        <v>36</v>
      </c>
      <c r="B361" s="21" t="inlineStr">
        <is>
          <t>Desierto del Norte &amp; Valle de Guadalupe (Machaca de Res Tradicional al Sol, Cecina de Sonora, Queso Real del Castillo Añejo y Queso Ramónetti al Romero)</t>
        </is>
      </c>
      <c r="C361" t="inlineStr">
        <is>
          <t>humedo</t>
        </is>
      </c>
      <c r="D361" s="22" t="inlineStr">
        <is>
          <t>30 g Chiles chiltepines sonorenses secos enteros en mortero miniatura de mezquite</t>
        </is>
      </c>
      <c r="E361" s="6" t="inlineStr">
        <is>
          <t>Chile seco entero o en polvo (habanero, chiltepín, piquín, pasilla)</t>
        </is>
      </c>
      <c r="F361" s="16" t="n">
        <v>30</v>
      </c>
      <c r="G361" t="inlineStr">
        <is>
          <t>g</t>
        </is>
      </c>
      <c r="H361" s="12">
        <f>IFERROR(VLOOKUP(E361,Insumos!$C$5:$G$181,5,FALSE),0)</f>
        <v/>
      </c>
      <c r="I361" s="17">
        <f>F361*H361</f>
        <v/>
      </c>
    </row>
    <row r="362">
      <c r="A362" t="n">
        <v>37</v>
      </c>
      <c r="B362" s="21" t="inlineStr">
        <is>
          <t>Cuenca del Papaloapan &amp; Sotavento (Jamón Criollo Ahumado al Piloncillo, Lomo Curado en Caña, Queso Añejo de Tlalixcoyan y Queso de Hebra Veracruzano)</t>
        </is>
      </c>
      <c r="C362" t="inlineStr">
        <is>
          <t>charcuteria</t>
        </is>
      </c>
      <c r="D362" s="22" t="inlineStr">
        <is>
          <t>100 g Jamón Criollo Ahumado de Teocelo / Papaloapan (pierna de cerdo criollo pelón curada en salazón con melaza de caña, ahumada en frío durante 48 horas con leña de encino y bagazo de caña dulce) cortado en láminas delgadas de 1.5 mm</t>
        </is>
      </c>
      <c r="E362" s="6" t="inlineStr">
        <is>
          <t>Jamón criollo mexicano curado o ahumado</t>
        </is>
      </c>
      <c r="F362" s="16" t="n">
        <v>100</v>
      </c>
      <c r="G362" t="inlineStr">
        <is>
          <t>g</t>
        </is>
      </c>
      <c r="H362" s="12">
        <f>IFERROR(VLOOKUP(E362,Insumos!$C$5:$G$181,5,FALSE),0)</f>
        <v/>
      </c>
      <c r="I362" s="17">
        <f>F362*H362</f>
        <v/>
      </c>
    </row>
    <row r="363">
      <c r="A363" t="n">
        <v>37</v>
      </c>
      <c r="B363" s="21" t="inlineStr">
        <is>
          <t>Cuenca del Papaloapan &amp; Sotavento (Jamón Criollo Ahumado al Piloncillo, Lomo Curado en Caña, Queso Añejo de Tlalixcoyan y Queso de Hebra Veracruzano)</t>
        </is>
      </c>
      <c r="C363" t="inlineStr">
        <is>
          <t>charcuteria</t>
        </is>
      </c>
      <c r="D363" s="22" t="inlineStr">
        <is>
          <t>90 g Lomo de Cerdo Curado en Caña de Azúcar (cinta de lomo marinada en aguardiente de caña de Mahuixtlán, pimienta gorda de Misantla y pimentón, oreado en secadero natural) cortado al bies a 1.5 mm</t>
        </is>
      </c>
      <c r="E363" s="6" t="inlineStr">
        <is>
          <t>Lomo de cerdo curado, mechado o enchilado</t>
        </is>
      </c>
      <c r="F363" s="16" t="n">
        <v>90</v>
      </c>
      <c r="G363" t="inlineStr">
        <is>
          <t>g</t>
        </is>
      </c>
      <c r="H363" s="12">
        <f>IFERROR(VLOOKUP(E363,Insumos!$C$5:$G$181,5,FALSE),0)</f>
        <v/>
      </c>
      <c r="I363" s="17">
        <f>F363*H363</f>
        <v/>
      </c>
    </row>
    <row r="364">
      <c r="A364" t="n">
        <v>37</v>
      </c>
      <c r="B364" s="21" t="inlineStr">
        <is>
          <t>Cuenca del Papaloapan &amp; Sotavento (Jamón Criollo Ahumado al Piloncillo, Lomo Curado en Caña, Queso Añejo de Tlalixcoyan y Queso de Hebra Veracruzano)</t>
        </is>
      </c>
      <c r="C364" t="inlineStr">
        <is>
          <t>queso</t>
        </is>
      </c>
      <c r="D364" s="22" t="inlineStr">
        <is>
          <t>120 g Queso Añejo Seco de Tlalixcoyan (leche cruda de vaca cebú-suizo de pastos húmedos, pasta prensada dura salada en grano, madurado en costra natural durante 6 a 8 meses) quebrado en trozos rústicos</t>
        </is>
      </c>
      <c r="E364" s="6" t="inlineStr">
        <is>
          <t>Queso añejo, cotija o de cuadro seco</t>
        </is>
      </c>
      <c r="F364" s="16" t="n">
        <v>120</v>
      </c>
      <c r="G364" t="inlineStr">
        <is>
          <t>g</t>
        </is>
      </c>
      <c r="H364" s="12">
        <f>IFERROR(VLOOKUP(E364,Insumos!$C$5:$G$181,5,FALSE),0)</f>
        <v/>
      </c>
      <c r="I364" s="17">
        <f>F364*H364</f>
        <v/>
      </c>
    </row>
    <row r="365">
      <c r="A365" t="n">
        <v>37</v>
      </c>
      <c r="B365" s="21" t="inlineStr">
        <is>
          <t>Cuenca del Papaloapan &amp; Sotavento (Jamón Criollo Ahumado al Piloncillo, Lomo Curado en Caña, Queso Añejo de Tlalixcoyan y Queso de Hebra Veracruzano)</t>
        </is>
      </c>
      <c r="C365" t="inlineStr">
        <is>
          <t>queso</t>
        </is>
      </c>
      <c r="D365" s="22" t="inlineStr">
        <is>
          <t>110 g Queso de Hebra Tradicional de La Joya / Tlalixcoyan (pasta hilada láctica de leche entera fresca, hilado manual en caliente, textura de hebra brillante y elástica con alto desuerado) cortado en cordones entrelazados</t>
        </is>
      </c>
      <c r="E365" s="6" t="inlineStr">
        <is>
          <t>Quesillo de Etla, Oaxaca o queso de hebra</t>
        </is>
      </c>
      <c r="F365" s="16" t="n">
        <v>110</v>
      </c>
      <c r="G365" t="inlineStr">
        <is>
          <t>g</t>
        </is>
      </c>
      <c r="H365" s="12">
        <f>IFERROR(VLOOKUP(E365,Insumos!$C$5:$G$181,5,FALSE),0)</f>
        <v/>
      </c>
      <c r="I365" s="17">
        <f>F365*H365</f>
        <v/>
      </c>
    </row>
    <row r="366">
      <c r="A366" t="n">
        <v>37</v>
      </c>
      <c r="B366" s="21" t="inlineStr">
        <is>
          <t>Cuenca del Papaloapan &amp; Sotavento (Jamón Criollo Ahumado al Piloncillo, Lomo Curado en Caña, Queso Añejo de Tlalixcoyan y Queso de Hebra Veracruzano)</t>
        </is>
      </c>
      <c r="C366" t="inlineStr">
        <is>
          <t>seco</t>
        </is>
      </c>
      <c r="D366" s="22" t="inlineStr">
        <is>
          <t>60 g Tostaditas delgadas de maíz cocidas al comal</t>
        </is>
      </c>
      <c r="E366" s="6" t="inlineStr">
        <is>
          <t>Totopos o tostaditas de maíz nixtamalizado</t>
        </is>
      </c>
      <c r="F366" s="16" t="n">
        <v>60</v>
      </c>
      <c r="G366" t="inlineStr">
        <is>
          <t>g</t>
        </is>
      </c>
      <c r="H366" s="12">
        <f>IFERROR(VLOOKUP(E366,Insumos!$C$5:$G$181,5,FALSE),0)</f>
        <v/>
      </c>
      <c r="I366" s="17">
        <f>F366*H366</f>
        <v/>
      </c>
    </row>
    <row r="367">
      <c r="A367" t="n">
        <v>37</v>
      </c>
      <c r="B367" s="21" t="inlineStr">
        <is>
          <t>Cuenca del Papaloapan &amp; Sotavento (Jamón Criollo Ahumado al Piloncillo, Lomo Curado en Caña, Queso Añejo de Tlalixcoyan y Queso de Hebra Veracruzano)</t>
        </is>
      </c>
      <c r="C367" t="inlineStr">
        <is>
          <t>seco</t>
        </is>
      </c>
      <c r="D367" s="22" t="inlineStr">
        <is>
          <t>40 g Marquesitas yucateco-veracruzanas neutras quebradas en lajas crujientes (barquillos de masa de trigo sin azúcar)</t>
        </is>
      </c>
      <c r="E367" s="6" t="inlineStr">
        <is>
          <t>Tortilla de harina sobaquera, marquesita o cucharita crujiente</t>
        </is>
      </c>
      <c r="F367" s="16" t="n">
        <v>40</v>
      </c>
      <c r="G367" t="inlineStr">
        <is>
          <t>g</t>
        </is>
      </c>
      <c r="H367" s="12">
        <f>IFERROR(VLOOKUP(E367,Insumos!$C$5:$G$181,5,FALSE),0)</f>
        <v/>
      </c>
      <c r="I367" s="17">
        <f>F367*H367</f>
        <v/>
      </c>
    </row>
    <row r="368">
      <c r="A368" t="n">
        <v>37</v>
      </c>
      <c r="B368" s="21" t="inlineStr">
        <is>
          <t>Cuenca del Papaloapan &amp; Sotavento (Jamón Criollo Ahumado al Piloncillo, Lomo Curado en Caña, Queso Añejo de Tlalixcoyan y Queso de Hebra Veracruzano)</t>
        </is>
      </c>
      <c r="C368" t="inlineStr">
        <is>
          <t>seco</t>
        </is>
      </c>
      <c r="D368" s="22" t="inlineStr">
        <is>
          <t>35 g Cacahuates de la Cuenca tostados con ajo y chile comapeño</t>
        </is>
      </c>
      <c r="E368" s="6" t="inlineStr">
        <is>
          <t>Cacahuate tostado y aliñado</t>
        </is>
      </c>
      <c r="F368" s="16" t="n">
        <v>35</v>
      </c>
      <c r="G368" t="inlineStr">
        <is>
          <t>g</t>
        </is>
      </c>
      <c r="H368" s="12">
        <f>IFERROR(VLOOKUP(E368,Insumos!$C$5:$G$181,5,FALSE),0)</f>
        <v/>
      </c>
      <c r="I368" s="17">
        <f>F368*H368</f>
        <v/>
      </c>
    </row>
    <row r="369">
      <c r="A369" t="n">
        <v>37</v>
      </c>
      <c r="B369" s="21" t="inlineStr">
        <is>
          <t>Cuenca del Papaloapan &amp; Sotavento (Jamón Criollo Ahumado al Piloncillo, Lomo Curado en Caña, Queso Añejo de Tlalixcoyan y Queso de Hebra Veracruzano)</t>
        </is>
      </c>
      <c r="C369" t="inlineStr">
        <is>
          <t>humedo</t>
        </is>
      </c>
      <c r="D369" s="22" t="inlineStr">
        <is>
          <t>45 g Pasta o mermelada espesa de guayaba criolla al anís estrella (en ramequín)</t>
        </is>
      </c>
      <c r="E369" s="6" t="inlineStr">
        <is>
          <t>Mermelada o compota densa de la casa (elaborada)</t>
        </is>
      </c>
      <c r="F369" s="16" t="n">
        <v>45</v>
      </c>
      <c r="G369" t="inlineStr">
        <is>
          <t>g</t>
        </is>
      </c>
      <c r="H369" s="12">
        <f>IFERROR(VLOOKUP(E369,Insumos!$C$5:$G$181,5,FALSE),0)</f>
        <v/>
      </c>
      <c r="I369" s="17">
        <f>F369*H369</f>
        <v/>
      </c>
    </row>
    <row r="370">
      <c r="A370" t="n">
        <v>37</v>
      </c>
      <c r="B370" s="21" t="inlineStr">
        <is>
          <t>Cuenca del Papaloapan &amp; Sotavento (Jamón Criollo Ahumado al Piloncillo, Lomo Curado en Caña, Queso Añejo de Tlalixcoyan y Queso de Hebra Veracruzano)</t>
        </is>
      </c>
      <c r="C370" t="inlineStr">
        <is>
          <t>humedo</t>
        </is>
      </c>
      <c r="D370" s="22" t="inlineStr">
        <is>
          <t>35 g Chiles jalapeños veracruzanos en escabeche artesanal con piloncillo y hierbas de olor (en ramequín)</t>
        </is>
      </c>
      <c r="E370" s="6" t="inlineStr">
        <is>
          <t>Chile en escabeche o encurtido (manzano, jalapeño, poblano, simojovel)</t>
        </is>
      </c>
      <c r="F370" s="16" t="n">
        <v>35</v>
      </c>
      <c r="G370" t="inlineStr">
        <is>
          <t>g</t>
        </is>
      </c>
      <c r="H370" s="12">
        <f>IFERROR(VLOOKUP(E370,Insumos!$C$5:$G$181,5,FALSE),0)</f>
        <v/>
      </c>
      <c r="I370" s="17">
        <f>F370*H370</f>
        <v/>
      </c>
    </row>
    <row r="371">
      <c r="A371" t="n">
        <v>37</v>
      </c>
      <c r="B371" s="21" t="inlineStr">
        <is>
          <t>Cuenca del Papaloapan &amp; Sotavento (Jamón Criollo Ahumado al Piloncillo, Lomo Curado en Caña, Queso Añejo de Tlalixcoyan y Queso de Hebra Veracruzano)</t>
        </is>
      </c>
      <c r="C371" t="inlineStr">
        <is>
          <t>humedo</t>
        </is>
      </c>
      <c r="D371" s="22" t="inlineStr">
        <is>
          <t>40 g Mango manila firme cortado en cubos pequeños</t>
        </is>
      </c>
      <c r="E371" s="6" t="inlineStr">
        <is>
          <t>Mango manila o ataulfo</t>
        </is>
      </c>
      <c r="F371" s="16" t="n">
        <v>40</v>
      </c>
      <c r="G371" t="inlineStr">
        <is>
          <t>g</t>
        </is>
      </c>
      <c r="H371" s="12">
        <f>IFERROR(VLOOKUP(E371,Insumos!$C$5:$G$181,5,FALSE),0)</f>
        <v/>
      </c>
      <c r="I371" s="17">
        <f>F371*H371</f>
        <v/>
      </c>
    </row>
    <row r="372">
      <c r="A372" t="n">
        <v>38</v>
      </c>
      <c r="B372" s="21" t="inlineStr">
        <is>
          <t>Semidesierto Zacatecano &amp; Los Altos (Asado de Boda Deshidratado en Cecina, Chorizo Zacatecano al Orégano, Queso Asadero Tradicional y Queso Manchego Prensado de Los Altos)</t>
        </is>
      </c>
      <c r="C372" t="inlineStr">
        <is>
          <t>charcuteria</t>
        </is>
      </c>
      <c r="D372" s="22" t="inlineStr">
        <is>
          <t>100 g Chorizo Zacatecano Curado de Orégano (carne de cerdo picada gruesa, chile guajillo zacatecano, ajo criollo, abundante orégano seco de monte y vinagre de manzana, oreado en secadero seco durante 10 días) rebanado al bies a 2 mm</t>
        </is>
      </c>
      <c r="E372" s="6" t="inlineStr">
        <is>
          <t>Chorizo mexicano curado (verde, rojo, zacatecano)</t>
        </is>
      </c>
      <c r="F372" s="16" t="n">
        <v>100</v>
      </c>
      <c r="G372" t="inlineStr">
        <is>
          <t>g</t>
        </is>
      </c>
      <c r="H372" s="12">
        <f>IFERROR(VLOOKUP(E372,Insumos!$C$5:$G$181,5,FALSE),0)</f>
        <v/>
      </c>
      <c r="I372" s="17">
        <f>F372*H372</f>
        <v/>
      </c>
    </row>
    <row r="373">
      <c r="A373" t="n">
        <v>38</v>
      </c>
      <c r="B373" s="21" t="inlineStr">
        <is>
          <t>Semidesierto Zacatecano &amp; Los Altos (Asado de Boda Deshidratado en Cecina, Chorizo Zacatecano al Orégano, Queso Asadero Tradicional y Queso Manchego Prensado de Los Altos)</t>
        </is>
      </c>
      <c r="C373" t="inlineStr">
        <is>
          <t>charcuteria</t>
        </is>
      </c>
      <c r="D373" s="22" t="inlineStr">
        <is>
          <t>90 g Cecina de Cerdo al Asado de Boda (pulpa de pierna de cerdo tasajeada delgada, adobada en pasta de chile ancho, chocolate de metate amargo, canela, cáscara de naranja y piloncillo, deshidratada en calor seco de horno hasta textura de cecina quebradiza) cortada en lajas de 3 cm x 5 cm</t>
        </is>
      </c>
      <c r="E373" s="6" t="inlineStr">
        <is>
          <t>Cecina mexicana oreada o enchilada</t>
        </is>
      </c>
      <c r="F373" s="16" t="n">
        <v>90</v>
      </c>
      <c r="G373" t="inlineStr">
        <is>
          <t>g</t>
        </is>
      </c>
      <c r="H373" s="12">
        <f>IFERROR(VLOOKUP(E373,Insumos!$C$5:$G$181,5,FALSE),0)</f>
        <v/>
      </c>
      <c r="I373" s="17">
        <f>F373*H373</f>
        <v/>
      </c>
    </row>
    <row r="374">
      <c r="A374" t="n">
        <v>38</v>
      </c>
      <c r="B374" s="21" t="inlineStr">
        <is>
          <t>Semidesierto Zacatecano &amp; Los Altos (Asado de Boda Deshidratado en Cecina, Chorizo Zacatecano al Orégano, Queso Asadero Tradicional y Queso Manchego Prensado de Los Altos)</t>
        </is>
      </c>
      <c r="C374" t="inlineStr">
        <is>
          <t>queso</t>
        </is>
      </c>
      <c r="D374" s="22" t="inlineStr">
        <is>
          <t>120 g Queso Manchego Prensado de Los Altos de Jalisco (leche entera pasteurizada de vaca, pasta prensada semidura cocida a 40 °C, maduración en cava durante 5 a 6 meses con costra encerada o natural) cortado en cuñas de 4 mm</t>
        </is>
      </c>
      <c r="E374" s="6" t="inlineStr">
        <is>
          <t>Queso manchego mexicano prensado o de bola</t>
        </is>
      </c>
      <c r="F374" s="16" t="n">
        <v>120</v>
      </c>
      <c r="G374" t="inlineStr">
        <is>
          <t>g</t>
        </is>
      </c>
      <c r="H374" s="12">
        <f>IFERROR(VLOOKUP(E374,Insumos!$C$5:$G$181,5,FALSE),0)</f>
        <v/>
      </c>
      <c r="I374" s="17">
        <f>F374*H374</f>
        <v/>
      </c>
    </row>
    <row r="375">
      <c r="A375" t="n">
        <v>38</v>
      </c>
      <c r="B375" s="21" t="inlineStr">
        <is>
          <t>Semidesierto Zacatecano &amp; Los Altos (Asado de Boda Deshidratado en Cecina, Chorizo Zacatecano al Orégano, Queso Asadero Tradicional y Queso Manchego Prensado de Los Altos)</t>
        </is>
      </c>
      <c r="C375" t="inlineStr">
        <is>
          <t>queso</t>
        </is>
      </c>
      <c r="D375" s="22" t="inlineStr">
        <is>
          <t>110 g Queso Asadero Tradicional en Madeja / Placas (pasta hilada blanda con alto contenido de crema láctea, fundente a temperatura ambiente) cortado en rollos de 1.5 cm de grosor</t>
        </is>
      </c>
      <c r="E375" s="6" t="inlineStr">
        <is>
          <t>Queso adobera, asadero o botanero</t>
        </is>
      </c>
      <c r="F375" s="16" t="n">
        <v>110</v>
      </c>
      <c r="G375" t="inlineStr">
        <is>
          <t>g</t>
        </is>
      </c>
      <c r="H375" s="12">
        <f>IFERROR(VLOOKUP(E375,Insumos!$C$5:$G$181,5,FALSE),0)</f>
        <v/>
      </c>
      <c r="I375" s="17">
        <f>F375*H375</f>
        <v/>
      </c>
    </row>
    <row r="376">
      <c r="A376" t="n">
        <v>38</v>
      </c>
      <c r="B376" s="21" t="inlineStr">
        <is>
          <t>Semidesierto Zacatecano &amp; Los Altos (Asado de Boda Deshidratado en Cecina, Chorizo Zacatecano al Orégano, Queso Asadero Tradicional y Queso Manchego Prensado de Los Altos)</t>
        </is>
      </c>
      <c r="C376" t="inlineStr">
        <is>
          <t>seco</t>
        </is>
      </c>
      <c r="D376" s="22" t="inlineStr">
        <is>
          <t>60 g Gorditas de maíz martajado al comal de leña quebradas en cuartos crocantes</t>
        </is>
      </c>
      <c r="E376" s="6" t="inlineStr">
        <is>
          <t>Tlayuda, tostada raspada o gordita de maíz</t>
        </is>
      </c>
      <c r="F376" s="16" t="n">
        <v>1</v>
      </c>
      <c r="G376" t="inlineStr">
        <is>
          <t>pz</t>
        </is>
      </c>
      <c r="H376" s="12">
        <f>IFERROR(VLOOKUP(E376,Insumos!$C$5:$G$181,5,FALSE),0)</f>
        <v/>
      </c>
      <c r="I376" s="17">
        <f>F376*H376</f>
        <v/>
      </c>
    </row>
    <row r="377">
      <c r="A377" t="n">
        <v>38</v>
      </c>
      <c r="B377" s="21" t="inlineStr">
        <is>
          <t>Semidesierto Zacatecano &amp; Los Altos (Asado de Boda Deshidratado en Cecina, Chorizo Zacatecano al Orégano, Queso Asadero Tradicional y Queso Manchego Prensado de Los Altos)</t>
        </is>
      </c>
      <c r="C377" t="inlineStr">
        <is>
          <t>seco</t>
        </is>
      </c>
      <c r="D377" s="22" t="inlineStr">
        <is>
          <t>40 g Tostaditas crujientes de maíz amarillo</t>
        </is>
      </c>
      <c r="E377" s="6" t="inlineStr">
        <is>
          <t>Totopos o tostaditas de maíz nixtamalizado</t>
        </is>
      </c>
      <c r="F377" s="16" t="n">
        <v>40</v>
      </c>
      <c r="G377" t="inlineStr">
        <is>
          <t>g</t>
        </is>
      </c>
      <c r="H377" s="12">
        <f>IFERROR(VLOOKUP(E377,Insumos!$C$5:$G$181,5,FALSE),0)</f>
        <v/>
      </c>
      <c r="I377" s="17">
        <f>F377*H377</f>
        <v/>
      </c>
    </row>
    <row r="378">
      <c r="A378" t="n">
        <v>38</v>
      </c>
      <c r="B378" s="21" t="inlineStr">
        <is>
          <t>Semidesierto Zacatecano &amp; Los Altos (Asado de Boda Deshidratado en Cecina, Chorizo Zacatecano al Orégano, Queso Asadero Tradicional y Queso Manchego Prensado de Los Altos)</t>
        </is>
      </c>
      <c r="C378" t="inlineStr">
        <is>
          <t>seco</t>
        </is>
      </c>
      <c r="D378" s="22" t="inlineStr">
        <is>
          <t>35 g Nueces de Castilla tostadas con sal marina fina</t>
        </is>
      </c>
      <c r="E378" s="6" t="inlineStr">
        <is>
          <t>Nuez de Castilla o de nogal en mitades</t>
        </is>
      </c>
      <c r="F378" s="16" t="n">
        <v>35</v>
      </c>
      <c r="G378" t="inlineStr">
        <is>
          <t>g</t>
        </is>
      </c>
      <c r="H378" s="12">
        <f>IFERROR(VLOOKUP(E378,Insumos!$C$5:$G$181,5,FALSE),0)</f>
        <v/>
      </c>
      <c r="I378" s="17">
        <f>F378*H378</f>
        <v/>
      </c>
    </row>
    <row r="379">
      <c r="A379" t="n">
        <v>38</v>
      </c>
      <c r="B379" s="21" t="inlineStr">
        <is>
          <t>Semidesierto Zacatecano &amp; Los Altos (Asado de Boda Deshidratado en Cecina, Chorizo Zacatecano al Orégano, Queso Asadero Tradicional y Queso Manchego Prensado de Los Altos)</t>
        </is>
      </c>
      <c r="C379" t="inlineStr">
        <is>
          <t>humedo</t>
        </is>
      </c>
      <c r="D379" s="22" t="inlineStr">
        <is>
          <t>45 g Jalea densa de tuna roja cardona al mezcal zacatecano de agave salmiana (en ramequín)</t>
        </is>
      </c>
      <c r="E379" s="6" t="inlineStr">
        <is>
          <t>Mermelada o compota densa de la casa (elaborada)</t>
        </is>
      </c>
      <c r="F379" s="16" t="n">
        <v>45</v>
      </c>
      <c r="G379" t="inlineStr">
        <is>
          <t>g</t>
        </is>
      </c>
      <c r="H379" s="12">
        <f>IFERROR(VLOOKUP(E379,Insumos!$C$5:$G$181,5,FALSE),0)</f>
        <v/>
      </c>
      <c r="I379" s="17">
        <f>F379*H379</f>
        <v/>
      </c>
    </row>
    <row r="380">
      <c r="A380" t="n">
        <v>38</v>
      </c>
      <c r="B380" s="21" t="inlineStr">
        <is>
          <t>Semidesierto Zacatecano &amp; Los Altos (Asado de Boda Deshidratado en Cecina, Chorizo Zacatecano al Orégano, Queso Asadero Tradicional y Queso Manchego Prensado de Los Altos)</t>
        </is>
      </c>
      <c r="C380" t="inlineStr">
        <is>
          <t>humedo</t>
        </is>
      </c>
      <c r="D380" s="22" t="inlineStr">
        <is>
          <t>35 g Dientes de ajo encurtidos en vinagre con laurel y comino (en ramequín)</t>
        </is>
      </c>
      <c r="E380" s="6" t="inlineStr">
        <is>
          <t>Encurtido rápido de la casa (elaborado)</t>
        </is>
      </c>
      <c r="F380" s="16" t="n">
        <v>35</v>
      </c>
      <c r="G380" t="inlineStr">
        <is>
          <t>g</t>
        </is>
      </c>
      <c r="H380" s="12">
        <f>IFERROR(VLOOKUP(E380,Insumos!$C$5:$G$181,5,FALSE),0)</f>
        <v/>
      </c>
      <c r="I380" s="17">
        <f>F380*H380</f>
        <v/>
      </c>
    </row>
    <row r="381">
      <c r="A381" t="n">
        <v>38</v>
      </c>
      <c r="B381" s="21" t="inlineStr">
        <is>
          <t>Semidesierto Zacatecano &amp; Los Altos (Asado de Boda Deshidratado en Cecina, Chorizo Zacatecano al Orégano, Queso Asadero Tradicional y Queso Manchego Prensado de Los Altos)</t>
        </is>
      </c>
      <c r="C381" t="inlineStr">
        <is>
          <t>humedo</t>
        </is>
      </c>
      <c r="D381" s="22" t="inlineStr">
        <is>
          <t>40 g Ciruelas pasas deshuesadas maceradas en aguardiente</t>
        </is>
      </c>
      <c r="E381" s="6" t="inlineStr">
        <is>
          <t>Dátil, ciruela pasa u orejón</t>
        </is>
      </c>
      <c r="F381" s="16" t="n">
        <v>40</v>
      </c>
      <c r="G381" t="inlineStr">
        <is>
          <t>g</t>
        </is>
      </c>
      <c r="H381" s="12">
        <f>IFERROR(VLOOKUP(E381,Insumos!$C$5:$G$181,5,FALSE),0)</f>
        <v/>
      </c>
      <c r="I381" s="17">
        <f>F381*H381</f>
        <v/>
      </c>
    </row>
    <row r="382">
      <c r="A382" t="n">
        <v>39</v>
      </c>
      <c r="B382" s="21" t="inlineStr">
        <is>
          <t>Sierra de Chiapas &amp; Selva Alta (Butifarra Coleta de San Cristóbal, Tasajo de Cerdo Ahumado, Queso Chiapas de Cuadro Doble Crema y Queso de Bola de Ocosingo)</t>
        </is>
      </c>
      <c r="C382" t="inlineStr">
        <is>
          <t>charcuteria</t>
        </is>
      </c>
      <c r="D382" s="22" t="inlineStr">
        <is>
          <t>100 g Butifarra Coleta Tradicional de San Cristóbal de Las Casas (carne magra de cerdo con grasa dorsal, nuez moscada, pimienta negra, canela, tomillo y anís, embutida en tripa natural, cocida en caldo aromatizado y oreada en frío durante 48 horas) cortada en rodajas de 3 mm</t>
        </is>
      </c>
      <c r="E382" s="6" t="inlineStr">
        <is>
          <t>Embutido curado y ahumado tradicional (chosco, androlla, butifarra)</t>
        </is>
      </c>
      <c r="F382" s="16" t="n">
        <v>100</v>
      </c>
      <c r="G382" t="inlineStr">
        <is>
          <t>g</t>
        </is>
      </c>
      <c r="H382" s="12">
        <f>IFERROR(VLOOKUP(E382,Insumos!$C$5:$G$181,5,FALSE),0)</f>
        <v/>
      </c>
      <c r="I382" s="17">
        <f>F382*H382</f>
        <v/>
      </c>
    </row>
    <row r="383">
      <c r="A383" t="n">
        <v>39</v>
      </c>
      <c r="B383" s="21" t="inlineStr">
        <is>
          <t>Sierra de Chiapas &amp; Selva Alta (Butifarra Coleta de San Cristóbal, Tasajo de Cerdo Ahumado, Queso Chiapas de Cuadro Doble Crema y Queso de Bola de Ocosingo)</t>
        </is>
      </c>
      <c r="C383" t="inlineStr">
        <is>
          <t>charcuteria</t>
        </is>
      </c>
      <c r="D383" s="22" t="inlineStr">
        <is>
          <t>90 g Tasajo de Cerdo Ahumado en Ocote y Roble (lomo de cerdo tasajeado fino, marinado en pasta de ajo, naranja agria y sal gruesa, ahumado en frío en ahumaderos de leña de montaña) cortado en tiras de 1.5 cm x 5 cm</t>
        </is>
      </c>
      <c r="E383" s="6" t="inlineStr">
        <is>
          <t>Tasajo oaxaqueño de hebra</t>
        </is>
      </c>
      <c r="F383" s="16" t="n">
        <v>90</v>
      </c>
      <c r="G383" t="inlineStr">
        <is>
          <t>g</t>
        </is>
      </c>
      <c r="H383" s="12">
        <f>IFERROR(VLOOKUP(E383,Insumos!$C$5:$G$181,5,FALSE),0)</f>
        <v/>
      </c>
      <c r="I383" s="17">
        <f>F383*H383</f>
        <v/>
      </c>
    </row>
    <row r="384">
      <c r="A384" t="n">
        <v>39</v>
      </c>
      <c r="B384" s="21" t="inlineStr">
        <is>
          <t>Sierra de Chiapas &amp; Selva Alta (Butifarra Coleta de San Cristóbal, Tasajo de Cerdo Ahumado, Queso Chiapas de Cuadro Doble Crema y Queso de Bola de Ocosingo)</t>
        </is>
      </c>
      <c r="C384" t="inlineStr">
        <is>
          <t>queso</t>
        </is>
      </c>
      <c r="D384" s="22" t="inlineStr">
        <is>
          <t>120 g Queso de Bola de Ocosingo Artesanal (joya láctea bicapa: forro exterior de pasta cocida dura ácida que encierra un corazón de queso doble crema fundente untuoso, 50% M.G.) cortado exponiendo la coraza quebradiza y el centro cremoso</t>
        </is>
      </c>
      <c r="E384" s="6" t="inlineStr">
        <is>
          <t>Queso mexicano de cava o de guarda artesanal</t>
        </is>
      </c>
      <c r="F384" s="16" t="n">
        <v>120</v>
      </c>
      <c r="G384" t="inlineStr">
        <is>
          <t>g</t>
        </is>
      </c>
      <c r="H384" s="12">
        <f>IFERROR(VLOOKUP(E384,Insumos!$C$5:$G$181,5,FALSE),0)</f>
        <v/>
      </c>
      <c r="I384" s="17">
        <f>F384*H384</f>
        <v/>
      </c>
    </row>
    <row r="385">
      <c r="A385" t="n">
        <v>39</v>
      </c>
      <c r="B385" s="21" t="inlineStr">
        <is>
          <t>Sierra de Chiapas &amp; Selva Alta (Butifarra Coleta de San Cristóbal, Tasajo de Cerdo Ahumado, Queso Chiapas de Cuadro Doble Crema y Queso de Bola de Ocosingo)</t>
        </is>
      </c>
      <c r="C385" t="inlineStr">
        <is>
          <t>queso</t>
        </is>
      </c>
      <c r="D385" s="22" t="inlineStr">
        <is>
          <t>110 g Queso Chiapas de Cuadro Doble Crema Tradicional (leche cruda de vaca con adición de crema láctea pura, salado a mano, pasta desmoronable untuosa con toque ácido fermentado) cortado en cubos de 2 cm</t>
        </is>
      </c>
      <c r="E385" s="6" t="inlineStr">
        <is>
          <t>Queso doble crema o crema de rancho</t>
        </is>
      </c>
      <c r="F385" s="16" t="n">
        <v>110</v>
      </c>
      <c r="G385" t="inlineStr">
        <is>
          <t>g</t>
        </is>
      </c>
      <c r="H385" s="12">
        <f>IFERROR(VLOOKUP(E385,Insumos!$C$5:$G$181,5,FALSE),0)</f>
        <v/>
      </c>
      <c r="I385" s="17">
        <f>F385*H385</f>
        <v/>
      </c>
    </row>
    <row r="386">
      <c r="A386" t="n">
        <v>39</v>
      </c>
      <c r="B386" s="21" t="inlineStr">
        <is>
          <t>Sierra de Chiapas &amp; Selva Alta (Butifarra Coleta de San Cristóbal, Tasajo de Cerdo Ahumado, Queso Chiapas de Cuadro Doble Crema y Queso de Bola de Ocosingo)</t>
        </is>
      </c>
      <c r="C386" t="inlineStr">
        <is>
          <t>seco</t>
        </is>
      </c>
      <c r="D386" s="22" t="inlineStr">
        <is>
          <t>60 g Plátano macho verde en láminas ultrafinas deshidratado y frito crujiente (chifles / plataninas chiapanecas)</t>
        </is>
      </c>
      <c r="E386" s="6" t="inlineStr">
        <is>
          <t>Chip artesanal de plátano macho o de papa en AOVE</t>
        </is>
      </c>
      <c r="F386" s="16" t="n">
        <v>60</v>
      </c>
      <c r="G386" t="inlineStr">
        <is>
          <t>g</t>
        </is>
      </c>
      <c r="H386" s="12">
        <f>IFERROR(VLOOKUP(E386,Insumos!$C$5:$G$181,5,FALSE),0)</f>
        <v/>
      </c>
      <c r="I386" s="17">
        <f>F386*H386</f>
        <v/>
      </c>
    </row>
    <row r="387">
      <c r="A387" t="n">
        <v>39</v>
      </c>
      <c r="B387" s="21" t="inlineStr">
        <is>
          <t>Sierra de Chiapas &amp; Selva Alta (Butifarra Coleta de San Cristóbal, Tasajo de Cerdo Ahumado, Queso Chiapas de Cuadro Doble Crema y Queso de Bola de Ocosingo)</t>
        </is>
      </c>
      <c r="C387" t="inlineStr">
        <is>
          <t>seco</t>
        </is>
      </c>
      <c r="D387" s="22" t="inlineStr">
        <is>
          <t>40 g Tostadas de maíz amarillo quebradas</t>
        </is>
      </c>
      <c r="E387" s="6" t="inlineStr">
        <is>
          <t>Totopos o tostaditas de maíz nixtamalizado</t>
        </is>
      </c>
      <c r="F387" s="16" t="n">
        <v>40</v>
      </c>
      <c r="G387" t="inlineStr">
        <is>
          <t>g</t>
        </is>
      </c>
      <c r="H387" s="12">
        <f>IFERROR(VLOOKUP(E387,Insumos!$C$5:$G$181,5,FALSE),0)</f>
        <v/>
      </c>
      <c r="I387" s="17">
        <f>F387*H387</f>
        <v/>
      </c>
    </row>
    <row r="388">
      <c r="A388" t="n">
        <v>39</v>
      </c>
      <c r="B388" s="21" t="inlineStr">
        <is>
          <t>Sierra de Chiapas &amp; Selva Alta (Butifarra Coleta de San Cristóbal, Tasajo de Cerdo Ahumado, Queso Chiapas de Cuadro Doble Crema y Queso de Bola de Ocosingo)</t>
        </is>
      </c>
      <c r="C388" t="inlineStr">
        <is>
          <t>seco</t>
        </is>
      </c>
      <c r="D388" s="22" t="inlineStr">
        <is>
          <t>35 g Cacahuates chiapanecos tostados con chile piquín y sal de grano</t>
        </is>
      </c>
      <c r="E388" s="6" t="inlineStr">
        <is>
          <t>Cacahuate tostado y aliñado</t>
        </is>
      </c>
      <c r="F388" s="16" t="n">
        <v>35</v>
      </c>
      <c r="G388" t="inlineStr">
        <is>
          <t>g</t>
        </is>
      </c>
      <c r="H388" s="12">
        <f>IFERROR(VLOOKUP(E388,Insumos!$C$5:$G$181,5,FALSE),0)</f>
        <v/>
      </c>
      <c r="I388" s="17">
        <f>F388*H388</f>
        <v/>
      </c>
    </row>
    <row r="389">
      <c r="A389" t="n">
        <v>39</v>
      </c>
      <c r="B389" s="21" t="inlineStr">
        <is>
          <t>Sierra de Chiapas &amp; Selva Alta (Butifarra Coleta de San Cristóbal, Tasajo de Cerdo Ahumado, Queso Chiapas de Cuadro Doble Crema y Queso de Bola de Ocosingo)</t>
        </is>
      </c>
      <c r="C389" t="inlineStr">
        <is>
          <t>humedo</t>
        </is>
      </c>
      <c r="D389" s="22" t="inlineStr">
        <is>
          <t>45 g Reducción / mermelada densa de café de estricta altura de Chiapas con piloncillo y cardamomo verde (en ramequín)</t>
        </is>
      </c>
      <c r="E389" s="6" t="inlineStr">
        <is>
          <t>Reducción densa de vino para tabla (elaborada)</t>
        </is>
      </c>
      <c r="F389" s="16" t="n">
        <v>45</v>
      </c>
      <c r="G389" t="inlineStr">
        <is>
          <t>ml</t>
        </is>
      </c>
      <c r="H389" s="12">
        <f>IFERROR(VLOOKUP(E389,Insumos!$C$5:$G$181,5,FALSE),0)</f>
        <v/>
      </c>
      <c r="I389" s="17">
        <f>F389*H389</f>
        <v/>
      </c>
    </row>
    <row r="390">
      <c r="A390" t="n">
        <v>39</v>
      </c>
      <c r="B390" s="21" t="inlineStr">
        <is>
          <t>Sierra de Chiapas &amp; Selva Alta (Butifarra Coleta de San Cristóbal, Tasajo de Cerdo Ahumado, Queso Chiapas de Cuadro Doble Crema y Queso de Bola de Ocosingo)</t>
        </is>
      </c>
      <c r="C390" t="inlineStr">
        <is>
          <t>humedo</t>
        </is>
      </c>
      <c r="D390" s="22" t="inlineStr">
        <is>
          <t>40 g Chiles simojovel o pico de paloma en escabeche suave con cebolla morada (en ramequín)</t>
        </is>
      </c>
      <c r="E390" s="6" t="inlineStr">
        <is>
          <t>Chile en escabeche o encurtido (manzano, jalapeño, poblano, simojovel)</t>
        </is>
      </c>
      <c r="F390" s="16" t="n">
        <v>40</v>
      </c>
      <c r="G390" t="inlineStr">
        <is>
          <t>g</t>
        </is>
      </c>
      <c r="H390" s="12">
        <f>IFERROR(VLOOKUP(E390,Insumos!$C$5:$G$181,5,FALSE),0)</f>
        <v/>
      </c>
      <c r="I390" s="17">
        <f>F390*H390</f>
        <v/>
      </c>
    </row>
    <row r="391">
      <c r="A391" t="n">
        <v>39</v>
      </c>
      <c r="B391" s="21" t="inlineStr">
        <is>
          <t>Sierra de Chiapas &amp; Selva Alta (Butifarra Coleta de San Cristóbal, Tasajo de Cerdo Ahumado, Queso Chiapas de Cuadro Doble Crema y Queso de Bola de Ocosingo)</t>
        </is>
      </c>
      <c r="C391" t="inlineStr">
        <is>
          <t>humedo</t>
        </is>
      </c>
      <c r="D391" s="22" t="inlineStr">
        <is>
          <t>40 g Mango ataulfo del Soconusco firme cortado en tiras</t>
        </is>
      </c>
      <c r="E391" s="6" t="inlineStr">
        <is>
          <t>Mango manila o ataulfo</t>
        </is>
      </c>
      <c r="F391" s="16" t="n">
        <v>40</v>
      </c>
      <c r="G391" t="inlineStr">
        <is>
          <t>g</t>
        </is>
      </c>
      <c r="H391" s="12">
        <f>IFERROR(VLOOKUP(E391,Insumos!$C$5:$G$181,5,FALSE),0)</f>
        <v/>
      </c>
      <c r="I391" s="17">
        <f>F391*H391</f>
        <v/>
      </c>
    </row>
    <row r="392">
      <c r="A392" t="n">
        <v>40</v>
      </c>
      <c r="B392" s="21" t="inlineStr">
        <is>
          <t>Sierra Norte de Puebla &amp; Altiplano Poblano (Cecina de Chignahuapan Ahumada en Ocote, Lomo Enchilado Poblano, Queso Ahumado de Pahuatlán y Queso de Cabra al Romero de Tepeyahualco)</t>
        </is>
      </c>
      <c r="C392" t="inlineStr">
        <is>
          <t>charcuteria</t>
        </is>
      </c>
      <c r="D392" s="22" t="inlineStr">
        <is>
          <t>100 g Cecina de Chignahuapan Ahumada (pulpa de res fileteada en sábana continua, salada con sal de roca, ahumada en frío durante 36 horas con madera de ocote y ramas de pino de la sierra alta) cortada en tiras de 1.5 cm x 6 cm</t>
        </is>
      </c>
      <c r="E392" s="6" t="inlineStr">
        <is>
          <t>Cecina mexicana oreada o enchilada</t>
        </is>
      </c>
      <c r="F392" s="16" t="n">
        <v>100</v>
      </c>
      <c r="G392" t="inlineStr">
        <is>
          <t>g</t>
        </is>
      </c>
      <c r="H392" s="12">
        <f>IFERROR(VLOOKUP(E392,Insumos!$C$5:$G$181,5,FALSE),0)</f>
        <v/>
      </c>
      <c r="I392" s="17">
        <f>F392*H392</f>
        <v/>
      </c>
    </row>
    <row r="393">
      <c r="A393" t="n">
        <v>40</v>
      </c>
      <c r="B393" s="21" t="inlineStr">
        <is>
          <t>Sierra Norte de Puebla &amp; Altiplano Poblano (Cecina de Chignahuapan Ahumada en Ocote, Lomo Enchilado Poblano, Queso Ahumado de Pahuatlán y Queso de Cabra al Romero de Tepeyahualco)</t>
        </is>
      </c>
      <c r="C393" t="inlineStr">
        <is>
          <t>charcuteria</t>
        </is>
      </c>
      <c r="D393" s="22" t="inlineStr">
        <is>
          <t>90 g Lomo Enchilado Poblano Curado (lomo de cerdo adobado en pasta de chiles mulato, ancho, clavo, comino y vinagre de manzana de Zacatlán, curado y oreado en frío) cortado en láminas delgadas de 1.5 mm</t>
        </is>
      </c>
      <c r="E393" s="6" t="inlineStr">
        <is>
          <t>Lomo de cerdo curado, mechado o enchilado</t>
        </is>
      </c>
      <c r="F393" s="16" t="n">
        <v>90</v>
      </c>
      <c r="G393" t="inlineStr">
        <is>
          <t>g</t>
        </is>
      </c>
      <c r="H393" s="12">
        <f>IFERROR(VLOOKUP(E393,Insumos!$C$5:$G$181,5,FALSE),0)</f>
        <v/>
      </c>
      <c r="I393" s="17">
        <f>F393*H393</f>
        <v/>
      </c>
    </row>
    <row r="394">
      <c r="A394" t="n">
        <v>40</v>
      </c>
      <c r="B394" s="21" t="inlineStr">
        <is>
          <t>Sierra Norte de Puebla &amp; Altiplano Poblano (Cecina de Chignahuapan Ahumada en Ocote, Lomo Enchilado Poblano, Queso Ahumado de Pahuatlán y Queso de Cabra al Romero de Tepeyahualco)</t>
        </is>
      </c>
      <c r="C394" t="inlineStr">
        <is>
          <t>queso</t>
        </is>
      </c>
      <c r="D394" s="22" t="inlineStr">
        <is>
          <t>110 g Queso Ahumado Tradicional de Pahuatlán (queso semiduro de pasta prensada de leche de vaca de pastura, ahumado en tapescos tradicionales con leña de encino blanco durante 4 días) cortado en bastones de 6 cm x 1 cm</t>
        </is>
      </c>
      <c r="E394" s="6" t="inlineStr">
        <is>
          <t>Queso ahumado de pasta prensada (San Simón, Idiazábal ahumado)</t>
        </is>
      </c>
      <c r="F394" s="16" t="n">
        <v>110</v>
      </c>
      <c r="G394" t="inlineStr">
        <is>
          <t>g</t>
        </is>
      </c>
      <c r="H394" s="12">
        <f>IFERROR(VLOOKUP(E394,Insumos!$C$5:$G$181,5,FALSE),0)</f>
        <v/>
      </c>
      <c r="I394" s="17">
        <f>F394*H394</f>
        <v/>
      </c>
    </row>
    <row r="395">
      <c r="A395" t="n">
        <v>40</v>
      </c>
      <c r="B395" s="21" t="inlineStr">
        <is>
          <t>Sierra Norte de Puebla &amp; Altiplano Poblano (Cecina de Chignahuapan Ahumada en Ocote, Lomo Enchilado Poblano, Queso Ahumado de Pahuatlán y Queso de Cabra al Romero de Tepeyahualco)</t>
        </is>
      </c>
      <c r="C395" t="inlineStr">
        <is>
          <t>queso</t>
        </is>
      </c>
      <c r="D395" s="22" t="inlineStr">
        <is>
          <t>110 g Queso de Cabra al Romero Silvestre de Tepeyahualco (leche pasteurizada de cabra, pasta blanda láctica afinada durante 4 semanas con costra de hojas secas de romero de monte y pimienta gorda) cortado en discos de 1 cm</t>
        </is>
      </c>
      <c r="E395" s="6" t="inlineStr">
        <is>
          <t>Queso de cabra prensado semiduro (Garrotxa, Payoyo, Ibores)</t>
        </is>
      </c>
      <c r="F395" s="16" t="n">
        <v>110</v>
      </c>
      <c r="G395" t="inlineStr">
        <is>
          <t>g</t>
        </is>
      </c>
      <c r="H395" s="12">
        <f>IFERROR(VLOOKUP(E395,Insumos!$C$5:$G$181,5,FALSE),0)</f>
        <v/>
      </c>
      <c r="I395" s="17">
        <f>F395*H395</f>
        <v/>
      </c>
    </row>
    <row r="396">
      <c r="A396" t="n">
        <v>40</v>
      </c>
      <c r="B396" s="21" t="inlineStr">
        <is>
          <t>Sierra Norte de Puebla &amp; Altiplano Poblano (Cecina de Chignahuapan Ahumada en Ocote, Lomo Enchilado Poblano, Queso Ahumado de Pahuatlán y Queso de Cabra al Romero de Tepeyahualco)</t>
        </is>
      </c>
      <c r="C396" t="inlineStr">
        <is>
          <t>seco</t>
        </is>
      </c>
      <c r="D396" s="22" t="inlineStr">
        <is>
          <t>60 g Tostaditas crujientes de maíz azul criollo horneadas</t>
        </is>
      </c>
      <c r="E396" s="6" t="inlineStr">
        <is>
          <t>Totopos o tostaditas de maíz nixtamalizado</t>
        </is>
      </c>
      <c r="F396" s="16" t="n">
        <v>60</v>
      </c>
      <c r="G396" t="inlineStr">
        <is>
          <t>g</t>
        </is>
      </c>
      <c r="H396" s="12">
        <f>IFERROR(VLOOKUP(E396,Insumos!$C$5:$G$181,5,FALSE),0)</f>
        <v/>
      </c>
      <c r="I396" s="17">
        <f>F396*H396</f>
        <v/>
      </c>
    </row>
    <row r="397">
      <c r="A397" t="n">
        <v>40</v>
      </c>
      <c r="B397" s="21" t="inlineStr">
        <is>
          <t>Sierra Norte de Puebla &amp; Altiplano Poblano (Cecina de Chignahuapan Ahumada en Ocote, Lomo Enchilado Poblano, Queso Ahumado de Pahuatlán y Queso de Cabra al Romero de Tepeyahualco)</t>
        </is>
      </c>
      <c r="C397" t="inlineStr">
        <is>
          <t>seco</t>
        </is>
      </c>
      <c r="D397" s="22" t="inlineStr">
        <is>
          <t>40 g Crackers artesanales de nuez de Castilla y trigo sarraceno</t>
        </is>
      </c>
      <c r="E397" s="6" t="inlineStr">
        <is>
          <t>Crackers artesanales de semillas o masa madre</t>
        </is>
      </c>
      <c r="F397" s="16" t="n">
        <v>40</v>
      </c>
      <c r="G397" t="inlineStr">
        <is>
          <t>g</t>
        </is>
      </c>
      <c r="H397" s="12">
        <f>IFERROR(VLOOKUP(E397,Insumos!$C$5:$G$181,5,FALSE),0)</f>
        <v/>
      </c>
      <c r="I397" s="17">
        <f>F397*H397</f>
        <v/>
      </c>
    </row>
    <row r="398">
      <c r="A398" t="n">
        <v>40</v>
      </c>
      <c r="B398" s="21" t="inlineStr">
        <is>
          <t>Sierra Norte de Puebla &amp; Altiplano Poblano (Cecina de Chignahuapan Ahumada en Ocote, Lomo Enchilado Poblano, Queso Ahumado de Pahuatlán y Queso de Cabra al Romero de Tepeyahualco)</t>
        </is>
      </c>
      <c r="C398" t="inlineStr">
        <is>
          <t>seco</t>
        </is>
      </c>
      <c r="D398" s="22" t="inlineStr">
        <is>
          <t>35 g Nueces de Castilla frescas peladas limpias de la Sierra Nevada</t>
        </is>
      </c>
      <c r="E398" s="6" t="inlineStr">
        <is>
          <t>Nuez de Castilla o de nogal en mitades</t>
        </is>
      </c>
      <c r="F398" s="16" t="n">
        <v>35</v>
      </c>
      <c r="G398" t="inlineStr">
        <is>
          <t>g</t>
        </is>
      </c>
      <c r="H398" s="12">
        <f>IFERROR(VLOOKUP(E398,Insumos!$C$5:$G$181,5,FALSE),0)</f>
        <v/>
      </c>
      <c r="I398" s="17">
        <f>F398*H398</f>
        <v/>
      </c>
    </row>
    <row r="399">
      <c r="A399" t="n">
        <v>40</v>
      </c>
      <c r="B399" s="21" t="inlineStr">
        <is>
          <t>Sierra Norte de Puebla &amp; Altiplano Poblano (Cecina de Chignahuapan Ahumada en Ocote, Lomo Enchilado Poblano, Queso Ahumado de Pahuatlán y Queso de Cabra al Romero de Tepeyahualco)</t>
        </is>
      </c>
      <c r="C399" t="inlineStr">
        <is>
          <t>humedo</t>
        </is>
      </c>
      <c r="D399" s="22" t="inlineStr">
        <is>
          <t>45 g Compota rústica de manzana perona de Zacatlán de las Manzanas cocida en sidra dulce (en ramequín)</t>
        </is>
      </c>
      <c r="E399" s="6" t="inlineStr">
        <is>
          <t>Mermelada o compota densa de la casa (elaborada)</t>
        </is>
      </c>
      <c r="F399" s="16" t="n">
        <v>45</v>
      </c>
      <c r="G399" t="inlineStr">
        <is>
          <t>g</t>
        </is>
      </c>
      <c r="H399" s="12">
        <f>IFERROR(VLOOKUP(E399,Insumos!$C$5:$G$181,5,FALSE),0)</f>
        <v/>
      </c>
      <c r="I399" s="17">
        <f>F399*H399</f>
        <v/>
      </c>
    </row>
    <row r="400">
      <c r="A400" t="n">
        <v>40</v>
      </c>
      <c r="B400" s="21" t="inlineStr">
        <is>
          <t>Sierra Norte de Puebla &amp; Altiplano Poblano (Cecina de Chignahuapan Ahumada en Ocote, Lomo Enchilado Poblano, Queso Ahumado de Pahuatlán y Queso de Cabra al Romero de Tepeyahualco)</t>
        </is>
      </c>
      <c r="C400" t="inlineStr">
        <is>
          <t>humedo</t>
        </is>
      </c>
      <c r="D400" s="22" t="inlineStr">
        <is>
          <t>35 g Chiles poblanos asados al carbón encurtidos en vinagre con orégano y cebollas en rajas (en ramequín)</t>
        </is>
      </c>
      <c r="E400" s="6" t="inlineStr">
        <is>
          <t>Chile en escabeche o encurtido (manzano, jalapeño, poblano, simojovel)</t>
        </is>
      </c>
      <c r="F400" s="16" t="n">
        <v>35</v>
      </c>
      <c r="G400" t="inlineStr">
        <is>
          <t>g</t>
        </is>
      </c>
      <c r="H400" s="12">
        <f>IFERROR(VLOOKUP(E400,Insumos!$C$5:$G$181,5,FALSE),0)</f>
        <v/>
      </c>
      <c r="I400" s="17">
        <f>F400*H400</f>
        <v/>
      </c>
    </row>
    <row r="401">
      <c r="A401" t="n">
        <v>40</v>
      </c>
      <c r="B401" s="21" t="inlineStr">
        <is>
          <t>Sierra Norte de Puebla &amp; Altiplano Poblano (Cecina de Chignahuapan Ahumada en Ocote, Lomo Enchilado Poblano, Queso Ahumado de Pahuatlán y Queso de Cabra al Romero de Tepeyahualco)</t>
        </is>
      </c>
      <c r="C401" t="inlineStr">
        <is>
          <t>humedo</t>
        </is>
      </c>
      <c r="D401" s="22" t="inlineStr">
        <is>
          <t>40 g Tejocotes en almíbar denso de piloncillo cortados en cuartos</t>
        </is>
      </c>
      <c r="E401" s="6" t="inlineStr">
        <is>
          <t>Fruta regional en almíbar (tejocote, xoconostle, papaya, tuna)</t>
        </is>
      </c>
      <c r="F401" s="16" t="n">
        <v>40</v>
      </c>
      <c r="G401" t="inlineStr">
        <is>
          <t>g</t>
        </is>
      </c>
      <c r="H401" s="12">
        <f>IFERROR(VLOOKUP(E401,Insumos!$C$5:$G$181,5,FALSE),0)</f>
        <v/>
      </c>
      <c r="I401" s="17">
        <f>F401*H401</f>
        <v/>
      </c>
    </row>
    <row r="402">
      <c r="A402" t="n">
        <v>41</v>
      </c>
      <c r="B402" s="21" t="inlineStr">
        <is>
          <t>Sinfonía de Azules Nobles (Roquefort AOP, Stilton DOP, Gorgonzola Piccante DOP, Magret de Pato Curado y Peras al Oporto)</t>
        </is>
      </c>
      <c r="C402" t="inlineStr">
        <is>
          <t>charcuteria</t>
        </is>
      </c>
      <c r="D402" s="22" t="inlineStr">
        <is>
          <t>110 g Magret de Pato Curado artesanal (pechuga de pato cebado del suroeste francés, salazón en seco durante 24 horas, lavada en armagnac y secada en frío 21 días con pimienta de Sichuan y tomillo) cortado en láminas delgadas de 1 mm</t>
        </is>
      </c>
      <c r="E402" s="6" t="inlineStr">
        <is>
          <t>Magret o jamón de pato curado</t>
        </is>
      </c>
      <c r="F402" s="16" t="n">
        <v>110</v>
      </c>
      <c r="G402" t="inlineStr">
        <is>
          <t>g</t>
        </is>
      </c>
      <c r="H402" s="12">
        <f>IFERROR(VLOOKUP(E402,Insumos!$C$5:$G$181,5,FALSE),0)</f>
        <v/>
      </c>
      <c r="I402" s="17">
        <f>F402*H402</f>
        <v/>
      </c>
    </row>
    <row r="403">
      <c r="A403" t="n">
        <v>41</v>
      </c>
      <c r="B403" s="21" t="inlineStr">
        <is>
          <t>Sinfonía de Azules Nobles (Roquefort AOP, Stilton DOP, Gorgonzola Piccante DOP, Magret de Pato Curado y Peras al Oporto)</t>
        </is>
      </c>
      <c r="C403" t="inlineStr">
        <is>
          <t>queso</t>
        </is>
      </c>
      <c r="D403" s="22" t="inlineStr">
        <is>
          <t>110 g Roquefort AOP de Cueva (leche cruda de oveja Lacaune, sin prensar, madurado en las bodegas kársticas de Combalou, veteado azul esmeralda intenso) quebrado en fragmentos de 2 cm</t>
        </is>
      </c>
      <c r="E403" s="6" t="inlineStr">
        <is>
          <t>Roquefort AOP de cueva</t>
        </is>
      </c>
      <c r="F403" s="16" t="n">
        <v>110</v>
      </c>
      <c r="G403" t="inlineStr">
        <is>
          <t>g</t>
        </is>
      </c>
      <c r="H403" s="12">
        <f>IFERROR(VLOOKUP(E403,Insumos!$C$5:$G$181,5,FALSE),0)</f>
        <v/>
      </c>
      <c r="I403" s="17">
        <f>F403*H403</f>
        <v/>
      </c>
    </row>
    <row r="404">
      <c r="A404" t="n">
        <v>41</v>
      </c>
      <c r="B404" s="21" t="inlineStr">
        <is>
          <t>Sinfonía de Azules Nobles (Roquefort AOP, Stilton DOP, Gorgonzola Piccante DOP, Magret de Pato Curado y Peras al Oporto)</t>
        </is>
      </c>
      <c r="C404" t="inlineStr">
        <is>
          <t>queso</t>
        </is>
      </c>
      <c r="D404" s="22" t="inlineStr">
        <is>
          <t>110 g Colston Bassett Stilton DOP (leche pasteurizada de vaca, cuajada desuerada por gravedad, maduración de 4 meses con perforación radial de agujas de acero, pasta color marfil con vetas azul cerúleo) cortado en cuña alta</t>
        </is>
      </c>
      <c r="E404" s="6" t="inlineStr">
        <is>
          <t>Stilton DOP o azul inglés de granja</t>
        </is>
      </c>
      <c r="F404" s="16" t="n">
        <v>110</v>
      </c>
      <c r="G404" t="inlineStr">
        <is>
          <t>g</t>
        </is>
      </c>
      <c r="H404" s="12">
        <f>IFERROR(VLOOKUP(E404,Insumos!$C$5:$G$181,5,FALSE),0)</f>
        <v/>
      </c>
      <c r="I404" s="17">
        <f>F404*H404</f>
        <v/>
      </c>
    </row>
    <row r="405">
      <c r="A405" t="n">
        <v>41</v>
      </c>
      <c r="B405" s="21" t="inlineStr">
        <is>
          <t>Sinfonía de Azules Nobles (Roquefort AOP, Stilton DOP, Gorgonzola Piccante DOP, Magret de Pato Curado y Peras al Oporto)</t>
        </is>
      </c>
      <c r="C405" t="inlineStr">
        <is>
          <t>queso</t>
        </is>
      </c>
      <c r="D405" s="22" t="inlineStr">
        <is>
          <t>100 g Gorgonzola Piccante DOP Stagionato (leche pasteurizada de vaca, madurado durante 120 a 150 días, pasta compacta y quebradiza con vetas verde oscuro densas y picor fenólico marcado) cortado en cubos de 2 cm</t>
        </is>
      </c>
      <c r="E405" s="6" t="inlineStr">
        <is>
          <t>Gorgonzola DOP dolce o piccante</t>
        </is>
      </c>
      <c r="F405" s="16" t="n">
        <v>100</v>
      </c>
      <c r="G405" t="inlineStr">
        <is>
          <t>g</t>
        </is>
      </c>
      <c r="H405" s="12">
        <f>IFERROR(VLOOKUP(E405,Insumos!$C$5:$G$181,5,FALSE),0)</f>
        <v/>
      </c>
      <c r="I405" s="17">
        <f>F405*H405</f>
        <v/>
      </c>
    </row>
    <row r="406">
      <c r="A406" t="n">
        <v>41</v>
      </c>
      <c r="B406" s="21" t="inlineStr">
        <is>
          <t>Sinfonía de Azules Nobles (Roquefort AOP, Stilton DOP, Gorgonzola Piccante DOP, Magret de Pato Curado y Peras al Oporto)</t>
        </is>
      </c>
      <c r="C406" t="inlineStr">
        <is>
          <t>seco</t>
        </is>
      </c>
      <c r="D406" s="22" t="inlineStr">
        <is>
          <t>60 g Crackers ingleses de agua (Water Biscuits) neutros sin sal añadida</t>
        </is>
      </c>
      <c r="E406" s="6" t="inlineStr">
        <is>
          <t>Galleta de avena, digestive o de mantequilla</t>
        </is>
      </c>
      <c r="F406" s="16" t="n">
        <v>60</v>
      </c>
      <c r="G406" t="inlineStr">
        <is>
          <t>g</t>
        </is>
      </c>
      <c r="H406" s="12">
        <f>IFERROR(VLOOKUP(E406,Insumos!$C$5:$G$181,5,FALSE),0)</f>
        <v/>
      </c>
      <c r="I406" s="17">
        <f>F406*H406</f>
        <v/>
      </c>
    </row>
    <row r="407">
      <c r="A407" t="n">
        <v>41</v>
      </c>
      <c r="B407" s="21" t="inlineStr">
        <is>
          <t>Sinfonía de Azules Nobles (Roquefort AOP, Stilton DOP, Gorgonzola Piccante DOP, Magret de Pato Curado y Peras al Oporto)</t>
        </is>
      </c>
      <c r="C407" t="inlineStr">
        <is>
          <t>seco</t>
        </is>
      </c>
      <c r="D407" s="22" t="inlineStr">
        <is>
          <t>40 g Rebanadas tostadas crujientes de pan de centeno denso y nueces (Rye &amp; Walnut Loaf)</t>
        </is>
      </c>
      <c r="E407" s="6" t="inlineStr">
        <is>
          <t>Totopos o tostaditas de maíz nixtamalizado</t>
        </is>
      </c>
      <c r="F407" s="16" t="n">
        <v>40</v>
      </c>
      <c r="G407" t="inlineStr">
        <is>
          <t>g</t>
        </is>
      </c>
      <c r="H407" s="12">
        <f>IFERROR(VLOOKUP(E407,Insumos!$C$5:$G$181,5,FALSE),0)</f>
        <v/>
      </c>
      <c r="I407" s="17">
        <f>F407*H407</f>
        <v/>
      </c>
    </row>
    <row r="408">
      <c r="A408" t="n">
        <v>41</v>
      </c>
      <c r="B408" s="21" t="inlineStr">
        <is>
          <t>Sinfonía de Azules Nobles (Roquefort AOP, Stilton DOP, Gorgonzola Piccante DOP, Magret de Pato Curado y Peras al Oporto)</t>
        </is>
      </c>
      <c r="C408" t="inlineStr">
        <is>
          <t>seco</t>
        </is>
      </c>
      <c r="D408" s="22" t="inlineStr">
        <is>
          <t>30 g Nueces pecanas caramelizadas en azúcar mascabado con sal en escamas</t>
        </is>
      </c>
      <c r="E408" s="6" t="inlineStr">
        <is>
          <t>Nuez pecana o nuez de la India</t>
        </is>
      </c>
      <c r="F408" s="16" t="n">
        <v>30</v>
      </c>
      <c r="G408" t="inlineStr">
        <is>
          <t>g</t>
        </is>
      </c>
      <c r="H408" s="12">
        <f>IFERROR(VLOOKUP(E408,Insumos!$C$5:$G$181,5,FALSE),0)</f>
        <v/>
      </c>
      <c r="I408" s="17">
        <f>F408*H408</f>
        <v/>
      </c>
    </row>
    <row r="409">
      <c r="A409" t="n">
        <v>41</v>
      </c>
      <c r="B409" s="21" t="inlineStr">
        <is>
          <t>Sinfonía de Azules Nobles (Roquefort AOP, Stilton DOP, Gorgonzola Piccante DOP, Magret de Pato Curado y Peras al Oporto)</t>
        </is>
      </c>
      <c r="C409" t="inlineStr">
        <is>
          <t>humedo</t>
        </is>
      </c>
      <c r="D409" s="22" t="inlineStr">
        <is>
          <t>50 g Peras Conferencia pochadas y reducidas en vino de Oporto Tawny 10 Años con canela y clavo (en ramequín)</t>
        </is>
      </c>
      <c r="E409" s="6" t="inlineStr">
        <is>
          <t>Reducción densa de vino para tabla (elaborada)</t>
        </is>
      </c>
      <c r="F409" s="16" t="n">
        <v>50</v>
      </c>
      <c r="G409" t="inlineStr">
        <is>
          <t>ml</t>
        </is>
      </c>
      <c r="H409" s="12">
        <f>IFERROR(VLOOKUP(E409,Insumos!$C$5:$G$181,5,FALSE),0)</f>
        <v/>
      </c>
      <c r="I409" s="17">
        <f>F409*H409</f>
        <v/>
      </c>
    </row>
    <row r="410">
      <c r="A410" t="n">
        <v>41</v>
      </c>
      <c r="B410" s="21" t="inlineStr">
        <is>
          <t>Sinfonía de Azules Nobles (Roquefort AOP, Stilton DOP, Gorgonzola Piccante DOP, Magret de Pato Curado y Peras al Oporto)</t>
        </is>
      </c>
      <c r="C410" t="inlineStr">
        <is>
          <t>humedo</t>
        </is>
      </c>
      <c r="D410" s="22" t="inlineStr">
        <is>
          <t>35 g Miel pura de castaño o bosque oscuro (en cuenco cerámico pequeño)</t>
        </is>
      </c>
      <c r="E410" s="6" t="inlineStr">
        <is>
          <t>Miel pura monofloral artesanal</t>
        </is>
      </c>
      <c r="F410" s="16" t="n">
        <v>35</v>
      </c>
      <c r="G410" t="inlineStr">
        <is>
          <t>g</t>
        </is>
      </c>
      <c r="H410" s="12">
        <f>IFERROR(VLOOKUP(E410,Insumos!$C$5:$G$181,5,FALSE),0)</f>
        <v/>
      </c>
      <c r="I410" s="17">
        <f>F410*H410</f>
        <v/>
      </c>
    </row>
    <row r="411">
      <c r="A411" t="n">
        <v>41</v>
      </c>
      <c r="B411" s="21" t="inlineStr">
        <is>
          <t>Sinfonía de Azules Nobles (Roquefort AOP, Stilton DOP, Gorgonzola Piccante DOP, Magret de Pato Curado y Peras al Oporto)</t>
        </is>
      </c>
      <c r="C411" t="inlineStr">
        <is>
          <t>humedo</t>
        </is>
      </c>
      <c r="D411" s="22" t="inlineStr">
        <is>
          <t>40 g Uvas pasas de Corinto rehidratadas en coñac</t>
        </is>
      </c>
      <c r="E411" s="6" t="inlineStr">
        <is>
          <t>Pasas Moscatel o de Corinto</t>
        </is>
      </c>
      <c r="F411" s="16" t="n">
        <v>40</v>
      </c>
      <c r="G411" t="inlineStr">
        <is>
          <t>g</t>
        </is>
      </c>
      <c r="H411" s="12">
        <f>IFERROR(VLOOKUP(E411,Insumos!$C$5:$G$181,5,FALSE),0)</f>
        <v/>
      </c>
      <c r="I411" s="17">
        <f>F411*H411</f>
        <v/>
      </c>
    </row>
    <row r="412">
      <c r="A412" t="n">
        <v>42</v>
      </c>
      <c r="B412" s="21" t="inlineStr">
        <is>
          <t>Monografía del Queso de Cabra en Cuatro Maduraciones (Fresco Láctico, Rulo en Ceniza, Curado de Monte, Afinado en Cueva y Cecina de Chivo)</t>
        </is>
      </c>
      <c r="C412" t="inlineStr">
        <is>
          <t>charcuteria</t>
        </is>
      </c>
      <c r="D412" s="22" t="inlineStr">
        <is>
          <t>100 g Cecina de Chivo Tradicional de Montaña (pierna de chivo adulto o caprino mayor, salazón en seco, ahumado en frío con leña de encino y curado al viento seco durante 5 meses) rebanada ultrafina a 0.8 mm</t>
        </is>
      </c>
      <c r="E412" s="6" t="inlineStr">
        <is>
          <t>Cecina de chivo o de caprino de montaña</t>
        </is>
      </c>
      <c r="F412" s="16" t="n">
        <v>100</v>
      </c>
      <c r="G412" t="inlineStr">
        <is>
          <t>g</t>
        </is>
      </c>
      <c r="H412" s="12">
        <f>IFERROR(VLOOKUP(E412,Insumos!$C$5:$G$181,5,FALSE),0)</f>
        <v/>
      </c>
      <c r="I412" s="17">
        <f>F412*H412</f>
        <v/>
      </c>
    </row>
    <row r="413">
      <c r="A413" t="n">
        <v>42</v>
      </c>
      <c r="B413" s="21" t="inlineStr">
        <is>
          <t>Monografía del Queso de Cabra en Cuatro Maduraciones (Fresco Láctico, Rulo en Ceniza, Curado de Monte, Afinado en Cueva y Cecina de Chivo)</t>
        </is>
      </c>
      <c r="C413" t="inlineStr">
        <is>
          <t>queso</t>
        </is>
      </c>
      <c r="D413" s="22" t="inlineStr">
        <is>
          <t>90 g Queso de Cabra Fresco Láctico (coagulación láctica ácida de 24 horas, desuerado en saquito por gravedad, sin prensar, 3 días de vida, pasta húmeda granulosa blanca)</t>
        </is>
      </c>
      <c r="E413" s="6" t="inlineStr">
        <is>
          <t>Queso de cabra fresco láctico (chèvre, Banon, cendré, rulo)</t>
        </is>
      </c>
      <c r="F413" s="16" t="n">
        <v>90</v>
      </c>
      <c r="G413" t="inlineStr">
        <is>
          <t>g</t>
        </is>
      </c>
      <c r="H413" s="12">
        <f>IFERROR(VLOOKUP(E413,Insumos!$C$5:$G$181,5,FALSE),0)</f>
        <v/>
      </c>
      <c r="I413" s="17">
        <f>F413*H413</f>
        <v/>
      </c>
    </row>
    <row r="414">
      <c r="A414" t="n">
        <v>42</v>
      </c>
      <c r="B414" s="21" t="inlineStr">
        <is>
          <t>Monografía del Queso de Cabra en Cuatro Maduraciones (Fresco Láctico, Rulo en Ceniza, Curado de Monte, Afinado en Cueva y Cecina de Chivo)</t>
        </is>
      </c>
      <c r="C414" t="inlineStr">
        <is>
          <t>queso</t>
        </is>
      </c>
      <c r="D414" s="22" t="inlineStr">
        <is>
          <t>90 g Queso de Cabra en Rulo Cenizo (coagulación mixta, afinado 21 días con carbón vegetal y moho blanco, anillo subcortical cremoso y centro firme) cortado en discos de 1 cm</t>
        </is>
      </c>
      <c r="E414" s="6" t="inlineStr">
        <is>
          <t>Queso de cabra fresco láctico (chèvre, Banon, cendré, rulo)</t>
        </is>
      </c>
      <c r="F414" s="16" t="n">
        <v>90</v>
      </c>
      <c r="G414" t="inlineStr">
        <is>
          <t>g</t>
        </is>
      </c>
      <c r="H414" s="12">
        <f>IFERROR(VLOOKUP(E414,Insumos!$C$5:$G$181,5,FALSE),0)</f>
        <v/>
      </c>
      <c r="I414" s="17">
        <f>F414*H414</f>
        <v/>
      </c>
    </row>
    <row r="415">
      <c r="A415" t="n">
        <v>42</v>
      </c>
      <c r="B415" s="21" t="inlineStr">
        <is>
          <t>Monografía del Queso de Cabra en Cuatro Maduraciones (Fresco Láctico, Rulo en Ceniza, Curado de Monte, Afinado en Cueva y Cecina de Chivo)</t>
        </is>
      </c>
      <c r="C415" t="inlineStr">
        <is>
          <t>queso</t>
        </is>
      </c>
      <c r="D415" s="22" t="inlineStr">
        <is>
          <t>90 g Queso de Cabra Curado de Monte (pasta prensada enzimática, 4 meses de maduración, corteza frotada con aceite y tomillo silvestre) cortado en bastones de 5 cm x 1 cm</t>
        </is>
      </c>
      <c r="E415" s="6" t="inlineStr">
        <is>
          <t>Queso de cabra prensado semiduro (Garrotxa, Payoyo, Ibores)</t>
        </is>
      </c>
      <c r="F415" s="16" t="n">
        <v>90</v>
      </c>
      <c r="G415" t="inlineStr">
        <is>
          <t>g</t>
        </is>
      </c>
      <c r="H415" s="12">
        <f>IFERROR(VLOOKUP(E415,Insumos!$C$5:$G$181,5,FALSE),0)</f>
        <v/>
      </c>
      <c r="I415" s="17">
        <f>F415*H415</f>
        <v/>
      </c>
    </row>
    <row r="416">
      <c r="A416" t="n">
        <v>42</v>
      </c>
      <c r="B416" s="21" t="inlineStr">
        <is>
          <t>Monografía del Queso de Cabra en Cuatro Maduraciones (Fresco Láctico, Rulo en Ceniza, Curado de Monte, Afinado en Cueva y Cecina de Chivo)</t>
        </is>
      </c>
      <c r="C416" t="inlineStr">
        <is>
          <t>queso</t>
        </is>
      </c>
      <c r="D416" s="22" t="inlineStr">
        <is>
          <t>90 g Queso de Cabra Viejo de Cueva (leche cruda de cabra serrana, madurado 10 a 12 meses en cava subterránea natural, pasta dura quebradiza y seca) quebrado en lascas</t>
        </is>
      </c>
      <c r="E416" s="6" t="inlineStr">
        <is>
          <t>Queso de cabra prensado semiduro (Garrotxa, Payoyo, Ibores)</t>
        </is>
      </c>
      <c r="F416" s="16" t="n">
        <v>90</v>
      </c>
      <c r="G416" t="inlineStr">
        <is>
          <t>g</t>
        </is>
      </c>
      <c r="H416" s="12">
        <f>IFERROR(VLOOKUP(E416,Insumos!$C$5:$G$181,5,FALSE),0)</f>
        <v/>
      </c>
      <c r="I416" s="17">
        <f>F416*H416</f>
        <v/>
      </c>
    </row>
    <row r="417">
      <c r="A417" t="n">
        <v>42</v>
      </c>
      <c r="B417" s="21" t="inlineStr">
        <is>
          <t>Monografía del Queso de Cabra en Cuatro Maduraciones (Fresco Láctico, Rulo en Ceniza, Curado de Monte, Afinado en Cueva y Cecina de Chivo)</t>
        </is>
      </c>
      <c r="C417" t="inlineStr">
        <is>
          <t>seco</t>
        </is>
      </c>
      <c r="D417" s="22" t="inlineStr">
        <is>
          <t>60 g Crackers de trigo sarraceno y semillas de lino dorado</t>
        </is>
      </c>
      <c r="E417" s="6" t="inlineStr">
        <is>
          <t>Crackers artesanales de semillas o masa madre</t>
        </is>
      </c>
      <c r="F417" s="16" t="n">
        <v>60</v>
      </c>
      <c r="G417" t="inlineStr">
        <is>
          <t>g</t>
        </is>
      </c>
      <c r="H417" s="12">
        <f>IFERROR(VLOOKUP(E417,Insumos!$C$5:$G$181,5,FALSE),0)</f>
        <v/>
      </c>
      <c r="I417" s="17">
        <f>F417*H417</f>
        <v/>
      </c>
    </row>
    <row r="418">
      <c r="A418" t="n">
        <v>42</v>
      </c>
      <c r="B418" s="21" t="inlineStr">
        <is>
          <t>Monografía del Queso de Cabra en Cuatro Maduraciones (Fresco Láctico, Rulo en Ceniza, Curado de Monte, Afinado en Cueva y Cecina de Chivo)</t>
        </is>
      </c>
      <c r="C418" t="inlineStr">
        <is>
          <t>seco</t>
        </is>
      </c>
      <c r="D418" s="22" t="inlineStr">
        <is>
          <t>40 g Tostas de pan de masa madre de harina blanca</t>
        </is>
      </c>
      <c r="E418" s="6" t="inlineStr">
        <is>
          <t>Pan artesanal de masa madre (cristal, payés, candeal, hogaza)</t>
        </is>
      </c>
      <c r="F418" s="16" t="n">
        <v>40</v>
      </c>
      <c r="G418" t="inlineStr">
        <is>
          <t>g</t>
        </is>
      </c>
      <c r="H418" s="12">
        <f>IFERROR(VLOOKUP(E418,Insumos!$C$5:$G$181,5,FALSE),0)</f>
        <v/>
      </c>
      <c r="I418" s="17">
        <f>F418*H418</f>
        <v/>
      </c>
    </row>
    <row r="419">
      <c r="A419" t="n">
        <v>42</v>
      </c>
      <c r="B419" s="21" t="inlineStr">
        <is>
          <t>Monografía del Queso de Cabra en Cuatro Maduraciones (Fresco Láctico, Rulo en Ceniza, Curado de Monte, Afinado en Cueva y Cecina de Chivo)</t>
        </is>
      </c>
      <c r="C419" t="inlineStr">
        <is>
          <t>seco</t>
        </is>
      </c>
      <c r="D419" s="22" t="inlineStr">
        <is>
          <t>30 g Almendras crudas Marcona sin piel ligeramente tostadas sin sal</t>
        </is>
      </c>
      <c r="E419" s="6" t="inlineStr">
        <is>
          <t>Almendra tostada con piel (Mallorca, Toritto, Provenza)</t>
        </is>
      </c>
      <c r="F419" s="16" t="n">
        <v>30</v>
      </c>
      <c r="G419" t="inlineStr">
        <is>
          <t>g</t>
        </is>
      </c>
      <c r="H419" s="12">
        <f>IFERROR(VLOOKUP(E419,Insumos!$C$5:$G$181,5,FALSE),0)</f>
        <v/>
      </c>
      <c r="I419" s="17">
        <f>F419*H419</f>
        <v/>
      </c>
    </row>
    <row r="420">
      <c r="A420" t="n">
        <v>42</v>
      </c>
      <c r="B420" s="21" t="inlineStr">
        <is>
          <t>Monografía del Queso de Cabra en Cuatro Maduraciones (Fresco Láctico, Rulo en Ceniza, Curado de Monte, Afinado en Cueva y Cecina de Chivo)</t>
        </is>
      </c>
      <c r="C420" t="inlineStr">
        <is>
          <t>humedo</t>
        </is>
      </c>
      <c r="D420" s="22" t="inlineStr">
        <is>
          <t>45 g Mermelada densa de tomate verde y jengibre fresco (en ramequín cerámico)</t>
        </is>
      </c>
      <c r="E420" s="6" t="inlineStr">
        <is>
          <t>Mermelada o compota densa de la casa (elaborada)</t>
        </is>
      </c>
      <c r="F420" s="16" t="n">
        <v>45</v>
      </c>
      <c r="G420" t="inlineStr">
        <is>
          <t>g</t>
        </is>
      </c>
      <c r="H420" s="12">
        <f>IFERROR(VLOOKUP(E420,Insumos!$C$5:$G$181,5,FALSE),0)</f>
        <v/>
      </c>
      <c r="I420" s="17">
        <f>F420*H420</f>
        <v/>
      </c>
    </row>
    <row r="421">
      <c r="A421" t="n">
        <v>42</v>
      </c>
      <c r="B421" s="21" t="inlineStr">
        <is>
          <t>Monografía del Queso de Cabra en Cuatro Maduraciones (Fresco Láctico, Rulo en Ceniza, Curado de Monte, Afinado en Cueva y Cecina de Chivo)</t>
        </is>
      </c>
      <c r="C421" t="inlineStr">
        <is>
          <t>humedo</t>
        </is>
      </c>
      <c r="D421" s="22" t="inlineStr">
        <is>
          <t>35 g Miel pura de azahar o trébol claro (en cuenco pequeño)</t>
        </is>
      </c>
      <c r="E421" s="6" t="inlineStr">
        <is>
          <t>Miel pura monofloral artesanal</t>
        </is>
      </c>
      <c r="F421" s="16" t="n">
        <v>35</v>
      </c>
      <c r="G421" t="inlineStr">
        <is>
          <t>g</t>
        </is>
      </c>
      <c r="H421" s="12">
        <f>IFERROR(VLOOKUP(E421,Insumos!$C$5:$G$181,5,FALSE),0)</f>
        <v/>
      </c>
      <c r="I421" s="17">
        <f>F421*H421</f>
        <v/>
      </c>
    </row>
    <row r="422">
      <c r="A422" t="n">
        <v>42</v>
      </c>
      <c r="B422" s="21" t="inlineStr">
        <is>
          <t>Monografía del Queso de Cabra en Cuatro Maduraciones (Fresco Láctico, Rulo en Ceniza, Curado de Monte, Afinado en Cueva y Cecina de Chivo)</t>
        </is>
      </c>
      <c r="C422" t="inlineStr">
        <is>
          <t>humedo</t>
        </is>
      </c>
      <c r="D422" s="22" t="inlineStr">
        <is>
          <t>30 g Manzana ácida Granny Smith en bastones milimétricos al momento</t>
        </is>
      </c>
      <c r="E422" s="6" t="inlineStr">
        <is>
          <t>Manzana ácida (Granny Smith, reineta, perona)</t>
        </is>
      </c>
      <c r="F422" s="16" t="n">
        <v>30</v>
      </c>
      <c r="G422" t="inlineStr">
        <is>
          <t>g</t>
        </is>
      </c>
      <c r="H422" s="12">
        <f>IFERROR(VLOOKUP(E422,Insumos!$C$5:$G$181,5,FALSE),0)</f>
        <v/>
      </c>
      <c r="I422" s="17">
        <f>F422*H422</f>
        <v/>
      </c>
    </row>
    <row r="423">
      <c r="A423" t="n">
        <v>43</v>
      </c>
      <c r="B423" s="21" t="inlineStr">
        <is>
          <t>Barrica &amp; Gran Reserva (Jamón 100% Ibérico de Bellota Cinco Jotas, Parmigiano Reggiano DOP 36 Meses, Cecina de Buey Premium, Cacao 85% y Moras Silvestres)</t>
        </is>
      </c>
      <c r="C423" t="inlineStr">
        <is>
          <t>charcuteria</t>
        </is>
      </c>
      <c r="D423" s="22" t="inlineStr">
        <is>
          <t>110 g Jamón 100% Ibérico de Bellota cortado a cuchillo por maestro cortador (añada seleccionada, 36 a 48 meses de curación en secaderos naturales de Jabugo o Guijuelo, lonchas de 4 cm con grasa infiltrada translúcida)</t>
        </is>
      </c>
      <c r="E423" s="6" t="inlineStr">
        <is>
          <t>Jamón 100% ibérico de bellota (loncheado a cuchillo)</t>
        </is>
      </c>
      <c r="F423" s="16" t="n">
        <v>110</v>
      </c>
      <c r="G423" t="inlineStr">
        <is>
          <t>g</t>
        </is>
      </c>
      <c r="H423" s="12">
        <f>IFERROR(VLOOKUP(E423,Insumos!$C$5:$G$181,5,FALSE),0)</f>
        <v/>
      </c>
      <c r="I423" s="17">
        <f>F423*H423</f>
        <v/>
      </c>
    </row>
    <row r="424">
      <c r="A424" t="n">
        <v>43</v>
      </c>
      <c r="B424" s="21" t="inlineStr">
        <is>
          <t>Barrica &amp; Gran Reserva (Jamón 100% Ibérico de Bellota Cinco Jotas, Parmigiano Reggiano DOP 36 Meses, Cecina de Buey Premium, Cacao 85% y Moras Silvestres)</t>
        </is>
      </c>
      <c r="C424" t="inlineStr">
        <is>
          <t>charcuteria</t>
        </is>
      </c>
      <c r="D424" s="22" t="inlineStr">
        <is>
          <t>90 g Cecina de Buey Auténtico Premium (contra o babilla de buey de trabajo de más de 8 años, curada en secadero natural de montaña durante 24 meses con ligero ahumado en encina) cortada a máquina a 0.8 mm</t>
        </is>
      </c>
      <c r="E424" s="6" t="inlineStr">
        <is>
          <t>Cecina de buey premium</t>
        </is>
      </c>
      <c r="F424" s="16" t="n">
        <v>90</v>
      </c>
      <c r="G424" t="inlineStr">
        <is>
          <t>g</t>
        </is>
      </c>
      <c r="H424" s="12">
        <f>IFERROR(VLOOKUP(E424,Insumos!$C$5:$G$181,5,FALSE),0)</f>
        <v/>
      </c>
      <c r="I424" s="17">
        <f>F424*H424</f>
        <v/>
      </c>
    </row>
    <row r="425">
      <c r="A425" t="n">
        <v>43</v>
      </c>
      <c r="B425" s="21" t="inlineStr">
        <is>
          <t>Barrica &amp; Gran Reserva (Jamón 100% Ibérico de Bellota Cinco Jotas, Parmigiano Reggiano DOP 36 Meses, Cecina de Buey Premium, Cacao 85% y Moras Silvestres)</t>
        </is>
      </c>
      <c r="C425" t="inlineStr">
        <is>
          <t>queso</t>
        </is>
      </c>
      <c r="D425" s="22" t="inlineStr">
        <is>
          <t>130 g Parmigiano Reggiano DOP Stravecchione madurado 36 meses (leche cruda de vaca de raza Reggiana o Frisona, textura sumamente granular y seca con racimos de cristales de tirosina crujientes, aromas a caldo de carne concentrado, nuez moscada y cuero) quebrado con punzón</t>
        </is>
      </c>
      <c r="E425" s="6" t="inlineStr">
        <is>
          <t>Parmigiano Reggiano DOP 30-36 meses</t>
        </is>
      </c>
      <c r="F425" s="16" t="n">
        <v>130</v>
      </c>
      <c r="G425" t="inlineStr">
        <is>
          <t>g</t>
        </is>
      </c>
      <c r="H425" s="12">
        <f>IFERROR(VLOOKUP(E425,Insumos!$C$5:$G$181,5,FALSE),0)</f>
        <v/>
      </c>
      <c r="I425" s="17">
        <f>F425*H425</f>
        <v/>
      </c>
    </row>
    <row r="426">
      <c r="A426" t="n">
        <v>43</v>
      </c>
      <c r="B426" s="21" t="inlineStr">
        <is>
          <t>Barrica &amp; Gran Reserva (Jamón 100% Ibérico de Bellota Cinco Jotas, Parmigiano Reggiano DOP 36 Meses, Cecina de Buey Premium, Cacao 85% y Moras Silvestres)</t>
        </is>
      </c>
      <c r="C426" t="inlineStr">
        <is>
          <t>seco</t>
        </is>
      </c>
      <c r="D426" s="22" t="inlineStr">
        <is>
          <t>60 g Picos camperos andaluces rústicos elaborados con aceite de oliva virgen extra y masa madre</t>
        </is>
      </c>
      <c r="E426" s="6" t="inlineStr">
        <is>
          <t>Picos, regañás o colines andaluces</t>
        </is>
      </c>
      <c r="F426" s="16" t="n">
        <v>60</v>
      </c>
      <c r="G426" t="inlineStr">
        <is>
          <t>g</t>
        </is>
      </c>
      <c r="H426" s="12">
        <f>IFERROR(VLOOKUP(E426,Insumos!$C$5:$G$181,5,FALSE),0)</f>
        <v/>
      </c>
      <c r="I426" s="17">
        <f>F426*H426</f>
        <v/>
      </c>
    </row>
    <row r="427">
      <c r="A427" t="n">
        <v>43</v>
      </c>
      <c r="B427" s="21" t="inlineStr">
        <is>
          <t>Barrica &amp; Gran Reserva (Jamón 100% Ibérico de Bellota Cinco Jotas, Parmigiano Reggiano DOP 36 Meses, Cecina de Buey Premium, Cacao 85% y Moras Silvestres)</t>
        </is>
      </c>
      <c r="C427" t="inlineStr">
        <is>
          <t>seco</t>
        </is>
      </c>
      <c r="D427" s="22" t="inlineStr">
        <is>
          <t>35 g Chocolate negro amargo de origen 85% de cacao quebrado en fragmentos rústicos de 2 cm</t>
        </is>
      </c>
      <c r="E427" s="6" t="inlineStr">
        <is>
          <t>Chocolate negro de origen 85%</t>
        </is>
      </c>
      <c r="F427" s="16" t="n">
        <v>35</v>
      </c>
      <c r="G427" t="inlineStr">
        <is>
          <t>g</t>
        </is>
      </c>
      <c r="H427" s="12">
        <f>IFERROR(VLOOKUP(E427,Insumos!$C$5:$G$181,5,FALSE),0)</f>
        <v/>
      </c>
      <c r="I427" s="17">
        <f>F427*H427</f>
        <v/>
      </c>
    </row>
    <row r="428">
      <c r="A428" t="n">
        <v>43</v>
      </c>
      <c r="B428" s="21" t="inlineStr">
        <is>
          <t>Barrica &amp; Gran Reserva (Jamón 100% Ibérico de Bellota Cinco Jotas, Parmigiano Reggiano DOP 36 Meses, Cecina de Buey Premium, Cacao 85% y Moras Silvestres)</t>
        </is>
      </c>
      <c r="C428" t="inlineStr">
        <is>
          <t>seco</t>
        </is>
      </c>
      <c r="D428" s="22" t="inlineStr">
        <is>
          <t>35 g Nueces de nogal tostadas al natural</t>
        </is>
      </c>
      <c r="E428" s="6" t="inlineStr">
        <is>
          <t>Nuez de Castilla o de nogal en mitades</t>
        </is>
      </c>
      <c r="F428" s="16" t="n">
        <v>35</v>
      </c>
      <c r="G428" t="inlineStr">
        <is>
          <t>g</t>
        </is>
      </c>
      <c r="H428" s="12">
        <f>IFERROR(VLOOKUP(E428,Insumos!$C$5:$G$181,5,FALSE),0)</f>
        <v/>
      </c>
      <c r="I428" s="17">
        <f>F428*H428</f>
        <v/>
      </c>
    </row>
    <row r="429">
      <c r="A429" t="n">
        <v>43</v>
      </c>
      <c r="B429" s="21" t="inlineStr">
        <is>
          <t>Barrica &amp; Gran Reserva (Jamón 100% Ibérico de Bellota Cinco Jotas, Parmigiano Reggiano DOP 36 Meses, Cecina de Buey Premium, Cacao 85% y Moras Silvestres)</t>
        </is>
      </c>
      <c r="C429" t="inlineStr">
        <is>
          <t>humedo</t>
        </is>
      </c>
      <c r="D429" s="22" t="inlineStr">
        <is>
          <t>40 ml Reducción densa de vino tinto Tempranillo Gran Reserva con piel de naranja amarga y canela (en cuenco cerámico)</t>
        </is>
      </c>
      <c r="E429" s="6" t="inlineStr">
        <is>
          <t>Reducción densa de vino para tabla (elaborada)</t>
        </is>
      </c>
      <c r="F429" s="16" t="n">
        <v>40</v>
      </c>
      <c r="G429" t="inlineStr">
        <is>
          <t>ml</t>
        </is>
      </c>
      <c r="H429" s="12">
        <f>IFERROR(VLOOKUP(E429,Insumos!$C$5:$G$181,5,FALSE),0)</f>
        <v/>
      </c>
      <c r="I429" s="17">
        <f>F429*H429</f>
        <v/>
      </c>
    </row>
    <row r="430">
      <c r="A430" t="n">
        <v>43</v>
      </c>
      <c r="B430" s="21" t="inlineStr">
        <is>
          <t>Barrica &amp; Gran Reserva (Jamón 100% Ibérico de Bellota Cinco Jotas, Parmigiano Reggiano DOP 36 Meses, Cecina de Buey Premium, Cacao 85% y Moras Silvestres)</t>
        </is>
      </c>
      <c r="C430" t="inlineStr">
        <is>
          <t>humedo</t>
        </is>
      </c>
      <c r="D430" s="22" t="inlineStr">
        <is>
          <t>40 g Moras silvestres frescas maduras limpias y minuciosamente secadas a paño</t>
        </is>
      </c>
      <c r="E430" s="6" t="inlineStr">
        <is>
          <t>Mora, fresa silvestre o cereza fresca</t>
        </is>
      </c>
      <c r="F430" s="16" t="n">
        <v>40</v>
      </c>
      <c r="G430" t="inlineStr">
        <is>
          <t>g</t>
        </is>
      </c>
      <c r="H430" s="12">
        <f>IFERROR(VLOOKUP(E430,Insumos!$C$5:$G$181,5,FALSE),0)</f>
        <v/>
      </c>
      <c r="I430" s="17">
        <f>F430*H430</f>
        <v/>
      </c>
    </row>
    <row r="431">
      <c r="A431" t="n">
        <v>43</v>
      </c>
      <c r="B431" s="21" t="inlineStr">
        <is>
          <t>Barrica &amp; Gran Reserva (Jamón 100% Ibérico de Bellota Cinco Jotas, Parmigiano Reggiano DOP 36 Meses, Cecina de Buey Premium, Cacao 85% y Moras Silvestres)</t>
        </is>
      </c>
      <c r="C431" t="inlineStr">
        <is>
          <t>humedo</t>
        </is>
      </c>
      <c r="D431" s="22" t="inlineStr">
        <is>
          <t>30 g Higos negros secos abiertos por la mitad</t>
        </is>
      </c>
      <c r="E431" s="6" t="inlineStr">
        <is>
          <t>Higo seco o pasa de higo</t>
        </is>
      </c>
      <c r="F431" s="16" t="n">
        <v>30</v>
      </c>
      <c r="G431" t="inlineStr">
        <is>
          <t>g</t>
        </is>
      </c>
      <c r="H431" s="12">
        <f>IFERROR(VLOOKUP(E431,Insumos!$C$5:$G$181,5,FALSE),0)</f>
        <v/>
      </c>
      <c r="I431" s="17">
        <f>F431*H431</f>
        <v/>
      </c>
    </row>
    <row r="432">
      <c r="A432" t="n">
        <v>44</v>
      </c>
      <c r="B432" s="21" t="inlineStr">
        <is>
          <t>Champagne, Trufa Negra &amp; Efervescencia (Brillat-Savarin AOP Trufado, Jamón de Pato Trufado, Gouda Añejo 24 Meses y Uvas Glaseadas)</t>
        </is>
      </c>
      <c r="C432" t="inlineStr">
        <is>
          <t>charcuteria</t>
        </is>
      </c>
      <c r="D432" s="22" t="inlineStr">
        <is>
          <t>100 g Jamón de Pato Trufado (magret de pato cebado curado en sal marina, macerado con brandy y aromatizado con 2% de láminas de trufa negra de invierno Tuber melanosporum) cortado en láminas delgadas de 1 mm</t>
        </is>
      </c>
      <c r="E432" s="6" t="inlineStr">
        <is>
          <t>Magret o jamón de pato curado</t>
        </is>
      </c>
      <c r="F432" s="16" t="n">
        <v>100</v>
      </c>
      <c r="G432" t="inlineStr">
        <is>
          <t>g</t>
        </is>
      </c>
      <c r="H432" s="12">
        <f>IFERROR(VLOOKUP(E432,Insumos!$C$5:$G$181,5,FALSE),0)</f>
        <v/>
      </c>
      <c r="I432" s="17">
        <f>F432*H432</f>
        <v/>
      </c>
    </row>
    <row r="433">
      <c r="A433" t="n">
        <v>44</v>
      </c>
      <c r="B433" s="21" t="inlineStr">
        <is>
          <t>Champagne, Trufa Negra &amp; Efervescencia (Brillat-Savarin AOP Trufado, Jamón de Pato Trufado, Gouda Añejo 24 Meses y Uvas Glaseadas)</t>
        </is>
      </c>
      <c r="C433" t="inlineStr">
        <is>
          <t>queso</t>
        </is>
      </c>
      <c r="D433" s="22" t="inlineStr">
        <is>
          <t>130 g Brillat-Savarin AOP Truffé (queso de leche pasteurizada de vaca enriquecida con nata, 72% M.G., cortado horizontalmente por la mitad e interfoliado con una farsa de mascarpone y trufa negra Tuber melanosporum al 3%) cuña de pasta fundente</t>
        </is>
      </c>
      <c r="E433" s="6" t="inlineStr">
        <is>
          <t>Triple crema AOP (Brillat-Savarin, trufado)</t>
        </is>
      </c>
      <c r="F433" s="16" t="n">
        <v>130</v>
      </c>
      <c r="G433" t="inlineStr">
        <is>
          <t>g</t>
        </is>
      </c>
      <c r="H433" s="12">
        <f>IFERROR(VLOOKUP(E433,Insumos!$C$5:$G$181,5,FALSE),0)</f>
        <v/>
      </c>
      <c r="I433" s="17">
        <f>F433*H433</f>
        <v/>
      </c>
    </row>
    <row r="434">
      <c r="A434" t="n">
        <v>44</v>
      </c>
      <c r="B434" s="21" t="inlineStr">
        <is>
          <t>Champagne, Trufa Negra &amp; Efervescencia (Brillat-Savarin AOP Trufado, Jamón de Pato Trufado, Gouda Añejo 24 Meses y Uvas Glaseadas)</t>
        </is>
      </c>
      <c r="C434" t="inlineStr">
        <is>
          <t>queso</t>
        </is>
      </c>
      <c r="D434" s="22" t="inlineStr">
        <is>
          <t>110 g Gouda Boerenkaas Añejo 24 Meses (elaborado con leche 100% cruda de vaca holandesa de granja Boerenkaas, madurado dos años, pasta dura cristalizada color caramelo toffee con notas de mantequilla tostada y avellana) cortado en cuñas de 4 mm</t>
        </is>
      </c>
      <c r="E434" s="6" t="inlineStr">
        <is>
          <t>Gouda añejo Boerenkaas 24 meses</t>
        </is>
      </c>
      <c r="F434" s="16" t="n">
        <v>110</v>
      </c>
      <c r="G434" t="inlineStr">
        <is>
          <t>g</t>
        </is>
      </c>
      <c r="H434" s="12">
        <f>IFERROR(VLOOKUP(E434,Insumos!$C$5:$G$181,5,FALSE),0)</f>
        <v/>
      </c>
      <c r="I434" s="17">
        <f>F434*H434</f>
        <v/>
      </c>
    </row>
    <row r="435">
      <c r="A435" t="n">
        <v>44</v>
      </c>
      <c r="B435" s="21" t="inlineStr">
        <is>
          <t>Champagne, Trufa Negra &amp; Efervescencia (Brillat-Savarin AOP Trufado, Jamón de Pato Trufado, Gouda Añejo 24 Meses y Uvas Glaseadas)</t>
        </is>
      </c>
      <c r="C435" t="inlineStr">
        <is>
          <t>seco</t>
        </is>
      </c>
      <c r="D435" s="22" t="inlineStr">
        <is>
          <t>60 g Crackers franceses crujientes horneados con mantequilla dulce de Bretaña</t>
        </is>
      </c>
      <c r="E435" s="6" t="inlineStr">
        <is>
          <t>Galleta de avena, digestive o de mantequilla</t>
        </is>
      </c>
      <c r="F435" s="16" t="n">
        <v>60</v>
      </c>
      <c r="G435" t="inlineStr">
        <is>
          <t>g</t>
        </is>
      </c>
      <c r="H435" s="12">
        <f>IFERROR(VLOOKUP(E435,Insumos!$C$5:$G$181,5,FALSE),0)</f>
        <v/>
      </c>
      <c r="I435" s="17">
        <f>F435*H435</f>
        <v/>
      </c>
    </row>
    <row r="436">
      <c r="A436" t="n">
        <v>44</v>
      </c>
      <c r="B436" s="21" t="inlineStr">
        <is>
          <t>Champagne, Trufa Negra &amp; Efervescencia (Brillat-Savarin AOP Trufado, Jamón de Pato Trufado, Gouda Añejo 24 Meses y Uvas Glaseadas)</t>
        </is>
      </c>
      <c r="C436" t="inlineStr">
        <is>
          <t>seco</t>
        </is>
      </c>
      <c r="D436" s="22" t="inlineStr">
        <is>
          <t>35 g Rebanadas finas deshidratadas de pan brioche ligero crujiente</t>
        </is>
      </c>
      <c r="E436" s="6" t="inlineStr">
        <is>
          <t>Pan brioche artesanal</t>
        </is>
      </c>
      <c r="F436" s="16" t="n">
        <v>35</v>
      </c>
      <c r="G436" t="inlineStr">
        <is>
          <t>g</t>
        </is>
      </c>
      <c r="H436" s="12">
        <f>IFERROR(VLOOKUP(E436,Insumos!$C$5:$G$181,5,FALSE),0)</f>
        <v/>
      </c>
      <c r="I436" s="17">
        <f>F436*H436</f>
        <v/>
      </c>
    </row>
    <row r="437">
      <c r="A437" t="n">
        <v>44</v>
      </c>
      <c r="B437" s="21" t="inlineStr">
        <is>
          <t>Champagne, Trufa Negra &amp; Efervescencia (Brillat-Savarin AOP Trufado, Jamón de Pato Trufado, Gouda Añejo 24 Meses y Uvas Glaseadas)</t>
        </is>
      </c>
      <c r="C437" t="inlineStr">
        <is>
          <t>seco</t>
        </is>
      </c>
      <c r="D437" s="22" t="inlineStr">
        <is>
          <t>30 g Pistachos verdes pelados de Bronte tostados al natural</t>
        </is>
      </c>
      <c r="E437" s="6" t="inlineStr">
        <is>
          <t>Pistacho verde pelado (Bronte, Sicilia)</t>
        </is>
      </c>
      <c r="F437" s="16" t="n">
        <v>30</v>
      </c>
      <c r="G437" t="inlineStr">
        <is>
          <t>g</t>
        </is>
      </c>
      <c r="H437" s="12">
        <f>IFERROR(VLOOKUP(E437,Insumos!$C$5:$G$181,5,FALSE),0)</f>
        <v/>
      </c>
      <c r="I437" s="17">
        <f>F437*H437</f>
        <v/>
      </c>
    </row>
    <row r="438">
      <c r="A438" t="n">
        <v>44</v>
      </c>
      <c r="B438" s="21" t="inlineStr">
        <is>
          <t>Champagne, Trufa Negra &amp; Efervescencia (Brillat-Savarin AOP Trufado, Jamón de Pato Trufado, Gouda Añejo 24 Meses y Uvas Glaseadas)</t>
        </is>
      </c>
      <c r="C438" t="inlineStr">
        <is>
          <t>humedo</t>
        </is>
      </c>
      <c r="D438" s="22" t="inlineStr">
        <is>
          <t>35 ml Miel pura de acacia con micro-láminas de trufa de invierno (en cuenco de cristal vitrificado)</t>
        </is>
      </c>
      <c r="E438" s="6" t="inlineStr">
        <is>
          <t>Miel pura monofloral artesanal</t>
        </is>
      </c>
      <c r="F438" s="16" t="n">
        <v>35</v>
      </c>
      <c r="G438" t="inlineStr">
        <is>
          <t>g</t>
        </is>
      </c>
      <c r="H438" s="12">
        <f>IFERROR(VLOOKUP(E438,Insumos!$C$5:$G$181,5,FALSE),0)</f>
        <v/>
      </c>
      <c r="I438" s="17">
        <f>F438*H438</f>
        <v/>
      </c>
    </row>
    <row r="439">
      <c r="A439" t="n">
        <v>44</v>
      </c>
      <c r="B439" s="21" t="inlineStr">
        <is>
          <t>Champagne, Trufa Negra &amp; Efervescencia (Brillat-Savarin AOP Trufado, Jamón de Pato Trufado, Gouda Añejo 24 Meses y Uvas Glaseadas)</t>
        </is>
      </c>
      <c r="C439" t="inlineStr">
        <is>
          <t>humedo</t>
        </is>
      </c>
      <c r="D439" s="22" t="inlineStr">
        <is>
          <t>40 g Uvas blancas Thompson sin semillas glaseadas en jarabe frío y secadas al aire</t>
        </is>
      </c>
      <c r="E439" s="6" t="inlineStr">
        <is>
          <t>Uva de mesa sin semilla (blanca, roja o negra)</t>
        </is>
      </c>
      <c r="F439" s="16" t="n">
        <v>40</v>
      </c>
      <c r="G439" t="inlineStr">
        <is>
          <t>g</t>
        </is>
      </c>
      <c r="H439" s="12">
        <f>IFERROR(VLOOKUP(E439,Insumos!$C$5:$G$181,5,FALSE),0)</f>
        <v/>
      </c>
      <c r="I439" s="17">
        <f>F439*H439</f>
        <v/>
      </c>
    </row>
    <row r="440">
      <c r="A440" t="n">
        <v>44</v>
      </c>
      <c r="B440" s="21" t="inlineStr">
        <is>
          <t>Champagne, Trufa Negra &amp; Efervescencia (Brillat-Savarin AOP Trufado, Jamón de Pato Trufado, Gouda Añejo 24 Meses y Uvas Glaseadas)</t>
        </is>
      </c>
      <c r="C440" t="inlineStr">
        <is>
          <t>humedo</t>
        </is>
      </c>
      <c r="D440" s="22" t="inlineStr">
        <is>
          <t>35 g Avellanas tostadas peladas</t>
        </is>
      </c>
      <c r="E440" s="6" t="inlineStr">
        <is>
          <t>Avellana tostada (Reus DOP, Piamonte IGP)</t>
        </is>
      </c>
      <c r="F440" s="16" t="n">
        <v>35</v>
      </c>
      <c r="G440" t="inlineStr">
        <is>
          <t>g</t>
        </is>
      </c>
      <c r="H440" s="12">
        <f>IFERROR(VLOOKUP(E440,Insumos!$C$5:$G$181,5,FALSE),0)</f>
        <v/>
      </c>
      <c r="I440" s="17">
        <f>F440*H440</f>
        <v/>
      </c>
    </row>
    <row r="441">
      <c r="A441" t="n">
        <v>45</v>
      </c>
      <c r="B441" s="21" t="inlineStr">
        <is>
          <t>Gala Navideña de Celebración (Foie Gras Micuit Tradicional, Jamón Ibérico de Bellota, Comté AOP 18 Meses, Turrón de Jijona y Pecanas)</t>
        </is>
      </c>
      <c r="C441" t="inlineStr">
        <is>
          <t>charcuteria</t>
        </is>
      </c>
      <c r="D441" s="22" t="inlineStr">
        <is>
          <t>100 g Foie Gras de Pato Micuit Tradicional (hígado graso entero de pato desvenado a mano, marinado con sal marina, pimienta blanca, azúcar y armagnac, cocido en tarrina al vacío a 65 °C a corazón, textura mantecosa pura) rebanado en medallones de 1.5 cm a 12 °C</t>
        </is>
      </c>
      <c r="E441" s="6" t="inlineStr">
        <is>
          <t>Foie gras de pato mi-cuit</t>
        </is>
      </c>
      <c r="F441" s="16" t="n">
        <v>100</v>
      </c>
      <c r="G441" t="inlineStr">
        <is>
          <t>g</t>
        </is>
      </c>
      <c r="H441" s="12">
        <f>IFERROR(VLOOKUP(E441,Insumos!$C$5:$G$181,5,FALSE),0)</f>
        <v/>
      </c>
      <c r="I441" s="17">
        <f>F441*H441</f>
        <v/>
      </c>
    </row>
    <row r="442">
      <c r="A442" t="n">
        <v>45</v>
      </c>
      <c r="B442" s="21" t="inlineStr">
        <is>
          <t>Gala Navideña de Celebración (Foie Gras Micuit Tradicional, Jamón Ibérico de Bellota, Comté AOP 18 Meses, Turrón de Jijona y Pecanas)</t>
        </is>
      </c>
      <c r="C442" t="inlineStr">
        <is>
          <t>charcuteria</t>
        </is>
      </c>
      <c r="D442" s="22" t="inlineStr">
        <is>
          <t>90 g Jamón 100% Ibérico de Bellota cortado a cuchillo en lonchas traslúcidas de 4 cm</t>
        </is>
      </c>
      <c r="E442" s="6" t="inlineStr">
        <is>
          <t>Jamón 100% ibérico de bellota (loncheado a cuchillo)</t>
        </is>
      </c>
      <c r="F442" s="16" t="n">
        <v>90</v>
      </c>
      <c r="G442" t="inlineStr">
        <is>
          <t>g</t>
        </is>
      </c>
      <c r="H442" s="12">
        <f>IFERROR(VLOOKUP(E442,Insumos!$C$5:$G$181,5,FALSE),0)</f>
        <v/>
      </c>
      <c r="I442" s="17">
        <f>F442*H442</f>
        <v/>
      </c>
    </row>
    <row r="443">
      <c r="A443" t="n">
        <v>45</v>
      </c>
      <c r="B443" s="21" t="inlineStr">
        <is>
          <t>Gala Navideña de Celebración (Foie Gras Micuit Tradicional, Jamón Ibérico de Bellota, Comté AOP 18 Meses, Turrón de Jijona y Pecanas)</t>
        </is>
      </c>
      <c r="C443" t="inlineStr">
        <is>
          <t>queso</t>
        </is>
      </c>
      <c r="D443" s="22" t="inlineStr">
        <is>
          <t>120 g Comté AOP 18 Mois de Cava de Piedra (leche cruda de vaca Montbéliarde, pasta prensada cocida, maduración intermedia con notas de avellana, mantequilla fundida y heno seco) cortado en bastones de 5 cm x 1 cm</t>
        </is>
      </c>
      <c r="E443" s="6" t="inlineStr">
        <is>
          <t>Comté AOP 18-24 meses</t>
        </is>
      </c>
      <c r="F443" s="16" t="n">
        <v>120</v>
      </c>
      <c r="G443" t="inlineStr">
        <is>
          <t>g</t>
        </is>
      </c>
      <c r="H443" s="12">
        <f>IFERROR(VLOOKUP(E443,Insumos!$C$5:$G$181,5,FALSE),0)</f>
        <v/>
      </c>
      <c r="I443" s="17">
        <f>F443*H443</f>
        <v/>
      </c>
    </row>
    <row r="444">
      <c r="A444" t="n">
        <v>45</v>
      </c>
      <c r="B444" s="21" t="inlineStr">
        <is>
          <t>Gala Navideña de Celebración (Foie Gras Micuit Tradicional, Jamón Ibérico de Bellota, Comté AOP 18 Meses, Turrón de Jijona y Pecanas)</t>
        </is>
      </c>
      <c r="C444" t="inlineStr">
        <is>
          <t>queso</t>
        </is>
      </c>
      <c r="D444" s="22" t="inlineStr">
        <is>
          <t>100 g Queso de Oveja Curado a la Trufa Negra (leche cruda de oveja manchega o castellana, 6 meses de maduración, veteado interno de pasta de trufa) cortado en cuñas de 4 mm</t>
        </is>
      </c>
      <c r="E444" s="6" t="inlineStr">
        <is>
          <t>Queso de oveja afinado en manteca o en trufa</t>
        </is>
      </c>
      <c r="F444" s="16" t="n">
        <v>100</v>
      </c>
      <c r="G444" t="inlineStr">
        <is>
          <t>g</t>
        </is>
      </c>
      <c r="H444" s="12">
        <f>IFERROR(VLOOKUP(E444,Insumos!$C$5:$G$181,5,FALSE),0)</f>
        <v/>
      </c>
      <c r="I444" s="17">
        <f>F444*H444</f>
        <v/>
      </c>
    </row>
    <row r="445">
      <c r="A445" t="n">
        <v>45</v>
      </c>
      <c r="B445" s="21" t="inlineStr">
        <is>
          <t>Gala Navideña de Celebración (Foie Gras Micuit Tradicional, Jamón Ibérico de Bellota, Comté AOP 18 Meses, Turrón de Jijona y Pecanas)</t>
        </is>
      </c>
      <c r="C445" t="inlineStr">
        <is>
          <t>seco</t>
        </is>
      </c>
      <c r="D445" s="22" t="inlineStr">
        <is>
          <t>60 g Rebanadas finas de pan brioche artesanal tostadas al comal o salamandra</t>
        </is>
      </c>
      <c r="E445" s="6" t="inlineStr">
        <is>
          <t>Pan brioche artesanal</t>
        </is>
      </c>
      <c r="F445" s="16" t="n">
        <v>60</v>
      </c>
      <c r="G445" t="inlineStr">
        <is>
          <t>g</t>
        </is>
      </c>
      <c r="H445" s="12">
        <f>IFERROR(VLOOKUP(E445,Insumos!$C$5:$G$181,5,FALSE),0)</f>
        <v/>
      </c>
      <c r="I445" s="17">
        <f>F445*H445</f>
        <v/>
      </c>
    </row>
    <row r="446">
      <c r="A446" t="n">
        <v>45</v>
      </c>
      <c r="B446" s="21" t="inlineStr">
        <is>
          <t>Gala Navideña de Celebración (Foie Gras Micuit Tradicional, Jamón Ibérico de Bellota, Comté AOP 18 Meses, Turrón de Jijona y Pecanas)</t>
        </is>
      </c>
      <c r="C446" t="inlineStr">
        <is>
          <t>seco</t>
        </is>
      </c>
      <c r="D446" s="22" t="inlineStr">
        <is>
          <t>40 g Crackers franceses crujientes con pasas y nueces</t>
        </is>
      </c>
      <c r="E446" s="6" t="inlineStr">
        <is>
          <t>Crackers artesanales de semillas o masa madre</t>
        </is>
      </c>
      <c r="F446" s="16" t="n">
        <v>40</v>
      </c>
      <c r="G446" t="inlineStr">
        <is>
          <t>g</t>
        </is>
      </c>
      <c r="H446" s="12">
        <f>IFERROR(VLOOKUP(E446,Insumos!$C$5:$G$181,5,FALSE),0)</f>
        <v/>
      </c>
      <c r="I446" s="17">
        <f>F446*H446</f>
        <v/>
      </c>
    </row>
    <row r="447">
      <c r="A447" t="n">
        <v>45</v>
      </c>
      <c r="B447" s="21" t="inlineStr">
        <is>
          <t>Gala Navideña de Celebración (Foie Gras Micuit Tradicional, Jamón Ibérico de Bellota, Comté AOP 18 Meses, Turrón de Jijona y Pecanas)</t>
        </is>
      </c>
      <c r="C447" t="inlineStr">
        <is>
          <t>seco</t>
        </is>
      </c>
      <c r="D447" s="22" t="inlineStr">
        <is>
          <t>35 g Nueces pecanas tostadas con un toque de miel</t>
        </is>
      </c>
      <c r="E447" s="6" t="inlineStr">
        <is>
          <t>Nuez pecana o nuez de la India</t>
        </is>
      </c>
      <c r="F447" s="16" t="n">
        <v>35</v>
      </c>
      <c r="G447" t="inlineStr">
        <is>
          <t>g</t>
        </is>
      </c>
      <c r="H447" s="12">
        <f>IFERROR(VLOOKUP(E447,Insumos!$C$5:$G$181,5,FALSE),0)</f>
        <v/>
      </c>
      <c r="I447" s="17">
        <f>F447*H447</f>
        <v/>
      </c>
    </row>
    <row r="448">
      <c r="A448" t="n">
        <v>45</v>
      </c>
      <c r="B448" s="21" t="inlineStr">
        <is>
          <t>Gala Navideña de Celebración (Foie Gras Micuit Tradicional, Jamón Ibérico de Bellota, Comté AOP 18 Meses, Turrón de Jijona y Pecanas)</t>
        </is>
      </c>
      <c r="C448" t="inlineStr">
        <is>
          <t>humedo</t>
        </is>
      </c>
      <c r="D448" s="22" t="inlineStr">
        <is>
          <t>50 g Turrón de Jijona tradicional con Indicación Geográfica Protegida (mínimo 64% almendra Marcona tostada, miel de azahar y clara de huevo) cortado en cubos de 1.5 cm x 1.5 cm</t>
        </is>
      </c>
      <c r="E448" s="6" t="inlineStr">
        <is>
          <t>Turrón de Jijona IGP o dulce de almendra</t>
        </is>
      </c>
      <c r="F448" s="16" t="n">
        <v>50</v>
      </c>
      <c r="G448" t="inlineStr">
        <is>
          <t>g</t>
        </is>
      </c>
      <c r="H448" s="12">
        <f>IFERROR(VLOOKUP(E448,Insumos!$C$5:$G$181,5,FALSE),0)</f>
        <v/>
      </c>
      <c r="I448" s="17">
        <f>F448*H448</f>
        <v/>
      </c>
    </row>
    <row r="449">
      <c r="A449" t="n">
        <v>45</v>
      </c>
      <c r="B449" s="21" t="inlineStr">
        <is>
          <t>Gala Navideña de Celebración (Foie Gras Micuit Tradicional, Jamón Ibérico de Bellota, Comté AOP 18 Meses, Turrón de Jijona y Pecanas)</t>
        </is>
      </c>
      <c r="C449" t="inlineStr">
        <is>
          <t>humedo</t>
        </is>
      </c>
      <c r="D449" s="22" t="inlineStr">
        <is>
          <t>45 g Chutney espeso de higos secos de cuello de dama y manzana reineta al armagnac (en ramequín cerámico)</t>
        </is>
      </c>
      <c r="E449" s="6" t="inlineStr">
        <is>
          <t>Chutney o confitura fina de importación</t>
        </is>
      </c>
      <c r="F449" s="16" t="n">
        <v>45</v>
      </c>
      <c r="G449" t="inlineStr">
        <is>
          <t>g</t>
        </is>
      </c>
      <c r="H449" s="12">
        <f>IFERROR(VLOOKUP(E449,Insumos!$C$5:$G$181,5,FALSE),0)</f>
        <v/>
      </c>
      <c r="I449" s="17">
        <f>F449*H449</f>
        <v/>
      </c>
    </row>
    <row r="450">
      <c r="A450" t="n">
        <v>45</v>
      </c>
      <c r="B450" s="21" t="inlineStr">
        <is>
          <t>Gala Navideña de Celebración (Foie Gras Micuit Tradicional, Jamón Ibérico de Bellota, Comté AOP 18 Meses, Turrón de Jijona y Pecanas)</t>
        </is>
      </c>
      <c r="C450" t="inlineStr">
        <is>
          <t>humedo</t>
        </is>
      </c>
      <c r="D450" s="22" t="inlineStr">
        <is>
          <t>40 g Uvas rojas frescas de Nochevieja limpias y secas</t>
        </is>
      </c>
      <c r="E450" s="6" t="inlineStr">
        <is>
          <t>Uva de mesa sin semilla (blanca, roja o negra)</t>
        </is>
      </c>
      <c r="F450" s="16" t="n">
        <v>40</v>
      </c>
      <c r="G450" t="inlineStr">
        <is>
          <t>g</t>
        </is>
      </c>
      <c r="H450" s="12">
        <f>IFERROR(VLOOKUP(E450,Insumos!$C$5:$G$181,5,FALSE),0)</f>
        <v/>
      </c>
      <c r="I450" s="17">
        <f>F450*H450</f>
        <v/>
      </c>
    </row>
    <row r="451">
      <c r="A451" t="n">
        <v>46</v>
      </c>
      <c r="B451" s="21" t="inlineStr">
        <is>
          <t>Vermutería &amp; Aperitivo Tradicional (Gildas Dobles de Piparra y Anchoa del Cantábrico, Jamón de Cebo de Campo Ibérico, Queso Manchego Curado en AOVE y Almendras Marcona Fritas)</t>
        </is>
      </c>
      <c r="C451" t="inlineStr">
        <is>
          <t>charcuteria</t>
        </is>
      </c>
      <c r="D451" s="22" t="inlineStr">
        <is>
          <t>6 Piezas de Gildas Dobles Clásicas (peso neto total aprox. 110 g: 12 piparras vascas encurtidas en vinagre suave sin pedúnculo, 6 filetes de anchoa del Cantábrico en aceite de oliva [Octavillo 00], 6 aceitunas Manzanilla deshuesadas y 6 boquerones en vinagre blanco montados en brocheta de 12 cm)</t>
        </is>
      </c>
      <c r="E451" s="6" t="inlineStr">
        <is>
          <t>Conserva del mar en escabeche (mejillón, anchoa, bonito)</t>
        </is>
      </c>
      <c r="F451" s="16" t="n">
        <v>180</v>
      </c>
      <c r="G451" t="inlineStr">
        <is>
          <t>g</t>
        </is>
      </c>
      <c r="H451" s="12">
        <f>IFERROR(VLOOKUP(E451,Insumos!$C$5:$G$181,5,FALSE),0)</f>
        <v/>
      </c>
      <c r="I451" s="17">
        <f>F451*H451</f>
        <v/>
      </c>
    </row>
    <row r="452">
      <c r="A452" t="n">
        <v>46</v>
      </c>
      <c r="B452" s="21" t="inlineStr">
        <is>
          <t>Vermutería &amp; Aperitivo Tradicional (Gildas Dobles de Piparra y Anchoa del Cantábrico, Jamón de Cebo de Campo Ibérico, Queso Manchego Curado en AOVE y Almendras Marcona Fritas)</t>
        </is>
      </c>
      <c r="C452" t="inlineStr">
        <is>
          <t>charcuteria</t>
        </is>
      </c>
      <c r="D452" s="22" t="inlineStr">
        <is>
          <t>100 g Jamón de Cebo de Campo 75% Ibérico (curación mínima 28 meses en secadero natural, grasa dorsal brillante con veta marmoleada) cortado a máquina a 1 mm</t>
        </is>
      </c>
      <c r="E452" s="6" t="inlineStr">
        <is>
          <t>Jamón ibérico de cebo de campo (50-75% ibérico)</t>
        </is>
      </c>
      <c r="F452" s="16" t="n">
        <v>100</v>
      </c>
      <c r="G452" t="inlineStr">
        <is>
          <t>g</t>
        </is>
      </c>
      <c r="H452" s="12">
        <f>IFERROR(VLOOKUP(E452,Insumos!$C$5:$G$181,5,FALSE),0)</f>
        <v/>
      </c>
      <c r="I452" s="17">
        <f>F452*H452</f>
        <v/>
      </c>
    </row>
    <row r="453">
      <c r="A453" t="n">
        <v>46</v>
      </c>
      <c r="B453" s="21" t="inlineStr">
        <is>
          <t>Vermutería &amp; Aperitivo Tradicional (Gildas Dobles de Piparra y Anchoa del Cantábrico, Jamón de Cebo de Campo Ibérico, Queso Manchego Curado en AOVE y Almendras Marcona Fritas)</t>
        </is>
      </c>
      <c r="C453" t="inlineStr">
        <is>
          <t>queso</t>
        </is>
      </c>
      <c r="D453" s="22" t="inlineStr">
        <is>
          <t>110 g Queso Manchego DOP Curado en AOVE (leche cruda de oveja manchega, 6 a 8 meses de curación, macerado en dados en aceite de oliva virgen extra monovarietal picual con ramas de tomillo y dientes de ajo) servido con cuchara de madera</t>
        </is>
      </c>
      <c r="E453" s="6" t="inlineStr">
        <is>
          <t>Queso manchego DOP artesano viejo o gran reserva</t>
        </is>
      </c>
      <c r="F453" s="16" t="n">
        <v>110</v>
      </c>
      <c r="G453" t="inlineStr">
        <is>
          <t>g</t>
        </is>
      </c>
      <c r="H453" s="12">
        <f>IFERROR(VLOOKUP(E453,Insumos!$C$5:$G$181,5,FALSE),0)</f>
        <v/>
      </c>
      <c r="I453" s="17">
        <f>F453*H453</f>
        <v/>
      </c>
    </row>
    <row r="454">
      <c r="A454" t="n">
        <v>46</v>
      </c>
      <c r="B454" s="21" t="inlineStr">
        <is>
          <t>Vermutería &amp; Aperitivo Tradicional (Gildas Dobles de Piparra y Anchoa del Cantábrico, Jamón de Cebo de Campo Ibérico, Queso Manchego Curado en AOVE y Almendras Marcona Fritas)</t>
        </is>
      </c>
      <c r="C454" t="inlineStr">
        <is>
          <t>queso</t>
        </is>
      </c>
      <c r="D454" s="22" t="inlineStr">
        <is>
          <t>110 g Queso Manchego DOP Viejo Seco (maduración mínima de 12 meses, corteza en zig-zag limpia, pasta dura amarillenta con cristales de tirosina) cortado en cuñas de 4 mm</t>
        </is>
      </c>
      <c r="E454" s="6" t="inlineStr">
        <is>
          <t>Queso manchego DOP artesano viejo o gran reserva</t>
        </is>
      </c>
      <c r="F454" s="16" t="n">
        <v>110</v>
      </c>
      <c r="G454" t="inlineStr">
        <is>
          <t>g</t>
        </is>
      </c>
      <c r="H454" s="12">
        <f>IFERROR(VLOOKUP(E454,Insumos!$C$5:$G$181,5,FALSE),0)</f>
        <v/>
      </c>
      <c r="I454" s="17">
        <f>F454*H454</f>
        <v/>
      </c>
    </row>
    <row r="455">
      <c r="A455" t="n">
        <v>46</v>
      </c>
      <c r="B455" s="21" t="inlineStr">
        <is>
          <t>Vermutería &amp; Aperitivo Tradicional (Gildas Dobles de Piparra y Anchoa del Cantábrico, Jamón de Cebo de Campo Ibérico, Queso Manchego Curado en AOVE y Almendras Marcona Fritas)</t>
        </is>
      </c>
      <c r="C455" t="inlineStr">
        <is>
          <t>seco</t>
        </is>
      </c>
      <c r="D455" s="22" t="inlineStr">
        <is>
          <t>50 g Patatas fritas artesanales gruesas en sartén con AOVE y sal marina</t>
        </is>
      </c>
      <c r="E455" s="6" t="inlineStr">
        <is>
          <t>Chip artesanal de plátano macho o de papa en AOVE</t>
        </is>
      </c>
      <c r="F455" s="16" t="n">
        <v>50</v>
      </c>
      <c r="G455" t="inlineStr">
        <is>
          <t>g</t>
        </is>
      </c>
      <c r="H455" s="12">
        <f>IFERROR(VLOOKUP(E455,Insumos!$C$5:$G$181,5,FALSE),0)</f>
        <v/>
      </c>
      <c r="I455" s="17">
        <f>F455*H455</f>
        <v/>
      </c>
    </row>
    <row r="456">
      <c r="A456" t="n">
        <v>46</v>
      </c>
      <c r="B456" s="21" t="inlineStr">
        <is>
          <t>Vermutería &amp; Aperitivo Tradicional (Gildas Dobles de Piparra y Anchoa del Cantábrico, Jamón de Cebo de Campo Ibérico, Queso Manchego Curado en AOVE y Almendras Marcona Fritas)</t>
        </is>
      </c>
      <c r="C456" t="inlineStr">
        <is>
          <t>seco</t>
        </is>
      </c>
      <c r="D456" s="22" t="inlineStr">
        <is>
          <t>40 g Picos de pan camperos andaluces de masa madre</t>
        </is>
      </c>
      <c r="E456" s="6" t="inlineStr">
        <is>
          <t>Picos, regañás o colines andaluces</t>
        </is>
      </c>
      <c r="F456" s="16" t="n">
        <v>40</v>
      </c>
      <c r="G456" t="inlineStr">
        <is>
          <t>g</t>
        </is>
      </c>
      <c r="H456" s="12">
        <f>IFERROR(VLOOKUP(E456,Insumos!$C$5:$G$181,5,FALSE),0)</f>
        <v/>
      </c>
      <c r="I456" s="17">
        <f>F456*H456</f>
        <v/>
      </c>
    </row>
    <row r="457">
      <c r="A457" t="n">
        <v>46</v>
      </c>
      <c r="B457" s="21" t="inlineStr">
        <is>
          <t>Vermutería &amp; Aperitivo Tradicional (Gildas Dobles de Piparra y Anchoa del Cantábrico, Jamón de Cebo de Campo Ibérico, Queso Manchego Curado en AOVE y Almendras Marcona Fritas)</t>
        </is>
      </c>
      <c r="C457" t="inlineStr">
        <is>
          <t>seco</t>
        </is>
      </c>
      <c r="D457" s="22" t="inlineStr">
        <is>
          <t>40 g Almendras variedad Marcona peladas, fritas en aceite de oliva virgen extra y escurridas con sal gruesa</t>
        </is>
      </c>
      <c r="E457" s="6" t="inlineStr">
        <is>
          <t>Almendra Marcona pelada y frita en AOVE</t>
        </is>
      </c>
      <c r="F457" s="16" t="n">
        <v>40</v>
      </c>
      <c r="G457" t="inlineStr">
        <is>
          <t>g</t>
        </is>
      </c>
      <c r="H457" s="12">
        <f>IFERROR(VLOOKUP(E457,Insumos!$C$5:$G$181,5,FALSE),0)</f>
        <v/>
      </c>
      <c r="I457" s="17">
        <f>F457*H457</f>
        <v/>
      </c>
    </row>
    <row r="458">
      <c r="A458" t="n">
        <v>46</v>
      </c>
      <c r="B458" s="21" t="inlineStr">
        <is>
          <t>Vermutería &amp; Aperitivo Tradicional (Gildas Dobles de Piparra y Anchoa del Cantábrico, Jamón de Cebo de Campo Ibérico, Queso Manchego Curado en AOVE y Almendras Marcona Fritas)</t>
        </is>
      </c>
      <c r="C458" t="inlineStr">
        <is>
          <t>humedo</t>
        </is>
      </c>
      <c r="D458" s="22" t="inlineStr">
        <is>
          <t>50 g Aceitunas Campo Real aliñadas con hinojo, tomillo, orégano y ajo (en ramequín cerámico)</t>
        </is>
      </c>
      <c r="E458" s="6" t="inlineStr">
        <is>
          <t>Aceituna de mesa aliñada (Gordal, Manzanilla, Campo Real, Gaeta)</t>
        </is>
      </c>
      <c r="F458" s="16" t="n">
        <v>50</v>
      </c>
      <c r="G458" t="inlineStr">
        <is>
          <t>g</t>
        </is>
      </c>
      <c r="H458" s="12">
        <f>IFERROR(VLOOKUP(E458,Insumos!$C$5:$G$181,5,FALSE),0)</f>
        <v/>
      </c>
      <c r="I458" s="17">
        <f>F458*H458</f>
        <v/>
      </c>
    </row>
    <row r="459">
      <c r="A459" t="n">
        <v>46</v>
      </c>
      <c r="B459" s="21" t="inlineStr">
        <is>
          <t>Vermutería &amp; Aperitivo Tradicional (Gildas Dobles de Piparra y Anchoa del Cantábrico, Jamón de Cebo de Campo Ibérico, Queso Manchego Curado en AOVE y Almendras Marcona Fritas)</t>
        </is>
      </c>
      <c r="C459" t="inlineStr">
        <is>
          <t>humedo</t>
        </is>
      </c>
      <c r="D459" s="22" t="inlineStr">
        <is>
          <t>35 g Mejillones de las Rías Gallegas en escabeche tradicional artesanal de pimentón y laurel (6 piezas, en cazuelita de gres separada)</t>
        </is>
      </c>
      <c r="E459" s="6" t="inlineStr">
        <is>
          <t>Conserva del mar en escabeche (mejillón, anchoa, bonito)</t>
        </is>
      </c>
      <c r="F459" s="16" t="n">
        <v>35</v>
      </c>
      <c r="G459" t="inlineStr">
        <is>
          <t>g</t>
        </is>
      </c>
      <c r="H459" s="12">
        <f>IFERROR(VLOOKUP(E459,Insumos!$C$5:$G$181,5,FALSE),0)</f>
        <v/>
      </c>
      <c r="I459" s="17">
        <f>F459*H459</f>
        <v/>
      </c>
    </row>
    <row r="460">
      <c r="A460" t="n">
        <v>46</v>
      </c>
      <c r="B460" s="21" t="inlineStr">
        <is>
          <t>Vermutería &amp; Aperitivo Tradicional (Gildas Dobles de Piparra y Anchoa del Cantábrico, Jamón de Cebo de Campo Ibérico, Queso Manchego Curado en AOVE y Almendras Marcona Fritas)</t>
        </is>
      </c>
      <c r="C460" t="inlineStr">
        <is>
          <t>humedo</t>
        </is>
      </c>
      <c r="D460" s="22" t="inlineStr">
        <is>
          <t>30 g Rodajas de naranja sanguina o naranja dulce deshidratadas al horno a 70 °C</t>
        </is>
      </c>
      <c r="E460" s="6" t="inlineStr">
        <is>
          <t>Naranja, lima o cítrico fresco</t>
        </is>
      </c>
      <c r="F460" s="16" t="n">
        <v>30</v>
      </c>
      <c r="G460" t="inlineStr">
        <is>
          <t>g</t>
        </is>
      </c>
      <c r="H460" s="12">
        <f>IFERROR(VLOOKUP(E460,Insumos!$C$5:$G$181,5,FALSE),0)</f>
        <v/>
      </c>
      <c r="I460" s="17">
        <f>F460*H460</f>
        <v/>
      </c>
    </row>
    <row r="461">
      <c r="A461" t="n">
        <v>47</v>
      </c>
      <c r="B461" s="21" t="inlineStr">
        <is>
          <t>Cerveza Artesanal &amp; Lúpulo Fuerte (Chorizo Ahumado a la Cerveza IPA, Jamón de Praga Artesanal, Queso Cheddar Vintage 3 Años, Queso Gouda Ahumado y Mostaza en Grano)</t>
        </is>
      </c>
      <c r="C461" t="inlineStr">
        <is>
          <t>charcuteria</t>
        </is>
      </c>
      <c r="D461" s="22" t="inlineStr">
        <is>
          <t>100 g Chorizo Ahumado Artesanal a la Cerveza IPA (magro de cerdo picado grueso, tocino, sal marina, pimentón dulce, comino, ajo y maceración en cerveza artesanal Double IPA con lúpulos Cascade y Citra, embutido en tripa natural y ahumado) cortado al bies a 3 mm</t>
        </is>
      </c>
      <c r="E461" s="6" t="inlineStr">
        <is>
          <t>Longaniza o chorizo ahumado artesanal</t>
        </is>
      </c>
      <c r="F461" s="16" t="n">
        <v>100</v>
      </c>
      <c r="G461" t="inlineStr">
        <is>
          <t>g</t>
        </is>
      </c>
      <c r="H461" s="12">
        <f>IFERROR(VLOOKUP(E461,Insumos!$C$5:$G$181,5,FALSE),0)</f>
        <v/>
      </c>
      <c r="I461" s="17">
        <f>F461*H461</f>
        <v/>
      </c>
    </row>
    <row r="462">
      <c r="A462" t="n">
        <v>47</v>
      </c>
      <c r="B462" s="21" t="inlineStr">
        <is>
          <t>Cerveza Artesanal &amp; Lúpulo Fuerte (Chorizo Ahumado a la Cerveza IPA, Jamón de Praga Artesanal, Queso Cheddar Vintage 3 Años, Queso Gouda Ahumado y Mostaza en Grano)</t>
        </is>
      </c>
      <c r="C462" t="inlineStr">
        <is>
          <t>charcuteria</t>
        </is>
      </c>
      <c r="D462" s="22" t="inlineStr">
        <is>
          <t>100 g Jamón de Praga Artesanal (Pražská šunka, pierna entera de cerdo seleccionada, salmuera aromatizada con cilantro, pimienta y enebro, cocida lentamente con hueso y ahumada en caliente con leña de haya) cortado a máquina a 1.2 mm</t>
        </is>
      </c>
      <c r="E462" s="6" t="inlineStr">
        <is>
          <t>Jamón ahumado de montaña (speck, schiffala, praga)</t>
        </is>
      </c>
      <c r="F462" s="16" t="n">
        <v>100</v>
      </c>
      <c r="G462" t="inlineStr">
        <is>
          <t>g</t>
        </is>
      </c>
      <c r="H462" s="12">
        <f>IFERROR(VLOOKUP(E462,Insumos!$C$5:$G$181,5,FALSE),0)</f>
        <v/>
      </c>
      <c r="I462" s="17">
        <f>F462*H462</f>
        <v/>
      </c>
    </row>
    <row r="463">
      <c r="A463" t="n">
        <v>47</v>
      </c>
      <c r="B463" s="21" t="inlineStr">
        <is>
          <t>Cerveza Artesanal &amp; Lúpulo Fuerte (Chorizo Ahumado a la Cerveza IPA, Jamón de Praga Artesanal, Queso Cheddar Vintage 3 Años, Queso Gouda Ahumado y Mostaza en Grano)</t>
        </is>
      </c>
      <c r="C463" t="inlineStr">
        <is>
          <t>queso</t>
        </is>
      </c>
      <c r="D463" s="22" t="inlineStr">
        <is>
          <t>120 g Queso Cheddar Tradicional de Granja Vintage 3 Años (Clothbound Farmhouse Cheddar, leche 100% cruda de vaca, vendado en tela de algodón con manteca, maduración de 36 meses, pasta dura quebradiza y ácida con cristales crujientes de lactato de calcio) desmoronado en rocas</t>
        </is>
      </c>
      <c r="E463" s="6" t="inlineStr">
        <is>
          <t>Cheddar vintage de granja</t>
        </is>
      </c>
      <c r="F463" s="16" t="n">
        <v>120</v>
      </c>
      <c r="G463" t="inlineStr">
        <is>
          <t>g</t>
        </is>
      </c>
      <c r="H463" s="12">
        <f>IFERROR(VLOOKUP(E463,Insumos!$C$5:$G$181,5,FALSE),0)</f>
        <v/>
      </c>
      <c r="I463" s="17">
        <f>F463*H463</f>
        <v/>
      </c>
    </row>
    <row r="464">
      <c r="A464" t="n">
        <v>47</v>
      </c>
      <c r="B464" s="21" t="inlineStr">
        <is>
          <t>Cerveza Artesanal &amp; Lúpulo Fuerte (Chorizo Ahumado a la Cerveza IPA, Jamón de Praga Artesanal, Queso Cheddar Vintage 3 Años, Queso Gouda Ahumado y Mostaza en Grano)</t>
        </is>
      </c>
      <c r="C464" t="inlineStr">
        <is>
          <t>queso</t>
        </is>
      </c>
      <c r="D464" s="22" t="inlineStr">
        <is>
          <t>110 g Queso Gouda Ahumado Natural (leche entera de vaca, pasta prensada semicocida, ahumado en frío en virutas de madera noble durante 72 horas, corteza marrón oscura brillante) cortado en bastones de 5 cm x 1 cm</t>
        </is>
      </c>
      <c r="E464" s="6" t="inlineStr">
        <is>
          <t>Queso provolone o gouda ahumado comercial</t>
        </is>
      </c>
      <c r="F464" s="16" t="n">
        <v>110</v>
      </c>
      <c r="G464" t="inlineStr">
        <is>
          <t>g</t>
        </is>
      </c>
      <c r="H464" s="12">
        <f>IFERROR(VLOOKUP(E464,Insumos!$C$5:$G$181,5,FALSE),0)</f>
        <v/>
      </c>
      <c r="I464" s="17">
        <f>F464*H464</f>
        <v/>
      </c>
    </row>
    <row r="465">
      <c r="A465" t="n">
        <v>47</v>
      </c>
      <c r="B465" s="21" t="inlineStr">
        <is>
          <t>Cerveza Artesanal &amp; Lúpulo Fuerte (Chorizo Ahumado a la Cerveza IPA, Jamón de Praga Artesanal, Queso Cheddar Vintage 3 Años, Queso Gouda Ahumado y Mostaza en Grano)</t>
        </is>
      </c>
      <c r="C465" t="inlineStr">
        <is>
          <t>seco</t>
        </is>
      </c>
      <c r="D465" s="22" t="inlineStr">
        <is>
          <t>60 g Bretzels tradicionales de Baviera medianos horneados con sal en grano grueso</t>
        </is>
      </c>
      <c r="E465" s="6" t="inlineStr">
        <is>
          <t>Taralli, bretzels o galleta salada tradicional</t>
        </is>
      </c>
      <c r="F465" s="16" t="n">
        <v>60</v>
      </c>
      <c r="G465" t="inlineStr">
        <is>
          <t>g</t>
        </is>
      </c>
      <c r="H465" s="12">
        <f>IFERROR(VLOOKUP(E465,Insumos!$C$5:$G$181,5,FALSE),0)</f>
        <v/>
      </c>
      <c r="I465" s="17">
        <f>F465*H465</f>
        <v/>
      </c>
    </row>
    <row r="466">
      <c r="A466" t="n">
        <v>47</v>
      </c>
      <c r="B466" s="21" t="inlineStr">
        <is>
          <t>Cerveza Artesanal &amp; Lúpulo Fuerte (Chorizo Ahumado a la Cerveza IPA, Jamón de Praga Artesanal, Queso Cheddar Vintage 3 Años, Queso Gouda Ahumado y Mostaza en Grano)</t>
        </is>
      </c>
      <c r="C466" t="inlineStr">
        <is>
          <t>seco</t>
        </is>
      </c>
      <c r="D466" s="22" t="inlineStr">
        <is>
          <t>40 g Crackers de malta cervecera tostada y salvado de trigo</t>
        </is>
      </c>
      <c r="E466" s="6" t="inlineStr">
        <is>
          <t>Crackers artesanales de semillas o masa madre</t>
        </is>
      </c>
      <c r="F466" s="16" t="n">
        <v>40</v>
      </c>
      <c r="G466" t="inlineStr">
        <is>
          <t>g</t>
        </is>
      </c>
      <c r="H466" s="12">
        <f>IFERROR(VLOOKUP(E466,Insumos!$C$5:$G$181,5,FALSE),0)</f>
        <v/>
      </c>
      <c r="I466" s="17">
        <f>F466*H466</f>
        <v/>
      </c>
    </row>
    <row r="467">
      <c r="A467" t="n">
        <v>47</v>
      </c>
      <c r="B467" s="21" t="inlineStr">
        <is>
          <t>Cerveza Artesanal &amp; Lúpulo Fuerte (Chorizo Ahumado a la Cerveza IPA, Jamón de Praga Artesanal, Queso Cheddar Vintage 3 Años, Queso Gouda Ahumado y Mostaza en Grano)</t>
        </is>
      </c>
      <c r="C467" t="inlineStr">
        <is>
          <t>seco</t>
        </is>
      </c>
      <c r="D467" s="22" t="inlineStr">
        <is>
          <t>35 g Cacahuates con cáscara tostados al punto de sal marina</t>
        </is>
      </c>
      <c r="E467" s="6" t="inlineStr">
        <is>
          <t>Cacahuate tostado y aliñado</t>
        </is>
      </c>
      <c r="F467" s="16" t="n">
        <v>35</v>
      </c>
      <c r="G467" t="inlineStr">
        <is>
          <t>g</t>
        </is>
      </c>
      <c r="H467" s="12">
        <f>IFERROR(VLOOKUP(E467,Insumos!$C$5:$G$181,5,FALSE),0)</f>
        <v/>
      </c>
      <c r="I467" s="17">
        <f>F467*H467</f>
        <v/>
      </c>
    </row>
    <row r="468">
      <c r="A468" t="n">
        <v>47</v>
      </c>
      <c r="B468" s="21" t="inlineStr">
        <is>
          <t>Cerveza Artesanal &amp; Lúpulo Fuerte (Chorizo Ahumado a la Cerveza IPA, Jamón de Praga Artesanal, Queso Cheddar Vintage 3 Años, Queso Gouda Ahumado y Mostaza en Grano)</t>
        </is>
      </c>
      <c r="C468" t="inlineStr">
        <is>
          <t>humedo</t>
        </is>
      </c>
      <c r="D468" s="22" t="inlineStr">
        <is>
          <t>45 g Mostaza rústica a la cerveza negra Porter con granos de mostaza amarilla y parda enteros (Beer Mustard, en ramequín de gres)</t>
        </is>
      </c>
      <c r="E468" s="6" t="inlineStr">
        <is>
          <t>Mostaza artesanal en grano (Meaux, Dijon, Brive, cerveza)</t>
        </is>
      </c>
      <c r="F468" s="16" t="n">
        <v>45</v>
      </c>
      <c r="G468" t="inlineStr">
        <is>
          <t>g</t>
        </is>
      </c>
      <c r="H468" s="12">
        <f>IFERROR(VLOOKUP(E468,Insumos!$C$5:$G$181,5,FALSE),0)</f>
        <v/>
      </c>
      <c r="I468" s="17">
        <f>F468*H468</f>
        <v/>
      </c>
    </row>
    <row r="469">
      <c r="A469" t="n">
        <v>47</v>
      </c>
      <c r="B469" s="21" t="inlineStr">
        <is>
          <t>Cerveza Artesanal &amp; Lúpulo Fuerte (Chorizo Ahumado a la Cerveza IPA, Jamón de Praga Artesanal, Queso Cheddar Vintage 3 Años, Queso Gouda Ahumado y Mostaza en Grano)</t>
        </is>
      </c>
      <c r="C469" t="inlineStr">
        <is>
          <t>humedo</t>
        </is>
      </c>
      <c r="D469" s="22" t="inlineStr">
        <is>
          <t>40 g Pepinillos alemanes agridulces (Spreewälder Gurken) cortados en rodajas estriadas (en ramequín)</t>
        </is>
      </c>
      <c r="E469" s="6" t="inlineStr">
        <is>
          <t>Pepinillo, cornichon o encurtido agridulce</t>
        </is>
      </c>
      <c r="F469" s="16" t="n">
        <v>40</v>
      </c>
      <c r="G469" t="inlineStr">
        <is>
          <t>g</t>
        </is>
      </c>
      <c r="H469" s="12">
        <f>IFERROR(VLOOKUP(E469,Insumos!$C$5:$G$181,5,FALSE),0)</f>
        <v/>
      </c>
      <c r="I469" s="17">
        <f>F469*H469</f>
        <v/>
      </c>
    </row>
    <row r="470">
      <c r="A470" t="n">
        <v>47</v>
      </c>
      <c r="B470" s="21" t="inlineStr">
        <is>
          <t>Cerveza Artesanal &amp; Lúpulo Fuerte (Chorizo Ahumado a la Cerveza IPA, Jamón de Praga Artesanal, Queso Cheddar Vintage 3 Años, Queso Gouda Ahumado y Mostaza en Grano)</t>
        </is>
      </c>
      <c r="C470" t="inlineStr">
        <is>
          <t>humedo</t>
        </is>
      </c>
      <c r="D470" s="22" t="inlineStr">
        <is>
          <t>30 g Chucrut dulce cocido con tocino y bayas de enebro (en cazuelita)</t>
        </is>
      </c>
      <c r="E470" s="6" t="inlineStr">
        <is>
          <t>Chucrut o col fermentada</t>
        </is>
      </c>
      <c r="F470" s="16" t="n">
        <v>30</v>
      </c>
      <c r="G470" t="inlineStr">
        <is>
          <t>g</t>
        </is>
      </c>
      <c r="H470" s="12">
        <f>IFERROR(VLOOKUP(E470,Insumos!$C$5:$G$181,5,FALSE),0)</f>
        <v/>
      </c>
      <c r="I470" s="17">
        <f>F470*H470</f>
        <v/>
      </c>
    </row>
    <row r="471">
      <c r="A471" t="n">
        <v>48</v>
      </c>
      <c r="B471" s="21" t="inlineStr">
        <is>
          <t>Tabla Dulce de Cierre &amp; Postre de Quesos (Colston Bassett Stilton DOP con Miel de Bosque, Queso Manchego Viejo con Membrillo, Bresaola de Res Curada e Higos Negros)</t>
        </is>
      </c>
      <c r="C471" t="inlineStr">
        <is>
          <t>charcuteria</t>
        </is>
      </c>
      <c r="D471" s="22" t="inlineStr">
        <is>
          <t>90 g Bresaola della Valtellina IGP (pieza noble de vacuno maduro corte punta d'anca, curada con sal marina, enebro, canela y vino tinto, magro puro desgrasado) cortada en lonchas ultrafinas de 0.8 mm</t>
        </is>
      </c>
      <c r="E471" s="6" t="inlineStr">
        <is>
          <t>Bresaola della Valtellina IGP</t>
        </is>
      </c>
      <c r="F471" s="16" t="n">
        <v>90</v>
      </c>
      <c r="G471" t="inlineStr">
        <is>
          <t>g</t>
        </is>
      </c>
      <c r="H471" s="12">
        <f>IFERROR(VLOOKUP(E471,Insumos!$C$5:$G$181,5,FALSE),0)</f>
        <v/>
      </c>
      <c r="I471" s="17">
        <f>F471*H471</f>
        <v/>
      </c>
    </row>
    <row r="472">
      <c r="A472" t="n">
        <v>48</v>
      </c>
      <c r="B472" s="21" t="inlineStr">
        <is>
          <t>Tabla Dulce de Cierre &amp; Postre de Quesos (Colston Bassett Stilton DOP con Miel de Bosque, Queso Manchego Viejo con Membrillo, Bresaola de Res Curada e Higos Negros)</t>
        </is>
      </c>
      <c r="C472" t="inlineStr">
        <is>
          <t>queso</t>
        </is>
      </c>
      <c r="D472" s="22" t="inlineStr">
        <is>
          <t>110 g Colston Bassett Stilton DOP (queso azul inglés de leche pasteurizada de vaca, maduración de 4 meses, textura mantecosa y rica, veteado azul difuso y notas minerales) cuña entera desmoronable</t>
        </is>
      </c>
      <c r="E472" s="6" t="inlineStr">
        <is>
          <t>Stilton DOP o azul inglés de granja</t>
        </is>
      </c>
      <c r="F472" s="16" t="n">
        <v>110</v>
      </c>
      <c r="G472" t="inlineStr">
        <is>
          <t>g</t>
        </is>
      </c>
      <c r="H472" s="12">
        <f>IFERROR(VLOOKUP(E472,Insumos!$C$5:$G$181,5,FALSE),0)</f>
        <v/>
      </c>
      <c r="I472" s="17">
        <f>F472*H472</f>
        <v/>
      </c>
    </row>
    <row r="473">
      <c r="A473" t="n">
        <v>48</v>
      </c>
      <c r="B473" s="21" t="inlineStr">
        <is>
          <t>Tabla Dulce de Cierre &amp; Postre de Quesos (Colston Bassett Stilton DOP con Miel de Bosque, Queso Manchego Viejo con Membrillo, Bresaola de Res Curada e Higos Negros)</t>
        </is>
      </c>
      <c r="C473" t="inlineStr">
        <is>
          <t>queso</t>
        </is>
      </c>
      <c r="D473" s="22" t="inlineStr">
        <is>
          <t>110 g Queso Manchego DOP Artesano Viejo (12 meses de maduración, leche cruda de oveja manchega, pasta dura quebradiza y seca) cortado en cubos de 1.5 cm x 1.5 cm</t>
        </is>
      </c>
      <c r="E473" s="6" t="inlineStr">
        <is>
          <t>Queso manchego DOP artesano viejo o gran reserva</t>
        </is>
      </c>
      <c r="F473" s="16" t="n">
        <v>110</v>
      </c>
      <c r="G473" t="inlineStr">
        <is>
          <t>g</t>
        </is>
      </c>
      <c r="H473" s="12">
        <f>IFERROR(VLOOKUP(E473,Insumos!$C$5:$G$181,5,FALSE),0)</f>
        <v/>
      </c>
      <c r="I473" s="17">
        <f>F473*H473</f>
        <v/>
      </c>
    </row>
    <row r="474">
      <c r="A474" t="n">
        <v>48</v>
      </c>
      <c r="B474" s="21" t="inlineStr">
        <is>
          <t>Tabla Dulce de Cierre &amp; Postre de Quesos (Colston Bassett Stilton DOP con Miel de Bosque, Queso Manchego Viejo con Membrillo, Bresaola de Res Curada e Higos Negros)</t>
        </is>
      </c>
      <c r="C474" t="inlineStr">
        <is>
          <t>queso</t>
        </is>
      </c>
      <c r="D474" s="22" t="inlineStr">
        <is>
          <t>90 g Brillat-Savarin AOP Triple Crème (queso de leche de vaca enriquecido con nata pura, 72% M.G., textura de mantequilla montada y yogur dulce) cortado en cuñas</t>
        </is>
      </c>
      <c r="E474" s="6" t="inlineStr">
        <is>
          <t>Triple crema AOP (Brillat-Savarin, trufado)</t>
        </is>
      </c>
      <c r="F474" s="16" t="n">
        <v>90</v>
      </c>
      <c r="G474" t="inlineStr">
        <is>
          <t>g</t>
        </is>
      </c>
      <c r="H474" s="12">
        <f>IFERROR(VLOOKUP(E474,Insumos!$C$5:$G$181,5,FALSE),0)</f>
        <v/>
      </c>
      <c r="I474" s="17">
        <f>F474*H474</f>
        <v/>
      </c>
    </row>
    <row r="475">
      <c r="A475" t="n">
        <v>48</v>
      </c>
      <c r="B475" s="21" t="inlineStr">
        <is>
          <t>Tabla Dulce de Cierre &amp; Postre de Quesos (Colston Bassett Stilton DOP con Miel de Bosque, Queso Manchego Viejo con Membrillo, Bresaola de Res Curada e Higos Negros)</t>
        </is>
      </c>
      <c r="C475" t="inlineStr">
        <is>
          <t>seco</t>
        </is>
      </c>
      <c r="D475" s="22" t="inlineStr">
        <is>
          <t>50 g Digestive Biscuits o galletas de avena escocesas artesanales horneadas con mantequilla dulce</t>
        </is>
      </c>
      <c r="E475" s="6" t="inlineStr">
        <is>
          <t>Galleta de avena, digestive o de mantequilla</t>
        </is>
      </c>
      <c r="F475" s="16" t="n">
        <v>50</v>
      </c>
      <c r="G475" t="inlineStr">
        <is>
          <t>g</t>
        </is>
      </c>
      <c r="H475" s="12">
        <f>IFERROR(VLOOKUP(E475,Insumos!$C$5:$G$181,5,FALSE),0)</f>
        <v/>
      </c>
      <c r="I475" s="17">
        <f>F475*H475</f>
        <v/>
      </c>
    </row>
    <row r="476">
      <c r="A476" t="n">
        <v>48</v>
      </c>
      <c r="B476" s="21" t="inlineStr">
        <is>
          <t>Tabla Dulce de Cierre &amp; Postre de Quesos (Colston Bassett Stilton DOP con Miel de Bosque, Queso Manchego Viejo con Membrillo, Bresaola de Res Curada e Higos Negros)</t>
        </is>
      </c>
      <c r="C476" t="inlineStr">
        <is>
          <t>seco</t>
        </is>
      </c>
      <c r="D476" s="22" t="inlineStr">
        <is>
          <t>40 g Pan de higo tradicional con almendras de Coín cortado en rodajas delgadas de 3 mm</t>
        </is>
      </c>
      <c r="E476" s="6" t="inlineStr">
        <is>
          <t>Pan de higo con almendra</t>
        </is>
      </c>
      <c r="F476" s="16" t="n">
        <v>40</v>
      </c>
      <c r="G476" t="inlineStr">
        <is>
          <t>g</t>
        </is>
      </c>
      <c r="H476" s="12">
        <f>IFERROR(VLOOKUP(E476,Insumos!$C$5:$G$181,5,FALSE),0)</f>
        <v/>
      </c>
      <c r="I476" s="17">
        <f>F476*H476</f>
        <v/>
      </c>
    </row>
    <row r="477">
      <c r="A477" t="n">
        <v>48</v>
      </c>
      <c r="B477" s="21" t="inlineStr">
        <is>
          <t>Tabla Dulce de Cierre &amp; Postre de Quesos (Colston Bassett Stilton DOP con Miel de Bosque, Queso Manchego Viejo con Membrillo, Bresaola de Res Curada e Higos Negros)</t>
        </is>
      </c>
      <c r="C477" t="inlineStr">
        <is>
          <t>seco</t>
        </is>
      </c>
      <c r="D477" s="22" t="inlineStr">
        <is>
          <t>30 g Nueces de nogal peladas en mitades tostadas al natural</t>
        </is>
      </c>
      <c r="E477" s="6" t="inlineStr">
        <is>
          <t>Nuez de Castilla o de nogal en mitades</t>
        </is>
      </c>
      <c r="F477" s="16" t="n">
        <v>30</v>
      </c>
      <c r="G477" t="inlineStr">
        <is>
          <t>g</t>
        </is>
      </c>
      <c r="H477" s="12">
        <f>IFERROR(VLOOKUP(E477,Insumos!$C$5:$G$181,5,FALSE),0)</f>
        <v/>
      </c>
      <c r="I477" s="17">
        <f>F477*H477</f>
        <v/>
      </c>
    </row>
    <row r="478">
      <c r="A478" t="n">
        <v>48</v>
      </c>
      <c r="B478" s="21" t="inlineStr">
        <is>
          <t>Tabla Dulce de Cierre &amp; Postre de Quesos (Colston Bassett Stilton DOP con Miel de Bosque, Queso Manchego Viejo con Membrillo, Bresaola de Res Curada e Higos Negros)</t>
        </is>
      </c>
      <c r="C478" t="inlineStr">
        <is>
          <t>humedo</t>
        </is>
      </c>
      <c r="D478" s="22" t="inlineStr">
        <is>
          <t>50 g Carne de membrillo artesanal de Puente Genil de textura densa (en dados de 1 cm)</t>
        </is>
      </c>
      <c r="E478" s="6" t="inlineStr">
        <is>
          <t>Carne de membrillo, ate o dulce de fruta artesanal</t>
        </is>
      </c>
      <c r="F478" s="16" t="n">
        <v>50</v>
      </c>
      <c r="G478" t="inlineStr">
        <is>
          <t>g</t>
        </is>
      </c>
      <c r="H478" s="12">
        <f>IFERROR(VLOOKUP(E478,Insumos!$C$5:$G$181,5,FALSE),0)</f>
        <v/>
      </c>
      <c r="I478" s="17">
        <f>F478*H478</f>
        <v/>
      </c>
    </row>
    <row r="479">
      <c r="A479" t="n">
        <v>48</v>
      </c>
      <c r="B479" s="21" t="inlineStr">
        <is>
          <t>Tabla Dulce de Cierre &amp; Postre de Quesos (Colston Bassett Stilton DOP con Miel de Bosque, Queso Manchego Viejo con Membrillo, Bresaola de Res Curada e Higos Negros)</t>
        </is>
      </c>
      <c r="C479" t="inlineStr">
        <is>
          <t>humedo</t>
        </is>
      </c>
      <c r="D479" s="22" t="inlineStr">
        <is>
          <t>40 ml Miel pura de mielada de bosque oscuro o roble (en cuenco cerámico vitrificado)</t>
        </is>
      </c>
      <c r="E479" s="6" t="inlineStr">
        <is>
          <t>Miel pura monofloral artesanal</t>
        </is>
      </c>
      <c r="F479" s="16" t="n">
        <v>40</v>
      </c>
      <c r="G479" t="inlineStr">
        <is>
          <t>g</t>
        </is>
      </c>
      <c r="H479" s="12">
        <f>IFERROR(VLOOKUP(E479,Insumos!$C$5:$G$181,5,FALSE),0)</f>
        <v/>
      </c>
      <c r="I479" s="17">
        <f>F479*H479</f>
        <v/>
      </c>
    </row>
    <row r="480">
      <c r="A480" t="n">
        <v>48</v>
      </c>
      <c r="B480" s="21" t="inlineStr">
        <is>
          <t>Tabla Dulce de Cierre &amp; Postre de Quesos (Colston Bassett Stilton DOP con Miel de Bosque, Queso Manchego Viejo con Membrillo, Bresaola de Res Curada e Higos Negros)</t>
        </is>
      </c>
      <c r="C480" t="inlineStr">
        <is>
          <t>humedo</t>
        </is>
      </c>
      <c r="D480" s="22" t="inlineStr">
        <is>
          <t>60 g Higos negros frescos maduros partidos en cruz desde el pedúnculo sin llegar a la base (abiertos en flor)</t>
        </is>
      </c>
      <c r="E480" s="6" t="inlineStr">
        <is>
          <t>Higo fresco maduro</t>
        </is>
      </c>
      <c r="F480" s="16" t="n">
        <v>60</v>
      </c>
      <c r="G480" t="inlineStr">
        <is>
          <t>g</t>
        </is>
      </c>
      <c r="H480" s="12">
        <f>IFERROR(VLOOKUP(E480,Insumos!$C$5:$G$181,5,FALSE),0)</f>
        <v/>
      </c>
      <c r="I480" s="17">
        <f>F480*H480</f>
        <v/>
      </c>
    </row>
    <row r="481">
      <c r="A481" t="n">
        <v>49</v>
      </c>
      <c r="B481" s="21" t="inlineStr">
        <is>
          <t>Rústica de Senderismo &amp; Montaña (Salchichón de Campaña Grueso a la Pimienta, Queso Duro de Pastor de Trashumancia, Cecina de Vacuno Curada al Viento, Pan de Hogaza y Frutos Secos)</t>
        </is>
      </c>
      <c r="C481" t="inlineStr">
        <is>
          <t>charcuteria</t>
        </is>
      </c>
      <c r="D481" s="22" t="inlineStr">
        <is>
          <t>110 g Salchichón Rústico de Campaña (carne magra de cerdo de granja picada a mano en trozos gruesos de 8 mm con tocino duro, ajo machacado en mortero, sal marina gorda y granos enteros de pimienta negra de Jamaica, embutido en tripa cular natural gruesa) cortado a 3 mm</t>
        </is>
      </c>
      <c r="E481" s="6" t="inlineStr">
        <is>
          <t>Salchichón o salame rústico de campaña</t>
        </is>
      </c>
      <c r="F481" s="16" t="n">
        <v>110</v>
      </c>
      <c r="G481" t="inlineStr">
        <is>
          <t>g</t>
        </is>
      </c>
      <c r="H481" s="12">
        <f>IFERROR(VLOOKUP(E481,Insumos!$C$5:$G$181,5,FALSE),0)</f>
        <v/>
      </c>
      <c r="I481" s="17">
        <f>F481*H481</f>
        <v/>
      </c>
    </row>
    <row r="482">
      <c r="A482" t="n">
        <v>49</v>
      </c>
      <c r="B482" s="21" t="inlineStr">
        <is>
          <t>Rústica de Senderismo &amp; Montaña (Salchichón de Campaña Grueso a la Pimienta, Queso Duro de Pastor de Trashumancia, Cecina de Vacuno Curada al Viento, Pan de Hogaza y Frutos Secos)</t>
        </is>
      </c>
      <c r="C482" t="inlineStr">
        <is>
          <t>charcuteria</t>
        </is>
      </c>
      <c r="D482" s="22" t="inlineStr">
        <is>
          <t>90 g Cecina de Vacuno de Montaña Curada al Viento (corte de tapa o contra de vaca de pastura de altura, salada en salmuera seca, ahumado sutil con leña de roble de monte y curada 12 meses en secadero de altura con baja humedad) rebanada a 1 mm</t>
        </is>
      </c>
      <c r="E482" s="6" t="inlineStr">
        <is>
          <t>Cecina de vacuno curada IGP (León, montaña)</t>
        </is>
      </c>
      <c r="F482" s="16" t="n">
        <v>90</v>
      </c>
      <c r="G482" t="inlineStr">
        <is>
          <t>g</t>
        </is>
      </c>
      <c r="H482" s="12">
        <f>IFERROR(VLOOKUP(E482,Insumos!$C$5:$G$181,5,FALSE),0)</f>
        <v/>
      </c>
      <c r="I482" s="17">
        <f>F482*H482</f>
        <v/>
      </c>
    </row>
    <row r="483">
      <c r="A483" t="n">
        <v>49</v>
      </c>
      <c r="B483" s="21" t="inlineStr">
        <is>
          <t>Rústica de Senderismo &amp; Montaña (Salchichón de Campaña Grueso a la Pimienta, Queso Duro de Pastor de Trashumancia, Cecina de Vacuno Curada al Viento, Pan de Hogaza y Frutos Secos)</t>
        </is>
      </c>
      <c r="C483" t="inlineStr">
        <is>
          <t>charcuteria</t>
        </is>
      </c>
      <c r="D483" s="22" t="inlineStr">
        <is>
          <t>60 g Chicharrones de cerdo curados secos (Torreznos de campo precortados en frío)</t>
        </is>
      </c>
      <c r="E483" s="6" t="inlineStr">
        <is>
          <t>Chicharrón curado seco de cerdo</t>
        </is>
      </c>
      <c r="F483" s="16" t="n">
        <v>60</v>
      </c>
      <c r="G483" t="inlineStr">
        <is>
          <t>g</t>
        </is>
      </c>
      <c r="H483" s="12">
        <f>IFERROR(VLOOKUP(E483,Insumos!$C$5:$G$181,5,FALSE),0)</f>
        <v/>
      </c>
      <c r="I483" s="17">
        <f>F483*H483</f>
        <v/>
      </c>
    </row>
    <row r="484">
      <c r="A484" t="n">
        <v>49</v>
      </c>
      <c r="B484" s="21" t="inlineStr">
        <is>
          <t>Rústica de Senderismo &amp; Montaña (Salchichón de Campaña Grueso a la Pimienta, Queso Duro de Pastor de Trashumancia, Cecina de Vacuno Curada al Viento, Pan de Hogaza y Frutos Secos)</t>
        </is>
      </c>
      <c r="C484" t="inlineStr">
        <is>
          <t>queso</t>
        </is>
      </c>
      <c r="D484" s="22" t="inlineStr">
        <is>
          <t>130 g Queso Duro de Pastor de Trashumancia (leche 100% cruda de ovejas de pastoreo trashumante, elaborado en caldero de cobre al aire libre, pasta muy prensada y cocida, 14 meses de curación en abrigo de roca, corteza parda seca aceitada a mano) fracturado con navaja en cuñas irregulares</t>
        </is>
      </c>
      <c r="E484" s="6" t="inlineStr">
        <is>
          <t>Queso de pastor de leche cruda (Fiore Sardo, trashumancia)</t>
        </is>
      </c>
      <c r="F484" s="16" t="n">
        <v>130</v>
      </c>
      <c r="G484" t="inlineStr">
        <is>
          <t>g</t>
        </is>
      </c>
      <c r="H484" s="12">
        <f>IFERROR(VLOOKUP(E484,Insumos!$C$5:$G$181,5,FALSE),0)</f>
        <v/>
      </c>
      <c r="I484" s="17">
        <f>F484*H484</f>
        <v/>
      </c>
    </row>
    <row r="485">
      <c r="A485" t="n">
        <v>49</v>
      </c>
      <c r="B485" s="21" t="inlineStr">
        <is>
          <t>Rústica de Senderismo &amp; Montaña (Salchichón de Campaña Grueso a la Pimienta, Queso Duro de Pastor de Trashumancia, Cecina de Vacuno Curada al Viento, Pan de Hogaza y Frutos Secos)</t>
        </is>
      </c>
      <c r="C485" t="inlineStr">
        <is>
          <t>seco</t>
        </is>
      </c>
      <c r="D485" s="22" t="inlineStr">
        <is>
          <t>80 g Pan de hogaza rústico de masa madre de harina de trigo molida a la piedra y centeno (quebrado manualmente en pedazos rústicos con corteza gruesa crujiente)</t>
        </is>
      </c>
      <c r="E485" s="6" t="inlineStr">
        <is>
          <t>Pan de centeno, espelta o escanda artesanal</t>
        </is>
      </c>
      <c r="F485" s="16" t="n">
        <v>80</v>
      </c>
      <c r="G485" t="inlineStr">
        <is>
          <t>g</t>
        </is>
      </c>
      <c r="H485" s="12">
        <f>IFERROR(VLOOKUP(E485,Insumos!$C$5:$G$181,5,FALSE),0)</f>
        <v/>
      </c>
      <c r="I485" s="17">
        <f>F485*H485</f>
        <v/>
      </c>
    </row>
    <row r="486">
      <c r="A486" t="n">
        <v>49</v>
      </c>
      <c r="B486" s="21" t="inlineStr">
        <is>
          <t>Rústica de Senderismo &amp; Montaña (Salchichón de Campaña Grueso a la Pimienta, Queso Duro de Pastor de Trashumancia, Cecina de Vacuno Curada al Viento, Pan de Hogaza y Frutos Secos)</t>
        </is>
      </c>
      <c r="C486" t="inlineStr">
        <is>
          <t>seco</t>
        </is>
      </c>
      <c r="D486" s="22" t="inlineStr">
        <is>
          <t>40 g Picatostes o colines de pan duro de pastor horneados con manteca</t>
        </is>
      </c>
      <c r="E486" s="6" t="inlineStr">
        <is>
          <t>Picos, regañás o colines andaluces</t>
        </is>
      </c>
      <c r="F486" s="16" t="n">
        <v>40</v>
      </c>
      <c r="G486" t="inlineStr">
        <is>
          <t>g</t>
        </is>
      </c>
      <c r="H486" s="12">
        <f>IFERROR(VLOOKUP(E486,Insumos!$C$5:$G$181,5,FALSE),0)</f>
        <v/>
      </c>
      <c r="I486" s="17">
        <f>F486*H486</f>
        <v/>
      </c>
    </row>
    <row r="487">
      <c r="A487" t="n">
        <v>49</v>
      </c>
      <c r="B487" s="21" t="inlineStr">
        <is>
          <t>Rústica de Senderismo &amp; Montaña (Salchichón de Campaña Grueso a la Pimienta, Queso Duro de Pastor de Trashumancia, Cecina de Vacuno Curada al Viento, Pan de Hogaza y Frutos Secos)</t>
        </is>
      </c>
      <c r="C487" t="inlineStr">
        <is>
          <t>seco</t>
        </is>
      </c>
      <c r="D487" s="22" t="inlineStr">
        <is>
          <t>40 g Frutos secos crudos sin sal: avellanas silvestres, castañas secas pilongas y nueces de monte</t>
        </is>
      </c>
      <c r="E487" s="6" t="inlineStr">
        <is>
          <t>Avellana tostada (Reus DOP, Piamonte IGP)</t>
        </is>
      </c>
      <c r="F487" s="16" t="n">
        <v>40</v>
      </c>
      <c r="G487" t="inlineStr">
        <is>
          <t>g</t>
        </is>
      </c>
      <c r="H487" s="12">
        <f>IFERROR(VLOOKUP(E487,Insumos!$C$5:$G$181,5,FALSE),0)</f>
        <v/>
      </c>
      <c r="I487" s="17">
        <f>F487*H487</f>
        <v/>
      </c>
    </row>
    <row r="488">
      <c r="A488" t="n">
        <v>49</v>
      </c>
      <c r="B488" s="21" t="inlineStr">
        <is>
          <t>Rústica de Senderismo &amp; Montaña (Salchichón de Campaña Grueso a la Pimienta, Queso Duro de Pastor de Trashumancia, Cecina de Vacuno Curada al Viento, Pan de Hogaza y Frutos Secos)</t>
        </is>
      </c>
      <c r="C488" t="inlineStr">
        <is>
          <t>humedo</t>
        </is>
      </c>
      <c r="D488" s="22" t="inlineStr">
        <is>
          <t>40 g Miel pura cruda de monte bajo (brezo, tomillo y encina, en tarro cerámico de barro cocido)</t>
        </is>
      </c>
      <c r="E488" s="6" t="inlineStr">
        <is>
          <t>Miel pura monofloral artesanal</t>
        </is>
      </c>
      <c r="F488" s="16" t="n">
        <v>40</v>
      </c>
      <c r="G488" t="inlineStr">
        <is>
          <t>g</t>
        </is>
      </c>
      <c r="H488" s="12">
        <f>IFERROR(VLOOKUP(E488,Insumos!$C$5:$G$181,5,FALSE),0)</f>
        <v/>
      </c>
      <c r="I488" s="17">
        <f>F488*H488</f>
        <v/>
      </c>
    </row>
    <row r="489">
      <c r="A489" t="n">
        <v>49</v>
      </c>
      <c r="B489" s="21" t="inlineStr">
        <is>
          <t>Rústica de Senderismo &amp; Montaña (Salchichón de Campaña Grueso a la Pimienta, Queso Duro de Pastor de Trashumancia, Cecina de Vacuno Curada al Viento, Pan de Hogaza y Frutos Secos)</t>
        </is>
      </c>
      <c r="C489" t="inlineStr">
        <is>
          <t>humedo</t>
        </is>
      </c>
      <c r="D489" s="22" t="inlineStr">
        <is>
          <t>40 g Manzanas silvestres de montaña ácidas cortadas en cuartos al momento</t>
        </is>
      </c>
      <c r="E489" s="6" t="inlineStr">
        <is>
          <t>Manzana ácida (Granny Smith, reineta, perona)</t>
        </is>
      </c>
      <c r="F489" s="16" t="n">
        <v>40</v>
      </c>
      <c r="G489" t="inlineStr">
        <is>
          <t>g</t>
        </is>
      </c>
      <c r="H489" s="12">
        <f>IFERROR(VLOOKUP(E489,Insumos!$C$5:$G$181,5,FALSE),0)</f>
        <v/>
      </c>
      <c r="I489" s="17">
        <f>F489*H489</f>
        <v/>
      </c>
    </row>
    <row r="490">
      <c r="A490" t="n">
        <v>49</v>
      </c>
      <c r="B490" s="21" t="inlineStr">
        <is>
          <t>Rústica de Senderismo &amp; Montaña (Salchichón de Campaña Grueso a la Pimienta, Queso Duro de Pastor de Trashumancia, Cecina de Vacuno Curada al Viento, Pan de Hogaza y Frutos Secos)</t>
        </is>
      </c>
      <c r="C490" t="inlineStr">
        <is>
          <t>humedo</t>
        </is>
      </c>
      <c r="D490" s="22" t="inlineStr">
        <is>
          <t>30 g Uvas de monte frescas sin desgranar secadas a paño</t>
        </is>
      </c>
      <c r="E490" s="6" t="inlineStr">
        <is>
          <t>Uva de mesa sin semilla (blanca, roja o negra)</t>
        </is>
      </c>
      <c r="F490" s="16" t="n">
        <v>30</v>
      </c>
      <c r="G490" t="inlineStr">
        <is>
          <t>g</t>
        </is>
      </c>
      <c r="H490" s="12">
        <f>IFERROR(VLOOKUP(E490,Insumos!$C$5:$G$181,5,FALSE),0)</f>
        <v/>
      </c>
      <c r="I490" s="17">
        <f>F490*H490</f>
        <v/>
      </c>
    </row>
    <row r="491">
      <c r="A491" t="n">
        <v>50</v>
      </c>
      <c r="B491" s="21" t="inlineStr">
        <is>
          <t>Gran Gala Centenaria de Reyes (Cinco Jamones Nobles del Mundo, Cinco Grandes Quesos de Guarda, Néctares Nobles, Frutas de Pasión y Panes de Masa Madre)</t>
        </is>
      </c>
      <c r="C491" t="inlineStr">
        <is>
          <t>charcuteria</t>
        </is>
      </c>
      <c r="D491" s="22" t="inlineStr">
        <is>
          <t>80 g Jamón 100% Ibérico de Bellota DOP Jabugo (cortado a cuchillo en lonchas traslúcidas de 4 cm)</t>
        </is>
      </c>
      <c r="E491" s="6" t="inlineStr">
        <is>
          <t>Jamón 100% ibérico de bellota (loncheado a cuchillo)</t>
        </is>
      </c>
      <c r="F491" s="16" t="n">
        <v>80</v>
      </c>
      <c r="G491" t="inlineStr">
        <is>
          <t>g</t>
        </is>
      </c>
      <c r="H491" s="12">
        <f>IFERROR(VLOOKUP(E491,Insumos!$C$5:$G$181,5,FALSE),0)</f>
        <v/>
      </c>
      <c r="I491" s="17">
        <f>F491*H491</f>
        <v/>
      </c>
    </row>
    <row r="492">
      <c r="A492" t="n">
        <v>50</v>
      </c>
      <c r="B492" s="21" t="inlineStr">
        <is>
          <t>Gran Gala Centenaria de Reyes (Cinco Jamones Nobles del Mundo, Cinco Grandes Quesos de Guarda, Néctares Nobles, Frutas de Pasión y Panes de Masa Madre)</t>
        </is>
      </c>
      <c r="C492" t="inlineStr">
        <is>
          <t>charcuteria</t>
        </is>
      </c>
      <c r="D492" s="22" t="inlineStr">
        <is>
          <t>80 g Prosciutto di Parma DOP 24 Mesi (rebanado a máquina a 0.8 mm)</t>
        </is>
      </c>
      <c r="E492" s="6" t="inlineStr">
        <is>
          <t>Prosciutto di Parma DOP 24 meses</t>
        </is>
      </c>
      <c r="F492" s="16" t="n">
        <v>80</v>
      </c>
      <c r="G492" t="inlineStr">
        <is>
          <t>g</t>
        </is>
      </c>
      <c r="H492" s="12">
        <f>IFERROR(VLOOKUP(E492,Insumos!$C$5:$G$181,5,FALSE),0)</f>
        <v/>
      </c>
      <c r="I492" s="17">
        <f>F492*H492</f>
        <v/>
      </c>
    </row>
    <row r="493">
      <c r="A493" t="n">
        <v>50</v>
      </c>
      <c r="B493" s="21" t="inlineStr">
        <is>
          <t>Gran Gala Centenaria de Reyes (Cinco Jamones Nobles del Mundo, Cinco Grandes Quesos de Guarda, Néctares Nobles, Frutas de Pasión y Panes de Masa Madre)</t>
        </is>
      </c>
      <c r="C493" t="inlineStr">
        <is>
          <t>charcuteria</t>
        </is>
      </c>
      <c r="D493" s="22" t="inlineStr">
        <is>
          <t>70 g Jambon de Bayonne IGP (salazón con sal de Salies-de-Béarn, rebanado a 1 mm)</t>
        </is>
      </c>
      <c r="E493" s="6" t="inlineStr">
        <is>
          <t>Jamón francés de cerdo negro (Bayonne IGP, Bigorre AOP)</t>
        </is>
      </c>
      <c r="F493" s="16" t="n">
        <v>70</v>
      </c>
      <c r="G493" t="inlineStr">
        <is>
          <t>g</t>
        </is>
      </c>
      <c r="H493" s="12">
        <f>IFERROR(VLOOKUP(E493,Insumos!$C$5:$G$181,5,FALSE),0)</f>
        <v/>
      </c>
      <c r="I493" s="17">
        <f>F493*H493</f>
        <v/>
      </c>
    </row>
    <row r="494">
      <c r="A494" t="n">
        <v>50</v>
      </c>
      <c r="B494" s="21" t="inlineStr">
        <is>
          <t>Gran Gala Centenaria de Reyes (Cinco Jamones Nobles del Mundo, Cinco Grandes Quesos de Guarda, Néctares Nobles, Frutas de Pasión y Panes de Masa Madre)</t>
        </is>
      </c>
      <c r="C494" t="inlineStr">
        <is>
          <t>charcuteria</t>
        </is>
      </c>
      <c r="D494" s="22" t="inlineStr">
        <is>
          <t>70 g Jambon Noir de Bigorre AOP de Cerdo Negro Gascón (rebanado a 1 mm)</t>
        </is>
      </c>
      <c r="E494" s="6" t="inlineStr">
        <is>
          <t>Jamón francés de cerdo negro (Bayonne IGP, Bigorre AOP)</t>
        </is>
      </c>
      <c r="F494" s="16" t="n">
        <v>70</v>
      </c>
      <c r="G494" t="inlineStr">
        <is>
          <t>g</t>
        </is>
      </c>
      <c r="H494" s="12">
        <f>IFERROR(VLOOKUP(E494,Insumos!$C$5:$G$181,5,FALSE),0)</f>
        <v/>
      </c>
      <c r="I494" s="17">
        <f>F494*H494</f>
        <v/>
      </c>
    </row>
    <row r="495">
      <c r="A495" t="n">
        <v>50</v>
      </c>
      <c r="B495" s="21" t="inlineStr">
        <is>
          <t>Gran Gala Centenaria de Reyes (Cinco Jamones Nobles del Mundo, Cinco Grandes Quesos de Guarda, Néctares Nobles, Frutas de Pasión y Panes de Masa Madre)</t>
        </is>
      </c>
      <c r="C495" t="inlineStr">
        <is>
          <t>charcuteria</t>
        </is>
      </c>
      <c r="D495" s="22" t="inlineStr">
        <is>
          <t>70 g Cecina de León IGP de Vacuno Mayor Reserva (ahumada en roble, lonchas de 1 mm)</t>
        </is>
      </c>
      <c r="E495" s="6" t="inlineStr">
        <is>
          <t>Cecina de vacuno curada IGP (León, montaña)</t>
        </is>
      </c>
      <c r="F495" s="16" t="n">
        <v>70</v>
      </c>
      <c r="G495" t="inlineStr">
        <is>
          <t>g</t>
        </is>
      </c>
      <c r="H495" s="12">
        <f>IFERROR(VLOOKUP(E495,Insumos!$C$5:$G$181,5,FALSE),0)</f>
        <v/>
      </c>
      <c r="I495" s="17">
        <f>F495*H495</f>
        <v/>
      </c>
    </row>
    <row r="496">
      <c r="A496" t="n">
        <v>50</v>
      </c>
      <c r="B496" s="21" t="inlineStr">
        <is>
          <t>Gran Gala Centenaria de Reyes (Cinco Jamones Nobles del Mundo, Cinco Grandes Quesos de Guarda, Néctares Nobles, Frutas de Pasión y Panes de Masa Madre)</t>
        </is>
      </c>
      <c r="C496" t="inlineStr">
        <is>
          <t>queso</t>
        </is>
      </c>
      <c r="D496" s="22" t="inlineStr">
        <is>
          <t>90 g Parmigiano Reggiano DOP Stravecchione 36 Meses (quebrado en rocas rústicas con cristales de tirosina)</t>
        </is>
      </c>
      <c r="E496" s="6" t="inlineStr">
        <is>
          <t>Parmigiano Reggiano DOP 30-36 meses</t>
        </is>
      </c>
      <c r="F496" s="16" t="n">
        <v>90</v>
      </c>
      <c r="G496" t="inlineStr">
        <is>
          <t>g</t>
        </is>
      </c>
      <c r="H496" s="12">
        <f>IFERROR(VLOOKUP(E496,Insumos!$C$5:$G$181,5,FALSE),0)</f>
        <v/>
      </c>
      <c r="I496" s="17">
        <f>F496*H496</f>
        <v/>
      </c>
    </row>
    <row r="497">
      <c r="A497" t="n">
        <v>50</v>
      </c>
      <c r="B497" s="21" t="inlineStr">
        <is>
          <t>Gran Gala Centenaria de Reyes (Cinco Jamones Nobles del Mundo, Cinco Grandes Quesos de Guarda, Néctares Nobles, Frutas de Pasión y Panes de Masa Madre)</t>
        </is>
      </c>
      <c r="C497" t="inlineStr">
        <is>
          <t>queso</t>
        </is>
      </c>
      <c r="D497" s="22" t="inlineStr">
        <is>
          <t>90 g Comté AOP Réservation 24 Mois de pastos alpinos de verano (cortado en bastones y virutas)</t>
        </is>
      </c>
      <c r="E497" s="6" t="inlineStr">
        <is>
          <t>Comté AOP 18-24 meses</t>
        </is>
      </c>
      <c r="F497" s="16" t="n">
        <v>90</v>
      </c>
      <c r="G497" t="inlineStr">
        <is>
          <t>g</t>
        </is>
      </c>
      <c r="H497" s="12">
        <f>IFERROR(VLOOKUP(E497,Insumos!$C$5:$G$181,5,FALSE),0)</f>
        <v/>
      </c>
      <c r="I497" s="17">
        <f>F497*H497</f>
        <v/>
      </c>
    </row>
    <row r="498">
      <c r="A498" t="n">
        <v>50</v>
      </c>
      <c r="B498" s="21" t="inlineStr">
        <is>
          <t>Gran Gala Centenaria de Reyes (Cinco Jamones Nobles del Mundo, Cinco Grandes Quesos de Guarda, Néctares Nobles, Frutas de Pasión y Panes de Masa Madre)</t>
        </is>
      </c>
      <c r="C498" t="inlineStr">
        <is>
          <t>queso</t>
        </is>
      </c>
      <c r="D498" s="22" t="inlineStr">
        <is>
          <t>90 g Queso Manchego DOP Artesano Gran Reserva 14 Meses (cortado en cuñas de 4 mm)</t>
        </is>
      </c>
      <c r="E498" s="6" t="inlineStr">
        <is>
          <t>Queso manchego DOP artesano viejo o gran reserva</t>
        </is>
      </c>
      <c r="F498" s="16" t="n">
        <v>90</v>
      </c>
      <c r="G498" t="inlineStr">
        <is>
          <t>g</t>
        </is>
      </c>
      <c r="H498" s="12">
        <f>IFERROR(VLOOKUP(E498,Insumos!$C$5:$G$181,5,FALSE),0)</f>
        <v/>
      </c>
      <c r="I498" s="17">
        <f>F498*H498</f>
        <v/>
      </c>
    </row>
    <row r="499">
      <c r="A499" t="n">
        <v>50</v>
      </c>
      <c r="B499" s="21" t="inlineStr">
        <is>
          <t>Gran Gala Centenaria de Reyes (Cinco Jamones Nobles del Mundo, Cinco Grandes Quesos de Guarda, Néctares Nobles, Frutas de Pasión y Panes de Masa Madre)</t>
        </is>
      </c>
      <c r="C499" t="inlineStr">
        <is>
          <t>queso</t>
        </is>
      </c>
      <c r="D499" s="22" t="inlineStr">
        <is>
          <t>90 g Roquefort AOP de Cueva de Combalou (leche cruda de oveja, desmoronado en rocas)</t>
        </is>
      </c>
      <c r="E499" s="6" t="inlineStr">
        <is>
          <t>Roquefort AOP de cueva</t>
        </is>
      </c>
      <c r="F499" s="16" t="n">
        <v>90</v>
      </c>
      <c r="G499" t="inlineStr">
        <is>
          <t>g</t>
        </is>
      </c>
      <c r="H499" s="12">
        <f>IFERROR(VLOOKUP(E499,Insumos!$C$5:$G$181,5,FALSE),0)</f>
        <v/>
      </c>
      <c r="I499" s="17">
        <f>F499*H499</f>
        <v/>
      </c>
    </row>
    <row r="500">
      <c r="A500" t="n">
        <v>50</v>
      </c>
      <c r="B500" s="21" t="inlineStr">
        <is>
          <t>Gran Gala Centenaria de Reyes (Cinco Jamones Nobles del Mundo, Cinco Grandes Quesos de Guarda, Néctares Nobles, Frutas de Pasión y Panes de Masa Madre)</t>
        </is>
      </c>
      <c r="C500" t="inlineStr">
        <is>
          <t>queso</t>
        </is>
      </c>
      <c r="D500" s="22" t="inlineStr">
        <is>
          <t>90 g Brillat-Savarin AOP Truffé Triple Crème (72% M.G. con trufa negra Tuber melanosporum, cuña en soporte frío)</t>
        </is>
      </c>
      <c r="E500" s="6" t="inlineStr">
        <is>
          <t>Triple crema AOP (Brillat-Savarin, trufado)</t>
        </is>
      </c>
      <c r="F500" s="16" t="n">
        <v>90</v>
      </c>
      <c r="G500" t="inlineStr">
        <is>
          <t>g</t>
        </is>
      </c>
      <c r="H500" s="12">
        <f>IFERROR(VLOOKUP(E500,Insumos!$C$5:$G$181,5,FALSE),0)</f>
        <v/>
      </c>
      <c r="I500" s="17">
        <f>F500*H500</f>
        <v/>
      </c>
    </row>
    <row r="501">
      <c r="A501" t="n">
        <v>50</v>
      </c>
      <c r="B501" s="21" t="inlineStr">
        <is>
          <t>Gran Gala Centenaria de Reyes (Cinco Jamones Nobles del Mundo, Cinco Grandes Quesos de Guarda, Néctares Nobles, Frutas de Pasión y Panes de Masa Madre)</t>
        </is>
      </c>
      <c r="C501" t="inlineStr">
        <is>
          <t>queso</t>
        </is>
      </c>
      <c r="D501" s="22" t="inlineStr">
        <is>
          <t>90 g Queso Cotija Región de Origen 12 Meses de Cueva de Montaña (Jiquilpan/Cotija, quebrado en lascas naturales)</t>
        </is>
      </c>
      <c r="E501" s="6" t="inlineStr">
        <is>
          <t>Queso añejo, cotija o de cuadro seco</t>
        </is>
      </c>
      <c r="F501" s="16" t="n">
        <v>90</v>
      </c>
      <c r="G501" t="inlineStr">
        <is>
          <t>g</t>
        </is>
      </c>
      <c r="H501" s="12">
        <f>IFERROR(VLOOKUP(E501,Insumos!$C$5:$G$181,5,FALSE),0)</f>
        <v/>
      </c>
      <c r="I501" s="17">
        <f>F501*H501</f>
        <v/>
      </c>
    </row>
    <row r="502">
      <c r="A502" t="n">
        <v>50</v>
      </c>
      <c r="B502" s="21" t="inlineStr">
        <is>
          <t>Gran Gala Centenaria de Reyes (Cinco Jamones Nobles del Mundo, Cinco Grandes Quesos de Guarda, Néctares Nobles, Frutas de Pasión y Panes de Masa Madre)</t>
        </is>
      </c>
      <c r="C502" t="inlineStr">
        <is>
          <t>charcuteria</t>
        </is>
      </c>
      <c r="D502" s="22" t="inlineStr">
        <is>
          <t>70 g Tasajo Tradicional de Hebra Oaxaqueño oreado en secadero natural (en nidos finos)</t>
        </is>
      </c>
      <c r="E502" s="6" t="inlineStr">
        <is>
          <t>Tasajo oaxaqueño de hebra</t>
        </is>
      </c>
      <c r="F502" s="16" t="n">
        <v>70</v>
      </c>
      <c r="G502" t="inlineStr">
        <is>
          <t>g</t>
        </is>
      </c>
      <c r="H502" s="12">
        <f>IFERROR(VLOOKUP(E502,Insumos!$C$5:$G$181,5,FALSE),0)</f>
        <v/>
      </c>
      <c r="I502" s="17">
        <f>F502*H502</f>
        <v/>
      </c>
    </row>
    <row r="503">
      <c r="A503" t="n">
        <v>50</v>
      </c>
      <c r="B503" s="21" t="inlineStr">
        <is>
          <t>Gran Gala Centenaria de Reyes (Cinco Jamones Nobles del Mundo, Cinco Grandes Quesos de Guarda, Néctares Nobles, Frutas de Pasión y Panes de Masa Madre)</t>
        </is>
      </c>
      <c r="C503" t="inlineStr">
        <is>
          <t>seco</t>
        </is>
      </c>
      <c r="D503" s="22" t="inlineStr">
        <is>
          <t>80 g Rebanadas finas tostadas de Baguette de Tradition Française y Pan de Masa Madre Candeal</t>
        </is>
      </c>
      <c r="E503" s="6" t="inlineStr">
        <is>
          <t>Baguette de tradición francesa</t>
        </is>
      </c>
      <c r="F503" s="16" t="n">
        <v>0.5</v>
      </c>
      <c r="G503" t="inlineStr">
        <is>
          <t>pz</t>
        </is>
      </c>
      <c r="H503" s="12">
        <f>IFERROR(VLOOKUP(E503,Insumos!$C$5:$G$181,5,FALSE),0)</f>
        <v/>
      </c>
      <c r="I503" s="17">
        <f>F503*H503</f>
        <v/>
      </c>
    </row>
    <row r="504">
      <c r="A504" t="n">
        <v>50</v>
      </c>
      <c r="B504" s="21" t="inlineStr">
        <is>
          <t>Gran Gala Centenaria de Reyes (Cinco Jamones Nobles del Mundo, Cinco Grandes Quesos de Guarda, Néctares Nobles, Frutas de Pasión y Panes de Masa Madre)</t>
        </is>
      </c>
      <c r="C504" t="inlineStr">
        <is>
          <t>seco</t>
        </is>
      </c>
      <c r="D504" s="22" t="inlineStr">
        <is>
          <t>50 g Grissini Torinesi artesanales estirados a mano con AOVE</t>
        </is>
      </c>
      <c r="E504" s="6" t="inlineStr">
        <is>
          <t>Grissini torinesi o rubatà artesanales</t>
        </is>
      </c>
      <c r="F504" s="16" t="n">
        <v>50</v>
      </c>
      <c r="G504" t="inlineStr">
        <is>
          <t>g</t>
        </is>
      </c>
      <c r="H504" s="12">
        <f>IFERROR(VLOOKUP(E504,Insumos!$C$5:$G$181,5,FALSE),0)</f>
        <v/>
      </c>
      <c r="I504" s="17">
        <f>F504*H504</f>
        <v/>
      </c>
    </row>
    <row r="505">
      <c r="A505" t="n">
        <v>50</v>
      </c>
      <c r="B505" s="21" t="inlineStr">
        <is>
          <t>Gran Gala Centenaria de Reyes (Cinco Jamones Nobles del Mundo, Cinco Grandes Quesos de Guarda, Néctares Nobles, Frutas de Pasión y Panes de Masa Madre)</t>
        </is>
      </c>
      <c r="C505" t="inlineStr">
        <is>
          <t>seco</t>
        </is>
      </c>
      <c r="D505" s="22" t="inlineStr">
        <is>
          <t>40 g Picos camperos andaluces y regañás sevillanas</t>
        </is>
      </c>
      <c r="E505" s="6" t="inlineStr">
        <is>
          <t>Picos, regañás o colines andaluces</t>
        </is>
      </c>
      <c r="F505" s="16" t="n">
        <v>40</v>
      </c>
      <c r="G505" t="inlineStr">
        <is>
          <t>g</t>
        </is>
      </c>
      <c r="H505" s="12">
        <f>IFERROR(VLOOKUP(E505,Insumos!$C$5:$G$181,5,FALSE),0)</f>
        <v/>
      </c>
      <c r="I505" s="17">
        <f>F505*H505</f>
        <v/>
      </c>
    </row>
    <row r="506">
      <c r="A506" t="n">
        <v>50</v>
      </c>
      <c r="B506" s="21" t="inlineStr">
        <is>
          <t>Gran Gala Centenaria de Reyes (Cinco Jamones Nobles del Mundo, Cinco Grandes Quesos de Guarda, Néctares Nobles, Frutas de Pasión y Panes de Masa Madre)</t>
        </is>
      </c>
      <c r="C506" t="inlineStr">
        <is>
          <t>seco</t>
        </is>
      </c>
      <c r="D506" s="22" t="inlineStr">
        <is>
          <t>50 g Almendras Marcona fritas en AOVE y nueces de Grenoble AOP peladas</t>
        </is>
      </c>
      <c r="E506" s="6" t="inlineStr">
        <is>
          <t>Almendra Marcona pelada y frita en AOVE</t>
        </is>
      </c>
      <c r="F506" s="16" t="n">
        <v>50</v>
      </c>
      <c r="G506" t="inlineStr">
        <is>
          <t>g</t>
        </is>
      </c>
      <c r="H506" s="12">
        <f>IFERROR(VLOOKUP(E506,Insumos!$C$5:$G$181,5,FALSE),0)</f>
        <v/>
      </c>
      <c r="I506" s="17">
        <f>F506*H506</f>
        <v/>
      </c>
    </row>
    <row r="507">
      <c r="A507" t="n">
        <v>50</v>
      </c>
      <c r="B507" s="21" t="inlineStr">
        <is>
          <t>Gran Gala Centenaria de Reyes (Cinco Jamones Nobles del Mundo, Cinco Grandes Quesos de Guarda, Néctares Nobles, Frutas de Pasión y Panes de Masa Madre)</t>
        </is>
      </c>
      <c r="C507" t="inlineStr">
        <is>
          <t>humedo</t>
        </is>
      </c>
      <c r="D507" s="22" t="inlineStr">
        <is>
          <t>25 ml Aceto Balsamico Tradizionale di Modena DOP afinado en batería de barricas (en cuenco cerámico)</t>
        </is>
      </c>
      <c r="E507" s="6" t="inlineStr">
        <is>
          <t>Aceto Balsamico Tradizionale di Modena DOP</t>
        </is>
      </c>
      <c r="F507" s="16" t="n">
        <v>25</v>
      </c>
      <c r="G507" t="inlineStr">
        <is>
          <t>ml</t>
        </is>
      </c>
      <c r="H507" s="12">
        <f>IFERROR(VLOOKUP(E507,Insumos!$C$5:$G$181,5,FALSE),0)</f>
        <v/>
      </c>
      <c r="I507" s="17">
        <f>F507*H507</f>
        <v/>
      </c>
    </row>
    <row r="508">
      <c r="A508" t="n">
        <v>50</v>
      </c>
      <c r="B508" s="21" t="inlineStr">
        <is>
          <t>Gran Gala Centenaria de Reyes (Cinco Jamones Nobles del Mundo, Cinco Grandes Quesos de Guarda, Néctares Nobles, Frutas de Pasión y Panes de Masa Madre)</t>
        </is>
      </c>
      <c r="C508" t="inlineStr">
        <is>
          <t>humedo</t>
        </is>
      </c>
      <c r="D508" s="22" t="inlineStr">
        <is>
          <t>40 ml Miel pura de azahar líquida (en cuenco cerámico)</t>
        </is>
      </c>
      <c r="E508" s="6" t="inlineStr">
        <is>
          <t>Miel pura monofloral artesanal</t>
        </is>
      </c>
      <c r="F508" s="16" t="n">
        <v>40</v>
      </c>
      <c r="G508" t="inlineStr">
        <is>
          <t>g</t>
        </is>
      </c>
      <c r="H508" s="12">
        <f>IFERROR(VLOOKUP(E508,Insumos!$C$5:$G$181,5,FALSE),0)</f>
        <v/>
      </c>
      <c r="I508" s="17">
        <f>F508*H508</f>
        <v/>
      </c>
    </row>
    <row r="509">
      <c r="A509" t="n">
        <v>50</v>
      </c>
      <c r="B509" s="21" t="inlineStr">
        <is>
          <t>Gran Gala Centenaria de Reyes (Cinco Jamones Nobles del Mundo, Cinco Grandes Quesos de Guarda, Néctares Nobles, Frutas de Pasión y Panes de Masa Madre)</t>
        </is>
      </c>
      <c r="C509" t="inlineStr">
        <is>
          <t>humedo</t>
        </is>
      </c>
      <c r="D509" s="22" t="inlineStr">
        <is>
          <t>45 g Mostarda di Cremona tradicional en almíbar picante de mostaza (en ramequín)</t>
        </is>
      </c>
      <c r="E509" s="6" t="inlineStr">
        <is>
          <t>Mostarda italiana o cugnà (Cremona, Voghera, Veneta)</t>
        </is>
      </c>
      <c r="F509" s="16" t="n">
        <v>45</v>
      </c>
      <c r="G509" t="inlineStr">
        <is>
          <t>g</t>
        </is>
      </c>
      <c r="H509" s="12">
        <f>IFERROR(VLOOKUP(E509,Insumos!$C$5:$G$181,5,FALSE),0)</f>
        <v/>
      </c>
      <c r="I509" s="17">
        <f>F509*H509</f>
        <v/>
      </c>
    </row>
    <row r="510">
      <c r="A510" t="n">
        <v>50</v>
      </c>
      <c r="B510" s="21" t="inlineStr">
        <is>
          <t>Gran Gala Centenaria de Reyes (Cinco Jamones Nobles del Mundo, Cinco Grandes Quesos de Guarda, Néctares Nobles, Frutas de Pasión y Panes de Masa Madre)</t>
        </is>
      </c>
      <c r="C510" t="inlineStr">
        <is>
          <t>humedo</t>
        </is>
      </c>
      <c r="D510" s="22" t="inlineStr">
        <is>
          <t>50 g Higos frescos maduros cortados en cuartos y uvas blancas y negras secadas a paño</t>
        </is>
      </c>
      <c r="E510" s="6" t="inlineStr">
        <is>
          <t>Higo fresco maduro</t>
        </is>
      </c>
      <c r="F510" s="16" t="n">
        <v>50</v>
      </c>
      <c r="G510" t="inlineStr">
        <is>
          <t>g</t>
        </is>
      </c>
      <c r="H510" s="12">
        <f>IFERROR(VLOOKUP(E510,Insumos!$C$5:$G$181,5,FALSE),0)</f>
        <v/>
      </c>
      <c r="I510" s="17">
        <f>F510*H510</f>
        <v/>
      </c>
    </row>
    <row r="511">
      <c r="A511" t="n">
        <v>102</v>
      </c>
      <c r="B511" s="21" t="inlineStr">
        <is>
          <t>B-1 · Mermelada o compota densa de la casa</t>
        </is>
      </c>
      <c r="C511" t="inlineStr">
        <is>
          <t>humedo</t>
        </is>
      </c>
      <c r="D511" s="22" t="inlineStr">
        <is>
          <t>900 g Fruta de temporada para mermelada o compota · lote de B-1</t>
        </is>
      </c>
      <c r="E511" s="6" t="inlineStr">
        <is>
          <t>Fruta de temporada para mermelada o compota</t>
        </is>
      </c>
      <c r="F511" s="16" t="n">
        <v>900</v>
      </c>
      <c r="G511" t="inlineStr">
        <is>
          <t>g</t>
        </is>
      </c>
      <c r="H511" s="12">
        <f>IFERROR(VLOOKUP(E511,Insumos!$C$5:$G$181,5,FALSE),0)</f>
        <v/>
      </c>
      <c r="I511" s="17">
        <f>F511*H511</f>
        <v/>
      </c>
    </row>
    <row r="512">
      <c r="A512" t="n">
        <v>102</v>
      </c>
      <c r="B512" s="21" t="inlineStr">
        <is>
          <t>B-1 · Mermelada o compota densa de la casa</t>
        </is>
      </c>
      <c r="C512" t="inlineStr">
        <is>
          <t>humedo</t>
        </is>
      </c>
      <c r="D512" s="22" t="inlineStr">
        <is>
          <t>300 g Azúcar blanco refinado · lote de B-1</t>
        </is>
      </c>
      <c r="E512" s="6" t="inlineStr">
        <is>
          <t>Azúcar blanco refinado</t>
        </is>
      </c>
      <c r="F512" s="16" t="n">
        <v>300</v>
      </c>
      <c r="G512" t="inlineStr">
        <is>
          <t>g</t>
        </is>
      </c>
      <c r="H512" s="12">
        <f>IFERROR(VLOOKUP(E512,Insumos!$C$5:$G$181,5,FALSE),0)</f>
        <v/>
      </c>
      <c r="I512" s="17">
        <f>F512*H512</f>
        <v/>
      </c>
    </row>
    <row r="513">
      <c r="A513" t="n">
        <v>102</v>
      </c>
      <c r="B513" s="21" t="inlineStr">
        <is>
          <t>B-1 · Mermelada o compota densa de la casa</t>
        </is>
      </c>
      <c r="C513" t="inlineStr">
        <is>
          <t>humedo</t>
        </is>
      </c>
      <c r="D513" s="22" t="inlineStr">
        <is>
          <t>40 ml Vinagre de Jerez, balsámico o de sidra · lote de B-1</t>
        </is>
      </c>
      <c r="E513" s="6" t="inlineStr">
        <is>
          <t>Vinagre de Jerez, balsámico o de sidra</t>
        </is>
      </c>
      <c r="F513" s="16" t="n">
        <v>40</v>
      </c>
      <c r="G513" t="inlineStr">
        <is>
          <t>ml</t>
        </is>
      </c>
      <c r="H513" s="12">
        <f>IFERROR(VLOOKUP(E513,Insumos!$C$5:$G$181,5,FALSE),0)</f>
        <v/>
      </c>
      <c r="I513" s="17">
        <f>F513*H513</f>
        <v/>
      </c>
    </row>
    <row r="514">
      <c r="A514" t="n">
        <v>102</v>
      </c>
      <c r="B514" s="21" t="inlineStr">
        <is>
          <t>B-1 · Mermelada o compota densa de la casa</t>
        </is>
      </c>
      <c r="C514" t="inlineStr">
        <is>
          <t>humedo</t>
        </is>
      </c>
      <c r="D514" s="22" t="inlineStr">
        <is>
          <t>60 g Naranja, lima o cítrico fresco · lote de B-1</t>
        </is>
      </c>
      <c r="E514" s="6" t="inlineStr">
        <is>
          <t>Naranja, lima o cítrico fresco</t>
        </is>
      </c>
      <c r="F514" s="16" t="n">
        <v>60</v>
      </c>
      <c r="G514" t="inlineStr">
        <is>
          <t>g</t>
        </is>
      </c>
      <c r="H514" s="12">
        <f>IFERROR(VLOOKUP(E514,Insumos!$C$5:$G$181,5,FALSE),0)</f>
        <v/>
      </c>
      <c r="I514" s="17">
        <f>F514*H514</f>
        <v/>
      </c>
    </row>
    <row r="515">
      <c r="A515" t="n">
        <v>102</v>
      </c>
      <c r="B515" s="21" t="inlineStr">
        <is>
          <t>B-1 · Mermelada o compota densa de la casa</t>
        </is>
      </c>
      <c r="C515" t="inlineStr">
        <is>
          <t>humedo</t>
        </is>
      </c>
      <c r="D515" s="22" t="inlineStr">
        <is>
          <t>3 g Especias y semillas aromáticas (comino, hinojo, anís, enebro, canela) · lote de B-1</t>
        </is>
      </c>
      <c r="E515" s="6" t="inlineStr">
        <is>
          <t>Especias y semillas aromáticas (comino, hinojo, anís, enebro, canela)</t>
        </is>
      </c>
      <c r="F515" s="16" t="n">
        <v>3</v>
      </c>
      <c r="G515" t="inlineStr">
        <is>
          <t>g</t>
        </is>
      </c>
      <c r="H515" s="12">
        <f>IFERROR(VLOOKUP(E515,Insumos!$C$5:$G$181,5,FALSE),0)</f>
        <v/>
      </c>
      <c r="I515" s="17">
        <f>F515*H515</f>
        <v/>
      </c>
    </row>
    <row r="516">
      <c r="A516" t="n">
        <v>103</v>
      </c>
      <c r="B516" s="21" t="inlineStr">
        <is>
          <t>B-2 · Reducción densa de vino para tabla</t>
        </is>
      </c>
      <c r="C516" t="inlineStr">
        <is>
          <t>humedo</t>
        </is>
      </c>
      <c r="D516" s="22" t="inlineStr">
        <is>
          <t>750 ml Vino, licor o destilado para macerar y reducir · lote de B-2</t>
        </is>
      </c>
      <c r="E516" s="6" t="inlineStr">
        <is>
          <t>Vino, licor o destilado para macerar y reducir</t>
        </is>
      </c>
      <c r="F516" s="16" t="n">
        <v>750</v>
      </c>
      <c r="G516" t="inlineStr">
        <is>
          <t>ml</t>
        </is>
      </c>
      <c r="H516" s="12">
        <f>IFERROR(VLOOKUP(E516,Insumos!$C$5:$G$181,5,FALSE),0)</f>
        <v/>
      </c>
      <c r="I516" s="17">
        <f>F516*H516</f>
        <v/>
      </c>
    </row>
    <row r="517">
      <c r="A517" t="n">
        <v>103</v>
      </c>
      <c r="B517" s="21" t="inlineStr">
        <is>
          <t>B-2 · Reducción densa de vino para tabla</t>
        </is>
      </c>
      <c r="C517" t="inlineStr">
        <is>
          <t>humedo</t>
        </is>
      </c>
      <c r="D517" s="22" t="inlineStr">
        <is>
          <t>110 g Azúcar blanco refinado · lote de B-2</t>
        </is>
      </c>
      <c r="E517" s="6" t="inlineStr">
        <is>
          <t>Azúcar blanco refinado</t>
        </is>
      </c>
      <c r="F517" s="16" t="n">
        <v>110</v>
      </c>
      <c r="G517" t="inlineStr">
        <is>
          <t>g</t>
        </is>
      </c>
      <c r="H517" s="12">
        <f>IFERROR(VLOOKUP(E517,Insumos!$C$5:$G$181,5,FALSE),0)</f>
        <v/>
      </c>
      <c r="I517" s="17">
        <f>F517*H517</f>
        <v/>
      </c>
    </row>
    <row r="518">
      <c r="A518" t="n">
        <v>103</v>
      </c>
      <c r="B518" s="21" t="inlineStr">
        <is>
          <t>B-2 · Reducción densa de vino para tabla</t>
        </is>
      </c>
      <c r="C518" t="inlineStr">
        <is>
          <t>humedo</t>
        </is>
      </c>
      <c r="D518" s="22" t="inlineStr">
        <is>
          <t>4 g Hierbas frescas (tomillo, romero, albahaca, menta, orégano) · lote de B-2</t>
        </is>
      </c>
      <c r="E518" s="6" t="inlineStr">
        <is>
          <t>Hierbas frescas (tomillo, romero, albahaca, menta, orégano)</t>
        </is>
      </c>
      <c r="F518" s="16" t="n">
        <v>4</v>
      </c>
      <c r="G518" t="inlineStr">
        <is>
          <t>g</t>
        </is>
      </c>
      <c r="H518" s="12">
        <f>IFERROR(VLOOKUP(E518,Insumos!$C$5:$G$181,5,FALSE),0)</f>
        <v/>
      </c>
      <c r="I518" s="17">
        <f>F518*H518</f>
        <v/>
      </c>
    </row>
    <row r="519">
      <c r="A519" t="n">
        <v>103</v>
      </c>
      <c r="B519" s="21" t="inlineStr">
        <is>
          <t>B-2 · Reducción densa de vino para tabla</t>
        </is>
      </c>
      <c r="C519" t="inlineStr">
        <is>
          <t>humedo</t>
        </is>
      </c>
      <c r="D519" s="22" t="inlineStr">
        <is>
          <t>3 g Especias y semillas aromáticas (comino, hinojo, anís, enebro, canela) · lote de B-2</t>
        </is>
      </c>
      <c r="E519" s="6" t="inlineStr">
        <is>
          <t>Especias y semillas aromáticas (comino, hinojo, anís, enebro, canela)</t>
        </is>
      </c>
      <c r="F519" s="16" t="n">
        <v>3</v>
      </c>
      <c r="G519" t="inlineStr">
        <is>
          <t>g</t>
        </is>
      </c>
      <c r="H519" s="12">
        <f>IFERROR(VLOOKUP(E519,Insumos!$C$5:$G$181,5,FALSE),0)</f>
        <v/>
      </c>
      <c r="I519" s="17">
        <f>F519*H519</f>
        <v/>
      </c>
    </row>
    <row r="520">
      <c r="A520" t="n">
        <v>104</v>
      </c>
      <c r="B520" s="21" t="inlineStr">
        <is>
          <t>B-3 · Confit de cebolla o chalota al vino</t>
        </is>
      </c>
      <c r="C520" t="inlineStr">
        <is>
          <t>humedo</t>
        </is>
      </c>
      <c r="D520" s="22" t="inlineStr">
        <is>
          <t>1000 g Cebolla, chalota o cebollita de cambray · lote de B-3</t>
        </is>
      </c>
      <c r="E520" s="6" t="inlineStr">
        <is>
          <t>Cebolla, chalota o cebollita de cambray</t>
        </is>
      </c>
      <c r="F520" s="16" t="n">
        <v>1000</v>
      </c>
      <c r="G520" t="inlineStr">
        <is>
          <t>g</t>
        </is>
      </c>
      <c r="H520" s="12">
        <f>IFERROR(VLOOKUP(E520,Insumos!$C$5:$G$181,5,FALSE),0)</f>
        <v/>
      </c>
      <c r="I520" s="17">
        <f>F520*H520</f>
        <v/>
      </c>
    </row>
    <row r="521">
      <c r="A521" t="n">
        <v>104</v>
      </c>
      <c r="B521" s="21" t="inlineStr">
        <is>
          <t>B-3 · Confit de cebolla o chalota al vino</t>
        </is>
      </c>
      <c r="C521" t="inlineStr">
        <is>
          <t>humedo</t>
        </is>
      </c>
      <c r="D521" s="22" t="inlineStr">
        <is>
          <t>90 g Azúcar blanco refinado · lote de B-3</t>
        </is>
      </c>
      <c r="E521" s="6" t="inlineStr">
        <is>
          <t>Azúcar blanco refinado</t>
        </is>
      </c>
      <c r="F521" s="16" t="n">
        <v>90</v>
      </c>
      <c r="G521" t="inlineStr">
        <is>
          <t>g</t>
        </is>
      </c>
      <c r="H521" s="12">
        <f>IFERROR(VLOOKUP(E521,Insumos!$C$5:$G$181,5,FALSE),0)</f>
        <v/>
      </c>
      <c r="I521" s="17">
        <f>F521*H521</f>
        <v/>
      </c>
    </row>
    <row r="522">
      <c r="A522" t="n">
        <v>104</v>
      </c>
      <c r="B522" s="21" t="inlineStr">
        <is>
          <t>B-3 · Confit de cebolla o chalota al vino</t>
        </is>
      </c>
      <c r="C522" t="inlineStr">
        <is>
          <t>humedo</t>
        </is>
      </c>
      <c r="D522" s="22" t="inlineStr">
        <is>
          <t>150 ml Vino, licor o destilado para macerar y reducir · lote de B-3</t>
        </is>
      </c>
      <c r="E522" s="6" t="inlineStr">
        <is>
          <t>Vino, licor o destilado para macerar y reducir</t>
        </is>
      </c>
      <c r="F522" s="16" t="n">
        <v>150</v>
      </c>
      <c r="G522" t="inlineStr">
        <is>
          <t>ml</t>
        </is>
      </c>
      <c r="H522" s="12">
        <f>IFERROR(VLOOKUP(E522,Insumos!$C$5:$G$181,5,FALSE),0)</f>
        <v/>
      </c>
      <c r="I522" s="17">
        <f>F522*H522</f>
        <v/>
      </c>
    </row>
    <row r="523">
      <c r="A523" t="n">
        <v>104</v>
      </c>
      <c r="B523" s="21" t="inlineStr">
        <is>
          <t>B-3 · Confit de cebolla o chalota al vino</t>
        </is>
      </c>
      <c r="C523" t="inlineStr">
        <is>
          <t>humedo</t>
        </is>
      </c>
      <c r="D523" s="22" t="inlineStr">
        <is>
          <t>40 ml Aceite de oliva virgen extra · lote de B-3</t>
        </is>
      </c>
      <c r="E523" s="6" t="inlineStr">
        <is>
          <t>Aceite de oliva virgen extra</t>
        </is>
      </c>
      <c r="F523" s="16" t="n">
        <v>40</v>
      </c>
      <c r="G523" t="inlineStr">
        <is>
          <t>ml</t>
        </is>
      </c>
      <c r="H523" s="12">
        <f>IFERROR(VLOOKUP(E523,Insumos!$C$5:$G$181,5,FALSE),0)</f>
        <v/>
      </c>
      <c r="I523" s="17">
        <f>F523*H523</f>
        <v/>
      </c>
    </row>
    <row r="524">
      <c r="A524" t="n">
        <v>104</v>
      </c>
      <c r="B524" s="21" t="inlineStr">
        <is>
          <t>B-3 · Confit de cebolla o chalota al vino</t>
        </is>
      </c>
      <c r="C524" t="inlineStr">
        <is>
          <t>humedo</t>
        </is>
      </c>
      <c r="D524" s="22" t="inlineStr">
        <is>
          <t>8 g Sal marina fina o de grano · lote de B-3</t>
        </is>
      </c>
      <c r="E524" s="6" t="inlineStr">
        <is>
          <t>Sal marina fina o de grano</t>
        </is>
      </c>
      <c r="F524" s="16" t="n">
        <v>8</v>
      </c>
      <c r="G524" t="inlineStr">
        <is>
          <t>g</t>
        </is>
      </c>
      <c r="H524" s="12">
        <f>IFERROR(VLOOKUP(E524,Insumos!$C$5:$G$181,5,FALSE),0)</f>
        <v/>
      </c>
      <c r="I524" s="17">
        <f>F524*H524</f>
        <v/>
      </c>
    </row>
    <row r="525">
      <c r="A525" t="n">
        <v>105</v>
      </c>
      <c r="B525" s="21" t="inlineStr">
        <is>
          <t>B-4 · Encurtido rápido de la casa</t>
        </is>
      </c>
      <c r="C525" t="inlineStr">
        <is>
          <t>humedo</t>
        </is>
      </c>
      <c r="D525" s="22" t="inlineStr">
        <is>
          <t>500 g Cebolla, chalota o cebollita de cambray · lote de B-4</t>
        </is>
      </c>
      <c r="E525" s="6" t="inlineStr">
        <is>
          <t>Cebolla, chalota o cebollita de cambray</t>
        </is>
      </c>
      <c r="F525" s="16" t="n">
        <v>500</v>
      </c>
      <c r="G525" t="inlineStr">
        <is>
          <t>g</t>
        </is>
      </c>
      <c r="H525" s="12">
        <f>IFERROR(VLOOKUP(E525,Insumos!$C$5:$G$181,5,FALSE),0)</f>
        <v/>
      </c>
      <c r="I525" s="17">
        <f>F525*H525</f>
        <v/>
      </c>
    </row>
    <row r="526">
      <c r="A526" t="n">
        <v>105</v>
      </c>
      <c r="B526" s="21" t="inlineStr">
        <is>
          <t>B-4 · Encurtido rápido de la casa</t>
        </is>
      </c>
      <c r="C526" t="inlineStr">
        <is>
          <t>humedo</t>
        </is>
      </c>
      <c r="D526" s="22" t="inlineStr">
        <is>
          <t>250 ml Vinagre de Jerez, balsámico o de sidra · lote de B-4</t>
        </is>
      </c>
      <c r="E526" s="6" t="inlineStr">
        <is>
          <t>Vinagre de Jerez, balsámico o de sidra</t>
        </is>
      </c>
      <c r="F526" s="16" t="n">
        <v>250</v>
      </c>
      <c r="G526" t="inlineStr">
        <is>
          <t>ml</t>
        </is>
      </c>
      <c r="H526" s="12">
        <f>IFERROR(VLOOKUP(E526,Insumos!$C$5:$G$181,5,FALSE),0)</f>
        <v/>
      </c>
      <c r="I526" s="17">
        <f>F526*H526</f>
        <v/>
      </c>
    </row>
    <row r="527">
      <c r="A527" t="n">
        <v>105</v>
      </c>
      <c r="B527" s="21" t="inlineStr">
        <is>
          <t>B-4 · Encurtido rápido de la casa</t>
        </is>
      </c>
      <c r="C527" t="inlineStr">
        <is>
          <t>humedo</t>
        </is>
      </c>
      <c r="D527" s="22" t="inlineStr">
        <is>
          <t>150 ml Agua purificada · lote de B-4</t>
        </is>
      </c>
      <c r="E527" s="6" t="inlineStr">
        <is>
          <t>Agua purificada</t>
        </is>
      </c>
      <c r="F527" s="16" t="n">
        <v>150</v>
      </c>
      <c r="G527" t="inlineStr">
        <is>
          <t>ml</t>
        </is>
      </c>
      <c r="H527" s="12">
        <f>IFERROR(VLOOKUP(E527,Insumos!$C$5:$G$181,5,FALSE),0)</f>
        <v/>
      </c>
      <c r="I527" s="17">
        <f>F527*H527</f>
        <v/>
      </c>
    </row>
    <row r="528">
      <c r="A528" t="n">
        <v>105</v>
      </c>
      <c r="B528" s="21" t="inlineStr">
        <is>
          <t>B-4 · Encurtido rápido de la casa</t>
        </is>
      </c>
      <c r="C528" t="inlineStr">
        <is>
          <t>humedo</t>
        </is>
      </c>
      <c r="D528" s="22" t="inlineStr">
        <is>
          <t>45 g Azúcar blanco refinado · lote de B-4</t>
        </is>
      </c>
      <c r="E528" s="6" t="inlineStr">
        <is>
          <t>Azúcar blanco refinado</t>
        </is>
      </c>
      <c r="F528" s="16" t="n">
        <v>45</v>
      </c>
      <c r="G528" t="inlineStr">
        <is>
          <t>g</t>
        </is>
      </c>
      <c r="H528" s="12">
        <f>IFERROR(VLOOKUP(E528,Insumos!$C$5:$G$181,5,FALSE),0)</f>
        <v/>
      </c>
      <c r="I528" s="17">
        <f>F528*H528</f>
        <v/>
      </c>
    </row>
    <row r="529">
      <c r="A529" t="n">
        <v>105</v>
      </c>
      <c r="B529" s="21" t="inlineStr">
        <is>
          <t>B-4 · Encurtido rápido de la casa</t>
        </is>
      </c>
      <c r="C529" t="inlineStr">
        <is>
          <t>humedo</t>
        </is>
      </c>
      <c r="D529" s="22" t="inlineStr">
        <is>
          <t>14 g Sal marina fina o de grano · lote de B-4</t>
        </is>
      </c>
      <c r="E529" s="6" t="inlineStr">
        <is>
          <t>Sal marina fina o de grano</t>
        </is>
      </c>
      <c r="F529" s="16" t="n">
        <v>14</v>
      </c>
      <c r="G529" t="inlineStr">
        <is>
          <t>g</t>
        </is>
      </c>
      <c r="H529" s="12">
        <f>IFERROR(VLOOKUP(E529,Insumos!$C$5:$G$181,5,FALSE),0)</f>
        <v/>
      </c>
      <c r="I529" s="17">
        <f>F529*H529</f>
        <v/>
      </c>
    </row>
    <row r="530">
      <c r="A530" t="n">
        <v>105</v>
      </c>
      <c r="B530" s="21" t="inlineStr">
        <is>
          <t>B-4 · Encurtido rápido de la casa</t>
        </is>
      </c>
      <c r="C530" t="inlineStr">
        <is>
          <t>humedo</t>
        </is>
      </c>
      <c r="D530" s="22" t="inlineStr">
        <is>
          <t>5 g Especias y semillas aromáticas (comino, hinojo, anís, enebro, canela) · lote de B-4</t>
        </is>
      </c>
      <c r="E530" s="6" t="inlineStr">
        <is>
          <t>Especias y semillas aromáticas (comino, hinojo, anís, enebro, canela)</t>
        </is>
      </c>
      <c r="F530" s="16" t="n">
        <v>5</v>
      </c>
      <c r="G530" t="inlineStr">
        <is>
          <t>g</t>
        </is>
      </c>
      <c r="H530" s="12">
        <f>IFERROR(VLOOKUP(E530,Insumos!$C$5:$G$181,5,FALSE),0)</f>
        <v/>
      </c>
      <c r="I530" s="17">
        <f>F530*H530</f>
        <v/>
      </c>
    </row>
  </sheetData>
  <autoFilter ref="A4:I530"/>
  <conditionalFormatting sqref="H5:H530">
    <cfRule type="cellIs" priority="1" operator="equal" dxfId="0">
      <formula>0</formula>
    </cfRule>
  </conditionalFormatting>
  <dataValidations count="1">
    <dataValidation sqref="E5:E530" showDropDown="0" showInputMessage="0" showErrorMessage="0" allowBlank="0" type="list">
      <formula1>=Insumos!$C$5:$C$181</formula1>
    </dataValidation>
  </dataValidations>
  <pageMargins left="0.75" right="0.75" top="1" bottom="1" header="0.5" footer="0.5"/>
</worksheet>
</file>

<file path=xl/worksheets/sheet5.xml><?xml version="1.0" encoding="utf-8"?>
<worksheet xmlns="http://schemas.openxmlformats.org/spreadsheetml/2006/main">
  <sheetPr>
    <tabColor rgb="00C98BCB"/>
    <outlinePr summaryBelow="1" summaryRight="1"/>
    <pageSetUpPr/>
  </sheetPr>
  <dimension ref="A1:D35"/>
  <sheetViews>
    <sheetView showGridLines="0" workbookViewId="0">
      <selection activeCell="A1" sqref="A1"/>
    </sheetView>
  </sheetViews>
  <sheetFormatPr baseColWidth="8" defaultRowHeight="15"/>
  <cols>
    <col width="4" customWidth="1" min="1" max="1"/>
    <col width="54" customWidth="1" min="2" max="2"/>
    <col width="16" customWidth="1" min="3" max="3"/>
    <col width="56" customWidth="1" min="4" max="4"/>
  </cols>
  <sheetData>
    <row r="1">
      <c r="A1" s="1" t="inlineStr">
        <is>
          <t>Mi negocio</t>
        </is>
      </c>
    </row>
    <row r="2">
      <c r="A2" s="7" t="inlineStr">
        <is>
          <t>Los supuestos que mueven todo. Si estos números están mal, todos tus precios están mal.</t>
        </is>
      </c>
    </row>
    <row r="4" ht="30" customHeight="1">
      <c r="A4" s="8" t="inlineStr"/>
      <c r="B4" s="8" t="inlineStr">
        <is>
          <t>Gasto fijo mensual</t>
        </is>
      </c>
      <c r="C4" s="8" t="inlineStr">
        <is>
          <t>Monto</t>
        </is>
      </c>
      <c r="D4" s="8" t="inlineStr">
        <is>
          <t>Nota</t>
        </is>
      </c>
    </row>
    <row r="5">
      <c r="B5" s="6" t="inlineStr">
        <is>
          <t>Renta del local, obrador o cava</t>
        </is>
      </c>
      <c r="C5" s="23" t="n">
        <v>15000</v>
      </c>
    </row>
    <row r="6">
      <c r="B6" s="6" t="inlineStr">
        <is>
          <t>Luz, gas y cámara de frío de 2-4 °C</t>
        </is>
      </c>
      <c r="C6" s="23" t="n">
        <v>4600</v>
      </c>
    </row>
    <row r="7">
      <c r="B7" s="6" t="inlineStr">
        <is>
          <t>Agua y consumibles de limpieza</t>
        </is>
      </c>
      <c r="C7" s="23" t="n">
        <v>1100</v>
      </c>
    </row>
    <row r="8">
      <c r="B8" s="6" t="inlineStr">
        <is>
          <t>Internet, telefonía y punto de venta</t>
        </is>
      </c>
      <c r="C8" s="23" t="n">
        <v>800</v>
      </c>
    </row>
    <row r="9">
      <c r="B9" s="6" t="inlineStr">
        <is>
          <t>Publicidad y contenido</t>
        </is>
      </c>
      <c r="C9" s="23" t="n">
        <v>2800</v>
      </c>
    </row>
    <row r="10">
      <c r="B10" s="6" t="inlineStr">
        <is>
          <t>Permisos, licencias y comisiones de plataforma</t>
        </is>
      </c>
      <c r="C10" s="23" t="n">
        <v>2600</v>
      </c>
    </row>
    <row r="11">
      <c r="B11" s="6" t="inlineStr">
        <is>
          <t>Mantenimiento de cámara, rebanadora y cuchillería</t>
        </is>
      </c>
      <c r="C11" s="23" t="n">
        <v>1800</v>
      </c>
    </row>
    <row r="12">
      <c r="B12" s="6" t="inlineStr">
        <is>
          <t>Depreciación (cámara de afinado, rebanadora, tablas y soportes)</t>
        </is>
      </c>
      <c r="C12" s="23" t="n">
        <v>3400</v>
      </c>
    </row>
    <row r="13">
      <c r="B13" s="6" t="inlineStr">
        <is>
          <t>Análisis de laboratorio y control sanitario</t>
        </is>
      </c>
      <c r="C13" s="23" t="n">
        <v>900</v>
      </c>
    </row>
    <row r="14">
      <c r="B14" s="6" t="inlineStr">
        <is>
          <t>Otros gastos fijos</t>
        </is>
      </c>
      <c r="C14" s="23" t="n">
        <v>900</v>
      </c>
    </row>
    <row r="15">
      <c r="B15" s="6" t="n"/>
      <c r="C15" s="23" t="n"/>
    </row>
    <row r="16">
      <c r="B16" s="6" t="n"/>
      <c r="C16" s="23" t="n"/>
    </row>
    <row r="17">
      <c r="B17" s="19" t="inlineStr">
        <is>
          <t>Total de gastos fijos</t>
        </is>
      </c>
      <c r="C17" s="24">
        <f>SUM(C5:C16)</f>
        <v/>
      </c>
    </row>
    <row r="19">
      <c r="B19" t="inlineStr">
        <is>
          <t>Tablas producidos al mes</t>
        </is>
      </c>
      <c r="C19" s="25" t="n">
        <v>320</v>
      </c>
      <c r="D19" s="7" t="inlineStr">
        <is>
          <t>≈ 12 tablas al día en 26 días de operación. Ajusta este número a tu venta real.</t>
        </is>
      </c>
    </row>
    <row r="20">
      <c r="B20" t="inlineStr">
        <is>
          <t>Gastos fijos por tabla (overhead)</t>
        </is>
      </c>
      <c r="C20" s="26">
        <f>IFERROR(C17/C19,0)</f>
        <v/>
      </c>
      <c r="D20" s="7" t="inlineStr">
        <is>
          <t>Se suma al costo de cada tabla.</t>
        </is>
      </c>
    </row>
    <row r="21">
      <c r="B21" t="inlineStr">
        <is>
          <t>Sueldo mensual que te pagas</t>
        </is>
      </c>
      <c r="C21" s="23" t="n">
        <v>22000</v>
      </c>
      <c r="D21" s="7" t="inlineStr"/>
    </row>
    <row r="22">
      <c r="B22" t="inlineStr">
        <is>
          <t>Horas de trabajo al mes</t>
        </is>
      </c>
      <c r="C22" s="25" t="n">
        <v>180</v>
      </c>
      <c r="D22" s="7" t="inlineStr"/>
    </row>
    <row r="23">
      <c r="B23" t="inlineStr">
        <is>
          <t>Costo de tu hora</t>
        </is>
      </c>
      <c r="C23" s="26">
        <f>IFERROR(C21/C22,0)</f>
        <v/>
      </c>
      <c r="D23" s="7" t="inlineStr">
        <is>
          <t>Mano de obra = minutos ÷ 60 × costo de la hora.</t>
        </is>
      </c>
    </row>
    <row r="24">
      <c r="B24" t="inlineStr">
        <is>
          <t>% de merma por defecto</t>
        </is>
      </c>
      <c r="C24" s="27" t="n">
        <v>0.07000000000000001</v>
      </c>
      <c r="D24" s="7" t="inlineStr">
        <is>
          <t>Cortezas, recortes, remanentes de ramequín y sobrantes de mesa. El material del taller sitúa esta merma entre 5 y 8 %. Compárala con tu merma real en el Tablero.</t>
        </is>
      </c>
    </row>
    <row r="25">
      <c r="B25" t="inlineStr">
        <is>
          <t>Redondeo de precios (pesos)</t>
        </is>
      </c>
      <c r="C25" s="25" t="n">
        <v>5</v>
      </c>
      <c r="D25" s="7" t="inlineStr">
        <is>
          <t>Los precios suben al múltiplo superior de esta cifra.</t>
        </is>
      </c>
    </row>
    <row r="26">
      <c r="B26" s="28" t="inlineStr">
        <is>
          <t>Márgenes objetivo por canal</t>
        </is>
      </c>
      <c r="C26" s="25" t="n">
        <v>6</v>
      </c>
      <c r="D26" s="7" t="inlineStr">
        <is>
          <t>Cortar la charcutería y los quesos y llenar los ramequines cuesta casi lo mismo con 3 tablas que con 12; montar, no. Éste es el número que más mueve tu costo de mano de obra.</t>
        </is>
      </c>
    </row>
    <row r="27">
      <c r="B27" t="inlineStr">
        <is>
          <t>Margen · Salón y barra de vinos</t>
        </is>
      </c>
      <c r="C27" s="27" t="n">
        <v>0.58</v>
      </c>
      <c r="D27" s="7" t="inlineStr">
        <is>
          <t>Rango sugerido 54 – 62 %.</t>
        </is>
      </c>
    </row>
    <row r="28">
      <c r="B28" t="inlineStr">
        <is>
          <t>Margen · Para llevar y reparto</t>
        </is>
      </c>
      <c r="C28" s="27" t="n">
        <v>0.52</v>
      </c>
      <c r="D28" s="7" t="inlineStr">
        <is>
          <t>Rango sugerido 48 – 56 %.</t>
        </is>
      </c>
    </row>
    <row r="29">
      <c r="B29" t="inlineStr">
        <is>
          <t>Margen · Evento y catering</t>
        </is>
      </c>
      <c r="C29" s="27" t="n">
        <v>0.46</v>
      </c>
      <c r="D29" s="7" t="inlineStr">
        <is>
          <t>Rango sugerido 42 – 50 %.</t>
        </is>
      </c>
    </row>
    <row r="30">
      <c r="B30" t="inlineStr">
        <is>
          <t>Margen · Mayoreo y corporativo</t>
        </is>
      </c>
      <c r="C30" s="27" t="n">
        <v>0.32</v>
      </c>
      <c r="D30" s="7" t="inlineStr">
        <is>
          <t>Rango sugerido 28 – 36 %.</t>
        </is>
      </c>
    </row>
    <row r="31">
      <c r="B31" s="28" t="inlineStr">
        <is>
          <t>El soporte: el costo propio de este formato</t>
        </is>
      </c>
    </row>
    <row r="32">
      <c r="B32" t="inlineStr">
        <is>
          <t>Precio de compra del soporte</t>
        </is>
      </c>
      <c r="C32" s="11" t="n">
        <v>850</v>
      </c>
      <c r="D32" s="7" t="inlineStr">
        <is>
          <t>Lo que te costó la tabla o el soporte de servicio. Se amortiza entre los usos que le saques.</t>
        </is>
      </c>
    </row>
    <row r="33">
      <c r="B33" t="inlineStr">
        <is>
          <t>Usos que le sacas a cada soporte</t>
        </is>
      </c>
      <c r="C33" s="25" t="n">
        <v>200</v>
      </c>
      <c r="D33" s="7" t="inlineStr">
        <is>
          <t>Cuántas veces vas a usar ese mismo soporte antes de reponerlo. Una tabla de madera bien curada aguanta cientos de servicios.</t>
        </is>
      </c>
    </row>
    <row r="34">
      <c r="B34" t="inlineStr">
        <is>
          <t>Costo del soporte por servicio</t>
        </is>
      </c>
      <c r="C34" s="26">
        <f>IFERROR(C32/MAX(1,C33),0)</f>
        <v/>
      </c>
      <c r="D34" s="7" t="inlineStr">
        <is>
          <t>Se suma al costo de cada tabla. Es el costo propio de este formato.</t>
        </is>
      </c>
    </row>
    <row r="35">
      <c r="B35" t="inlineStr">
        <is>
          <t>Alternativa desechable (referencia)</t>
        </is>
      </c>
      <c r="C35" s="11" t="n">
        <v>38</v>
      </c>
      <c r="D35" s="7" t="inlineStr">
        <is>
          <t>Base de cartón sulfatado rígido para envío. Si vendes para llevar, éste es tu costo real de soporte: cámbialo arriba.</t>
        </is>
      </c>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tabColor rgb="007A2E7E"/>
    <outlinePr summaryBelow="1" summaryRight="1"/>
    <pageSetUpPr/>
  </sheetPr>
  <dimension ref="A1:AA56"/>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50" customWidth="1" min="2" max="2"/>
    <col width="30" customWidth="1" min="3" max="3"/>
    <col width="11" customWidth="1" min="4" max="4"/>
    <col width="11" customWidth="1" min="5" max="5"/>
    <col width="11" customWidth="1" min="6" max="6"/>
    <col width="12" customWidth="1" min="7" max="7"/>
    <col width="13" customWidth="1" min="8" max="8"/>
    <col width="13" customWidth="1" min="9" max="9"/>
    <col width="12" customWidth="1" min="10" max="10"/>
    <col width="10" customWidth="1" min="11" max="11"/>
    <col width="12" customWidth="1" min="12" max="12"/>
    <col width="10" customWidth="1" min="13" max="13"/>
    <col width="11" customWidth="1" min="14" max="14"/>
    <col width="10" customWidth="1" min="15" max="15"/>
    <col width="11" customWidth="1" min="16" max="16"/>
    <col width="9" customWidth="1" min="17" max="17"/>
    <col width="10" customWidth="1" min="18" max="18"/>
    <col width="12" customWidth="1" min="19" max="19"/>
    <col width="11" customWidth="1" min="20" max="20"/>
    <col width="13" customWidth="1" min="21" max="21"/>
    <col width="12" customWidth="1" min="22" max="22"/>
    <col width="12" customWidth="1" min="23" max="23"/>
    <col width="12" customWidth="1" min="24" max="24"/>
    <col width="12" customWidth="1" min="25" max="25"/>
  </cols>
  <sheetData>
    <row r="1">
      <c r="A1" s="1" t="inlineStr">
        <is>
          <t>Recetas y precios</t>
        </is>
      </c>
    </row>
    <row r="2">
      <c r="A2" s="7" t="inlineStr">
        <is>
          <t>Hoja principal. Cambia un precio en Insumos y los 50 precios se recalculan solos.</t>
        </is>
      </c>
    </row>
    <row r="4" ht="30" customHeight="1">
      <c r="A4" s="8" t="inlineStr">
        <is>
          <t>Nº</t>
        </is>
      </c>
      <c r="B4" s="8" t="inlineStr">
        <is>
          <t>Receta</t>
        </is>
      </c>
      <c r="C4" s="8" t="inlineStr">
        <is>
          <t>Capítulo</t>
        </is>
      </c>
      <c r="D4" s="8" t="inlineStr">
        <is>
          <t>Bloque</t>
        </is>
      </c>
      <c r="E4" s="8" t="inlineStr">
        <is>
          <t>Queso</t>
        </is>
      </c>
      <c r="F4" s="8" t="inlineStr">
        <is>
          <t>Frío</t>
        </is>
      </c>
      <c r="G4" s="8" t="inlineStr">
        <is>
          <t>Unidad de venta</t>
        </is>
      </c>
      <c r="H4" s="8" t="inlineStr">
        <is>
          <t>Tablas que rinde</t>
        </is>
      </c>
      <c r="I4" s="8" t="inlineStr">
        <is>
          <t>Insumos del lote</t>
        </is>
      </c>
      <c r="J4" s="8" t="inlineStr">
        <is>
          <t>Insumos por tabla</t>
        </is>
      </c>
      <c r="K4" s="8" t="inlineStr">
        <is>
          <t>Ramequines y empaque</t>
        </is>
      </c>
      <c r="L4" s="8" t="inlineStr">
        <is>
          <t>Soporte (por uso)</t>
        </is>
      </c>
      <c r="M4" s="8" t="inlineStr">
        <is>
          <t>Energía por tabla</t>
        </is>
      </c>
      <c r="N4" s="8" t="inlineStr">
        <is>
          <t>Min. corte y mise en place (tanda)</t>
        </is>
      </c>
      <c r="O4" s="8" t="inlineStr">
        <is>
          <t>Min. montaje (tabla)</t>
        </is>
      </c>
      <c r="P4" s="8" t="inlineStr">
        <is>
          <t>Mano de obra</t>
        </is>
      </c>
      <c r="Q4" s="8" t="inlineStr">
        <is>
          <t>Gastos fijos</t>
        </is>
      </c>
      <c r="R4" s="8" t="inlineStr">
        <is>
          <t>Costo base</t>
        </is>
      </c>
      <c r="S4" s="8" t="inlineStr">
        <is>
          <t>Merma propia</t>
        </is>
      </c>
      <c r="T4" s="8" t="inlineStr">
        <is>
          <t>Merma aplicada</t>
        </is>
      </c>
      <c r="U4" s="8" t="inlineStr">
        <is>
          <t>COSTO TOTAL</t>
        </is>
      </c>
      <c r="V4" s="8" t="inlineStr">
        <is>
          <t>Comensales</t>
        </is>
      </c>
      <c r="W4" s="8" t="inlineStr">
        <is>
          <t>Costo por comensal</t>
        </is>
      </c>
      <c r="X4" s="8" t="inlineStr">
        <is>
          <t>PVP Salón y barra de vinos</t>
        </is>
      </c>
      <c r="Y4" s="8" t="inlineStr">
        <is>
          <t>PVP Para llevar y reparto</t>
        </is>
      </c>
      <c r="Z4" s="8" t="inlineStr">
        <is>
          <t>PVP Evento y catering</t>
        </is>
      </c>
      <c r="AA4" s="8" t="inlineStr">
        <is>
          <t>PVP Mayoreo y corporativo</t>
        </is>
      </c>
    </row>
    <row r="5">
      <c r="A5" t="n">
        <v>1</v>
      </c>
      <c r="B5" s="21" t="inlineStr">
        <is>
          <t>Tabla Ibérica Pura Bellota (Jamón 100% Ibérico de Bellota, Lomo de Bellota, Manchego DOP Viejo y Torta del Casar DOP)</t>
        </is>
      </c>
      <c r="C5" s="22" t="inlineStr">
        <is>
          <t>Cap. 8 · España: dehesa, montaña y ovejas curadas</t>
        </is>
      </c>
      <c r="D5" t="inlineStr">
        <is>
          <t>E</t>
        </is>
      </c>
      <c r="E5" t="inlineStr">
        <is>
          <t>B</t>
        </is>
      </c>
      <c r="F5" t="inlineStr">
        <is>
          <t>E</t>
        </is>
      </c>
      <c r="G5" t="inlineStr">
        <is>
          <t>tabla</t>
        </is>
      </c>
      <c r="H5" s="16" t="n">
        <v>1</v>
      </c>
      <c r="I5" s="17">
        <f>SUMIF(Ingredientes!$A$5:$A$530,A5,Ingredientes!$I$5:$I$530)</f>
        <v/>
      </c>
      <c r="J5" s="17">
        <f>IFERROR(I5/H5,0)</f>
        <v/>
      </c>
      <c r="K5" s="11" t="n">
        <v>19.5</v>
      </c>
      <c r="L5" s="17">
        <f>'Mi negocio'!$C$34</f>
        <v/>
      </c>
      <c r="M5" s="11" t="n">
        <v>3.4</v>
      </c>
      <c r="N5" s="16" t="n">
        <v>75</v>
      </c>
      <c r="O5" s="16" t="n">
        <v>22</v>
      </c>
      <c r="P5" s="17">
        <f>IFERROR((N5/MAX(1,'Mi negocio'!$C$26)+O5)/60*'Mi negocio'!$C$23,0)</f>
        <v/>
      </c>
      <c r="Q5" s="17">
        <f>'Mi negocio'!$C$20</f>
        <v/>
      </c>
      <c r="R5" s="17">
        <f>J5+K5+L5+M5+P5+Q5</f>
        <v/>
      </c>
      <c r="S5" s="27" t="n"/>
      <c r="T5" s="29">
        <f>IF(S5="",'Mi negocio'!$C$24,S5)</f>
        <v/>
      </c>
      <c r="U5" s="30">
        <f>IFERROR(R5/(1-T5),0)</f>
        <v/>
      </c>
      <c r="V5" s="6" t="n">
        <v>6</v>
      </c>
      <c r="W5" s="17">
        <f>IFERROR(U5/MAX(1,V5),0)</f>
        <v/>
      </c>
      <c r="X5" s="31">
        <f>IFERROR(CEILING(ROUND(U5/(1-'Mi negocio'!$C$27),6),'Mi negocio'!$C$25),0)</f>
        <v/>
      </c>
      <c r="Y5" s="31">
        <f>IFERROR(CEILING(ROUND(U5/(1-'Mi negocio'!$C$28),6),'Mi negocio'!$C$25),0)</f>
        <v/>
      </c>
      <c r="Z5" s="31">
        <f>IFERROR(CEILING(ROUND(U5/(1-'Mi negocio'!$C$29),6),'Mi negocio'!$C$25),0)</f>
        <v/>
      </c>
      <c r="AA5" s="31">
        <f>IFERROR(CEILING(ROUND(U5/(1-'Mi negocio'!$C$30),6),'Mi negocio'!$C$25),0)</f>
        <v/>
      </c>
    </row>
    <row r="6">
      <c r="A6" t="n">
        <v>2</v>
      </c>
      <c r="B6" s="21" t="inlineStr">
        <is>
          <t>Dehesa &amp; Montanera (Salchichón Ibérico de Bellota, Chorizo Cular, Mahón Curado y Queso Idiazábal Ahumado DOP)</t>
        </is>
      </c>
      <c r="C6" s="22" t="inlineStr">
        <is>
          <t>Cap. 8 · España: dehesa, montaña y ovejas curadas</t>
        </is>
      </c>
      <c r="D6" t="inlineStr">
        <is>
          <t>E</t>
        </is>
      </c>
      <c r="E6" t="inlineStr">
        <is>
          <t>D</t>
        </is>
      </c>
      <c r="F6" t="inlineStr">
        <is>
          <t>T</t>
        </is>
      </c>
      <c r="G6" t="inlineStr">
        <is>
          <t>tabla</t>
        </is>
      </c>
      <c r="H6" s="16" t="n">
        <v>1</v>
      </c>
      <c r="I6" s="17">
        <f>SUMIF(Ingredientes!$A$5:$A$530,A6,Ingredientes!$I$5:$I$530)</f>
        <v/>
      </c>
      <c r="J6" s="17">
        <f>IFERROR(I6/H6,0)</f>
        <v/>
      </c>
      <c r="K6" s="11" t="n">
        <v>19.5</v>
      </c>
      <c r="L6" s="17">
        <f>'Mi negocio'!$C$34</f>
        <v/>
      </c>
      <c r="M6" s="11" t="n">
        <v>2.6</v>
      </c>
      <c r="N6" s="16" t="n">
        <v>55</v>
      </c>
      <c r="O6" s="16" t="n">
        <v>18</v>
      </c>
      <c r="P6" s="17">
        <f>IFERROR((N6/MAX(1,'Mi negocio'!$C$26)+O6)/60*'Mi negocio'!$C$23,0)</f>
        <v/>
      </c>
      <c r="Q6" s="17">
        <f>'Mi negocio'!$C$20</f>
        <v/>
      </c>
      <c r="R6" s="17">
        <f>J6+K6+L6+M6+P6+Q6</f>
        <v/>
      </c>
      <c r="S6" s="27" t="n"/>
      <c r="T6" s="29">
        <f>IF(S6="",'Mi negocio'!$C$24,S6)</f>
        <v/>
      </c>
      <c r="U6" s="30">
        <f>IFERROR(R6/(1-T6),0)</f>
        <v/>
      </c>
      <c r="V6" s="6" t="n">
        <v>6</v>
      </c>
      <c r="W6" s="17">
        <f>IFERROR(U6/MAX(1,V6),0)</f>
        <v/>
      </c>
      <c r="X6" s="31">
        <f>IFERROR(CEILING(ROUND(U6/(1-'Mi negocio'!$C$27),6),'Mi negocio'!$C$25),0)</f>
        <v/>
      </c>
      <c r="Y6" s="31">
        <f>IFERROR(CEILING(ROUND(U6/(1-'Mi negocio'!$C$28),6),'Mi negocio'!$C$25),0)</f>
        <v/>
      </c>
      <c r="Z6" s="31">
        <f>IFERROR(CEILING(ROUND(U6/(1-'Mi negocio'!$C$29),6),'Mi negocio'!$C$25),0)</f>
        <v/>
      </c>
      <c r="AA6" s="31">
        <f>IFERROR(CEILING(ROUND(U6/(1-'Mi negocio'!$C$30),6),'Mi negocio'!$C$25),0)</f>
        <v/>
      </c>
    </row>
    <row r="7">
      <c r="A7" t="n">
        <v>3</v>
      </c>
      <c r="B7" s="21" t="inlineStr">
        <is>
          <t>Pirineos &amp; Rastrojo (Cecina de León IGP, Fuet Artesano de Vic, Garrotxa de Cabra y Roncal DOP)</t>
        </is>
      </c>
      <c r="C7" s="22" t="inlineStr">
        <is>
          <t>Cap. 8 · España: dehesa, montaña y ovejas curadas</t>
        </is>
      </c>
      <c r="D7" t="inlineStr">
        <is>
          <t>E</t>
        </is>
      </c>
      <c r="E7" t="inlineStr">
        <is>
          <t>D</t>
        </is>
      </c>
      <c r="F7" t="inlineStr">
        <is>
          <t>T</t>
        </is>
      </c>
      <c r="G7" t="inlineStr">
        <is>
          <t>tabla</t>
        </is>
      </c>
      <c r="H7" s="16" t="n">
        <v>1</v>
      </c>
      <c r="I7" s="17">
        <f>SUMIF(Ingredientes!$A$5:$A$530,A7,Ingredientes!$I$5:$I$530)</f>
        <v/>
      </c>
      <c r="J7" s="17">
        <f>IFERROR(I7/H7,0)</f>
        <v/>
      </c>
      <c r="K7" s="11" t="n">
        <v>16</v>
      </c>
      <c r="L7" s="17">
        <f>'Mi negocio'!$C$34</f>
        <v/>
      </c>
      <c r="M7" s="11" t="n">
        <v>2.6</v>
      </c>
      <c r="N7" s="16" t="n">
        <v>55</v>
      </c>
      <c r="O7" s="16" t="n">
        <v>18</v>
      </c>
      <c r="P7" s="17">
        <f>IFERROR((N7/MAX(1,'Mi negocio'!$C$26)+O7)/60*'Mi negocio'!$C$23,0)</f>
        <v/>
      </c>
      <c r="Q7" s="17">
        <f>'Mi negocio'!$C$20</f>
        <v/>
      </c>
      <c r="R7" s="17">
        <f>J7+K7+L7+M7+P7+Q7</f>
        <v/>
      </c>
      <c r="S7" s="27" t="n"/>
      <c r="T7" s="29">
        <f>IF(S7="",'Mi negocio'!$C$24,S7)</f>
        <v/>
      </c>
      <c r="U7" s="30">
        <f>IFERROR(R7/(1-T7),0)</f>
        <v/>
      </c>
      <c r="V7" s="6" t="n">
        <v>6</v>
      </c>
      <c r="W7" s="17">
        <f>IFERROR(U7/MAX(1,V7),0)</f>
        <v/>
      </c>
      <c r="X7" s="31">
        <f>IFERROR(CEILING(ROUND(U7/(1-'Mi negocio'!$C$27),6),'Mi negocio'!$C$25),0)</f>
        <v/>
      </c>
      <c r="Y7" s="31">
        <f>IFERROR(CEILING(ROUND(U7/(1-'Mi negocio'!$C$28),6),'Mi negocio'!$C$25),0)</f>
        <v/>
      </c>
      <c r="Z7" s="31">
        <f>IFERROR(CEILING(ROUND(U7/(1-'Mi negocio'!$C$29),6),'Mi negocio'!$C$25),0)</f>
        <v/>
      </c>
      <c r="AA7" s="31">
        <f>IFERROR(CEILING(ROUND(U7/(1-'Mi negocio'!$C$30),6),'Mi negocio'!$C$25),0)</f>
        <v/>
      </c>
    </row>
    <row r="8">
      <c r="A8" t="n">
        <v>4</v>
      </c>
      <c r="B8" s="21" t="inlineStr">
        <is>
          <t>Meseta Castellana (Jamón Serrano Gran Reserva, Morcón Ibérico, Zamorano DOP y Queso Castellano Añejo)</t>
        </is>
      </c>
      <c r="C8" s="22" t="inlineStr">
        <is>
          <t>Cap. 8 · España: dehesa, montaña y ovejas curadas</t>
        </is>
      </c>
      <c r="D8" t="inlineStr">
        <is>
          <t>E</t>
        </is>
      </c>
      <c r="E8" t="inlineStr">
        <is>
          <t>D</t>
        </is>
      </c>
      <c r="F8" t="inlineStr">
        <is>
          <t>T</t>
        </is>
      </c>
      <c r="G8" t="inlineStr">
        <is>
          <t>tabla</t>
        </is>
      </c>
      <c r="H8" s="16" t="n">
        <v>1</v>
      </c>
      <c r="I8" s="17">
        <f>SUMIF(Ingredientes!$A$5:$A$530,A8,Ingredientes!$I$5:$I$530)</f>
        <v/>
      </c>
      <c r="J8" s="17">
        <f>IFERROR(I8/H8,0)</f>
        <v/>
      </c>
      <c r="K8" s="11" t="n">
        <v>19.5</v>
      </c>
      <c r="L8" s="17">
        <f>'Mi negocio'!$C$34</f>
        <v/>
      </c>
      <c r="M8" s="11" t="n">
        <v>2.6</v>
      </c>
      <c r="N8" s="16" t="n">
        <v>55</v>
      </c>
      <c r="O8" s="16" t="n">
        <v>18</v>
      </c>
      <c r="P8" s="17">
        <f>IFERROR((N8/MAX(1,'Mi negocio'!$C$26)+O8)/60*'Mi negocio'!$C$23,0)</f>
        <v/>
      </c>
      <c r="Q8" s="17">
        <f>'Mi negocio'!$C$20</f>
        <v/>
      </c>
      <c r="R8" s="17">
        <f>J8+K8+L8+M8+P8+Q8</f>
        <v/>
      </c>
      <c r="S8" s="27" t="n"/>
      <c r="T8" s="29">
        <f>IF(S8="",'Mi negocio'!$C$24,S8)</f>
        <v/>
      </c>
      <c r="U8" s="30">
        <f>IFERROR(R8/(1-T8),0)</f>
        <v/>
      </c>
      <c r="V8" s="6" t="n">
        <v>6</v>
      </c>
      <c r="W8" s="17">
        <f>IFERROR(U8/MAX(1,V8),0)</f>
        <v/>
      </c>
      <c r="X8" s="31">
        <f>IFERROR(CEILING(ROUND(U8/(1-'Mi negocio'!$C$27),6),'Mi negocio'!$C$25),0)</f>
        <v/>
      </c>
      <c r="Y8" s="31">
        <f>IFERROR(CEILING(ROUND(U8/(1-'Mi negocio'!$C$28),6),'Mi negocio'!$C$25),0)</f>
        <v/>
      </c>
      <c r="Z8" s="31">
        <f>IFERROR(CEILING(ROUND(U8/(1-'Mi negocio'!$C$29),6),'Mi negocio'!$C$25),0)</f>
        <v/>
      </c>
      <c r="AA8" s="31">
        <f>IFERROR(CEILING(ROUND(U8/(1-'Mi negocio'!$C$30),6),'Mi negocio'!$C$25),0)</f>
        <v/>
      </c>
    </row>
    <row r="9">
      <c r="A9" t="n">
        <v>5</v>
      </c>
      <c r="B9" s="21" t="inlineStr">
        <is>
          <t>Andalucía &amp; Dehesas del Sur (Paleta Ibérica de Jabugo DOP, Caña de Lomo, Payoyo de Grazalema y Miel de Azahar)</t>
        </is>
      </c>
      <c r="C9" s="22" t="inlineStr">
        <is>
          <t>Cap. 8 · España: dehesa, montaña y ovejas curadas</t>
        </is>
      </c>
      <c r="D9" t="inlineStr">
        <is>
          <t>E</t>
        </is>
      </c>
      <c r="E9" t="inlineStr">
        <is>
          <t>P</t>
        </is>
      </c>
      <c r="F9" t="inlineStr">
        <is>
          <t>T</t>
        </is>
      </c>
      <c r="G9" t="inlineStr">
        <is>
          <t>tabla</t>
        </is>
      </c>
      <c r="H9" s="16" t="n">
        <v>1</v>
      </c>
      <c r="I9" s="17">
        <f>SUMIF(Ingredientes!$A$5:$A$530,A9,Ingredientes!$I$5:$I$530)</f>
        <v/>
      </c>
      <c r="J9" s="17">
        <f>IFERROR(I9/H9,0)</f>
        <v/>
      </c>
      <c r="K9" s="11" t="n">
        <v>16</v>
      </c>
      <c r="L9" s="17">
        <f>'Mi negocio'!$C$34</f>
        <v/>
      </c>
      <c r="M9" s="11" t="n">
        <v>3.4</v>
      </c>
      <c r="N9" s="16" t="n">
        <v>60</v>
      </c>
      <c r="O9" s="16" t="n">
        <v>20</v>
      </c>
      <c r="P9" s="17">
        <f>IFERROR((N9/MAX(1,'Mi negocio'!$C$26)+O9)/60*'Mi negocio'!$C$23,0)</f>
        <v/>
      </c>
      <c r="Q9" s="17">
        <f>'Mi negocio'!$C$20</f>
        <v/>
      </c>
      <c r="R9" s="17">
        <f>J9+K9+L9+M9+P9+Q9</f>
        <v/>
      </c>
      <c r="S9" s="27" t="n"/>
      <c r="T9" s="29">
        <f>IF(S9="",'Mi negocio'!$C$24,S9)</f>
        <v/>
      </c>
      <c r="U9" s="30">
        <f>IFERROR(R9/(1-T9),0)</f>
        <v/>
      </c>
      <c r="V9" s="6" t="n">
        <v>6</v>
      </c>
      <c r="W9" s="17">
        <f>IFERROR(U9/MAX(1,V9),0)</f>
        <v/>
      </c>
      <c r="X9" s="31">
        <f>IFERROR(CEILING(ROUND(U9/(1-'Mi negocio'!$C$27),6),'Mi negocio'!$C$25),0)</f>
        <v/>
      </c>
      <c r="Y9" s="31">
        <f>IFERROR(CEILING(ROUND(U9/(1-'Mi negocio'!$C$28),6),'Mi negocio'!$C$25),0)</f>
        <v/>
      </c>
      <c r="Z9" s="31">
        <f>IFERROR(CEILING(ROUND(U9/(1-'Mi negocio'!$C$29),6),'Mi negocio'!$C$25),0)</f>
        <v/>
      </c>
      <c r="AA9" s="31">
        <f>IFERROR(CEILING(ROUND(U9/(1-'Mi negocio'!$C$30),6),'Mi negocio'!$C$25),0)</f>
        <v/>
      </c>
    </row>
    <row r="10">
      <c r="A10" t="n">
        <v>6</v>
      </c>
      <c r="B10" s="21" t="inlineStr">
        <is>
          <t>Asturias de Cueva y Montaña (Gamonéu del Puerto, Cabrales DOP de Cueva, Chosco de Tineo IGP y Chorizo Asturiano a la Sidra)</t>
        </is>
      </c>
      <c r="C10" s="22" t="inlineStr">
        <is>
          <t>Cap. 8 · España: dehesa, montaña y ovejas curadas</t>
        </is>
      </c>
      <c r="D10" t="inlineStr">
        <is>
          <t>E</t>
        </is>
      </c>
      <c r="E10" t="inlineStr">
        <is>
          <t>P</t>
        </is>
      </c>
      <c r="F10" t="inlineStr">
        <is>
          <t>E</t>
        </is>
      </c>
      <c r="G10" t="inlineStr">
        <is>
          <t>tabla</t>
        </is>
      </c>
      <c r="H10" s="16" t="n">
        <v>1</v>
      </c>
      <c r="I10" s="17">
        <f>SUMIF(Ingredientes!$A$5:$A$530,A10,Ingredientes!$I$5:$I$530)</f>
        <v/>
      </c>
      <c r="J10" s="17">
        <f>IFERROR(I10/H10,0)</f>
        <v/>
      </c>
      <c r="K10" s="11" t="n">
        <v>19.5</v>
      </c>
      <c r="L10" s="17">
        <f>'Mi negocio'!$C$34</f>
        <v/>
      </c>
      <c r="M10" s="11" t="n">
        <v>2.6</v>
      </c>
      <c r="N10" s="16" t="n">
        <v>55</v>
      </c>
      <c r="O10" s="16" t="n">
        <v>18</v>
      </c>
      <c r="P10" s="17">
        <f>IFERROR((N10/MAX(1,'Mi negocio'!$C$26)+O10)/60*'Mi negocio'!$C$23,0)</f>
        <v/>
      </c>
      <c r="Q10" s="17">
        <f>'Mi negocio'!$C$20</f>
        <v/>
      </c>
      <c r="R10" s="17">
        <f>J10+K10+L10+M10+P10+Q10</f>
        <v/>
      </c>
      <c r="S10" s="27" t="n"/>
      <c r="T10" s="29">
        <f>IF(S10="",'Mi negocio'!$C$24,S10)</f>
        <v/>
      </c>
      <c r="U10" s="30">
        <f>IFERROR(R10/(1-T10),0)</f>
        <v/>
      </c>
      <c r="V10" s="6" t="n">
        <v>6</v>
      </c>
      <c r="W10" s="17">
        <f>IFERROR(U10/MAX(1,V10),0)</f>
        <v/>
      </c>
      <c r="X10" s="31">
        <f>IFERROR(CEILING(ROUND(U10/(1-'Mi negocio'!$C$27),6),'Mi negocio'!$C$25),0)</f>
        <v/>
      </c>
      <c r="Y10" s="31">
        <f>IFERROR(CEILING(ROUND(U10/(1-'Mi negocio'!$C$28),6),'Mi negocio'!$C$25),0)</f>
        <v/>
      </c>
      <c r="Z10" s="31">
        <f>IFERROR(CEILING(ROUND(U10/(1-'Mi negocio'!$C$29),6),'Mi negocio'!$C$25),0)</f>
        <v/>
      </c>
      <c r="AA10" s="31">
        <f>IFERROR(CEILING(ROUND(U10/(1-'Mi negocio'!$C$30),6),'Mi negocio'!$C$25),0)</f>
        <v/>
      </c>
    </row>
    <row r="11">
      <c r="A11" t="n">
        <v>7</v>
      </c>
      <c r="B11" s="21" t="inlineStr">
        <is>
          <t>Extremadura Silvestre (Lomito Ibérico de Presa, Chorizo de Pimentón de la Vera, Ibores DOP al Pimentón y Torta de la Serena DOP)</t>
        </is>
      </c>
      <c r="C11" s="22" t="inlineStr">
        <is>
          <t>Cap. 8 · España: dehesa, montaña y ovejas curadas</t>
        </is>
      </c>
      <c r="D11" t="inlineStr">
        <is>
          <t>E</t>
        </is>
      </c>
      <c r="E11" t="inlineStr">
        <is>
          <t>B</t>
        </is>
      </c>
      <c r="F11" t="inlineStr">
        <is>
          <t>E</t>
        </is>
      </c>
      <c r="G11" t="inlineStr">
        <is>
          <t>tabla</t>
        </is>
      </c>
      <c r="H11" s="16" t="n">
        <v>1</v>
      </c>
      <c r="I11" s="17">
        <f>SUMIF(Ingredientes!$A$5:$A$530,A11,Ingredientes!$I$5:$I$530)</f>
        <v/>
      </c>
      <c r="J11" s="17">
        <f>IFERROR(I11/H11,0)</f>
        <v/>
      </c>
      <c r="K11" s="11" t="n">
        <v>19.5</v>
      </c>
      <c r="L11" s="17">
        <f>'Mi negocio'!$C$34</f>
        <v/>
      </c>
      <c r="M11" s="11" t="n">
        <v>2.6</v>
      </c>
      <c r="N11" s="16" t="n">
        <v>55</v>
      </c>
      <c r="O11" s="16" t="n">
        <v>18</v>
      </c>
      <c r="P11" s="17">
        <f>IFERROR((N11/MAX(1,'Mi negocio'!$C$26)+O11)/60*'Mi negocio'!$C$23,0)</f>
        <v/>
      </c>
      <c r="Q11" s="17">
        <f>'Mi negocio'!$C$20</f>
        <v/>
      </c>
      <c r="R11" s="17">
        <f>J11+K11+L11+M11+P11+Q11</f>
        <v/>
      </c>
      <c r="S11" s="27" t="n"/>
      <c r="T11" s="29">
        <f>IF(S11="",'Mi negocio'!$C$24,S11)</f>
        <v/>
      </c>
      <c r="U11" s="30">
        <f>IFERROR(R11/(1-T11),0)</f>
        <v/>
      </c>
      <c r="V11" s="6" t="n">
        <v>6</v>
      </c>
      <c r="W11" s="17">
        <f>IFERROR(U11/MAX(1,V11),0)</f>
        <v/>
      </c>
      <c r="X11" s="31">
        <f>IFERROR(CEILING(ROUND(U11/(1-'Mi negocio'!$C$27),6),'Mi negocio'!$C$25),0)</f>
        <v/>
      </c>
      <c r="Y11" s="31">
        <f>IFERROR(CEILING(ROUND(U11/(1-'Mi negocio'!$C$28),6),'Mi negocio'!$C$25),0)</f>
        <v/>
      </c>
      <c r="Z11" s="31">
        <f>IFERROR(CEILING(ROUND(U11/(1-'Mi negocio'!$C$29),6),'Mi negocio'!$C$25),0)</f>
        <v/>
      </c>
      <c r="AA11" s="31">
        <f>IFERROR(CEILING(ROUND(U11/(1-'Mi negocio'!$C$30),6),'Mi negocio'!$C$25),0)</f>
        <v/>
      </c>
    </row>
    <row r="12">
      <c r="A12" t="n">
        <v>8</v>
      </c>
      <c r="B12" s="21" t="inlineStr">
        <is>
          <t>Islas Baleares &amp; Salazón Marina (Sobrasada de Mallorca de Cerdo Negro, Cuixot Menorquín, Mahón Artesano Reserva y Sal de Es Trenc)</t>
        </is>
      </c>
      <c r="C12" s="22" t="inlineStr">
        <is>
          <t>Cap. 8 · España: dehesa, montaña y ovejas curadas</t>
        </is>
      </c>
      <c r="D12" t="inlineStr">
        <is>
          <t>E</t>
        </is>
      </c>
      <c r="E12" t="inlineStr">
        <is>
          <t>P</t>
        </is>
      </c>
      <c r="F12" t="inlineStr">
        <is>
          <t>M</t>
        </is>
      </c>
      <c r="G12" t="inlineStr">
        <is>
          <t>tabla</t>
        </is>
      </c>
      <c r="H12" s="16" t="n">
        <v>1</v>
      </c>
      <c r="I12" s="17">
        <f>SUMIF(Ingredientes!$A$5:$A$530,A12,Ingredientes!$I$5:$I$530)</f>
        <v/>
      </c>
      <c r="J12" s="17">
        <f>IFERROR(I12/H12,0)</f>
        <v/>
      </c>
      <c r="K12" s="11" t="n">
        <v>19.5</v>
      </c>
      <c r="L12" s="17">
        <f>'Mi negocio'!$C$34</f>
        <v/>
      </c>
      <c r="M12" s="11" t="n">
        <v>2.6</v>
      </c>
      <c r="N12" s="16" t="n">
        <v>50</v>
      </c>
      <c r="O12" s="16" t="n">
        <v>18</v>
      </c>
      <c r="P12" s="17">
        <f>IFERROR((N12/MAX(1,'Mi negocio'!$C$26)+O12)/60*'Mi negocio'!$C$23,0)</f>
        <v/>
      </c>
      <c r="Q12" s="17">
        <f>'Mi negocio'!$C$20</f>
        <v/>
      </c>
      <c r="R12" s="17">
        <f>J12+K12+L12+M12+P12+Q12</f>
        <v/>
      </c>
      <c r="S12" s="27" t="n"/>
      <c r="T12" s="29">
        <f>IF(S12="",'Mi negocio'!$C$24,S12)</f>
        <v/>
      </c>
      <c r="U12" s="30">
        <f>IFERROR(R12/(1-T12),0)</f>
        <v/>
      </c>
      <c r="V12" s="6" t="n">
        <v>6</v>
      </c>
      <c r="W12" s="17">
        <f>IFERROR(U12/MAX(1,V12),0)</f>
        <v/>
      </c>
      <c r="X12" s="31">
        <f>IFERROR(CEILING(ROUND(U12/(1-'Mi negocio'!$C$27),6),'Mi negocio'!$C$25),0)</f>
        <v/>
      </c>
      <c r="Y12" s="31">
        <f>IFERROR(CEILING(ROUND(U12/(1-'Mi negocio'!$C$28),6),'Mi negocio'!$C$25),0)</f>
        <v/>
      </c>
      <c r="Z12" s="31">
        <f>IFERROR(CEILING(ROUND(U12/(1-'Mi negocio'!$C$29),6),'Mi negocio'!$C$25),0)</f>
        <v/>
      </c>
      <c r="AA12" s="31">
        <f>IFERROR(CEILING(ROUND(U12/(1-'Mi negocio'!$C$30),6),'Mi negocio'!$C$25),0)</f>
        <v/>
      </c>
    </row>
    <row r="13">
      <c r="A13" t="n">
        <v>9</v>
      </c>
      <c r="B13" s="21" t="inlineStr">
        <is>
          <t>Galicia Rústica (Lacón Curado Tradicional, Androlla de Ourense, Queso San Simón da Costa DOP y Arzúa-Ulloa)</t>
        </is>
      </c>
      <c r="C13" s="22" t="inlineStr">
        <is>
          <t>Cap. 8 · España: dehesa, montaña y ovejas curadas</t>
        </is>
      </c>
      <c r="D13" t="inlineStr">
        <is>
          <t>E</t>
        </is>
      </c>
      <c r="E13" t="inlineStr">
        <is>
          <t>P</t>
        </is>
      </c>
      <c r="F13" t="inlineStr">
        <is>
          <t>E</t>
        </is>
      </c>
      <c r="G13" t="inlineStr">
        <is>
          <t>tabla</t>
        </is>
      </c>
      <c r="H13" s="16" t="n">
        <v>1</v>
      </c>
      <c r="I13" s="17">
        <f>SUMIF(Ingredientes!$A$5:$A$530,A13,Ingredientes!$I$5:$I$530)</f>
        <v/>
      </c>
      <c r="J13" s="17">
        <f>IFERROR(I13/H13,0)</f>
        <v/>
      </c>
      <c r="K13" s="11" t="n">
        <v>19.5</v>
      </c>
      <c r="L13" s="17">
        <f>'Mi negocio'!$C$34</f>
        <v/>
      </c>
      <c r="M13" s="11" t="n">
        <v>2.6</v>
      </c>
      <c r="N13" s="16" t="n">
        <v>55</v>
      </c>
      <c r="O13" s="16" t="n">
        <v>18</v>
      </c>
      <c r="P13" s="17">
        <f>IFERROR((N13/MAX(1,'Mi negocio'!$C$26)+O13)/60*'Mi negocio'!$C$23,0)</f>
        <v/>
      </c>
      <c r="Q13" s="17">
        <f>'Mi negocio'!$C$20</f>
        <v/>
      </c>
      <c r="R13" s="17">
        <f>J13+K13+L13+M13+P13+Q13</f>
        <v/>
      </c>
      <c r="S13" s="27" t="n"/>
      <c r="T13" s="29">
        <f>IF(S13="",'Mi negocio'!$C$24,S13)</f>
        <v/>
      </c>
      <c r="U13" s="30">
        <f>IFERROR(R13/(1-T13),0)</f>
        <v/>
      </c>
      <c r="V13" s="6" t="n">
        <v>6</v>
      </c>
      <c r="W13" s="17">
        <f>IFERROR(U13/MAX(1,V13),0)</f>
        <v/>
      </c>
      <c r="X13" s="31">
        <f>IFERROR(CEILING(ROUND(U13/(1-'Mi negocio'!$C$27),6),'Mi negocio'!$C$25),0)</f>
        <v/>
      </c>
      <c r="Y13" s="31">
        <f>IFERROR(CEILING(ROUND(U13/(1-'Mi negocio'!$C$28),6),'Mi negocio'!$C$25),0)</f>
        <v/>
      </c>
      <c r="Z13" s="31">
        <f>IFERROR(CEILING(ROUND(U13/(1-'Mi negocio'!$C$29),6),'Mi negocio'!$C$25),0)</f>
        <v/>
      </c>
      <c r="AA13" s="31">
        <f>IFERROR(CEILING(ROUND(U13/(1-'Mi negocio'!$C$30),6),'Mi negocio'!$C$25),0)</f>
        <v/>
      </c>
    </row>
    <row r="14">
      <c r="A14" t="n">
        <v>10</v>
      </c>
      <c r="B14" s="21" t="inlineStr">
        <is>
          <t>Dehesa Urbana Contemporánea (Presa Ibérica Curada al Vino Tinto, Chicharrón Ibérico Prensado, Flor de Guía DOP y Almendras Marcona Tostadas)</t>
        </is>
      </c>
      <c r="C14" s="22" t="inlineStr">
        <is>
          <t>Cap. 8 · España: dehesa, montaña y ovejas curadas</t>
        </is>
      </c>
      <c r="D14" t="inlineStr">
        <is>
          <t>E</t>
        </is>
      </c>
      <c r="E14" t="inlineStr">
        <is>
          <t>D</t>
        </is>
      </c>
      <c r="F14" t="inlineStr">
        <is>
          <t>T</t>
        </is>
      </c>
      <c r="G14" t="inlineStr">
        <is>
          <t>tabla</t>
        </is>
      </c>
      <c r="H14" s="16" t="n">
        <v>1</v>
      </c>
      <c r="I14" s="17">
        <f>SUMIF(Ingredientes!$A$5:$A$530,A14,Ingredientes!$I$5:$I$530)</f>
        <v/>
      </c>
      <c r="J14" s="17">
        <f>IFERROR(I14/H14,0)</f>
        <v/>
      </c>
      <c r="K14" s="11" t="n">
        <v>19.5</v>
      </c>
      <c r="L14" s="17">
        <f>'Mi negocio'!$C$34</f>
        <v/>
      </c>
      <c r="M14" s="11" t="n">
        <v>3.4</v>
      </c>
      <c r="N14" s="16" t="n">
        <v>60</v>
      </c>
      <c r="O14" s="16" t="n">
        <v>22</v>
      </c>
      <c r="P14" s="17">
        <f>IFERROR((N14/MAX(1,'Mi negocio'!$C$26)+O14)/60*'Mi negocio'!$C$23,0)</f>
        <v/>
      </c>
      <c r="Q14" s="17">
        <f>'Mi negocio'!$C$20</f>
        <v/>
      </c>
      <c r="R14" s="17">
        <f>J14+K14+L14+M14+P14+Q14</f>
        <v/>
      </c>
      <c r="S14" s="27" t="n"/>
      <c r="T14" s="29">
        <f>IF(S14="",'Mi negocio'!$C$24,S14)</f>
        <v/>
      </c>
      <c r="U14" s="30">
        <f>IFERROR(R14/(1-T14),0)</f>
        <v/>
      </c>
      <c r="V14" s="6" t="n">
        <v>6</v>
      </c>
      <c r="W14" s="17">
        <f>IFERROR(U14/MAX(1,V14),0)</f>
        <v/>
      </c>
      <c r="X14" s="31">
        <f>IFERROR(CEILING(ROUND(U14/(1-'Mi negocio'!$C$27),6),'Mi negocio'!$C$25),0)</f>
        <v/>
      </c>
      <c r="Y14" s="31">
        <f>IFERROR(CEILING(ROUND(U14/(1-'Mi negocio'!$C$28),6),'Mi negocio'!$C$25),0)</f>
        <v/>
      </c>
      <c r="Z14" s="31">
        <f>IFERROR(CEILING(ROUND(U14/(1-'Mi negocio'!$C$29),6),'Mi negocio'!$C$25),0)</f>
        <v/>
      </c>
      <c r="AA14" s="31">
        <f>IFERROR(CEILING(ROUND(U14/(1-'Mi negocio'!$C$30),6),'Mi negocio'!$C$25),0)</f>
        <v/>
      </c>
    </row>
    <row r="15">
      <c r="A15" t="n">
        <v>11</v>
      </c>
      <c r="B15" s="21" t="inlineStr">
        <is>
          <t>Gran Tabla Emiliana (Prosciutto di Parma DOP 24 Meses, Mortadella Bologna IGP, Parmigiano Reggiano DOP 30 Meses y Squacquerone di Romagna DOP)</t>
        </is>
      </c>
      <c r="C15" s="22" t="inlineStr">
        <is>
          <t>Cap. 9 · Italia: norcineria, alpes y mezzogiorno</t>
        </is>
      </c>
      <c r="D15" t="inlineStr">
        <is>
          <t>I</t>
        </is>
      </c>
      <c r="E15" t="inlineStr">
        <is>
          <t>D</t>
        </is>
      </c>
      <c r="F15" t="inlineStr">
        <is>
          <t>E</t>
        </is>
      </c>
      <c r="G15" t="inlineStr">
        <is>
          <t>tabla</t>
        </is>
      </c>
      <c r="H15" s="16" t="n">
        <v>1</v>
      </c>
      <c r="I15" s="17">
        <f>SUMIF(Ingredientes!$A$5:$A$530,A15,Ingredientes!$I$5:$I$530)</f>
        <v/>
      </c>
      <c r="J15" s="17">
        <f>IFERROR(I15/H15,0)</f>
        <v/>
      </c>
      <c r="K15" s="11" t="n">
        <v>19.5</v>
      </c>
      <c r="L15" s="17">
        <f>'Mi negocio'!$C$34</f>
        <v/>
      </c>
      <c r="M15" s="11" t="n">
        <v>3.4</v>
      </c>
      <c r="N15" s="16" t="n">
        <v>60</v>
      </c>
      <c r="O15" s="16" t="n">
        <v>20</v>
      </c>
      <c r="P15" s="17">
        <f>IFERROR((N15/MAX(1,'Mi negocio'!$C$26)+O15)/60*'Mi negocio'!$C$23,0)</f>
        <v/>
      </c>
      <c r="Q15" s="17">
        <f>'Mi negocio'!$C$20</f>
        <v/>
      </c>
      <c r="R15" s="17">
        <f>J15+K15+L15+M15+P15+Q15</f>
        <v/>
      </c>
      <c r="S15" s="27" t="n"/>
      <c r="T15" s="29">
        <f>IF(S15="",'Mi negocio'!$C$24,S15)</f>
        <v/>
      </c>
      <c r="U15" s="30">
        <f>IFERROR(R15/(1-T15),0)</f>
        <v/>
      </c>
      <c r="V15" s="6" t="n">
        <v>6</v>
      </c>
      <c r="W15" s="17">
        <f>IFERROR(U15/MAX(1,V15),0)</f>
        <v/>
      </c>
      <c r="X15" s="31">
        <f>IFERROR(CEILING(ROUND(U15/(1-'Mi negocio'!$C$27),6),'Mi negocio'!$C$25),0)</f>
        <v/>
      </c>
      <c r="Y15" s="31">
        <f>IFERROR(CEILING(ROUND(U15/(1-'Mi negocio'!$C$28),6),'Mi negocio'!$C$25),0)</f>
        <v/>
      </c>
      <c r="Z15" s="31">
        <f>IFERROR(CEILING(ROUND(U15/(1-'Mi negocio'!$C$29),6),'Mi negocio'!$C$25),0)</f>
        <v/>
      </c>
      <c r="AA15" s="31">
        <f>IFERROR(CEILING(ROUND(U15/(1-'Mi negocio'!$C$30),6),'Mi negocio'!$C$25),0)</f>
        <v/>
      </c>
    </row>
    <row r="16">
      <c r="A16" t="n">
        <v>12</v>
      </c>
      <c r="B16" s="21" t="inlineStr">
        <is>
          <t>Antica Norcineria Toscana (Finocchiona IGP al Hinojo Silvestre, Capocollo Toscano, Pecorino Toscano DOP Stagionato y Caciotta)</t>
        </is>
      </c>
      <c r="C16" s="22" t="inlineStr">
        <is>
          <t>Cap. 9 · Italia: norcineria, alpes y mezzogiorno</t>
        </is>
      </c>
      <c r="D16" t="inlineStr">
        <is>
          <t>I</t>
        </is>
      </c>
      <c r="E16" t="inlineStr">
        <is>
          <t>D</t>
        </is>
      </c>
      <c r="F16" t="inlineStr">
        <is>
          <t>T</t>
        </is>
      </c>
      <c r="G16" t="inlineStr">
        <is>
          <t>tabla</t>
        </is>
      </c>
      <c r="H16" s="16" t="n">
        <v>1</v>
      </c>
      <c r="I16" s="17">
        <f>SUMIF(Ingredientes!$A$5:$A$530,A16,Ingredientes!$I$5:$I$530)</f>
        <v/>
      </c>
      <c r="J16" s="17">
        <f>IFERROR(I16/H16,0)</f>
        <v/>
      </c>
      <c r="K16" s="11" t="n">
        <v>19.5</v>
      </c>
      <c r="L16" s="17">
        <f>'Mi negocio'!$C$34</f>
        <v/>
      </c>
      <c r="M16" s="11" t="n">
        <v>2.6</v>
      </c>
      <c r="N16" s="16" t="n">
        <v>55</v>
      </c>
      <c r="O16" s="16" t="n">
        <v>18</v>
      </c>
      <c r="P16" s="17">
        <f>IFERROR((N16/MAX(1,'Mi negocio'!$C$26)+O16)/60*'Mi negocio'!$C$23,0)</f>
        <v/>
      </c>
      <c r="Q16" s="17">
        <f>'Mi negocio'!$C$20</f>
        <v/>
      </c>
      <c r="R16" s="17">
        <f>J16+K16+L16+M16+P16+Q16</f>
        <v/>
      </c>
      <c r="S16" s="27" t="n"/>
      <c r="T16" s="29">
        <f>IF(S16="",'Mi negocio'!$C$24,S16)</f>
        <v/>
      </c>
      <c r="U16" s="30">
        <f>IFERROR(R16/(1-T16),0)</f>
        <v/>
      </c>
      <c r="V16" s="6" t="n">
        <v>6</v>
      </c>
      <c r="W16" s="17">
        <f>IFERROR(U16/MAX(1,V16),0)</f>
        <v/>
      </c>
      <c r="X16" s="31">
        <f>IFERROR(CEILING(ROUND(U16/(1-'Mi negocio'!$C$27),6),'Mi negocio'!$C$25),0)</f>
        <v/>
      </c>
      <c r="Y16" s="31">
        <f>IFERROR(CEILING(ROUND(U16/(1-'Mi negocio'!$C$28),6),'Mi negocio'!$C$25),0)</f>
        <v/>
      </c>
      <c r="Z16" s="31">
        <f>IFERROR(CEILING(ROUND(U16/(1-'Mi negocio'!$C$29),6),'Mi negocio'!$C$25),0)</f>
        <v/>
      </c>
      <c r="AA16" s="31">
        <f>IFERROR(CEILING(ROUND(U16/(1-'Mi negocio'!$C$30),6),'Mi negocio'!$C$25),0)</f>
        <v/>
      </c>
    </row>
    <row r="17">
      <c r="A17" t="n">
        <v>13</v>
      </c>
      <c r="B17" s="21" t="inlineStr">
        <is>
          <t>Alpi &amp; Dolomitas del Norte (Speck dell'Alto Adige IGP, Bresaola della Valtellina IGP, Fontina DOP y Asiago Mezzano DOP)</t>
        </is>
      </c>
      <c r="C17" s="22" t="inlineStr">
        <is>
          <t>Cap. 9 · Italia: norcineria, alpes y mezzogiorno</t>
        </is>
      </c>
      <c r="D17" t="inlineStr">
        <is>
          <t>I</t>
        </is>
      </c>
      <c r="E17" t="inlineStr">
        <is>
          <t>P</t>
        </is>
      </c>
      <c r="F17" t="inlineStr">
        <is>
          <t>T</t>
        </is>
      </c>
      <c r="G17" t="inlineStr">
        <is>
          <t>tabla</t>
        </is>
      </c>
      <c r="H17" s="16" t="n">
        <v>1</v>
      </c>
      <c r="I17" s="17">
        <f>SUMIF(Ingredientes!$A$5:$A$530,A17,Ingredientes!$I$5:$I$530)</f>
        <v/>
      </c>
      <c r="J17" s="17">
        <f>IFERROR(I17/H17,0)</f>
        <v/>
      </c>
      <c r="K17" s="11" t="n">
        <v>19.5</v>
      </c>
      <c r="L17" s="17">
        <f>'Mi negocio'!$C$34</f>
        <v/>
      </c>
      <c r="M17" s="11" t="n">
        <v>2.6</v>
      </c>
      <c r="N17" s="16" t="n">
        <v>55</v>
      </c>
      <c r="O17" s="16" t="n">
        <v>18</v>
      </c>
      <c r="P17" s="17">
        <f>IFERROR((N17/MAX(1,'Mi negocio'!$C$26)+O17)/60*'Mi negocio'!$C$23,0)</f>
        <v/>
      </c>
      <c r="Q17" s="17">
        <f>'Mi negocio'!$C$20</f>
        <v/>
      </c>
      <c r="R17" s="17">
        <f>J17+K17+L17+M17+P17+Q17</f>
        <v/>
      </c>
      <c r="S17" s="27" t="n"/>
      <c r="T17" s="29">
        <f>IF(S17="",'Mi negocio'!$C$24,S17)</f>
        <v/>
      </c>
      <c r="U17" s="30">
        <f>IFERROR(R17/(1-T17),0)</f>
        <v/>
      </c>
      <c r="V17" s="6" t="n">
        <v>6</v>
      </c>
      <c r="W17" s="17">
        <f>IFERROR(U17/MAX(1,V17),0)</f>
        <v/>
      </c>
      <c r="X17" s="31">
        <f>IFERROR(CEILING(ROUND(U17/(1-'Mi negocio'!$C$27),6),'Mi negocio'!$C$25),0)</f>
        <v/>
      </c>
      <c r="Y17" s="31">
        <f>IFERROR(CEILING(ROUND(U17/(1-'Mi negocio'!$C$28),6),'Mi negocio'!$C$25),0)</f>
        <v/>
      </c>
      <c r="Z17" s="31">
        <f>IFERROR(CEILING(ROUND(U17/(1-'Mi negocio'!$C$29),6),'Mi negocio'!$C$25),0)</f>
        <v/>
      </c>
      <c r="AA17" s="31">
        <f>IFERROR(CEILING(ROUND(U17/(1-'Mi negocio'!$C$30),6),'Mi negocio'!$C$25),0)</f>
        <v/>
      </c>
    </row>
    <row r="18">
      <c r="A18" t="n">
        <v>14</v>
      </c>
      <c r="B18" s="21" t="inlineStr">
        <is>
          <t>Mezzogiorno &amp; Piccante del Sur (Nduja di Spilinga, Soppressata di Calabria DOP, Caciocavallo Silano DOP y Provola Affumicata)</t>
        </is>
      </c>
      <c r="C18" s="22" t="inlineStr">
        <is>
          <t>Cap. 9 · Italia: norcineria, alpes y mezzogiorno</t>
        </is>
      </c>
      <c r="D18" t="inlineStr">
        <is>
          <t>I</t>
        </is>
      </c>
      <c r="E18" t="inlineStr">
        <is>
          <t>H</t>
        </is>
      </c>
      <c r="F18" t="inlineStr">
        <is>
          <t>M</t>
        </is>
      </c>
      <c r="G18" t="inlineStr">
        <is>
          <t>tabla</t>
        </is>
      </c>
      <c r="H18" s="16" t="n">
        <v>1</v>
      </c>
      <c r="I18" s="17">
        <f>SUMIF(Ingredientes!$A$5:$A$530,A18,Ingredientes!$I$5:$I$530)</f>
        <v/>
      </c>
      <c r="J18" s="17">
        <f>IFERROR(I18/H18,0)</f>
        <v/>
      </c>
      <c r="K18" s="11" t="n">
        <v>19.5</v>
      </c>
      <c r="L18" s="17">
        <f>'Mi negocio'!$C$34</f>
        <v/>
      </c>
      <c r="M18" s="11" t="n">
        <v>2.6</v>
      </c>
      <c r="N18" s="16" t="n">
        <v>55</v>
      </c>
      <c r="O18" s="16" t="n">
        <v>18</v>
      </c>
      <c r="P18" s="17">
        <f>IFERROR((N18/MAX(1,'Mi negocio'!$C$26)+O18)/60*'Mi negocio'!$C$23,0)</f>
        <v/>
      </c>
      <c r="Q18" s="17">
        <f>'Mi negocio'!$C$20</f>
        <v/>
      </c>
      <c r="R18" s="17">
        <f>J18+K18+L18+M18+P18+Q18</f>
        <v/>
      </c>
      <c r="S18" s="27" t="n"/>
      <c r="T18" s="29">
        <f>IF(S18="",'Mi negocio'!$C$24,S18)</f>
        <v/>
      </c>
      <c r="U18" s="30">
        <f>IFERROR(R18/(1-T18),0)</f>
        <v/>
      </c>
      <c r="V18" s="6" t="n">
        <v>6</v>
      </c>
      <c r="W18" s="17">
        <f>IFERROR(U18/MAX(1,V18),0)</f>
        <v/>
      </c>
      <c r="X18" s="31">
        <f>IFERROR(CEILING(ROUND(U18/(1-'Mi negocio'!$C$27),6),'Mi negocio'!$C$25),0)</f>
        <v/>
      </c>
      <c r="Y18" s="31">
        <f>IFERROR(CEILING(ROUND(U18/(1-'Mi negocio'!$C$28),6),'Mi negocio'!$C$25),0)</f>
        <v/>
      </c>
      <c r="Z18" s="31">
        <f>IFERROR(CEILING(ROUND(U18/(1-'Mi negocio'!$C$29),6),'Mi negocio'!$C$25),0)</f>
        <v/>
      </c>
      <c r="AA18" s="31">
        <f>IFERROR(CEILING(ROUND(U18/(1-'Mi negocio'!$C$30),6),'Mi negocio'!$C$25),0)</f>
        <v/>
      </c>
    </row>
    <row r="19">
      <c r="A19" t="n">
        <v>15</v>
      </c>
      <c r="B19" s="21" t="inlineStr">
        <is>
          <t>Piamonte &amp; Langhe Trufada (Salame al Barolo, Lardo di Colonnata IGP, Castelmagno DOP de Cueva y Robiola di Roccaverano DOP)</t>
        </is>
      </c>
      <c r="C19" s="22" t="inlineStr">
        <is>
          <t>Cap. 9 · Italia: norcineria, alpes y mezzogiorno</t>
        </is>
      </c>
      <c r="D19" t="inlineStr">
        <is>
          <t>I</t>
        </is>
      </c>
      <c r="E19" t="inlineStr">
        <is>
          <t>D</t>
        </is>
      </c>
      <c r="F19" t="inlineStr">
        <is>
          <t>E</t>
        </is>
      </c>
      <c r="G19" t="inlineStr">
        <is>
          <t>tabla</t>
        </is>
      </c>
      <c r="H19" s="16" t="n">
        <v>1</v>
      </c>
      <c r="I19" s="17">
        <f>SUMIF(Ingredientes!$A$5:$A$530,A19,Ingredientes!$I$5:$I$530)</f>
        <v/>
      </c>
      <c r="J19" s="17">
        <f>IFERROR(I19/H19,0)</f>
        <v/>
      </c>
      <c r="K19" s="11" t="n">
        <v>19.5</v>
      </c>
      <c r="L19" s="17">
        <f>'Mi negocio'!$C$34</f>
        <v/>
      </c>
      <c r="M19" s="11" t="n">
        <v>3.4</v>
      </c>
      <c r="N19" s="16" t="n">
        <v>60</v>
      </c>
      <c r="O19" s="16" t="n">
        <v>22</v>
      </c>
      <c r="P19" s="17">
        <f>IFERROR((N19/MAX(1,'Mi negocio'!$C$26)+O19)/60*'Mi negocio'!$C$23,0)</f>
        <v/>
      </c>
      <c r="Q19" s="17">
        <f>'Mi negocio'!$C$20</f>
        <v/>
      </c>
      <c r="R19" s="17">
        <f>J19+K19+L19+M19+P19+Q19</f>
        <v/>
      </c>
      <c r="S19" s="27" t="n"/>
      <c r="T19" s="29">
        <f>IF(S19="",'Mi negocio'!$C$24,S19)</f>
        <v/>
      </c>
      <c r="U19" s="30">
        <f>IFERROR(R19/(1-T19),0)</f>
        <v/>
      </c>
      <c r="V19" s="6" t="n">
        <v>6</v>
      </c>
      <c r="W19" s="17">
        <f>IFERROR(U19/MAX(1,V19),0)</f>
        <v/>
      </c>
      <c r="X19" s="31">
        <f>IFERROR(CEILING(ROUND(U19/(1-'Mi negocio'!$C$27),6),'Mi negocio'!$C$25),0)</f>
        <v/>
      </c>
      <c r="Y19" s="31">
        <f>IFERROR(CEILING(ROUND(U19/(1-'Mi negocio'!$C$28),6),'Mi negocio'!$C$25),0)</f>
        <v/>
      </c>
      <c r="Z19" s="31">
        <f>IFERROR(CEILING(ROUND(U19/(1-'Mi negocio'!$C$29),6),'Mi negocio'!$C$25),0)</f>
        <v/>
      </c>
      <c r="AA19" s="31">
        <f>IFERROR(CEILING(ROUND(U19/(1-'Mi negocio'!$C$30),6),'Mi negocio'!$C$25),0)</f>
        <v/>
      </c>
    </row>
    <row r="20">
      <c r="A20" t="n">
        <v>16</v>
      </c>
      <c r="B20" s="21" t="inlineStr">
        <is>
          <t>Val Padana &amp; Valles Verdes (Coppa Piacentina DOP, Pancetta Piacentina Arrotolata DOP, Grana Padano DOP 20 Meses y Taleggio DOP)</t>
        </is>
      </c>
      <c r="C20" s="22" t="inlineStr">
        <is>
          <t>Cap. 9 · Italia: norcineria, alpes y mezzogiorno</t>
        </is>
      </c>
      <c r="D20" t="inlineStr">
        <is>
          <t>I</t>
        </is>
      </c>
      <c r="E20" t="inlineStr">
        <is>
          <t>D</t>
        </is>
      </c>
      <c r="F20" t="inlineStr">
        <is>
          <t>E</t>
        </is>
      </c>
      <c r="G20" t="inlineStr">
        <is>
          <t>tabla</t>
        </is>
      </c>
      <c r="H20" s="16" t="n">
        <v>1</v>
      </c>
      <c r="I20" s="17">
        <f>SUMIF(Ingredientes!$A$5:$A$530,A20,Ingredientes!$I$5:$I$530)</f>
        <v/>
      </c>
      <c r="J20" s="17">
        <f>IFERROR(I20/H20,0)</f>
        <v/>
      </c>
      <c r="K20" s="11" t="n">
        <v>19.5</v>
      </c>
      <c r="L20" s="17">
        <f>'Mi negocio'!$C$34</f>
        <v/>
      </c>
      <c r="M20" s="11" t="n">
        <v>2.6</v>
      </c>
      <c r="N20" s="16" t="n">
        <v>55</v>
      </c>
      <c r="O20" s="16" t="n">
        <v>18</v>
      </c>
      <c r="P20" s="17">
        <f>IFERROR((N20/MAX(1,'Mi negocio'!$C$26)+O20)/60*'Mi negocio'!$C$23,0)</f>
        <v/>
      </c>
      <c r="Q20" s="17">
        <f>'Mi negocio'!$C$20</f>
        <v/>
      </c>
      <c r="R20" s="17">
        <f>J20+K20+L20+M20+P20+Q20</f>
        <v/>
      </c>
      <c r="S20" s="27" t="n"/>
      <c r="T20" s="29">
        <f>IF(S20="",'Mi negocio'!$C$24,S20)</f>
        <v/>
      </c>
      <c r="U20" s="30">
        <f>IFERROR(R20/(1-T20),0)</f>
        <v/>
      </c>
      <c r="V20" s="6" t="n">
        <v>6</v>
      </c>
      <c r="W20" s="17">
        <f>IFERROR(U20/MAX(1,V20),0)</f>
        <v/>
      </c>
      <c r="X20" s="31">
        <f>IFERROR(CEILING(ROUND(U20/(1-'Mi negocio'!$C$27),6),'Mi negocio'!$C$25),0)</f>
        <v/>
      </c>
      <c r="Y20" s="31">
        <f>IFERROR(CEILING(ROUND(U20/(1-'Mi negocio'!$C$28),6),'Mi negocio'!$C$25),0)</f>
        <v/>
      </c>
      <c r="Z20" s="31">
        <f>IFERROR(CEILING(ROUND(U20/(1-'Mi negocio'!$C$29),6),'Mi negocio'!$C$25),0)</f>
        <v/>
      </c>
      <c r="AA20" s="31">
        <f>IFERROR(CEILING(ROUND(U20/(1-'Mi negocio'!$C$30),6),'Mi negocio'!$C$25),0)</f>
        <v/>
      </c>
    </row>
    <row r="21">
      <c r="A21" t="n">
        <v>17</v>
      </c>
      <c r="B21" s="21" t="inlineStr">
        <is>
          <t>Campania &amp; Tradición Volcánica (Salame Napoletano, Cicoli Tradizionali, Mozzarella di Bufala Campana DOP y Provolone del Monaco DOP)</t>
        </is>
      </c>
      <c r="C21" s="22" t="inlineStr">
        <is>
          <t>Cap. 9 · Italia: norcineria, alpes y mezzogiorno</t>
        </is>
      </c>
      <c r="D21" t="inlineStr">
        <is>
          <t>I</t>
        </is>
      </c>
      <c r="E21" t="inlineStr">
        <is>
          <t>H</t>
        </is>
      </c>
      <c r="F21" t="inlineStr">
        <is>
          <t>E</t>
        </is>
      </c>
      <c r="G21" t="inlineStr">
        <is>
          <t>tabla</t>
        </is>
      </c>
      <c r="H21" s="16" t="n">
        <v>1</v>
      </c>
      <c r="I21" s="17">
        <f>SUMIF(Ingredientes!$A$5:$A$530,A21,Ingredientes!$I$5:$I$530)</f>
        <v/>
      </c>
      <c r="J21" s="17">
        <f>IFERROR(I21/H21,0)</f>
        <v/>
      </c>
      <c r="K21" s="11" t="n">
        <v>19.5</v>
      </c>
      <c r="L21" s="17">
        <f>'Mi negocio'!$C$34</f>
        <v/>
      </c>
      <c r="M21" s="11" t="n">
        <v>2.6</v>
      </c>
      <c r="N21" s="16" t="n">
        <v>55</v>
      </c>
      <c r="O21" s="16" t="n">
        <v>18</v>
      </c>
      <c r="P21" s="17">
        <f>IFERROR((N21/MAX(1,'Mi negocio'!$C$26)+O21)/60*'Mi negocio'!$C$23,0)</f>
        <v/>
      </c>
      <c r="Q21" s="17">
        <f>'Mi negocio'!$C$20</f>
        <v/>
      </c>
      <c r="R21" s="17">
        <f>J21+K21+L21+M21+P21+Q21</f>
        <v/>
      </c>
      <c r="S21" s="27" t="n"/>
      <c r="T21" s="29">
        <f>IF(S21="",'Mi negocio'!$C$24,S21)</f>
        <v/>
      </c>
      <c r="U21" s="30">
        <f>IFERROR(R21/(1-T21),0)</f>
        <v/>
      </c>
      <c r="V21" s="6" t="n">
        <v>6</v>
      </c>
      <c r="W21" s="17">
        <f>IFERROR(U21/MAX(1,V21),0)</f>
        <v/>
      </c>
      <c r="X21" s="31">
        <f>IFERROR(CEILING(ROUND(U21/(1-'Mi negocio'!$C$27),6),'Mi negocio'!$C$25),0)</f>
        <v/>
      </c>
      <c r="Y21" s="31">
        <f>IFERROR(CEILING(ROUND(U21/(1-'Mi negocio'!$C$28),6),'Mi negocio'!$C$25),0)</f>
        <v/>
      </c>
      <c r="Z21" s="31">
        <f>IFERROR(CEILING(ROUND(U21/(1-'Mi negocio'!$C$29),6),'Mi negocio'!$C$25),0)</f>
        <v/>
      </c>
      <c r="AA21" s="31">
        <f>IFERROR(CEILING(ROUND(U21/(1-'Mi negocio'!$C$30),6),'Mi negocio'!$C$25),0)</f>
        <v/>
      </c>
    </row>
    <row r="22">
      <c r="A22" t="n">
        <v>18</v>
      </c>
      <c r="B22" s="21" t="inlineStr">
        <is>
          <t>Cerdeña Pastoral (Prosciutto di Pecora, Salsiccia Sarda al Anís, Pecorino Sardo Maturo DOP y Fiore Sardo DOP de Fuego)</t>
        </is>
      </c>
      <c r="C22" s="22" t="inlineStr">
        <is>
          <t>Cap. 9 · Italia: norcineria, alpes y mezzogiorno</t>
        </is>
      </c>
      <c r="D22" t="inlineStr">
        <is>
          <t>I</t>
        </is>
      </c>
      <c r="E22" t="inlineStr">
        <is>
          <t>D</t>
        </is>
      </c>
      <c r="F22" t="inlineStr">
        <is>
          <t>T</t>
        </is>
      </c>
      <c r="G22" t="inlineStr">
        <is>
          <t>tabla</t>
        </is>
      </c>
      <c r="H22" s="16" t="n">
        <v>1</v>
      </c>
      <c r="I22" s="17">
        <f>SUMIF(Ingredientes!$A$5:$A$530,A22,Ingredientes!$I$5:$I$530)</f>
        <v/>
      </c>
      <c r="J22" s="17">
        <f>IFERROR(I22/H22,0)</f>
        <v/>
      </c>
      <c r="K22" s="11" t="n">
        <v>19.5</v>
      </c>
      <c r="L22" s="17">
        <f>'Mi negocio'!$C$34</f>
        <v/>
      </c>
      <c r="M22" s="11" t="n">
        <v>2.6</v>
      </c>
      <c r="N22" s="16" t="n">
        <v>55</v>
      </c>
      <c r="O22" s="16" t="n">
        <v>18</v>
      </c>
      <c r="P22" s="17">
        <f>IFERROR((N22/MAX(1,'Mi negocio'!$C$26)+O22)/60*'Mi negocio'!$C$23,0)</f>
        <v/>
      </c>
      <c r="Q22" s="17">
        <f>'Mi negocio'!$C$20</f>
        <v/>
      </c>
      <c r="R22" s="17">
        <f>J22+K22+L22+M22+P22+Q22</f>
        <v/>
      </c>
      <c r="S22" s="27" t="n"/>
      <c r="T22" s="29">
        <f>IF(S22="",'Mi negocio'!$C$24,S22)</f>
        <v/>
      </c>
      <c r="U22" s="30">
        <f>IFERROR(R22/(1-T22),0)</f>
        <v/>
      </c>
      <c r="V22" s="6" t="n">
        <v>6</v>
      </c>
      <c r="W22" s="17">
        <f>IFERROR(U22/MAX(1,V22),0)</f>
        <v/>
      </c>
      <c r="X22" s="31">
        <f>IFERROR(CEILING(ROUND(U22/(1-'Mi negocio'!$C$27),6),'Mi negocio'!$C$25),0)</f>
        <v/>
      </c>
      <c r="Y22" s="31">
        <f>IFERROR(CEILING(ROUND(U22/(1-'Mi negocio'!$C$28),6),'Mi negocio'!$C$25),0)</f>
        <v/>
      </c>
      <c r="Z22" s="31">
        <f>IFERROR(CEILING(ROUND(U22/(1-'Mi negocio'!$C$29),6),'Mi negocio'!$C$25),0)</f>
        <v/>
      </c>
      <c r="AA22" s="31">
        <f>IFERROR(CEILING(ROUND(U22/(1-'Mi negocio'!$C$30),6),'Mi negocio'!$C$25),0)</f>
        <v/>
      </c>
    </row>
    <row r="23">
      <c r="A23" t="n">
        <v>19</v>
      </c>
      <c r="B23" s="21" t="inlineStr">
        <is>
          <t>Veneto &amp; Terruño Histórico (Culatello di Zibello DOP, Soppressa Vicentina DOP, Piave DOP Vecchio y Montasio DOP Stagionato)</t>
        </is>
      </c>
      <c r="C23" s="22" t="inlineStr">
        <is>
          <t>Cap. 9 · Italia: norcineria, alpes y mezzogiorno</t>
        </is>
      </c>
      <c r="D23" t="inlineStr">
        <is>
          <t>I</t>
        </is>
      </c>
      <c r="E23" t="inlineStr">
        <is>
          <t>D</t>
        </is>
      </c>
      <c r="F23" t="inlineStr">
        <is>
          <t>T</t>
        </is>
      </c>
      <c r="G23" t="inlineStr">
        <is>
          <t>tabla</t>
        </is>
      </c>
      <c r="H23" s="16" t="n">
        <v>1</v>
      </c>
      <c r="I23" s="17">
        <f>SUMIF(Ingredientes!$A$5:$A$530,A23,Ingredientes!$I$5:$I$530)</f>
        <v/>
      </c>
      <c r="J23" s="17">
        <f>IFERROR(I23/H23,0)</f>
        <v/>
      </c>
      <c r="K23" s="11" t="n">
        <v>19.5</v>
      </c>
      <c r="L23" s="17">
        <f>'Mi negocio'!$C$34</f>
        <v/>
      </c>
      <c r="M23" s="11" t="n">
        <v>3.4</v>
      </c>
      <c r="N23" s="16" t="n">
        <v>60</v>
      </c>
      <c r="O23" s="16" t="n">
        <v>20</v>
      </c>
      <c r="P23" s="17">
        <f>IFERROR((N23/MAX(1,'Mi negocio'!$C$26)+O23)/60*'Mi negocio'!$C$23,0)</f>
        <v/>
      </c>
      <c r="Q23" s="17">
        <f>'Mi negocio'!$C$20</f>
        <v/>
      </c>
      <c r="R23" s="17">
        <f>J23+K23+L23+M23+P23+Q23</f>
        <v/>
      </c>
      <c r="S23" s="27" t="n"/>
      <c r="T23" s="29">
        <f>IF(S23="",'Mi negocio'!$C$24,S23)</f>
        <v/>
      </c>
      <c r="U23" s="30">
        <f>IFERROR(R23/(1-T23),0)</f>
        <v/>
      </c>
      <c r="V23" s="6" t="n">
        <v>6</v>
      </c>
      <c r="W23" s="17">
        <f>IFERROR(U23/MAX(1,V23),0)</f>
        <v/>
      </c>
      <c r="X23" s="31">
        <f>IFERROR(CEILING(ROUND(U23/(1-'Mi negocio'!$C$27),6),'Mi negocio'!$C$25),0)</f>
        <v/>
      </c>
      <c r="Y23" s="31">
        <f>IFERROR(CEILING(ROUND(U23/(1-'Mi negocio'!$C$28),6),'Mi negocio'!$C$25),0)</f>
        <v/>
      </c>
      <c r="Z23" s="31">
        <f>IFERROR(CEILING(ROUND(U23/(1-'Mi negocio'!$C$29),6),'Mi negocio'!$C$25),0)</f>
        <v/>
      </c>
      <c r="AA23" s="31">
        <f>IFERROR(CEILING(ROUND(U23/(1-'Mi negocio'!$C$30),6),'Mi negocio'!$C$25),0)</f>
        <v/>
      </c>
    </row>
    <row r="24">
      <c r="A24" t="n">
        <v>20</v>
      </c>
      <c r="B24" s="21" t="inlineStr">
        <is>
          <t>Aperitivo Moderno di Milano (Salame Milano Tradizionale, Bresaola de Wagyu al Romero, Gorgonzola Dolce DOP y Grissini Torinesi)</t>
        </is>
      </c>
      <c r="C24" s="22" t="inlineStr">
        <is>
          <t>Cap. 9 · Italia: norcineria, alpes y mezzogiorno</t>
        </is>
      </c>
      <c r="D24" t="inlineStr">
        <is>
          <t>I</t>
        </is>
      </c>
      <c r="E24" t="inlineStr">
        <is>
          <t>A</t>
        </is>
      </c>
      <c r="F24" t="inlineStr">
        <is>
          <t>E</t>
        </is>
      </c>
      <c r="G24" t="inlineStr">
        <is>
          <t>tabla</t>
        </is>
      </c>
      <c r="H24" s="16" t="n">
        <v>1</v>
      </c>
      <c r="I24" s="17">
        <f>SUMIF(Ingredientes!$A$5:$A$530,A24,Ingredientes!$I$5:$I$530)</f>
        <v/>
      </c>
      <c r="J24" s="17">
        <f>IFERROR(I24/H24,0)</f>
        <v/>
      </c>
      <c r="K24" s="11" t="n">
        <v>19.5</v>
      </c>
      <c r="L24" s="17">
        <f>'Mi negocio'!$C$34</f>
        <v/>
      </c>
      <c r="M24" s="11" t="n">
        <v>1.8</v>
      </c>
      <c r="N24" s="16" t="n">
        <v>50</v>
      </c>
      <c r="O24" s="16" t="n">
        <v>18</v>
      </c>
      <c r="P24" s="17">
        <f>IFERROR((N24/MAX(1,'Mi negocio'!$C$26)+O24)/60*'Mi negocio'!$C$23,0)</f>
        <v/>
      </c>
      <c r="Q24" s="17">
        <f>'Mi negocio'!$C$20</f>
        <v/>
      </c>
      <c r="R24" s="17">
        <f>J24+K24+L24+M24+P24+Q24</f>
        <v/>
      </c>
      <c r="S24" s="27" t="n"/>
      <c r="T24" s="29">
        <f>IF(S24="",'Mi negocio'!$C$24,S24)</f>
        <v/>
      </c>
      <c r="U24" s="30">
        <f>IFERROR(R24/(1-T24),0)</f>
        <v/>
      </c>
      <c r="V24" s="6" t="n">
        <v>6</v>
      </c>
      <c r="W24" s="17">
        <f>IFERROR(U24/MAX(1,V24),0)</f>
        <v/>
      </c>
      <c r="X24" s="31">
        <f>IFERROR(CEILING(ROUND(U24/(1-'Mi negocio'!$C$27),6),'Mi negocio'!$C$25),0)</f>
        <v/>
      </c>
      <c r="Y24" s="31">
        <f>IFERROR(CEILING(ROUND(U24/(1-'Mi negocio'!$C$28),6),'Mi negocio'!$C$25),0)</f>
        <v/>
      </c>
      <c r="Z24" s="31">
        <f>IFERROR(CEILING(ROUND(U24/(1-'Mi negocio'!$C$29),6),'Mi negocio'!$C$25),0)</f>
        <v/>
      </c>
      <c r="AA24" s="31">
        <f>IFERROR(CEILING(ROUND(U24/(1-'Mi negocio'!$C$30),6),'Mi negocio'!$C$25),0)</f>
        <v/>
      </c>
    </row>
    <row r="25">
      <c r="A25" t="n">
        <v>21</v>
      </c>
      <c r="B25" s="21" t="inlineStr">
        <is>
          <t>Plateau Royal de Terroir (Jambon de Bayonne IGP, Saucisson Sec d'Auvergne, Comté AOP 24 Mois y Camembert de Normandie AOP)</t>
        </is>
      </c>
      <c r="C25" s="22" t="inlineStr">
        <is>
          <t>Cap. 10 · Francia: terroir, AOP y quesos de cueva</t>
        </is>
      </c>
      <c r="D25" t="inlineStr">
        <is>
          <t>F</t>
        </is>
      </c>
      <c r="E25" t="inlineStr">
        <is>
          <t>D</t>
        </is>
      </c>
      <c r="F25" t="inlineStr">
        <is>
          <t>E</t>
        </is>
      </c>
      <c r="G25" t="inlineStr">
        <is>
          <t>tabla</t>
        </is>
      </c>
      <c r="H25" s="16" t="n">
        <v>1</v>
      </c>
      <c r="I25" s="17">
        <f>SUMIF(Ingredientes!$A$5:$A$530,A25,Ingredientes!$I$5:$I$530)</f>
        <v/>
      </c>
      <c r="J25" s="17">
        <f>IFERROR(I25/H25,0)</f>
        <v/>
      </c>
      <c r="K25" s="11" t="n">
        <v>19.5</v>
      </c>
      <c r="L25" s="17">
        <f>'Mi negocio'!$C$34</f>
        <v/>
      </c>
      <c r="M25" s="11" t="n">
        <v>3.4</v>
      </c>
      <c r="N25" s="16" t="n">
        <v>60</v>
      </c>
      <c r="O25" s="16" t="n">
        <v>20</v>
      </c>
      <c r="P25" s="17">
        <f>IFERROR((N25/MAX(1,'Mi negocio'!$C$26)+O25)/60*'Mi negocio'!$C$23,0)</f>
        <v/>
      </c>
      <c r="Q25" s="17">
        <f>'Mi negocio'!$C$20</f>
        <v/>
      </c>
      <c r="R25" s="17">
        <f>J25+K25+L25+M25+P25+Q25</f>
        <v/>
      </c>
      <c r="S25" s="27" t="n"/>
      <c r="T25" s="29">
        <f>IF(S25="",'Mi negocio'!$C$24,S25)</f>
        <v/>
      </c>
      <c r="U25" s="30">
        <f>IFERROR(R25/(1-T25),0)</f>
        <v/>
      </c>
      <c r="V25" s="6" t="n">
        <v>6</v>
      </c>
      <c r="W25" s="17">
        <f>IFERROR(U25/MAX(1,V25),0)</f>
        <v/>
      </c>
      <c r="X25" s="31">
        <f>IFERROR(CEILING(ROUND(U25/(1-'Mi negocio'!$C$27),6),'Mi negocio'!$C$25),0)</f>
        <v/>
      </c>
      <c r="Y25" s="31">
        <f>IFERROR(CEILING(ROUND(U25/(1-'Mi negocio'!$C$28),6),'Mi negocio'!$C$25),0)</f>
        <v/>
      </c>
      <c r="Z25" s="31">
        <f>IFERROR(CEILING(ROUND(U25/(1-'Mi negocio'!$C$29),6),'Mi negocio'!$C$25),0)</f>
        <v/>
      </c>
      <c r="AA25" s="31">
        <f>IFERROR(CEILING(ROUND(U25/(1-'Mi negocio'!$C$30),6),'Mi negocio'!$C$25),0)</f>
        <v/>
      </c>
    </row>
    <row r="26">
      <c r="A26" t="n">
        <v>22</v>
      </c>
      <c r="B26" s="21" t="inlineStr">
        <is>
          <t>Tour de France de Pâtes Molles (Brie de Meaux AOP, Reblochon de Savoie AOP, Rosette de Lyon y Rillettes de Tours IGP)</t>
        </is>
      </c>
      <c r="C26" s="22" t="inlineStr">
        <is>
          <t>Cap. 10 · Francia: terroir, AOP y quesos de cueva</t>
        </is>
      </c>
      <c r="D26" t="inlineStr">
        <is>
          <t>F</t>
        </is>
      </c>
      <c r="E26" t="inlineStr">
        <is>
          <t>B</t>
        </is>
      </c>
      <c r="F26" t="inlineStr">
        <is>
          <t>E</t>
        </is>
      </c>
      <c r="G26" t="inlineStr">
        <is>
          <t>tabla</t>
        </is>
      </c>
      <c r="H26" s="16" t="n">
        <v>1</v>
      </c>
      <c r="I26" s="17">
        <f>SUMIF(Ingredientes!$A$5:$A$530,A26,Ingredientes!$I$5:$I$530)</f>
        <v/>
      </c>
      <c r="J26" s="17">
        <f>IFERROR(I26/H26,0)</f>
        <v/>
      </c>
      <c r="K26" s="11" t="n">
        <v>19.5</v>
      </c>
      <c r="L26" s="17">
        <f>'Mi negocio'!$C$34</f>
        <v/>
      </c>
      <c r="M26" s="11" t="n">
        <v>3.4</v>
      </c>
      <c r="N26" s="16" t="n">
        <v>55</v>
      </c>
      <c r="O26" s="16" t="n">
        <v>20</v>
      </c>
      <c r="P26" s="17">
        <f>IFERROR((N26/MAX(1,'Mi negocio'!$C$26)+O26)/60*'Mi negocio'!$C$23,0)</f>
        <v/>
      </c>
      <c r="Q26" s="17">
        <f>'Mi negocio'!$C$20</f>
        <v/>
      </c>
      <c r="R26" s="17">
        <f>J26+K26+L26+M26+P26+Q26</f>
        <v/>
      </c>
      <c r="S26" s="27" t="n"/>
      <c r="T26" s="29">
        <f>IF(S26="",'Mi negocio'!$C$24,S26)</f>
        <v/>
      </c>
      <c r="U26" s="30">
        <f>IFERROR(R26/(1-T26),0)</f>
        <v/>
      </c>
      <c r="V26" s="6" t="n">
        <v>6</v>
      </c>
      <c r="W26" s="17">
        <f>IFERROR(U26/MAX(1,V26),0)</f>
        <v/>
      </c>
      <c r="X26" s="31">
        <f>IFERROR(CEILING(ROUND(U26/(1-'Mi negocio'!$C$27),6),'Mi negocio'!$C$25),0)</f>
        <v/>
      </c>
      <c r="Y26" s="31">
        <f>IFERROR(CEILING(ROUND(U26/(1-'Mi negocio'!$C$28),6),'Mi negocio'!$C$25),0)</f>
        <v/>
      </c>
      <c r="Z26" s="31">
        <f>IFERROR(CEILING(ROUND(U26/(1-'Mi negocio'!$C$29),6),'Mi negocio'!$C$25),0)</f>
        <v/>
      </c>
      <c r="AA26" s="31">
        <f>IFERROR(CEILING(ROUND(U26/(1-'Mi negocio'!$C$30),6),'Mi negocio'!$C$25),0)</f>
        <v/>
      </c>
    </row>
    <row r="27">
      <c r="A27" t="n">
        <v>23</v>
      </c>
      <c r="B27" s="21" t="inlineStr">
        <is>
          <t>Sud-Ouest &amp; Confiture Noble (Pâté de Campagne au Foie Gras, Jambon Noir de Bigorre AOP, Roquefort AOP y Ossau-Iraty AOP)</t>
        </is>
      </c>
      <c r="C27" s="22" t="inlineStr">
        <is>
          <t>Cap. 10 · Francia: terroir, AOP y quesos de cueva</t>
        </is>
      </c>
      <c r="D27" t="inlineStr">
        <is>
          <t>F</t>
        </is>
      </c>
      <c r="E27" t="inlineStr">
        <is>
          <t>D</t>
        </is>
      </c>
      <c r="F27" t="inlineStr">
        <is>
          <t>E</t>
        </is>
      </c>
      <c r="G27" t="inlineStr">
        <is>
          <t>tabla</t>
        </is>
      </c>
      <c r="H27" s="16" t="n">
        <v>1</v>
      </c>
      <c r="I27" s="17">
        <f>SUMIF(Ingredientes!$A$5:$A$530,A27,Ingredientes!$I$5:$I$530)</f>
        <v/>
      </c>
      <c r="J27" s="17">
        <f>IFERROR(I27/H27,0)</f>
        <v/>
      </c>
      <c r="K27" s="11" t="n">
        <v>19.5</v>
      </c>
      <c r="L27" s="17">
        <f>'Mi negocio'!$C$34</f>
        <v/>
      </c>
      <c r="M27" s="11" t="n">
        <v>3.4</v>
      </c>
      <c r="N27" s="16" t="n">
        <v>60</v>
      </c>
      <c r="O27" s="16" t="n">
        <v>20</v>
      </c>
      <c r="P27" s="17">
        <f>IFERROR((N27/MAX(1,'Mi negocio'!$C$26)+O27)/60*'Mi negocio'!$C$23,0)</f>
        <v/>
      </c>
      <c r="Q27" s="17">
        <f>'Mi negocio'!$C$20</f>
        <v/>
      </c>
      <c r="R27" s="17">
        <f>J27+K27+L27+M27+P27+Q27</f>
        <v/>
      </c>
      <c r="S27" s="27" t="n"/>
      <c r="T27" s="29">
        <f>IF(S27="",'Mi negocio'!$C$24,S27)</f>
        <v/>
      </c>
      <c r="U27" s="30">
        <f>IFERROR(R27/(1-T27),0)</f>
        <v/>
      </c>
      <c r="V27" s="6" t="n">
        <v>6</v>
      </c>
      <c r="W27" s="17">
        <f>IFERROR(U27/MAX(1,V27),0)</f>
        <v/>
      </c>
      <c r="X27" s="31">
        <f>IFERROR(CEILING(ROUND(U27/(1-'Mi negocio'!$C$27),6),'Mi negocio'!$C$25),0)</f>
        <v/>
      </c>
      <c r="Y27" s="31">
        <f>IFERROR(CEILING(ROUND(U27/(1-'Mi negocio'!$C$28),6),'Mi negocio'!$C$25),0)</f>
        <v/>
      </c>
      <c r="Z27" s="31">
        <f>IFERROR(CEILING(ROUND(U27/(1-'Mi negocio'!$C$29),6),'Mi negocio'!$C$25),0)</f>
        <v/>
      </c>
      <c r="AA27" s="31">
        <f>IFERROR(CEILING(ROUND(U27/(1-'Mi negocio'!$C$30),6),'Mi negocio'!$C$25),0)</f>
        <v/>
      </c>
    </row>
    <row r="28">
      <c r="A28" t="n">
        <v>24</v>
      </c>
      <c r="B28" s="21" t="inlineStr">
        <is>
          <t>Bourgogne &amp; Côtes de Nuits (Jambon Persillé de Bourgogne, Terrina de Pato a la Naranja, Époisses de Bourgogne AOP y Morbier AOP)</t>
        </is>
      </c>
      <c r="C28" s="22" t="inlineStr">
        <is>
          <t>Cap. 10 · Francia: terroir, AOP y quesos de cueva</t>
        </is>
      </c>
      <c r="D28" t="inlineStr">
        <is>
          <t>F</t>
        </is>
      </c>
      <c r="E28" t="inlineStr">
        <is>
          <t>B</t>
        </is>
      </c>
      <c r="F28" t="inlineStr">
        <is>
          <t>E</t>
        </is>
      </c>
      <c r="G28" t="inlineStr">
        <is>
          <t>tabla</t>
        </is>
      </c>
      <c r="H28" s="16" t="n">
        <v>1</v>
      </c>
      <c r="I28" s="17">
        <f>SUMIF(Ingredientes!$A$5:$A$530,A28,Ingredientes!$I$5:$I$530)</f>
        <v/>
      </c>
      <c r="J28" s="17">
        <f>IFERROR(I28/H28,0)</f>
        <v/>
      </c>
      <c r="K28" s="11" t="n">
        <v>19.5</v>
      </c>
      <c r="L28" s="17">
        <f>'Mi negocio'!$C$34</f>
        <v/>
      </c>
      <c r="M28" s="11" t="n">
        <v>3.4</v>
      </c>
      <c r="N28" s="16" t="n">
        <v>60</v>
      </c>
      <c r="O28" s="16" t="n">
        <v>20</v>
      </c>
      <c r="P28" s="17">
        <f>IFERROR((N28/MAX(1,'Mi negocio'!$C$26)+O28)/60*'Mi negocio'!$C$23,0)</f>
        <v/>
      </c>
      <c r="Q28" s="17">
        <f>'Mi negocio'!$C$20</f>
        <v/>
      </c>
      <c r="R28" s="17">
        <f>J28+K28+L28+M28+P28+Q28</f>
        <v/>
      </c>
      <c r="S28" s="27" t="n"/>
      <c r="T28" s="29">
        <f>IF(S28="",'Mi negocio'!$C$24,S28)</f>
        <v/>
      </c>
      <c r="U28" s="30">
        <f>IFERROR(R28/(1-T28),0)</f>
        <v/>
      </c>
      <c r="V28" s="6" t="n">
        <v>6</v>
      </c>
      <c r="W28" s="17">
        <f>IFERROR(U28/MAX(1,V28),0)</f>
        <v/>
      </c>
      <c r="X28" s="31">
        <f>IFERROR(CEILING(ROUND(U28/(1-'Mi negocio'!$C$27),6),'Mi negocio'!$C$25),0)</f>
        <v/>
      </c>
      <c r="Y28" s="31">
        <f>IFERROR(CEILING(ROUND(U28/(1-'Mi negocio'!$C$28),6),'Mi negocio'!$C$25),0)</f>
        <v/>
      </c>
      <c r="Z28" s="31">
        <f>IFERROR(CEILING(ROUND(U28/(1-'Mi negocio'!$C$29),6),'Mi negocio'!$C$25),0)</f>
        <v/>
      </c>
      <c r="AA28" s="31">
        <f>IFERROR(CEILING(ROUND(U28/(1-'Mi negocio'!$C$30),6),'Mi negocio'!$C$25),0)</f>
        <v/>
      </c>
    </row>
    <row r="29">
      <c r="A29" t="n">
        <v>25</v>
      </c>
      <c r="B29" s="21" t="inlineStr">
        <is>
          <t>Saboya Alpina &amp; Altura (Saucisson Sec aux Noisettes, Viande des Grisons, Beaufort d'Alpage AOP y Tomme de Savoie AOP)</t>
        </is>
      </c>
      <c r="C29" s="22" t="inlineStr">
        <is>
          <t>Cap. 10 · Francia: terroir, AOP y quesos de cueva</t>
        </is>
      </c>
      <c r="D29" t="inlineStr">
        <is>
          <t>F</t>
        </is>
      </c>
      <c r="E29" t="inlineStr">
        <is>
          <t>D</t>
        </is>
      </c>
      <c r="F29" t="inlineStr">
        <is>
          <t>T</t>
        </is>
      </c>
      <c r="G29" t="inlineStr">
        <is>
          <t>tabla</t>
        </is>
      </c>
      <c r="H29" s="16" t="n">
        <v>1</v>
      </c>
      <c r="I29" s="17">
        <f>SUMIF(Ingredientes!$A$5:$A$530,A29,Ingredientes!$I$5:$I$530)</f>
        <v/>
      </c>
      <c r="J29" s="17">
        <f>IFERROR(I29/H29,0)</f>
        <v/>
      </c>
      <c r="K29" s="11" t="n">
        <v>19.5</v>
      </c>
      <c r="L29" s="17">
        <f>'Mi negocio'!$C$34</f>
        <v/>
      </c>
      <c r="M29" s="11" t="n">
        <v>2.6</v>
      </c>
      <c r="N29" s="16" t="n">
        <v>55</v>
      </c>
      <c r="O29" s="16" t="n">
        <v>18</v>
      </c>
      <c r="P29" s="17">
        <f>IFERROR((N29/MAX(1,'Mi negocio'!$C$26)+O29)/60*'Mi negocio'!$C$23,0)</f>
        <v/>
      </c>
      <c r="Q29" s="17">
        <f>'Mi negocio'!$C$20</f>
        <v/>
      </c>
      <c r="R29" s="17">
        <f>J29+K29+L29+M29+P29+Q29</f>
        <v/>
      </c>
      <c r="S29" s="27" t="n"/>
      <c r="T29" s="29">
        <f>IF(S29="",'Mi negocio'!$C$24,S29)</f>
        <v/>
      </c>
      <c r="U29" s="30">
        <f>IFERROR(R29/(1-T29),0)</f>
        <v/>
      </c>
      <c r="V29" s="6" t="n">
        <v>6</v>
      </c>
      <c r="W29" s="17">
        <f>IFERROR(U29/MAX(1,V29),0)</f>
        <v/>
      </c>
      <c r="X29" s="31">
        <f>IFERROR(CEILING(ROUND(U29/(1-'Mi negocio'!$C$27),6),'Mi negocio'!$C$25),0)</f>
        <v/>
      </c>
      <c r="Y29" s="31">
        <f>IFERROR(CEILING(ROUND(U29/(1-'Mi negocio'!$C$28),6),'Mi negocio'!$C$25),0)</f>
        <v/>
      </c>
      <c r="Z29" s="31">
        <f>IFERROR(CEILING(ROUND(U29/(1-'Mi negocio'!$C$29),6),'Mi negocio'!$C$25),0)</f>
        <v/>
      </c>
      <c r="AA29" s="31">
        <f>IFERROR(CEILING(ROUND(U29/(1-'Mi negocio'!$C$30),6),'Mi negocio'!$C$25),0)</f>
        <v/>
      </c>
    </row>
    <row r="30">
      <c r="A30" t="n">
        <v>26</v>
      </c>
      <c r="B30" s="21" t="inlineStr">
        <is>
          <t>Alsacia &amp; Rin Tradicional (Schiffala Ahumado, Gendarme Alsaciano, Munster AOP al Comino y Chucrut Fermentado)</t>
        </is>
      </c>
      <c r="C30" s="22" t="inlineStr">
        <is>
          <t>Cap. 10 · Francia: terroir, AOP y quesos de cueva</t>
        </is>
      </c>
      <c r="D30" t="inlineStr">
        <is>
          <t>F</t>
        </is>
      </c>
      <c r="E30" t="inlineStr">
        <is>
          <t>B</t>
        </is>
      </c>
      <c r="F30" t="inlineStr">
        <is>
          <t>E</t>
        </is>
      </c>
      <c r="G30" t="inlineStr">
        <is>
          <t>tabla</t>
        </is>
      </c>
      <c r="H30" s="16" t="n">
        <v>1</v>
      </c>
      <c r="I30" s="17">
        <f>SUMIF(Ingredientes!$A$5:$A$530,A30,Ingredientes!$I$5:$I$530)</f>
        <v/>
      </c>
      <c r="J30" s="17">
        <f>IFERROR(I30/H30,0)</f>
        <v/>
      </c>
      <c r="K30" s="11" t="n">
        <v>19.5</v>
      </c>
      <c r="L30" s="17">
        <f>'Mi negocio'!$C$34</f>
        <v/>
      </c>
      <c r="M30" s="11" t="n">
        <v>2.6</v>
      </c>
      <c r="N30" s="16" t="n">
        <v>55</v>
      </c>
      <c r="O30" s="16" t="n">
        <v>18</v>
      </c>
      <c r="P30" s="17">
        <f>IFERROR((N30/MAX(1,'Mi negocio'!$C$26)+O30)/60*'Mi negocio'!$C$23,0)</f>
        <v/>
      </c>
      <c r="Q30" s="17">
        <f>'Mi negocio'!$C$20</f>
        <v/>
      </c>
      <c r="R30" s="17">
        <f>J30+K30+L30+M30+P30+Q30</f>
        <v/>
      </c>
      <c r="S30" s="27" t="n"/>
      <c r="T30" s="29">
        <f>IF(S30="",'Mi negocio'!$C$24,S30)</f>
        <v/>
      </c>
      <c r="U30" s="30">
        <f>IFERROR(R30/(1-T30),0)</f>
        <v/>
      </c>
      <c r="V30" s="6" t="n">
        <v>6</v>
      </c>
      <c r="W30" s="17">
        <f>IFERROR(U30/MAX(1,V30),0)</f>
        <v/>
      </c>
      <c r="X30" s="31">
        <f>IFERROR(CEILING(ROUND(U30/(1-'Mi negocio'!$C$27),6),'Mi negocio'!$C$25),0)</f>
        <v/>
      </c>
      <c r="Y30" s="31">
        <f>IFERROR(CEILING(ROUND(U30/(1-'Mi negocio'!$C$28),6),'Mi negocio'!$C$25),0)</f>
        <v/>
      </c>
      <c r="Z30" s="31">
        <f>IFERROR(CEILING(ROUND(U30/(1-'Mi negocio'!$C$29),6),'Mi negocio'!$C$25),0)</f>
        <v/>
      </c>
      <c r="AA30" s="31">
        <f>IFERROR(CEILING(ROUND(U30/(1-'Mi negocio'!$C$30),6),'Mi negocio'!$C$25),0)</f>
        <v/>
      </c>
    </row>
    <row r="31">
      <c r="A31" t="n">
        <v>27</v>
      </c>
      <c r="B31" s="21" t="inlineStr">
        <is>
          <t>Provenza &amp; Jardín Botánico (Terrina de Conejo al Romero, Saucisson aux Herbes de Provence, Banon AOP en Hoja de Castaño y Chèvre Cendré)</t>
        </is>
      </c>
      <c r="C31" s="22" t="inlineStr">
        <is>
          <t>Cap. 10 · Francia: terroir, AOP y quesos de cueva</t>
        </is>
      </c>
      <c r="D31" t="inlineStr">
        <is>
          <t>F</t>
        </is>
      </c>
      <c r="E31" t="inlineStr">
        <is>
          <t>B</t>
        </is>
      </c>
      <c r="F31" t="inlineStr">
        <is>
          <t>E</t>
        </is>
      </c>
      <c r="G31" t="inlineStr">
        <is>
          <t>tabla</t>
        </is>
      </c>
      <c r="H31" s="16" t="n">
        <v>1</v>
      </c>
      <c r="I31" s="17">
        <f>SUMIF(Ingredientes!$A$5:$A$530,A31,Ingredientes!$I$5:$I$530)</f>
        <v/>
      </c>
      <c r="J31" s="17">
        <f>IFERROR(I31/H31,0)</f>
        <v/>
      </c>
      <c r="K31" s="11" t="n">
        <v>19.5</v>
      </c>
      <c r="L31" s="17">
        <f>'Mi negocio'!$C$34</f>
        <v/>
      </c>
      <c r="M31" s="11" t="n">
        <v>2.6</v>
      </c>
      <c r="N31" s="16" t="n">
        <v>55</v>
      </c>
      <c r="O31" s="16" t="n">
        <v>18</v>
      </c>
      <c r="P31" s="17">
        <f>IFERROR((N31/MAX(1,'Mi negocio'!$C$26)+O31)/60*'Mi negocio'!$C$23,0)</f>
        <v/>
      </c>
      <c r="Q31" s="17">
        <f>'Mi negocio'!$C$20</f>
        <v/>
      </c>
      <c r="R31" s="17">
        <f>J31+K31+L31+M31+P31+Q31</f>
        <v/>
      </c>
      <c r="S31" s="27" t="n"/>
      <c r="T31" s="29">
        <f>IF(S31="",'Mi negocio'!$C$24,S31)</f>
        <v/>
      </c>
      <c r="U31" s="30">
        <f>IFERROR(R31/(1-T31),0)</f>
        <v/>
      </c>
      <c r="V31" s="6" t="n">
        <v>6</v>
      </c>
      <c r="W31" s="17">
        <f>IFERROR(U31/MAX(1,V31),0)</f>
        <v/>
      </c>
      <c r="X31" s="31">
        <f>IFERROR(CEILING(ROUND(U31/(1-'Mi negocio'!$C$27),6),'Mi negocio'!$C$25),0)</f>
        <v/>
      </c>
      <c r="Y31" s="31">
        <f>IFERROR(CEILING(ROUND(U31/(1-'Mi negocio'!$C$28),6),'Mi negocio'!$C$25),0)</f>
        <v/>
      </c>
      <c r="Z31" s="31">
        <f>IFERROR(CEILING(ROUND(U31/(1-'Mi negocio'!$C$29),6),'Mi negocio'!$C$25),0)</f>
        <v/>
      </c>
      <c r="AA31" s="31">
        <f>IFERROR(CEILING(ROUND(U31/(1-'Mi negocio'!$C$30),6),'Mi negocio'!$C$25),0)</f>
        <v/>
      </c>
    </row>
    <row r="32">
      <c r="A32" t="n">
        <v>28</v>
      </c>
      <c r="B32" s="21" t="inlineStr">
        <is>
          <t>Normandía Marina &amp; Manzana (Andouille de Guémené, Rillons de Cerdo Confitados, Pont-l'Évêque AOP y Livarot AOP)</t>
        </is>
      </c>
      <c r="C32" s="22" t="inlineStr">
        <is>
          <t>Cap. 10 · Francia: terroir, AOP y quesos de cueva</t>
        </is>
      </c>
      <c r="D32" t="inlineStr">
        <is>
          <t>F</t>
        </is>
      </c>
      <c r="E32" t="inlineStr">
        <is>
          <t>B</t>
        </is>
      </c>
      <c r="F32" t="inlineStr">
        <is>
          <t>E</t>
        </is>
      </c>
      <c r="G32" t="inlineStr">
        <is>
          <t>tabla</t>
        </is>
      </c>
      <c r="H32" s="16" t="n">
        <v>1</v>
      </c>
      <c r="I32" s="17">
        <f>SUMIF(Ingredientes!$A$5:$A$530,A32,Ingredientes!$I$5:$I$530)</f>
        <v/>
      </c>
      <c r="J32" s="17">
        <f>IFERROR(I32/H32,0)</f>
        <v/>
      </c>
      <c r="K32" s="11" t="n">
        <v>19.5</v>
      </c>
      <c r="L32" s="17">
        <f>'Mi negocio'!$C$34</f>
        <v/>
      </c>
      <c r="M32" s="11" t="n">
        <v>2.6</v>
      </c>
      <c r="N32" s="16" t="n">
        <v>55</v>
      </c>
      <c r="O32" s="16" t="n">
        <v>18</v>
      </c>
      <c r="P32" s="17">
        <f>IFERROR((N32/MAX(1,'Mi negocio'!$C$26)+O32)/60*'Mi negocio'!$C$23,0)</f>
        <v/>
      </c>
      <c r="Q32" s="17">
        <f>'Mi negocio'!$C$20</f>
        <v/>
      </c>
      <c r="R32" s="17">
        <f>J32+K32+L32+M32+P32+Q32</f>
        <v/>
      </c>
      <c r="S32" s="27" t="n"/>
      <c r="T32" s="29">
        <f>IF(S32="",'Mi negocio'!$C$24,S32)</f>
        <v/>
      </c>
      <c r="U32" s="30">
        <f>IFERROR(R32/(1-T32),0)</f>
        <v/>
      </c>
      <c r="V32" s="6" t="n">
        <v>6</v>
      </c>
      <c r="W32" s="17">
        <f>IFERROR(U32/MAX(1,V32),0)</f>
        <v/>
      </c>
      <c r="X32" s="31">
        <f>IFERROR(CEILING(ROUND(U32/(1-'Mi negocio'!$C$27),6),'Mi negocio'!$C$25),0)</f>
        <v/>
      </c>
      <c r="Y32" s="31">
        <f>IFERROR(CEILING(ROUND(U32/(1-'Mi negocio'!$C$28),6),'Mi negocio'!$C$25),0)</f>
        <v/>
      </c>
      <c r="Z32" s="31">
        <f>IFERROR(CEILING(ROUND(U32/(1-'Mi negocio'!$C$29),6),'Mi negocio'!$C$25),0)</f>
        <v/>
      </c>
      <c r="AA32" s="31">
        <f>IFERROR(CEILING(ROUND(U32/(1-'Mi negocio'!$C$30),6),'Mi negocio'!$C$25),0)</f>
        <v/>
      </c>
    </row>
    <row r="33">
      <c r="A33" t="n">
        <v>29</v>
      </c>
      <c r="B33" s="21" t="inlineStr">
        <is>
          <t>Valle del Loira &amp; Châteaux (Rillettes de Tours IGP, Rillons Rissolés de Touraine, Sainte-Maure de Touraine AOP y Valençay AOP)</t>
        </is>
      </c>
      <c r="C33" s="22" t="inlineStr">
        <is>
          <t>Cap. 10 · Francia: terroir, AOP y quesos de cueva</t>
        </is>
      </c>
      <c r="D33" t="inlineStr">
        <is>
          <t>F</t>
        </is>
      </c>
      <c r="E33" t="inlineStr">
        <is>
          <t>B</t>
        </is>
      </c>
      <c r="F33" t="inlineStr">
        <is>
          <t>E</t>
        </is>
      </c>
      <c r="G33" t="inlineStr">
        <is>
          <t>tabla</t>
        </is>
      </c>
      <c r="H33" s="16" t="n">
        <v>1</v>
      </c>
      <c r="I33" s="17">
        <f>SUMIF(Ingredientes!$A$5:$A$530,A33,Ingredientes!$I$5:$I$530)</f>
        <v/>
      </c>
      <c r="J33" s="17">
        <f>IFERROR(I33/H33,0)</f>
        <v/>
      </c>
      <c r="K33" s="11" t="n">
        <v>19.5</v>
      </c>
      <c r="L33" s="17">
        <f>'Mi negocio'!$C$34</f>
        <v/>
      </c>
      <c r="M33" s="11" t="n">
        <v>2.6</v>
      </c>
      <c r="N33" s="16" t="n">
        <v>55</v>
      </c>
      <c r="O33" s="16" t="n">
        <v>18</v>
      </c>
      <c r="P33" s="17">
        <f>IFERROR((N33/MAX(1,'Mi negocio'!$C$26)+O33)/60*'Mi negocio'!$C$23,0)</f>
        <v/>
      </c>
      <c r="Q33" s="17">
        <f>'Mi negocio'!$C$20</f>
        <v/>
      </c>
      <c r="R33" s="17">
        <f>J33+K33+L33+M33+P33+Q33</f>
        <v/>
      </c>
      <c r="S33" s="27" t="n"/>
      <c r="T33" s="29">
        <f>IF(S33="",'Mi negocio'!$C$24,S33)</f>
        <v/>
      </c>
      <c r="U33" s="30">
        <f>IFERROR(R33/(1-T33),0)</f>
        <v/>
      </c>
      <c r="V33" s="6" t="n">
        <v>6</v>
      </c>
      <c r="W33" s="17">
        <f>IFERROR(U33/MAX(1,V33),0)</f>
        <v/>
      </c>
      <c r="X33" s="31">
        <f>IFERROR(CEILING(ROUND(U33/(1-'Mi negocio'!$C$27),6),'Mi negocio'!$C$25),0)</f>
        <v/>
      </c>
      <c r="Y33" s="31">
        <f>IFERROR(CEILING(ROUND(U33/(1-'Mi negocio'!$C$28),6),'Mi negocio'!$C$25),0)</f>
        <v/>
      </c>
      <c r="Z33" s="31">
        <f>IFERROR(CEILING(ROUND(U33/(1-'Mi negocio'!$C$29),6),'Mi negocio'!$C$25),0)</f>
        <v/>
      </c>
      <c r="AA33" s="31">
        <f>IFERROR(CEILING(ROUND(U33/(1-'Mi negocio'!$C$30),6),'Mi negocio'!$C$25),0)</f>
        <v/>
      </c>
    </row>
    <row r="34">
      <c r="A34" t="n">
        <v>30</v>
      </c>
      <c r="B34" s="21" t="inlineStr">
        <is>
          <t>Bistró Contemporáneo Parisino (Jambon Blanc Trufado Artesanal, Terrine de Canard au Poivre Vert, Brillat-Savarin AOP Triple Crème y Saint-Nectaire AOP)</t>
        </is>
      </c>
      <c r="C34" s="22" t="inlineStr">
        <is>
          <t>Cap. 10 · Francia: terroir, AOP y quesos de cueva</t>
        </is>
      </c>
      <c r="D34" t="inlineStr">
        <is>
          <t>F</t>
        </is>
      </c>
      <c r="E34" t="inlineStr">
        <is>
          <t>B</t>
        </is>
      </c>
      <c r="F34" t="inlineStr">
        <is>
          <t>E</t>
        </is>
      </c>
      <c r="G34" t="inlineStr">
        <is>
          <t>tabla</t>
        </is>
      </c>
      <c r="H34" s="16" t="n">
        <v>1</v>
      </c>
      <c r="I34" s="17">
        <f>SUMIF(Ingredientes!$A$5:$A$530,A34,Ingredientes!$I$5:$I$530)</f>
        <v/>
      </c>
      <c r="J34" s="17">
        <f>IFERROR(I34/H34,0)</f>
        <v/>
      </c>
      <c r="K34" s="11" t="n">
        <v>19.5</v>
      </c>
      <c r="L34" s="17">
        <f>'Mi negocio'!$C$34</f>
        <v/>
      </c>
      <c r="M34" s="11" t="n">
        <v>3.4</v>
      </c>
      <c r="N34" s="16" t="n">
        <v>60</v>
      </c>
      <c r="O34" s="16" t="n">
        <v>20</v>
      </c>
      <c r="P34" s="17">
        <f>IFERROR((N34/MAX(1,'Mi negocio'!$C$26)+O34)/60*'Mi negocio'!$C$23,0)</f>
        <v/>
      </c>
      <c r="Q34" s="17">
        <f>'Mi negocio'!$C$20</f>
        <v/>
      </c>
      <c r="R34" s="17">
        <f>J34+K34+L34+M34+P34+Q34</f>
        <v/>
      </c>
      <c r="S34" s="27" t="n"/>
      <c r="T34" s="29">
        <f>IF(S34="",'Mi negocio'!$C$24,S34)</f>
        <v/>
      </c>
      <c r="U34" s="30">
        <f>IFERROR(R34/(1-T34),0)</f>
        <v/>
      </c>
      <c r="V34" s="6" t="n">
        <v>6</v>
      </c>
      <c r="W34" s="17">
        <f>IFERROR(U34/MAX(1,V34),0)</f>
        <v/>
      </c>
      <c r="X34" s="31">
        <f>IFERROR(CEILING(ROUND(U34/(1-'Mi negocio'!$C$27),6),'Mi negocio'!$C$25),0)</f>
        <v/>
      </c>
      <c r="Y34" s="31">
        <f>IFERROR(CEILING(ROUND(U34/(1-'Mi negocio'!$C$28),6),'Mi negocio'!$C$25),0)</f>
        <v/>
      </c>
      <c r="Z34" s="31">
        <f>IFERROR(CEILING(ROUND(U34/(1-'Mi negocio'!$C$29),6),'Mi negocio'!$C$25),0)</f>
        <v/>
      </c>
      <c r="AA34" s="31">
        <f>IFERROR(CEILING(ROUND(U34/(1-'Mi negocio'!$C$30),6),'Mi negocio'!$C$25),0)</f>
        <v/>
      </c>
    </row>
    <row r="35">
      <c r="A35" t="n">
        <v>31</v>
      </c>
      <c r="B35" s="21" t="inlineStr">
        <is>
          <t>Altiplano Central &amp; Valle de Toluca (Chorizo Verde al Quelite, Chorizo Almendrado Seco, Queso Provolone Ahumado y Queso Molido de Rancho)</t>
        </is>
      </c>
      <c r="C35" s="22" t="inlineStr">
        <is>
          <t>Cap. 11 · México: chacinas y quesos de origen</t>
        </is>
      </c>
      <c r="D35" t="inlineStr">
        <is>
          <t>M</t>
        </is>
      </c>
      <c r="E35" t="inlineStr">
        <is>
          <t>P</t>
        </is>
      </c>
      <c r="F35" t="inlineStr">
        <is>
          <t>E</t>
        </is>
      </c>
      <c r="G35" t="inlineStr">
        <is>
          <t>tabla</t>
        </is>
      </c>
      <c r="H35" s="16" t="n">
        <v>1</v>
      </c>
      <c r="I35" s="17">
        <f>SUMIF(Ingredientes!$A$5:$A$530,A35,Ingredientes!$I$5:$I$530)</f>
        <v/>
      </c>
      <c r="J35" s="17">
        <f>IFERROR(I35/H35,0)</f>
        <v/>
      </c>
      <c r="K35" s="11" t="n">
        <v>19.5</v>
      </c>
      <c r="L35" s="17">
        <f>'Mi negocio'!$C$34</f>
        <v/>
      </c>
      <c r="M35" s="11" t="n">
        <v>2.6</v>
      </c>
      <c r="N35" s="16" t="n">
        <v>50</v>
      </c>
      <c r="O35" s="16" t="n">
        <v>18</v>
      </c>
      <c r="P35" s="17">
        <f>IFERROR((N35/MAX(1,'Mi negocio'!$C$26)+O35)/60*'Mi negocio'!$C$23,0)</f>
        <v/>
      </c>
      <c r="Q35" s="17">
        <f>'Mi negocio'!$C$20</f>
        <v/>
      </c>
      <c r="R35" s="17">
        <f>J35+K35+L35+M35+P35+Q35</f>
        <v/>
      </c>
      <c r="S35" s="27" t="n"/>
      <c r="T35" s="29">
        <f>IF(S35="",'Mi negocio'!$C$24,S35)</f>
        <v/>
      </c>
      <c r="U35" s="30">
        <f>IFERROR(R35/(1-T35),0)</f>
        <v/>
      </c>
      <c r="V35" s="6" t="n">
        <v>6</v>
      </c>
      <c r="W35" s="17">
        <f>IFERROR(U35/MAX(1,V35),0)</f>
        <v/>
      </c>
      <c r="X35" s="31">
        <f>IFERROR(CEILING(ROUND(U35/(1-'Mi negocio'!$C$27),6),'Mi negocio'!$C$25),0)</f>
        <v/>
      </c>
      <c r="Y35" s="31">
        <f>IFERROR(CEILING(ROUND(U35/(1-'Mi negocio'!$C$28),6),'Mi negocio'!$C$25),0)</f>
        <v/>
      </c>
      <c r="Z35" s="31">
        <f>IFERROR(CEILING(ROUND(U35/(1-'Mi negocio'!$C$29),6),'Mi negocio'!$C$25),0)</f>
        <v/>
      </c>
      <c r="AA35" s="31">
        <f>IFERROR(CEILING(ROUND(U35/(1-'Mi negocio'!$C$30),6),'Mi negocio'!$C$25),0)</f>
        <v/>
      </c>
    </row>
    <row r="36">
      <c r="A36" t="n">
        <v>32</v>
      </c>
      <c r="B36" s="21" t="inlineStr">
        <is>
          <t>Valles Centrales de Oaxaca &amp; Costa Chica (Tasajo de Hebra Oaxaqueño, Cecina Enchilada, Quesillo Tradicional de Etla y Queso de Cuadrito Añejo)</t>
        </is>
      </c>
      <c r="C36" s="22" t="inlineStr">
        <is>
          <t>Cap. 11 · México: chacinas y quesos de origen</t>
        </is>
      </c>
      <c r="D36" t="inlineStr">
        <is>
          <t>M</t>
        </is>
      </c>
      <c r="E36" t="inlineStr">
        <is>
          <t>H</t>
        </is>
      </c>
      <c r="F36" t="inlineStr">
        <is>
          <t>E</t>
        </is>
      </c>
      <c r="G36" t="inlineStr">
        <is>
          <t>tabla</t>
        </is>
      </c>
      <c r="H36" s="16" t="n">
        <v>1</v>
      </c>
      <c r="I36" s="17">
        <f>SUMIF(Ingredientes!$A$5:$A$530,A36,Ingredientes!$I$5:$I$530)</f>
        <v/>
      </c>
      <c r="J36" s="17">
        <f>IFERROR(I36/H36,0)</f>
        <v/>
      </c>
      <c r="K36" s="11" t="n">
        <v>19.5</v>
      </c>
      <c r="L36" s="17">
        <f>'Mi negocio'!$C$34</f>
        <v/>
      </c>
      <c r="M36" s="11" t="n">
        <v>2.6</v>
      </c>
      <c r="N36" s="16" t="n">
        <v>50</v>
      </c>
      <c r="O36" s="16" t="n">
        <v>18</v>
      </c>
      <c r="P36" s="17">
        <f>IFERROR((N36/MAX(1,'Mi negocio'!$C$26)+O36)/60*'Mi negocio'!$C$23,0)</f>
        <v/>
      </c>
      <c r="Q36" s="17">
        <f>'Mi negocio'!$C$20</f>
        <v/>
      </c>
      <c r="R36" s="17">
        <f>J36+K36+L36+M36+P36+Q36</f>
        <v/>
      </c>
      <c r="S36" s="27" t="n"/>
      <c r="T36" s="29">
        <f>IF(S36="",'Mi negocio'!$C$24,S36)</f>
        <v/>
      </c>
      <c r="U36" s="30">
        <f>IFERROR(R36/(1-T36),0)</f>
        <v/>
      </c>
      <c r="V36" s="6" t="n">
        <v>6</v>
      </c>
      <c r="W36" s="17">
        <f>IFERROR(U36/MAX(1,V36),0)</f>
        <v/>
      </c>
      <c r="X36" s="31">
        <f>IFERROR(CEILING(ROUND(U36/(1-'Mi negocio'!$C$27),6),'Mi negocio'!$C$25),0)</f>
        <v/>
      </c>
      <c r="Y36" s="31">
        <f>IFERROR(CEILING(ROUND(U36/(1-'Mi negocio'!$C$28),6),'Mi negocio'!$C$25),0)</f>
        <v/>
      </c>
      <c r="Z36" s="31">
        <f>IFERROR(CEILING(ROUND(U36/(1-'Mi negocio'!$C$29),6),'Mi negocio'!$C$25),0)</f>
        <v/>
      </c>
      <c r="AA36" s="31">
        <f>IFERROR(CEILING(ROUND(U36/(1-'Mi negocio'!$C$30),6),'Mi negocio'!$C$25),0)</f>
        <v/>
      </c>
    </row>
    <row r="37">
      <c r="A37" t="n">
        <v>33</v>
      </c>
      <c r="B37" s="21" t="inlineStr">
        <is>
          <t>Tierra Caliente &amp; Sierra de Jiquilpan (Carnitas Prensadas al Cazo, Lomo Mechado en Adobo, Queso Cotija Región de Origen y Queso Adobera Artesanal)</t>
        </is>
      </c>
      <c r="C37" s="22" t="inlineStr">
        <is>
          <t>Cap. 11 · México: chacinas y quesos de origen</t>
        </is>
      </c>
      <c r="D37" t="inlineStr">
        <is>
          <t>M</t>
        </is>
      </c>
      <c r="E37" t="inlineStr">
        <is>
          <t>P</t>
        </is>
      </c>
      <c r="F37" t="inlineStr">
        <is>
          <t>T</t>
        </is>
      </c>
      <c r="G37" t="inlineStr">
        <is>
          <t>tabla</t>
        </is>
      </c>
      <c r="H37" s="16" t="n">
        <v>1</v>
      </c>
      <c r="I37" s="17">
        <f>SUMIF(Ingredientes!$A$5:$A$530,A37,Ingredientes!$I$5:$I$530)</f>
        <v/>
      </c>
      <c r="J37" s="17">
        <f>IFERROR(I37/H37,0)</f>
        <v/>
      </c>
      <c r="K37" s="11" t="n">
        <v>19.5</v>
      </c>
      <c r="L37" s="17">
        <f>'Mi negocio'!$C$34</f>
        <v/>
      </c>
      <c r="M37" s="11" t="n">
        <v>2.6</v>
      </c>
      <c r="N37" s="16" t="n">
        <v>50</v>
      </c>
      <c r="O37" s="16" t="n">
        <v>18</v>
      </c>
      <c r="P37" s="17">
        <f>IFERROR((N37/MAX(1,'Mi negocio'!$C$26)+O37)/60*'Mi negocio'!$C$23,0)</f>
        <v/>
      </c>
      <c r="Q37" s="17">
        <f>'Mi negocio'!$C$20</f>
        <v/>
      </c>
      <c r="R37" s="17">
        <f>J37+K37+L37+M37+P37+Q37</f>
        <v/>
      </c>
      <c r="S37" s="27" t="n"/>
      <c r="T37" s="29">
        <f>IF(S37="",'Mi negocio'!$C$24,S37)</f>
        <v/>
      </c>
      <c r="U37" s="30">
        <f>IFERROR(R37/(1-T37),0)</f>
        <v/>
      </c>
      <c r="V37" s="6" t="n">
        <v>6</v>
      </c>
      <c r="W37" s="17">
        <f>IFERROR(U37/MAX(1,V37),0)</f>
        <v/>
      </c>
      <c r="X37" s="31">
        <f>IFERROR(CEILING(ROUND(U37/(1-'Mi negocio'!$C$27),6),'Mi negocio'!$C$25),0)</f>
        <v/>
      </c>
      <c r="Y37" s="31">
        <f>IFERROR(CEILING(ROUND(U37/(1-'Mi negocio'!$C$28),6),'Mi negocio'!$C$25),0)</f>
        <v/>
      </c>
      <c r="Z37" s="31">
        <f>IFERROR(CEILING(ROUND(U37/(1-'Mi negocio'!$C$29),6),'Mi negocio'!$C$25),0)</f>
        <v/>
      </c>
      <c r="AA37" s="31">
        <f>IFERROR(CEILING(ROUND(U37/(1-'Mi negocio'!$C$30),6),'Mi negocio'!$C$25),0)</f>
        <v/>
      </c>
    </row>
    <row r="38">
      <c r="A38" t="n">
        <v>34</v>
      </c>
      <c r="B38" s="21" t="inlineStr">
        <is>
          <t>Huasteca Hidalguense &amp; Sierra Gorda (Cecina Oreada a la Leña, Jamón Serrano Queretano de Cava, Queso de Cabra al Carbón y Queso Huasteco Botanero)</t>
        </is>
      </c>
      <c r="C38" s="22" t="inlineStr">
        <is>
          <t>Cap. 11 · México: chacinas y quesos de origen</t>
        </is>
      </c>
      <c r="D38" t="inlineStr">
        <is>
          <t>M</t>
        </is>
      </c>
      <c r="E38" t="inlineStr">
        <is>
          <t>P</t>
        </is>
      </c>
      <c r="F38" t="inlineStr">
        <is>
          <t>T</t>
        </is>
      </c>
      <c r="G38" t="inlineStr">
        <is>
          <t>tabla</t>
        </is>
      </c>
      <c r="H38" s="16" t="n">
        <v>1</v>
      </c>
      <c r="I38" s="17">
        <f>SUMIF(Ingredientes!$A$5:$A$530,A38,Ingredientes!$I$5:$I$530)</f>
        <v/>
      </c>
      <c r="J38" s="17">
        <f>IFERROR(I38/H38,0)</f>
        <v/>
      </c>
      <c r="K38" s="11" t="n">
        <v>19.5</v>
      </c>
      <c r="L38" s="17">
        <f>'Mi negocio'!$C$34</f>
        <v/>
      </c>
      <c r="M38" s="11" t="n">
        <v>2.6</v>
      </c>
      <c r="N38" s="16" t="n">
        <v>50</v>
      </c>
      <c r="O38" s="16" t="n">
        <v>18</v>
      </c>
      <c r="P38" s="17">
        <f>IFERROR((N38/MAX(1,'Mi negocio'!$C$26)+O38)/60*'Mi negocio'!$C$23,0)</f>
        <v/>
      </c>
      <c r="Q38" s="17">
        <f>'Mi negocio'!$C$20</f>
        <v/>
      </c>
      <c r="R38" s="17">
        <f>J38+K38+L38+M38+P38+Q38</f>
        <v/>
      </c>
      <c r="S38" s="27" t="n"/>
      <c r="T38" s="29">
        <f>IF(S38="",'Mi negocio'!$C$24,S38)</f>
        <v/>
      </c>
      <c r="U38" s="30">
        <f>IFERROR(R38/(1-T38),0)</f>
        <v/>
      </c>
      <c r="V38" s="6" t="n">
        <v>6</v>
      </c>
      <c r="W38" s="17">
        <f>IFERROR(U38/MAX(1,V38),0)</f>
        <v/>
      </c>
      <c r="X38" s="31">
        <f>IFERROR(CEILING(ROUND(U38/(1-'Mi negocio'!$C$27),6),'Mi negocio'!$C$25),0)</f>
        <v/>
      </c>
      <c r="Y38" s="31">
        <f>IFERROR(CEILING(ROUND(U38/(1-'Mi negocio'!$C$28),6),'Mi negocio'!$C$25),0)</f>
        <v/>
      </c>
      <c r="Z38" s="31">
        <f>IFERROR(CEILING(ROUND(U38/(1-'Mi negocio'!$C$29),6),'Mi negocio'!$C$25),0)</f>
        <v/>
      </c>
      <c r="AA38" s="31">
        <f>IFERROR(CEILING(ROUND(U38/(1-'Mi negocio'!$C$30),6),'Mi negocio'!$C$25),0)</f>
        <v/>
      </c>
    </row>
    <row r="39">
      <c r="A39" t="n">
        <v>35</v>
      </c>
      <c r="B39" s="21" t="inlineStr">
        <is>
          <t>Península de Yucatán &amp; Terruño Maya (But Negro Tradicional, Longaniza Ahumada de Valladolid, Queso de Bola Edam Añejo y Queso Fresco con Hoja Santa)</t>
        </is>
      </c>
      <c r="C39" s="22" t="inlineStr">
        <is>
          <t>Cap. 11 · México: chacinas y quesos de origen</t>
        </is>
      </c>
      <c r="D39" t="inlineStr">
        <is>
          <t>M</t>
        </is>
      </c>
      <c r="E39" t="inlineStr">
        <is>
          <t>P</t>
        </is>
      </c>
      <c r="F39" t="inlineStr">
        <is>
          <t>E</t>
        </is>
      </c>
      <c r="G39" t="inlineStr">
        <is>
          <t>tabla</t>
        </is>
      </c>
      <c r="H39" s="16" t="n">
        <v>1</v>
      </c>
      <c r="I39" s="17">
        <f>SUMIF(Ingredientes!$A$5:$A$530,A39,Ingredientes!$I$5:$I$530)</f>
        <v/>
      </c>
      <c r="J39" s="17">
        <f>IFERROR(I39/H39,0)</f>
        <v/>
      </c>
      <c r="K39" s="11" t="n">
        <v>19.5</v>
      </c>
      <c r="L39" s="17">
        <f>'Mi negocio'!$C$34</f>
        <v/>
      </c>
      <c r="M39" s="11" t="n">
        <v>2.6</v>
      </c>
      <c r="N39" s="16" t="n">
        <v>50</v>
      </c>
      <c r="O39" s="16" t="n">
        <v>18</v>
      </c>
      <c r="P39" s="17">
        <f>IFERROR((N39/MAX(1,'Mi negocio'!$C$26)+O39)/60*'Mi negocio'!$C$23,0)</f>
        <v/>
      </c>
      <c r="Q39" s="17">
        <f>'Mi negocio'!$C$20</f>
        <v/>
      </c>
      <c r="R39" s="17">
        <f>J39+K39+L39+M39+P39+Q39</f>
        <v/>
      </c>
      <c r="S39" s="27" t="n"/>
      <c r="T39" s="29">
        <f>IF(S39="",'Mi negocio'!$C$24,S39)</f>
        <v/>
      </c>
      <c r="U39" s="30">
        <f>IFERROR(R39/(1-T39),0)</f>
        <v/>
      </c>
      <c r="V39" s="6" t="n">
        <v>6</v>
      </c>
      <c r="W39" s="17">
        <f>IFERROR(U39/MAX(1,V39),0)</f>
        <v/>
      </c>
      <c r="X39" s="31">
        <f>IFERROR(CEILING(ROUND(U39/(1-'Mi negocio'!$C$27),6),'Mi negocio'!$C$25),0)</f>
        <v/>
      </c>
      <c r="Y39" s="31">
        <f>IFERROR(CEILING(ROUND(U39/(1-'Mi negocio'!$C$28),6),'Mi negocio'!$C$25),0)</f>
        <v/>
      </c>
      <c r="Z39" s="31">
        <f>IFERROR(CEILING(ROUND(U39/(1-'Mi negocio'!$C$29),6),'Mi negocio'!$C$25),0)</f>
        <v/>
      </c>
      <c r="AA39" s="31">
        <f>IFERROR(CEILING(ROUND(U39/(1-'Mi negocio'!$C$30),6),'Mi negocio'!$C$25),0)</f>
        <v/>
      </c>
    </row>
    <row r="40">
      <c r="A40" t="n">
        <v>36</v>
      </c>
      <c r="B40" s="21" t="inlineStr">
        <is>
          <t>Desierto del Norte &amp; Valle de Guadalupe (Machaca de Res Tradicional al Sol, Cecina de Sonora, Queso Real del Castillo Añejo y Queso Ramónetti al Romero)</t>
        </is>
      </c>
      <c r="C40" s="22" t="inlineStr">
        <is>
          <t>Cap. 11 · México: chacinas y quesos de origen</t>
        </is>
      </c>
      <c r="D40" t="inlineStr">
        <is>
          <t>M</t>
        </is>
      </c>
      <c r="E40" t="inlineStr">
        <is>
          <t>P</t>
        </is>
      </c>
      <c r="F40" t="inlineStr">
        <is>
          <t>T</t>
        </is>
      </c>
      <c r="G40" t="inlineStr">
        <is>
          <t>tabla</t>
        </is>
      </c>
      <c r="H40" s="16" t="n">
        <v>1</v>
      </c>
      <c r="I40" s="17">
        <f>SUMIF(Ingredientes!$A$5:$A$530,A40,Ingredientes!$I$5:$I$530)</f>
        <v/>
      </c>
      <c r="J40" s="17">
        <f>IFERROR(I40/H40,0)</f>
        <v/>
      </c>
      <c r="K40" s="11" t="n">
        <v>19.5</v>
      </c>
      <c r="L40" s="17">
        <f>'Mi negocio'!$C$34</f>
        <v/>
      </c>
      <c r="M40" s="11" t="n">
        <v>2.6</v>
      </c>
      <c r="N40" s="16" t="n">
        <v>50</v>
      </c>
      <c r="O40" s="16" t="n">
        <v>18</v>
      </c>
      <c r="P40" s="17">
        <f>IFERROR((N40/MAX(1,'Mi negocio'!$C$26)+O40)/60*'Mi negocio'!$C$23,0)</f>
        <v/>
      </c>
      <c r="Q40" s="17">
        <f>'Mi negocio'!$C$20</f>
        <v/>
      </c>
      <c r="R40" s="17">
        <f>J40+K40+L40+M40+P40+Q40</f>
        <v/>
      </c>
      <c r="S40" s="27" t="n"/>
      <c r="T40" s="29">
        <f>IF(S40="",'Mi negocio'!$C$24,S40)</f>
        <v/>
      </c>
      <c r="U40" s="30">
        <f>IFERROR(R40/(1-T40),0)</f>
        <v/>
      </c>
      <c r="V40" s="6" t="n">
        <v>6</v>
      </c>
      <c r="W40" s="17">
        <f>IFERROR(U40/MAX(1,V40),0)</f>
        <v/>
      </c>
      <c r="X40" s="31">
        <f>IFERROR(CEILING(ROUND(U40/(1-'Mi negocio'!$C$27),6),'Mi negocio'!$C$25),0)</f>
        <v/>
      </c>
      <c r="Y40" s="31">
        <f>IFERROR(CEILING(ROUND(U40/(1-'Mi negocio'!$C$28),6),'Mi negocio'!$C$25),0)</f>
        <v/>
      </c>
      <c r="Z40" s="31">
        <f>IFERROR(CEILING(ROUND(U40/(1-'Mi negocio'!$C$29),6),'Mi negocio'!$C$25),0)</f>
        <v/>
      </c>
      <c r="AA40" s="31">
        <f>IFERROR(CEILING(ROUND(U40/(1-'Mi negocio'!$C$30),6),'Mi negocio'!$C$25),0)</f>
        <v/>
      </c>
    </row>
    <row r="41">
      <c r="A41" t="n">
        <v>37</v>
      </c>
      <c r="B41" s="21" t="inlineStr">
        <is>
          <t>Cuenca del Papaloapan &amp; Sotavento (Jamón Criollo Ahumado al Piloncillo, Lomo Curado en Caña, Queso Añejo de Tlalixcoyan y Queso de Hebra Veracruzano)</t>
        </is>
      </c>
      <c r="C41" s="22" t="inlineStr">
        <is>
          <t>Cap. 11 · México: chacinas y quesos de origen</t>
        </is>
      </c>
      <c r="D41" t="inlineStr">
        <is>
          <t>M</t>
        </is>
      </c>
      <c r="E41" t="inlineStr">
        <is>
          <t>P</t>
        </is>
      </c>
      <c r="F41" t="inlineStr">
        <is>
          <t>E</t>
        </is>
      </c>
      <c r="G41" t="inlineStr">
        <is>
          <t>tabla</t>
        </is>
      </c>
      <c r="H41" s="16" t="n">
        <v>1</v>
      </c>
      <c r="I41" s="17">
        <f>SUMIF(Ingredientes!$A$5:$A$530,A41,Ingredientes!$I$5:$I$530)</f>
        <v/>
      </c>
      <c r="J41" s="17">
        <f>IFERROR(I41/H41,0)</f>
        <v/>
      </c>
      <c r="K41" s="11" t="n">
        <v>19.5</v>
      </c>
      <c r="L41" s="17">
        <f>'Mi negocio'!$C$34</f>
        <v/>
      </c>
      <c r="M41" s="11" t="n">
        <v>2.6</v>
      </c>
      <c r="N41" s="16" t="n">
        <v>50</v>
      </c>
      <c r="O41" s="16" t="n">
        <v>18</v>
      </c>
      <c r="P41" s="17">
        <f>IFERROR((N41/MAX(1,'Mi negocio'!$C$26)+O41)/60*'Mi negocio'!$C$23,0)</f>
        <v/>
      </c>
      <c r="Q41" s="17">
        <f>'Mi negocio'!$C$20</f>
        <v/>
      </c>
      <c r="R41" s="17">
        <f>J41+K41+L41+M41+P41+Q41</f>
        <v/>
      </c>
      <c r="S41" s="27" t="n"/>
      <c r="T41" s="29">
        <f>IF(S41="",'Mi negocio'!$C$24,S41)</f>
        <v/>
      </c>
      <c r="U41" s="30">
        <f>IFERROR(R41/(1-T41),0)</f>
        <v/>
      </c>
      <c r="V41" s="6" t="n">
        <v>6</v>
      </c>
      <c r="W41" s="17">
        <f>IFERROR(U41/MAX(1,V41),0)</f>
        <v/>
      </c>
      <c r="X41" s="31">
        <f>IFERROR(CEILING(ROUND(U41/(1-'Mi negocio'!$C$27),6),'Mi negocio'!$C$25),0)</f>
        <v/>
      </c>
      <c r="Y41" s="31">
        <f>IFERROR(CEILING(ROUND(U41/(1-'Mi negocio'!$C$28),6),'Mi negocio'!$C$25),0)</f>
        <v/>
      </c>
      <c r="Z41" s="31">
        <f>IFERROR(CEILING(ROUND(U41/(1-'Mi negocio'!$C$29),6),'Mi negocio'!$C$25),0)</f>
        <v/>
      </c>
      <c r="AA41" s="31">
        <f>IFERROR(CEILING(ROUND(U41/(1-'Mi negocio'!$C$30),6),'Mi negocio'!$C$25),0)</f>
        <v/>
      </c>
    </row>
    <row r="42">
      <c r="A42" t="n">
        <v>38</v>
      </c>
      <c r="B42" s="21" t="inlineStr">
        <is>
          <t>Semidesierto Zacatecano &amp; Los Altos (Asado de Boda Deshidratado en Cecina, Chorizo Zacatecano al Orégano, Queso Asadero Tradicional y Queso Manchego Prensado de Los Altos)</t>
        </is>
      </c>
      <c r="C42" s="22" t="inlineStr">
        <is>
          <t>Cap. 11 · México: chacinas y quesos de origen</t>
        </is>
      </c>
      <c r="D42" t="inlineStr">
        <is>
          <t>M</t>
        </is>
      </c>
      <c r="E42" t="inlineStr">
        <is>
          <t>P</t>
        </is>
      </c>
      <c r="F42" t="inlineStr">
        <is>
          <t>T</t>
        </is>
      </c>
      <c r="G42" t="inlineStr">
        <is>
          <t>tabla</t>
        </is>
      </c>
      <c r="H42" s="16" t="n">
        <v>1</v>
      </c>
      <c r="I42" s="17">
        <f>SUMIF(Ingredientes!$A$5:$A$530,A42,Ingredientes!$I$5:$I$530)</f>
        <v/>
      </c>
      <c r="J42" s="17">
        <f>IFERROR(I42/H42,0)</f>
        <v/>
      </c>
      <c r="K42" s="11" t="n">
        <v>19.5</v>
      </c>
      <c r="L42" s="17">
        <f>'Mi negocio'!$C$34</f>
        <v/>
      </c>
      <c r="M42" s="11" t="n">
        <v>2.6</v>
      </c>
      <c r="N42" s="16" t="n">
        <v>50</v>
      </c>
      <c r="O42" s="16" t="n">
        <v>18</v>
      </c>
      <c r="P42" s="17">
        <f>IFERROR((N42/MAX(1,'Mi negocio'!$C$26)+O42)/60*'Mi negocio'!$C$23,0)</f>
        <v/>
      </c>
      <c r="Q42" s="17">
        <f>'Mi negocio'!$C$20</f>
        <v/>
      </c>
      <c r="R42" s="17">
        <f>J42+K42+L42+M42+P42+Q42</f>
        <v/>
      </c>
      <c r="S42" s="27" t="n"/>
      <c r="T42" s="29">
        <f>IF(S42="",'Mi negocio'!$C$24,S42)</f>
        <v/>
      </c>
      <c r="U42" s="30">
        <f>IFERROR(R42/(1-T42),0)</f>
        <v/>
      </c>
      <c r="V42" s="6" t="n">
        <v>6</v>
      </c>
      <c r="W42" s="17">
        <f>IFERROR(U42/MAX(1,V42),0)</f>
        <v/>
      </c>
      <c r="X42" s="31">
        <f>IFERROR(CEILING(ROUND(U42/(1-'Mi negocio'!$C$27),6),'Mi negocio'!$C$25),0)</f>
        <v/>
      </c>
      <c r="Y42" s="31">
        <f>IFERROR(CEILING(ROUND(U42/(1-'Mi negocio'!$C$28),6),'Mi negocio'!$C$25),0)</f>
        <v/>
      </c>
      <c r="Z42" s="31">
        <f>IFERROR(CEILING(ROUND(U42/(1-'Mi negocio'!$C$29),6),'Mi negocio'!$C$25),0)</f>
        <v/>
      </c>
      <c r="AA42" s="31">
        <f>IFERROR(CEILING(ROUND(U42/(1-'Mi negocio'!$C$30),6),'Mi negocio'!$C$25),0)</f>
        <v/>
      </c>
    </row>
    <row r="43">
      <c r="A43" t="n">
        <v>39</v>
      </c>
      <c r="B43" s="21" t="inlineStr">
        <is>
          <t>Sierra de Chiapas &amp; Selva Alta (Butifarra Coleta de San Cristóbal, Tasajo de Cerdo Ahumado, Queso Chiapas de Cuadro Doble Crema y Queso de Bola de Ocosingo)</t>
        </is>
      </c>
      <c r="C43" s="22" t="inlineStr">
        <is>
          <t>Cap. 11 · México: chacinas y quesos de origen</t>
        </is>
      </c>
      <c r="D43" t="inlineStr">
        <is>
          <t>M</t>
        </is>
      </c>
      <c r="E43" t="inlineStr">
        <is>
          <t>P</t>
        </is>
      </c>
      <c r="F43" t="inlineStr">
        <is>
          <t>E</t>
        </is>
      </c>
      <c r="G43" t="inlineStr">
        <is>
          <t>tabla</t>
        </is>
      </c>
      <c r="H43" s="16" t="n">
        <v>1</v>
      </c>
      <c r="I43" s="17">
        <f>SUMIF(Ingredientes!$A$5:$A$530,A43,Ingredientes!$I$5:$I$530)</f>
        <v/>
      </c>
      <c r="J43" s="17">
        <f>IFERROR(I43/H43,0)</f>
        <v/>
      </c>
      <c r="K43" s="11" t="n">
        <v>19.5</v>
      </c>
      <c r="L43" s="17">
        <f>'Mi negocio'!$C$34</f>
        <v/>
      </c>
      <c r="M43" s="11" t="n">
        <v>2.6</v>
      </c>
      <c r="N43" s="16" t="n">
        <v>50</v>
      </c>
      <c r="O43" s="16" t="n">
        <v>18</v>
      </c>
      <c r="P43" s="17">
        <f>IFERROR((N43/MAX(1,'Mi negocio'!$C$26)+O43)/60*'Mi negocio'!$C$23,0)</f>
        <v/>
      </c>
      <c r="Q43" s="17">
        <f>'Mi negocio'!$C$20</f>
        <v/>
      </c>
      <c r="R43" s="17">
        <f>J43+K43+L43+M43+P43+Q43</f>
        <v/>
      </c>
      <c r="S43" s="27" t="n"/>
      <c r="T43" s="29">
        <f>IF(S43="",'Mi negocio'!$C$24,S43)</f>
        <v/>
      </c>
      <c r="U43" s="30">
        <f>IFERROR(R43/(1-T43),0)</f>
        <v/>
      </c>
      <c r="V43" s="6" t="n">
        <v>6</v>
      </c>
      <c r="W43" s="17">
        <f>IFERROR(U43/MAX(1,V43),0)</f>
        <v/>
      </c>
      <c r="X43" s="31">
        <f>IFERROR(CEILING(ROUND(U43/(1-'Mi negocio'!$C$27),6),'Mi negocio'!$C$25),0)</f>
        <v/>
      </c>
      <c r="Y43" s="31">
        <f>IFERROR(CEILING(ROUND(U43/(1-'Mi negocio'!$C$28),6),'Mi negocio'!$C$25),0)</f>
        <v/>
      </c>
      <c r="Z43" s="31">
        <f>IFERROR(CEILING(ROUND(U43/(1-'Mi negocio'!$C$29),6),'Mi negocio'!$C$25),0)</f>
        <v/>
      </c>
      <c r="AA43" s="31">
        <f>IFERROR(CEILING(ROUND(U43/(1-'Mi negocio'!$C$30),6),'Mi negocio'!$C$25),0)</f>
        <v/>
      </c>
    </row>
    <row r="44">
      <c r="A44" t="n">
        <v>40</v>
      </c>
      <c r="B44" s="21" t="inlineStr">
        <is>
          <t>Sierra Norte de Puebla &amp; Altiplano Poblano (Cecina de Chignahuapan Ahumada en Ocote, Lomo Enchilado Poblano, Queso Ahumado de Pahuatlán y Queso de Cabra al Romero de Tepeyahualco)</t>
        </is>
      </c>
      <c r="C44" s="22" t="inlineStr">
        <is>
          <t>Cap. 11 · México: chacinas y quesos de origen</t>
        </is>
      </c>
      <c r="D44" t="inlineStr">
        <is>
          <t>M</t>
        </is>
      </c>
      <c r="E44" t="inlineStr">
        <is>
          <t>P</t>
        </is>
      </c>
      <c r="F44" t="inlineStr">
        <is>
          <t>T</t>
        </is>
      </c>
      <c r="G44" t="inlineStr">
        <is>
          <t>tabla</t>
        </is>
      </c>
      <c r="H44" s="16" t="n">
        <v>1</v>
      </c>
      <c r="I44" s="17">
        <f>SUMIF(Ingredientes!$A$5:$A$530,A44,Ingredientes!$I$5:$I$530)</f>
        <v/>
      </c>
      <c r="J44" s="17">
        <f>IFERROR(I44/H44,0)</f>
        <v/>
      </c>
      <c r="K44" s="11" t="n">
        <v>19.5</v>
      </c>
      <c r="L44" s="17">
        <f>'Mi negocio'!$C$34</f>
        <v/>
      </c>
      <c r="M44" s="11" t="n">
        <v>2.6</v>
      </c>
      <c r="N44" s="16" t="n">
        <v>50</v>
      </c>
      <c r="O44" s="16" t="n">
        <v>18</v>
      </c>
      <c r="P44" s="17">
        <f>IFERROR((N44/MAX(1,'Mi negocio'!$C$26)+O44)/60*'Mi negocio'!$C$23,0)</f>
        <v/>
      </c>
      <c r="Q44" s="17">
        <f>'Mi negocio'!$C$20</f>
        <v/>
      </c>
      <c r="R44" s="17">
        <f>J44+K44+L44+M44+P44+Q44</f>
        <v/>
      </c>
      <c r="S44" s="27" t="n"/>
      <c r="T44" s="29">
        <f>IF(S44="",'Mi negocio'!$C$24,S44)</f>
        <v/>
      </c>
      <c r="U44" s="30">
        <f>IFERROR(R44/(1-T44),0)</f>
        <v/>
      </c>
      <c r="V44" s="6" t="n">
        <v>6</v>
      </c>
      <c r="W44" s="17">
        <f>IFERROR(U44/MAX(1,V44),0)</f>
        <v/>
      </c>
      <c r="X44" s="31">
        <f>IFERROR(CEILING(ROUND(U44/(1-'Mi negocio'!$C$27),6),'Mi negocio'!$C$25),0)</f>
        <v/>
      </c>
      <c r="Y44" s="31">
        <f>IFERROR(CEILING(ROUND(U44/(1-'Mi negocio'!$C$28),6),'Mi negocio'!$C$25),0)</f>
        <v/>
      </c>
      <c r="Z44" s="31">
        <f>IFERROR(CEILING(ROUND(U44/(1-'Mi negocio'!$C$29),6),'Mi negocio'!$C$25),0)</f>
        <v/>
      </c>
      <c r="AA44" s="31">
        <f>IFERROR(CEILING(ROUND(U44/(1-'Mi negocio'!$C$30),6),'Mi negocio'!$C$25),0)</f>
        <v/>
      </c>
    </row>
    <row r="45">
      <c r="A45" t="n">
        <v>41</v>
      </c>
      <c r="B45" s="21" t="inlineStr">
        <is>
          <t>Sinfonía de Azules Nobles (Roquefort AOP, Stilton DOP, Gorgonzola Piccante DOP, Magret de Pato Curado y Peras al Oporto)</t>
        </is>
      </c>
      <c r="C45" s="22" t="inlineStr">
        <is>
          <t>Cap. 12 · Monografías, armonías y tablas de celebración</t>
        </is>
      </c>
      <c r="D45" t="inlineStr">
        <is>
          <t>V</t>
        </is>
      </c>
      <c r="E45" t="inlineStr">
        <is>
          <t>A</t>
        </is>
      </c>
      <c r="F45" t="inlineStr">
        <is>
          <t>E</t>
        </is>
      </c>
      <c r="G45" t="inlineStr">
        <is>
          <t>tabla</t>
        </is>
      </c>
      <c r="H45" s="16" t="n">
        <v>1</v>
      </c>
      <c r="I45" s="17">
        <f>SUMIF(Ingredientes!$A$5:$A$530,A45,Ingredientes!$I$5:$I$530)</f>
        <v/>
      </c>
      <c r="J45" s="17">
        <f>IFERROR(I45/H45,0)</f>
        <v/>
      </c>
      <c r="K45" s="11" t="n">
        <v>19.5</v>
      </c>
      <c r="L45" s="17">
        <f>'Mi negocio'!$C$34</f>
        <v/>
      </c>
      <c r="M45" s="11" t="n">
        <v>3.4</v>
      </c>
      <c r="N45" s="16" t="n">
        <v>55</v>
      </c>
      <c r="O45" s="16" t="n">
        <v>20</v>
      </c>
      <c r="P45" s="17">
        <f>IFERROR((N45/MAX(1,'Mi negocio'!$C$26)+O45)/60*'Mi negocio'!$C$23,0)</f>
        <v/>
      </c>
      <c r="Q45" s="17">
        <f>'Mi negocio'!$C$20</f>
        <v/>
      </c>
      <c r="R45" s="17">
        <f>J45+K45+L45+M45+P45+Q45</f>
        <v/>
      </c>
      <c r="S45" s="27" t="n"/>
      <c r="T45" s="29">
        <f>IF(S45="",'Mi negocio'!$C$24,S45)</f>
        <v/>
      </c>
      <c r="U45" s="30">
        <f>IFERROR(R45/(1-T45),0)</f>
        <v/>
      </c>
      <c r="V45" s="6" t="n">
        <v>6</v>
      </c>
      <c r="W45" s="17">
        <f>IFERROR(U45/MAX(1,V45),0)</f>
        <v/>
      </c>
      <c r="X45" s="31">
        <f>IFERROR(CEILING(ROUND(U45/(1-'Mi negocio'!$C$27),6),'Mi negocio'!$C$25),0)</f>
        <v/>
      </c>
      <c r="Y45" s="31">
        <f>IFERROR(CEILING(ROUND(U45/(1-'Mi negocio'!$C$28),6),'Mi negocio'!$C$25),0)</f>
        <v/>
      </c>
      <c r="Z45" s="31">
        <f>IFERROR(CEILING(ROUND(U45/(1-'Mi negocio'!$C$29),6),'Mi negocio'!$C$25),0)</f>
        <v/>
      </c>
      <c r="AA45" s="31">
        <f>IFERROR(CEILING(ROUND(U45/(1-'Mi negocio'!$C$30),6),'Mi negocio'!$C$25),0)</f>
        <v/>
      </c>
    </row>
    <row r="46">
      <c r="A46" t="n">
        <v>42</v>
      </c>
      <c r="B46" s="21" t="inlineStr">
        <is>
          <t>Monografía del Queso de Cabra en Cuatro Maduraciones (Fresco Láctico, Rulo en Ceniza, Curado de Monte, Afinado en Cueva y Cecina de Chivo)</t>
        </is>
      </c>
      <c r="C46" s="22" t="inlineStr">
        <is>
          <t>Cap. 12 · Monografías, armonías y tablas de celebración</t>
        </is>
      </c>
      <c r="D46" t="inlineStr">
        <is>
          <t>V</t>
        </is>
      </c>
      <c r="E46" t="inlineStr">
        <is>
          <t>P</t>
        </is>
      </c>
      <c r="F46" t="inlineStr">
        <is>
          <t>E</t>
        </is>
      </c>
      <c r="G46" t="inlineStr">
        <is>
          <t>tabla</t>
        </is>
      </c>
      <c r="H46" s="16" t="n">
        <v>1</v>
      </c>
      <c r="I46" s="17">
        <f>SUMIF(Ingredientes!$A$5:$A$530,A46,Ingredientes!$I$5:$I$530)</f>
        <v/>
      </c>
      <c r="J46" s="17">
        <f>IFERROR(I46/H46,0)</f>
        <v/>
      </c>
      <c r="K46" s="11" t="n">
        <v>19.5</v>
      </c>
      <c r="L46" s="17">
        <f>'Mi negocio'!$C$34</f>
        <v/>
      </c>
      <c r="M46" s="11" t="n">
        <v>3.4</v>
      </c>
      <c r="N46" s="16" t="n">
        <v>55</v>
      </c>
      <c r="O46" s="16" t="n">
        <v>20</v>
      </c>
      <c r="P46" s="17">
        <f>IFERROR((N46/MAX(1,'Mi negocio'!$C$26)+O46)/60*'Mi negocio'!$C$23,0)</f>
        <v/>
      </c>
      <c r="Q46" s="17">
        <f>'Mi negocio'!$C$20</f>
        <v/>
      </c>
      <c r="R46" s="17">
        <f>J46+K46+L46+M46+P46+Q46</f>
        <v/>
      </c>
      <c r="S46" s="27" t="n"/>
      <c r="T46" s="29">
        <f>IF(S46="",'Mi negocio'!$C$24,S46)</f>
        <v/>
      </c>
      <c r="U46" s="30">
        <f>IFERROR(R46/(1-T46),0)</f>
        <v/>
      </c>
      <c r="V46" s="6" t="n">
        <v>6</v>
      </c>
      <c r="W46" s="17">
        <f>IFERROR(U46/MAX(1,V46),0)</f>
        <v/>
      </c>
      <c r="X46" s="31">
        <f>IFERROR(CEILING(ROUND(U46/(1-'Mi negocio'!$C$27),6),'Mi negocio'!$C$25),0)</f>
        <v/>
      </c>
      <c r="Y46" s="31">
        <f>IFERROR(CEILING(ROUND(U46/(1-'Mi negocio'!$C$28),6),'Mi negocio'!$C$25),0)</f>
        <v/>
      </c>
      <c r="Z46" s="31">
        <f>IFERROR(CEILING(ROUND(U46/(1-'Mi negocio'!$C$29),6),'Mi negocio'!$C$25),0)</f>
        <v/>
      </c>
      <c r="AA46" s="31">
        <f>IFERROR(CEILING(ROUND(U46/(1-'Mi negocio'!$C$30),6),'Mi negocio'!$C$25),0)</f>
        <v/>
      </c>
    </row>
    <row r="47">
      <c r="A47" t="n">
        <v>43</v>
      </c>
      <c r="B47" s="21" t="inlineStr">
        <is>
          <t>Barrica &amp; Gran Reserva (Jamón 100% Ibérico de Bellota Cinco Jotas, Parmigiano Reggiano DOP 36 Meses, Cecina de Buey Premium, Cacao 85% y Moras Silvestres)</t>
        </is>
      </c>
      <c r="C47" s="22" t="inlineStr">
        <is>
          <t>Cap. 12 · Monografías, armonías y tablas de celebración</t>
        </is>
      </c>
      <c r="D47" t="inlineStr">
        <is>
          <t>V</t>
        </is>
      </c>
      <c r="E47" t="inlineStr">
        <is>
          <t>D</t>
        </is>
      </c>
      <c r="F47" t="inlineStr">
        <is>
          <t>T</t>
        </is>
      </c>
      <c r="G47" t="inlineStr">
        <is>
          <t>tabla</t>
        </is>
      </c>
      <c r="H47" s="16" t="n">
        <v>1</v>
      </c>
      <c r="I47" s="17">
        <f>SUMIF(Ingredientes!$A$5:$A$530,A47,Ingredientes!$I$5:$I$530)</f>
        <v/>
      </c>
      <c r="J47" s="17">
        <f>IFERROR(I47/H47,0)</f>
        <v/>
      </c>
      <c r="K47" s="11" t="n">
        <v>19.5</v>
      </c>
      <c r="L47" s="17">
        <f>'Mi negocio'!$C$34</f>
        <v/>
      </c>
      <c r="M47" s="11" t="n">
        <v>3.4</v>
      </c>
      <c r="N47" s="16" t="n">
        <v>60</v>
      </c>
      <c r="O47" s="16" t="n">
        <v>22</v>
      </c>
      <c r="P47" s="17">
        <f>IFERROR((N47/MAX(1,'Mi negocio'!$C$26)+O47)/60*'Mi negocio'!$C$23,0)</f>
        <v/>
      </c>
      <c r="Q47" s="17">
        <f>'Mi negocio'!$C$20</f>
        <v/>
      </c>
      <c r="R47" s="17">
        <f>J47+K47+L47+M47+P47+Q47</f>
        <v/>
      </c>
      <c r="S47" s="27" t="n"/>
      <c r="T47" s="29">
        <f>IF(S47="",'Mi negocio'!$C$24,S47)</f>
        <v/>
      </c>
      <c r="U47" s="30">
        <f>IFERROR(R47/(1-T47),0)</f>
        <v/>
      </c>
      <c r="V47" s="6" t="n">
        <v>6</v>
      </c>
      <c r="W47" s="17">
        <f>IFERROR(U47/MAX(1,V47),0)</f>
        <v/>
      </c>
      <c r="X47" s="31">
        <f>IFERROR(CEILING(ROUND(U47/(1-'Mi negocio'!$C$27),6),'Mi negocio'!$C$25),0)</f>
        <v/>
      </c>
      <c r="Y47" s="31">
        <f>IFERROR(CEILING(ROUND(U47/(1-'Mi negocio'!$C$28),6),'Mi negocio'!$C$25),0)</f>
        <v/>
      </c>
      <c r="Z47" s="31">
        <f>IFERROR(CEILING(ROUND(U47/(1-'Mi negocio'!$C$29),6),'Mi negocio'!$C$25),0)</f>
        <v/>
      </c>
      <c r="AA47" s="31">
        <f>IFERROR(CEILING(ROUND(U47/(1-'Mi negocio'!$C$30),6),'Mi negocio'!$C$25),0)</f>
        <v/>
      </c>
    </row>
    <row r="48">
      <c r="A48" t="n">
        <v>44</v>
      </c>
      <c r="B48" s="21" t="inlineStr">
        <is>
          <t>Champagne, Trufa Negra &amp; Efervescencia (Brillat-Savarin AOP Trufado, Jamón de Pato Trufado, Gouda Añejo 24 Meses y Uvas Glaseadas)</t>
        </is>
      </c>
      <c r="C48" s="22" t="inlineStr">
        <is>
          <t>Cap. 12 · Monografías, armonías y tablas de celebración</t>
        </is>
      </c>
      <c r="D48" t="inlineStr">
        <is>
          <t>V</t>
        </is>
      </c>
      <c r="E48" t="inlineStr">
        <is>
          <t>B</t>
        </is>
      </c>
      <c r="F48" t="inlineStr">
        <is>
          <t>E</t>
        </is>
      </c>
      <c r="G48" t="inlineStr">
        <is>
          <t>tabla</t>
        </is>
      </c>
      <c r="H48" s="16" t="n">
        <v>1</v>
      </c>
      <c r="I48" s="17">
        <f>SUMIF(Ingredientes!$A$5:$A$530,A48,Ingredientes!$I$5:$I$530)</f>
        <v/>
      </c>
      <c r="J48" s="17">
        <f>IFERROR(I48/H48,0)</f>
        <v/>
      </c>
      <c r="K48" s="11" t="n">
        <v>19.5</v>
      </c>
      <c r="L48" s="17">
        <f>'Mi negocio'!$C$34</f>
        <v/>
      </c>
      <c r="M48" s="11" t="n">
        <v>3.4</v>
      </c>
      <c r="N48" s="16" t="n">
        <v>55</v>
      </c>
      <c r="O48" s="16" t="n">
        <v>20</v>
      </c>
      <c r="P48" s="17">
        <f>IFERROR((N48/MAX(1,'Mi negocio'!$C$26)+O48)/60*'Mi negocio'!$C$23,0)</f>
        <v/>
      </c>
      <c r="Q48" s="17">
        <f>'Mi negocio'!$C$20</f>
        <v/>
      </c>
      <c r="R48" s="17">
        <f>J48+K48+L48+M48+P48+Q48</f>
        <v/>
      </c>
      <c r="S48" s="27" t="n"/>
      <c r="T48" s="29">
        <f>IF(S48="",'Mi negocio'!$C$24,S48)</f>
        <v/>
      </c>
      <c r="U48" s="30">
        <f>IFERROR(R48/(1-T48),0)</f>
        <v/>
      </c>
      <c r="V48" s="6" t="n">
        <v>6</v>
      </c>
      <c r="W48" s="17">
        <f>IFERROR(U48/MAX(1,V48),0)</f>
        <v/>
      </c>
      <c r="X48" s="31">
        <f>IFERROR(CEILING(ROUND(U48/(1-'Mi negocio'!$C$27),6),'Mi negocio'!$C$25),0)</f>
        <v/>
      </c>
      <c r="Y48" s="31">
        <f>IFERROR(CEILING(ROUND(U48/(1-'Mi negocio'!$C$28),6),'Mi negocio'!$C$25),0)</f>
        <v/>
      </c>
      <c r="Z48" s="31">
        <f>IFERROR(CEILING(ROUND(U48/(1-'Mi negocio'!$C$29),6),'Mi negocio'!$C$25),0)</f>
        <v/>
      </c>
      <c r="AA48" s="31">
        <f>IFERROR(CEILING(ROUND(U48/(1-'Mi negocio'!$C$30),6),'Mi negocio'!$C$25),0)</f>
        <v/>
      </c>
    </row>
    <row r="49">
      <c r="A49" t="n">
        <v>45</v>
      </c>
      <c r="B49" s="21" t="inlineStr">
        <is>
          <t>Gala Navideña de Celebración (Foie Gras Micuit Tradicional, Jamón Ibérico de Bellota, Comté AOP 18 Meses, Turrón de Jijona y Pecanas)</t>
        </is>
      </c>
      <c r="C49" s="22" t="inlineStr">
        <is>
          <t>Cap. 12 · Monografías, armonías y tablas de celebración</t>
        </is>
      </c>
      <c r="D49" t="inlineStr">
        <is>
          <t>V</t>
        </is>
      </c>
      <c r="E49" t="inlineStr">
        <is>
          <t>D</t>
        </is>
      </c>
      <c r="F49" t="inlineStr">
        <is>
          <t>M</t>
        </is>
      </c>
      <c r="G49" t="inlineStr">
        <is>
          <t>tabla</t>
        </is>
      </c>
      <c r="H49" s="16" t="n">
        <v>1</v>
      </c>
      <c r="I49" s="17">
        <f>SUMIF(Ingredientes!$A$5:$A$530,A49,Ingredientes!$I$5:$I$530)</f>
        <v/>
      </c>
      <c r="J49" s="17">
        <f>IFERROR(I49/H49,0)</f>
        <v/>
      </c>
      <c r="K49" s="11" t="n">
        <v>19.5</v>
      </c>
      <c r="L49" s="17">
        <f>'Mi negocio'!$C$34</f>
        <v/>
      </c>
      <c r="M49" s="11" t="n">
        <v>3.4</v>
      </c>
      <c r="N49" s="16" t="n">
        <v>60</v>
      </c>
      <c r="O49" s="16" t="n">
        <v>22</v>
      </c>
      <c r="P49" s="17">
        <f>IFERROR((N49/MAX(1,'Mi negocio'!$C$26)+O49)/60*'Mi negocio'!$C$23,0)</f>
        <v/>
      </c>
      <c r="Q49" s="17">
        <f>'Mi negocio'!$C$20</f>
        <v/>
      </c>
      <c r="R49" s="17">
        <f>J49+K49+L49+M49+P49+Q49</f>
        <v/>
      </c>
      <c r="S49" s="27" t="n"/>
      <c r="T49" s="29">
        <f>IF(S49="",'Mi negocio'!$C$24,S49)</f>
        <v/>
      </c>
      <c r="U49" s="30">
        <f>IFERROR(R49/(1-T49),0)</f>
        <v/>
      </c>
      <c r="V49" s="6" t="n">
        <v>6</v>
      </c>
      <c r="W49" s="17">
        <f>IFERROR(U49/MAX(1,V49),0)</f>
        <v/>
      </c>
      <c r="X49" s="31">
        <f>IFERROR(CEILING(ROUND(U49/(1-'Mi negocio'!$C$27),6),'Mi negocio'!$C$25),0)</f>
        <v/>
      </c>
      <c r="Y49" s="31">
        <f>IFERROR(CEILING(ROUND(U49/(1-'Mi negocio'!$C$28),6),'Mi negocio'!$C$25),0)</f>
        <v/>
      </c>
      <c r="Z49" s="31">
        <f>IFERROR(CEILING(ROUND(U49/(1-'Mi negocio'!$C$29),6),'Mi negocio'!$C$25),0)</f>
        <v/>
      </c>
      <c r="AA49" s="31">
        <f>IFERROR(CEILING(ROUND(U49/(1-'Mi negocio'!$C$30),6),'Mi negocio'!$C$25),0)</f>
        <v/>
      </c>
    </row>
    <row r="50">
      <c r="A50" t="n">
        <v>46</v>
      </c>
      <c r="B50" s="21" t="inlineStr">
        <is>
          <t>Vermutería &amp; Aperitivo Tradicional (Gildas Dobles de Piparra y Anchoa del Cantábrico, Jamón de Cebo de Campo Ibérico, Queso Manchego Curado en AOVE y Almendras Marcona Fritas)</t>
        </is>
      </c>
      <c r="C50" s="22" t="inlineStr">
        <is>
          <t>Cap. 12 · Monografías, armonías y tablas de celebración</t>
        </is>
      </c>
      <c r="D50" t="inlineStr">
        <is>
          <t>V</t>
        </is>
      </c>
      <c r="E50" t="inlineStr">
        <is>
          <t>D</t>
        </is>
      </c>
      <c r="F50" t="inlineStr">
        <is>
          <t>T</t>
        </is>
      </c>
      <c r="G50" t="inlineStr">
        <is>
          <t>tabla</t>
        </is>
      </c>
      <c r="H50" s="16" t="n">
        <v>1</v>
      </c>
      <c r="I50" s="17">
        <f>SUMIF(Ingredientes!$A$5:$A$530,A50,Ingredientes!$I$5:$I$530)</f>
        <v/>
      </c>
      <c r="J50" s="17">
        <f>IFERROR(I50/H50,0)</f>
        <v/>
      </c>
      <c r="K50" s="11" t="n">
        <v>19.5</v>
      </c>
      <c r="L50" s="17">
        <f>'Mi negocio'!$C$34</f>
        <v/>
      </c>
      <c r="M50" s="11" t="n">
        <v>1.8</v>
      </c>
      <c r="N50" s="16" t="n">
        <v>50</v>
      </c>
      <c r="O50" s="16" t="n">
        <v>18</v>
      </c>
      <c r="P50" s="17">
        <f>IFERROR((N50/MAX(1,'Mi negocio'!$C$26)+O50)/60*'Mi negocio'!$C$23,0)</f>
        <v/>
      </c>
      <c r="Q50" s="17">
        <f>'Mi negocio'!$C$20</f>
        <v/>
      </c>
      <c r="R50" s="17">
        <f>J50+K50+L50+M50+P50+Q50</f>
        <v/>
      </c>
      <c r="S50" s="27" t="n"/>
      <c r="T50" s="29">
        <f>IF(S50="",'Mi negocio'!$C$24,S50)</f>
        <v/>
      </c>
      <c r="U50" s="30">
        <f>IFERROR(R50/(1-T50),0)</f>
        <v/>
      </c>
      <c r="V50" s="6" t="n">
        <v>6</v>
      </c>
      <c r="W50" s="17">
        <f>IFERROR(U50/MAX(1,V50),0)</f>
        <v/>
      </c>
      <c r="X50" s="31">
        <f>IFERROR(CEILING(ROUND(U50/(1-'Mi negocio'!$C$27),6),'Mi negocio'!$C$25),0)</f>
        <v/>
      </c>
      <c r="Y50" s="31">
        <f>IFERROR(CEILING(ROUND(U50/(1-'Mi negocio'!$C$28),6),'Mi negocio'!$C$25),0)</f>
        <v/>
      </c>
      <c r="Z50" s="31">
        <f>IFERROR(CEILING(ROUND(U50/(1-'Mi negocio'!$C$29),6),'Mi negocio'!$C$25),0)</f>
        <v/>
      </c>
      <c r="AA50" s="31">
        <f>IFERROR(CEILING(ROUND(U50/(1-'Mi negocio'!$C$30),6),'Mi negocio'!$C$25),0)</f>
        <v/>
      </c>
    </row>
    <row r="51">
      <c r="A51" t="n">
        <v>47</v>
      </c>
      <c r="B51" s="21" t="inlineStr">
        <is>
          <t>Cerveza Artesanal &amp; Lúpulo Fuerte (Chorizo Ahumado a la Cerveza IPA, Jamón de Praga Artesanal, Queso Cheddar Vintage 3 Años, Queso Gouda Ahumado y Mostaza en Grano)</t>
        </is>
      </c>
      <c r="C51" s="22" t="inlineStr">
        <is>
          <t>Cap. 12 · Monografías, armonías y tablas de celebración</t>
        </is>
      </c>
      <c r="D51" t="inlineStr">
        <is>
          <t>V</t>
        </is>
      </c>
      <c r="E51" t="inlineStr">
        <is>
          <t>D</t>
        </is>
      </c>
      <c r="F51" t="inlineStr">
        <is>
          <t>T</t>
        </is>
      </c>
      <c r="G51" t="inlineStr">
        <is>
          <t>tabla</t>
        </is>
      </c>
      <c r="H51" s="16" t="n">
        <v>1</v>
      </c>
      <c r="I51" s="17">
        <f>SUMIF(Ingredientes!$A$5:$A$530,A51,Ingredientes!$I$5:$I$530)</f>
        <v/>
      </c>
      <c r="J51" s="17">
        <f>IFERROR(I51/H51,0)</f>
        <v/>
      </c>
      <c r="K51" s="11" t="n">
        <v>19.5</v>
      </c>
      <c r="L51" s="17">
        <f>'Mi negocio'!$C$34</f>
        <v/>
      </c>
      <c r="M51" s="11" t="n">
        <v>2.6</v>
      </c>
      <c r="N51" s="16" t="n">
        <v>50</v>
      </c>
      <c r="O51" s="16" t="n">
        <v>18</v>
      </c>
      <c r="P51" s="17">
        <f>IFERROR((N51/MAX(1,'Mi negocio'!$C$26)+O51)/60*'Mi negocio'!$C$23,0)</f>
        <v/>
      </c>
      <c r="Q51" s="17">
        <f>'Mi negocio'!$C$20</f>
        <v/>
      </c>
      <c r="R51" s="17">
        <f>J51+K51+L51+M51+P51+Q51</f>
        <v/>
      </c>
      <c r="S51" s="27" t="n"/>
      <c r="T51" s="29">
        <f>IF(S51="",'Mi negocio'!$C$24,S51)</f>
        <v/>
      </c>
      <c r="U51" s="30">
        <f>IFERROR(R51/(1-T51),0)</f>
        <v/>
      </c>
      <c r="V51" s="6" t="n">
        <v>6</v>
      </c>
      <c r="W51" s="17">
        <f>IFERROR(U51/MAX(1,V51),0)</f>
        <v/>
      </c>
      <c r="X51" s="31">
        <f>IFERROR(CEILING(ROUND(U51/(1-'Mi negocio'!$C$27),6),'Mi negocio'!$C$25),0)</f>
        <v/>
      </c>
      <c r="Y51" s="31">
        <f>IFERROR(CEILING(ROUND(U51/(1-'Mi negocio'!$C$28),6),'Mi negocio'!$C$25),0)</f>
        <v/>
      </c>
      <c r="Z51" s="31">
        <f>IFERROR(CEILING(ROUND(U51/(1-'Mi negocio'!$C$29),6),'Mi negocio'!$C$25),0)</f>
        <v/>
      </c>
      <c r="AA51" s="31">
        <f>IFERROR(CEILING(ROUND(U51/(1-'Mi negocio'!$C$30),6),'Mi negocio'!$C$25),0)</f>
        <v/>
      </c>
    </row>
    <row r="52">
      <c r="A52" t="n">
        <v>48</v>
      </c>
      <c r="B52" s="21" t="inlineStr">
        <is>
          <t>Tabla Dulce de Cierre &amp; Postre de Quesos (Colston Bassett Stilton DOP con Miel de Bosque, Queso Manchego Viejo con Membrillo, Bresaola de Res Curada e Higos Negros)</t>
        </is>
      </c>
      <c r="C52" s="22" t="inlineStr">
        <is>
          <t>Cap. 12 · Monografías, armonías y tablas de celebración</t>
        </is>
      </c>
      <c r="D52" t="inlineStr">
        <is>
          <t>V</t>
        </is>
      </c>
      <c r="E52" t="inlineStr">
        <is>
          <t>D</t>
        </is>
      </c>
      <c r="F52" t="inlineStr">
        <is>
          <t>E</t>
        </is>
      </c>
      <c r="G52" t="inlineStr">
        <is>
          <t>tabla</t>
        </is>
      </c>
      <c r="H52" s="16" t="n">
        <v>1</v>
      </c>
      <c r="I52" s="17">
        <f>SUMIF(Ingredientes!$A$5:$A$530,A52,Ingredientes!$I$5:$I$530)</f>
        <v/>
      </c>
      <c r="J52" s="17">
        <f>IFERROR(I52/H52,0)</f>
        <v/>
      </c>
      <c r="K52" s="11" t="n">
        <v>19.5</v>
      </c>
      <c r="L52" s="17">
        <f>'Mi negocio'!$C$34</f>
        <v/>
      </c>
      <c r="M52" s="11" t="n">
        <v>2.6</v>
      </c>
      <c r="N52" s="16" t="n">
        <v>50</v>
      </c>
      <c r="O52" s="16" t="n">
        <v>18</v>
      </c>
      <c r="P52" s="17">
        <f>IFERROR((N52/MAX(1,'Mi negocio'!$C$26)+O52)/60*'Mi negocio'!$C$23,0)</f>
        <v/>
      </c>
      <c r="Q52" s="17">
        <f>'Mi negocio'!$C$20</f>
        <v/>
      </c>
      <c r="R52" s="17">
        <f>J52+K52+L52+M52+P52+Q52</f>
        <v/>
      </c>
      <c r="S52" s="27" t="n"/>
      <c r="T52" s="29">
        <f>IF(S52="",'Mi negocio'!$C$24,S52)</f>
        <v/>
      </c>
      <c r="U52" s="30">
        <f>IFERROR(R52/(1-T52),0)</f>
        <v/>
      </c>
      <c r="V52" s="6" t="n">
        <v>6</v>
      </c>
      <c r="W52" s="17">
        <f>IFERROR(U52/MAX(1,V52),0)</f>
        <v/>
      </c>
      <c r="X52" s="31">
        <f>IFERROR(CEILING(ROUND(U52/(1-'Mi negocio'!$C$27),6),'Mi negocio'!$C$25),0)</f>
        <v/>
      </c>
      <c r="Y52" s="31">
        <f>IFERROR(CEILING(ROUND(U52/(1-'Mi negocio'!$C$28),6),'Mi negocio'!$C$25),0)</f>
        <v/>
      </c>
      <c r="Z52" s="31">
        <f>IFERROR(CEILING(ROUND(U52/(1-'Mi negocio'!$C$29),6),'Mi negocio'!$C$25),0)</f>
        <v/>
      </c>
      <c r="AA52" s="31">
        <f>IFERROR(CEILING(ROUND(U52/(1-'Mi negocio'!$C$30),6),'Mi negocio'!$C$25),0)</f>
        <v/>
      </c>
    </row>
    <row r="53">
      <c r="A53" t="n">
        <v>49</v>
      </c>
      <c r="B53" s="21" t="inlineStr">
        <is>
          <t>Rústica de Senderismo &amp; Montaña (Salchichón de Campaña Grueso a la Pimienta, Queso Duro de Pastor de Trashumancia, Cecina de Vacuno Curada al Viento, Pan de Hogaza y Frutos Secos)</t>
        </is>
      </c>
      <c r="C53" s="22" t="inlineStr">
        <is>
          <t>Cap. 12 · Monografías, armonías y tablas de celebración</t>
        </is>
      </c>
      <c r="D53" t="inlineStr">
        <is>
          <t>V</t>
        </is>
      </c>
      <c r="E53" t="inlineStr">
        <is>
          <t>D</t>
        </is>
      </c>
      <c r="F53" t="inlineStr">
        <is>
          <t>T</t>
        </is>
      </c>
      <c r="G53" t="inlineStr">
        <is>
          <t>tabla</t>
        </is>
      </c>
      <c r="H53" s="16" t="n">
        <v>1</v>
      </c>
      <c r="I53" s="17">
        <f>SUMIF(Ingredientes!$A$5:$A$530,A53,Ingredientes!$I$5:$I$530)</f>
        <v/>
      </c>
      <c r="J53" s="17">
        <f>IFERROR(I53/H53,0)</f>
        <v/>
      </c>
      <c r="K53" s="11" t="n">
        <v>19.5</v>
      </c>
      <c r="L53" s="17">
        <f>'Mi negocio'!$C$34</f>
        <v/>
      </c>
      <c r="M53" s="11" t="n">
        <v>1.8</v>
      </c>
      <c r="N53" s="16" t="n">
        <v>50</v>
      </c>
      <c r="O53" s="16" t="n">
        <v>18</v>
      </c>
      <c r="P53" s="17">
        <f>IFERROR((N53/MAX(1,'Mi negocio'!$C$26)+O53)/60*'Mi negocio'!$C$23,0)</f>
        <v/>
      </c>
      <c r="Q53" s="17">
        <f>'Mi negocio'!$C$20</f>
        <v/>
      </c>
      <c r="R53" s="17">
        <f>J53+K53+L53+M53+P53+Q53</f>
        <v/>
      </c>
      <c r="S53" s="27" t="n"/>
      <c r="T53" s="29">
        <f>IF(S53="",'Mi negocio'!$C$24,S53)</f>
        <v/>
      </c>
      <c r="U53" s="30">
        <f>IFERROR(R53/(1-T53),0)</f>
        <v/>
      </c>
      <c r="V53" s="6" t="n">
        <v>6</v>
      </c>
      <c r="W53" s="17">
        <f>IFERROR(U53/MAX(1,V53),0)</f>
        <v/>
      </c>
      <c r="X53" s="31">
        <f>IFERROR(CEILING(ROUND(U53/(1-'Mi negocio'!$C$27),6),'Mi negocio'!$C$25),0)</f>
        <v/>
      </c>
      <c r="Y53" s="31">
        <f>IFERROR(CEILING(ROUND(U53/(1-'Mi negocio'!$C$28),6),'Mi negocio'!$C$25),0)</f>
        <v/>
      </c>
      <c r="Z53" s="31">
        <f>IFERROR(CEILING(ROUND(U53/(1-'Mi negocio'!$C$29),6),'Mi negocio'!$C$25),0)</f>
        <v/>
      </c>
      <c r="AA53" s="31">
        <f>IFERROR(CEILING(ROUND(U53/(1-'Mi negocio'!$C$30),6),'Mi negocio'!$C$25),0)</f>
        <v/>
      </c>
    </row>
    <row r="54">
      <c r="A54" t="n">
        <v>50</v>
      </c>
      <c r="B54" s="21" t="inlineStr">
        <is>
          <t>Gran Gala Centenaria de Reyes (Cinco Jamones Nobles del Mundo, Cinco Grandes Quesos de Guarda, Néctares Nobles, Frutas de Pasión y Panes de Masa Madre)</t>
        </is>
      </c>
      <c r="C54" s="22" t="inlineStr">
        <is>
          <t>Cap. 12 · Monografías, armonías y tablas de celebración</t>
        </is>
      </c>
      <c r="D54" t="inlineStr">
        <is>
          <t>V</t>
        </is>
      </c>
      <c r="E54" t="inlineStr">
        <is>
          <t>D</t>
        </is>
      </c>
      <c r="F54" t="inlineStr">
        <is>
          <t>E</t>
        </is>
      </c>
      <c r="G54" t="inlineStr">
        <is>
          <t>tabla</t>
        </is>
      </c>
      <c r="H54" s="16" t="n">
        <v>1</v>
      </c>
      <c r="I54" s="17">
        <f>SUMIF(Ingredientes!$A$5:$A$530,A54,Ingredientes!$I$5:$I$530)</f>
        <v/>
      </c>
      <c r="J54" s="17">
        <f>IFERROR(I54/H54,0)</f>
        <v/>
      </c>
      <c r="K54" s="11" t="n">
        <v>39.1</v>
      </c>
      <c r="L54" s="17">
        <f>'Mi negocio'!$C$34</f>
        <v/>
      </c>
      <c r="M54" s="11" t="n">
        <v>3.4</v>
      </c>
      <c r="N54" s="16" t="n">
        <v>110</v>
      </c>
      <c r="O54" s="16" t="n">
        <v>40</v>
      </c>
      <c r="P54" s="17">
        <f>IFERROR((N54/MAX(1,'Mi negocio'!$C$26)+O54)/60*'Mi negocio'!$C$23,0)</f>
        <v/>
      </c>
      <c r="Q54" s="17">
        <f>'Mi negocio'!$C$20</f>
        <v/>
      </c>
      <c r="R54" s="17">
        <f>J54+K54+L54+M54+P54+Q54</f>
        <v/>
      </c>
      <c r="S54" s="27" t="n"/>
      <c r="T54" s="29">
        <f>IF(S54="",'Mi negocio'!$C$24,S54)</f>
        <v/>
      </c>
      <c r="U54" s="30">
        <f>IFERROR(R54/(1-T54),0)</f>
        <v/>
      </c>
      <c r="V54" s="6" t="n">
        <v>12</v>
      </c>
      <c r="W54" s="17">
        <f>IFERROR(U54/MAX(1,V54),0)</f>
        <v/>
      </c>
      <c r="X54" s="31">
        <f>IFERROR(CEILING(ROUND(U54/(1-'Mi negocio'!$C$27),6),'Mi negocio'!$C$25),0)</f>
        <v/>
      </c>
      <c r="Y54" s="31">
        <f>IFERROR(CEILING(ROUND(U54/(1-'Mi negocio'!$C$28),6),'Mi negocio'!$C$25),0)</f>
        <v/>
      </c>
      <c r="Z54" s="31">
        <f>IFERROR(CEILING(ROUND(U54/(1-'Mi negocio'!$C$29),6),'Mi negocio'!$C$25),0)</f>
        <v/>
      </c>
      <c r="AA54" s="31">
        <f>IFERROR(CEILING(ROUND(U54/(1-'Mi negocio'!$C$30),6),'Mi negocio'!$C$25),0)</f>
        <v/>
      </c>
    </row>
    <row r="56">
      <c r="B56" s="7" t="inlineStr">
        <is>
          <t>Los minutos de corte y mise en place son por tanda completa y se reparten entre las tablas por tanda de Mi negocio; los de montaje son por tabla y no bajan con la escala. Deja «Merma propia» vacía para usar la merma por defecto de Mi negocio. Bloque: E España · I Italia · F Francia · M México · V monografías y celebración. Queso: D pasta dura · P prensada · B blanda · A azul · H hilada. Frío: E estricta · M media · T tolerante. IMPORTANTE: el precio real de tu charcutería y de tus quesos es el de compra dividido entre tu rendimiento real de corte. Captura ese número en «Insumos», no el de la factura.</t>
        </is>
      </c>
    </row>
  </sheetData>
  <autoFilter ref="A4:AA54"/>
  <conditionalFormatting sqref="U5:U54">
    <cfRule type="colorScale" priority="1">
      <colorScale>
        <cfvo type="min"/>
        <cfvo type="percentile" val="50"/>
        <cfvo type="max"/>
        <color rgb="00E7F3EC"/>
        <color rgb="00FFF2C4"/>
        <color rgb="00F9D3C7"/>
      </colorScale>
    </cfRule>
  </conditionalFormatting>
  <pageMargins left="0.75" right="0.75" top="1" bottom="1" header="0.5" footer="0.5"/>
</worksheet>
</file>

<file path=xl/worksheets/sheet7.xml><?xml version="1.0" encoding="utf-8"?>
<worksheet xmlns="http://schemas.openxmlformats.org/spreadsheetml/2006/main">
  <sheetPr>
    <tabColor rgb="00C98BCB"/>
    <outlinePr summaryBelow="1" summaryRight="1"/>
    <pageSetUpPr/>
  </sheetPr>
  <dimension ref="A1:L304"/>
  <sheetViews>
    <sheetView showGridLines="0" workbookViewId="0">
      <pane ySplit="4" topLeftCell="A5" activePane="bottomLeft" state="frozen"/>
      <selection pane="bottomLeft" activeCell="A1" sqref="A1"/>
    </sheetView>
  </sheetViews>
  <sheetFormatPr baseColWidth="8" defaultRowHeight="15"/>
  <cols>
    <col width="12" customWidth="1" min="1" max="1"/>
    <col width="11" customWidth="1" min="2" max="2"/>
    <col width="8" customWidth="1" min="3" max="3"/>
    <col width="46" customWidth="1" min="4" max="4"/>
    <col width="10" customWidth="1" min="5" max="5"/>
    <col width="9" customWidth="1" min="6" max="6"/>
    <col width="9" customWidth="1" min="7" max="7"/>
    <col width="10" customWidth="1" min="8" max="8"/>
    <col width="12" customWidth="1" min="9" max="9"/>
    <col width="12" customWidth="1" min="10" max="10"/>
    <col width="34" customWidth="1" min="11" max="11"/>
    <col width="26" customWidth="1" min="12" max="12"/>
  </cols>
  <sheetData>
    <row r="1">
      <c r="A1" s="1" t="inlineStr">
        <is>
          <t>Producción y merma</t>
        </is>
      </c>
    </row>
    <row r="2">
      <c r="A2" s="7" t="inlineStr">
        <is>
          <t>Una fila por lote o tanda. La primera fila es un ejemplo: sobrescríbela.</t>
        </is>
      </c>
    </row>
    <row r="4" ht="30" customHeight="1">
      <c r="A4" s="8" t="inlineStr">
        <is>
          <t>Fecha</t>
        </is>
      </c>
      <c r="B4" s="8" t="inlineStr">
        <is>
          <t>Lote</t>
        </is>
      </c>
      <c r="C4" s="8" t="inlineStr">
        <is>
          <t>Nº receta</t>
        </is>
      </c>
      <c r="D4" s="8" t="inlineStr">
        <is>
          <t>Receta</t>
        </is>
      </c>
      <c r="E4" s="8" t="inlineStr">
        <is>
          <t>Planeadas</t>
        </is>
      </c>
      <c r="F4" s="8" t="inlineStr">
        <is>
          <t>Buenas</t>
        </is>
      </c>
      <c r="G4" s="8" t="inlineStr">
        <is>
          <t>Falladas</t>
        </is>
      </c>
      <c r="H4" s="8" t="inlineStr">
        <is>
          <t>% merma</t>
        </is>
      </c>
      <c r="I4" s="8" t="inlineStr">
        <is>
          <t>Costo total unitario</t>
        </is>
      </c>
      <c r="J4" s="8" t="inlineStr">
        <is>
          <t>Costo de la merma</t>
        </is>
      </c>
      <c r="K4" s="8" t="inlineStr">
        <is>
          <t>Causa principal</t>
        </is>
      </c>
      <c r="L4" s="8" t="inlineStr">
        <is>
          <t>Notas</t>
        </is>
      </c>
    </row>
    <row r="5">
      <c r="A5" s="32" t="n">
        <v>46298</v>
      </c>
      <c r="B5" s="6" t="inlineStr">
        <is>
          <t>L-2610-01</t>
        </is>
      </c>
      <c r="C5" s="6" t="n">
        <v>11</v>
      </c>
      <c r="D5">
        <f>IF(C5="","",IFERROR(VLOOKUP(C5,'Recetas y precios'!$A$5:$B$54,2,FALSE),""))</f>
        <v/>
      </c>
      <c r="E5" s="6" t="n">
        <v>12</v>
      </c>
      <c r="F5" s="6" t="n">
        <v>11</v>
      </c>
      <c r="G5" s="6" t="n">
        <v>1</v>
      </c>
      <c r="H5" s="29">
        <f>IF((F5+G5)&gt;0,G5/(F5+G5),"")</f>
        <v/>
      </c>
      <c r="I5" s="17">
        <f>IF(C5="",0,IFERROR(VLOOKUP(C5,'Recetas y precios'!$A$5:$U$54,21,FALSE),0))</f>
        <v/>
      </c>
      <c r="J5" s="17">
        <f>G5*I5</f>
        <v/>
      </c>
      <c r="K5" s="6" t="inlineStr">
        <is>
          <t>Queso o charcutería fuera de punto al abrir</t>
        </is>
      </c>
      <c r="L5" s="6" t="inlineStr">
        <is>
          <t>Fila de ejemplo</t>
        </is>
      </c>
    </row>
    <row r="6">
      <c r="A6" s="32" t="n"/>
      <c r="B6" s="6" t="n"/>
      <c r="C6" s="6" t="n"/>
      <c r="D6">
        <f>IF(C6="","",IFERROR(VLOOKUP(C6,'Recetas y precios'!$A$5:$B$54,2,FALSE),""))</f>
        <v/>
      </c>
      <c r="E6" s="6" t="n"/>
      <c r="F6" s="6" t="n"/>
      <c r="G6" s="6" t="n"/>
      <c r="H6" s="29">
        <f>IF((F6+G6)&gt;0,G6/(F6+G6),"")</f>
        <v/>
      </c>
      <c r="I6" s="17">
        <f>IF(C6="",0,IFERROR(VLOOKUP(C6,'Recetas y precios'!$A$5:$U$54,21,FALSE),0))</f>
        <v/>
      </c>
      <c r="J6" s="17">
        <f>G6*I6</f>
        <v/>
      </c>
      <c r="K6" s="6" t="n"/>
      <c r="L6" s="6" t="n"/>
    </row>
    <row r="7">
      <c r="A7" s="32" t="n"/>
      <c r="B7" s="6" t="n"/>
      <c r="C7" s="6" t="n"/>
      <c r="D7">
        <f>IF(C7="","",IFERROR(VLOOKUP(C7,'Recetas y precios'!$A$5:$B$54,2,FALSE),""))</f>
        <v/>
      </c>
      <c r="E7" s="6" t="n"/>
      <c r="F7" s="6" t="n"/>
      <c r="G7" s="6" t="n"/>
      <c r="H7" s="29">
        <f>IF((F7+G7)&gt;0,G7/(F7+G7),"")</f>
        <v/>
      </c>
      <c r="I7" s="17">
        <f>IF(C7="",0,IFERROR(VLOOKUP(C7,'Recetas y precios'!$A$5:$U$54,21,FALSE),0))</f>
        <v/>
      </c>
      <c r="J7" s="17">
        <f>G7*I7</f>
        <v/>
      </c>
      <c r="K7" s="6" t="n"/>
      <c r="L7" s="6" t="n"/>
    </row>
    <row r="8">
      <c r="A8" s="32" t="n"/>
      <c r="B8" s="6" t="n"/>
      <c r="C8" s="6" t="n"/>
      <c r="D8">
        <f>IF(C8="","",IFERROR(VLOOKUP(C8,'Recetas y precios'!$A$5:$B$54,2,FALSE),""))</f>
        <v/>
      </c>
      <c r="E8" s="6" t="n"/>
      <c r="F8" s="6" t="n"/>
      <c r="G8" s="6" t="n"/>
      <c r="H8" s="29">
        <f>IF((F8+G8)&gt;0,G8/(F8+G8),"")</f>
        <v/>
      </c>
      <c r="I8" s="17">
        <f>IF(C8="",0,IFERROR(VLOOKUP(C8,'Recetas y precios'!$A$5:$U$54,21,FALSE),0))</f>
        <v/>
      </c>
      <c r="J8" s="17">
        <f>G8*I8</f>
        <v/>
      </c>
      <c r="K8" s="6" t="n"/>
      <c r="L8" s="6" t="n"/>
    </row>
    <row r="9">
      <c r="A9" s="32" t="n"/>
      <c r="B9" s="6" t="n"/>
      <c r="C9" s="6" t="n"/>
      <c r="D9">
        <f>IF(C9="","",IFERROR(VLOOKUP(C9,'Recetas y precios'!$A$5:$B$54,2,FALSE),""))</f>
        <v/>
      </c>
      <c r="E9" s="6" t="n"/>
      <c r="F9" s="6" t="n"/>
      <c r="G9" s="6" t="n"/>
      <c r="H9" s="29">
        <f>IF((F9+G9)&gt;0,G9/(F9+G9),"")</f>
        <v/>
      </c>
      <c r="I9" s="17">
        <f>IF(C9="",0,IFERROR(VLOOKUP(C9,'Recetas y precios'!$A$5:$U$54,21,FALSE),0))</f>
        <v/>
      </c>
      <c r="J9" s="17">
        <f>G9*I9</f>
        <v/>
      </c>
      <c r="K9" s="6" t="n"/>
      <c r="L9" s="6" t="n"/>
    </row>
    <row r="10">
      <c r="A10" s="32" t="n"/>
      <c r="B10" s="6" t="n"/>
      <c r="C10" s="6" t="n"/>
      <c r="D10">
        <f>IF(C10="","",IFERROR(VLOOKUP(C10,'Recetas y precios'!$A$5:$B$54,2,FALSE),""))</f>
        <v/>
      </c>
      <c r="E10" s="6" t="n"/>
      <c r="F10" s="6" t="n"/>
      <c r="G10" s="6" t="n"/>
      <c r="H10" s="29">
        <f>IF((F10+G10)&gt;0,G10/(F10+G10),"")</f>
        <v/>
      </c>
      <c r="I10" s="17">
        <f>IF(C10="",0,IFERROR(VLOOKUP(C10,'Recetas y precios'!$A$5:$U$54,21,FALSE),0))</f>
        <v/>
      </c>
      <c r="J10" s="17">
        <f>G10*I10</f>
        <v/>
      </c>
      <c r="K10" s="6" t="n"/>
      <c r="L10" s="6" t="n"/>
    </row>
    <row r="11">
      <c r="A11" s="32" t="n"/>
      <c r="B11" s="6" t="n"/>
      <c r="C11" s="6" t="n"/>
      <c r="D11">
        <f>IF(C11="","",IFERROR(VLOOKUP(C11,'Recetas y precios'!$A$5:$B$54,2,FALSE),""))</f>
        <v/>
      </c>
      <c r="E11" s="6" t="n"/>
      <c r="F11" s="6" t="n"/>
      <c r="G11" s="6" t="n"/>
      <c r="H11" s="29">
        <f>IF((F11+G11)&gt;0,G11/(F11+G11),"")</f>
        <v/>
      </c>
      <c r="I11" s="17">
        <f>IF(C11="",0,IFERROR(VLOOKUP(C11,'Recetas y precios'!$A$5:$U$54,21,FALSE),0))</f>
        <v/>
      </c>
      <c r="J11" s="17">
        <f>G11*I11</f>
        <v/>
      </c>
      <c r="K11" s="6" t="n"/>
      <c r="L11" s="6" t="n"/>
    </row>
    <row r="12">
      <c r="A12" s="32" t="n"/>
      <c r="B12" s="6" t="n"/>
      <c r="C12" s="6" t="n"/>
      <c r="D12">
        <f>IF(C12="","",IFERROR(VLOOKUP(C12,'Recetas y precios'!$A$5:$B$54,2,FALSE),""))</f>
        <v/>
      </c>
      <c r="E12" s="6" t="n"/>
      <c r="F12" s="6" t="n"/>
      <c r="G12" s="6" t="n"/>
      <c r="H12" s="29">
        <f>IF((F12+G12)&gt;0,G12/(F12+G12),"")</f>
        <v/>
      </c>
      <c r="I12" s="17">
        <f>IF(C12="",0,IFERROR(VLOOKUP(C12,'Recetas y precios'!$A$5:$U$54,21,FALSE),0))</f>
        <v/>
      </c>
      <c r="J12" s="17">
        <f>G12*I12</f>
        <v/>
      </c>
      <c r="K12" s="6" t="n"/>
      <c r="L12" s="6" t="n"/>
    </row>
    <row r="13">
      <c r="A13" s="32" t="n"/>
      <c r="B13" s="6" t="n"/>
      <c r="C13" s="6" t="n"/>
      <c r="D13">
        <f>IF(C13="","",IFERROR(VLOOKUP(C13,'Recetas y precios'!$A$5:$B$54,2,FALSE),""))</f>
        <v/>
      </c>
      <c r="E13" s="6" t="n"/>
      <c r="F13" s="6" t="n"/>
      <c r="G13" s="6" t="n"/>
      <c r="H13" s="29">
        <f>IF((F13+G13)&gt;0,G13/(F13+G13),"")</f>
        <v/>
      </c>
      <c r="I13" s="17">
        <f>IF(C13="",0,IFERROR(VLOOKUP(C13,'Recetas y precios'!$A$5:$U$54,21,FALSE),0))</f>
        <v/>
      </c>
      <c r="J13" s="17">
        <f>G13*I13</f>
        <v/>
      </c>
      <c r="K13" s="6" t="n"/>
      <c r="L13" s="6" t="n"/>
    </row>
    <row r="14">
      <c r="A14" s="32" t="n"/>
      <c r="B14" s="6" t="n"/>
      <c r="C14" s="6" t="n"/>
      <c r="D14">
        <f>IF(C14="","",IFERROR(VLOOKUP(C14,'Recetas y precios'!$A$5:$B$54,2,FALSE),""))</f>
        <v/>
      </c>
      <c r="E14" s="6" t="n"/>
      <c r="F14" s="6" t="n"/>
      <c r="G14" s="6" t="n"/>
      <c r="H14" s="29">
        <f>IF((F14+G14)&gt;0,G14/(F14+G14),"")</f>
        <v/>
      </c>
      <c r="I14" s="17">
        <f>IF(C14="",0,IFERROR(VLOOKUP(C14,'Recetas y precios'!$A$5:$U$54,21,FALSE),0))</f>
        <v/>
      </c>
      <c r="J14" s="17">
        <f>G14*I14</f>
        <v/>
      </c>
      <c r="K14" s="6" t="n"/>
      <c r="L14" s="6" t="n"/>
    </row>
    <row r="15">
      <c r="A15" s="32" t="n"/>
      <c r="B15" s="6" t="n"/>
      <c r="C15" s="6" t="n"/>
      <c r="D15">
        <f>IF(C15="","",IFERROR(VLOOKUP(C15,'Recetas y precios'!$A$5:$B$54,2,FALSE),""))</f>
        <v/>
      </c>
      <c r="E15" s="6" t="n"/>
      <c r="F15" s="6" t="n"/>
      <c r="G15" s="6" t="n"/>
      <c r="H15" s="29">
        <f>IF((F15+G15)&gt;0,G15/(F15+G15),"")</f>
        <v/>
      </c>
      <c r="I15" s="17">
        <f>IF(C15="",0,IFERROR(VLOOKUP(C15,'Recetas y precios'!$A$5:$U$54,21,FALSE),0))</f>
        <v/>
      </c>
      <c r="J15" s="17">
        <f>G15*I15</f>
        <v/>
      </c>
      <c r="K15" s="6" t="n"/>
      <c r="L15" s="6" t="n"/>
    </row>
    <row r="16">
      <c r="A16" s="32" t="n"/>
      <c r="B16" s="6" t="n"/>
      <c r="C16" s="6" t="n"/>
      <c r="D16">
        <f>IF(C16="","",IFERROR(VLOOKUP(C16,'Recetas y precios'!$A$5:$B$54,2,FALSE),""))</f>
        <v/>
      </c>
      <c r="E16" s="6" t="n"/>
      <c r="F16" s="6" t="n"/>
      <c r="G16" s="6" t="n"/>
      <c r="H16" s="29">
        <f>IF((F16+G16)&gt;0,G16/(F16+G16),"")</f>
        <v/>
      </c>
      <c r="I16" s="17">
        <f>IF(C16="",0,IFERROR(VLOOKUP(C16,'Recetas y precios'!$A$5:$U$54,21,FALSE),0))</f>
        <v/>
      </c>
      <c r="J16" s="17">
        <f>G16*I16</f>
        <v/>
      </c>
      <c r="K16" s="6" t="n"/>
      <c r="L16" s="6" t="n"/>
    </row>
    <row r="17">
      <c r="A17" s="32" t="n"/>
      <c r="B17" s="6" t="n"/>
      <c r="C17" s="6" t="n"/>
      <c r="D17">
        <f>IF(C17="","",IFERROR(VLOOKUP(C17,'Recetas y precios'!$A$5:$B$54,2,FALSE),""))</f>
        <v/>
      </c>
      <c r="E17" s="6" t="n"/>
      <c r="F17" s="6" t="n"/>
      <c r="G17" s="6" t="n"/>
      <c r="H17" s="29">
        <f>IF((F17+G17)&gt;0,G17/(F17+G17),"")</f>
        <v/>
      </c>
      <c r="I17" s="17">
        <f>IF(C17="",0,IFERROR(VLOOKUP(C17,'Recetas y precios'!$A$5:$U$54,21,FALSE),0))</f>
        <v/>
      </c>
      <c r="J17" s="17">
        <f>G17*I17</f>
        <v/>
      </c>
      <c r="K17" s="6" t="n"/>
      <c r="L17" s="6" t="n"/>
    </row>
    <row r="18">
      <c r="A18" s="32" t="n"/>
      <c r="B18" s="6" t="n"/>
      <c r="C18" s="6" t="n"/>
      <c r="D18">
        <f>IF(C18="","",IFERROR(VLOOKUP(C18,'Recetas y precios'!$A$5:$B$54,2,FALSE),""))</f>
        <v/>
      </c>
      <c r="E18" s="6" t="n"/>
      <c r="F18" s="6" t="n"/>
      <c r="G18" s="6" t="n"/>
      <c r="H18" s="29">
        <f>IF((F18+G18)&gt;0,G18/(F18+G18),"")</f>
        <v/>
      </c>
      <c r="I18" s="17">
        <f>IF(C18="",0,IFERROR(VLOOKUP(C18,'Recetas y precios'!$A$5:$U$54,21,FALSE),0))</f>
        <v/>
      </c>
      <c r="J18" s="17">
        <f>G18*I18</f>
        <v/>
      </c>
      <c r="K18" s="6" t="n"/>
      <c r="L18" s="6" t="n"/>
    </row>
    <row r="19">
      <c r="A19" s="32" t="n"/>
      <c r="B19" s="6" t="n"/>
      <c r="C19" s="6" t="n"/>
      <c r="D19">
        <f>IF(C19="","",IFERROR(VLOOKUP(C19,'Recetas y precios'!$A$5:$B$54,2,FALSE),""))</f>
        <v/>
      </c>
      <c r="E19" s="6" t="n"/>
      <c r="F19" s="6" t="n"/>
      <c r="G19" s="6" t="n"/>
      <c r="H19" s="29">
        <f>IF((F19+G19)&gt;0,G19/(F19+G19),"")</f>
        <v/>
      </c>
      <c r="I19" s="17">
        <f>IF(C19="",0,IFERROR(VLOOKUP(C19,'Recetas y precios'!$A$5:$U$54,21,FALSE),0))</f>
        <v/>
      </c>
      <c r="J19" s="17">
        <f>G19*I19</f>
        <v/>
      </c>
      <c r="K19" s="6" t="n"/>
      <c r="L19" s="6" t="n"/>
    </row>
    <row r="20">
      <c r="A20" s="32" t="n"/>
      <c r="B20" s="6" t="n"/>
      <c r="C20" s="6" t="n"/>
      <c r="D20">
        <f>IF(C20="","",IFERROR(VLOOKUP(C20,'Recetas y precios'!$A$5:$B$54,2,FALSE),""))</f>
        <v/>
      </c>
      <c r="E20" s="6" t="n"/>
      <c r="F20" s="6" t="n"/>
      <c r="G20" s="6" t="n"/>
      <c r="H20" s="29">
        <f>IF((F20+G20)&gt;0,G20/(F20+G20),"")</f>
        <v/>
      </c>
      <c r="I20" s="17">
        <f>IF(C20="",0,IFERROR(VLOOKUP(C20,'Recetas y precios'!$A$5:$U$54,21,FALSE),0))</f>
        <v/>
      </c>
      <c r="J20" s="17">
        <f>G20*I20</f>
        <v/>
      </c>
      <c r="K20" s="6" t="n"/>
      <c r="L20" s="6" t="n"/>
    </row>
    <row r="21">
      <c r="A21" s="32" t="n"/>
      <c r="B21" s="6" t="n"/>
      <c r="C21" s="6" t="n"/>
      <c r="D21">
        <f>IF(C21="","",IFERROR(VLOOKUP(C21,'Recetas y precios'!$A$5:$B$54,2,FALSE),""))</f>
        <v/>
      </c>
      <c r="E21" s="6" t="n"/>
      <c r="F21" s="6" t="n"/>
      <c r="G21" s="6" t="n"/>
      <c r="H21" s="29">
        <f>IF((F21+G21)&gt;0,G21/(F21+G21),"")</f>
        <v/>
      </c>
      <c r="I21" s="17">
        <f>IF(C21="",0,IFERROR(VLOOKUP(C21,'Recetas y precios'!$A$5:$U$54,21,FALSE),0))</f>
        <v/>
      </c>
      <c r="J21" s="17">
        <f>G21*I21</f>
        <v/>
      </c>
      <c r="K21" s="6" t="n"/>
      <c r="L21" s="6" t="n"/>
    </row>
    <row r="22">
      <c r="A22" s="32" t="n"/>
      <c r="B22" s="6" t="n"/>
      <c r="C22" s="6" t="n"/>
      <c r="D22">
        <f>IF(C22="","",IFERROR(VLOOKUP(C22,'Recetas y precios'!$A$5:$B$54,2,FALSE),""))</f>
        <v/>
      </c>
      <c r="E22" s="6" t="n"/>
      <c r="F22" s="6" t="n"/>
      <c r="G22" s="6" t="n"/>
      <c r="H22" s="29">
        <f>IF((F22+G22)&gt;0,G22/(F22+G22),"")</f>
        <v/>
      </c>
      <c r="I22" s="17">
        <f>IF(C22="",0,IFERROR(VLOOKUP(C22,'Recetas y precios'!$A$5:$U$54,21,FALSE),0))</f>
        <v/>
      </c>
      <c r="J22" s="17">
        <f>G22*I22</f>
        <v/>
      </c>
      <c r="K22" s="6" t="n"/>
      <c r="L22" s="6" t="n"/>
    </row>
    <row r="23">
      <c r="A23" s="32" t="n"/>
      <c r="B23" s="6" t="n"/>
      <c r="C23" s="6" t="n"/>
      <c r="D23">
        <f>IF(C23="","",IFERROR(VLOOKUP(C23,'Recetas y precios'!$A$5:$B$54,2,FALSE),""))</f>
        <v/>
      </c>
      <c r="E23" s="6" t="n"/>
      <c r="F23" s="6" t="n"/>
      <c r="G23" s="6" t="n"/>
      <c r="H23" s="29">
        <f>IF((F23+G23)&gt;0,G23/(F23+G23),"")</f>
        <v/>
      </c>
      <c r="I23" s="17">
        <f>IF(C23="",0,IFERROR(VLOOKUP(C23,'Recetas y precios'!$A$5:$U$54,21,FALSE),0))</f>
        <v/>
      </c>
      <c r="J23" s="17">
        <f>G23*I23</f>
        <v/>
      </c>
      <c r="K23" s="6" t="n"/>
      <c r="L23" s="6" t="n"/>
    </row>
    <row r="24">
      <c r="A24" s="32" t="n"/>
      <c r="B24" s="6" t="n"/>
      <c r="C24" s="6" t="n"/>
      <c r="D24">
        <f>IF(C24="","",IFERROR(VLOOKUP(C24,'Recetas y precios'!$A$5:$B$54,2,FALSE),""))</f>
        <v/>
      </c>
      <c r="E24" s="6" t="n"/>
      <c r="F24" s="6" t="n"/>
      <c r="G24" s="6" t="n"/>
      <c r="H24" s="29">
        <f>IF((F24+G24)&gt;0,G24/(F24+G24),"")</f>
        <v/>
      </c>
      <c r="I24" s="17">
        <f>IF(C24="",0,IFERROR(VLOOKUP(C24,'Recetas y precios'!$A$5:$U$54,21,FALSE),0))</f>
        <v/>
      </c>
      <c r="J24" s="17">
        <f>G24*I24</f>
        <v/>
      </c>
      <c r="K24" s="6" t="n"/>
      <c r="L24" s="6" t="n"/>
    </row>
    <row r="25">
      <c r="A25" s="32" t="n"/>
      <c r="B25" s="6" t="n"/>
      <c r="C25" s="6" t="n"/>
      <c r="D25">
        <f>IF(C25="","",IFERROR(VLOOKUP(C25,'Recetas y precios'!$A$5:$B$54,2,FALSE),""))</f>
        <v/>
      </c>
      <c r="E25" s="6" t="n"/>
      <c r="F25" s="6" t="n"/>
      <c r="G25" s="6" t="n"/>
      <c r="H25" s="29">
        <f>IF((F25+G25)&gt;0,G25/(F25+G25),"")</f>
        <v/>
      </c>
      <c r="I25" s="17">
        <f>IF(C25="",0,IFERROR(VLOOKUP(C25,'Recetas y precios'!$A$5:$U$54,21,FALSE),0))</f>
        <v/>
      </c>
      <c r="J25" s="17">
        <f>G25*I25</f>
        <v/>
      </c>
      <c r="K25" s="6" t="n"/>
      <c r="L25" s="6" t="n"/>
    </row>
    <row r="26">
      <c r="A26" s="32" t="n"/>
      <c r="B26" s="6" t="n"/>
      <c r="C26" s="6" t="n"/>
      <c r="D26">
        <f>IF(C26="","",IFERROR(VLOOKUP(C26,'Recetas y precios'!$A$5:$B$54,2,FALSE),""))</f>
        <v/>
      </c>
      <c r="E26" s="6" t="n"/>
      <c r="F26" s="6" t="n"/>
      <c r="G26" s="6" t="n"/>
      <c r="H26" s="29">
        <f>IF((F26+G26)&gt;0,G26/(F26+G26),"")</f>
        <v/>
      </c>
      <c r="I26" s="17">
        <f>IF(C26="",0,IFERROR(VLOOKUP(C26,'Recetas y precios'!$A$5:$U$54,21,FALSE),0))</f>
        <v/>
      </c>
      <c r="J26" s="17">
        <f>G26*I26</f>
        <v/>
      </c>
      <c r="K26" s="6" t="n"/>
      <c r="L26" s="6" t="n"/>
    </row>
    <row r="27">
      <c r="A27" s="32" t="n"/>
      <c r="B27" s="6" t="n"/>
      <c r="C27" s="6" t="n"/>
      <c r="D27">
        <f>IF(C27="","",IFERROR(VLOOKUP(C27,'Recetas y precios'!$A$5:$B$54,2,FALSE),""))</f>
        <v/>
      </c>
      <c r="E27" s="6" t="n"/>
      <c r="F27" s="6" t="n"/>
      <c r="G27" s="6" t="n"/>
      <c r="H27" s="29">
        <f>IF((F27+G27)&gt;0,G27/(F27+G27),"")</f>
        <v/>
      </c>
      <c r="I27" s="17">
        <f>IF(C27="",0,IFERROR(VLOOKUP(C27,'Recetas y precios'!$A$5:$U$54,21,FALSE),0))</f>
        <v/>
      </c>
      <c r="J27" s="17">
        <f>G27*I27</f>
        <v/>
      </c>
      <c r="K27" s="6" t="n"/>
      <c r="L27" s="6" t="n"/>
    </row>
    <row r="28">
      <c r="A28" s="32" t="n"/>
      <c r="B28" s="6" t="n"/>
      <c r="C28" s="6" t="n"/>
      <c r="D28">
        <f>IF(C28="","",IFERROR(VLOOKUP(C28,'Recetas y precios'!$A$5:$B$54,2,FALSE),""))</f>
        <v/>
      </c>
      <c r="E28" s="6" t="n"/>
      <c r="F28" s="6" t="n"/>
      <c r="G28" s="6" t="n"/>
      <c r="H28" s="29">
        <f>IF((F28+G28)&gt;0,G28/(F28+G28),"")</f>
        <v/>
      </c>
      <c r="I28" s="17">
        <f>IF(C28="",0,IFERROR(VLOOKUP(C28,'Recetas y precios'!$A$5:$U$54,21,FALSE),0))</f>
        <v/>
      </c>
      <c r="J28" s="17">
        <f>G28*I28</f>
        <v/>
      </c>
      <c r="K28" s="6" t="n"/>
      <c r="L28" s="6" t="n"/>
    </row>
    <row r="29">
      <c r="A29" s="32" t="n"/>
      <c r="B29" s="6" t="n"/>
      <c r="C29" s="6" t="n"/>
      <c r="D29">
        <f>IF(C29="","",IFERROR(VLOOKUP(C29,'Recetas y precios'!$A$5:$B$54,2,FALSE),""))</f>
        <v/>
      </c>
      <c r="E29" s="6" t="n"/>
      <c r="F29" s="6" t="n"/>
      <c r="G29" s="6" t="n"/>
      <c r="H29" s="29">
        <f>IF((F29+G29)&gt;0,G29/(F29+G29),"")</f>
        <v/>
      </c>
      <c r="I29" s="17">
        <f>IF(C29="",0,IFERROR(VLOOKUP(C29,'Recetas y precios'!$A$5:$U$54,21,FALSE),0))</f>
        <v/>
      </c>
      <c r="J29" s="17">
        <f>G29*I29</f>
        <v/>
      </c>
      <c r="K29" s="6" t="n"/>
      <c r="L29" s="6" t="n"/>
    </row>
    <row r="30">
      <c r="A30" s="32" t="n"/>
      <c r="B30" s="6" t="n"/>
      <c r="C30" s="6" t="n"/>
      <c r="D30">
        <f>IF(C30="","",IFERROR(VLOOKUP(C30,'Recetas y precios'!$A$5:$B$54,2,FALSE),""))</f>
        <v/>
      </c>
      <c r="E30" s="6" t="n"/>
      <c r="F30" s="6" t="n"/>
      <c r="G30" s="6" t="n"/>
      <c r="H30" s="29">
        <f>IF((F30+G30)&gt;0,G30/(F30+G30),"")</f>
        <v/>
      </c>
      <c r="I30" s="17">
        <f>IF(C30="",0,IFERROR(VLOOKUP(C30,'Recetas y precios'!$A$5:$U$54,21,FALSE),0))</f>
        <v/>
      </c>
      <c r="J30" s="17">
        <f>G30*I30</f>
        <v/>
      </c>
      <c r="K30" s="6" t="n"/>
      <c r="L30" s="6" t="n"/>
    </row>
    <row r="31">
      <c r="A31" s="32" t="n"/>
      <c r="B31" s="6" t="n"/>
      <c r="C31" s="6" t="n"/>
      <c r="D31">
        <f>IF(C31="","",IFERROR(VLOOKUP(C31,'Recetas y precios'!$A$5:$B$54,2,FALSE),""))</f>
        <v/>
      </c>
      <c r="E31" s="6" t="n"/>
      <c r="F31" s="6" t="n"/>
      <c r="G31" s="6" t="n"/>
      <c r="H31" s="29">
        <f>IF((F31+G31)&gt;0,G31/(F31+G31),"")</f>
        <v/>
      </c>
      <c r="I31" s="17">
        <f>IF(C31="",0,IFERROR(VLOOKUP(C31,'Recetas y precios'!$A$5:$U$54,21,FALSE),0))</f>
        <v/>
      </c>
      <c r="J31" s="17">
        <f>G31*I31</f>
        <v/>
      </c>
      <c r="K31" s="6" t="n"/>
      <c r="L31" s="6" t="n"/>
    </row>
    <row r="32">
      <c r="A32" s="32" t="n"/>
      <c r="B32" s="6" t="n"/>
      <c r="C32" s="6" t="n"/>
      <c r="D32">
        <f>IF(C32="","",IFERROR(VLOOKUP(C32,'Recetas y precios'!$A$5:$B$54,2,FALSE),""))</f>
        <v/>
      </c>
      <c r="E32" s="6" t="n"/>
      <c r="F32" s="6" t="n"/>
      <c r="G32" s="6" t="n"/>
      <c r="H32" s="29">
        <f>IF((F32+G32)&gt;0,G32/(F32+G32),"")</f>
        <v/>
      </c>
      <c r="I32" s="17">
        <f>IF(C32="",0,IFERROR(VLOOKUP(C32,'Recetas y precios'!$A$5:$U$54,21,FALSE),0))</f>
        <v/>
      </c>
      <c r="J32" s="17">
        <f>G32*I32</f>
        <v/>
      </c>
      <c r="K32" s="6" t="n"/>
      <c r="L32" s="6" t="n"/>
    </row>
    <row r="33">
      <c r="A33" s="32" t="n"/>
      <c r="B33" s="6" t="n"/>
      <c r="C33" s="6" t="n"/>
      <c r="D33">
        <f>IF(C33="","",IFERROR(VLOOKUP(C33,'Recetas y precios'!$A$5:$B$54,2,FALSE),""))</f>
        <v/>
      </c>
      <c r="E33" s="6" t="n"/>
      <c r="F33" s="6" t="n"/>
      <c r="G33" s="6" t="n"/>
      <c r="H33" s="29">
        <f>IF((F33+G33)&gt;0,G33/(F33+G33),"")</f>
        <v/>
      </c>
      <c r="I33" s="17">
        <f>IF(C33="",0,IFERROR(VLOOKUP(C33,'Recetas y precios'!$A$5:$U$54,21,FALSE),0))</f>
        <v/>
      </c>
      <c r="J33" s="17">
        <f>G33*I33</f>
        <v/>
      </c>
      <c r="K33" s="6" t="n"/>
      <c r="L33" s="6" t="n"/>
    </row>
    <row r="34">
      <c r="A34" s="32" t="n"/>
      <c r="B34" s="6" t="n"/>
      <c r="C34" s="6" t="n"/>
      <c r="D34">
        <f>IF(C34="","",IFERROR(VLOOKUP(C34,'Recetas y precios'!$A$5:$B$54,2,FALSE),""))</f>
        <v/>
      </c>
      <c r="E34" s="6" t="n"/>
      <c r="F34" s="6" t="n"/>
      <c r="G34" s="6" t="n"/>
      <c r="H34" s="29">
        <f>IF((F34+G34)&gt;0,G34/(F34+G34),"")</f>
        <v/>
      </c>
      <c r="I34" s="17">
        <f>IF(C34="",0,IFERROR(VLOOKUP(C34,'Recetas y precios'!$A$5:$U$54,21,FALSE),0))</f>
        <v/>
      </c>
      <c r="J34" s="17">
        <f>G34*I34</f>
        <v/>
      </c>
      <c r="K34" s="6" t="n"/>
      <c r="L34" s="6" t="n"/>
    </row>
    <row r="35">
      <c r="A35" s="32" t="n"/>
      <c r="B35" s="6" t="n"/>
      <c r="C35" s="6" t="n"/>
      <c r="D35">
        <f>IF(C35="","",IFERROR(VLOOKUP(C35,'Recetas y precios'!$A$5:$B$54,2,FALSE),""))</f>
        <v/>
      </c>
      <c r="E35" s="6" t="n"/>
      <c r="F35" s="6" t="n"/>
      <c r="G35" s="6" t="n"/>
      <c r="H35" s="29">
        <f>IF((F35+G35)&gt;0,G35/(F35+G35),"")</f>
        <v/>
      </c>
      <c r="I35" s="17">
        <f>IF(C35="",0,IFERROR(VLOOKUP(C35,'Recetas y precios'!$A$5:$U$54,21,FALSE),0))</f>
        <v/>
      </c>
      <c r="J35" s="17">
        <f>G35*I35</f>
        <v/>
      </c>
      <c r="K35" s="6" t="n"/>
      <c r="L35" s="6" t="n"/>
    </row>
    <row r="36">
      <c r="A36" s="32" t="n"/>
      <c r="B36" s="6" t="n"/>
      <c r="C36" s="6" t="n"/>
      <c r="D36">
        <f>IF(C36="","",IFERROR(VLOOKUP(C36,'Recetas y precios'!$A$5:$B$54,2,FALSE),""))</f>
        <v/>
      </c>
      <c r="E36" s="6" t="n"/>
      <c r="F36" s="6" t="n"/>
      <c r="G36" s="6" t="n"/>
      <c r="H36" s="29">
        <f>IF((F36+G36)&gt;0,G36/(F36+G36),"")</f>
        <v/>
      </c>
      <c r="I36" s="17">
        <f>IF(C36="",0,IFERROR(VLOOKUP(C36,'Recetas y precios'!$A$5:$U$54,21,FALSE),0))</f>
        <v/>
      </c>
      <c r="J36" s="17">
        <f>G36*I36</f>
        <v/>
      </c>
      <c r="K36" s="6" t="n"/>
      <c r="L36" s="6" t="n"/>
    </row>
    <row r="37">
      <c r="A37" s="32" t="n"/>
      <c r="B37" s="6" t="n"/>
      <c r="C37" s="6" t="n"/>
      <c r="D37">
        <f>IF(C37="","",IFERROR(VLOOKUP(C37,'Recetas y precios'!$A$5:$B$54,2,FALSE),""))</f>
        <v/>
      </c>
      <c r="E37" s="6" t="n"/>
      <c r="F37" s="6" t="n"/>
      <c r="G37" s="6" t="n"/>
      <c r="H37" s="29">
        <f>IF((F37+G37)&gt;0,G37/(F37+G37),"")</f>
        <v/>
      </c>
      <c r="I37" s="17">
        <f>IF(C37="",0,IFERROR(VLOOKUP(C37,'Recetas y precios'!$A$5:$U$54,21,FALSE),0))</f>
        <v/>
      </c>
      <c r="J37" s="17">
        <f>G37*I37</f>
        <v/>
      </c>
      <c r="K37" s="6" t="n"/>
      <c r="L37" s="6" t="n"/>
    </row>
    <row r="38">
      <c r="A38" s="32" t="n"/>
      <c r="B38" s="6" t="n"/>
      <c r="C38" s="6" t="n"/>
      <c r="D38">
        <f>IF(C38="","",IFERROR(VLOOKUP(C38,'Recetas y precios'!$A$5:$B$54,2,FALSE),""))</f>
        <v/>
      </c>
      <c r="E38" s="6" t="n"/>
      <c r="F38" s="6" t="n"/>
      <c r="G38" s="6" t="n"/>
      <c r="H38" s="29">
        <f>IF((F38+G38)&gt;0,G38/(F38+G38),"")</f>
        <v/>
      </c>
      <c r="I38" s="17">
        <f>IF(C38="",0,IFERROR(VLOOKUP(C38,'Recetas y precios'!$A$5:$U$54,21,FALSE),0))</f>
        <v/>
      </c>
      <c r="J38" s="17">
        <f>G38*I38</f>
        <v/>
      </c>
      <c r="K38" s="6" t="n"/>
      <c r="L38" s="6" t="n"/>
    </row>
    <row r="39">
      <c r="A39" s="32" t="n"/>
      <c r="B39" s="6" t="n"/>
      <c r="C39" s="6" t="n"/>
      <c r="D39">
        <f>IF(C39="","",IFERROR(VLOOKUP(C39,'Recetas y precios'!$A$5:$B$54,2,FALSE),""))</f>
        <v/>
      </c>
      <c r="E39" s="6" t="n"/>
      <c r="F39" s="6" t="n"/>
      <c r="G39" s="6" t="n"/>
      <c r="H39" s="29">
        <f>IF((F39+G39)&gt;0,G39/(F39+G39),"")</f>
        <v/>
      </c>
      <c r="I39" s="17">
        <f>IF(C39="",0,IFERROR(VLOOKUP(C39,'Recetas y precios'!$A$5:$U$54,21,FALSE),0))</f>
        <v/>
      </c>
      <c r="J39" s="17">
        <f>G39*I39</f>
        <v/>
      </c>
      <c r="K39" s="6" t="n"/>
      <c r="L39" s="6" t="n"/>
    </row>
    <row r="40">
      <c r="A40" s="32" t="n"/>
      <c r="B40" s="6" t="n"/>
      <c r="C40" s="6" t="n"/>
      <c r="D40">
        <f>IF(C40="","",IFERROR(VLOOKUP(C40,'Recetas y precios'!$A$5:$B$54,2,FALSE),""))</f>
        <v/>
      </c>
      <c r="E40" s="6" t="n"/>
      <c r="F40" s="6" t="n"/>
      <c r="G40" s="6" t="n"/>
      <c r="H40" s="29">
        <f>IF((F40+G40)&gt;0,G40/(F40+G40),"")</f>
        <v/>
      </c>
      <c r="I40" s="17">
        <f>IF(C40="",0,IFERROR(VLOOKUP(C40,'Recetas y precios'!$A$5:$U$54,21,FALSE),0))</f>
        <v/>
      </c>
      <c r="J40" s="17">
        <f>G40*I40</f>
        <v/>
      </c>
      <c r="K40" s="6" t="n"/>
      <c r="L40" s="6" t="n"/>
    </row>
    <row r="41">
      <c r="A41" s="32" t="n"/>
      <c r="B41" s="6" t="n"/>
      <c r="C41" s="6" t="n"/>
      <c r="D41">
        <f>IF(C41="","",IFERROR(VLOOKUP(C41,'Recetas y precios'!$A$5:$B$54,2,FALSE),""))</f>
        <v/>
      </c>
      <c r="E41" s="6" t="n"/>
      <c r="F41" s="6" t="n"/>
      <c r="G41" s="6" t="n"/>
      <c r="H41" s="29">
        <f>IF((F41+G41)&gt;0,G41/(F41+G41),"")</f>
        <v/>
      </c>
      <c r="I41" s="17">
        <f>IF(C41="",0,IFERROR(VLOOKUP(C41,'Recetas y precios'!$A$5:$U$54,21,FALSE),0))</f>
        <v/>
      </c>
      <c r="J41" s="17">
        <f>G41*I41</f>
        <v/>
      </c>
      <c r="K41" s="6" t="n"/>
      <c r="L41" s="6" t="n"/>
    </row>
    <row r="42">
      <c r="A42" s="32" t="n"/>
      <c r="B42" s="6" t="n"/>
      <c r="C42" s="6" t="n"/>
      <c r="D42">
        <f>IF(C42="","",IFERROR(VLOOKUP(C42,'Recetas y precios'!$A$5:$B$54,2,FALSE),""))</f>
        <v/>
      </c>
      <c r="E42" s="6" t="n"/>
      <c r="F42" s="6" t="n"/>
      <c r="G42" s="6" t="n"/>
      <c r="H42" s="29">
        <f>IF((F42+G42)&gt;0,G42/(F42+G42),"")</f>
        <v/>
      </c>
      <c r="I42" s="17">
        <f>IF(C42="",0,IFERROR(VLOOKUP(C42,'Recetas y precios'!$A$5:$U$54,21,FALSE),0))</f>
        <v/>
      </c>
      <c r="J42" s="17">
        <f>G42*I42</f>
        <v/>
      </c>
      <c r="K42" s="6" t="n"/>
      <c r="L42" s="6" t="n"/>
    </row>
    <row r="43">
      <c r="A43" s="32" t="n"/>
      <c r="B43" s="6" t="n"/>
      <c r="C43" s="6" t="n"/>
      <c r="D43">
        <f>IF(C43="","",IFERROR(VLOOKUP(C43,'Recetas y precios'!$A$5:$B$54,2,FALSE),""))</f>
        <v/>
      </c>
      <c r="E43" s="6" t="n"/>
      <c r="F43" s="6" t="n"/>
      <c r="G43" s="6" t="n"/>
      <c r="H43" s="29">
        <f>IF((F43+G43)&gt;0,G43/(F43+G43),"")</f>
        <v/>
      </c>
      <c r="I43" s="17">
        <f>IF(C43="",0,IFERROR(VLOOKUP(C43,'Recetas y precios'!$A$5:$U$54,21,FALSE),0))</f>
        <v/>
      </c>
      <c r="J43" s="17">
        <f>G43*I43</f>
        <v/>
      </c>
      <c r="K43" s="6" t="n"/>
      <c r="L43" s="6" t="n"/>
    </row>
    <row r="44">
      <c r="A44" s="32" t="n"/>
      <c r="B44" s="6" t="n"/>
      <c r="C44" s="6" t="n"/>
      <c r="D44">
        <f>IF(C44="","",IFERROR(VLOOKUP(C44,'Recetas y precios'!$A$5:$B$54,2,FALSE),""))</f>
        <v/>
      </c>
      <c r="E44" s="6" t="n"/>
      <c r="F44" s="6" t="n"/>
      <c r="G44" s="6" t="n"/>
      <c r="H44" s="29">
        <f>IF((F44+G44)&gt;0,G44/(F44+G44),"")</f>
        <v/>
      </c>
      <c r="I44" s="17">
        <f>IF(C44="",0,IFERROR(VLOOKUP(C44,'Recetas y precios'!$A$5:$U$54,21,FALSE),0))</f>
        <v/>
      </c>
      <c r="J44" s="17">
        <f>G44*I44</f>
        <v/>
      </c>
      <c r="K44" s="6" t="n"/>
      <c r="L44" s="6" t="n"/>
    </row>
    <row r="45">
      <c r="A45" s="32" t="n"/>
      <c r="B45" s="6" t="n"/>
      <c r="C45" s="6" t="n"/>
      <c r="D45">
        <f>IF(C45="","",IFERROR(VLOOKUP(C45,'Recetas y precios'!$A$5:$B$54,2,FALSE),""))</f>
        <v/>
      </c>
      <c r="E45" s="6" t="n"/>
      <c r="F45" s="6" t="n"/>
      <c r="G45" s="6" t="n"/>
      <c r="H45" s="29">
        <f>IF((F45+G45)&gt;0,G45/(F45+G45),"")</f>
        <v/>
      </c>
      <c r="I45" s="17">
        <f>IF(C45="",0,IFERROR(VLOOKUP(C45,'Recetas y precios'!$A$5:$U$54,21,FALSE),0))</f>
        <v/>
      </c>
      <c r="J45" s="17">
        <f>G45*I45</f>
        <v/>
      </c>
      <c r="K45" s="6" t="n"/>
      <c r="L45" s="6" t="n"/>
    </row>
    <row r="46">
      <c r="A46" s="32" t="n"/>
      <c r="B46" s="6" t="n"/>
      <c r="C46" s="6" t="n"/>
      <c r="D46">
        <f>IF(C46="","",IFERROR(VLOOKUP(C46,'Recetas y precios'!$A$5:$B$54,2,FALSE),""))</f>
        <v/>
      </c>
      <c r="E46" s="6" t="n"/>
      <c r="F46" s="6" t="n"/>
      <c r="G46" s="6" t="n"/>
      <c r="H46" s="29">
        <f>IF((F46+G46)&gt;0,G46/(F46+G46),"")</f>
        <v/>
      </c>
      <c r="I46" s="17">
        <f>IF(C46="",0,IFERROR(VLOOKUP(C46,'Recetas y precios'!$A$5:$U$54,21,FALSE),0))</f>
        <v/>
      </c>
      <c r="J46" s="17">
        <f>G46*I46</f>
        <v/>
      </c>
      <c r="K46" s="6" t="n"/>
      <c r="L46" s="6" t="n"/>
    </row>
    <row r="47">
      <c r="A47" s="32" t="n"/>
      <c r="B47" s="6" t="n"/>
      <c r="C47" s="6" t="n"/>
      <c r="D47">
        <f>IF(C47="","",IFERROR(VLOOKUP(C47,'Recetas y precios'!$A$5:$B$54,2,FALSE),""))</f>
        <v/>
      </c>
      <c r="E47" s="6" t="n"/>
      <c r="F47" s="6" t="n"/>
      <c r="G47" s="6" t="n"/>
      <c r="H47" s="29">
        <f>IF((F47+G47)&gt;0,G47/(F47+G47),"")</f>
        <v/>
      </c>
      <c r="I47" s="17">
        <f>IF(C47="",0,IFERROR(VLOOKUP(C47,'Recetas y precios'!$A$5:$U$54,21,FALSE),0))</f>
        <v/>
      </c>
      <c r="J47" s="17">
        <f>G47*I47</f>
        <v/>
      </c>
      <c r="K47" s="6" t="n"/>
      <c r="L47" s="6" t="n"/>
    </row>
    <row r="48">
      <c r="A48" s="32" t="n"/>
      <c r="B48" s="6" t="n"/>
      <c r="C48" s="6" t="n"/>
      <c r="D48">
        <f>IF(C48="","",IFERROR(VLOOKUP(C48,'Recetas y precios'!$A$5:$B$54,2,FALSE),""))</f>
        <v/>
      </c>
      <c r="E48" s="6" t="n"/>
      <c r="F48" s="6" t="n"/>
      <c r="G48" s="6" t="n"/>
      <c r="H48" s="29">
        <f>IF((F48+G48)&gt;0,G48/(F48+G48),"")</f>
        <v/>
      </c>
      <c r="I48" s="17">
        <f>IF(C48="",0,IFERROR(VLOOKUP(C48,'Recetas y precios'!$A$5:$U$54,21,FALSE),0))</f>
        <v/>
      </c>
      <c r="J48" s="17">
        <f>G48*I48</f>
        <v/>
      </c>
      <c r="K48" s="6" t="n"/>
      <c r="L48" s="6" t="n"/>
    </row>
    <row r="49">
      <c r="A49" s="32" t="n"/>
      <c r="B49" s="6" t="n"/>
      <c r="C49" s="6" t="n"/>
      <c r="D49">
        <f>IF(C49="","",IFERROR(VLOOKUP(C49,'Recetas y precios'!$A$5:$B$54,2,FALSE),""))</f>
        <v/>
      </c>
      <c r="E49" s="6" t="n"/>
      <c r="F49" s="6" t="n"/>
      <c r="G49" s="6" t="n"/>
      <c r="H49" s="29">
        <f>IF((F49+G49)&gt;0,G49/(F49+G49),"")</f>
        <v/>
      </c>
      <c r="I49" s="17">
        <f>IF(C49="",0,IFERROR(VLOOKUP(C49,'Recetas y precios'!$A$5:$U$54,21,FALSE),0))</f>
        <v/>
      </c>
      <c r="J49" s="17">
        <f>G49*I49</f>
        <v/>
      </c>
      <c r="K49" s="6" t="n"/>
      <c r="L49" s="6" t="n"/>
    </row>
    <row r="50">
      <c r="A50" s="32" t="n"/>
      <c r="B50" s="6" t="n"/>
      <c r="C50" s="6" t="n"/>
      <c r="D50">
        <f>IF(C50="","",IFERROR(VLOOKUP(C50,'Recetas y precios'!$A$5:$B$54,2,FALSE),""))</f>
        <v/>
      </c>
      <c r="E50" s="6" t="n"/>
      <c r="F50" s="6" t="n"/>
      <c r="G50" s="6" t="n"/>
      <c r="H50" s="29">
        <f>IF((F50+G50)&gt;0,G50/(F50+G50),"")</f>
        <v/>
      </c>
      <c r="I50" s="17">
        <f>IF(C50="",0,IFERROR(VLOOKUP(C50,'Recetas y precios'!$A$5:$U$54,21,FALSE),0))</f>
        <v/>
      </c>
      <c r="J50" s="17">
        <f>G50*I50</f>
        <v/>
      </c>
      <c r="K50" s="6" t="n"/>
      <c r="L50" s="6" t="n"/>
    </row>
    <row r="51">
      <c r="A51" s="32" t="n"/>
      <c r="B51" s="6" t="n"/>
      <c r="C51" s="6" t="n"/>
      <c r="D51">
        <f>IF(C51="","",IFERROR(VLOOKUP(C51,'Recetas y precios'!$A$5:$B$54,2,FALSE),""))</f>
        <v/>
      </c>
      <c r="E51" s="6" t="n"/>
      <c r="F51" s="6" t="n"/>
      <c r="G51" s="6" t="n"/>
      <c r="H51" s="29">
        <f>IF((F51+G51)&gt;0,G51/(F51+G51),"")</f>
        <v/>
      </c>
      <c r="I51" s="17">
        <f>IF(C51="",0,IFERROR(VLOOKUP(C51,'Recetas y precios'!$A$5:$U$54,21,FALSE),0))</f>
        <v/>
      </c>
      <c r="J51" s="17">
        <f>G51*I51</f>
        <v/>
      </c>
      <c r="K51" s="6" t="n"/>
      <c r="L51" s="6" t="n"/>
    </row>
    <row r="52">
      <c r="A52" s="32" t="n"/>
      <c r="B52" s="6" t="n"/>
      <c r="C52" s="6" t="n"/>
      <c r="D52">
        <f>IF(C52="","",IFERROR(VLOOKUP(C52,'Recetas y precios'!$A$5:$B$54,2,FALSE),""))</f>
        <v/>
      </c>
      <c r="E52" s="6" t="n"/>
      <c r="F52" s="6" t="n"/>
      <c r="G52" s="6" t="n"/>
      <c r="H52" s="29">
        <f>IF((F52+G52)&gt;0,G52/(F52+G52),"")</f>
        <v/>
      </c>
      <c r="I52" s="17">
        <f>IF(C52="",0,IFERROR(VLOOKUP(C52,'Recetas y precios'!$A$5:$U$54,21,FALSE),0))</f>
        <v/>
      </c>
      <c r="J52" s="17">
        <f>G52*I52</f>
        <v/>
      </c>
      <c r="K52" s="6" t="n"/>
      <c r="L52" s="6" t="n"/>
    </row>
    <row r="53">
      <c r="A53" s="32" t="n"/>
      <c r="B53" s="6" t="n"/>
      <c r="C53" s="6" t="n"/>
      <c r="D53">
        <f>IF(C53="","",IFERROR(VLOOKUP(C53,'Recetas y precios'!$A$5:$B$54,2,FALSE),""))</f>
        <v/>
      </c>
      <c r="E53" s="6" t="n"/>
      <c r="F53" s="6" t="n"/>
      <c r="G53" s="6" t="n"/>
      <c r="H53" s="29">
        <f>IF((F53+G53)&gt;0,G53/(F53+G53),"")</f>
        <v/>
      </c>
      <c r="I53" s="17">
        <f>IF(C53="",0,IFERROR(VLOOKUP(C53,'Recetas y precios'!$A$5:$U$54,21,FALSE),0))</f>
        <v/>
      </c>
      <c r="J53" s="17">
        <f>G53*I53</f>
        <v/>
      </c>
      <c r="K53" s="6" t="n"/>
      <c r="L53" s="6" t="n"/>
    </row>
    <row r="54">
      <c r="A54" s="32" t="n"/>
      <c r="B54" s="6" t="n"/>
      <c r="C54" s="6" t="n"/>
      <c r="D54">
        <f>IF(C54="","",IFERROR(VLOOKUP(C54,'Recetas y precios'!$A$5:$B$54,2,FALSE),""))</f>
        <v/>
      </c>
      <c r="E54" s="6" t="n"/>
      <c r="F54" s="6" t="n"/>
      <c r="G54" s="6" t="n"/>
      <c r="H54" s="29">
        <f>IF((F54+G54)&gt;0,G54/(F54+G54),"")</f>
        <v/>
      </c>
      <c r="I54" s="17">
        <f>IF(C54="",0,IFERROR(VLOOKUP(C54,'Recetas y precios'!$A$5:$U$54,21,FALSE),0))</f>
        <v/>
      </c>
      <c r="J54" s="17">
        <f>G54*I54</f>
        <v/>
      </c>
      <c r="K54" s="6" t="n"/>
      <c r="L54" s="6" t="n"/>
    </row>
    <row r="55">
      <c r="A55" s="32" t="n"/>
      <c r="B55" s="6" t="n"/>
      <c r="C55" s="6" t="n"/>
      <c r="D55">
        <f>IF(C55="","",IFERROR(VLOOKUP(C55,'Recetas y precios'!$A$5:$B$54,2,FALSE),""))</f>
        <v/>
      </c>
      <c r="E55" s="6" t="n"/>
      <c r="F55" s="6" t="n"/>
      <c r="G55" s="6" t="n"/>
      <c r="H55" s="29">
        <f>IF((F55+G55)&gt;0,G55/(F55+G55),"")</f>
        <v/>
      </c>
      <c r="I55" s="17">
        <f>IF(C55="",0,IFERROR(VLOOKUP(C55,'Recetas y precios'!$A$5:$U$54,21,FALSE),0))</f>
        <v/>
      </c>
      <c r="J55" s="17">
        <f>G55*I55</f>
        <v/>
      </c>
      <c r="K55" s="6" t="n"/>
      <c r="L55" s="6" t="n"/>
    </row>
    <row r="56">
      <c r="A56" s="32" t="n"/>
      <c r="B56" s="6" t="n"/>
      <c r="C56" s="6" t="n"/>
      <c r="D56">
        <f>IF(C56="","",IFERROR(VLOOKUP(C56,'Recetas y precios'!$A$5:$B$54,2,FALSE),""))</f>
        <v/>
      </c>
      <c r="E56" s="6" t="n"/>
      <c r="F56" s="6" t="n"/>
      <c r="G56" s="6" t="n"/>
      <c r="H56" s="29">
        <f>IF((F56+G56)&gt;0,G56/(F56+G56),"")</f>
        <v/>
      </c>
      <c r="I56" s="17">
        <f>IF(C56="",0,IFERROR(VLOOKUP(C56,'Recetas y precios'!$A$5:$U$54,21,FALSE),0))</f>
        <v/>
      </c>
      <c r="J56" s="17">
        <f>G56*I56</f>
        <v/>
      </c>
      <c r="K56" s="6" t="n"/>
      <c r="L56" s="6" t="n"/>
    </row>
    <row r="57">
      <c r="A57" s="32" t="n"/>
      <c r="B57" s="6" t="n"/>
      <c r="C57" s="6" t="n"/>
      <c r="D57">
        <f>IF(C57="","",IFERROR(VLOOKUP(C57,'Recetas y precios'!$A$5:$B$54,2,FALSE),""))</f>
        <v/>
      </c>
      <c r="E57" s="6" t="n"/>
      <c r="F57" s="6" t="n"/>
      <c r="G57" s="6" t="n"/>
      <c r="H57" s="29">
        <f>IF((F57+G57)&gt;0,G57/(F57+G57),"")</f>
        <v/>
      </c>
      <c r="I57" s="17">
        <f>IF(C57="",0,IFERROR(VLOOKUP(C57,'Recetas y precios'!$A$5:$U$54,21,FALSE),0))</f>
        <v/>
      </c>
      <c r="J57" s="17">
        <f>G57*I57</f>
        <v/>
      </c>
      <c r="K57" s="6" t="n"/>
      <c r="L57" s="6" t="n"/>
    </row>
    <row r="58">
      <c r="A58" s="32" t="n"/>
      <c r="B58" s="6" t="n"/>
      <c r="C58" s="6" t="n"/>
      <c r="D58">
        <f>IF(C58="","",IFERROR(VLOOKUP(C58,'Recetas y precios'!$A$5:$B$54,2,FALSE),""))</f>
        <v/>
      </c>
      <c r="E58" s="6" t="n"/>
      <c r="F58" s="6" t="n"/>
      <c r="G58" s="6" t="n"/>
      <c r="H58" s="29">
        <f>IF((F58+G58)&gt;0,G58/(F58+G58),"")</f>
        <v/>
      </c>
      <c r="I58" s="17">
        <f>IF(C58="",0,IFERROR(VLOOKUP(C58,'Recetas y precios'!$A$5:$U$54,21,FALSE),0))</f>
        <v/>
      </c>
      <c r="J58" s="17">
        <f>G58*I58</f>
        <v/>
      </c>
      <c r="K58" s="6" t="n"/>
      <c r="L58" s="6" t="n"/>
    </row>
    <row r="59">
      <c r="A59" s="32" t="n"/>
      <c r="B59" s="6" t="n"/>
      <c r="C59" s="6" t="n"/>
      <c r="D59">
        <f>IF(C59="","",IFERROR(VLOOKUP(C59,'Recetas y precios'!$A$5:$B$54,2,FALSE),""))</f>
        <v/>
      </c>
      <c r="E59" s="6" t="n"/>
      <c r="F59" s="6" t="n"/>
      <c r="G59" s="6" t="n"/>
      <c r="H59" s="29">
        <f>IF((F59+G59)&gt;0,G59/(F59+G59),"")</f>
        <v/>
      </c>
      <c r="I59" s="17">
        <f>IF(C59="",0,IFERROR(VLOOKUP(C59,'Recetas y precios'!$A$5:$U$54,21,FALSE),0))</f>
        <v/>
      </c>
      <c r="J59" s="17">
        <f>G59*I59</f>
        <v/>
      </c>
      <c r="K59" s="6" t="n"/>
      <c r="L59" s="6" t="n"/>
    </row>
    <row r="60">
      <c r="A60" s="32" t="n"/>
      <c r="B60" s="6" t="n"/>
      <c r="C60" s="6" t="n"/>
      <c r="D60">
        <f>IF(C60="","",IFERROR(VLOOKUP(C60,'Recetas y precios'!$A$5:$B$54,2,FALSE),""))</f>
        <v/>
      </c>
      <c r="E60" s="6" t="n"/>
      <c r="F60" s="6" t="n"/>
      <c r="G60" s="6" t="n"/>
      <c r="H60" s="29">
        <f>IF((F60+G60)&gt;0,G60/(F60+G60),"")</f>
        <v/>
      </c>
      <c r="I60" s="17">
        <f>IF(C60="",0,IFERROR(VLOOKUP(C60,'Recetas y precios'!$A$5:$U$54,21,FALSE),0))</f>
        <v/>
      </c>
      <c r="J60" s="17">
        <f>G60*I60</f>
        <v/>
      </c>
      <c r="K60" s="6" t="n"/>
      <c r="L60" s="6" t="n"/>
    </row>
    <row r="61">
      <c r="A61" s="32" t="n"/>
      <c r="B61" s="6" t="n"/>
      <c r="C61" s="6" t="n"/>
      <c r="D61">
        <f>IF(C61="","",IFERROR(VLOOKUP(C61,'Recetas y precios'!$A$5:$B$54,2,FALSE),""))</f>
        <v/>
      </c>
      <c r="E61" s="6" t="n"/>
      <c r="F61" s="6" t="n"/>
      <c r="G61" s="6" t="n"/>
      <c r="H61" s="29">
        <f>IF((F61+G61)&gt;0,G61/(F61+G61),"")</f>
        <v/>
      </c>
      <c r="I61" s="17">
        <f>IF(C61="",0,IFERROR(VLOOKUP(C61,'Recetas y precios'!$A$5:$U$54,21,FALSE),0))</f>
        <v/>
      </c>
      <c r="J61" s="17">
        <f>G61*I61</f>
        <v/>
      </c>
      <c r="K61" s="6" t="n"/>
      <c r="L61" s="6" t="n"/>
    </row>
    <row r="62">
      <c r="A62" s="32" t="n"/>
      <c r="B62" s="6" t="n"/>
      <c r="C62" s="6" t="n"/>
      <c r="D62">
        <f>IF(C62="","",IFERROR(VLOOKUP(C62,'Recetas y precios'!$A$5:$B$54,2,FALSE),""))</f>
        <v/>
      </c>
      <c r="E62" s="6" t="n"/>
      <c r="F62" s="6" t="n"/>
      <c r="G62" s="6" t="n"/>
      <c r="H62" s="29">
        <f>IF((F62+G62)&gt;0,G62/(F62+G62),"")</f>
        <v/>
      </c>
      <c r="I62" s="17">
        <f>IF(C62="",0,IFERROR(VLOOKUP(C62,'Recetas y precios'!$A$5:$U$54,21,FALSE),0))</f>
        <v/>
      </c>
      <c r="J62" s="17">
        <f>G62*I62</f>
        <v/>
      </c>
      <c r="K62" s="6" t="n"/>
      <c r="L62" s="6" t="n"/>
    </row>
    <row r="63">
      <c r="A63" s="32" t="n"/>
      <c r="B63" s="6" t="n"/>
      <c r="C63" s="6" t="n"/>
      <c r="D63">
        <f>IF(C63="","",IFERROR(VLOOKUP(C63,'Recetas y precios'!$A$5:$B$54,2,FALSE),""))</f>
        <v/>
      </c>
      <c r="E63" s="6" t="n"/>
      <c r="F63" s="6" t="n"/>
      <c r="G63" s="6" t="n"/>
      <c r="H63" s="29">
        <f>IF((F63+G63)&gt;0,G63/(F63+G63),"")</f>
        <v/>
      </c>
      <c r="I63" s="17">
        <f>IF(C63="",0,IFERROR(VLOOKUP(C63,'Recetas y precios'!$A$5:$U$54,21,FALSE),0))</f>
        <v/>
      </c>
      <c r="J63" s="17">
        <f>G63*I63</f>
        <v/>
      </c>
      <c r="K63" s="6" t="n"/>
      <c r="L63" s="6" t="n"/>
    </row>
    <row r="64">
      <c r="A64" s="32" t="n"/>
      <c r="B64" s="6" t="n"/>
      <c r="C64" s="6" t="n"/>
      <c r="D64">
        <f>IF(C64="","",IFERROR(VLOOKUP(C64,'Recetas y precios'!$A$5:$B$54,2,FALSE),""))</f>
        <v/>
      </c>
      <c r="E64" s="6" t="n"/>
      <c r="F64" s="6" t="n"/>
      <c r="G64" s="6" t="n"/>
      <c r="H64" s="29">
        <f>IF((F64+G64)&gt;0,G64/(F64+G64),"")</f>
        <v/>
      </c>
      <c r="I64" s="17">
        <f>IF(C64="",0,IFERROR(VLOOKUP(C64,'Recetas y precios'!$A$5:$U$54,21,FALSE),0))</f>
        <v/>
      </c>
      <c r="J64" s="17">
        <f>G64*I64</f>
        <v/>
      </c>
      <c r="K64" s="6" t="n"/>
      <c r="L64" s="6" t="n"/>
    </row>
    <row r="65">
      <c r="A65" s="32" t="n"/>
      <c r="B65" s="6" t="n"/>
      <c r="C65" s="6" t="n"/>
      <c r="D65">
        <f>IF(C65="","",IFERROR(VLOOKUP(C65,'Recetas y precios'!$A$5:$B$54,2,FALSE),""))</f>
        <v/>
      </c>
      <c r="E65" s="6" t="n"/>
      <c r="F65" s="6" t="n"/>
      <c r="G65" s="6" t="n"/>
      <c r="H65" s="29">
        <f>IF((F65+G65)&gt;0,G65/(F65+G65),"")</f>
        <v/>
      </c>
      <c r="I65" s="17">
        <f>IF(C65="",0,IFERROR(VLOOKUP(C65,'Recetas y precios'!$A$5:$U$54,21,FALSE),0))</f>
        <v/>
      </c>
      <c r="J65" s="17">
        <f>G65*I65</f>
        <v/>
      </c>
      <c r="K65" s="6" t="n"/>
      <c r="L65" s="6" t="n"/>
    </row>
    <row r="66">
      <c r="A66" s="32" t="n"/>
      <c r="B66" s="6" t="n"/>
      <c r="C66" s="6" t="n"/>
      <c r="D66">
        <f>IF(C66="","",IFERROR(VLOOKUP(C66,'Recetas y precios'!$A$5:$B$54,2,FALSE),""))</f>
        <v/>
      </c>
      <c r="E66" s="6" t="n"/>
      <c r="F66" s="6" t="n"/>
      <c r="G66" s="6" t="n"/>
      <c r="H66" s="29">
        <f>IF((F66+G66)&gt;0,G66/(F66+G66),"")</f>
        <v/>
      </c>
      <c r="I66" s="17">
        <f>IF(C66="",0,IFERROR(VLOOKUP(C66,'Recetas y precios'!$A$5:$U$54,21,FALSE),0))</f>
        <v/>
      </c>
      <c r="J66" s="17">
        <f>G66*I66</f>
        <v/>
      </c>
      <c r="K66" s="6" t="n"/>
      <c r="L66" s="6" t="n"/>
    </row>
    <row r="67">
      <c r="A67" s="32" t="n"/>
      <c r="B67" s="6" t="n"/>
      <c r="C67" s="6" t="n"/>
      <c r="D67">
        <f>IF(C67="","",IFERROR(VLOOKUP(C67,'Recetas y precios'!$A$5:$B$54,2,FALSE),""))</f>
        <v/>
      </c>
      <c r="E67" s="6" t="n"/>
      <c r="F67" s="6" t="n"/>
      <c r="G67" s="6" t="n"/>
      <c r="H67" s="29">
        <f>IF((F67+G67)&gt;0,G67/(F67+G67),"")</f>
        <v/>
      </c>
      <c r="I67" s="17">
        <f>IF(C67="",0,IFERROR(VLOOKUP(C67,'Recetas y precios'!$A$5:$U$54,21,FALSE),0))</f>
        <v/>
      </c>
      <c r="J67" s="17">
        <f>G67*I67</f>
        <v/>
      </c>
      <c r="K67" s="6" t="n"/>
      <c r="L67" s="6" t="n"/>
    </row>
    <row r="68">
      <c r="A68" s="32" t="n"/>
      <c r="B68" s="6" t="n"/>
      <c r="C68" s="6" t="n"/>
      <c r="D68">
        <f>IF(C68="","",IFERROR(VLOOKUP(C68,'Recetas y precios'!$A$5:$B$54,2,FALSE),""))</f>
        <v/>
      </c>
      <c r="E68" s="6" t="n"/>
      <c r="F68" s="6" t="n"/>
      <c r="G68" s="6" t="n"/>
      <c r="H68" s="29">
        <f>IF((F68+G68)&gt;0,G68/(F68+G68),"")</f>
        <v/>
      </c>
      <c r="I68" s="17">
        <f>IF(C68="",0,IFERROR(VLOOKUP(C68,'Recetas y precios'!$A$5:$U$54,21,FALSE),0))</f>
        <v/>
      </c>
      <c r="J68" s="17">
        <f>G68*I68</f>
        <v/>
      </c>
      <c r="K68" s="6" t="n"/>
      <c r="L68" s="6" t="n"/>
    </row>
    <row r="69">
      <c r="A69" s="32" t="n"/>
      <c r="B69" s="6" t="n"/>
      <c r="C69" s="6" t="n"/>
      <c r="D69">
        <f>IF(C69="","",IFERROR(VLOOKUP(C69,'Recetas y precios'!$A$5:$B$54,2,FALSE),""))</f>
        <v/>
      </c>
      <c r="E69" s="6" t="n"/>
      <c r="F69" s="6" t="n"/>
      <c r="G69" s="6" t="n"/>
      <c r="H69" s="29">
        <f>IF((F69+G69)&gt;0,G69/(F69+G69),"")</f>
        <v/>
      </c>
      <c r="I69" s="17">
        <f>IF(C69="",0,IFERROR(VLOOKUP(C69,'Recetas y precios'!$A$5:$U$54,21,FALSE),0))</f>
        <v/>
      </c>
      <c r="J69" s="17">
        <f>G69*I69</f>
        <v/>
      </c>
      <c r="K69" s="6" t="n"/>
      <c r="L69" s="6" t="n"/>
    </row>
    <row r="70">
      <c r="A70" s="32" t="n"/>
      <c r="B70" s="6" t="n"/>
      <c r="C70" s="6" t="n"/>
      <c r="D70">
        <f>IF(C70="","",IFERROR(VLOOKUP(C70,'Recetas y precios'!$A$5:$B$54,2,FALSE),""))</f>
        <v/>
      </c>
      <c r="E70" s="6" t="n"/>
      <c r="F70" s="6" t="n"/>
      <c r="G70" s="6" t="n"/>
      <c r="H70" s="29">
        <f>IF((F70+G70)&gt;0,G70/(F70+G70),"")</f>
        <v/>
      </c>
      <c r="I70" s="17">
        <f>IF(C70="",0,IFERROR(VLOOKUP(C70,'Recetas y precios'!$A$5:$U$54,21,FALSE),0))</f>
        <v/>
      </c>
      <c r="J70" s="17">
        <f>G70*I70</f>
        <v/>
      </c>
      <c r="K70" s="6" t="n"/>
      <c r="L70" s="6" t="n"/>
    </row>
    <row r="71">
      <c r="A71" s="32" t="n"/>
      <c r="B71" s="6" t="n"/>
      <c r="C71" s="6" t="n"/>
      <c r="D71">
        <f>IF(C71="","",IFERROR(VLOOKUP(C71,'Recetas y precios'!$A$5:$B$54,2,FALSE),""))</f>
        <v/>
      </c>
      <c r="E71" s="6" t="n"/>
      <c r="F71" s="6" t="n"/>
      <c r="G71" s="6" t="n"/>
      <c r="H71" s="29">
        <f>IF((F71+G71)&gt;0,G71/(F71+G71),"")</f>
        <v/>
      </c>
      <c r="I71" s="17">
        <f>IF(C71="",0,IFERROR(VLOOKUP(C71,'Recetas y precios'!$A$5:$U$54,21,FALSE),0))</f>
        <v/>
      </c>
      <c r="J71" s="17">
        <f>G71*I71</f>
        <v/>
      </c>
      <c r="K71" s="6" t="n"/>
      <c r="L71" s="6" t="n"/>
    </row>
    <row r="72">
      <c r="A72" s="32" t="n"/>
      <c r="B72" s="6" t="n"/>
      <c r="C72" s="6" t="n"/>
      <c r="D72">
        <f>IF(C72="","",IFERROR(VLOOKUP(C72,'Recetas y precios'!$A$5:$B$54,2,FALSE),""))</f>
        <v/>
      </c>
      <c r="E72" s="6" t="n"/>
      <c r="F72" s="6" t="n"/>
      <c r="G72" s="6" t="n"/>
      <c r="H72" s="29">
        <f>IF((F72+G72)&gt;0,G72/(F72+G72),"")</f>
        <v/>
      </c>
      <c r="I72" s="17">
        <f>IF(C72="",0,IFERROR(VLOOKUP(C72,'Recetas y precios'!$A$5:$U$54,21,FALSE),0))</f>
        <v/>
      </c>
      <c r="J72" s="17">
        <f>G72*I72</f>
        <v/>
      </c>
      <c r="K72" s="6" t="n"/>
      <c r="L72" s="6" t="n"/>
    </row>
    <row r="73">
      <c r="A73" s="32" t="n"/>
      <c r="B73" s="6" t="n"/>
      <c r="C73" s="6" t="n"/>
      <c r="D73">
        <f>IF(C73="","",IFERROR(VLOOKUP(C73,'Recetas y precios'!$A$5:$B$54,2,FALSE),""))</f>
        <v/>
      </c>
      <c r="E73" s="6" t="n"/>
      <c r="F73" s="6" t="n"/>
      <c r="G73" s="6" t="n"/>
      <c r="H73" s="29">
        <f>IF((F73+G73)&gt;0,G73/(F73+G73),"")</f>
        <v/>
      </c>
      <c r="I73" s="17">
        <f>IF(C73="",0,IFERROR(VLOOKUP(C73,'Recetas y precios'!$A$5:$U$54,21,FALSE),0))</f>
        <v/>
      </c>
      <c r="J73" s="17">
        <f>G73*I73</f>
        <v/>
      </c>
      <c r="K73" s="6" t="n"/>
      <c r="L73" s="6" t="n"/>
    </row>
    <row r="74">
      <c r="A74" s="32" t="n"/>
      <c r="B74" s="6" t="n"/>
      <c r="C74" s="6" t="n"/>
      <c r="D74">
        <f>IF(C74="","",IFERROR(VLOOKUP(C74,'Recetas y precios'!$A$5:$B$54,2,FALSE),""))</f>
        <v/>
      </c>
      <c r="E74" s="6" t="n"/>
      <c r="F74" s="6" t="n"/>
      <c r="G74" s="6" t="n"/>
      <c r="H74" s="29">
        <f>IF((F74+G74)&gt;0,G74/(F74+G74),"")</f>
        <v/>
      </c>
      <c r="I74" s="17">
        <f>IF(C74="",0,IFERROR(VLOOKUP(C74,'Recetas y precios'!$A$5:$U$54,21,FALSE),0))</f>
        <v/>
      </c>
      <c r="J74" s="17">
        <f>G74*I74</f>
        <v/>
      </c>
      <c r="K74" s="6" t="n"/>
      <c r="L74" s="6" t="n"/>
    </row>
    <row r="75">
      <c r="A75" s="32" t="n"/>
      <c r="B75" s="6" t="n"/>
      <c r="C75" s="6" t="n"/>
      <c r="D75">
        <f>IF(C75="","",IFERROR(VLOOKUP(C75,'Recetas y precios'!$A$5:$B$54,2,FALSE),""))</f>
        <v/>
      </c>
      <c r="E75" s="6" t="n"/>
      <c r="F75" s="6" t="n"/>
      <c r="G75" s="6" t="n"/>
      <c r="H75" s="29">
        <f>IF((F75+G75)&gt;0,G75/(F75+G75),"")</f>
        <v/>
      </c>
      <c r="I75" s="17">
        <f>IF(C75="",0,IFERROR(VLOOKUP(C75,'Recetas y precios'!$A$5:$U$54,21,FALSE),0))</f>
        <v/>
      </c>
      <c r="J75" s="17">
        <f>G75*I75</f>
        <v/>
      </c>
      <c r="K75" s="6" t="n"/>
      <c r="L75" s="6" t="n"/>
    </row>
    <row r="76">
      <c r="A76" s="32" t="n"/>
      <c r="B76" s="6" t="n"/>
      <c r="C76" s="6" t="n"/>
      <c r="D76">
        <f>IF(C76="","",IFERROR(VLOOKUP(C76,'Recetas y precios'!$A$5:$B$54,2,FALSE),""))</f>
        <v/>
      </c>
      <c r="E76" s="6" t="n"/>
      <c r="F76" s="6" t="n"/>
      <c r="G76" s="6" t="n"/>
      <c r="H76" s="29">
        <f>IF((F76+G76)&gt;0,G76/(F76+G76),"")</f>
        <v/>
      </c>
      <c r="I76" s="17">
        <f>IF(C76="",0,IFERROR(VLOOKUP(C76,'Recetas y precios'!$A$5:$U$54,21,FALSE),0))</f>
        <v/>
      </c>
      <c r="J76" s="17">
        <f>G76*I76</f>
        <v/>
      </c>
      <c r="K76" s="6" t="n"/>
      <c r="L76" s="6" t="n"/>
    </row>
    <row r="77">
      <c r="A77" s="32" t="n"/>
      <c r="B77" s="6" t="n"/>
      <c r="C77" s="6" t="n"/>
      <c r="D77">
        <f>IF(C77="","",IFERROR(VLOOKUP(C77,'Recetas y precios'!$A$5:$B$54,2,FALSE),""))</f>
        <v/>
      </c>
      <c r="E77" s="6" t="n"/>
      <c r="F77" s="6" t="n"/>
      <c r="G77" s="6" t="n"/>
      <c r="H77" s="29">
        <f>IF((F77+G77)&gt;0,G77/(F77+G77),"")</f>
        <v/>
      </c>
      <c r="I77" s="17">
        <f>IF(C77="",0,IFERROR(VLOOKUP(C77,'Recetas y precios'!$A$5:$U$54,21,FALSE),0))</f>
        <v/>
      </c>
      <c r="J77" s="17">
        <f>G77*I77</f>
        <v/>
      </c>
      <c r="K77" s="6" t="n"/>
      <c r="L77" s="6" t="n"/>
    </row>
    <row r="78">
      <c r="A78" s="32" t="n"/>
      <c r="B78" s="6" t="n"/>
      <c r="C78" s="6" t="n"/>
      <c r="D78">
        <f>IF(C78="","",IFERROR(VLOOKUP(C78,'Recetas y precios'!$A$5:$B$54,2,FALSE),""))</f>
        <v/>
      </c>
      <c r="E78" s="6" t="n"/>
      <c r="F78" s="6" t="n"/>
      <c r="G78" s="6" t="n"/>
      <c r="H78" s="29">
        <f>IF((F78+G78)&gt;0,G78/(F78+G78),"")</f>
        <v/>
      </c>
      <c r="I78" s="17">
        <f>IF(C78="",0,IFERROR(VLOOKUP(C78,'Recetas y precios'!$A$5:$U$54,21,FALSE),0))</f>
        <v/>
      </c>
      <c r="J78" s="17">
        <f>G78*I78</f>
        <v/>
      </c>
      <c r="K78" s="6" t="n"/>
      <c r="L78" s="6" t="n"/>
    </row>
    <row r="79">
      <c r="A79" s="32" t="n"/>
      <c r="B79" s="6" t="n"/>
      <c r="C79" s="6" t="n"/>
      <c r="D79">
        <f>IF(C79="","",IFERROR(VLOOKUP(C79,'Recetas y precios'!$A$5:$B$54,2,FALSE),""))</f>
        <v/>
      </c>
      <c r="E79" s="6" t="n"/>
      <c r="F79" s="6" t="n"/>
      <c r="G79" s="6" t="n"/>
      <c r="H79" s="29">
        <f>IF((F79+G79)&gt;0,G79/(F79+G79),"")</f>
        <v/>
      </c>
      <c r="I79" s="17">
        <f>IF(C79="",0,IFERROR(VLOOKUP(C79,'Recetas y precios'!$A$5:$U$54,21,FALSE),0))</f>
        <v/>
      </c>
      <c r="J79" s="17">
        <f>G79*I79</f>
        <v/>
      </c>
      <c r="K79" s="6" t="n"/>
      <c r="L79" s="6" t="n"/>
    </row>
    <row r="80">
      <c r="A80" s="32" t="n"/>
      <c r="B80" s="6" t="n"/>
      <c r="C80" s="6" t="n"/>
      <c r="D80">
        <f>IF(C80="","",IFERROR(VLOOKUP(C80,'Recetas y precios'!$A$5:$B$54,2,FALSE),""))</f>
        <v/>
      </c>
      <c r="E80" s="6" t="n"/>
      <c r="F80" s="6" t="n"/>
      <c r="G80" s="6" t="n"/>
      <c r="H80" s="29">
        <f>IF((F80+G80)&gt;0,G80/(F80+G80),"")</f>
        <v/>
      </c>
      <c r="I80" s="17">
        <f>IF(C80="",0,IFERROR(VLOOKUP(C80,'Recetas y precios'!$A$5:$U$54,21,FALSE),0))</f>
        <v/>
      </c>
      <c r="J80" s="17">
        <f>G80*I80</f>
        <v/>
      </c>
      <c r="K80" s="6" t="n"/>
      <c r="L80" s="6" t="n"/>
    </row>
    <row r="81">
      <c r="A81" s="32" t="n"/>
      <c r="B81" s="6" t="n"/>
      <c r="C81" s="6" t="n"/>
      <c r="D81">
        <f>IF(C81="","",IFERROR(VLOOKUP(C81,'Recetas y precios'!$A$5:$B$54,2,FALSE),""))</f>
        <v/>
      </c>
      <c r="E81" s="6" t="n"/>
      <c r="F81" s="6" t="n"/>
      <c r="G81" s="6" t="n"/>
      <c r="H81" s="29">
        <f>IF((F81+G81)&gt;0,G81/(F81+G81),"")</f>
        <v/>
      </c>
      <c r="I81" s="17">
        <f>IF(C81="",0,IFERROR(VLOOKUP(C81,'Recetas y precios'!$A$5:$U$54,21,FALSE),0))</f>
        <v/>
      </c>
      <c r="J81" s="17">
        <f>G81*I81</f>
        <v/>
      </c>
      <c r="K81" s="6" t="n"/>
      <c r="L81" s="6" t="n"/>
    </row>
    <row r="82">
      <c r="A82" s="32" t="n"/>
      <c r="B82" s="6" t="n"/>
      <c r="C82" s="6" t="n"/>
      <c r="D82">
        <f>IF(C82="","",IFERROR(VLOOKUP(C82,'Recetas y precios'!$A$5:$B$54,2,FALSE),""))</f>
        <v/>
      </c>
      <c r="E82" s="6" t="n"/>
      <c r="F82" s="6" t="n"/>
      <c r="G82" s="6" t="n"/>
      <c r="H82" s="29">
        <f>IF((F82+G82)&gt;0,G82/(F82+G82),"")</f>
        <v/>
      </c>
      <c r="I82" s="17">
        <f>IF(C82="",0,IFERROR(VLOOKUP(C82,'Recetas y precios'!$A$5:$U$54,21,FALSE),0))</f>
        <v/>
      </c>
      <c r="J82" s="17">
        <f>G82*I82</f>
        <v/>
      </c>
      <c r="K82" s="6" t="n"/>
      <c r="L82" s="6" t="n"/>
    </row>
    <row r="83">
      <c r="A83" s="32" t="n"/>
      <c r="B83" s="6" t="n"/>
      <c r="C83" s="6" t="n"/>
      <c r="D83">
        <f>IF(C83="","",IFERROR(VLOOKUP(C83,'Recetas y precios'!$A$5:$B$54,2,FALSE),""))</f>
        <v/>
      </c>
      <c r="E83" s="6" t="n"/>
      <c r="F83" s="6" t="n"/>
      <c r="G83" s="6" t="n"/>
      <c r="H83" s="29">
        <f>IF((F83+G83)&gt;0,G83/(F83+G83),"")</f>
        <v/>
      </c>
      <c r="I83" s="17">
        <f>IF(C83="",0,IFERROR(VLOOKUP(C83,'Recetas y precios'!$A$5:$U$54,21,FALSE),0))</f>
        <v/>
      </c>
      <c r="J83" s="17">
        <f>G83*I83</f>
        <v/>
      </c>
      <c r="K83" s="6" t="n"/>
      <c r="L83" s="6" t="n"/>
    </row>
    <row r="84">
      <c r="A84" s="32" t="n"/>
      <c r="B84" s="6" t="n"/>
      <c r="C84" s="6" t="n"/>
      <c r="D84">
        <f>IF(C84="","",IFERROR(VLOOKUP(C84,'Recetas y precios'!$A$5:$B$54,2,FALSE),""))</f>
        <v/>
      </c>
      <c r="E84" s="6" t="n"/>
      <c r="F84" s="6" t="n"/>
      <c r="G84" s="6" t="n"/>
      <c r="H84" s="29">
        <f>IF((F84+G84)&gt;0,G84/(F84+G84),"")</f>
        <v/>
      </c>
      <c r="I84" s="17">
        <f>IF(C84="",0,IFERROR(VLOOKUP(C84,'Recetas y precios'!$A$5:$U$54,21,FALSE),0))</f>
        <v/>
      </c>
      <c r="J84" s="17">
        <f>G84*I84</f>
        <v/>
      </c>
      <c r="K84" s="6" t="n"/>
      <c r="L84" s="6" t="n"/>
    </row>
    <row r="85">
      <c r="A85" s="32" t="n"/>
      <c r="B85" s="6" t="n"/>
      <c r="C85" s="6" t="n"/>
      <c r="D85">
        <f>IF(C85="","",IFERROR(VLOOKUP(C85,'Recetas y precios'!$A$5:$B$54,2,FALSE),""))</f>
        <v/>
      </c>
      <c r="E85" s="6" t="n"/>
      <c r="F85" s="6" t="n"/>
      <c r="G85" s="6" t="n"/>
      <c r="H85" s="29">
        <f>IF((F85+G85)&gt;0,G85/(F85+G85),"")</f>
        <v/>
      </c>
      <c r="I85" s="17">
        <f>IF(C85="",0,IFERROR(VLOOKUP(C85,'Recetas y precios'!$A$5:$U$54,21,FALSE),0))</f>
        <v/>
      </c>
      <c r="J85" s="17">
        <f>G85*I85</f>
        <v/>
      </c>
      <c r="K85" s="6" t="n"/>
      <c r="L85" s="6" t="n"/>
    </row>
    <row r="86">
      <c r="A86" s="32" t="n"/>
      <c r="B86" s="6" t="n"/>
      <c r="C86" s="6" t="n"/>
      <c r="D86">
        <f>IF(C86="","",IFERROR(VLOOKUP(C86,'Recetas y precios'!$A$5:$B$54,2,FALSE),""))</f>
        <v/>
      </c>
      <c r="E86" s="6" t="n"/>
      <c r="F86" s="6" t="n"/>
      <c r="G86" s="6" t="n"/>
      <c r="H86" s="29">
        <f>IF((F86+G86)&gt;0,G86/(F86+G86),"")</f>
        <v/>
      </c>
      <c r="I86" s="17">
        <f>IF(C86="",0,IFERROR(VLOOKUP(C86,'Recetas y precios'!$A$5:$U$54,21,FALSE),0))</f>
        <v/>
      </c>
      <c r="J86" s="17">
        <f>G86*I86</f>
        <v/>
      </c>
      <c r="K86" s="6" t="n"/>
      <c r="L86" s="6" t="n"/>
    </row>
    <row r="87">
      <c r="A87" s="32" t="n"/>
      <c r="B87" s="6" t="n"/>
      <c r="C87" s="6" t="n"/>
      <c r="D87">
        <f>IF(C87="","",IFERROR(VLOOKUP(C87,'Recetas y precios'!$A$5:$B$54,2,FALSE),""))</f>
        <v/>
      </c>
      <c r="E87" s="6" t="n"/>
      <c r="F87" s="6" t="n"/>
      <c r="G87" s="6" t="n"/>
      <c r="H87" s="29">
        <f>IF((F87+G87)&gt;0,G87/(F87+G87),"")</f>
        <v/>
      </c>
      <c r="I87" s="17">
        <f>IF(C87="",0,IFERROR(VLOOKUP(C87,'Recetas y precios'!$A$5:$U$54,21,FALSE),0))</f>
        <v/>
      </c>
      <c r="J87" s="17">
        <f>G87*I87</f>
        <v/>
      </c>
      <c r="K87" s="6" t="n"/>
      <c r="L87" s="6" t="n"/>
    </row>
    <row r="88">
      <c r="A88" s="32" t="n"/>
      <c r="B88" s="6" t="n"/>
      <c r="C88" s="6" t="n"/>
      <c r="D88">
        <f>IF(C88="","",IFERROR(VLOOKUP(C88,'Recetas y precios'!$A$5:$B$54,2,FALSE),""))</f>
        <v/>
      </c>
      <c r="E88" s="6" t="n"/>
      <c r="F88" s="6" t="n"/>
      <c r="G88" s="6" t="n"/>
      <c r="H88" s="29">
        <f>IF((F88+G88)&gt;0,G88/(F88+G88),"")</f>
        <v/>
      </c>
      <c r="I88" s="17">
        <f>IF(C88="",0,IFERROR(VLOOKUP(C88,'Recetas y precios'!$A$5:$U$54,21,FALSE),0))</f>
        <v/>
      </c>
      <c r="J88" s="17">
        <f>G88*I88</f>
        <v/>
      </c>
      <c r="K88" s="6" t="n"/>
      <c r="L88" s="6" t="n"/>
    </row>
    <row r="89">
      <c r="A89" s="32" t="n"/>
      <c r="B89" s="6" t="n"/>
      <c r="C89" s="6" t="n"/>
      <c r="D89">
        <f>IF(C89="","",IFERROR(VLOOKUP(C89,'Recetas y precios'!$A$5:$B$54,2,FALSE),""))</f>
        <v/>
      </c>
      <c r="E89" s="6" t="n"/>
      <c r="F89" s="6" t="n"/>
      <c r="G89" s="6" t="n"/>
      <c r="H89" s="29">
        <f>IF((F89+G89)&gt;0,G89/(F89+G89),"")</f>
        <v/>
      </c>
      <c r="I89" s="17">
        <f>IF(C89="",0,IFERROR(VLOOKUP(C89,'Recetas y precios'!$A$5:$U$54,21,FALSE),0))</f>
        <v/>
      </c>
      <c r="J89" s="17">
        <f>G89*I89</f>
        <v/>
      </c>
      <c r="K89" s="6" t="n"/>
      <c r="L89" s="6" t="n"/>
    </row>
    <row r="90">
      <c r="A90" s="32" t="n"/>
      <c r="B90" s="6" t="n"/>
      <c r="C90" s="6" t="n"/>
      <c r="D90">
        <f>IF(C90="","",IFERROR(VLOOKUP(C90,'Recetas y precios'!$A$5:$B$54,2,FALSE),""))</f>
        <v/>
      </c>
      <c r="E90" s="6" t="n"/>
      <c r="F90" s="6" t="n"/>
      <c r="G90" s="6" t="n"/>
      <c r="H90" s="29">
        <f>IF((F90+G90)&gt;0,G90/(F90+G90),"")</f>
        <v/>
      </c>
      <c r="I90" s="17">
        <f>IF(C90="",0,IFERROR(VLOOKUP(C90,'Recetas y precios'!$A$5:$U$54,21,FALSE),0))</f>
        <v/>
      </c>
      <c r="J90" s="17">
        <f>G90*I90</f>
        <v/>
      </c>
      <c r="K90" s="6" t="n"/>
      <c r="L90" s="6" t="n"/>
    </row>
    <row r="91">
      <c r="A91" s="32" t="n"/>
      <c r="B91" s="6" t="n"/>
      <c r="C91" s="6" t="n"/>
      <c r="D91">
        <f>IF(C91="","",IFERROR(VLOOKUP(C91,'Recetas y precios'!$A$5:$B$54,2,FALSE),""))</f>
        <v/>
      </c>
      <c r="E91" s="6" t="n"/>
      <c r="F91" s="6" t="n"/>
      <c r="G91" s="6" t="n"/>
      <c r="H91" s="29">
        <f>IF((F91+G91)&gt;0,G91/(F91+G91),"")</f>
        <v/>
      </c>
      <c r="I91" s="17">
        <f>IF(C91="",0,IFERROR(VLOOKUP(C91,'Recetas y precios'!$A$5:$U$54,21,FALSE),0))</f>
        <v/>
      </c>
      <c r="J91" s="17">
        <f>G91*I91</f>
        <v/>
      </c>
      <c r="K91" s="6" t="n"/>
      <c r="L91" s="6" t="n"/>
    </row>
    <row r="92">
      <c r="A92" s="32" t="n"/>
      <c r="B92" s="6" t="n"/>
      <c r="C92" s="6" t="n"/>
      <c r="D92">
        <f>IF(C92="","",IFERROR(VLOOKUP(C92,'Recetas y precios'!$A$5:$B$54,2,FALSE),""))</f>
        <v/>
      </c>
      <c r="E92" s="6" t="n"/>
      <c r="F92" s="6" t="n"/>
      <c r="G92" s="6" t="n"/>
      <c r="H92" s="29">
        <f>IF((F92+G92)&gt;0,G92/(F92+G92),"")</f>
        <v/>
      </c>
      <c r="I92" s="17">
        <f>IF(C92="",0,IFERROR(VLOOKUP(C92,'Recetas y precios'!$A$5:$U$54,21,FALSE),0))</f>
        <v/>
      </c>
      <c r="J92" s="17">
        <f>G92*I92</f>
        <v/>
      </c>
      <c r="K92" s="6" t="n"/>
      <c r="L92" s="6" t="n"/>
    </row>
    <row r="93">
      <c r="A93" s="32" t="n"/>
      <c r="B93" s="6" t="n"/>
      <c r="C93" s="6" t="n"/>
      <c r="D93">
        <f>IF(C93="","",IFERROR(VLOOKUP(C93,'Recetas y precios'!$A$5:$B$54,2,FALSE),""))</f>
        <v/>
      </c>
      <c r="E93" s="6" t="n"/>
      <c r="F93" s="6" t="n"/>
      <c r="G93" s="6" t="n"/>
      <c r="H93" s="29">
        <f>IF((F93+G93)&gt;0,G93/(F93+G93),"")</f>
        <v/>
      </c>
      <c r="I93" s="17">
        <f>IF(C93="",0,IFERROR(VLOOKUP(C93,'Recetas y precios'!$A$5:$U$54,21,FALSE),0))</f>
        <v/>
      </c>
      <c r="J93" s="17">
        <f>G93*I93</f>
        <v/>
      </c>
      <c r="K93" s="6" t="n"/>
      <c r="L93" s="6" t="n"/>
    </row>
    <row r="94">
      <c r="A94" s="32" t="n"/>
      <c r="B94" s="6" t="n"/>
      <c r="C94" s="6" t="n"/>
      <c r="D94">
        <f>IF(C94="","",IFERROR(VLOOKUP(C94,'Recetas y precios'!$A$5:$B$54,2,FALSE),""))</f>
        <v/>
      </c>
      <c r="E94" s="6" t="n"/>
      <c r="F94" s="6" t="n"/>
      <c r="G94" s="6" t="n"/>
      <c r="H94" s="29">
        <f>IF((F94+G94)&gt;0,G94/(F94+G94),"")</f>
        <v/>
      </c>
      <c r="I94" s="17">
        <f>IF(C94="",0,IFERROR(VLOOKUP(C94,'Recetas y precios'!$A$5:$U$54,21,FALSE),0))</f>
        <v/>
      </c>
      <c r="J94" s="17">
        <f>G94*I94</f>
        <v/>
      </c>
      <c r="K94" s="6" t="n"/>
      <c r="L94" s="6" t="n"/>
    </row>
    <row r="95">
      <c r="A95" s="32" t="n"/>
      <c r="B95" s="6" t="n"/>
      <c r="C95" s="6" t="n"/>
      <c r="D95">
        <f>IF(C95="","",IFERROR(VLOOKUP(C95,'Recetas y precios'!$A$5:$B$54,2,FALSE),""))</f>
        <v/>
      </c>
      <c r="E95" s="6" t="n"/>
      <c r="F95" s="6" t="n"/>
      <c r="G95" s="6" t="n"/>
      <c r="H95" s="29">
        <f>IF((F95+G95)&gt;0,G95/(F95+G95),"")</f>
        <v/>
      </c>
      <c r="I95" s="17">
        <f>IF(C95="",0,IFERROR(VLOOKUP(C95,'Recetas y precios'!$A$5:$U$54,21,FALSE),0))</f>
        <v/>
      </c>
      <c r="J95" s="17">
        <f>G95*I95</f>
        <v/>
      </c>
      <c r="K95" s="6" t="n"/>
      <c r="L95" s="6" t="n"/>
    </row>
    <row r="96">
      <c r="A96" s="32" t="n"/>
      <c r="B96" s="6" t="n"/>
      <c r="C96" s="6" t="n"/>
      <c r="D96">
        <f>IF(C96="","",IFERROR(VLOOKUP(C96,'Recetas y precios'!$A$5:$B$54,2,FALSE),""))</f>
        <v/>
      </c>
      <c r="E96" s="6" t="n"/>
      <c r="F96" s="6" t="n"/>
      <c r="G96" s="6" t="n"/>
      <c r="H96" s="29">
        <f>IF((F96+G96)&gt;0,G96/(F96+G96),"")</f>
        <v/>
      </c>
      <c r="I96" s="17">
        <f>IF(C96="",0,IFERROR(VLOOKUP(C96,'Recetas y precios'!$A$5:$U$54,21,FALSE),0))</f>
        <v/>
      </c>
      <c r="J96" s="17">
        <f>G96*I96</f>
        <v/>
      </c>
      <c r="K96" s="6" t="n"/>
      <c r="L96" s="6" t="n"/>
    </row>
    <row r="97">
      <c r="A97" s="32" t="n"/>
      <c r="B97" s="6" t="n"/>
      <c r="C97" s="6" t="n"/>
      <c r="D97">
        <f>IF(C97="","",IFERROR(VLOOKUP(C97,'Recetas y precios'!$A$5:$B$54,2,FALSE),""))</f>
        <v/>
      </c>
      <c r="E97" s="6" t="n"/>
      <c r="F97" s="6" t="n"/>
      <c r="G97" s="6" t="n"/>
      <c r="H97" s="29">
        <f>IF((F97+G97)&gt;0,G97/(F97+G97),"")</f>
        <v/>
      </c>
      <c r="I97" s="17">
        <f>IF(C97="",0,IFERROR(VLOOKUP(C97,'Recetas y precios'!$A$5:$U$54,21,FALSE),0))</f>
        <v/>
      </c>
      <c r="J97" s="17">
        <f>G97*I97</f>
        <v/>
      </c>
      <c r="K97" s="6" t="n"/>
      <c r="L97" s="6" t="n"/>
    </row>
    <row r="98">
      <c r="A98" s="32" t="n"/>
      <c r="B98" s="6" t="n"/>
      <c r="C98" s="6" t="n"/>
      <c r="D98">
        <f>IF(C98="","",IFERROR(VLOOKUP(C98,'Recetas y precios'!$A$5:$B$54,2,FALSE),""))</f>
        <v/>
      </c>
      <c r="E98" s="6" t="n"/>
      <c r="F98" s="6" t="n"/>
      <c r="G98" s="6" t="n"/>
      <c r="H98" s="29">
        <f>IF((F98+G98)&gt;0,G98/(F98+G98),"")</f>
        <v/>
      </c>
      <c r="I98" s="17">
        <f>IF(C98="",0,IFERROR(VLOOKUP(C98,'Recetas y precios'!$A$5:$U$54,21,FALSE),0))</f>
        <v/>
      </c>
      <c r="J98" s="17">
        <f>G98*I98</f>
        <v/>
      </c>
      <c r="K98" s="6" t="n"/>
      <c r="L98" s="6" t="n"/>
    </row>
    <row r="99">
      <c r="A99" s="32" t="n"/>
      <c r="B99" s="6" t="n"/>
      <c r="C99" s="6" t="n"/>
      <c r="D99">
        <f>IF(C99="","",IFERROR(VLOOKUP(C99,'Recetas y precios'!$A$5:$B$54,2,FALSE),""))</f>
        <v/>
      </c>
      <c r="E99" s="6" t="n"/>
      <c r="F99" s="6" t="n"/>
      <c r="G99" s="6" t="n"/>
      <c r="H99" s="29">
        <f>IF((F99+G99)&gt;0,G99/(F99+G99),"")</f>
        <v/>
      </c>
      <c r="I99" s="17">
        <f>IF(C99="",0,IFERROR(VLOOKUP(C99,'Recetas y precios'!$A$5:$U$54,21,FALSE),0))</f>
        <v/>
      </c>
      <c r="J99" s="17">
        <f>G99*I99</f>
        <v/>
      </c>
      <c r="K99" s="6" t="n"/>
      <c r="L99" s="6" t="n"/>
    </row>
    <row r="100">
      <c r="A100" s="32" t="n"/>
      <c r="B100" s="6" t="n"/>
      <c r="C100" s="6" t="n"/>
      <c r="D100">
        <f>IF(C100="","",IFERROR(VLOOKUP(C100,'Recetas y precios'!$A$5:$B$54,2,FALSE),""))</f>
        <v/>
      </c>
      <c r="E100" s="6" t="n"/>
      <c r="F100" s="6" t="n"/>
      <c r="G100" s="6" t="n"/>
      <c r="H100" s="29">
        <f>IF((F100+G100)&gt;0,G100/(F100+G100),"")</f>
        <v/>
      </c>
      <c r="I100" s="17">
        <f>IF(C100="",0,IFERROR(VLOOKUP(C100,'Recetas y precios'!$A$5:$U$54,21,FALSE),0))</f>
        <v/>
      </c>
      <c r="J100" s="17">
        <f>G100*I100</f>
        <v/>
      </c>
      <c r="K100" s="6" t="n"/>
      <c r="L100" s="6" t="n"/>
    </row>
    <row r="101">
      <c r="A101" s="32" t="n"/>
      <c r="B101" s="6" t="n"/>
      <c r="C101" s="6" t="n"/>
      <c r="D101">
        <f>IF(C101="","",IFERROR(VLOOKUP(C101,'Recetas y precios'!$A$5:$B$54,2,FALSE),""))</f>
        <v/>
      </c>
      <c r="E101" s="6" t="n"/>
      <c r="F101" s="6" t="n"/>
      <c r="G101" s="6" t="n"/>
      <c r="H101" s="29">
        <f>IF((F101+G101)&gt;0,G101/(F101+G101),"")</f>
        <v/>
      </c>
      <c r="I101" s="17">
        <f>IF(C101="",0,IFERROR(VLOOKUP(C101,'Recetas y precios'!$A$5:$U$54,21,FALSE),0))</f>
        <v/>
      </c>
      <c r="J101" s="17">
        <f>G101*I101</f>
        <v/>
      </c>
      <c r="K101" s="6" t="n"/>
      <c r="L101" s="6" t="n"/>
    </row>
    <row r="102">
      <c r="A102" s="32" t="n"/>
      <c r="B102" s="6" t="n"/>
      <c r="C102" s="6" t="n"/>
      <c r="D102">
        <f>IF(C102="","",IFERROR(VLOOKUP(C102,'Recetas y precios'!$A$5:$B$54,2,FALSE),""))</f>
        <v/>
      </c>
      <c r="E102" s="6" t="n"/>
      <c r="F102" s="6" t="n"/>
      <c r="G102" s="6" t="n"/>
      <c r="H102" s="29">
        <f>IF((F102+G102)&gt;0,G102/(F102+G102),"")</f>
        <v/>
      </c>
      <c r="I102" s="17">
        <f>IF(C102="",0,IFERROR(VLOOKUP(C102,'Recetas y precios'!$A$5:$U$54,21,FALSE),0))</f>
        <v/>
      </c>
      <c r="J102" s="17">
        <f>G102*I102</f>
        <v/>
      </c>
      <c r="K102" s="6" t="n"/>
      <c r="L102" s="6" t="n"/>
    </row>
    <row r="103">
      <c r="A103" s="32" t="n"/>
      <c r="B103" s="6" t="n"/>
      <c r="C103" s="6" t="n"/>
      <c r="D103">
        <f>IF(C103="","",IFERROR(VLOOKUP(C103,'Recetas y precios'!$A$5:$B$54,2,FALSE),""))</f>
        <v/>
      </c>
      <c r="E103" s="6" t="n"/>
      <c r="F103" s="6" t="n"/>
      <c r="G103" s="6" t="n"/>
      <c r="H103" s="29">
        <f>IF((F103+G103)&gt;0,G103/(F103+G103),"")</f>
        <v/>
      </c>
      <c r="I103" s="17">
        <f>IF(C103="",0,IFERROR(VLOOKUP(C103,'Recetas y precios'!$A$5:$U$54,21,FALSE),0))</f>
        <v/>
      </c>
      <c r="J103" s="17">
        <f>G103*I103</f>
        <v/>
      </c>
      <c r="K103" s="6" t="n"/>
      <c r="L103" s="6" t="n"/>
    </row>
    <row r="104">
      <c r="A104" s="32" t="n"/>
      <c r="B104" s="6" t="n"/>
      <c r="C104" s="6" t="n"/>
      <c r="D104">
        <f>IF(C104="","",IFERROR(VLOOKUP(C104,'Recetas y precios'!$A$5:$B$54,2,FALSE),""))</f>
        <v/>
      </c>
      <c r="E104" s="6" t="n"/>
      <c r="F104" s="6" t="n"/>
      <c r="G104" s="6" t="n"/>
      <c r="H104" s="29">
        <f>IF((F104+G104)&gt;0,G104/(F104+G104),"")</f>
        <v/>
      </c>
      <c r="I104" s="17">
        <f>IF(C104="",0,IFERROR(VLOOKUP(C104,'Recetas y precios'!$A$5:$U$54,21,FALSE),0))</f>
        <v/>
      </c>
      <c r="J104" s="17">
        <f>G104*I104</f>
        <v/>
      </c>
      <c r="K104" s="6" t="n"/>
      <c r="L104" s="6" t="n"/>
    </row>
    <row r="105">
      <c r="A105" s="32" t="n"/>
      <c r="B105" s="6" t="n"/>
      <c r="C105" s="6" t="n"/>
      <c r="D105">
        <f>IF(C105="","",IFERROR(VLOOKUP(C105,'Recetas y precios'!$A$5:$B$54,2,FALSE),""))</f>
        <v/>
      </c>
      <c r="E105" s="6" t="n"/>
      <c r="F105" s="6" t="n"/>
      <c r="G105" s="6" t="n"/>
      <c r="H105" s="29">
        <f>IF((F105+G105)&gt;0,G105/(F105+G105),"")</f>
        <v/>
      </c>
      <c r="I105" s="17">
        <f>IF(C105="",0,IFERROR(VLOOKUP(C105,'Recetas y precios'!$A$5:$U$54,21,FALSE),0))</f>
        <v/>
      </c>
      <c r="J105" s="17">
        <f>G105*I105</f>
        <v/>
      </c>
      <c r="K105" s="6" t="n"/>
      <c r="L105" s="6" t="n"/>
    </row>
    <row r="106">
      <c r="A106" s="32" t="n"/>
      <c r="B106" s="6" t="n"/>
      <c r="C106" s="6" t="n"/>
      <c r="D106">
        <f>IF(C106="","",IFERROR(VLOOKUP(C106,'Recetas y precios'!$A$5:$B$54,2,FALSE),""))</f>
        <v/>
      </c>
      <c r="E106" s="6" t="n"/>
      <c r="F106" s="6" t="n"/>
      <c r="G106" s="6" t="n"/>
      <c r="H106" s="29">
        <f>IF((F106+G106)&gt;0,G106/(F106+G106),"")</f>
        <v/>
      </c>
      <c r="I106" s="17">
        <f>IF(C106="",0,IFERROR(VLOOKUP(C106,'Recetas y precios'!$A$5:$U$54,21,FALSE),0))</f>
        <v/>
      </c>
      <c r="J106" s="17">
        <f>G106*I106</f>
        <v/>
      </c>
      <c r="K106" s="6" t="n"/>
      <c r="L106" s="6" t="n"/>
    </row>
    <row r="107">
      <c r="A107" s="32" t="n"/>
      <c r="B107" s="6" t="n"/>
      <c r="C107" s="6" t="n"/>
      <c r="D107">
        <f>IF(C107="","",IFERROR(VLOOKUP(C107,'Recetas y precios'!$A$5:$B$54,2,FALSE),""))</f>
        <v/>
      </c>
      <c r="E107" s="6" t="n"/>
      <c r="F107" s="6" t="n"/>
      <c r="G107" s="6" t="n"/>
      <c r="H107" s="29">
        <f>IF((F107+G107)&gt;0,G107/(F107+G107),"")</f>
        <v/>
      </c>
      <c r="I107" s="17">
        <f>IF(C107="",0,IFERROR(VLOOKUP(C107,'Recetas y precios'!$A$5:$U$54,21,FALSE),0))</f>
        <v/>
      </c>
      <c r="J107" s="17">
        <f>G107*I107</f>
        <v/>
      </c>
      <c r="K107" s="6" t="n"/>
      <c r="L107" s="6" t="n"/>
    </row>
    <row r="108">
      <c r="A108" s="32" t="n"/>
      <c r="B108" s="6" t="n"/>
      <c r="C108" s="6" t="n"/>
      <c r="D108">
        <f>IF(C108="","",IFERROR(VLOOKUP(C108,'Recetas y precios'!$A$5:$B$54,2,FALSE),""))</f>
        <v/>
      </c>
      <c r="E108" s="6" t="n"/>
      <c r="F108" s="6" t="n"/>
      <c r="G108" s="6" t="n"/>
      <c r="H108" s="29">
        <f>IF((F108+G108)&gt;0,G108/(F108+G108),"")</f>
        <v/>
      </c>
      <c r="I108" s="17">
        <f>IF(C108="",0,IFERROR(VLOOKUP(C108,'Recetas y precios'!$A$5:$U$54,21,FALSE),0))</f>
        <v/>
      </c>
      <c r="J108" s="17">
        <f>G108*I108</f>
        <v/>
      </c>
      <c r="K108" s="6" t="n"/>
      <c r="L108" s="6" t="n"/>
    </row>
    <row r="109">
      <c r="A109" s="32" t="n"/>
      <c r="B109" s="6" t="n"/>
      <c r="C109" s="6" t="n"/>
      <c r="D109">
        <f>IF(C109="","",IFERROR(VLOOKUP(C109,'Recetas y precios'!$A$5:$B$54,2,FALSE),""))</f>
        <v/>
      </c>
      <c r="E109" s="6" t="n"/>
      <c r="F109" s="6" t="n"/>
      <c r="G109" s="6" t="n"/>
      <c r="H109" s="29">
        <f>IF((F109+G109)&gt;0,G109/(F109+G109),"")</f>
        <v/>
      </c>
      <c r="I109" s="17">
        <f>IF(C109="",0,IFERROR(VLOOKUP(C109,'Recetas y precios'!$A$5:$U$54,21,FALSE),0))</f>
        <v/>
      </c>
      <c r="J109" s="17">
        <f>G109*I109</f>
        <v/>
      </c>
      <c r="K109" s="6" t="n"/>
      <c r="L109" s="6" t="n"/>
    </row>
    <row r="110">
      <c r="A110" s="32" t="n"/>
      <c r="B110" s="6" t="n"/>
      <c r="C110" s="6" t="n"/>
      <c r="D110">
        <f>IF(C110="","",IFERROR(VLOOKUP(C110,'Recetas y precios'!$A$5:$B$54,2,FALSE),""))</f>
        <v/>
      </c>
      <c r="E110" s="6" t="n"/>
      <c r="F110" s="6" t="n"/>
      <c r="G110" s="6" t="n"/>
      <c r="H110" s="29">
        <f>IF((F110+G110)&gt;0,G110/(F110+G110),"")</f>
        <v/>
      </c>
      <c r="I110" s="17">
        <f>IF(C110="",0,IFERROR(VLOOKUP(C110,'Recetas y precios'!$A$5:$U$54,21,FALSE),0))</f>
        <v/>
      </c>
      <c r="J110" s="17">
        <f>G110*I110</f>
        <v/>
      </c>
      <c r="K110" s="6" t="n"/>
      <c r="L110" s="6" t="n"/>
    </row>
    <row r="111">
      <c r="A111" s="32" t="n"/>
      <c r="B111" s="6" t="n"/>
      <c r="C111" s="6" t="n"/>
      <c r="D111">
        <f>IF(C111="","",IFERROR(VLOOKUP(C111,'Recetas y precios'!$A$5:$B$54,2,FALSE),""))</f>
        <v/>
      </c>
      <c r="E111" s="6" t="n"/>
      <c r="F111" s="6" t="n"/>
      <c r="G111" s="6" t="n"/>
      <c r="H111" s="29">
        <f>IF((F111+G111)&gt;0,G111/(F111+G111),"")</f>
        <v/>
      </c>
      <c r="I111" s="17">
        <f>IF(C111="",0,IFERROR(VLOOKUP(C111,'Recetas y precios'!$A$5:$U$54,21,FALSE),0))</f>
        <v/>
      </c>
      <c r="J111" s="17">
        <f>G111*I111</f>
        <v/>
      </c>
      <c r="K111" s="6" t="n"/>
      <c r="L111" s="6" t="n"/>
    </row>
    <row r="112">
      <c r="A112" s="32" t="n"/>
      <c r="B112" s="6" t="n"/>
      <c r="C112" s="6" t="n"/>
      <c r="D112">
        <f>IF(C112="","",IFERROR(VLOOKUP(C112,'Recetas y precios'!$A$5:$B$54,2,FALSE),""))</f>
        <v/>
      </c>
      <c r="E112" s="6" t="n"/>
      <c r="F112" s="6" t="n"/>
      <c r="G112" s="6" t="n"/>
      <c r="H112" s="29">
        <f>IF((F112+G112)&gt;0,G112/(F112+G112),"")</f>
        <v/>
      </c>
      <c r="I112" s="17">
        <f>IF(C112="",0,IFERROR(VLOOKUP(C112,'Recetas y precios'!$A$5:$U$54,21,FALSE),0))</f>
        <v/>
      </c>
      <c r="J112" s="17">
        <f>G112*I112</f>
        <v/>
      </c>
      <c r="K112" s="6" t="n"/>
      <c r="L112" s="6" t="n"/>
    </row>
    <row r="113">
      <c r="A113" s="32" t="n"/>
      <c r="B113" s="6" t="n"/>
      <c r="C113" s="6" t="n"/>
      <c r="D113">
        <f>IF(C113="","",IFERROR(VLOOKUP(C113,'Recetas y precios'!$A$5:$B$54,2,FALSE),""))</f>
        <v/>
      </c>
      <c r="E113" s="6" t="n"/>
      <c r="F113" s="6" t="n"/>
      <c r="G113" s="6" t="n"/>
      <c r="H113" s="29">
        <f>IF((F113+G113)&gt;0,G113/(F113+G113),"")</f>
        <v/>
      </c>
      <c r="I113" s="17">
        <f>IF(C113="",0,IFERROR(VLOOKUP(C113,'Recetas y precios'!$A$5:$U$54,21,FALSE),0))</f>
        <v/>
      </c>
      <c r="J113" s="17">
        <f>G113*I113</f>
        <v/>
      </c>
      <c r="K113" s="6" t="n"/>
      <c r="L113" s="6" t="n"/>
    </row>
    <row r="114">
      <c r="A114" s="32" t="n"/>
      <c r="B114" s="6" t="n"/>
      <c r="C114" s="6" t="n"/>
      <c r="D114">
        <f>IF(C114="","",IFERROR(VLOOKUP(C114,'Recetas y precios'!$A$5:$B$54,2,FALSE),""))</f>
        <v/>
      </c>
      <c r="E114" s="6" t="n"/>
      <c r="F114" s="6" t="n"/>
      <c r="G114" s="6" t="n"/>
      <c r="H114" s="29">
        <f>IF((F114+G114)&gt;0,G114/(F114+G114),"")</f>
        <v/>
      </c>
      <c r="I114" s="17">
        <f>IF(C114="",0,IFERROR(VLOOKUP(C114,'Recetas y precios'!$A$5:$U$54,21,FALSE),0))</f>
        <v/>
      </c>
      <c r="J114" s="17">
        <f>G114*I114</f>
        <v/>
      </c>
      <c r="K114" s="6" t="n"/>
      <c r="L114" s="6" t="n"/>
    </row>
    <row r="115">
      <c r="A115" s="32" t="n"/>
      <c r="B115" s="6" t="n"/>
      <c r="C115" s="6" t="n"/>
      <c r="D115">
        <f>IF(C115="","",IFERROR(VLOOKUP(C115,'Recetas y precios'!$A$5:$B$54,2,FALSE),""))</f>
        <v/>
      </c>
      <c r="E115" s="6" t="n"/>
      <c r="F115" s="6" t="n"/>
      <c r="G115" s="6" t="n"/>
      <c r="H115" s="29">
        <f>IF((F115+G115)&gt;0,G115/(F115+G115),"")</f>
        <v/>
      </c>
      <c r="I115" s="17">
        <f>IF(C115="",0,IFERROR(VLOOKUP(C115,'Recetas y precios'!$A$5:$U$54,21,FALSE),0))</f>
        <v/>
      </c>
      <c r="J115" s="17">
        <f>G115*I115</f>
        <v/>
      </c>
      <c r="K115" s="6" t="n"/>
      <c r="L115" s="6" t="n"/>
    </row>
    <row r="116">
      <c r="A116" s="32" t="n"/>
      <c r="B116" s="6" t="n"/>
      <c r="C116" s="6" t="n"/>
      <c r="D116">
        <f>IF(C116="","",IFERROR(VLOOKUP(C116,'Recetas y precios'!$A$5:$B$54,2,FALSE),""))</f>
        <v/>
      </c>
      <c r="E116" s="6" t="n"/>
      <c r="F116" s="6" t="n"/>
      <c r="G116" s="6" t="n"/>
      <c r="H116" s="29">
        <f>IF((F116+G116)&gt;0,G116/(F116+G116),"")</f>
        <v/>
      </c>
      <c r="I116" s="17">
        <f>IF(C116="",0,IFERROR(VLOOKUP(C116,'Recetas y precios'!$A$5:$U$54,21,FALSE),0))</f>
        <v/>
      </c>
      <c r="J116" s="17">
        <f>G116*I116</f>
        <v/>
      </c>
      <c r="K116" s="6" t="n"/>
      <c r="L116" s="6" t="n"/>
    </row>
    <row r="117">
      <c r="A117" s="32" t="n"/>
      <c r="B117" s="6" t="n"/>
      <c r="C117" s="6" t="n"/>
      <c r="D117">
        <f>IF(C117="","",IFERROR(VLOOKUP(C117,'Recetas y precios'!$A$5:$B$54,2,FALSE),""))</f>
        <v/>
      </c>
      <c r="E117" s="6" t="n"/>
      <c r="F117" s="6" t="n"/>
      <c r="G117" s="6" t="n"/>
      <c r="H117" s="29">
        <f>IF((F117+G117)&gt;0,G117/(F117+G117),"")</f>
        <v/>
      </c>
      <c r="I117" s="17">
        <f>IF(C117="",0,IFERROR(VLOOKUP(C117,'Recetas y precios'!$A$5:$U$54,21,FALSE),0))</f>
        <v/>
      </c>
      <c r="J117" s="17">
        <f>G117*I117</f>
        <v/>
      </c>
      <c r="K117" s="6" t="n"/>
      <c r="L117" s="6" t="n"/>
    </row>
    <row r="118">
      <c r="A118" s="32" t="n"/>
      <c r="B118" s="6" t="n"/>
      <c r="C118" s="6" t="n"/>
      <c r="D118">
        <f>IF(C118="","",IFERROR(VLOOKUP(C118,'Recetas y precios'!$A$5:$B$54,2,FALSE),""))</f>
        <v/>
      </c>
      <c r="E118" s="6" t="n"/>
      <c r="F118" s="6" t="n"/>
      <c r="G118" s="6" t="n"/>
      <c r="H118" s="29">
        <f>IF((F118+G118)&gt;0,G118/(F118+G118),"")</f>
        <v/>
      </c>
      <c r="I118" s="17">
        <f>IF(C118="",0,IFERROR(VLOOKUP(C118,'Recetas y precios'!$A$5:$U$54,21,FALSE),0))</f>
        <v/>
      </c>
      <c r="J118" s="17">
        <f>G118*I118</f>
        <v/>
      </c>
      <c r="K118" s="6" t="n"/>
      <c r="L118" s="6" t="n"/>
    </row>
    <row r="119">
      <c r="A119" s="32" t="n"/>
      <c r="B119" s="6" t="n"/>
      <c r="C119" s="6" t="n"/>
      <c r="D119">
        <f>IF(C119="","",IFERROR(VLOOKUP(C119,'Recetas y precios'!$A$5:$B$54,2,FALSE),""))</f>
        <v/>
      </c>
      <c r="E119" s="6" t="n"/>
      <c r="F119" s="6" t="n"/>
      <c r="G119" s="6" t="n"/>
      <c r="H119" s="29">
        <f>IF((F119+G119)&gt;0,G119/(F119+G119),"")</f>
        <v/>
      </c>
      <c r="I119" s="17">
        <f>IF(C119="",0,IFERROR(VLOOKUP(C119,'Recetas y precios'!$A$5:$U$54,21,FALSE),0))</f>
        <v/>
      </c>
      <c r="J119" s="17">
        <f>G119*I119</f>
        <v/>
      </c>
      <c r="K119" s="6" t="n"/>
      <c r="L119" s="6" t="n"/>
    </row>
    <row r="120">
      <c r="A120" s="32" t="n"/>
      <c r="B120" s="6" t="n"/>
      <c r="C120" s="6" t="n"/>
      <c r="D120">
        <f>IF(C120="","",IFERROR(VLOOKUP(C120,'Recetas y precios'!$A$5:$B$54,2,FALSE),""))</f>
        <v/>
      </c>
      <c r="E120" s="6" t="n"/>
      <c r="F120" s="6" t="n"/>
      <c r="G120" s="6" t="n"/>
      <c r="H120" s="29">
        <f>IF((F120+G120)&gt;0,G120/(F120+G120),"")</f>
        <v/>
      </c>
      <c r="I120" s="17">
        <f>IF(C120="",0,IFERROR(VLOOKUP(C120,'Recetas y precios'!$A$5:$U$54,21,FALSE),0))</f>
        <v/>
      </c>
      <c r="J120" s="17">
        <f>G120*I120</f>
        <v/>
      </c>
      <c r="K120" s="6" t="n"/>
      <c r="L120" s="6" t="n"/>
    </row>
    <row r="121">
      <c r="A121" s="32" t="n"/>
      <c r="B121" s="6" t="n"/>
      <c r="C121" s="6" t="n"/>
      <c r="D121">
        <f>IF(C121="","",IFERROR(VLOOKUP(C121,'Recetas y precios'!$A$5:$B$54,2,FALSE),""))</f>
        <v/>
      </c>
      <c r="E121" s="6" t="n"/>
      <c r="F121" s="6" t="n"/>
      <c r="G121" s="6" t="n"/>
      <c r="H121" s="29">
        <f>IF((F121+G121)&gt;0,G121/(F121+G121),"")</f>
        <v/>
      </c>
      <c r="I121" s="17">
        <f>IF(C121="",0,IFERROR(VLOOKUP(C121,'Recetas y precios'!$A$5:$U$54,21,FALSE),0))</f>
        <v/>
      </c>
      <c r="J121" s="17">
        <f>G121*I121</f>
        <v/>
      </c>
      <c r="K121" s="6" t="n"/>
      <c r="L121" s="6" t="n"/>
    </row>
    <row r="122">
      <c r="A122" s="32" t="n"/>
      <c r="B122" s="6" t="n"/>
      <c r="C122" s="6" t="n"/>
      <c r="D122">
        <f>IF(C122="","",IFERROR(VLOOKUP(C122,'Recetas y precios'!$A$5:$B$54,2,FALSE),""))</f>
        <v/>
      </c>
      <c r="E122" s="6" t="n"/>
      <c r="F122" s="6" t="n"/>
      <c r="G122" s="6" t="n"/>
      <c r="H122" s="29">
        <f>IF((F122+G122)&gt;0,G122/(F122+G122),"")</f>
        <v/>
      </c>
      <c r="I122" s="17">
        <f>IF(C122="",0,IFERROR(VLOOKUP(C122,'Recetas y precios'!$A$5:$U$54,21,FALSE),0))</f>
        <v/>
      </c>
      <c r="J122" s="17">
        <f>G122*I122</f>
        <v/>
      </c>
      <c r="K122" s="6" t="n"/>
      <c r="L122" s="6" t="n"/>
    </row>
    <row r="123">
      <c r="A123" s="32" t="n"/>
      <c r="B123" s="6" t="n"/>
      <c r="C123" s="6" t="n"/>
      <c r="D123">
        <f>IF(C123="","",IFERROR(VLOOKUP(C123,'Recetas y precios'!$A$5:$B$54,2,FALSE),""))</f>
        <v/>
      </c>
      <c r="E123" s="6" t="n"/>
      <c r="F123" s="6" t="n"/>
      <c r="G123" s="6" t="n"/>
      <c r="H123" s="29">
        <f>IF((F123+G123)&gt;0,G123/(F123+G123),"")</f>
        <v/>
      </c>
      <c r="I123" s="17">
        <f>IF(C123="",0,IFERROR(VLOOKUP(C123,'Recetas y precios'!$A$5:$U$54,21,FALSE),0))</f>
        <v/>
      </c>
      <c r="J123" s="17">
        <f>G123*I123</f>
        <v/>
      </c>
      <c r="K123" s="6" t="n"/>
      <c r="L123" s="6" t="n"/>
    </row>
    <row r="124">
      <c r="A124" s="32" t="n"/>
      <c r="B124" s="6" t="n"/>
      <c r="C124" s="6" t="n"/>
      <c r="D124">
        <f>IF(C124="","",IFERROR(VLOOKUP(C124,'Recetas y precios'!$A$5:$B$54,2,FALSE),""))</f>
        <v/>
      </c>
      <c r="E124" s="6" t="n"/>
      <c r="F124" s="6" t="n"/>
      <c r="G124" s="6" t="n"/>
      <c r="H124" s="29">
        <f>IF((F124+G124)&gt;0,G124/(F124+G124),"")</f>
        <v/>
      </c>
      <c r="I124" s="17">
        <f>IF(C124="",0,IFERROR(VLOOKUP(C124,'Recetas y precios'!$A$5:$U$54,21,FALSE),0))</f>
        <v/>
      </c>
      <c r="J124" s="17">
        <f>G124*I124</f>
        <v/>
      </c>
      <c r="K124" s="6" t="n"/>
      <c r="L124" s="6" t="n"/>
    </row>
    <row r="125">
      <c r="A125" s="32" t="n"/>
      <c r="B125" s="6" t="n"/>
      <c r="C125" s="6" t="n"/>
      <c r="D125">
        <f>IF(C125="","",IFERROR(VLOOKUP(C125,'Recetas y precios'!$A$5:$B$54,2,FALSE),""))</f>
        <v/>
      </c>
      <c r="E125" s="6" t="n"/>
      <c r="F125" s="6" t="n"/>
      <c r="G125" s="6" t="n"/>
      <c r="H125" s="29">
        <f>IF((F125+G125)&gt;0,G125/(F125+G125),"")</f>
        <v/>
      </c>
      <c r="I125" s="17">
        <f>IF(C125="",0,IFERROR(VLOOKUP(C125,'Recetas y precios'!$A$5:$U$54,21,FALSE),0))</f>
        <v/>
      </c>
      <c r="J125" s="17">
        <f>G125*I125</f>
        <v/>
      </c>
      <c r="K125" s="6" t="n"/>
      <c r="L125" s="6" t="n"/>
    </row>
    <row r="126">
      <c r="A126" s="32" t="n"/>
      <c r="B126" s="6" t="n"/>
      <c r="C126" s="6" t="n"/>
      <c r="D126">
        <f>IF(C126="","",IFERROR(VLOOKUP(C126,'Recetas y precios'!$A$5:$B$54,2,FALSE),""))</f>
        <v/>
      </c>
      <c r="E126" s="6" t="n"/>
      <c r="F126" s="6" t="n"/>
      <c r="G126" s="6" t="n"/>
      <c r="H126" s="29">
        <f>IF((F126+G126)&gt;0,G126/(F126+G126),"")</f>
        <v/>
      </c>
      <c r="I126" s="17">
        <f>IF(C126="",0,IFERROR(VLOOKUP(C126,'Recetas y precios'!$A$5:$U$54,21,FALSE),0))</f>
        <v/>
      </c>
      <c r="J126" s="17">
        <f>G126*I126</f>
        <v/>
      </c>
      <c r="K126" s="6" t="n"/>
      <c r="L126" s="6" t="n"/>
    </row>
    <row r="127">
      <c r="A127" s="32" t="n"/>
      <c r="B127" s="6" t="n"/>
      <c r="C127" s="6" t="n"/>
      <c r="D127">
        <f>IF(C127="","",IFERROR(VLOOKUP(C127,'Recetas y precios'!$A$5:$B$54,2,FALSE),""))</f>
        <v/>
      </c>
      <c r="E127" s="6" t="n"/>
      <c r="F127" s="6" t="n"/>
      <c r="G127" s="6" t="n"/>
      <c r="H127" s="29">
        <f>IF((F127+G127)&gt;0,G127/(F127+G127),"")</f>
        <v/>
      </c>
      <c r="I127" s="17">
        <f>IF(C127="",0,IFERROR(VLOOKUP(C127,'Recetas y precios'!$A$5:$U$54,21,FALSE),0))</f>
        <v/>
      </c>
      <c r="J127" s="17">
        <f>G127*I127</f>
        <v/>
      </c>
      <c r="K127" s="6" t="n"/>
      <c r="L127" s="6" t="n"/>
    </row>
    <row r="128">
      <c r="A128" s="32" t="n"/>
      <c r="B128" s="6" t="n"/>
      <c r="C128" s="6" t="n"/>
      <c r="D128">
        <f>IF(C128="","",IFERROR(VLOOKUP(C128,'Recetas y precios'!$A$5:$B$54,2,FALSE),""))</f>
        <v/>
      </c>
      <c r="E128" s="6" t="n"/>
      <c r="F128" s="6" t="n"/>
      <c r="G128" s="6" t="n"/>
      <c r="H128" s="29">
        <f>IF((F128+G128)&gt;0,G128/(F128+G128),"")</f>
        <v/>
      </c>
      <c r="I128" s="17">
        <f>IF(C128="",0,IFERROR(VLOOKUP(C128,'Recetas y precios'!$A$5:$U$54,21,FALSE),0))</f>
        <v/>
      </c>
      <c r="J128" s="17">
        <f>G128*I128</f>
        <v/>
      </c>
      <c r="K128" s="6" t="n"/>
      <c r="L128" s="6" t="n"/>
    </row>
    <row r="129">
      <c r="A129" s="32" t="n"/>
      <c r="B129" s="6" t="n"/>
      <c r="C129" s="6" t="n"/>
      <c r="D129">
        <f>IF(C129="","",IFERROR(VLOOKUP(C129,'Recetas y precios'!$A$5:$B$54,2,FALSE),""))</f>
        <v/>
      </c>
      <c r="E129" s="6" t="n"/>
      <c r="F129" s="6" t="n"/>
      <c r="G129" s="6" t="n"/>
      <c r="H129" s="29">
        <f>IF((F129+G129)&gt;0,G129/(F129+G129),"")</f>
        <v/>
      </c>
      <c r="I129" s="17">
        <f>IF(C129="",0,IFERROR(VLOOKUP(C129,'Recetas y precios'!$A$5:$U$54,21,FALSE),0))</f>
        <v/>
      </c>
      <c r="J129" s="17">
        <f>G129*I129</f>
        <v/>
      </c>
      <c r="K129" s="6" t="n"/>
      <c r="L129" s="6" t="n"/>
    </row>
    <row r="130">
      <c r="A130" s="32" t="n"/>
      <c r="B130" s="6" t="n"/>
      <c r="C130" s="6" t="n"/>
      <c r="D130">
        <f>IF(C130="","",IFERROR(VLOOKUP(C130,'Recetas y precios'!$A$5:$B$54,2,FALSE),""))</f>
        <v/>
      </c>
      <c r="E130" s="6" t="n"/>
      <c r="F130" s="6" t="n"/>
      <c r="G130" s="6" t="n"/>
      <c r="H130" s="29">
        <f>IF((F130+G130)&gt;0,G130/(F130+G130),"")</f>
        <v/>
      </c>
      <c r="I130" s="17">
        <f>IF(C130="",0,IFERROR(VLOOKUP(C130,'Recetas y precios'!$A$5:$U$54,21,FALSE),0))</f>
        <v/>
      </c>
      <c r="J130" s="17">
        <f>G130*I130</f>
        <v/>
      </c>
      <c r="K130" s="6" t="n"/>
      <c r="L130" s="6" t="n"/>
    </row>
    <row r="131">
      <c r="A131" s="32" t="n"/>
      <c r="B131" s="6" t="n"/>
      <c r="C131" s="6" t="n"/>
      <c r="D131">
        <f>IF(C131="","",IFERROR(VLOOKUP(C131,'Recetas y precios'!$A$5:$B$54,2,FALSE),""))</f>
        <v/>
      </c>
      <c r="E131" s="6" t="n"/>
      <c r="F131" s="6" t="n"/>
      <c r="G131" s="6" t="n"/>
      <c r="H131" s="29">
        <f>IF((F131+G131)&gt;0,G131/(F131+G131),"")</f>
        <v/>
      </c>
      <c r="I131" s="17">
        <f>IF(C131="",0,IFERROR(VLOOKUP(C131,'Recetas y precios'!$A$5:$U$54,21,FALSE),0))</f>
        <v/>
      </c>
      <c r="J131" s="17">
        <f>G131*I131</f>
        <v/>
      </c>
      <c r="K131" s="6" t="n"/>
      <c r="L131" s="6" t="n"/>
    </row>
    <row r="132">
      <c r="A132" s="32" t="n"/>
      <c r="B132" s="6" t="n"/>
      <c r="C132" s="6" t="n"/>
      <c r="D132">
        <f>IF(C132="","",IFERROR(VLOOKUP(C132,'Recetas y precios'!$A$5:$B$54,2,FALSE),""))</f>
        <v/>
      </c>
      <c r="E132" s="6" t="n"/>
      <c r="F132" s="6" t="n"/>
      <c r="G132" s="6" t="n"/>
      <c r="H132" s="29">
        <f>IF((F132+G132)&gt;0,G132/(F132+G132),"")</f>
        <v/>
      </c>
      <c r="I132" s="17">
        <f>IF(C132="",0,IFERROR(VLOOKUP(C132,'Recetas y precios'!$A$5:$U$54,21,FALSE),0))</f>
        <v/>
      </c>
      <c r="J132" s="17">
        <f>G132*I132</f>
        <v/>
      </c>
      <c r="K132" s="6" t="n"/>
      <c r="L132" s="6" t="n"/>
    </row>
    <row r="133">
      <c r="A133" s="32" t="n"/>
      <c r="B133" s="6" t="n"/>
      <c r="C133" s="6" t="n"/>
      <c r="D133">
        <f>IF(C133="","",IFERROR(VLOOKUP(C133,'Recetas y precios'!$A$5:$B$54,2,FALSE),""))</f>
        <v/>
      </c>
      <c r="E133" s="6" t="n"/>
      <c r="F133" s="6" t="n"/>
      <c r="G133" s="6" t="n"/>
      <c r="H133" s="29">
        <f>IF((F133+G133)&gt;0,G133/(F133+G133),"")</f>
        <v/>
      </c>
      <c r="I133" s="17">
        <f>IF(C133="",0,IFERROR(VLOOKUP(C133,'Recetas y precios'!$A$5:$U$54,21,FALSE),0))</f>
        <v/>
      </c>
      <c r="J133" s="17">
        <f>G133*I133</f>
        <v/>
      </c>
      <c r="K133" s="6" t="n"/>
      <c r="L133" s="6" t="n"/>
    </row>
    <row r="134">
      <c r="A134" s="32" t="n"/>
      <c r="B134" s="6" t="n"/>
      <c r="C134" s="6" t="n"/>
      <c r="D134">
        <f>IF(C134="","",IFERROR(VLOOKUP(C134,'Recetas y precios'!$A$5:$B$54,2,FALSE),""))</f>
        <v/>
      </c>
      <c r="E134" s="6" t="n"/>
      <c r="F134" s="6" t="n"/>
      <c r="G134" s="6" t="n"/>
      <c r="H134" s="29">
        <f>IF((F134+G134)&gt;0,G134/(F134+G134),"")</f>
        <v/>
      </c>
      <c r="I134" s="17">
        <f>IF(C134="",0,IFERROR(VLOOKUP(C134,'Recetas y precios'!$A$5:$U$54,21,FALSE),0))</f>
        <v/>
      </c>
      <c r="J134" s="17">
        <f>G134*I134</f>
        <v/>
      </c>
      <c r="K134" s="6" t="n"/>
      <c r="L134" s="6" t="n"/>
    </row>
    <row r="135">
      <c r="A135" s="32" t="n"/>
      <c r="B135" s="6" t="n"/>
      <c r="C135" s="6" t="n"/>
      <c r="D135">
        <f>IF(C135="","",IFERROR(VLOOKUP(C135,'Recetas y precios'!$A$5:$B$54,2,FALSE),""))</f>
        <v/>
      </c>
      <c r="E135" s="6" t="n"/>
      <c r="F135" s="6" t="n"/>
      <c r="G135" s="6" t="n"/>
      <c r="H135" s="29">
        <f>IF((F135+G135)&gt;0,G135/(F135+G135),"")</f>
        <v/>
      </c>
      <c r="I135" s="17">
        <f>IF(C135="",0,IFERROR(VLOOKUP(C135,'Recetas y precios'!$A$5:$U$54,21,FALSE),0))</f>
        <v/>
      </c>
      <c r="J135" s="17">
        <f>G135*I135</f>
        <v/>
      </c>
      <c r="K135" s="6" t="n"/>
      <c r="L135" s="6" t="n"/>
    </row>
    <row r="136">
      <c r="A136" s="32" t="n"/>
      <c r="B136" s="6" t="n"/>
      <c r="C136" s="6" t="n"/>
      <c r="D136">
        <f>IF(C136="","",IFERROR(VLOOKUP(C136,'Recetas y precios'!$A$5:$B$54,2,FALSE),""))</f>
        <v/>
      </c>
      <c r="E136" s="6" t="n"/>
      <c r="F136" s="6" t="n"/>
      <c r="G136" s="6" t="n"/>
      <c r="H136" s="29">
        <f>IF((F136+G136)&gt;0,G136/(F136+G136),"")</f>
        <v/>
      </c>
      <c r="I136" s="17">
        <f>IF(C136="",0,IFERROR(VLOOKUP(C136,'Recetas y precios'!$A$5:$U$54,21,FALSE),0))</f>
        <v/>
      </c>
      <c r="J136" s="17">
        <f>G136*I136</f>
        <v/>
      </c>
      <c r="K136" s="6" t="n"/>
      <c r="L136" s="6" t="n"/>
    </row>
    <row r="137">
      <c r="A137" s="32" t="n"/>
      <c r="B137" s="6" t="n"/>
      <c r="C137" s="6" t="n"/>
      <c r="D137">
        <f>IF(C137="","",IFERROR(VLOOKUP(C137,'Recetas y precios'!$A$5:$B$54,2,FALSE),""))</f>
        <v/>
      </c>
      <c r="E137" s="6" t="n"/>
      <c r="F137" s="6" t="n"/>
      <c r="G137" s="6" t="n"/>
      <c r="H137" s="29">
        <f>IF((F137+G137)&gt;0,G137/(F137+G137),"")</f>
        <v/>
      </c>
      <c r="I137" s="17">
        <f>IF(C137="",0,IFERROR(VLOOKUP(C137,'Recetas y precios'!$A$5:$U$54,21,FALSE),0))</f>
        <v/>
      </c>
      <c r="J137" s="17">
        <f>G137*I137</f>
        <v/>
      </c>
      <c r="K137" s="6" t="n"/>
      <c r="L137" s="6" t="n"/>
    </row>
    <row r="138">
      <c r="A138" s="32" t="n"/>
      <c r="B138" s="6" t="n"/>
      <c r="C138" s="6" t="n"/>
      <c r="D138">
        <f>IF(C138="","",IFERROR(VLOOKUP(C138,'Recetas y precios'!$A$5:$B$54,2,FALSE),""))</f>
        <v/>
      </c>
      <c r="E138" s="6" t="n"/>
      <c r="F138" s="6" t="n"/>
      <c r="G138" s="6" t="n"/>
      <c r="H138" s="29">
        <f>IF((F138+G138)&gt;0,G138/(F138+G138),"")</f>
        <v/>
      </c>
      <c r="I138" s="17">
        <f>IF(C138="",0,IFERROR(VLOOKUP(C138,'Recetas y precios'!$A$5:$U$54,21,FALSE),0))</f>
        <v/>
      </c>
      <c r="J138" s="17">
        <f>G138*I138</f>
        <v/>
      </c>
      <c r="K138" s="6" t="n"/>
      <c r="L138" s="6" t="n"/>
    </row>
    <row r="139">
      <c r="A139" s="32" t="n"/>
      <c r="B139" s="6" t="n"/>
      <c r="C139" s="6" t="n"/>
      <c r="D139">
        <f>IF(C139="","",IFERROR(VLOOKUP(C139,'Recetas y precios'!$A$5:$B$54,2,FALSE),""))</f>
        <v/>
      </c>
      <c r="E139" s="6" t="n"/>
      <c r="F139" s="6" t="n"/>
      <c r="G139" s="6" t="n"/>
      <c r="H139" s="29">
        <f>IF((F139+G139)&gt;0,G139/(F139+G139),"")</f>
        <v/>
      </c>
      <c r="I139" s="17">
        <f>IF(C139="",0,IFERROR(VLOOKUP(C139,'Recetas y precios'!$A$5:$U$54,21,FALSE),0))</f>
        <v/>
      </c>
      <c r="J139" s="17">
        <f>G139*I139</f>
        <v/>
      </c>
      <c r="K139" s="6" t="n"/>
      <c r="L139" s="6" t="n"/>
    </row>
    <row r="140">
      <c r="A140" s="32" t="n"/>
      <c r="B140" s="6" t="n"/>
      <c r="C140" s="6" t="n"/>
      <c r="D140">
        <f>IF(C140="","",IFERROR(VLOOKUP(C140,'Recetas y precios'!$A$5:$B$54,2,FALSE),""))</f>
        <v/>
      </c>
      <c r="E140" s="6" t="n"/>
      <c r="F140" s="6" t="n"/>
      <c r="G140" s="6" t="n"/>
      <c r="H140" s="29">
        <f>IF((F140+G140)&gt;0,G140/(F140+G140),"")</f>
        <v/>
      </c>
      <c r="I140" s="17">
        <f>IF(C140="",0,IFERROR(VLOOKUP(C140,'Recetas y precios'!$A$5:$U$54,21,FALSE),0))</f>
        <v/>
      </c>
      <c r="J140" s="17">
        <f>G140*I140</f>
        <v/>
      </c>
      <c r="K140" s="6" t="n"/>
      <c r="L140" s="6" t="n"/>
    </row>
    <row r="141">
      <c r="A141" s="32" t="n"/>
      <c r="B141" s="6" t="n"/>
      <c r="C141" s="6" t="n"/>
      <c r="D141">
        <f>IF(C141="","",IFERROR(VLOOKUP(C141,'Recetas y precios'!$A$5:$B$54,2,FALSE),""))</f>
        <v/>
      </c>
      <c r="E141" s="6" t="n"/>
      <c r="F141" s="6" t="n"/>
      <c r="G141" s="6" t="n"/>
      <c r="H141" s="29">
        <f>IF((F141+G141)&gt;0,G141/(F141+G141),"")</f>
        <v/>
      </c>
      <c r="I141" s="17">
        <f>IF(C141="",0,IFERROR(VLOOKUP(C141,'Recetas y precios'!$A$5:$U$54,21,FALSE),0))</f>
        <v/>
      </c>
      <c r="J141" s="17">
        <f>G141*I141</f>
        <v/>
      </c>
      <c r="K141" s="6" t="n"/>
      <c r="L141" s="6" t="n"/>
    </row>
    <row r="142">
      <c r="A142" s="32" t="n"/>
      <c r="B142" s="6" t="n"/>
      <c r="C142" s="6" t="n"/>
      <c r="D142">
        <f>IF(C142="","",IFERROR(VLOOKUP(C142,'Recetas y precios'!$A$5:$B$54,2,FALSE),""))</f>
        <v/>
      </c>
      <c r="E142" s="6" t="n"/>
      <c r="F142" s="6" t="n"/>
      <c r="G142" s="6" t="n"/>
      <c r="H142" s="29">
        <f>IF((F142+G142)&gt;0,G142/(F142+G142),"")</f>
        <v/>
      </c>
      <c r="I142" s="17">
        <f>IF(C142="",0,IFERROR(VLOOKUP(C142,'Recetas y precios'!$A$5:$U$54,21,FALSE),0))</f>
        <v/>
      </c>
      <c r="J142" s="17">
        <f>G142*I142</f>
        <v/>
      </c>
      <c r="K142" s="6" t="n"/>
      <c r="L142" s="6" t="n"/>
    </row>
    <row r="143">
      <c r="A143" s="32" t="n"/>
      <c r="B143" s="6" t="n"/>
      <c r="C143" s="6" t="n"/>
      <c r="D143">
        <f>IF(C143="","",IFERROR(VLOOKUP(C143,'Recetas y precios'!$A$5:$B$54,2,FALSE),""))</f>
        <v/>
      </c>
      <c r="E143" s="6" t="n"/>
      <c r="F143" s="6" t="n"/>
      <c r="G143" s="6" t="n"/>
      <c r="H143" s="29">
        <f>IF((F143+G143)&gt;0,G143/(F143+G143),"")</f>
        <v/>
      </c>
      <c r="I143" s="17">
        <f>IF(C143="",0,IFERROR(VLOOKUP(C143,'Recetas y precios'!$A$5:$U$54,21,FALSE),0))</f>
        <v/>
      </c>
      <c r="J143" s="17">
        <f>G143*I143</f>
        <v/>
      </c>
      <c r="K143" s="6" t="n"/>
      <c r="L143" s="6" t="n"/>
    </row>
    <row r="144">
      <c r="A144" s="32" t="n"/>
      <c r="B144" s="6" t="n"/>
      <c r="C144" s="6" t="n"/>
      <c r="D144">
        <f>IF(C144="","",IFERROR(VLOOKUP(C144,'Recetas y precios'!$A$5:$B$54,2,FALSE),""))</f>
        <v/>
      </c>
      <c r="E144" s="6" t="n"/>
      <c r="F144" s="6" t="n"/>
      <c r="G144" s="6" t="n"/>
      <c r="H144" s="29">
        <f>IF((F144+G144)&gt;0,G144/(F144+G144),"")</f>
        <v/>
      </c>
      <c r="I144" s="17">
        <f>IF(C144="",0,IFERROR(VLOOKUP(C144,'Recetas y precios'!$A$5:$U$54,21,FALSE),0))</f>
        <v/>
      </c>
      <c r="J144" s="17">
        <f>G144*I144</f>
        <v/>
      </c>
      <c r="K144" s="6" t="n"/>
      <c r="L144" s="6" t="n"/>
    </row>
    <row r="145">
      <c r="A145" s="32" t="n"/>
      <c r="B145" s="6" t="n"/>
      <c r="C145" s="6" t="n"/>
      <c r="D145">
        <f>IF(C145="","",IFERROR(VLOOKUP(C145,'Recetas y precios'!$A$5:$B$54,2,FALSE),""))</f>
        <v/>
      </c>
      <c r="E145" s="6" t="n"/>
      <c r="F145" s="6" t="n"/>
      <c r="G145" s="6" t="n"/>
      <c r="H145" s="29">
        <f>IF((F145+G145)&gt;0,G145/(F145+G145),"")</f>
        <v/>
      </c>
      <c r="I145" s="17">
        <f>IF(C145="",0,IFERROR(VLOOKUP(C145,'Recetas y precios'!$A$5:$U$54,21,FALSE),0))</f>
        <v/>
      </c>
      <c r="J145" s="17">
        <f>G145*I145</f>
        <v/>
      </c>
      <c r="K145" s="6" t="n"/>
      <c r="L145" s="6" t="n"/>
    </row>
    <row r="146">
      <c r="A146" s="32" t="n"/>
      <c r="B146" s="6" t="n"/>
      <c r="C146" s="6" t="n"/>
      <c r="D146">
        <f>IF(C146="","",IFERROR(VLOOKUP(C146,'Recetas y precios'!$A$5:$B$54,2,FALSE),""))</f>
        <v/>
      </c>
      <c r="E146" s="6" t="n"/>
      <c r="F146" s="6" t="n"/>
      <c r="G146" s="6" t="n"/>
      <c r="H146" s="29">
        <f>IF((F146+G146)&gt;0,G146/(F146+G146),"")</f>
        <v/>
      </c>
      <c r="I146" s="17">
        <f>IF(C146="",0,IFERROR(VLOOKUP(C146,'Recetas y precios'!$A$5:$U$54,21,FALSE),0))</f>
        <v/>
      </c>
      <c r="J146" s="17">
        <f>G146*I146</f>
        <v/>
      </c>
      <c r="K146" s="6" t="n"/>
      <c r="L146" s="6" t="n"/>
    </row>
    <row r="147">
      <c r="A147" s="32" t="n"/>
      <c r="B147" s="6" t="n"/>
      <c r="C147" s="6" t="n"/>
      <c r="D147">
        <f>IF(C147="","",IFERROR(VLOOKUP(C147,'Recetas y precios'!$A$5:$B$54,2,FALSE),""))</f>
        <v/>
      </c>
      <c r="E147" s="6" t="n"/>
      <c r="F147" s="6" t="n"/>
      <c r="G147" s="6" t="n"/>
      <c r="H147" s="29">
        <f>IF((F147+G147)&gt;0,G147/(F147+G147),"")</f>
        <v/>
      </c>
      <c r="I147" s="17">
        <f>IF(C147="",0,IFERROR(VLOOKUP(C147,'Recetas y precios'!$A$5:$U$54,21,FALSE),0))</f>
        <v/>
      </c>
      <c r="J147" s="17">
        <f>G147*I147</f>
        <v/>
      </c>
      <c r="K147" s="6" t="n"/>
      <c r="L147" s="6" t="n"/>
    </row>
    <row r="148">
      <c r="A148" s="32" t="n"/>
      <c r="B148" s="6" t="n"/>
      <c r="C148" s="6" t="n"/>
      <c r="D148">
        <f>IF(C148="","",IFERROR(VLOOKUP(C148,'Recetas y precios'!$A$5:$B$54,2,FALSE),""))</f>
        <v/>
      </c>
      <c r="E148" s="6" t="n"/>
      <c r="F148" s="6" t="n"/>
      <c r="G148" s="6" t="n"/>
      <c r="H148" s="29">
        <f>IF((F148+G148)&gt;0,G148/(F148+G148),"")</f>
        <v/>
      </c>
      <c r="I148" s="17">
        <f>IF(C148="",0,IFERROR(VLOOKUP(C148,'Recetas y precios'!$A$5:$U$54,21,FALSE),0))</f>
        <v/>
      </c>
      <c r="J148" s="17">
        <f>G148*I148</f>
        <v/>
      </c>
      <c r="K148" s="6" t="n"/>
      <c r="L148" s="6" t="n"/>
    </row>
    <row r="149">
      <c r="A149" s="32" t="n"/>
      <c r="B149" s="6" t="n"/>
      <c r="C149" s="6" t="n"/>
      <c r="D149">
        <f>IF(C149="","",IFERROR(VLOOKUP(C149,'Recetas y precios'!$A$5:$B$54,2,FALSE),""))</f>
        <v/>
      </c>
      <c r="E149" s="6" t="n"/>
      <c r="F149" s="6" t="n"/>
      <c r="G149" s="6" t="n"/>
      <c r="H149" s="29">
        <f>IF((F149+G149)&gt;0,G149/(F149+G149),"")</f>
        <v/>
      </c>
      <c r="I149" s="17">
        <f>IF(C149="",0,IFERROR(VLOOKUP(C149,'Recetas y precios'!$A$5:$U$54,21,FALSE),0))</f>
        <v/>
      </c>
      <c r="J149" s="17">
        <f>G149*I149</f>
        <v/>
      </c>
      <c r="K149" s="6" t="n"/>
      <c r="L149" s="6" t="n"/>
    </row>
    <row r="150">
      <c r="A150" s="32" t="n"/>
      <c r="B150" s="6" t="n"/>
      <c r="C150" s="6" t="n"/>
      <c r="D150">
        <f>IF(C150="","",IFERROR(VLOOKUP(C150,'Recetas y precios'!$A$5:$B$54,2,FALSE),""))</f>
        <v/>
      </c>
      <c r="E150" s="6" t="n"/>
      <c r="F150" s="6" t="n"/>
      <c r="G150" s="6" t="n"/>
      <c r="H150" s="29">
        <f>IF((F150+G150)&gt;0,G150/(F150+G150),"")</f>
        <v/>
      </c>
      <c r="I150" s="17">
        <f>IF(C150="",0,IFERROR(VLOOKUP(C150,'Recetas y precios'!$A$5:$U$54,21,FALSE),0))</f>
        <v/>
      </c>
      <c r="J150" s="17">
        <f>G150*I150</f>
        <v/>
      </c>
      <c r="K150" s="6" t="n"/>
      <c r="L150" s="6" t="n"/>
    </row>
    <row r="151">
      <c r="A151" s="32" t="n"/>
      <c r="B151" s="6" t="n"/>
      <c r="C151" s="6" t="n"/>
      <c r="D151">
        <f>IF(C151="","",IFERROR(VLOOKUP(C151,'Recetas y precios'!$A$5:$B$54,2,FALSE),""))</f>
        <v/>
      </c>
      <c r="E151" s="6" t="n"/>
      <c r="F151" s="6" t="n"/>
      <c r="G151" s="6" t="n"/>
      <c r="H151" s="29">
        <f>IF((F151+G151)&gt;0,G151/(F151+G151),"")</f>
        <v/>
      </c>
      <c r="I151" s="17">
        <f>IF(C151="",0,IFERROR(VLOOKUP(C151,'Recetas y precios'!$A$5:$U$54,21,FALSE),0))</f>
        <v/>
      </c>
      <c r="J151" s="17">
        <f>G151*I151</f>
        <v/>
      </c>
      <c r="K151" s="6" t="n"/>
      <c r="L151" s="6" t="n"/>
    </row>
    <row r="152">
      <c r="A152" s="32" t="n"/>
      <c r="B152" s="6" t="n"/>
      <c r="C152" s="6" t="n"/>
      <c r="D152">
        <f>IF(C152="","",IFERROR(VLOOKUP(C152,'Recetas y precios'!$A$5:$B$54,2,FALSE),""))</f>
        <v/>
      </c>
      <c r="E152" s="6" t="n"/>
      <c r="F152" s="6" t="n"/>
      <c r="G152" s="6" t="n"/>
      <c r="H152" s="29">
        <f>IF((F152+G152)&gt;0,G152/(F152+G152),"")</f>
        <v/>
      </c>
      <c r="I152" s="17">
        <f>IF(C152="",0,IFERROR(VLOOKUP(C152,'Recetas y precios'!$A$5:$U$54,21,FALSE),0))</f>
        <v/>
      </c>
      <c r="J152" s="17">
        <f>G152*I152</f>
        <v/>
      </c>
      <c r="K152" s="6" t="n"/>
      <c r="L152" s="6" t="n"/>
    </row>
    <row r="153">
      <c r="A153" s="32" t="n"/>
      <c r="B153" s="6" t="n"/>
      <c r="C153" s="6" t="n"/>
      <c r="D153">
        <f>IF(C153="","",IFERROR(VLOOKUP(C153,'Recetas y precios'!$A$5:$B$54,2,FALSE),""))</f>
        <v/>
      </c>
      <c r="E153" s="6" t="n"/>
      <c r="F153" s="6" t="n"/>
      <c r="G153" s="6" t="n"/>
      <c r="H153" s="29">
        <f>IF((F153+G153)&gt;0,G153/(F153+G153),"")</f>
        <v/>
      </c>
      <c r="I153" s="17">
        <f>IF(C153="",0,IFERROR(VLOOKUP(C153,'Recetas y precios'!$A$5:$U$54,21,FALSE),0))</f>
        <v/>
      </c>
      <c r="J153" s="17">
        <f>G153*I153</f>
        <v/>
      </c>
      <c r="K153" s="6" t="n"/>
      <c r="L153" s="6" t="n"/>
    </row>
    <row r="154">
      <c r="A154" s="32" t="n"/>
      <c r="B154" s="6" t="n"/>
      <c r="C154" s="6" t="n"/>
      <c r="D154">
        <f>IF(C154="","",IFERROR(VLOOKUP(C154,'Recetas y precios'!$A$5:$B$54,2,FALSE),""))</f>
        <v/>
      </c>
      <c r="E154" s="6" t="n"/>
      <c r="F154" s="6" t="n"/>
      <c r="G154" s="6" t="n"/>
      <c r="H154" s="29">
        <f>IF((F154+G154)&gt;0,G154/(F154+G154),"")</f>
        <v/>
      </c>
      <c r="I154" s="17">
        <f>IF(C154="",0,IFERROR(VLOOKUP(C154,'Recetas y precios'!$A$5:$U$54,21,FALSE),0))</f>
        <v/>
      </c>
      <c r="J154" s="17">
        <f>G154*I154</f>
        <v/>
      </c>
      <c r="K154" s="6" t="n"/>
      <c r="L154" s="6" t="n"/>
    </row>
    <row r="155">
      <c r="A155" s="32" t="n"/>
      <c r="B155" s="6" t="n"/>
      <c r="C155" s="6" t="n"/>
      <c r="D155">
        <f>IF(C155="","",IFERROR(VLOOKUP(C155,'Recetas y precios'!$A$5:$B$54,2,FALSE),""))</f>
        <v/>
      </c>
      <c r="E155" s="6" t="n"/>
      <c r="F155" s="6" t="n"/>
      <c r="G155" s="6" t="n"/>
      <c r="H155" s="29">
        <f>IF((F155+G155)&gt;0,G155/(F155+G155),"")</f>
        <v/>
      </c>
      <c r="I155" s="17">
        <f>IF(C155="",0,IFERROR(VLOOKUP(C155,'Recetas y precios'!$A$5:$U$54,21,FALSE),0))</f>
        <v/>
      </c>
      <c r="J155" s="17">
        <f>G155*I155</f>
        <v/>
      </c>
      <c r="K155" s="6" t="n"/>
      <c r="L155" s="6" t="n"/>
    </row>
    <row r="156">
      <c r="A156" s="32" t="n"/>
      <c r="B156" s="6" t="n"/>
      <c r="C156" s="6" t="n"/>
      <c r="D156">
        <f>IF(C156="","",IFERROR(VLOOKUP(C156,'Recetas y precios'!$A$5:$B$54,2,FALSE),""))</f>
        <v/>
      </c>
      <c r="E156" s="6" t="n"/>
      <c r="F156" s="6" t="n"/>
      <c r="G156" s="6" t="n"/>
      <c r="H156" s="29">
        <f>IF((F156+G156)&gt;0,G156/(F156+G156),"")</f>
        <v/>
      </c>
      <c r="I156" s="17">
        <f>IF(C156="",0,IFERROR(VLOOKUP(C156,'Recetas y precios'!$A$5:$U$54,21,FALSE),0))</f>
        <v/>
      </c>
      <c r="J156" s="17">
        <f>G156*I156</f>
        <v/>
      </c>
      <c r="K156" s="6" t="n"/>
      <c r="L156" s="6" t="n"/>
    </row>
    <row r="157">
      <c r="A157" s="32" t="n"/>
      <c r="B157" s="6" t="n"/>
      <c r="C157" s="6" t="n"/>
      <c r="D157">
        <f>IF(C157="","",IFERROR(VLOOKUP(C157,'Recetas y precios'!$A$5:$B$54,2,FALSE),""))</f>
        <v/>
      </c>
      <c r="E157" s="6" t="n"/>
      <c r="F157" s="6" t="n"/>
      <c r="G157" s="6" t="n"/>
      <c r="H157" s="29">
        <f>IF((F157+G157)&gt;0,G157/(F157+G157),"")</f>
        <v/>
      </c>
      <c r="I157" s="17">
        <f>IF(C157="",0,IFERROR(VLOOKUP(C157,'Recetas y precios'!$A$5:$U$54,21,FALSE),0))</f>
        <v/>
      </c>
      <c r="J157" s="17">
        <f>G157*I157</f>
        <v/>
      </c>
      <c r="K157" s="6" t="n"/>
      <c r="L157" s="6" t="n"/>
    </row>
    <row r="158">
      <c r="A158" s="32" t="n"/>
      <c r="B158" s="6" t="n"/>
      <c r="C158" s="6" t="n"/>
      <c r="D158">
        <f>IF(C158="","",IFERROR(VLOOKUP(C158,'Recetas y precios'!$A$5:$B$54,2,FALSE),""))</f>
        <v/>
      </c>
      <c r="E158" s="6" t="n"/>
      <c r="F158" s="6" t="n"/>
      <c r="G158" s="6" t="n"/>
      <c r="H158" s="29">
        <f>IF((F158+G158)&gt;0,G158/(F158+G158),"")</f>
        <v/>
      </c>
      <c r="I158" s="17">
        <f>IF(C158="",0,IFERROR(VLOOKUP(C158,'Recetas y precios'!$A$5:$U$54,21,FALSE),0))</f>
        <v/>
      </c>
      <c r="J158" s="17">
        <f>G158*I158</f>
        <v/>
      </c>
      <c r="K158" s="6" t="n"/>
      <c r="L158" s="6" t="n"/>
    </row>
    <row r="159">
      <c r="A159" s="32" t="n"/>
      <c r="B159" s="6" t="n"/>
      <c r="C159" s="6" t="n"/>
      <c r="D159">
        <f>IF(C159="","",IFERROR(VLOOKUP(C159,'Recetas y precios'!$A$5:$B$54,2,FALSE),""))</f>
        <v/>
      </c>
      <c r="E159" s="6" t="n"/>
      <c r="F159" s="6" t="n"/>
      <c r="G159" s="6" t="n"/>
      <c r="H159" s="29">
        <f>IF((F159+G159)&gt;0,G159/(F159+G159),"")</f>
        <v/>
      </c>
      <c r="I159" s="17">
        <f>IF(C159="",0,IFERROR(VLOOKUP(C159,'Recetas y precios'!$A$5:$U$54,21,FALSE),0))</f>
        <v/>
      </c>
      <c r="J159" s="17">
        <f>G159*I159</f>
        <v/>
      </c>
      <c r="K159" s="6" t="n"/>
      <c r="L159" s="6" t="n"/>
    </row>
    <row r="160">
      <c r="A160" s="32" t="n"/>
      <c r="B160" s="6" t="n"/>
      <c r="C160" s="6" t="n"/>
      <c r="D160">
        <f>IF(C160="","",IFERROR(VLOOKUP(C160,'Recetas y precios'!$A$5:$B$54,2,FALSE),""))</f>
        <v/>
      </c>
      <c r="E160" s="6" t="n"/>
      <c r="F160" s="6" t="n"/>
      <c r="G160" s="6" t="n"/>
      <c r="H160" s="29">
        <f>IF((F160+G160)&gt;0,G160/(F160+G160),"")</f>
        <v/>
      </c>
      <c r="I160" s="17">
        <f>IF(C160="",0,IFERROR(VLOOKUP(C160,'Recetas y precios'!$A$5:$U$54,21,FALSE),0))</f>
        <v/>
      </c>
      <c r="J160" s="17">
        <f>G160*I160</f>
        <v/>
      </c>
      <c r="K160" s="6" t="n"/>
      <c r="L160" s="6" t="n"/>
    </row>
    <row r="161">
      <c r="A161" s="32" t="n"/>
      <c r="B161" s="6" t="n"/>
      <c r="C161" s="6" t="n"/>
      <c r="D161">
        <f>IF(C161="","",IFERROR(VLOOKUP(C161,'Recetas y precios'!$A$5:$B$54,2,FALSE),""))</f>
        <v/>
      </c>
      <c r="E161" s="6" t="n"/>
      <c r="F161" s="6" t="n"/>
      <c r="G161" s="6" t="n"/>
      <c r="H161" s="29">
        <f>IF((F161+G161)&gt;0,G161/(F161+G161),"")</f>
        <v/>
      </c>
      <c r="I161" s="17">
        <f>IF(C161="",0,IFERROR(VLOOKUP(C161,'Recetas y precios'!$A$5:$U$54,21,FALSE),0))</f>
        <v/>
      </c>
      <c r="J161" s="17">
        <f>G161*I161</f>
        <v/>
      </c>
      <c r="K161" s="6" t="n"/>
      <c r="L161" s="6" t="n"/>
    </row>
    <row r="162">
      <c r="A162" s="32" t="n"/>
      <c r="B162" s="6" t="n"/>
      <c r="C162" s="6" t="n"/>
      <c r="D162">
        <f>IF(C162="","",IFERROR(VLOOKUP(C162,'Recetas y precios'!$A$5:$B$54,2,FALSE),""))</f>
        <v/>
      </c>
      <c r="E162" s="6" t="n"/>
      <c r="F162" s="6" t="n"/>
      <c r="G162" s="6" t="n"/>
      <c r="H162" s="29">
        <f>IF((F162+G162)&gt;0,G162/(F162+G162),"")</f>
        <v/>
      </c>
      <c r="I162" s="17">
        <f>IF(C162="",0,IFERROR(VLOOKUP(C162,'Recetas y precios'!$A$5:$U$54,21,FALSE),0))</f>
        <v/>
      </c>
      <c r="J162" s="17">
        <f>G162*I162</f>
        <v/>
      </c>
      <c r="K162" s="6" t="n"/>
      <c r="L162" s="6" t="n"/>
    </row>
    <row r="163">
      <c r="A163" s="32" t="n"/>
      <c r="B163" s="6" t="n"/>
      <c r="C163" s="6" t="n"/>
      <c r="D163">
        <f>IF(C163="","",IFERROR(VLOOKUP(C163,'Recetas y precios'!$A$5:$B$54,2,FALSE),""))</f>
        <v/>
      </c>
      <c r="E163" s="6" t="n"/>
      <c r="F163" s="6" t="n"/>
      <c r="G163" s="6" t="n"/>
      <c r="H163" s="29">
        <f>IF((F163+G163)&gt;0,G163/(F163+G163),"")</f>
        <v/>
      </c>
      <c r="I163" s="17">
        <f>IF(C163="",0,IFERROR(VLOOKUP(C163,'Recetas y precios'!$A$5:$U$54,21,FALSE),0))</f>
        <v/>
      </c>
      <c r="J163" s="17">
        <f>G163*I163</f>
        <v/>
      </c>
      <c r="K163" s="6" t="n"/>
      <c r="L163" s="6" t="n"/>
    </row>
    <row r="164">
      <c r="A164" s="32" t="n"/>
      <c r="B164" s="6" t="n"/>
      <c r="C164" s="6" t="n"/>
      <c r="D164">
        <f>IF(C164="","",IFERROR(VLOOKUP(C164,'Recetas y precios'!$A$5:$B$54,2,FALSE),""))</f>
        <v/>
      </c>
      <c r="E164" s="6" t="n"/>
      <c r="F164" s="6" t="n"/>
      <c r="G164" s="6" t="n"/>
      <c r="H164" s="29">
        <f>IF((F164+G164)&gt;0,G164/(F164+G164),"")</f>
        <v/>
      </c>
      <c r="I164" s="17">
        <f>IF(C164="",0,IFERROR(VLOOKUP(C164,'Recetas y precios'!$A$5:$U$54,21,FALSE),0))</f>
        <v/>
      </c>
      <c r="J164" s="17">
        <f>G164*I164</f>
        <v/>
      </c>
      <c r="K164" s="6" t="n"/>
      <c r="L164" s="6" t="n"/>
    </row>
    <row r="165">
      <c r="A165" s="32" t="n"/>
      <c r="B165" s="6" t="n"/>
      <c r="C165" s="6" t="n"/>
      <c r="D165">
        <f>IF(C165="","",IFERROR(VLOOKUP(C165,'Recetas y precios'!$A$5:$B$54,2,FALSE),""))</f>
        <v/>
      </c>
      <c r="E165" s="6" t="n"/>
      <c r="F165" s="6" t="n"/>
      <c r="G165" s="6" t="n"/>
      <c r="H165" s="29">
        <f>IF((F165+G165)&gt;0,G165/(F165+G165),"")</f>
        <v/>
      </c>
      <c r="I165" s="17">
        <f>IF(C165="",0,IFERROR(VLOOKUP(C165,'Recetas y precios'!$A$5:$U$54,21,FALSE),0))</f>
        <v/>
      </c>
      <c r="J165" s="17">
        <f>G165*I165</f>
        <v/>
      </c>
      <c r="K165" s="6" t="n"/>
      <c r="L165" s="6" t="n"/>
    </row>
    <row r="166">
      <c r="A166" s="32" t="n"/>
      <c r="B166" s="6" t="n"/>
      <c r="C166" s="6" t="n"/>
      <c r="D166">
        <f>IF(C166="","",IFERROR(VLOOKUP(C166,'Recetas y precios'!$A$5:$B$54,2,FALSE),""))</f>
        <v/>
      </c>
      <c r="E166" s="6" t="n"/>
      <c r="F166" s="6" t="n"/>
      <c r="G166" s="6" t="n"/>
      <c r="H166" s="29">
        <f>IF((F166+G166)&gt;0,G166/(F166+G166),"")</f>
        <v/>
      </c>
      <c r="I166" s="17">
        <f>IF(C166="",0,IFERROR(VLOOKUP(C166,'Recetas y precios'!$A$5:$U$54,21,FALSE),0))</f>
        <v/>
      </c>
      <c r="J166" s="17">
        <f>G166*I166</f>
        <v/>
      </c>
      <c r="K166" s="6" t="n"/>
      <c r="L166" s="6" t="n"/>
    </row>
    <row r="167">
      <c r="A167" s="32" t="n"/>
      <c r="B167" s="6" t="n"/>
      <c r="C167" s="6" t="n"/>
      <c r="D167">
        <f>IF(C167="","",IFERROR(VLOOKUP(C167,'Recetas y precios'!$A$5:$B$54,2,FALSE),""))</f>
        <v/>
      </c>
      <c r="E167" s="6" t="n"/>
      <c r="F167" s="6" t="n"/>
      <c r="G167" s="6" t="n"/>
      <c r="H167" s="29">
        <f>IF((F167+G167)&gt;0,G167/(F167+G167),"")</f>
        <v/>
      </c>
      <c r="I167" s="17">
        <f>IF(C167="",0,IFERROR(VLOOKUP(C167,'Recetas y precios'!$A$5:$U$54,21,FALSE),0))</f>
        <v/>
      </c>
      <c r="J167" s="17">
        <f>G167*I167</f>
        <v/>
      </c>
      <c r="K167" s="6" t="n"/>
      <c r="L167" s="6" t="n"/>
    </row>
    <row r="168">
      <c r="A168" s="32" t="n"/>
      <c r="B168" s="6" t="n"/>
      <c r="C168" s="6" t="n"/>
      <c r="D168">
        <f>IF(C168="","",IFERROR(VLOOKUP(C168,'Recetas y precios'!$A$5:$B$54,2,FALSE),""))</f>
        <v/>
      </c>
      <c r="E168" s="6" t="n"/>
      <c r="F168" s="6" t="n"/>
      <c r="G168" s="6" t="n"/>
      <c r="H168" s="29">
        <f>IF((F168+G168)&gt;0,G168/(F168+G168),"")</f>
        <v/>
      </c>
      <c r="I168" s="17">
        <f>IF(C168="",0,IFERROR(VLOOKUP(C168,'Recetas y precios'!$A$5:$U$54,21,FALSE),0))</f>
        <v/>
      </c>
      <c r="J168" s="17">
        <f>G168*I168</f>
        <v/>
      </c>
      <c r="K168" s="6" t="n"/>
      <c r="L168" s="6" t="n"/>
    </row>
    <row r="169">
      <c r="A169" s="32" t="n"/>
      <c r="B169" s="6" t="n"/>
      <c r="C169" s="6" t="n"/>
      <c r="D169">
        <f>IF(C169="","",IFERROR(VLOOKUP(C169,'Recetas y precios'!$A$5:$B$54,2,FALSE),""))</f>
        <v/>
      </c>
      <c r="E169" s="6" t="n"/>
      <c r="F169" s="6" t="n"/>
      <c r="G169" s="6" t="n"/>
      <c r="H169" s="29">
        <f>IF((F169+G169)&gt;0,G169/(F169+G169),"")</f>
        <v/>
      </c>
      <c r="I169" s="17">
        <f>IF(C169="",0,IFERROR(VLOOKUP(C169,'Recetas y precios'!$A$5:$U$54,21,FALSE),0))</f>
        <v/>
      </c>
      <c r="J169" s="17">
        <f>G169*I169</f>
        <v/>
      </c>
      <c r="K169" s="6" t="n"/>
      <c r="L169" s="6" t="n"/>
    </row>
    <row r="170">
      <c r="A170" s="32" t="n"/>
      <c r="B170" s="6" t="n"/>
      <c r="C170" s="6" t="n"/>
      <c r="D170">
        <f>IF(C170="","",IFERROR(VLOOKUP(C170,'Recetas y precios'!$A$5:$B$54,2,FALSE),""))</f>
        <v/>
      </c>
      <c r="E170" s="6" t="n"/>
      <c r="F170" s="6" t="n"/>
      <c r="G170" s="6" t="n"/>
      <c r="H170" s="29">
        <f>IF((F170+G170)&gt;0,G170/(F170+G170),"")</f>
        <v/>
      </c>
      <c r="I170" s="17">
        <f>IF(C170="",0,IFERROR(VLOOKUP(C170,'Recetas y precios'!$A$5:$U$54,21,FALSE),0))</f>
        <v/>
      </c>
      <c r="J170" s="17">
        <f>G170*I170</f>
        <v/>
      </c>
      <c r="K170" s="6" t="n"/>
      <c r="L170" s="6" t="n"/>
    </row>
    <row r="171">
      <c r="A171" s="32" t="n"/>
      <c r="B171" s="6" t="n"/>
      <c r="C171" s="6" t="n"/>
      <c r="D171">
        <f>IF(C171="","",IFERROR(VLOOKUP(C171,'Recetas y precios'!$A$5:$B$54,2,FALSE),""))</f>
        <v/>
      </c>
      <c r="E171" s="6" t="n"/>
      <c r="F171" s="6" t="n"/>
      <c r="G171" s="6" t="n"/>
      <c r="H171" s="29">
        <f>IF((F171+G171)&gt;0,G171/(F171+G171),"")</f>
        <v/>
      </c>
      <c r="I171" s="17">
        <f>IF(C171="",0,IFERROR(VLOOKUP(C171,'Recetas y precios'!$A$5:$U$54,21,FALSE),0))</f>
        <v/>
      </c>
      <c r="J171" s="17">
        <f>G171*I171</f>
        <v/>
      </c>
      <c r="K171" s="6" t="n"/>
      <c r="L171" s="6" t="n"/>
    </row>
    <row r="172">
      <c r="A172" s="32" t="n"/>
      <c r="B172" s="6" t="n"/>
      <c r="C172" s="6" t="n"/>
      <c r="D172">
        <f>IF(C172="","",IFERROR(VLOOKUP(C172,'Recetas y precios'!$A$5:$B$54,2,FALSE),""))</f>
        <v/>
      </c>
      <c r="E172" s="6" t="n"/>
      <c r="F172" s="6" t="n"/>
      <c r="G172" s="6" t="n"/>
      <c r="H172" s="29">
        <f>IF((F172+G172)&gt;0,G172/(F172+G172),"")</f>
        <v/>
      </c>
      <c r="I172" s="17">
        <f>IF(C172="",0,IFERROR(VLOOKUP(C172,'Recetas y precios'!$A$5:$U$54,21,FALSE),0))</f>
        <v/>
      </c>
      <c r="J172" s="17">
        <f>G172*I172</f>
        <v/>
      </c>
      <c r="K172" s="6" t="n"/>
      <c r="L172" s="6" t="n"/>
    </row>
    <row r="173">
      <c r="A173" s="32" t="n"/>
      <c r="B173" s="6" t="n"/>
      <c r="C173" s="6" t="n"/>
      <c r="D173">
        <f>IF(C173="","",IFERROR(VLOOKUP(C173,'Recetas y precios'!$A$5:$B$54,2,FALSE),""))</f>
        <v/>
      </c>
      <c r="E173" s="6" t="n"/>
      <c r="F173" s="6" t="n"/>
      <c r="G173" s="6" t="n"/>
      <c r="H173" s="29">
        <f>IF((F173+G173)&gt;0,G173/(F173+G173),"")</f>
        <v/>
      </c>
      <c r="I173" s="17">
        <f>IF(C173="",0,IFERROR(VLOOKUP(C173,'Recetas y precios'!$A$5:$U$54,21,FALSE),0))</f>
        <v/>
      </c>
      <c r="J173" s="17">
        <f>G173*I173</f>
        <v/>
      </c>
      <c r="K173" s="6" t="n"/>
      <c r="L173" s="6" t="n"/>
    </row>
    <row r="174">
      <c r="A174" s="32" t="n"/>
      <c r="B174" s="6" t="n"/>
      <c r="C174" s="6" t="n"/>
      <c r="D174">
        <f>IF(C174="","",IFERROR(VLOOKUP(C174,'Recetas y precios'!$A$5:$B$54,2,FALSE),""))</f>
        <v/>
      </c>
      <c r="E174" s="6" t="n"/>
      <c r="F174" s="6" t="n"/>
      <c r="G174" s="6" t="n"/>
      <c r="H174" s="29">
        <f>IF((F174+G174)&gt;0,G174/(F174+G174),"")</f>
        <v/>
      </c>
      <c r="I174" s="17">
        <f>IF(C174="",0,IFERROR(VLOOKUP(C174,'Recetas y precios'!$A$5:$U$54,21,FALSE),0))</f>
        <v/>
      </c>
      <c r="J174" s="17">
        <f>G174*I174</f>
        <v/>
      </c>
      <c r="K174" s="6" t="n"/>
      <c r="L174" s="6" t="n"/>
    </row>
    <row r="175">
      <c r="A175" s="32" t="n"/>
      <c r="B175" s="6" t="n"/>
      <c r="C175" s="6" t="n"/>
      <c r="D175">
        <f>IF(C175="","",IFERROR(VLOOKUP(C175,'Recetas y precios'!$A$5:$B$54,2,FALSE),""))</f>
        <v/>
      </c>
      <c r="E175" s="6" t="n"/>
      <c r="F175" s="6" t="n"/>
      <c r="G175" s="6" t="n"/>
      <c r="H175" s="29">
        <f>IF((F175+G175)&gt;0,G175/(F175+G175),"")</f>
        <v/>
      </c>
      <c r="I175" s="17">
        <f>IF(C175="",0,IFERROR(VLOOKUP(C175,'Recetas y precios'!$A$5:$U$54,21,FALSE),0))</f>
        <v/>
      </c>
      <c r="J175" s="17">
        <f>G175*I175</f>
        <v/>
      </c>
      <c r="K175" s="6" t="n"/>
      <c r="L175" s="6" t="n"/>
    </row>
    <row r="176">
      <c r="A176" s="32" t="n"/>
      <c r="B176" s="6" t="n"/>
      <c r="C176" s="6" t="n"/>
      <c r="D176">
        <f>IF(C176="","",IFERROR(VLOOKUP(C176,'Recetas y precios'!$A$5:$B$54,2,FALSE),""))</f>
        <v/>
      </c>
      <c r="E176" s="6" t="n"/>
      <c r="F176" s="6" t="n"/>
      <c r="G176" s="6" t="n"/>
      <c r="H176" s="29">
        <f>IF((F176+G176)&gt;0,G176/(F176+G176),"")</f>
        <v/>
      </c>
      <c r="I176" s="17">
        <f>IF(C176="",0,IFERROR(VLOOKUP(C176,'Recetas y precios'!$A$5:$U$54,21,FALSE),0))</f>
        <v/>
      </c>
      <c r="J176" s="17">
        <f>G176*I176</f>
        <v/>
      </c>
      <c r="K176" s="6" t="n"/>
      <c r="L176" s="6" t="n"/>
    </row>
    <row r="177">
      <c r="A177" s="32" t="n"/>
      <c r="B177" s="6" t="n"/>
      <c r="C177" s="6" t="n"/>
      <c r="D177">
        <f>IF(C177="","",IFERROR(VLOOKUP(C177,'Recetas y precios'!$A$5:$B$54,2,FALSE),""))</f>
        <v/>
      </c>
      <c r="E177" s="6" t="n"/>
      <c r="F177" s="6" t="n"/>
      <c r="G177" s="6" t="n"/>
      <c r="H177" s="29">
        <f>IF((F177+G177)&gt;0,G177/(F177+G177),"")</f>
        <v/>
      </c>
      <c r="I177" s="17">
        <f>IF(C177="",0,IFERROR(VLOOKUP(C177,'Recetas y precios'!$A$5:$U$54,21,FALSE),0))</f>
        <v/>
      </c>
      <c r="J177" s="17">
        <f>G177*I177</f>
        <v/>
      </c>
      <c r="K177" s="6" t="n"/>
      <c r="L177" s="6" t="n"/>
    </row>
    <row r="178">
      <c r="A178" s="32" t="n"/>
      <c r="B178" s="6" t="n"/>
      <c r="C178" s="6" t="n"/>
      <c r="D178">
        <f>IF(C178="","",IFERROR(VLOOKUP(C178,'Recetas y precios'!$A$5:$B$54,2,FALSE),""))</f>
        <v/>
      </c>
      <c r="E178" s="6" t="n"/>
      <c r="F178" s="6" t="n"/>
      <c r="G178" s="6" t="n"/>
      <c r="H178" s="29">
        <f>IF((F178+G178)&gt;0,G178/(F178+G178),"")</f>
        <v/>
      </c>
      <c r="I178" s="17">
        <f>IF(C178="",0,IFERROR(VLOOKUP(C178,'Recetas y precios'!$A$5:$U$54,21,FALSE),0))</f>
        <v/>
      </c>
      <c r="J178" s="17">
        <f>G178*I178</f>
        <v/>
      </c>
      <c r="K178" s="6" t="n"/>
      <c r="L178" s="6" t="n"/>
    </row>
    <row r="179">
      <c r="A179" s="32" t="n"/>
      <c r="B179" s="6" t="n"/>
      <c r="C179" s="6" t="n"/>
      <c r="D179">
        <f>IF(C179="","",IFERROR(VLOOKUP(C179,'Recetas y precios'!$A$5:$B$54,2,FALSE),""))</f>
        <v/>
      </c>
      <c r="E179" s="6" t="n"/>
      <c r="F179" s="6" t="n"/>
      <c r="G179" s="6" t="n"/>
      <c r="H179" s="29">
        <f>IF((F179+G179)&gt;0,G179/(F179+G179),"")</f>
        <v/>
      </c>
      <c r="I179" s="17">
        <f>IF(C179="",0,IFERROR(VLOOKUP(C179,'Recetas y precios'!$A$5:$U$54,21,FALSE),0))</f>
        <v/>
      </c>
      <c r="J179" s="17">
        <f>G179*I179</f>
        <v/>
      </c>
      <c r="K179" s="6" t="n"/>
      <c r="L179" s="6" t="n"/>
    </row>
    <row r="180">
      <c r="A180" s="32" t="n"/>
      <c r="B180" s="6" t="n"/>
      <c r="C180" s="6" t="n"/>
      <c r="D180">
        <f>IF(C180="","",IFERROR(VLOOKUP(C180,'Recetas y precios'!$A$5:$B$54,2,FALSE),""))</f>
        <v/>
      </c>
      <c r="E180" s="6" t="n"/>
      <c r="F180" s="6" t="n"/>
      <c r="G180" s="6" t="n"/>
      <c r="H180" s="29">
        <f>IF((F180+G180)&gt;0,G180/(F180+G180),"")</f>
        <v/>
      </c>
      <c r="I180" s="17">
        <f>IF(C180="",0,IFERROR(VLOOKUP(C180,'Recetas y precios'!$A$5:$U$54,21,FALSE),0))</f>
        <v/>
      </c>
      <c r="J180" s="17">
        <f>G180*I180</f>
        <v/>
      </c>
      <c r="K180" s="6" t="n"/>
      <c r="L180" s="6" t="n"/>
    </row>
    <row r="181">
      <c r="A181" s="32" t="n"/>
      <c r="B181" s="6" t="n"/>
      <c r="C181" s="6" t="n"/>
      <c r="D181">
        <f>IF(C181="","",IFERROR(VLOOKUP(C181,'Recetas y precios'!$A$5:$B$54,2,FALSE),""))</f>
        <v/>
      </c>
      <c r="E181" s="6" t="n"/>
      <c r="F181" s="6" t="n"/>
      <c r="G181" s="6" t="n"/>
      <c r="H181" s="29">
        <f>IF((F181+G181)&gt;0,G181/(F181+G181),"")</f>
        <v/>
      </c>
      <c r="I181" s="17">
        <f>IF(C181="",0,IFERROR(VLOOKUP(C181,'Recetas y precios'!$A$5:$U$54,21,FALSE),0))</f>
        <v/>
      </c>
      <c r="J181" s="17">
        <f>G181*I181</f>
        <v/>
      </c>
      <c r="K181" s="6" t="n"/>
      <c r="L181" s="6" t="n"/>
    </row>
    <row r="182">
      <c r="A182" s="32" t="n"/>
      <c r="B182" s="6" t="n"/>
      <c r="C182" s="6" t="n"/>
      <c r="D182">
        <f>IF(C182="","",IFERROR(VLOOKUP(C182,'Recetas y precios'!$A$5:$B$54,2,FALSE),""))</f>
        <v/>
      </c>
      <c r="E182" s="6" t="n"/>
      <c r="F182" s="6" t="n"/>
      <c r="G182" s="6" t="n"/>
      <c r="H182" s="29">
        <f>IF((F182+G182)&gt;0,G182/(F182+G182),"")</f>
        <v/>
      </c>
      <c r="I182" s="17">
        <f>IF(C182="",0,IFERROR(VLOOKUP(C182,'Recetas y precios'!$A$5:$U$54,21,FALSE),0))</f>
        <v/>
      </c>
      <c r="J182" s="17">
        <f>G182*I182</f>
        <v/>
      </c>
      <c r="K182" s="6" t="n"/>
      <c r="L182" s="6" t="n"/>
    </row>
    <row r="183">
      <c r="A183" s="32" t="n"/>
      <c r="B183" s="6" t="n"/>
      <c r="C183" s="6" t="n"/>
      <c r="D183">
        <f>IF(C183="","",IFERROR(VLOOKUP(C183,'Recetas y precios'!$A$5:$B$54,2,FALSE),""))</f>
        <v/>
      </c>
      <c r="E183" s="6" t="n"/>
      <c r="F183" s="6" t="n"/>
      <c r="G183" s="6" t="n"/>
      <c r="H183" s="29">
        <f>IF((F183+G183)&gt;0,G183/(F183+G183),"")</f>
        <v/>
      </c>
      <c r="I183" s="17">
        <f>IF(C183="",0,IFERROR(VLOOKUP(C183,'Recetas y precios'!$A$5:$U$54,21,FALSE),0))</f>
        <v/>
      </c>
      <c r="J183" s="17">
        <f>G183*I183</f>
        <v/>
      </c>
      <c r="K183" s="6" t="n"/>
      <c r="L183" s="6" t="n"/>
    </row>
    <row r="184">
      <c r="A184" s="32" t="n"/>
      <c r="B184" s="6" t="n"/>
      <c r="C184" s="6" t="n"/>
      <c r="D184">
        <f>IF(C184="","",IFERROR(VLOOKUP(C184,'Recetas y precios'!$A$5:$B$54,2,FALSE),""))</f>
        <v/>
      </c>
      <c r="E184" s="6" t="n"/>
      <c r="F184" s="6" t="n"/>
      <c r="G184" s="6" t="n"/>
      <c r="H184" s="29">
        <f>IF((F184+G184)&gt;0,G184/(F184+G184),"")</f>
        <v/>
      </c>
      <c r="I184" s="17">
        <f>IF(C184="",0,IFERROR(VLOOKUP(C184,'Recetas y precios'!$A$5:$U$54,21,FALSE),0))</f>
        <v/>
      </c>
      <c r="J184" s="17">
        <f>G184*I184</f>
        <v/>
      </c>
      <c r="K184" s="6" t="n"/>
      <c r="L184" s="6" t="n"/>
    </row>
    <row r="185">
      <c r="A185" s="32" t="n"/>
      <c r="B185" s="6" t="n"/>
      <c r="C185" s="6" t="n"/>
      <c r="D185">
        <f>IF(C185="","",IFERROR(VLOOKUP(C185,'Recetas y precios'!$A$5:$B$54,2,FALSE),""))</f>
        <v/>
      </c>
      <c r="E185" s="6" t="n"/>
      <c r="F185" s="6" t="n"/>
      <c r="G185" s="6" t="n"/>
      <c r="H185" s="29">
        <f>IF((F185+G185)&gt;0,G185/(F185+G185),"")</f>
        <v/>
      </c>
      <c r="I185" s="17">
        <f>IF(C185="",0,IFERROR(VLOOKUP(C185,'Recetas y precios'!$A$5:$U$54,21,FALSE),0))</f>
        <v/>
      </c>
      <c r="J185" s="17">
        <f>G185*I185</f>
        <v/>
      </c>
      <c r="K185" s="6" t="n"/>
      <c r="L185" s="6" t="n"/>
    </row>
    <row r="186">
      <c r="A186" s="32" t="n"/>
      <c r="B186" s="6" t="n"/>
      <c r="C186" s="6" t="n"/>
      <c r="D186">
        <f>IF(C186="","",IFERROR(VLOOKUP(C186,'Recetas y precios'!$A$5:$B$54,2,FALSE),""))</f>
        <v/>
      </c>
      <c r="E186" s="6" t="n"/>
      <c r="F186" s="6" t="n"/>
      <c r="G186" s="6" t="n"/>
      <c r="H186" s="29">
        <f>IF((F186+G186)&gt;0,G186/(F186+G186),"")</f>
        <v/>
      </c>
      <c r="I186" s="17">
        <f>IF(C186="",0,IFERROR(VLOOKUP(C186,'Recetas y precios'!$A$5:$U$54,21,FALSE),0))</f>
        <v/>
      </c>
      <c r="J186" s="17">
        <f>G186*I186</f>
        <v/>
      </c>
      <c r="K186" s="6" t="n"/>
      <c r="L186" s="6" t="n"/>
    </row>
    <row r="187">
      <c r="A187" s="32" t="n"/>
      <c r="B187" s="6" t="n"/>
      <c r="C187" s="6" t="n"/>
      <c r="D187">
        <f>IF(C187="","",IFERROR(VLOOKUP(C187,'Recetas y precios'!$A$5:$B$54,2,FALSE),""))</f>
        <v/>
      </c>
      <c r="E187" s="6" t="n"/>
      <c r="F187" s="6" t="n"/>
      <c r="G187" s="6" t="n"/>
      <c r="H187" s="29">
        <f>IF((F187+G187)&gt;0,G187/(F187+G187),"")</f>
        <v/>
      </c>
      <c r="I187" s="17">
        <f>IF(C187="",0,IFERROR(VLOOKUP(C187,'Recetas y precios'!$A$5:$U$54,21,FALSE),0))</f>
        <v/>
      </c>
      <c r="J187" s="17">
        <f>G187*I187</f>
        <v/>
      </c>
      <c r="K187" s="6" t="n"/>
      <c r="L187" s="6" t="n"/>
    </row>
    <row r="188">
      <c r="A188" s="32" t="n"/>
      <c r="B188" s="6" t="n"/>
      <c r="C188" s="6" t="n"/>
      <c r="D188">
        <f>IF(C188="","",IFERROR(VLOOKUP(C188,'Recetas y precios'!$A$5:$B$54,2,FALSE),""))</f>
        <v/>
      </c>
      <c r="E188" s="6" t="n"/>
      <c r="F188" s="6" t="n"/>
      <c r="G188" s="6" t="n"/>
      <c r="H188" s="29">
        <f>IF((F188+G188)&gt;0,G188/(F188+G188),"")</f>
        <v/>
      </c>
      <c r="I188" s="17">
        <f>IF(C188="",0,IFERROR(VLOOKUP(C188,'Recetas y precios'!$A$5:$U$54,21,FALSE),0))</f>
        <v/>
      </c>
      <c r="J188" s="17">
        <f>G188*I188</f>
        <v/>
      </c>
      <c r="K188" s="6" t="n"/>
      <c r="L188" s="6" t="n"/>
    </row>
    <row r="189">
      <c r="A189" s="32" t="n"/>
      <c r="B189" s="6" t="n"/>
      <c r="C189" s="6" t="n"/>
      <c r="D189">
        <f>IF(C189="","",IFERROR(VLOOKUP(C189,'Recetas y precios'!$A$5:$B$54,2,FALSE),""))</f>
        <v/>
      </c>
      <c r="E189" s="6" t="n"/>
      <c r="F189" s="6" t="n"/>
      <c r="G189" s="6" t="n"/>
      <c r="H189" s="29">
        <f>IF((F189+G189)&gt;0,G189/(F189+G189),"")</f>
        <v/>
      </c>
      <c r="I189" s="17">
        <f>IF(C189="",0,IFERROR(VLOOKUP(C189,'Recetas y precios'!$A$5:$U$54,21,FALSE),0))</f>
        <v/>
      </c>
      <c r="J189" s="17">
        <f>G189*I189</f>
        <v/>
      </c>
      <c r="K189" s="6" t="n"/>
      <c r="L189" s="6" t="n"/>
    </row>
    <row r="190">
      <c r="A190" s="32" t="n"/>
      <c r="B190" s="6" t="n"/>
      <c r="C190" s="6" t="n"/>
      <c r="D190">
        <f>IF(C190="","",IFERROR(VLOOKUP(C190,'Recetas y precios'!$A$5:$B$54,2,FALSE),""))</f>
        <v/>
      </c>
      <c r="E190" s="6" t="n"/>
      <c r="F190" s="6" t="n"/>
      <c r="G190" s="6" t="n"/>
      <c r="H190" s="29">
        <f>IF((F190+G190)&gt;0,G190/(F190+G190),"")</f>
        <v/>
      </c>
      <c r="I190" s="17">
        <f>IF(C190="",0,IFERROR(VLOOKUP(C190,'Recetas y precios'!$A$5:$U$54,21,FALSE),0))</f>
        <v/>
      </c>
      <c r="J190" s="17">
        <f>G190*I190</f>
        <v/>
      </c>
      <c r="K190" s="6" t="n"/>
      <c r="L190" s="6" t="n"/>
    </row>
    <row r="191">
      <c r="A191" s="32" t="n"/>
      <c r="B191" s="6" t="n"/>
      <c r="C191" s="6" t="n"/>
      <c r="D191">
        <f>IF(C191="","",IFERROR(VLOOKUP(C191,'Recetas y precios'!$A$5:$B$54,2,FALSE),""))</f>
        <v/>
      </c>
      <c r="E191" s="6" t="n"/>
      <c r="F191" s="6" t="n"/>
      <c r="G191" s="6" t="n"/>
      <c r="H191" s="29">
        <f>IF((F191+G191)&gt;0,G191/(F191+G191),"")</f>
        <v/>
      </c>
      <c r="I191" s="17">
        <f>IF(C191="",0,IFERROR(VLOOKUP(C191,'Recetas y precios'!$A$5:$U$54,21,FALSE),0))</f>
        <v/>
      </c>
      <c r="J191" s="17">
        <f>G191*I191</f>
        <v/>
      </c>
      <c r="K191" s="6" t="n"/>
      <c r="L191" s="6" t="n"/>
    </row>
    <row r="192">
      <c r="A192" s="32" t="n"/>
      <c r="B192" s="6" t="n"/>
      <c r="C192" s="6" t="n"/>
      <c r="D192">
        <f>IF(C192="","",IFERROR(VLOOKUP(C192,'Recetas y precios'!$A$5:$B$54,2,FALSE),""))</f>
        <v/>
      </c>
      <c r="E192" s="6" t="n"/>
      <c r="F192" s="6" t="n"/>
      <c r="G192" s="6" t="n"/>
      <c r="H192" s="29">
        <f>IF((F192+G192)&gt;0,G192/(F192+G192),"")</f>
        <v/>
      </c>
      <c r="I192" s="17">
        <f>IF(C192="",0,IFERROR(VLOOKUP(C192,'Recetas y precios'!$A$5:$U$54,21,FALSE),0))</f>
        <v/>
      </c>
      <c r="J192" s="17">
        <f>G192*I192</f>
        <v/>
      </c>
      <c r="K192" s="6" t="n"/>
      <c r="L192" s="6" t="n"/>
    </row>
    <row r="193">
      <c r="A193" s="32" t="n"/>
      <c r="B193" s="6" t="n"/>
      <c r="C193" s="6" t="n"/>
      <c r="D193">
        <f>IF(C193="","",IFERROR(VLOOKUP(C193,'Recetas y precios'!$A$5:$B$54,2,FALSE),""))</f>
        <v/>
      </c>
      <c r="E193" s="6" t="n"/>
      <c r="F193" s="6" t="n"/>
      <c r="G193" s="6" t="n"/>
      <c r="H193" s="29">
        <f>IF((F193+G193)&gt;0,G193/(F193+G193),"")</f>
        <v/>
      </c>
      <c r="I193" s="17">
        <f>IF(C193="",0,IFERROR(VLOOKUP(C193,'Recetas y precios'!$A$5:$U$54,21,FALSE),0))</f>
        <v/>
      </c>
      <c r="J193" s="17">
        <f>G193*I193</f>
        <v/>
      </c>
      <c r="K193" s="6" t="n"/>
      <c r="L193" s="6" t="n"/>
    </row>
    <row r="194">
      <c r="A194" s="32" t="n"/>
      <c r="B194" s="6" t="n"/>
      <c r="C194" s="6" t="n"/>
      <c r="D194">
        <f>IF(C194="","",IFERROR(VLOOKUP(C194,'Recetas y precios'!$A$5:$B$54,2,FALSE),""))</f>
        <v/>
      </c>
      <c r="E194" s="6" t="n"/>
      <c r="F194" s="6" t="n"/>
      <c r="G194" s="6" t="n"/>
      <c r="H194" s="29">
        <f>IF((F194+G194)&gt;0,G194/(F194+G194),"")</f>
        <v/>
      </c>
      <c r="I194" s="17">
        <f>IF(C194="",0,IFERROR(VLOOKUP(C194,'Recetas y precios'!$A$5:$U$54,21,FALSE),0))</f>
        <v/>
      </c>
      <c r="J194" s="17">
        <f>G194*I194</f>
        <v/>
      </c>
      <c r="K194" s="6" t="n"/>
      <c r="L194" s="6" t="n"/>
    </row>
    <row r="195">
      <c r="A195" s="32" t="n"/>
      <c r="B195" s="6" t="n"/>
      <c r="C195" s="6" t="n"/>
      <c r="D195">
        <f>IF(C195="","",IFERROR(VLOOKUP(C195,'Recetas y precios'!$A$5:$B$54,2,FALSE),""))</f>
        <v/>
      </c>
      <c r="E195" s="6" t="n"/>
      <c r="F195" s="6" t="n"/>
      <c r="G195" s="6" t="n"/>
      <c r="H195" s="29">
        <f>IF((F195+G195)&gt;0,G195/(F195+G195),"")</f>
        <v/>
      </c>
      <c r="I195" s="17">
        <f>IF(C195="",0,IFERROR(VLOOKUP(C195,'Recetas y precios'!$A$5:$U$54,21,FALSE),0))</f>
        <v/>
      </c>
      <c r="J195" s="17">
        <f>G195*I195</f>
        <v/>
      </c>
      <c r="K195" s="6" t="n"/>
      <c r="L195" s="6" t="n"/>
    </row>
    <row r="196">
      <c r="A196" s="32" t="n"/>
      <c r="B196" s="6" t="n"/>
      <c r="C196" s="6" t="n"/>
      <c r="D196">
        <f>IF(C196="","",IFERROR(VLOOKUP(C196,'Recetas y precios'!$A$5:$B$54,2,FALSE),""))</f>
        <v/>
      </c>
      <c r="E196" s="6" t="n"/>
      <c r="F196" s="6" t="n"/>
      <c r="G196" s="6" t="n"/>
      <c r="H196" s="29">
        <f>IF((F196+G196)&gt;0,G196/(F196+G196),"")</f>
        <v/>
      </c>
      <c r="I196" s="17">
        <f>IF(C196="",0,IFERROR(VLOOKUP(C196,'Recetas y precios'!$A$5:$U$54,21,FALSE),0))</f>
        <v/>
      </c>
      <c r="J196" s="17">
        <f>G196*I196</f>
        <v/>
      </c>
      <c r="K196" s="6" t="n"/>
      <c r="L196" s="6" t="n"/>
    </row>
    <row r="197">
      <c r="A197" s="32" t="n"/>
      <c r="B197" s="6" t="n"/>
      <c r="C197" s="6" t="n"/>
      <c r="D197">
        <f>IF(C197="","",IFERROR(VLOOKUP(C197,'Recetas y precios'!$A$5:$B$54,2,FALSE),""))</f>
        <v/>
      </c>
      <c r="E197" s="6" t="n"/>
      <c r="F197" s="6" t="n"/>
      <c r="G197" s="6" t="n"/>
      <c r="H197" s="29">
        <f>IF((F197+G197)&gt;0,G197/(F197+G197),"")</f>
        <v/>
      </c>
      <c r="I197" s="17">
        <f>IF(C197="",0,IFERROR(VLOOKUP(C197,'Recetas y precios'!$A$5:$U$54,21,FALSE),0))</f>
        <v/>
      </c>
      <c r="J197" s="17">
        <f>G197*I197</f>
        <v/>
      </c>
      <c r="K197" s="6" t="n"/>
      <c r="L197" s="6" t="n"/>
    </row>
    <row r="198">
      <c r="A198" s="32" t="n"/>
      <c r="B198" s="6" t="n"/>
      <c r="C198" s="6" t="n"/>
      <c r="D198">
        <f>IF(C198="","",IFERROR(VLOOKUP(C198,'Recetas y precios'!$A$5:$B$54,2,FALSE),""))</f>
        <v/>
      </c>
      <c r="E198" s="6" t="n"/>
      <c r="F198" s="6" t="n"/>
      <c r="G198" s="6" t="n"/>
      <c r="H198" s="29">
        <f>IF((F198+G198)&gt;0,G198/(F198+G198),"")</f>
        <v/>
      </c>
      <c r="I198" s="17">
        <f>IF(C198="",0,IFERROR(VLOOKUP(C198,'Recetas y precios'!$A$5:$U$54,21,FALSE),0))</f>
        <v/>
      </c>
      <c r="J198" s="17">
        <f>G198*I198</f>
        <v/>
      </c>
      <c r="K198" s="6" t="n"/>
      <c r="L198" s="6" t="n"/>
    </row>
    <row r="199">
      <c r="A199" s="32" t="n"/>
      <c r="B199" s="6" t="n"/>
      <c r="C199" s="6" t="n"/>
      <c r="D199">
        <f>IF(C199="","",IFERROR(VLOOKUP(C199,'Recetas y precios'!$A$5:$B$54,2,FALSE),""))</f>
        <v/>
      </c>
      <c r="E199" s="6" t="n"/>
      <c r="F199" s="6" t="n"/>
      <c r="G199" s="6" t="n"/>
      <c r="H199" s="29">
        <f>IF((F199+G199)&gt;0,G199/(F199+G199),"")</f>
        <v/>
      </c>
      <c r="I199" s="17">
        <f>IF(C199="",0,IFERROR(VLOOKUP(C199,'Recetas y precios'!$A$5:$U$54,21,FALSE),0))</f>
        <v/>
      </c>
      <c r="J199" s="17">
        <f>G199*I199</f>
        <v/>
      </c>
      <c r="K199" s="6" t="n"/>
      <c r="L199" s="6" t="n"/>
    </row>
    <row r="200">
      <c r="A200" s="32" t="n"/>
      <c r="B200" s="6" t="n"/>
      <c r="C200" s="6" t="n"/>
      <c r="D200">
        <f>IF(C200="","",IFERROR(VLOOKUP(C200,'Recetas y precios'!$A$5:$B$54,2,FALSE),""))</f>
        <v/>
      </c>
      <c r="E200" s="6" t="n"/>
      <c r="F200" s="6" t="n"/>
      <c r="G200" s="6" t="n"/>
      <c r="H200" s="29">
        <f>IF((F200+G200)&gt;0,G200/(F200+G200),"")</f>
        <v/>
      </c>
      <c r="I200" s="17">
        <f>IF(C200="",0,IFERROR(VLOOKUP(C200,'Recetas y precios'!$A$5:$U$54,21,FALSE),0))</f>
        <v/>
      </c>
      <c r="J200" s="17">
        <f>G200*I200</f>
        <v/>
      </c>
      <c r="K200" s="6" t="n"/>
      <c r="L200" s="6" t="n"/>
    </row>
    <row r="201">
      <c r="A201" s="32" t="n"/>
      <c r="B201" s="6" t="n"/>
      <c r="C201" s="6" t="n"/>
      <c r="D201">
        <f>IF(C201="","",IFERROR(VLOOKUP(C201,'Recetas y precios'!$A$5:$B$54,2,FALSE),""))</f>
        <v/>
      </c>
      <c r="E201" s="6" t="n"/>
      <c r="F201" s="6" t="n"/>
      <c r="G201" s="6" t="n"/>
      <c r="H201" s="29">
        <f>IF((F201+G201)&gt;0,G201/(F201+G201),"")</f>
        <v/>
      </c>
      <c r="I201" s="17">
        <f>IF(C201="",0,IFERROR(VLOOKUP(C201,'Recetas y precios'!$A$5:$U$54,21,FALSE),0))</f>
        <v/>
      </c>
      <c r="J201" s="17">
        <f>G201*I201</f>
        <v/>
      </c>
      <c r="K201" s="6" t="n"/>
      <c r="L201" s="6" t="n"/>
    </row>
    <row r="202">
      <c r="A202" s="32" t="n"/>
      <c r="B202" s="6" t="n"/>
      <c r="C202" s="6" t="n"/>
      <c r="D202">
        <f>IF(C202="","",IFERROR(VLOOKUP(C202,'Recetas y precios'!$A$5:$B$54,2,FALSE),""))</f>
        <v/>
      </c>
      <c r="E202" s="6" t="n"/>
      <c r="F202" s="6" t="n"/>
      <c r="G202" s="6" t="n"/>
      <c r="H202" s="29">
        <f>IF((F202+G202)&gt;0,G202/(F202+G202),"")</f>
        <v/>
      </c>
      <c r="I202" s="17">
        <f>IF(C202="",0,IFERROR(VLOOKUP(C202,'Recetas y precios'!$A$5:$U$54,21,FALSE),0))</f>
        <v/>
      </c>
      <c r="J202" s="17">
        <f>G202*I202</f>
        <v/>
      </c>
      <c r="K202" s="6" t="n"/>
      <c r="L202" s="6" t="n"/>
    </row>
    <row r="203">
      <c r="A203" s="32" t="n"/>
      <c r="B203" s="6" t="n"/>
      <c r="C203" s="6" t="n"/>
      <c r="D203">
        <f>IF(C203="","",IFERROR(VLOOKUP(C203,'Recetas y precios'!$A$5:$B$54,2,FALSE),""))</f>
        <v/>
      </c>
      <c r="E203" s="6" t="n"/>
      <c r="F203" s="6" t="n"/>
      <c r="G203" s="6" t="n"/>
      <c r="H203" s="29">
        <f>IF((F203+G203)&gt;0,G203/(F203+G203),"")</f>
        <v/>
      </c>
      <c r="I203" s="17">
        <f>IF(C203="",0,IFERROR(VLOOKUP(C203,'Recetas y precios'!$A$5:$U$54,21,FALSE),0))</f>
        <v/>
      </c>
      <c r="J203" s="17">
        <f>G203*I203</f>
        <v/>
      </c>
      <c r="K203" s="6" t="n"/>
      <c r="L203" s="6" t="n"/>
    </row>
    <row r="204">
      <c r="A204" s="32" t="n"/>
      <c r="B204" s="6" t="n"/>
      <c r="C204" s="6" t="n"/>
      <c r="D204">
        <f>IF(C204="","",IFERROR(VLOOKUP(C204,'Recetas y precios'!$A$5:$B$54,2,FALSE),""))</f>
        <v/>
      </c>
      <c r="E204" s="6" t="n"/>
      <c r="F204" s="6" t="n"/>
      <c r="G204" s="6" t="n"/>
      <c r="H204" s="29">
        <f>IF((F204+G204)&gt;0,G204/(F204+G204),"")</f>
        <v/>
      </c>
      <c r="I204" s="17">
        <f>IF(C204="",0,IFERROR(VLOOKUP(C204,'Recetas y precios'!$A$5:$U$54,21,FALSE),0))</f>
        <v/>
      </c>
      <c r="J204" s="17">
        <f>G204*I204</f>
        <v/>
      </c>
      <c r="K204" s="6" t="n"/>
      <c r="L204" s="6" t="n"/>
    </row>
    <row r="205">
      <c r="A205" s="32" t="n"/>
      <c r="B205" s="6" t="n"/>
      <c r="C205" s="6" t="n"/>
      <c r="D205">
        <f>IF(C205="","",IFERROR(VLOOKUP(C205,'Recetas y precios'!$A$5:$B$54,2,FALSE),""))</f>
        <v/>
      </c>
      <c r="E205" s="6" t="n"/>
      <c r="F205" s="6" t="n"/>
      <c r="G205" s="6" t="n"/>
      <c r="H205" s="29">
        <f>IF((F205+G205)&gt;0,G205/(F205+G205),"")</f>
        <v/>
      </c>
      <c r="I205" s="17">
        <f>IF(C205="",0,IFERROR(VLOOKUP(C205,'Recetas y precios'!$A$5:$U$54,21,FALSE),0))</f>
        <v/>
      </c>
      <c r="J205" s="17">
        <f>G205*I205</f>
        <v/>
      </c>
      <c r="K205" s="6" t="n"/>
      <c r="L205" s="6" t="n"/>
    </row>
    <row r="206">
      <c r="A206" s="32" t="n"/>
      <c r="B206" s="6" t="n"/>
      <c r="C206" s="6" t="n"/>
      <c r="D206">
        <f>IF(C206="","",IFERROR(VLOOKUP(C206,'Recetas y precios'!$A$5:$B$54,2,FALSE),""))</f>
        <v/>
      </c>
      <c r="E206" s="6" t="n"/>
      <c r="F206" s="6" t="n"/>
      <c r="G206" s="6" t="n"/>
      <c r="H206" s="29">
        <f>IF((F206+G206)&gt;0,G206/(F206+G206),"")</f>
        <v/>
      </c>
      <c r="I206" s="17">
        <f>IF(C206="",0,IFERROR(VLOOKUP(C206,'Recetas y precios'!$A$5:$U$54,21,FALSE),0))</f>
        <v/>
      </c>
      <c r="J206" s="17">
        <f>G206*I206</f>
        <v/>
      </c>
      <c r="K206" s="6" t="n"/>
      <c r="L206" s="6" t="n"/>
    </row>
    <row r="207">
      <c r="A207" s="32" t="n"/>
      <c r="B207" s="6" t="n"/>
      <c r="C207" s="6" t="n"/>
      <c r="D207">
        <f>IF(C207="","",IFERROR(VLOOKUP(C207,'Recetas y precios'!$A$5:$B$54,2,FALSE),""))</f>
        <v/>
      </c>
      <c r="E207" s="6" t="n"/>
      <c r="F207" s="6" t="n"/>
      <c r="G207" s="6" t="n"/>
      <c r="H207" s="29">
        <f>IF((F207+G207)&gt;0,G207/(F207+G207),"")</f>
        <v/>
      </c>
      <c r="I207" s="17">
        <f>IF(C207="",0,IFERROR(VLOOKUP(C207,'Recetas y precios'!$A$5:$U$54,21,FALSE),0))</f>
        <v/>
      </c>
      <c r="J207" s="17">
        <f>G207*I207</f>
        <v/>
      </c>
      <c r="K207" s="6" t="n"/>
      <c r="L207" s="6" t="n"/>
    </row>
    <row r="208">
      <c r="A208" s="32" t="n"/>
      <c r="B208" s="6" t="n"/>
      <c r="C208" s="6" t="n"/>
      <c r="D208">
        <f>IF(C208="","",IFERROR(VLOOKUP(C208,'Recetas y precios'!$A$5:$B$54,2,FALSE),""))</f>
        <v/>
      </c>
      <c r="E208" s="6" t="n"/>
      <c r="F208" s="6" t="n"/>
      <c r="G208" s="6" t="n"/>
      <c r="H208" s="29">
        <f>IF((F208+G208)&gt;0,G208/(F208+G208),"")</f>
        <v/>
      </c>
      <c r="I208" s="17">
        <f>IF(C208="",0,IFERROR(VLOOKUP(C208,'Recetas y precios'!$A$5:$U$54,21,FALSE),0))</f>
        <v/>
      </c>
      <c r="J208" s="17">
        <f>G208*I208</f>
        <v/>
      </c>
      <c r="K208" s="6" t="n"/>
      <c r="L208" s="6" t="n"/>
    </row>
    <row r="209">
      <c r="A209" s="32" t="n"/>
      <c r="B209" s="6" t="n"/>
      <c r="C209" s="6" t="n"/>
      <c r="D209">
        <f>IF(C209="","",IFERROR(VLOOKUP(C209,'Recetas y precios'!$A$5:$B$54,2,FALSE),""))</f>
        <v/>
      </c>
      <c r="E209" s="6" t="n"/>
      <c r="F209" s="6" t="n"/>
      <c r="G209" s="6" t="n"/>
      <c r="H209" s="29">
        <f>IF((F209+G209)&gt;0,G209/(F209+G209),"")</f>
        <v/>
      </c>
      <c r="I209" s="17">
        <f>IF(C209="",0,IFERROR(VLOOKUP(C209,'Recetas y precios'!$A$5:$U$54,21,FALSE),0))</f>
        <v/>
      </c>
      <c r="J209" s="17">
        <f>G209*I209</f>
        <v/>
      </c>
      <c r="K209" s="6" t="n"/>
      <c r="L209" s="6" t="n"/>
    </row>
    <row r="210">
      <c r="A210" s="32" t="n"/>
      <c r="B210" s="6" t="n"/>
      <c r="C210" s="6" t="n"/>
      <c r="D210">
        <f>IF(C210="","",IFERROR(VLOOKUP(C210,'Recetas y precios'!$A$5:$B$54,2,FALSE),""))</f>
        <v/>
      </c>
      <c r="E210" s="6" t="n"/>
      <c r="F210" s="6" t="n"/>
      <c r="G210" s="6" t="n"/>
      <c r="H210" s="29">
        <f>IF((F210+G210)&gt;0,G210/(F210+G210),"")</f>
        <v/>
      </c>
      <c r="I210" s="17">
        <f>IF(C210="",0,IFERROR(VLOOKUP(C210,'Recetas y precios'!$A$5:$U$54,21,FALSE),0))</f>
        <v/>
      </c>
      <c r="J210" s="17">
        <f>G210*I210</f>
        <v/>
      </c>
      <c r="K210" s="6" t="n"/>
      <c r="L210" s="6" t="n"/>
    </row>
    <row r="211">
      <c r="A211" s="32" t="n"/>
      <c r="B211" s="6" t="n"/>
      <c r="C211" s="6" t="n"/>
      <c r="D211">
        <f>IF(C211="","",IFERROR(VLOOKUP(C211,'Recetas y precios'!$A$5:$B$54,2,FALSE),""))</f>
        <v/>
      </c>
      <c r="E211" s="6" t="n"/>
      <c r="F211" s="6" t="n"/>
      <c r="G211" s="6" t="n"/>
      <c r="H211" s="29">
        <f>IF((F211+G211)&gt;0,G211/(F211+G211),"")</f>
        <v/>
      </c>
      <c r="I211" s="17">
        <f>IF(C211="",0,IFERROR(VLOOKUP(C211,'Recetas y precios'!$A$5:$U$54,21,FALSE),0))</f>
        <v/>
      </c>
      <c r="J211" s="17">
        <f>G211*I211</f>
        <v/>
      </c>
      <c r="K211" s="6" t="n"/>
      <c r="L211" s="6" t="n"/>
    </row>
    <row r="212">
      <c r="A212" s="32" t="n"/>
      <c r="B212" s="6" t="n"/>
      <c r="C212" s="6" t="n"/>
      <c r="D212">
        <f>IF(C212="","",IFERROR(VLOOKUP(C212,'Recetas y precios'!$A$5:$B$54,2,FALSE),""))</f>
        <v/>
      </c>
      <c r="E212" s="6" t="n"/>
      <c r="F212" s="6" t="n"/>
      <c r="G212" s="6" t="n"/>
      <c r="H212" s="29">
        <f>IF((F212+G212)&gt;0,G212/(F212+G212),"")</f>
        <v/>
      </c>
      <c r="I212" s="17">
        <f>IF(C212="",0,IFERROR(VLOOKUP(C212,'Recetas y precios'!$A$5:$U$54,21,FALSE),0))</f>
        <v/>
      </c>
      <c r="J212" s="17">
        <f>G212*I212</f>
        <v/>
      </c>
      <c r="K212" s="6" t="n"/>
      <c r="L212" s="6" t="n"/>
    </row>
    <row r="213">
      <c r="A213" s="32" t="n"/>
      <c r="B213" s="6" t="n"/>
      <c r="C213" s="6" t="n"/>
      <c r="D213">
        <f>IF(C213="","",IFERROR(VLOOKUP(C213,'Recetas y precios'!$A$5:$B$54,2,FALSE),""))</f>
        <v/>
      </c>
      <c r="E213" s="6" t="n"/>
      <c r="F213" s="6" t="n"/>
      <c r="G213" s="6" t="n"/>
      <c r="H213" s="29">
        <f>IF((F213+G213)&gt;0,G213/(F213+G213),"")</f>
        <v/>
      </c>
      <c r="I213" s="17">
        <f>IF(C213="",0,IFERROR(VLOOKUP(C213,'Recetas y precios'!$A$5:$U$54,21,FALSE),0))</f>
        <v/>
      </c>
      <c r="J213" s="17">
        <f>G213*I213</f>
        <v/>
      </c>
      <c r="K213" s="6" t="n"/>
      <c r="L213" s="6" t="n"/>
    </row>
    <row r="214">
      <c r="A214" s="32" t="n"/>
      <c r="B214" s="6" t="n"/>
      <c r="C214" s="6" t="n"/>
      <c r="D214">
        <f>IF(C214="","",IFERROR(VLOOKUP(C214,'Recetas y precios'!$A$5:$B$54,2,FALSE),""))</f>
        <v/>
      </c>
      <c r="E214" s="6" t="n"/>
      <c r="F214" s="6" t="n"/>
      <c r="G214" s="6" t="n"/>
      <c r="H214" s="29">
        <f>IF((F214+G214)&gt;0,G214/(F214+G214),"")</f>
        <v/>
      </c>
      <c r="I214" s="17">
        <f>IF(C214="",0,IFERROR(VLOOKUP(C214,'Recetas y precios'!$A$5:$U$54,21,FALSE),0))</f>
        <v/>
      </c>
      <c r="J214" s="17">
        <f>G214*I214</f>
        <v/>
      </c>
      <c r="K214" s="6" t="n"/>
      <c r="L214" s="6" t="n"/>
    </row>
    <row r="215">
      <c r="A215" s="32" t="n"/>
      <c r="B215" s="6" t="n"/>
      <c r="C215" s="6" t="n"/>
      <c r="D215">
        <f>IF(C215="","",IFERROR(VLOOKUP(C215,'Recetas y precios'!$A$5:$B$54,2,FALSE),""))</f>
        <v/>
      </c>
      <c r="E215" s="6" t="n"/>
      <c r="F215" s="6" t="n"/>
      <c r="G215" s="6" t="n"/>
      <c r="H215" s="29">
        <f>IF((F215+G215)&gt;0,G215/(F215+G215),"")</f>
        <v/>
      </c>
      <c r="I215" s="17">
        <f>IF(C215="",0,IFERROR(VLOOKUP(C215,'Recetas y precios'!$A$5:$U$54,21,FALSE),0))</f>
        <v/>
      </c>
      <c r="J215" s="17">
        <f>G215*I215</f>
        <v/>
      </c>
      <c r="K215" s="6" t="n"/>
      <c r="L215" s="6" t="n"/>
    </row>
    <row r="216">
      <c r="A216" s="32" t="n"/>
      <c r="B216" s="6" t="n"/>
      <c r="C216" s="6" t="n"/>
      <c r="D216">
        <f>IF(C216="","",IFERROR(VLOOKUP(C216,'Recetas y precios'!$A$5:$B$54,2,FALSE),""))</f>
        <v/>
      </c>
      <c r="E216" s="6" t="n"/>
      <c r="F216" s="6" t="n"/>
      <c r="G216" s="6" t="n"/>
      <c r="H216" s="29">
        <f>IF((F216+G216)&gt;0,G216/(F216+G216),"")</f>
        <v/>
      </c>
      <c r="I216" s="17">
        <f>IF(C216="",0,IFERROR(VLOOKUP(C216,'Recetas y precios'!$A$5:$U$54,21,FALSE),0))</f>
        <v/>
      </c>
      <c r="J216" s="17">
        <f>G216*I216</f>
        <v/>
      </c>
      <c r="K216" s="6" t="n"/>
      <c r="L216" s="6" t="n"/>
    </row>
    <row r="217">
      <c r="A217" s="32" t="n"/>
      <c r="B217" s="6" t="n"/>
      <c r="C217" s="6" t="n"/>
      <c r="D217">
        <f>IF(C217="","",IFERROR(VLOOKUP(C217,'Recetas y precios'!$A$5:$B$54,2,FALSE),""))</f>
        <v/>
      </c>
      <c r="E217" s="6" t="n"/>
      <c r="F217" s="6" t="n"/>
      <c r="G217" s="6" t="n"/>
      <c r="H217" s="29">
        <f>IF((F217+G217)&gt;0,G217/(F217+G217),"")</f>
        <v/>
      </c>
      <c r="I217" s="17">
        <f>IF(C217="",0,IFERROR(VLOOKUP(C217,'Recetas y precios'!$A$5:$U$54,21,FALSE),0))</f>
        <v/>
      </c>
      <c r="J217" s="17">
        <f>G217*I217</f>
        <v/>
      </c>
      <c r="K217" s="6" t="n"/>
      <c r="L217" s="6" t="n"/>
    </row>
    <row r="218">
      <c r="A218" s="32" t="n"/>
      <c r="B218" s="6" t="n"/>
      <c r="C218" s="6" t="n"/>
      <c r="D218">
        <f>IF(C218="","",IFERROR(VLOOKUP(C218,'Recetas y precios'!$A$5:$B$54,2,FALSE),""))</f>
        <v/>
      </c>
      <c r="E218" s="6" t="n"/>
      <c r="F218" s="6" t="n"/>
      <c r="G218" s="6" t="n"/>
      <c r="H218" s="29">
        <f>IF((F218+G218)&gt;0,G218/(F218+G218),"")</f>
        <v/>
      </c>
      <c r="I218" s="17">
        <f>IF(C218="",0,IFERROR(VLOOKUP(C218,'Recetas y precios'!$A$5:$U$54,21,FALSE),0))</f>
        <v/>
      </c>
      <c r="J218" s="17">
        <f>G218*I218</f>
        <v/>
      </c>
      <c r="K218" s="6" t="n"/>
      <c r="L218" s="6" t="n"/>
    </row>
    <row r="219">
      <c r="A219" s="32" t="n"/>
      <c r="B219" s="6" t="n"/>
      <c r="C219" s="6" t="n"/>
      <c r="D219">
        <f>IF(C219="","",IFERROR(VLOOKUP(C219,'Recetas y precios'!$A$5:$B$54,2,FALSE),""))</f>
        <v/>
      </c>
      <c r="E219" s="6" t="n"/>
      <c r="F219" s="6" t="n"/>
      <c r="G219" s="6" t="n"/>
      <c r="H219" s="29">
        <f>IF((F219+G219)&gt;0,G219/(F219+G219),"")</f>
        <v/>
      </c>
      <c r="I219" s="17">
        <f>IF(C219="",0,IFERROR(VLOOKUP(C219,'Recetas y precios'!$A$5:$U$54,21,FALSE),0))</f>
        <v/>
      </c>
      <c r="J219" s="17">
        <f>G219*I219</f>
        <v/>
      </c>
      <c r="K219" s="6" t="n"/>
      <c r="L219" s="6" t="n"/>
    </row>
    <row r="220">
      <c r="A220" s="32" t="n"/>
      <c r="B220" s="6" t="n"/>
      <c r="C220" s="6" t="n"/>
      <c r="D220">
        <f>IF(C220="","",IFERROR(VLOOKUP(C220,'Recetas y precios'!$A$5:$B$54,2,FALSE),""))</f>
        <v/>
      </c>
      <c r="E220" s="6" t="n"/>
      <c r="F220" s="6" t="n"/>
      <c r="G220" s="6" t="n"/>
      <c r="H220" s="29">
        <f>IF((F220+G220)&gt;0,G220/(F220+G220),"")</f>
        <v/>
      </c>
      <c r="I220" s="17">
        <f>IF(C220="",0,IFERROR(VLOOKUP(C220,'Recetas y precios'!$A$5:$U$54,21,FALSE),0))</f>
        <v/>
      </c>
      <c r="J220" s="17">
        <f>G220*I220</f>
        <v/>
      </c>
      <c r="K220" s="6" t="n"/>
      <c r="L220" s="6" t="n"/>
    </row>
    <row r="221">
      <c r="A221" s="32" t="n"/>
      <c r="B221" s="6" t="n"/>
      <c r="C221" s="6" t="n"/>
      <c r="D221">
        <f>IF(C221="","",IFERROR(VLOOKUP(C221,'Recetas y precios'!$A$5:$B$54,2,FALSE),""))</f>
        <v/>
      </c>
      <c r="E221" s="6" t="n"/>
      <c r="F221" s="6" t="n"/>
      <c r="G221" s="6" t="n"/>
      <c r="H221" s="29">
        <f>IF((F221+G221)&gt;0,G221/(F221+G221),"")</f>
        <v/>
      </c>
      <c r="I221" s="17">
        <f>IF(C221="",0,IFERROR(VLOOKUP(C221,'Recetas y precios'!$A$5:$U$54,21,FALSE),0))</f>
        <v/>
      </c>
      <c r="J221" s="17">
        <f>G221*I221</f>
        <v/>
      </c>
      <c r="K221" s="6" t="n"/>
      <c r="L221" s="6" t="n"/>
    </row>
    <row r="222">
      <c r="A222" s="32" t="n"/>
      <c r="B222" s="6" t="n"/>
      <c r="C222" s="6" t="n"/>
      <c r="D222">
        <f>IF(C222="","",IFERROR(VLOOKUP(C222,'Recetas y precios'!$A$5:$B$54,2,FALSE),""))</f>
        <v/>
      </c>
      <c r="E222" s="6" t="n"/>
      <c r="F222" s="6" t="n"/>
      <c r="G222" s="6" t="n"/>
      <c r="H222" s="29">
        <f>IF((F222+G222)&gt;0,G222/(F222+G222),"")</f>
        <v/>
      </c>
      <c r="I222" s="17">
        <f>IF(C222="",0,IFERROR(VLOOKUP(C222,'Recetas y precios'!$A$5:$U$54,21,FALSE),0))</f>
        <v/>
      </c>
      <c r="J222" s="17">
        <f>G222*I222</f>
        <v/>
      </c>
      <c r="K222" s="6" t="n"/>
      <c r="L222" s="6" t="n"/>
    </row>
    <row r="223">
      <c r="A223" s="32" t="n"/>
      <c r="B223" s="6" t="n"/>
      <c r="C223" s="6" t="n"/>
      <c r="D223">
        <f>IF(C223="","",IFERROR(VLOOKUP(C223,'Recetas y precios'!$A$5:$B$54,2,FALSE),""))</f>
        <v/>
      </c>
      <c r="E223" s="6" t="n"/>
      <c r="F223" s="6" t="n"/>
      <c r="G223" s="6" t="n"/>
      <c r="H223" s="29">
        <f>IF((F223+G223)&gt;0,G223/(F223+G223),"")</f>
        <v/>
      </c>
      <c r="I223" s="17">
        <f>IF(C223="",0,IFERROR(VLOOKUP(C223,'Recetas y precios'!$A$5:$U$54,21,FALSE),0))</f>
        <v/>
      </c>
      <c r="J223" s="17">
        <f>G223*I223</f>
        <v/>
      </c>
      <c r="K223" s="6" t="n"/>
      <c r="L223" s="6" t="n"/>
    </row>
    <row r="224">
      <c r="A224" s="32" t="n"/>
      <c r="B224" s="6" t="n"/>
      <c r="C224" s="6" t="n"/>
      <c r="D224">
        <f>IF(C224="","",IFERROR(VLOOKUP(C224,'Recetas y precios'!$A$5:$B$54,2,FALSE),""))</f>
        <v/>
      </c>
      <c r="E224" s="6" t="n"/>
      <c r="F224" s="6" t="n"/>
      <c r="G224" s="6" t="n"/>
      <c r="H224" s="29">
        <f>IF((F224+G224)&gt;0,G224/(F224+G224),"")</f>
        <v/>
      </c>
      <c r="I224" s="17">
        <f>IF(C224="",0,IFERROR(VLOOKUP(C224,'Recetas y precios'!$A$5:$U$54,21,FALSE),0))</f>
        <v/>
      </c>
      <c r="J224" s="17">
        <f>G224*I224</f>
        <v/>
      </c>
      <c r="K224" s="6" t="n"/>
      <c r="L224" s="6" t="n"/>
    </row>
    <row r="225">
      <c r="A225" s="32" t="n"/>
      <c r="B225" s="6" t="n"/>
      <c r="C225" s="6" t="n"/>
      <c r="D225">
        <f>IF(C225="","",IFERROR(VLOOKUP(C225,'Recetas y precios'!$A$5:$B$54,2,FALSE),""))</f>
        <v/>
      </c>
      <c r="E225" s="6" t="n"/>
      <c r="F225" s="6" t="n"/>
      <c r="G225" s="6" t="n"/>
      <c r="H225" s="29">
        <f>IF((F225+G225)&gt;0,G225/(F225+G225),"")</f>
        <v/>
      </c>
      <c r="I225" s="17">
        <f>IF(C225="",0,IFERROR(VLOOKUP(C225,'Recetas y precios'!$A$5:$U$54,21,FALSE),0))</f>
        <v/>
      </c>
      <c r="J225" s="17">
        <f>G225*I225</f>
        <v/>
      </c>
      <c r="K225" s="6" t="n"/>
      <c r="L225" s="6" t="n"/>
    </row>
    <row r="226">
      <c r="A226" s="32" t="n"/>
      <c r="B226" s="6" t="n"/>
      <c r="C226" s="6" t="n"/>
      <c r="D226">
        <f>IF(C226="","",IFERROR(VLOOKUP(C226,'Recetas y precios'!$A$5:$B$54,2,FALSE),""))</f>
        <v/>
      </c>
      <c r="E226" s="6" t="n"/>
      <c r="F226" s="6" t="n"/>
      <c r="G226" s="6" t="n"/>
      <c r="H226" s="29">
        <f>IF((F226+G226)&gt;0,G226/(F226+G226),"")</f>
        <v/>
      </c>
      <c r="I226" s="17">
        <f>IF(C226="",0,IFERROR(VLOOKUP(C226,'Recetas y precios'!$A$5:$U$54,21,FALSE),0))</f>
        <v/>
      </c>
      <c r="J226" s="17">
        <f>G226*I226</f>
        <v/>
      </c>
      <c r="K226" s="6" t="n"/>
      <c r="L226" s="6" t="n"/>
    </row>
    <row r="227">
      <c r="A227" s="32" t="n"/>
      <c r="B227" s="6" t="n"/>
      <c r="C227" s="6" t="n"/>
      <c r="D227">
        <f>IF(C227="","",IFERROR(VLOOKUP(C227,'Recetas y precios'!$A$5:$B$54,2,FALSE),""))</f>
        <v/>
      </c>
      <c r="E227" s="6" t="n"/>
      <c r="F227" s="6" t="n"/>
      <c r="G227" s="6" t="n"/>
      <c r="H227" s="29">
        <f>IF((F227+G227)&gt;0,G227/(F227+G227),"")</f>
        <v/>
      </c>
      <c r="I227" s="17">
        <f>IF(C227="",0,IFERROR(VLOOKUP(C227,'Recetas y precios'!$A$5:$U$54,21,FALSE),0))</f>
        <v/>
      </c>
      <c r="J227" s="17">
        <f>G227*I227</f>
        <v/>
      </c>
      <c r="K227" s="6" t="n"/>
      <c r="L227" s="6" t="n"/>
    </row>
    <row r="228">
      <c r="A228" s="32" t="n"/>
      <c r="B228" s="6" t="n"/>
      <c r="C228" s="6" t="n"/>
      <c r="D228">
        <f>IF(C228="","",IFERROR(VLOOKUP(C228,'Recetas y precios'!$A$5:$B$54,2,FALSE),""))</f>
        <v/>
      </c>
      <c r="E228" s="6" t="n"/>
      <c r="F228" s="6" t="n"/>
      <c r="G228" s="6" t="n"/>
      <c r="H228" s="29">
        <f>IF((F228+G228)&gt;0,G228/(F228+G228),"")</f>
        <v/>
      </c>
      <c r="I228" s="17">
        <f>IF(C228="",0,IFERROR(VLOOKUP(C228,'Recetas y precios'!$A$5:$U$54,21,FALSE),0))</f>
        <v/>
      </c>
      <c r="J228" s="17">
        <f>G228*I228</f>
        <v/>
      </c>
      <c r="K228" s="6" t="n"/>
      <c r="L228" s="6" t="n"/>
    </row>
    <row r="229">
      <c r="A229" s="32" t="n"/>
      <c r="B229" s="6" t="n"/>
      <c r="C229" s="6" t="n"/>
      <c r="D229">
        <f>IF(C229="","",IFERROR(VLOOKUP(C229,'Recetas y precios'!$A$5:$B$54,2,FALSE),""))</f>
        <v/>
      </c>
      <c r="E229" s="6" t="n"/>
      <c r="F229" s="6" t="n"/>
      <c r="G229" s="6" t="n"/>
      <c r="H229" s="29">
        <f>IF((F229+G229)&gt;0,G229/(F229+G229),"")</f>
        <v/>
      </c>
      <c r="I229" s="17">
        <f>IF(C229="",0,IFERROR(VLOOKUP(C229,'Recetas y precios'!$A$5:$U$54,21,FALSE),0))</f>
        <v/>
      </c>
      <c r="J229" s="17">
        <f>G229*I229</f>
        <v/>
      </c>
      <c r="K229" s="6" t="n"/>
      <c r="L229" s="6" t="n"/>
    </row>
    <row r="230">
      <c r="A230" s="32" t="n"/>
      <c r="B230" s="6" t="n"/>
      <c r="C230" s="6" t="n"/>
      <c r="D230">
        <f>IF(C230="","",IFERROR(VLOOKUP(C230,'Recetas y precios'!$A$5:$B$54,2,FALSE),""))</f>
        <v/>
      </c>
      <c r="E230" s="6" t="n"/>
      <c r="F230" s="6" t="n"/>
      <c r="G230" s="6" t="n"/>
      <c r="H230" s="29">
        <f>IF((F230+G230)&gt;0,G230/(F230+G230),"")</f>
        <v/>
      </c>
      <c r="I230" s="17">
        <f>IF(C230="",0,IFERROR(VLOOKUP(C230,'Recetas y precios'!$A$5:$U$54,21,FALSE),0))</f>
        <v/>
      </c>
      <c r="J230" s="17">
        <f>G230*I230</f>
        <v/>
      </c>
      <c r="K230" s="6" t="n"/>
      <c r="L230" s="6" t="n"/>
    </row>
    <row r="231">
      <c r="A231" s="32" t="n"/>
      <c r="B231" s="6" t="n"/>
      <c r="C231" s="6" t="n"/>
      <c r="D231">
        <f>IF(C231="","",IFERROR(VLOOKUP(C231,'Recetas y precios'!$A$5:$B$54,2,FALSE),""))</f>
        <v/>
      </c>
      <c r="E231" s="6" t="n"/>
      <c r="F231" s="6" t="n"/>
      <c r="G231" s="6" t="n"/>
      <c r="H231" s="29">
        <f>IF((F231+G231)&gt;0,G231/(F231+G231),"")</f>
        <v/>
      </c>
      <c r="I231" s="17">
        <f>IF(C231="",0,IFERROR(VLOOKUP(C231,'Recetas y precios'!$A$5:$U$54,21,FALSE),0))</f>
        <v/>
      </c>
      <c r="J231" s="17">
        <f>G231*I231</f>
        <v/>
      </c>
      <c r="K231" s="6" t="n"/>
      <c r="L231" s="6" t="n"/>
    </row>
    <row r="232">
      <c r="A232" s="32" t="n"/>
      <c r="B232" s="6" t="n"/>
      <c r="C232" s="6" t="n"/>
      <c r="D232">
        <f>IF(C232="","",IFERROR(VLOOKUP(C232,'Recetas y precios'!$A$5:$B$54,2,FALSE),""))</f>
        <v/>
      </c>
      <c r="E232" s="6" t="n"/>
      <c r="F232" s="6" t="n"/>
      <c r="G232" s="6" t="n"/>
      <c r="H232" s="29">
        <f>IF((F232+G232)&gt;0,G232/(F232+G232),"")</f>
        <v/>
      </c>
      <c r="I232" s="17">
        <f>IF(C232="",0,IFERROR(VLOOKUP(C232,'Recetas y precios'!$A$5:$U$54,21,FALSE),0))</f>
        <v/>
      </c>
      <c r="J232" s="17">
        <f>G232*I232</f>
        <v/>
      </c>
      <c r="K232" s="6" t="n"/>
      <c r="L232" s="6" t="n"/>
    </row>
    <row r="233">
      <c r="A233" s="32" t="n"/>
      <c r="B233" s="6" t="n"/>
      <c r="C233" s="6" t="n"/>
      <c r="D233">
        <f>IF(C233="","",IFERROR(VLOOKUP(C233,'Recetas y precios'!$A$5:$B$54,2,FALSE),""))</f>
        <v/>
      </c>
      <c r="E233" s="6" t="n"/>
      <c r="F233" s="6" t="n"/>
      <c r="G233" s="6" t="n"/>
      <c r="H233" s="29">
        <f>IF((F233+G233)&gt;0,G233/(F233+G233),"")</f>
        <v/>
      </c>
      <c r="I233" s="17">
        <f>IF(C233="",0,IFERROR(VLOOKUP(C233,'Recetas y precios'!$A$5:$U$54,21,FALSE),0))</f>
        <v/>
      </c>
      <c r="J233" s="17">
        <f>G233*I233</f>
        <v/>
      </c>
      <c r="K233" s="6" t="n"/>
      <c r="L233" s="6" t="n"/>
    </row>
    <row r="234">
      <c r="A234" s="32" t="n"/>
      <c r="B234" s="6" t="n"/>
      <c r="C234" s="6" t="n"/>
      <c r="D234">
        <f>IF(C234="","",IFERROR(VLOOKUP(C234,'Recetas y precios'!$A$5:$B$54,2,FALSE),""))</f>
        <v/>
      </c>
      <c r="E234" s="6" t="n"/>
      <c r="F234" s="6" t="n"/>
      <c r="G234" s="6" t="n"/>
      <c r="H234" s="29">
        <f>IF((F234+G234)&gt;0,G234/(F234+G234),"")</f>
        <v/>
      </c>
      <c r="I234" s="17">
        <f>IF(C234="",0,IFERROR(VLOOKUP(C234,'Recetas y precios'!$A$5:$U$54,21,FALSE),0))</f>
        <v/>
      </c>
      <c r="J234" s="17">
        <f>G234*I234</f>
        <v/>
      </c>
      <c r="K234" s="6" t="n"/>
      <c r="L234" s="6" t="n"/>
    </row>
    <row r="235">
      <c r="A235" s="32" t="n"/>
      <c r="B235" s="6" t="n"/>
      <c r="C235" s="6" t="n"/>
      <c r="D235">
        <f>IF(C235="","",IFERROR(VLOOKUP(C235,'Recetas y precios'!$A$5:$B$54,2,FALSE),""))</f>
        <v/>
      </c>
      <c r="E235" s="6" t="n"/>
      <c r="F235" s="6" t="n"/>
      <c r="G235" s="6" t="n"/>
      <c r="H235" s="29">
        <f>IF((F235+G235)&gt;0,G235/(F235+G235),"")</f>
        <v/>
      </c>
      <c r="I235" s="17">
        <f>IF(C235="",0,IFERROR(VLOOKUP(C235,'Recetas y precios'!$A$5:$U$54,21,FALSE),0))</f>
        <v/>
      </c>
      <c r="J235" s="17">
        <f>G235*I235</f>
        <v/>
      </c>
      <c r="K235" s="6" t="n"/>
      <c r="L235" s="6" t="n"/>
    </row>
    <row r="236">
      <c r="A236" s="32" t="n"/>
      <c r="B236" s="6" t="n"/>
      <c r="C236" s="6" t="n"/>
      <c r="D236">
        <f>IF(C236="","",IFERROR(VLOOKUP(C236,'Recetas y precios'!$A$5:$B$54,2,FALSE),""))</f>
        <v/>
      </c>
      <c r="E236" s="6" t="n"/>
      <c r="F236" s="6" t="n"/>
      <c r="G236" s="6" t="n"/>
      <c r="H236" s="29">
        <f>IF((F236+G236)&gt;0,G236/(F236+G236),"")</f>
        <v/>
      </c>
      <c r="I236" s="17">
        <f>IF(C236="",0,IFERROR(VLOOKUP(C236,'Recetas y precios'!$A$5:$U$54,21,FALSE),0))</f>
        <v/>
      </c>
      <c r="J236" s="17">
        <f>G236*I236</f>
        <v/>
      </c>
      <c r="K236" s="6" t="n"/>
      <c r="L236" s="6" t="n"/>
    </row>
    <row r="237">
      <c r="A237" s="32" t="n"/>
      <c r="B237" s="6" t="n"/>
      <c r="C237" s="6" t="n"/>
      <c r="D237">
        <f>IF(C237="","",IFERROR(VLOOKUP(C237,'Recetas y precios'!$A$5:$B$54,2,FALSE),""))</f>
        <v/>
      </c>
      <c r="E237" s="6" t="n"/>
      <c r="F237" s="6" t="n"/>
      <c r="G237" s="6" t="n"/>
      <c r="H237" s="29">
        <f>IF((F237+G237)&gt;0,G237/(F237+G237),"")</f>
        <v/>
      </c>
      <c r="I237" s="17">
        <f>IF(C237="",0,IFERROR(VLOOKUP(C237,'Recetas y precios'!$A$5:$U$54,21,FALSE),0))</f>
        <v/>
      </c>
      <c r="J237" s="17">
        <f>G237*I237</f>
        <v/>
      </c>
      <c r="K237" s="6" t="n"/>
      <c r="L237" s="6" t="n"/>
    </row>
    <row r="238">
      <c r="A238" s="32" t="n"/>
      <c r="B238" s="6" t="n"/>
      <c r="C238" s="6" t="n"/>
      <c r="D238">
        <f>IF(C238="","",IFERROR(VLOOKUP(C238,'Recetas y precios'!$A$5:$B$54,2,FALSE),""))</f>
        <v/>
      </c>
      <c r="E238" s="6" t="n"/>
      <c r="F238" s="6" t="n"/>
      <c r="G238" s="6" t="n"/>
      <c r="H238" s="29">
        <f>IF((F238+G238)&gt;0,G238/(F238+G238),"")</f>
        <v/>
      </c>
      <c r="I238" s="17">
        <f>IF(C238="",0,IFERROR(VLOOKUP(C238,'Recetas y precios'!$A$5:$U$54,21,FALSE),0))</f>
        <v/>
      </c>
      <c r="J238" s="17">
        <f>G238*I238</f>
        <v/>
      </c>
      <c r="K238" s="6" t="n"/>
      <c r="L238" s="6" t="n"/>
    </row>
    <row r="239">
      <c r="A239" s="32" t="n"/>
      <c r="B239" s="6" t="n"/>
      <c r="C239" s="6" t="n"/>
      <c r="D239">
        <f>IF(C239="","",IFERROR(VLOOKUP(C239,'Recetas y precios'!$A$5:$B$54,2,FALSE),""))</f>
        <v/>
      </c>
      <c r="E239" s="6" t="n"/>
      <c r="F239" s="6" t="n"/>
      <c r="G239" s="6" t="n"/>
      <c r="H239" s="29">
        <f>IF((F239+G239)&gt;0,G239/(F239+G239),"")</f>
        <v/>
      </c>
      <c r="I239" s="17">
        <f>IF(C239="",0,IFERROR(VLOOKUP(C239,'Recetas y precios'!$A$5:$U$54,21,FALSE),0))</f>
        <v/>
      </c>
      <c r="J239" s="17">
        <f>G239*I239</f>
        <v/>
      </c>
      <c r="K239" s="6" t="n"/>
      <c r="L239" s="6" t="n"/>
    </row>
    <row r="240">
      <c r="A240" s="32" t="n"/>
      <c r="B240" s="6" t="n"/>
      <c r="C240" s="6" t="n"/>
      <c r="D240">
        <f>IF(C240="","",IFERROR(VLOOKUP(C240,'Recetas y precios'!$A$5:$B$54,2,FALSE),""))</f>
        <v/>
      </c>
      <c r="E240" s="6" t="n"/>
      <c r="F240" s="6" t="n"/>
      <c r="G240" s="6" t="n"/>
      <c r="H240" s="29">
        <f>IF((F240+G240)&gt;0,G240/(F240+G240),"")</f>
        <v/>
      </c>
      <c r="I240" s="17">
        <f>IF(C240="",0,IFERROR(VLOOKUP(C240,'Recetas y precios'!$A$5:$U$54,21,FALSE),0))</f>
        <v/>
      </c>
      <c r="J240" s="17">
        <f>G240*I240</f>
        <v/>
      </c>
      <c r="K240" s="6" t="n"/>
      <c r="L240" s="6" t="n"/>
    </row>
    <row r="241">
      <c r="A241" s="32" t="n"/>
      <c r="B241" s="6" t="n"/>
      <c r="C241" s="6" t="n"/>
      <c r="D241">
        <f>IF(C241="","",IFERROR(VLOOKUP(C241,'Recetas y precios'!$A$5:$B$54,2,FALSE),""))</f>
        <v/>
      </c>
      <c r="E241" s="6" t="n"/>
      <c r="F241" s="6" t="n"/>
      <c r="G241" s="6" t="n"/>
      <c r="H241" s="29">
        <f>IF((F241+G241)&gt;0,G241/(F241+G241),"")</f>
        <v/>
      </c>
      <c r="I241" s="17">
        <f>IF(C241="",0,IFERROR(VLOOKUP(C241,'Recetas y precios'!$A$5:$U$54,21,FALSE),0))</f>
        <v/>
      </c>
      <c r="J241" s="17">
        <f>G241*I241</f>
        <v/>
      </c>
      <c r="K241" s="6" t="n"/>
      <c r="L241" s="6" t="n"/>
    </row>
    <row r="242">
      <c r="A242" s="32" t="n"/>
      <c r="B242" s="6" t="n"/>
      <c r="C242" s="6" t="n"/>
      <c r="D242">
        <f>IF(C242="","",IFERROR(VLOOKUP(C242,'Recetas y precios'!$A$5:$B$54,2,FALSE),""))</f>
        <v/>
      </c>
      <c r="E242" s="6" t="n"/>
      <c r="F242" s="6" t="n"/>
      <c r="G242" s="6" t="n"/>
      <c r="H242" s="29">
        <f>IF((F242+G242)&gt;0,G242/(F242+G242),"")</f>
        <v/>
      </c>
      <c r="I242" s="17">
        <f>IF(C242="",0,IFERROR(VLOOKUP(C242,'Recetas y precios'!$A$5:$U$54,21,FALSE),0))</f>
        <v/>
      </c>
      <c r="J242" s="17">
        <f>G242*I242</f>
        <v/>
      </c>
      <c r="K242" s="6" t="n"/>
      <c r="L242" s="6" t="n"/>
    </row>
    <row r="243">
      <c r="A243" s="32" t="n"/>
      <c r="B243" s="6" t="n"/>
      <c r="C243" s="6" t="n"/>
      <c r="D243">
        <f>IF(C243="","",IFERROR(VLOOKUP(C243,'Recetas y precios'!$A$5:$B$54,2,FALSE),""))</f>
        <v/>
      </c>
      <c r="E243" s="6" t="n"/>
      <c r="F243" s="6" t="n"/>
      <c r="G243" s="6" t="n"/>
      <c r="H243" s="29">
        <f>IF((F243+G243)&gt;0,G243/(F243+G243),"")</f>
        <v/>
      </c>
      <c r="I243" s="17">
        <f>IF(C243="",0,IFERROR(VLOOKUP(C243,'Recetas y precios'!$A$5:$U$54,21,FALSE),0))</f>
        <v/>
      </c>
      <c r="J243" s="17">
        <f>G243*I243</f>
        <v/>
      </c>
      <c r="K243" s="6" t="n"/>
      <c r="L243" s="6" t="n"/>
    </row>
    <row r="244">
      <c r="A244" s="32" t="n"/>
      <c r="B244" s="6" t="n"/>
      <c r="C244" s="6" t="n"/>
      <c r="D244">
        <f>IF(C244="","",IFERROR(VLOOKUP(C244,'Recetas y precios'!$A$5:$B$54,2,FALSE),""))</f>
        <v/>
      </c>
      <c r="E244" s="6" t="n"/>
      <c r="F244" s="6" t="n"/>
      <c r="G244" s="6" t="n"/>
      <c r="H244" s="29">
        <f>IF((F244+G244)&gt;0,G244/(F244+G244),"")</f>
        <v/>
      </c>
      <c r="I244" s="17">
        <f>IF(C244="",0,IFERROR(VLOOKUP(C244,'Recetas y precios'!$A$5:$U$54,21,FALSE),0))</f>
        <v/>
      </c>
      <c r="J244" s="17">
        <f>G244*I244</f>
        <v/>
      </c>
      <c r="K244" s="6" t="n"/>
      <c r="L244" s="6" t="n"/>
    </row>
    <row r="245">
      <c r="A245" s="32" t="n"/>
      <c r="B245" s="6" t="n"/>
      <c r="C245" s="6" t="n"/>
      <c r="D245">
        <f>IF(C245="","",IFERROR(VLOOKUP(C245,'Recetas y precios'!$A$5:$B$54,2,FALSE),""))</f>
        <v/>
      </c>
      <c r="E245" s="6" t="n"/>
      <c r="F245" s="6" t="n"/>
      <c r="G245" s="6" t="n"/>
      <c r="H245" s="29">
        <f>IF((F245+G245)&gt;0,G245/(F245+G245),"")</f>
        <v/>
      </c>
      <c r="I245" s="17">
        <f>IF(C245="",0,IFERROR(VLOOKUP(C245,'Recetas y precios'!$A$5:$U$54,21,FALSE),0))</f>
        <v/>
      </c>
      <c r="J245" s="17">
        <f>G245*I245</f>
        <v/>
      </c>
      <c r="K245" s="6" t="n"/>
      <c r="L245" s="6" t="n"/>
    </row>
    <row r="246">
      <c r="A246" s="32" t="n"/>
      <c r="B246" s="6" t="n"/>
      <c r="C246" s="6" t="n"/>
      <c r="D246">
        <f>IF(C246="","",IFERROR(VLOOKUP(C246,'Recetas y precios'!$A$5:$B$54,2,FALSE),""))</f>
        <v/>
      </c>
      <c r="E246" s="6" t="n"/>
      <c r="F246" s="6" t="n"/>
      <c r="G246" s="6" t="n"/>
      <c r="H246" s="29">
        <f>IF((F246+G246)&gt;0,G246/(F246+G246),"")</f>
        <v/>
      </c>
      <c r="I246" s="17">
        <f>IF(C246="",0,IFERROR(VLOOKUP(C246,'Recetas y precios'!$A$5:$U$54,21,FALSE),0))</f>
        <v/>
      </c>
      <c r="J246" s="17">
        <f>G246*I246</f>
        <v/>
      </c>
      <c r="K246" s="6" t="n"/>
      <c r="L246" s="6" t="n"/>
    </row>
    <row r="247">
      <c r="A247" s="32" t="n"/>
      <c r="B247" s="6" t="n"/>
      <c r="C247" s="6" t="n"/>
      <c r="D247">
        <f>IF(C247="","",IFERROR(VLOOKUP(C247,'Recetas y precios'!$A$5:$B$54,2,FALSE),""))</f>
        <v/>
      </c>
      <c r="E247" s="6" t="n"/>
      <c r="F247" s="6" t="n"/>
      <c r="G247" s="6" t="n"/>
      <c r="H247" s="29">
        <f>IF((F247+G247)&gt;0,G247/(F247+G247),"")</f>
        <v/>
      </c>
      <c r="I247" s="17">
        <f>IF(C247="",0,IFERROR(VLOOKUP(C247,'Recetas y precios'!$A$5:$U$54,21,FALSE),0))</f>
        <v/>
      </c>
      <c r="J247" s="17">
        <f>G247*I247</f>
        <v/>
      </c>
      <c r="K247" s="6" t="n"/>
      <c r="L247" s="6" t="n"/>
    </row>
    <row r="248">
      <c r="A248" s="32" t="n"/>
      <c r="B248" s="6" t="n"/>
      <c r="C248" s="6" t="n"/>
      <c r="D248">
        <f>IF(C248="","",IFERROR(VLOOKUP(C248,'Recetas y precios'!$A$5:$B$54,2,FALSE),""))</f>
        <v/>
      </c>
      <c r="E248" s="6" t="n"/>
      <c r="F248" s="6" t="n"/>
      <c r="G248" s="6" t="n"/>
      <c r="H248" s="29">
        <f>IF((F248+G248)&gt;0,G248/(F248+G248),"")</f>
        <v/>
      </c>
      <c r="I248" s="17">
        <f>IF(C248="",0,IFERROR(VLOOKUP(C248,'Recetas y precios'!$A$5:$U$54,21,FALSE),0))</f>
        <v/>
      </c>
      <c r="J248" s="17">
        <f>G248*I248</f>
        <v/>
      </c>
      <c r="K248" s="6" t="n"/>
      <c r="L248" s="6" t="n"/>
    </row>
    <row r="249">
      <c r="A249" s="32" t="n"/>
      <c r="B249" s="6" t="n"/>
      <c r="C249" s="6" t="n"/>
      <c r="D249">
        <f>IF(C249="","",IFERROR(VLOOKUP(C249,'Recetas y precios'!$A$5:$B$54,2,FALSE),""))</f>
        <v/>
      </c>
      <c r="E249" s="6" t="n"/>
      <c r="F249" s="6" t="n"/>
      <c r="G249" s="6" t="n"/>
      <c r="H249" s="29">
        <f>IF((F249+G249)&gt;0,G249/(F249+G249),"")</f>
        <v/>
      </c>
      <c r="I249" s="17">
        <f>IF(C249="",0,IFERROR(VLOOKUP(C249,'Recetas y precios'!$A$5:$U$54,21,FALSE),0))</f>
        <v/>
      </c>
      <c r="J249" s="17">
        <f>G249*I249</f>
        <v/>
      </c>
      <c r="K249" s="6" t="n"/>
      <c r="L249" s="6" t="n"/>
    </row>
    <row r="250">
      <c r="A250" s="32" t="n"/>
      <c r="B250" s="6" t="n"/>
      <c r="C250" s="6" t="n"/>
      <c r="D250">
        <f>IF(C250="","",IFERROR(VLOOKUP(C250,'Recetas y precios'!$A$5:$B$54,2,FALSE),""))</f>
        <v/>
      </c>
      <c r="E250" s="6" t="n"/>
      <c r="F250" s="6" t="n"/>
      <c r="G250" s="6" t="n"/>
      <c r="H250" s="29">
        <f>IF((F250+G250)&gt;0,G250/(F250+G250),"")</f>
        <v/>
      </c>
      <c r="I250" s="17">
        <f>IF(C250="",0,IFERROR(VLOOKUP(C250,'Recetas y precios'!$A$5:$U$54,21,FALSE),0))</f>
        <v/>
      </c>
      <c r="J250" s="17">
        <f>G250*I250</f>
        <v/>
      </c>
      <c r="K250" s="6" t="n"/>
      <c r="L250" s="6" t="n"/>
    </row>
    <row r="251">
      <c r="A251" s="32" t="n"/>
      <c r="B251" s="6" t="n"/>
      <c r="C251" s="6" t="n"/>
      <c r="D251">
        <f>IF(C251="","",IFERROR(VLOOKUP(C251,'Recetas y precios'!$A$5:$B$54,2,FALSE),""))</f>
        <v/>
      </c>
      <c r="E251" s="6" t="n"/>
      <c r="F251" s="6" t="n"/>
      <c r="G251" s="6" t="n"/>
      <c r="H251" s="29">
        <f>IF((F251+G251)&gt;0,G251/(F251+G251),"")</f>
        <v/>
      </c>
      <c r="I251" s="17">
        <f>IF(C251="",0,IFERROR(VLOOKUP(C251,'Recetas y precios'!$A$5:$U$54,21,FALSE),0))</f>
        <v/>
      </c>
      <c r="J251" s="17">
        <f>G251*I251</f>
        <v/>
      </c>
      <c r="K251" s="6" t="n"/>
      <c r="L251" s="6" t="n"/>
    </row>
    <row r="252">
      <c r="A252" s="32" t="n"/>
      <c r="B252" s="6" t="n"/>
      <c r="C252" s="6" t="n"/>
      <c r="D252">
        <f>IF(C252="","",IFERROR(VLOOKUP(C252,'Recetas y precios'!$A$5:$B$54,2,FALSE),""))</f>
        <v/>
      </c>
      <c r="E252" s="6" t="n"/>
      <c r="F252" s="6" t="n"/>
      <c r="G252" s="6" t="n"/>
      <c r="H252" s="29">
        <f>IF((F252+G252)&gt;0,G252/(F252+G252),"")</f>
        <v/>
      </c>
      <c r="I252" s="17">
        <f>IF(C252="",0,IFERROR(VLOOKUP(C252,'Recetas y precios'!$A$5:$U$54,21,FALSE),0))</f>
        <v/>
      </c>
      <c r="J252" s="17">
        <f>G252*I252</f>
        <v/>
      </c>
      <c r="K252" s="6" t="n"/>
      <c r="L252" s="6" t="n"/>
    </row>
    <row r="253">
      <c r="A253" s="32" t="n"/>
      <c r="B253" s="6" t="n"/>
      <c r="C253" s="6" t="n"/>
      <c r="D253">
        <f>IF(C253="","",IFERROR(VLOOKUP(C253,'Recetas y precios'!$A$5:$B$54,2,FALSE),""))</f>
        <v/>
      </c>
      <c r="E253" s="6" t="n"/>
      <c r="F253" s="6" t="n"/>
      <c r="G253" s="6" t="n"/>
      <c r="H253" s="29">
        <f>IF((F253+G253)&gt;0,G253/(F253+G253),"")</f>
        <v/>
      </c>
      <c r="I253" s="17">
        <f>IF(C253="",0,IFERROR(VLOOKUP(C253,'Recetas y precios'!$A$5:$U$54,21,FALSE),0))</f>
        <v/>
      </c>
      <c r="J253" s="17">
        <f>G253*I253</f>
        <v/>
      </c>
      <c r="K253" s="6" t="n"/>
      <c r="L253" s="6" t="n"/>
    </row>
    <row r="254">
      <c r="A254" s="32" t="n"/>
      <c r="B254" s="6" t="n"/>
      <c r="C254" s="6" t="n"/>
      <c r="D254">
        <f>IF(C254="","",IFERROR(VLOOKUP(C254,'Recetas y precios'!$A$5:$B$54,2,FALSE),""))</f>
        <v/>
      </c>
      <c r="E254" s="6" t="n"/>
      <c r="F254" s="6" t="n"/>
      <c r="G254" s="6" t="n"/>
      <c r="H254" s="29">
        <f>IF((F254+G254)&gt;0,G254/(F254+G254),"")</f>
        <v/>
      </c>
      <c r="I254" s="17">
        <f>IF(C254="",0,IFERROR(VLOOKUP(C254,'Recetas y precios'!$A$5:$U$54,21,FALSE),0))</f>
        <v/>
      </c>
      <c r="J254" s="17">
        <f>G254*I254</f>
        <v/>
      </c>
      <c r="K254" s="6" t="n"/>
      <c r="L254" s="6" t="n"/>
    </row>
    <row r="255">
      <c r="A255" s="32" t="n"/>
      <c r="B255" s="6" t="n"/>
      <c r="C255" s="6" t="n"/>
      <c r="D255">
        <f>IF(C255="","",IFERROR(VLOOKUP(C255,'Recetas y precios'!$A$5:$B$54,2,FALSE),""))</f>
        <v/>
      </c>
      <c r="E255" s="6" t="n"/>
      <c r="F255" s="6" t="n"/>
      <c r="G255" s="6" t="n"/>
      <c r="H255" s="29">
        <f>IF((F255+G255)&gt;0,G255/(F255+G255),"")</f>
        <v/>
      </c>
      <c r="I255" s="17">
        <f>IF(C255="",0,IFERROR(VLOOKUP(C255,'Recetas y precios'!$A$5:$U$54,21,FALSE),0))</f>
        <v/>
      </c>
      <c r="J255" s="17">
        <f>G255*I255</f>
        <v/>
      </c>
      <c r="K255" s="6" t="n"/>
      <c r="L255" s="6" t="n"/>
    </row>
    <row r="256">
      <c r="A256" s="32" t="n"/>
      <c r="B256" s="6" t="n"/>
      <c r="C256" s="6" t="n"/>
      <c r="D256">
        <f>IF(C256="","",IFERROR(VLOOKUP(C256,'Recetas y precios'!$A$5:$B$54,2,FALSE),""))</f>
        <v/>
      </c>
      <c r="E256" s="6" t="n"/>
      <c r="F256" s="6" t="n"/>
      <c r="G256" s="6" t="n"/>
      <c r="H256" s="29">
        <f>IF((F256+G256)&gt;0,G256/(F256+G256),"")</f>
        <v/>
      </c>
      <c r="I256" s="17">
        <f>IF(C256="",0,IFERROR(VLOOKUP(C256,'Recetas y precios'!$A$5:$U$54,21,FALSE),0))</f>
        <v/>
      </c>
      <c r="J256" s="17">
        <f>G256*I256</f>
        <v/>
      </c>
      <c r="K256" s="6" t="n"/>
      <c r="L256" s="6" t="n"/>
    </row>
    <row r="257">
      <c r="A257" s="32" t="n"/>
      <c r="B257" s="6" t="n"/>
      <c r="C257" s="6" t="n"/>
      <c r="D257">
        <f>IF(C257="","",IFERROR(VLOOKUP(C257,'Recetas y precios'!$A$5:$B$54,2,FALSE),""))</f>
        <v/>
      </c>
      <c r="E257" s="6" t="n"/>
      <c r="F257" s="6" t="n"/>
      <c r="G257" s="6" t="n"/>
      <c r="H257" s="29">
        <f>IF((F257+G257)&gt;0,G257/(F257+G257),"")</f>
        <v/>
      </c>
      <c r="I257" s="17">
        <f>IF(C257="",0,IFERROR(VLOOKUP(C257,'Recetas y precios'!$A$5:$U$54,21,FALSE),0))</f>
        <v/>
      </c>
      <c r="J257" s="17">
        <f>G257*I257</f>
        <v/>
      </c>
      <c r="K257" s="6" t="n"/>
      <c r="L257" s="6" t="n"/>
    </row>
    <row r="258">
      <c r="A258" s="32" t="n"/>
      <c r="B258" s="6" t="n"/>
      <c r="C258" s="6" t="n"/>
      <c r="D258">
        <f>IF(C258="","",IFERROR(VLOOKUP(C258,'Recetas y precios'!$A$5:$B$54,2,FALSE),""))</f>
        <v/>
      </c>
      <c r="E258" s="6" t="n"/>
      <c r="F258" s="6" t="n"/>
      <c r="G258" s="6" t="n"/>
      <c r="H258" s="29">
        <f>IF((F258+G258)&gt;0,G258/(F258+G258),"")</f>
        <v/>
      </c>
      <c r="I258" s="17">
        <f>IF(C258="",0,IFERROR(VLOOKUP(C258,'Recetas y precios'!$A$5:$U$54,21,FALSE),0))</f>
        <v/>
      </c>
      <c r="J258" s="17">
        <f>G258*I258</f>
        <v/>
      </c>
      <c r="K258" s="6" t="n"/>
      <c r="L258" s="6" t="n"/>
    </row>
    <row r="259">
      <c r="A259" s="32" t="n"/>
      <c r="B259" s="6" t="n"/>
      <c r="C259" s="6" t="n"/>
      <c r="D259">
        <f>IF(C259="","",IFERROR(VLOOKUP(C259,'Recetas y precios'!$A$5:$B$54,2,FALSE),""))</f>
        <v/>
      </c>
      <c r="E259" s="6" t="n"/>
      <c r="F259" s="6" t="n"/>
      <c r="G259" s="6" t="n"/>
      <c r="H259" s="29">
        <f>IF((F259+G259)&gt;0,G259/(F259+G259),"")</f>
        <v/>
      </c>
      <c r="I259" s="17">
        <f>IF(C259="",0,IFERROR(VLOOKUP(C259,'Recetas y precios'!$A$5:$U$54,21,FALSE),0))</f>
        <v/>
      </c>
      <c r="J259" s="17">
        <f>G259*I259</f>
        <v/>
      </c>
      <c r="K259" s="6" t="n"/>
      <c r="L259" s="6" t="n"/>
    </row>
    <row r="260">
      <c r="A260" s="32" t="n"/>
      <c r="B260" s="6" t="n"/>
      <c r="C260" s="6" t="n"/>
      <c r="D260">
        <f>IF(C260="","",IFERROR(VLOOKUP(C260,'Recetas y precios'!$A$5:$B$54,2,FALSE),""))</f>
        <v/>
      </c>
      <c r="E260" s="6" t="n"/>
      <c r="F260" s="6" t="n"/>
      <c r="G260" s="6" t="n"/>
      <c r="H260" s="29">
        <f>IF((F260+G260)&gt;0,G260/(F260+G260),"")</f>
        <v/>
      </c>
      <c r="I260" s="17">
        <f>IF(C260="",0,IFERROR(VLOOKUP(C260,'Recetas y precios'!$A$5:$U$54,21,FALSE),0))</f>
        <v/>
      </c>
      <c r="J260" s="17">
        <f>G260*I260</f>
        <v/>
      </c>
      <c r="K260" s="6" t="n"/>
      <c r="L260" s="6" t="n"/>
    </row>
    <row r="261">
      <c r="A261" s="32" t="n"/>
      <c r="B261" s="6" t="n"/>
      <c r="C261" s="6" t="n"/>
      <c r="D261">
        <f>IF(C261="","",IFERROR(VLOOKUP(C261,'Recetas y precios'!$A$5:$B$54,2,FALSE),""))</f>
        <v/>
      </c>
      <c r="E261" s="6" t="n"/>
      <c r="F261" s="6" t="n"/>
      <c r="G261" s="6" t="n"/>
      <c r="H261" s="29">
        <f>IF((F261+G261)&gt;0,G261/(F261+G261),"")</f>
        <v/>
      </c>
      <c r="I261" s="17">
        <f>IF(C261="",0,IFERROR(VLOOKUP(C261,'Recetas y precios'!$A$5:$U$54,21,FALSE),0))</f>
        <v/>
      </c>
      <c r="J261" s="17">
        <f>G261*I261</f>
        <v/>
      </c>
      <c r="K261" s="6" t="n"/>
      <c r="L261" s="6" t="n"/>
    </row>
    <row r="262">
      <c r="A262" s="32" t="n"/>
      <c r="B262" s="6" t="n"/>
      <c r="C262" s="6" t="n"/>
      <c r="D262">
        <f>IF(C262="","",IFERROR(VLOOKUP(C262,'Recetas y precios'!$A$5:$B$54,2,FALSE),""))</f>
        <v/>
      </c>
      <c r="E262" s="6" t="n"/>
      <c r="F262" s="6" t="n"/>
      <c r="G262" s="6" t="n"/>
      <c r="H262" s="29">
        <f>IF((F262+G262)&gt;0,G262/(F262+G262),"")</f>
        <v/>
      </c>
      <c r="I262" s="17">
        <f>IF(C262="",0,IFERROR(VLOOKUP(C262,'Recetas y precios'!$A$5:$U$54,21,FALSE),0))</f>
        <v/>
      </c>
      <c r="J262" s="17">
        <f>G262*I262</f>
        <v/>
      </c>
      <c r="K262" s="6" t="n"/>
      <c r="L262" s="6" t="n"/>
    </row>
    <row r="263">
      <c r="A263" s="32" t="n"/>
      <c r="B263" s="6" t="n"/>
      <c r="C263" s="6" t="n"/>
      <c r="D263">
        <f>IF(C263="","",IFERROR(VLOOKUP(C263,'Recetas y precios'!$A$5:$B$54,2,FALSE),""))</f>
        <v/>
      </c>
      <c r="E263" s="6" t="n"/>
      <c r="F263" s="6" t="n"/>
      <c r="G263" s="6" t="n"/>
      <c r="H263" s="29">
        <f>IF((F263+G263)&gt;0,G263/(F263+G263),"")</f>
        <v/>
      </c>
      <c r="I263" s="17">
        <f>IF(C263="",0,IFERROR(VLOOKUP(C263,'Recetas y precios'!$A$5:$U$54,21,FALSE),0))</f>
        <v/>
      </c>
      <c r="J263" s="17">
        <f>G263*I263</f>
        <v/>
      </c>
      <c r="K263" s="6" t="n"/>
      <c r="L263" s="6" t="n"/>
    </row>
    <row r="264">
      <c r="A264" s="32" t="n"/>
      <c r="B264" s="6" t="n"/>
      <c r="C264" s="6" t="n"/>
      <c r="D264">
        <f>IF(C264="","",IFERROR(VLOOKUP(C264,'Recetas y precios'!$A$5:$B$54,2,FALSE),""))</f>
        <v/>
      </c>
      <c r="E264" s="6" t="n"/>
      <c r="F264" s="6" t="n"/>
      <c r="G264" s="6" t="n"/>
      <c r="H264" s="29">
        <f>IF((F264+G264)&gt;0,G264/(F264+G264),"")</f>
        <v/>
      </c>
      <c r="I264" s="17">
        <f>IF(C264="",0,IFERROR(VLOOKUP(C264,'Recetas y precios'!$A$5:$U$54,21,FALSE),0))</f>
        <v/>
      </c>
      <c r="J264" s="17">
        <f>G264*I264</f>
        <v/>
      </c>
      <c r="K264" s="6" t="n"/>
      <c r="L264" s="6" t="n"/>
    </row>
    <row r="265">
      <c r="A265" s="32" t="n"/>
      <c r="B265" s="6" t="n"/>
      <c r="C265" s="6" t="n"/>
      <c r="D265">
        <f>IF(C265="","",IFERROR(VLOOKUP(C265,'Recetas y precios'!$A$5:$B$54,2,FALSE),""))</f>
        <v/>
      </c>
      <c r="E265" s="6" t="n"/>
      <c r="F265" s="6" t="n"/>
      <c r="G265" s="6" t="n"/>
      <c r="H265" s="29">
        <f>IF((F265+G265)&gt;0,G265/(F265+G265),"")</f>
        <v/>
      </c>
      <c r="I265" s="17">
        <f>IF(C265="",0,IFERROR(VLOOKUP(C265,'Recetas y precios'!$A$5:$U$54,21,FALSE),0))</f>
        <v/>
      </c>
      <c r="J265" s="17">
        <f>G265*I265</f>
        <v/>
      </c>
      <c r="K265" s="6" t="n"/>
      <c r="L265" s="6" t="n"/>
    </row>
    <row r="266">
      <c r="A266" s="32" t="n"/>
      <c r="B266" s="6" t="n"/>
      <c r="C266" s="6" t="n"/>
      <c r="D266">
        <f>IF(C266="","",IFERROR(VLOOKUP(C266,'Recetas y precios'!$A$5:$B$54,2,FALSE),""))</f>
        <v/>
      </c>
      <c r="E266" s="6" t="n"/>
      <c r="F266" s="6" t="n"/>
      <c r="G266" s="6" t="n"/>
      <c r="H266" s="29">
        <f>IF((F266+G266)&gt;0,G266/(F266+G266),"")</f>
        <v/>
      </c>
      <c r="I266" s="17">
        <f>IF(C266="",0,IFERROR(VLOOKUP(C266,'Recetas y precios'!$A$5:$U$54,21,FALSE),0))</f>
        <v/>
      </c>
      <c r="J266" s="17">
        <f>G266*I266</f>
        <v/>
      </c>
      <c r="K266" s="6" t="n"/>
      <c r="L266" s="6" t="n"/>
    </row>
    <row r="267">
      <c r="A267" s="32" t="n"/>
      <c r="B267" s="6" t="n"/>
      <c r="C267" s="6" t="n"/>
      <c r="D267">
        <f>IF(C267="","",IFERROR(VLOOKUP(C267,'Recetas y precios'!$A$5:$B$54,2,FALSE),""))</f>
        <v/>
      </c>
      <c r="E267" s="6" t="n"/>
      <c r="F267" s="6" t="n"/>
      <c r="G267" s="6" t="n"/>
      <c r="H267" s="29">
        <f>IF((F267+G267)&gt;0,G267/(F267+G267),"")</f>
        <v/>
      </c>
      <c r="I267" s="17">
        <f>IF(C267="",0,IFERROR(VLOOKUP(C267,'Recetas y precios'!$A$5:$U$54,21,FALSE),0))</f>
        <v/>
      </c>
      <c r="J267" s="17">
        <f>G267*I267</f>
        <v/>
      </c>
      <c r="K267" s="6" t="n"/>
      <c r="L267" s="6" t="n"/>
    </row>
    <row r="268">
      <c r="A268" s="32" t="n"/>
      <c r="B268" s="6" t="n"/>
      <c r="C268" s="6" t="n"/>
      <c r="D268">
        <f>IF(C268="","",IFERROR(VLOOKUP(C268,'Recetas y precios'!$A$5:$B$54,2,FALSE),""))</f>
        <v/>
      </c>
      <c r="E268" s="6" t="n"/>
      <c r="F268" s="6" t="n"/>
      <c r="G268" s="6" t="n"/>
      <c r="H268" s="29">
        <f>IF((F268+G268)&gt;0,G268/(F268+G268),"")</f>
        <v/>
      </c>
      <c r="I268" s="17">
        <f>IF(C268="",0,IFERROR(VLOOKUP(C268,'Recetas y precios'!$A$5:$U$54,21,FALSE),0))</f>
        <v/>
      </c>
      <c r="J268" s="17">
        <f>G268*I268</f>
        <v/>
      </c>
      <c r="K268" s="6" t="n"/>
      <c r="L268" s="6" t="n"/>
    </row>
    <row r="269">
      <c r="A269" s="32" t="n"/>
      <c r="B269" s="6" t="n"/>
      <c r="C269" s="6" t="n"/>
      <c r="D269">
        <f>IF(C269="","",IFERROR(VLOOKUP(C269,'Recetas y precios'!$A$5:$B$54,2,FALSE),""))</f>
        <v/>
      </c>
      <c r="E269" s="6" t="n"/>
      <c r="F269" s="6" t="n"/>
      <c r="G269" s="6" t="n"/>
      <c r="H269" s="29">
        <f>IF((F269+G269)&gt;0,G269/(F269+G269),"")</f>
        <v/>
      </c>
      <c r="I269" s="17">
        <f>IF(C269="",0,IFERROR(VLOOKUP(C269,'Recetas y precios'!$A$5:$U$54,21,FALSE),0))</f>
        <v/>
      </c>
      <c r="J269" s="17">
        <f>G269*I269</f>
        <v/>
      </c>
      <c r="K269" s="6" t="n"/>
      <c r="L269" s="6" t="n"/>
    </row>
    <row r="270">
      <c r="A270" s="32" t="n"/>
      <c r="B270" s="6" t="n"/>
      <c r="C270" s="6" t="n"/>
      <c r="D270">
        <f>IF(C270="","",IFERROR(VLOOKUP(C270,'Recetas y precios'!$A$5:$B$54,2,FALSE),""))</f>
        <v/>
      </c>
      <c r="E270" s="6" t="n"/>
      <c r="F270" s="6" t="n"/>
      <c r="G270" s="6" t="n"/>
      <c r="H270" s="29">
        <f>IF((F270+G270)&gt;0,G270/(F270+G270),"")</f>
        <v/>
      </c>
      <c r="I270" s="17">
        <f>IF(C270="",0,IFERROR(VLOOKUP(C270,'Recetas y precios'!$A$5:$U$54,21,FALSE),0))</f>
        <v/>
      </c>
      <c r="J270" s="17">
        <f>G270*I270</f>
        <v/>
      </c>
      <c r="K270" s="6" t="n"/>
      <c r="L270" s="6" t="n"/>
    </row>
    <row r="271">
      <c r="A271" s="32" t="n"/>
      <c r="B271" s="6" t="n"/>
      <c r="C271" s="6" t="n"/>
      <c r="D271">
        <f>IF(C271="","",IFERROR(VLOOKUP(C271,'Recetas y precios'!$A$5:$B$54,2,FALSE),""))</f>
        <v/>
      </c>
      <c r="E271" s="6" t="n"/>
      <c r="F271" s="6" t="n"/>
      <c r="G271" s="6" t="n"/>
      <c r="H271" s="29">
        <f>IF((F271+G271)&gt;0,G271/(F271+G271),"")</f>
        <v/>
      </c>
      <c r="I271" s="17">
        <f>IF(C271="",0,IFERROR(VLOOKUP(C271,'Recetas y precios'!$A$5:$U$54,21,FALSE),0))</f>
        <v/>
      </c>
      <c r="J271" s="17">
        <f>G271*I271</f>
        <v/>
      </c>
      <c r="K271" s="6" t="n"/>
      <c r="L271" s="6" t="n"/>
    </row>
    <row r="272">
      <c r="A272" s="32" t="n"/>
      <c r="B272" s="6" t="n"/>
      <c r="C272" s="6" t="n"/>
      <c r="D272">
        <f>IF(C272="","",IFERROR(VLOOKUP(C272,'Recetas y precios'!$A$5:$B$54,2,FALSE),""))</f>
        <v/>
      </c>
      <c r="E272" s="6" t="n"/>
      <c r="F272" s="6" t="n"/>
      <c r="G272" s="6" t="n"/>
      <c r="H272" s="29">
        <f>IF((F272+G272)&gt;0,G272/(F272+G272),"")</f>
        <v/>
      </c>
      <c r="I272" s="17">
        <f>IF(C272="",0,IFERROR(VLOOKUP(C272,'Recetas y precios'!$A$5:$U$54,21,FALSE),0))</f>
        <v/>
      </c>
      <c r="J272" s="17">
        <f>G272*I272</f>
        <v/>
      </c>
      <c r="K272" s="6" t="n"/>
      <c r="L272" s="6" t="n"/>
    </row>
    <row r="273">
      <c r="A273" s="32" t="n"/>
      <c r="B273" s="6" t="n"/>
      <c r="C273" s="6" t="n"/>
      <c r="D273">
        <f>IF(C273="","",IFERROR(VLOOKUP(C273,'Recetas y precios'!$A$5:$B$54,2,FALSE),""))</f>
        <v/>
      </c>
      <c r="E273" s="6" t="n"/>
      <c r="F273" s="6" t="n"/>
      <c r="G273" s="6" t="n"/>
      <c r="H273" s="29">
        <f>IF((F273+G273)&gt;0,G273/(F273+G273),"")</f>
        <v/>
      </c>
      <c r="I273" s="17">
        <f>IF(C273="",0,IFERROR(VLOOKUP(C273,'Recetas y precios'!$A$5:$U$54,21,FALSE),0))</f>
        <v/>
      </c>
      <c r="J273" s="17">
        <f>G273*I273</f>
        <v/>
      </c>
      <c r="K273" s="6" t="n"/>
      <c r="L273" s="6" t="n"/>
    </row>
    <row r="274">
      <c r="A274" s="32" t="n"/>
      <c r="B274" s="6" t="n"/>
      <c r="C274" s="6" t="n"/>
      <c r="D274">
        <f>IF(C274="","",IFERROR(VLOOKUP(C274,'Recetas y precios'!$A$5:$B$54,2,FALSE),""))</f>
        <v/>
      </c>
      <c r="E274" s="6" t="n"/>
      <c r="F274" s="6" t="n"/>
      <c r="G274" s="6" t="n"/>
      <c r="H274" s="29">
        <f>IF((F274+G274)&gt;0,G274/(F274+G274),"")</f>
        <v/>
      </c>
      <c r="I274" s="17">
        <f>IF(C274="",0,IFERROR(VLOOKUP(C274,'Recetas y precios'!$A$5:$U$54,21,FALSE),0))</f>
        <v/>
      </c>
      <c r="J274" s="17">
        <f>G274*I274</f>
        <v/>
      </c>
      <c r="K274" s="6" t="n"/>
      <c r="L274" s="6" t="n"/>
    </row>
    <row r="275">
      <c r="A275" s="32" t="n"/>
      <c r="B275" s="6" t="n"/>
      <c r="C275" s="6" t="n"/>
      <c r="D275">
        <f>IF(C275="","",IFERROR(VLOOKUP(C275,'Recetas y precios'!$A$5:$B$54,2,FALSE),""))</f>
        <v/>
      </c>
      <c r="E275" s="6" t="n"/>
      <c r="F275" s="6" t="n"/>
      <c r="G275" s="6" t="n"/>
      <c r="H275" s="29">
        <f>IF((F275+G275)&gt;0,G275/(F275+G275),"")</f>
        <v/>
      </c>
      <c r="I275" s="17">
        <f>IF(C275="",0,IFERROR(VLOOKUP(C275,'Recetas y precios'!$A$5:$U$54,21,FALSE),0))</f>
        <v/>
      </c>
      <c r="J275" s="17">
        <f>G275*I275</f>
        <v/>
      </c>
      <c r="K275" s="6" t="n"/>
      <c r="L275" s="6" t="n"/>
    </row>
    <row r="276">
      <c r="A276" s="32" t="n"/>
      <c r="B276" s="6" t="n"/>
      <c r="C276" s="6" t="n"/>
      <c r="D276">
        <f>IF(C276="","",IFERROR(VLOOKUP(C276,'Recetas y precios'!$A$5:$B$54,2,FALSE),""))</f>
        <v/>
      </c>
      <c r="E276" s="6" t="n"/>
      <c r="F276" s="6" t="n"/>
      <c r="G276" s="6" t="n"/>
      <c r="H276" s="29">
        <f>IF((F276+G276)&gt;0,G276/(F276+G276),"")</f>
        <v/>
      </c>
      <c r="I276" s="17">
        <f>IF(C276="",0,IFERROR(VLOOKUP(C276,'Recetas y precios'!$A$5:$U$54,21,FALSE),0))</f>
        <v/>
      </c>
      <c r="J276" s="17">
        <f>G276*I276</f>
        <v/>
      </c>
      <c r="K276" s="6" t="n"/>
      <c r="L276" s="6" t="n"/>
    </row>
    <row r="277">
      <c r="A277" s="32" t="n"/>
      <c r="B277" s="6" t="n"/>
      <c r="C277" s="6" t="n"/>
      <c r="D277">
        <f>IF(C277="","",IFERROR(VLOOKUP(C277,'Recetas y precios'!$A$5:$B$54,2,FALSE),""))</f>
        <v/>
      </c>
      <c r="E277" s="6" t="n"/>
      <c r="F277" s="6" t="n"/>
      <c r="G277" s="6" t="n"/>
      <c r="H277" s="29">
        <f>IF((F277+G277)&gt;0,G277/(F277+G277),"")</f>
        <v/>
      </c>
      <c r="I277" s="17">
        <f>IF(C277="",0,IFERROR(VLOOKUP(C277,'Recetas y precios'!$A$5:$U$54,21,FALSE),0))</f>
        <v/>
      </c>
      <c r="J277" s="17">
        <f>G277*I277</f>
        <v/>
      </c>
      <c r="K277" s="6" t="n"/>
      <c r="L277" s="6" t="n"/>
    </row>
    <row r="278">
      <c r="A278" s="32" t="n"/>
      <c r="B278" s="6" t="n"/>
      <c r="C278" s="6" t="n"/>
      <c r="D278">
        <f>IF(C278="","",IFERROR(VLOOKUP(C278,'Recetas y precios'!$A$5:$B$54,2,FALSE),""))</f>
        <v/>
      </c>
      <c r="E278" s="6" t="n"/>
      <c r="F278" s="6" t="n"/>
      <c r="G278" s="6" t="n"/>
      <c r="H278" s="29">
        <f>IF((F278+G278)&gt;0,G278/(F278+G278),"")</f>
        <v/>
      </c>
      <c r="I278" s="17">
        <f>IF(C278="",0,IFERROR(VLOOKUP(C278,'Recetas y precios'!$A$5:$U$54,21,FALSE),0))</f>
        <v/>
      </c>
      <c r="J278" s="17">
        <f>G278*I278</f>
        <v/>
      </c>
      <c r="K278" s="6" t="n"/>
      <c r="L278" s="6" t="n"/>
    </row>
    <row r="279">
      <c r="A279" s="32" t="n"/>
      <c r="B279" s="6" t="n"/>
      <c r="C279" s="6" t="n"/>
      <c r="D279">
        <f>IF(C279="","",IFERROR(VLOOKUP(C279,'Recetas y precios'!$A$5:$B$54,2,FALSE),""))</f>
        <v/>
      </c>
      <c r="E279" s="6" t="n"/>
      <c r="F279" s="6" t="n"/>
      <c r="G279" s="6" t="n"/>
      <c r="H279" s="29">
        <f>IF((F279+G279)&gt;0,G279/(F279+G279),"")</f>
        <v/>
      </c>
      <c r="I279" s="17">
        <f>IF(C279="",0,IFERROR(VLOOKUP(C279,'Recetas y precios'!$A$5:$U$54,21,FALSE),0))</f>
        <v/>
      </c>
      <c r="J279" s="17">
        <f>G279*I279</f>
        <v/>
      </c>
      <c r="K279" s="6" t="n"/>
      <c r="L279" s="6" t="n"/>
    </row>
    <row r="280">
      <c r="A280" s="32" t="n"/>
      <c r="B280" s="6" t="n"/>
      <c r="C280" s="6" t="n"/>
      <c r="D280">
        <f>IF(C280="","",IFERROR(VLOOKUP(C280,'Recetas y precios'!$A$5:$B$54,2,FALSE),""))</f>
        <v/>
      </c>
      <c r="E280" s="6" t="n"/>
      <c r="F280" s="6" t="n"/>
      <c r="G280" s="6" t="n"/>
      <c r="H280" s="29">
        <f>IF((F280+G280)&gt;0,G280/(F280+G280),"")</f>
        <v/>
      </c>
      <c r="I280" s="17">
        <f>IF(C280="",0,IFERROR(VLOOKUP(C280,'Recetas y precios'!$A$5:$U$54,21,FALSE),0))</f>
        <v/>
      </c>
      <c r="J280" s="17">
        <f>G280*I280</f>
        <v/>
      </c>
      <c r="K280" s="6" t="n"/>
      <c r="L280" s="6" t="n"/>
    </row>
    <row r="281">
      <c r="A281" s="32" t="n"/>
      <c r="B281" s="6" t="n"/>
      <c r="C281" s="6" t="n"/>
      <c r="D281">
        <f>IF(C281="","",IFERROR(VLOOKUP(C281,'Recetas y precios'!$A$5:$B$54,2,FALSE),""))</f>
        <v/>
      </c>
      <c r="E281" s="6" t="n"/>
      <c r="F281" s="6" t="n"/>
      <c r="G281" s="6" t="n"/>
      <c r="H281" s="29">
        <f>IF((F281+G281)&gt;0,G281/(F281+G281),"")</f>
        <v/>
      </c>
      <c r="I281" s="17">
        <f>IF(C281="",0,IFERROR(VLOOKUP(C281,'Recetas y precios'!$A$5:$U$54,21,FALSE),0))</f>
        <v/>
      </c>
      <c r="J281" s="17">
        <f>G281*I281</f>
        <v/>
      </c>
      <c r="K281" s="6" t="n"/>
      <c r="L281" s="6" t="n"/>
    </row>
    <row r="282">
      <c r="A282" s="32" t="n"/>
      <c r="B282" s="6" t="n"/>
      <c r="C282" s="6" t="n"/>
      <c r="D282">
        <f>IF(C282="","",IFERROR(VLOOKUP(C282,'Recetas y precios'!$A$5:$B$54,2,FALSE),""))</f>
        <v/>
      </c>
      <c r="E282" s="6" t="n"/>
      <c r="F282" s="6" t="n"/>
      <c r="G282" s="6" t="n"/>
      <c r="H282" s="29">
        <f>IF((F282+G282)&gt;0,G282/(F282+G282),"")</f>
        <v/>
      </c>
      <c r="I282" s="17">
        <f>IF(C282="",0,IFERROR(VLOOKUP(C282,'Recetas y precios'!$A$5:$U$54,21,FALSE),0))</f>
        <v/>
      </c>
      <c r="J282" s="17">
        <f>G282*I282</f>
        <v/>
      </c>
      <c r="K282" s="6" t="n"/>
      <c r="L282" s="6" t="n"/>
    </row>
    <row r="283">
      <c r="A283" s="32" t="n"/>
      <c r="B283" s="6" t="n"/>
      <c r="C283" s="6" t="n"/>
      <c r="D283">
        <f>IF(C283="","",IFERROR(VLOOKUP(C283,'Recetas y precios'!$A$5:$B$54,2,FALSE),""))</f>
        <v/>
      </c>
      <c r="E283" s="6" t="n"/>
      <c r="F283" s="6" t="n"/>
      <c r="G283" s="6" t="n"/>
      <c r="H283" s="29">
        <f>IF((F283+G283)&gt;0,G283/(F283+G283),"")</f>
        <v/>
      </c>
      <c r="I283" s="17">
        <f>IF(C283="",0,IFERROR(VLOOKUP(C283,'Recetas y precios'!$A$5:$U$54,21,FALSE),0))</f>
        <v/>
      </c>
      <c r="J283" s="17">
        <f>G283*I283</f>
        <v/>
      </c>
      <c r="K283" s="6" t="n"/>
      <c r="L283" s="6" t="n"/>
    </row>
    <row r="284">
      <c r="A284" s="32" t="n"/>
      <c r="B284" s="6" t="n"/>
      <c r="C284" s="6" t="n"/>
      <c r="D284">
        <f>IF(C284="","",IFERROR(VLOOKUP(C284,'Recetas y precios'!$A$5:$B$54,2,FALSE),""))</f>
        <v/>
      </c>
      <c r="E284" s="6" t="n"/>
      <c r="F284" s="6" t="n"/>
      <c r="G284" s="6" t="n"/>
      <c r="H284" s="29">
        <f>IF((F284+G284)&gt;0,G284/(F284+G284),"")</f>
        <v/>
      </c>
      <c r="I284" s="17">
        <f>IF(C284="",0,IFERROR(VLOOKUP(C284,'Recetas y precios'!$A$5:$U$54,21,FALSE),0))</f>
        <v/>
      </c>
      <c r="J284" s="17">
        <f>G284*I284</f>
        <v/>
      </c>
      <c r="K284" s="6" t="n"/>
      <c r="L284" s="6" t="n"/>
    </row>
    <row r="285">
      <c r="A285" s="32" t="n"/>
      <c r="B285" s="6" t="n"/>
      <c r="C285" s="6" t="n"/>
      <c r="D285">
        <f>IF(C285="","",IFERROR(VLOOKUP(C285,'Recetas y precios'!$A$5:$B$54,2,FALSE),""))</f>
        <v/>
      </c>
      <c r="E285" s="6" t="n"/>
      <c r="F285" s="6" t="n"/>
      <c r="G285" s="6" t="n"/>
      <c r="H285" s="29">
        <f>IF((F285+G285)&gt;0,G285/(F285+G285),"")</f>
        <v/>
      </c>
      <c r="I285" s="17">
        <f>IF(C285="",0,IFERROR(VLOOKUP(C285,'Recetas y precios'!$A$5:$U$54,21,FALSE),0))</f>
        <v/>
      </c>
      <c r="J285" s="17">
        <f>G285*I285</f>
        <v/>
      </c>
      <c r="K285" s="6" t="n"/>
      <c r="L285" s="6" t="n"/>
    </row>
    <row r="286">
      <c r="A286" s="32" t="n"/>
      <c r="B286" s="6" t="n"/>
      <c r="C286" s="6" t="n"/>
      <c r="D286">
        <f>IF(C286="","",IFERROR(VLOOKUP(C286,'Recetas y precios'!$A$5:$B$54,2,FALSE),""))</f>
        <v/>
      </c>
      <c r="E286" s="6" t="n"/>
      <c r="F286" s="6" t="n"/>
      <c r="G286" s="6" t="n"/>
      <c r="H286" s="29">
        <f>IF((F286+G286)&gt;0,G286/(F286+G286),"")</f>
        <v/>
      </c>
      <c r="I286" s="17">
        <f>IF(C286="",0,IFERROR(VLOOKUP(C286,'Recetas y precios'!$A$5:$U$54,21,FALSE),0))</f>
        <v/>
      </c>
      <c r="J286" s="17">
        <f>G286*I286</f>
        <v/>
      </c>
      <c r="K286" s="6" t="n"/>
      <c r="L286" s="6" t="n"/>
    </row>
    <row r="287">
      <c r="A287" s="32" t="n"/>
      <c r="B287" s="6" t="n"/>
      <c r="C287" s="6" t="n"/>
      <c r="D287">
        <f>IF(C287="","",IFERROR(VLOOKUP(C287,'Recetas y precios'!$A$5:$B$54,2,FALSE),""))</f>
        <v/>
      </c>
      <c r="E287" s="6" t="n"/>
      <c r="F287" s="6" t="n"/>
      <c r="G287" s="6" t="n"/>
      <c r="H287" s="29">
        <f>IF((F287+G287)&gt;0,G287/(F287+G287),"")</f>
        <v/>
      </c>
      <c r="I287" s="17">
        <f>IF(C287="",0,IFERROR(VLOOKUP(C287,'Recetas y precios'!$A$5:$U$54,21,FALSE),0))</f>
        <v/>
      </c>
      <c r="J287" s="17">
        <f>G287*I287</f>
        <v/>
      </c>
      <c r="K287" s="6" t="n"/>
      <c r="L287" s="6" t="n"/>
    </row>
    <row r="288">
      <c r="A288" s="32" t="n"/>
      <c r="B288" s="6" t="n"/>
      <c r="C288" s="6" t="n"/>
      <c r="D288">
        <f>IF(C288="","",IFERROR(VLOOKUP(C288,'Recetas y precios'!$A$5:$B$54,2,FALSE),""))</f>
        <v/>
      </c>
      <c r="E288" s="6" t="n"/>
      <c r="F288" s="6" t="n"/>
      <c r="G288" s="6" t="n"/>
      <c r="H288" s="29">
        <f>IF((F288+G288)&gt;0,G288/(F288+G288),"")</f>
        <v/>
      </c>
      <c r="I288" s="17">
        <f>IF(C288="",0,IFERROR(VLOOKUP(C288,'Recetas y precios'!$A$5:$U$54,21,FALSE),0))</f>
        <v/>
      </c>
      <c r="J288" s="17">
        <f>G288*I288</f>
        <v/>
      </c>
      <c r="K288" s="6" t="n"/>
      <c r="L288" s="6" t="n"/>
    </row>
    <row r="289">
      <c r="A289" s="32" t="n"/>
      <c r="B289" s="6" t="n"/>
      <c r="C289" s="6" t="n"/>
      <c r="D289">
        <f>IF(C289="","",IFERROR(VLOOKUP(C289,'Recetas y precios'!$A$5:$B$54,2,FALSE),""))</f>
        <v/>
      </c>
      <c r="E289" s="6" t="n"/>
      <c r="F289" s="6" t="n"/>
      <c r="G289" s="6" t="n"/>
      <c r="H289" s="29">
        <f>IF((F289+G289)&gt;0,G289/(F289+G289),"")</f>
        <v/>
      </c>
      <c r="I289" s="17">
        <f>IF(C289="",0,IFERROR(VLOOKUP(C289,'Recetas y precios'!$A$5:$U$54,21,FALSE),0))</f>
        <v/>
      </c>
      <c r="J289" s="17">
        <f>G289*I289</f>
        <v/>
      </c>
      <c r="K289" s="6" t="n"/>
      <c r="L289" s="6" t="n"/>
    </row>
    <row r="290">
      <c r="A290" s="32" t="n"/>
      <c r="B290" s="6" t="n"/>
      <c r="C290" s="6" t="n"/>
      <c r="D290">
        <f>IF(C290="","",IFERROR(VLOOKUP(C290,'Recetas y precios'!$A$5:$B$54,2,FALSE),""))</f>
        <v/>
      </c>
      <c r="E290" s="6" t="n"/>
      <c r="F290" s="6" t="n"/>
      <c r="G290" s="6" t="n"/>
      <c r="H290" s="29">
        <f>IF((F290+G290)&gt;0,G290/(F290+G290),"")</f>
        <v/>
      </c>
      <c r="I290" s="17">
        <f>IF(C290="",0,IFERROR(VLOOKUP(C290,'Recetas y precios'!$A$5:$U$54,21,FALSE),0))</f>
        <v/>
      </c>
      <c r="J290" s="17">
        <f>G290*I290</f>
        <v/>
      </c>
      <c r="K290" s="6" t="n"/>
      <c r="L290" s="6" t="n"/>
    </row>
    <row r="291">
      <c r="A291" s="32" t="n"/>
      <c r="B291" s="6" t="n"/>
      <c r="C291" s="6" t="n"/>
      <c r="D291">
        <f>IF(C291="","",IFERROR(VLOOKUP(C291,'Recetas y precios'!$A$5:$B$54,2,FALSE),""))</f>
        <v/>
      </c>
      <c r="E291" s="6" t="n"/>
      <c r="F291" s="6" t="n"/>
      <c r="G291" s="6" t="n"/>
      <c r="H291" s="29">
        <f>IF((F291+G291)&gt;0,G291/(F291+G291),"")</f>
        <v/>
      </c>
      <c r="I291" s="17">
        <f>IF(C291="",0,IFERROR(VLOOKUP(C291,'Recetas y precios'!$A$5:$U$54,21,FALSE),0))</f>
        <v/>
      </c>
      <c r="J291" s="17">
        <f>G291*I291</f>
        <v/>
      </c>
      <c r="K291" s="6" t="n"/>
      <c r="L291" s="6" t="n"/>
    </row>
    <row r="292">
      <c r="A292" s="32" t="n"/>
      <c r="B292" s="6" t="n"/>
      <c r="C292" s="6" t="n"/>
      <c r="D292">
        <f>IF(C292="","",IFERROR(VLOOKUP(C292,'Recetas y precios'!$A$5:$B$54,2,FALSE),""))</f>
        <v/>
      </c>
      <c r="E292" s="6" t="n"/>
      <c r="F292" s="6" t="n"/>
      <c r="G292" s="6" t="n"/>
      <c r="H292" s="29">
        <f>IF((F292+G292)&gt;0,G292/(F292+G292),"")</f>
        <v/>
      </c>
      <c r="I292" s="17">
        <f>IF(C292="",0,IFERROR(VLOOKUP(C292,'Recetas y precios'!$A$5:$U$54,21,FALSE),0))</f>
        <v/>
      </c>
      <c r="J292" s="17">
        <f>G292*I292</f>
        <v/>
      </c>
      <c r="K292" s="6" t="n"/>
      <c r="L292" s="6" t="n"/>
    </row>
    <row r="293">
      <c r="A293" s="32" t="n"/>
      <c r="B293" s="6" t="n"/>
      <c r="C293" s="6" t="n"/>
      <c r="D293">
        <f>IF(C293="","",IFERROR(VLOOKUP(C293,'Recetas y precios'!$A$5:$B$54,2,FALSE),""))</f>
        <v/>
      </c>
      <c r="E293" s="6" t="n"/>
      <c r="F293" s="6" t="n"/>
      <c r="G293" s="6" t="n"/>
      <c r="H293" s="29">
        <f>IF((F293+G293)&gt;0,G293/(F293+G293),"")</f>
        <v/>
      </c>
      <c r="I293" s="17">
        <f>IF(C293="",0,IFERROR(VLOOKUP(C293,'Recetas y precios'!$A$5:$U$54,21,FALSE),0))</f>
        <v/>
      </c>
      <c r="J293" s="17">
        <f>G293*I293</f>
        <v/>
      </c>
      <c r="K293" s="6" t="n"/>
      <c r="L293" s="6" t="n"/>
    </row>
    <row r="294">
      <c r="A294" s="32" t="n"/>
      <c r="B294" s="6" t="n"/>
      <c r="C294" s="6" t="n"/>
      <c r="D294">
        <f>IF(C294="","",IFERROR(VLOOKUP(C294,'Recetas y precios'!$A$5:$B$54,2,FALSE),""))</f>
        <v/>
      </c>
      <c r="E294" s="6" t="n"/>
      <c r="F294" s="6" t="n"/>
      <c r="G294" s="6" t="n"/>
      <c r="H294" s="29">
        <f>IF((F294+G294)&gt;0,G294/(F294+G294),"")</f>
        <v/>
      </c>
      <c r="I294" s="17">
        <f>IF(C294="",0,IFERROR(VLOOKUP(C294,'Recetas y precios'!$A$5:$U$54,21,FALSE),0))</f>
        <v/>
      </c>
      <c r="J294" s="17">
        <f>G294*I294</f>
        <v/>
      </c>
      <c r="K294" s="6" t="n"/>
      <c r="L294" s="6" t="n"/>
    </row>
    <row r="295">
      <c r="A295" s="32" t="n"/>
      <c r="B295" s="6" t="n"/>
      <c r="C295" s="6" t="n"/>
      <c r="D295">
        <f>IF(C295="","",IFERROR(VLOOKUP(C295,'Recetas y precios'!$A$5:$B$54,2,FALSE),""))</f>
        <v/>
      </c>
      <c r="E295" s="6" t="n"/>
      <c r="F295" s="6" t="n"/>
      <c r="G295" s="6" t="n"/>
      <c r="H295" s="29">
        <f>IF((F295+G295)&gt;0,G295/(F295+G295),"")</f>
        <v/>
      </c>
      <c r="I295" s="17">
        <f>IF(C295="",0,IFERROR(VLOOKUP(C295,'Recetas y precios'!$A$5:$U$54,21,FALSE),0))</f>
        <v/>
      </c>
      <c r="J295" s="17">
        <f>G295*I295</f>
        <v/>
      </c>
      <c r="K295" s="6" t="n"/>
      <c r="L295" s="6" t="n"/>
    </row>
    <row r="296">
      <c r="A296" s="32" t="n"/>
      <c r="B296" s="6" t="n"/>
      <c r="C296" s="6" t="n"/>
      <c r="D296">
        <f>IF(C296="","",IFERROR(VLOOKUP(C296,'Recetas y precios'!$A$5:$B$54,2,FALSE),""))</f>
        <v/>
      </c>
      <c r="E296" s="6" t="n"/>
      <c r="F296" s="6" t="n"/>
      <c r="G296" s="6" t="n"/>
      <c r="H296" s="29">
        <f>IF((F296+G296)&gt;0,G296/(F296+G296),"")</f>
        <v/>
      </c>
      <c r="I296" s="17">
        <f>IF(C296="",0,IFERROR(VLOOKUP(C296,'Recetas y precios'!$A$5:$U$54,21,FALSE),0))</f>
        <v/>
      </c>
      <c r="J296" s="17">
        <f>G296*I296</f>
        <v/>
      </c>
      <c r="K296" s="6" t="n"/>
      <c r="L296" s="6" t="n"/>
    </row>
    <row r="297">
      <c r="A297" s="32" t="n"/>
      <c r="B297" s="6" t="n"/>
      <c r="C297" s="6" t="n"/>
      <c r="D297">
        <f>IF(C297="","",IFERROR(VLOOKUP(C297,'Recetas y precios'!$A$5:$B$54,2,FALSE),""))</f>
        <v/>
      </c>
      <c r="E297" s="6" t="n"/>
      <c r="F297" s="6" t="n"/>
      <c r="G297" s="6" t="n"/>
      <c r="H297" s="29">
        <f>IF((F297+G297)&gt;0,G297/(F297+G297),"")</f>
        <v/>
      </c>
      <c r="I297" s="17">
        <f>IF(C297="",0,IFERROR(VLOOKUP(C297,'Recetas y precios'!$A$5:$U$54,21,FALSE),0))</f>
        <v/>
      </c>
      <c r="J297" s="17">
        <f>G297*I297</f>
        <v/>
      </c>
      <c r="K297" s="6" t="n"/>
      <c r="L297" s="6" t="n"/>
    </row>
    <row r="298">
      <c r="A298" s="32" t="n"/>
      <c r="B298" s="6" t="n"/>
      <c r="C298" s="6" t="n"/>
      <c r="D298">
        <f>IF(C298="","",IFERROR(VLOOKUP(C298,'Recetas y precios'!$A$5:$B$54,2,FALSE),""))</f>
        <v/>
      </c>
      <c r="E298" s="6" t="n"/>
      <c r="F298" s="6" t="n"/>
      <c r="G298" s="6" t="n"/>
      <c r="H298" s="29">
        <f>IF((F298+G298)&gt;0,G298/(F298+G298),"")</f>
        <v/>
      </c>
      <c r="I298" s="17">
        <f>IF(C298="",0,IFERROR(VLOOKUP(C298,'Recetas y precios'!$A$5:$U$54,21,FALSE),0))</f>
        <v/>
      </c>
      <c r="J298" s="17">
        <f>G298*I298</f>
        <v/>
      </c>
      <c r="K298" s="6" t="n"/>
      <c r="L298" s="6" t="n"/>
    </row>
    <row r="299">
      <c r="A299" s="32" t="n"/>
      <c r="B299" s="6" t="n"/>
      <c r="C299" s="6" t="n"/>
      <c r="D299">
        <f>IF(C299="","",IFERROR(VLOOKUP(C299,'Recetas y precios'!$A$5:$B$54,2,FALSE),""))</f>
        <v/>
      </c>
      <c r="E299" s="6" t="n"/>
      <c r="F299" s="6" t="n"/>
      <c r="G299" s="6" t="n"/>
      <c r="H299" s="29">
        <f>IF((F299+G299)&gt;0,G299/(F299+G299),"")</f>
        <v/>
      </c>
      <c r="I299" s="17">
        <f>IF(C299="",0,IFERROR(VLOOKUP(C299,'Recetas y precios'!$A$5:$U$54,21,FALSE),0))</f>
        <v/>
      </c>
      <c r="J299" s="17">
        <f>G299*I299</f>
        <v/>
      </c>
      <c r="K299" s="6" t="n"/>
      <c r="L299" s="6" t="n"/>
    </row>
    <row r="300">
      <c r="A300" s="32" t="n"/>
      <c r="B300" s="6" t="n"/>
      <c r="C300" s="6" t="n"/>
      <c r="D300">
        <f>IF(C300="","",IFERROR(VLOOKUP(C300,'Recetas y precios'!$A$5:$B$54,2,FALSE),""))</f>
        <v/>
      </c>
      <c r="E300" s="6" t="n"/>
      <c r="F300" s="6" t="n"/>
      <c r="G300" s="6" t="n"/>
      <c r="H300" s="29">
        <f>IF((F300+G300)&gt;0,G300/(F300+G300),"")</f>
        <v/>
      </c>
      <c r="I300" s="17">
        <f>IF(C300="",0,IFERROR(VLOOKUP(C300,'Recetas y precios'!$A$5:$U$54,21,FALSE),0))</f>
        <v/>
      </c>
      <c r="J300" s="17">
        <f>G300*I300</f>
        <v/>
      </c>
      <c r="K300" s="6" t="n"/>
      <c r="L300" s="6" t="n"/>
    </row>
    <row r="301">
      <c r="A301" s="32" t="n"/>
      <c r="B301" s="6" t="n"/>
      <c r="C301" s="6" t="n"/>
      <c r="D301">
        <f>IF(C301="","",IFERROR(VLOOKUP(C301,'Recetas y precios'!$A$5:$B$54,2,FALSE),""))</f>
        <v/>
      </c>
      <c r="E301" s="6" t="n"/>
      <c r="F301" s="6" t="n"/>
      <c r="G301" s="6" t="n"/>
      <c r="H301" s="29">
        <f>IF((F301+G301)&gt;0,G301/(F301+G301),"")</f>
        <v/>
      </c>
      <c r="I301" s="17">
        <f>IF(C301="",0,IFERROR(VLOOKUP(C301,'Recetas y precios'!$A$5:$U$54,21,FALSE),0))</f>
        <v/>
      </c>
      <c r="J301" s="17">
        <f>G301*I301</f>
        <v/>
      </c>
      <c r="K301" s="6" t="n"/>
      <c r="L301" s="6" t="n"/>
    </row>
    <row r="302">
      <c r="A302" s="32" t="n"/>
      <c r="B302" s="6" t="n"/>
      <c r="C302" s="6" t="n"/>
      <c r="D302">
        <f>IF(C302="","",IFERROR(VLOOKUP(C302,'Recetas y precios'!$A$5:$B$54,2,FALSE),""))</f>
        <v/>
      </c>
      <c r="E302" s="6" t="n"/>
      <c r="F302" s="6" t="n"/>
      <c r="G302" s="6" t="n"/>
      <c r="H302" s="29">
        <f>IF((F302+G302)&gt;0,G302/(F302+G302),"")</f>
        <v/>
      </c>
      <c r="I302" s="17">
        <f>IF(C302="",0,IFERROR(VLOOKUP(C302,'Recetas y precios'!$A$5:$U$54,21,FALSE),0))</f>
        <v/>
      </c>
      <c r="J302" s="17">
        <f>G302*I302</f>
        <v/>
      </c>
      <c r="K302" s="6" t="n"/>
      <c r="L302" s="6" t="n"/>
    </row>
    <row r="303">
      <c r="A303" s="32" t="n"/>
      <c r="B303" s="6" t="n"/>
      <c r="C303" s="6" t="n"/>
      <c r="D303">
        <f>IF(C303="","",IFERROR(VLOOKUP(C303,'Recetas y precios'!$A$5:$B$54,2,FALSE),""))</f>
        <v/>
      </c>
      <c r="E303" s="6" t="n"/>
      <c r="F303" s="6" t="n"/>
      <c r="G303" s="6" t="n"/>
      <c r="H303" s="29">
        <f>IF((F303+G303)&gt;0,G303/(F303+G303),"")</f>
        <v/>
      </c>
      <c r="I303" s="17">
        <f>IF(C303="",0,IFERROR(VLOOKUP(C303,'Recetas y precios'!$A$5:$U$54,21,FALSE),0))</f>
        <v/>
      </c>
      <c r="J303" s="17">
        <f>G303*I303</f>
        <v/>
      </c>
      <c r="K303" s="6" t="n"/>
      <c r="L303" s="6" t="n"/>
    </row>
    <row r="304">
      <c r="A304" s="32" t="n"/>
      <c r="B304" s="6" t="n"/>
      <c r="C304" s="6" t="n"/>
      <c r="D304">
        <f>IF(C304="","",IFERROR(VLOOKUP(C304,'Recetas y precios'!$A$5:$B$54,2,FALSE),""))</f>
        <v/>
      </c>
      <c r="E304" s="6" t="n"/>
      <c r="F304" s="6" t="n"/>
      <c r="G304" s="6" t="n"/>
      <c r="H304" s="29">
        <f>IF((F304+G304)&gt;0,G304/(F304+G304),"")</f>
        <v/>
      </c>
      <c r="I304" s="17">
        <f>IF(C304="",0,IFERROR(VLOOKUP(C304,'Recetas y precios'!$A$5:$U$54,21,FALSE),0))</f>
        <v/>
      </c>
      <c r="J304" s="17">
        <f>G304*I304</f>
        <v/>
      </c>
      <c r="K304" s="6" t="n"/>
      <c r="L304" s="6" t="n"/>
    </row>
  </sheetData>
  <conditionalFormatting sqref="H5:H304">
    <cfRule type="expression" priority="1" dxfId="0">
      <formula>AND(H5&lt;&gt;"",H5&gt;'Mi negocio'!$C$24)</formula>
    </cfRule>
  </conditionalFormatting>
  <dataValidations count="2">
    <dataValidation sqref="K5:K304" showDropDown="0" showInputMessage="0" showErrorMessage="0" allowBlank="1" type="list">
      <formula1>"Queso o charcutería fuera de punto al abrir,Merma de corte y descorteza,Rebanada rota o mal cortada,Pan o crujiente reblandecido por guarnición húmeda,Ruptura de cadena de frío,Untable separado o con grasa suelta,Fruta fresca oxidada o pasada,Sobrante de mesa no reutilizable,Error de pesaje o de gramaje por comensal,Tabla devuelta por el cliente,Producto caducado en cámara,Prueba, cata y capacitación,Otro"</formula1>
    </dataValidation>
    <dataValidation sqref="C5:C304" showDropDown="0" showInputMessage="0" showErrorMessage="0" allowBlank="1" type="whole" operator="between">
      <formula1>1</formula1>
      <formula2>50</formula2>
    </dataValidation>
  </dataValidations>
  <pageMargins left="0.75" right="0.75" top="1" bottom="1" header="0.5" footer="0.5"/>
</worksheet>
</file>

<file path=xl/worksheets/sheet8.xml><?xml version="1.0" encoding="utf-8"?>
<worksheet xmlns="http://schemas.openxmlformats.org/spreadsheetml/2006/main">
  <sheetPr>
    <tabColor rgb="00C98BCB"/>
    <outlinePr summaryBelow="1" summaryRight="1"/>
    <pageSetUpPr/>
  </sheetPr>
  <dimension ref="A1:M504"/>
  <sheetViews>
    <sheetView showGridLines="0" workbookViewId="0">
      <pane ySplit="4" topLeftCell="A5" activePane="bottomLeft" state="frozen"/>
      <selection pane="bottomLeft" activeCell="A1" sqref="A1"/>
    </sheetView>
  </sheetViews>
  <sheetFormatPr baseColWidth="8" defaultRowHeight="15"/>
  <cols>
    <col width="12" customWidth="1" min="1" max="1"/>
    <col width="8" customWidth="1" min="2" max="2"/>
    <col width="46" customWidth="1" min="3" max="3"/>
    <col width="32" customWidth="1" min="4" max="4"/>
    <col width="9" customWidth="1" min="5" max="5"/>
    <col width="12" customWidth="1" min="6" max="6"/>
    <col width="12" customWidth="1" min="7" max="7"/>
    <col width="12" customWidth="1" min="8" max="8"/>
    <col width="10" customWidth="1" min="9" max="9"/>
    <col width="11" customWidth="1" min="10" max="10"/>
    <col width="12" customWidth="1" min="11" max="11"/>
    <col width="10" customWidth="1" min="12" max="12"/>
    <col width="26" customWidth="1" min="13" max="13"/>
  </cols>
  <sheetData>
    <row r="1">
      <c r="A1" s="1" t="inlineStr">
        <is>
          <t>Ventas</t>
        </is>
      </c>
    </row>
    <row r="2">
      <c r="A2" s="7" t="inlineStr">
        <is>
          <t>Una fila por venta. La primera fila es un ejemplo: sobrescríbela.</t>
        </is>
      </c>
    </row>
    <row r="4" ht="30" customHeight="1">
      <c r="A4" s="8" t="inlineStr">
        <is>
          <t>Fecha</t>
        </is>
      </c>
      <c r="B4" s="8" t="inlineStr">
        <is>
          <t>Nº receta</t>
        </is>
      </c>
      <c r="C4" s="8" t="inlineStr">
        <is>
          <t>Receta</t>
        </is>
      </c>
      <c r="D4" s="8" t="inlineStr">
        <is>
          <t>Canal</t>
        </is>
      </c>
      <c r="E4" s="8" t="inlineStr">
        <is>
          <t>Tablas</t>
        </is>
      </c>
      <c r="F4" s="8" t="inlineStr">
        <is>
          <t>Precio unitario</t>
        </is>
      </c>
      <c r="G4" s="8" t="inlineStr">
        <is>
          <t>Ingreso</t>
        </is>
      </c>
      <c r="H4" s="8" t="inlineStr">
        <is>
          <t>Costo total</t>
        </is>
      </c>
      <c r="I4" s="8" t="inlineStr">
        <is>
          <t>Comisión %</t>
        </is>
      </c>
      <c r="J4" s="8" t="inlineStr">
        <is>
          <t>Comisión $</t>
        </is>
      </c>
      <c r="K4" s="8" t="inlineStr">
        <is>
          <t>Utilidad neta</t>
        </is>
      </c>
      <c r="L4" s="8" t="inlineStr">
        <is>
          <t>Margen</t>
        </is>
      </c>
      <c r="M4" s="8" t="inlineStr">
        <is>
          <t>Cliente o nota</t>
        </is>
      </c>
    </row>
    <row r="5">
      <c r="A5" s="32" t="n">
        <v>46298</v>
      </c>
      <c r="B5" s="6" t="n">
        <v>11</v>
      </c>
      <c r="C5">
        <f>IF(B5="","",IFERROR(VLOOKUP(B5,'Recetas y precios'!$A$5:$B$54,2,FALSE),""))</f>
        <v/>
      </c>
      <c r="D5" s="6" t="inlineStr">
        <is>
          <t>Salón y barra de vinos</t>
        </is>
      </c>
      <c r="E5" s="6" t="n">
        <v>2</v>
      </c>
      <c r="F5" s="11" t="n">
        <v>1520</v>
      </c>
      <c r="G5" s="17">
        <f>E5*F5</f>
        <v/>
      </c>
      <c r="H5" s="17">
        <f>IF(B5="",0,E5*IFERROR(VLOOKUP(B5,'Recetas y precios'!$A$5:$U$54,21,FALSE),0))</f>
        <v/>
      </c>
      <c r="I5" s="27" t="n">
        <v>0</v>
      </c>
      <c r="J5" s="17">
        <f>G5*I5</f>
        <v/>
      </c>
      <c r="K5" s="17">
        <f>G5-H5-J5</f>
        <v/>
      </c>
      <c r="L5" s="29">
        <f>IF(G5&gt;0,K5/G5,"")</f>
        <v/>
      </c>
      <c r="M5" s="6" t="inlineStr">
        <is>
          <t>Fila de ejemplo</t>
        </is>
      </c>
    </row>
    <row r="6">
      <c r="A6" s="32" t="n"/>
      <c r="B6" s="6" t="n"/>
      <c r="C6">
        <f>IF(B6="","",IFERROR(VLOOKUP(B6,'Recetas y precios'!$A$5:$B$54,2,FALSE),""))</f>
        <v/>
      </c>
      <c r="D6" s="6" t="n"/>
      <c r="E6" s="6" t="n"/>
      <c r="F6" s="11" t="n"/>
      <c r="G6" s="17">
        <f>E6*F6</f>
        <v/>
      </c>
      <c r="H6" s="17">
        <f>IF(B6="",0,E6*IFERROR(VLOOKUP(B6,'Recetas y precios'!$A$5:$U$54,21,FALSE),0))</f>
        <v/>
      </c>
      <c r="I6" s="27" t="n"/>
      <c r="J6" s="17">
        <f>G6*I6</f>
        <v/>
      </c>
      <c r="K6" s="17">
        <f>G6-H6-J6</f>
        <v/>
      </c>
      <c r="L6" s="29">
        <f>IF(G6&gt;0,K6/G6,"")</f>
        <v/>
      </c>
      <c r="M6" s="6" t="n"/>
    </row>
    <row r="7">
      <c r="A7" s="32" t="n"/>
      <c r="B7" s="6" t="n"/>
      <c r="C7">
        <f>IF(B7="","",IFERROR(VLOOKUP(B7,'Recetas y precios'!$A$5:$B$54,2,FALSE),""))</f>
        <v/>
      </c>
      <c r="D7" s="6" t="n"/>
      <c r="E7" s="6" t="n"/>
      <c r="F7" s="11" t="n"/>
      <c r="G7" s="17">
        <f>E7*F7</f>
        <v/>
      </c>
      <c r="H7" s="17">
        <f>IF(B7="",0,E7*IFERROR(VLOOKUP(B7,'Recetas y precios'!$A$5:$U$54,21,FALSE),0))</f>
        <v/>
      </c>
      <c r="I7" s="27" t="n"/>
      <c r="J7" s="17">
        <f>G7*I7</f>
        <v/>
      </c>
      <c r="K7" s="17">
        <f>G7-H7-J7</f>
        <v/>
      </c>
      <c r="L7" s="29">
        <f>IF(G7&gt;0,K7/G7,"")</f>
        <v/>
      </c>
      <c r="M7" s="6" t="n"/>
    </row>
    <row r="8">
      <c r="A8" s="32" t="n"/>
      <c r="B8" s="6" t="n"/>
      <c r="C8">
        <f>IF(B8="","",IFERROR(VLOOKUP(B8,'Recetas y precios'!$A$5:$B$54,2,FALSE),""))</f>
        <v/>
      </c>
      <c r="D8" s="6" t="n"/>
      <c r="E8" s="6" t="n"/>
      <c r="F8" s="11" t="n"/>
      <c r="G8" s="17">
        <f>E8*F8</f>
        <v/>
      </c>
      <c r="H8" s="17">
        <f>IF(B8="",0,E8*IFERROR(VLOOKUP(B8,'Recetas y precios'!$A$5:$U$54,21,FALSE),0))</f>
        <v/>
      </c>
      <c r="I8" s="27" t="n"/>
      <c r="J8" s="17">
        <f>G8*I8</f>
        <v/>
      </c>
      <c r="K8" s="17">
        <f>G8-H8-J8</f>
        <v/>
      </c>
      <c r="L8" s="29">
        <f>IF(G8&gt;0,K8/G8,"")</f>
        <v/>
      </c>
      <c r="M8" s="6" t="n"/>
    </row>
    <row r="9">
      <c r="A9" s="32" t="n"/>
      <c r="B9" s="6" t="n"/>
      <c r="C9">
        <f>IF(B9="","",IFERROR(VLOOKUP(B9,'Recetas y precios'!$A$5:$B$54,2,FALSE),""))</f>
        <v/>
      </c>
      <c r="D9" s="6" t="n"/>
      <c r="E9" s="6" t="n"/>
      <c r="F9" s="11" t="n"/>
      <c r="G9" s="17">
        <f>E9*F9</f>
        <v/>
      </c>
      <c r="H9" s="17">
        <f>IF(B9="",0,E9*IFERROR(VLOOKUP(B9,'Recetas y precios'!$A$5:$U$54,21,FALSE),0))</f>
        <v/>
      </c>
      <c r="I9" s="27" t="n"/>
      <c r="J9" s="17">
        <f>G9*I9</f>
        <v/>
      </c>
      <c r="K9" s="17">
        <f>G9-H9-J9</f>
        <v/>
      </c>
      <c r="L9" s="29">
        <f>IF(G9&gt;0,K9/G9,"")</f>
        <v/>
      </c>
      <c r="M9" s="6" t="n"/>
    </row>
    <row r="10">
      <c r="A10" s="32" t="n"/>
      <c r="B10" s="6" t="n"/>
      <c r="C10">
        <f>IF(B10="","",IFERROR(VLOOKUP(B10,'Recetas y precios'!$A$5:$B$54,2,FALSE),""))</f>
        <v/>
      </c>
      <c r="D10" s="6" t="n"/>
      <c r="E10" s="6" t="n"/>
      <c r="F10" s="11" t="n"/>
      <c r="G10" s="17">
        <f>E10*F10</f>
        <v/>
      </c>
      <c r="H10" s="17">
        <f>IF(B10="",0,E10*IFERROR(VLOOKUP(B10,'Recetas y precios'!$A$5:$U$54,21,FALSE),0))</f>
        <v/>
      </c>
      <c r="I10" s="27" t="n"/>
      <c r="J10" s="17">
        <f>G10*I10</f>
        <v/>
      </c>
      <c r="K10" s="17">
        <f>G10-H10-J10</f>
        <v/>
      </c>
      <c r="L10" s="29">
        <f>IF(G10&gt;0,K10/G10,"")</f>
        <v/>
      </c>
      <c r="M10" s="6" t="n"/>
    </row>
    <row r="11">
      <c r="A11" s="32" t="n"/>
      <c r="B11" s="6" t="n"/>
      <c r="C11">
        <f>IF(B11="","",IFERROR(VLOOKUP(B11,'Recetas y precios'!$A$5:$B$54,2,FALSE),""))</f>
        <v/>
      </c>
      <c r="D11" s="6" t="n"/>
      <c r="E11" s="6" t="n"/>
      <c r="F11" s="11" t="n"/>
      <c r="G11" s="17">
        <f>E11*F11</f>
        <v/>
      </c>
      <c r="H11" s="17">
        <f>IF(B11="",0,E11*IFERROR(VLOOKUP(B11,'Recetas y precios'!$A$5:$U$54,21,FALSE),0))</f>
        <v/>
      </c>
      <c r="I11" s="27" t="n"/>
      <c r="J11" s="17">
        <f>G11*I11</f>
        <v/>
      </c>
      <c r="K11" s="17">
        <f>G11-H11-J11</f>
        <v/>
      </c>
      <c r="L11" s="29">
        <f>IF(G11&gt;0,K11/G11,"")</f>
        <v/>
      </c>
      <c r="M11" s="6" t="n"/>
    </row>
    <row r="12">
      <c r="A12" s="32" t="n"/>
      <c r="B12" s="6" t="n"/>
      <c r="C12">
        <f>IF(B12="","",IFERROR(VLOOKUP(B12,'Recetas y precios'!$A$5:$B$54,2,FALSE),""))</f>
        <v/>
      </c>
      <c r="D12" s="6" t="n"/>
      <c r="E12" s="6" t="n"/>
      <c r="F12" s="11" t="n"/>
      <c r="G12" s="17">
        <f>E12*F12</f>
        <v/>
      </c>
      <c r="H12" s="17">
        <f>IF(B12="",0,E12*IFERROR(VLOOKUP(B12,'Recetas y precios'!$A$5:$U$54,21,FALSE),0))</f>
        <v/>
      </c>
      <c r="I12" s="27" t="n"/>
      <c r="J12" s="17">
        <f>G12*I12</f>
        <v/>
      </c>
      <c r="K12" s="17">
        <f>G12-H12-J12</f>
        <v/>
      </c>
      <c r="L12" s="29">
        <f>IF(G12&gt;0,K12/G12,"")</f>
        <v/>
      </c>
      <c r="M12" s="6" t="n"/>
    </row>
    <row r="13">
      <c r="A13" s="32" t="n"/>
      <c r="B13" s="6" t="n"/>
      <c r="C13">
        <f>IF(B13="","",IFERROR(VLOOKUP(B13,'Recetas y precios'!$A$5:$B$54,2,FALSE),""))</f>
        <v/>
      </c>
      <c r="D13" s="6" t="n"/>
      <c r="E13" s="6" t="n"/>
      <c r="F13" s="11" t="n"/>
      <c r="G13" s="17">
        <f>E13*F13</f>
        <v/>
      </c>
      <c r="H13" s="17">
        <f>IF(B13="",0,E13*IFERROR(VLOOKUP(B13,'Recetas y precios'!$A$5:$U$54,21,FALSE),0))</f>
        <v/>
      </c>
      <c r="I13" s="27" t="n"/>
      <c r="J13" s="17">
        <f>G13*I13</f>
        <v/>
      </c>
      <c r="K13" s="17">
        <f>G13-H13-J13</f>
        <v/>
      </c>
      <c r="L13" s="29">
        <f>IF(G13&gt;0,K13/G13,"")</f>
        <v/>
      </c>
      <c r="M13" s="6" t="n"/>
    </row>
    <row r="14">
      <c r="A14" s="32" t="n"/>
      <c r="B14" s="6" t="n"/>
      <c r="C14">
        <f>IF(B14="","",IFERROR(VLOOKUP(B14,'Recetas y precios'!$A$5:$B$54,2,FALSE),""))</f>
        <v/>
      </c>
      <c r="D14" s="6" t="n"/>
      <c r="E14" s="6" t="n"/>
      <c r="F14" s="11" t="n"/>
      <c r="G14" s="17">
        <f>E14*F14</f>
        <v/>
      </c>
      <c r="H14" s="17">
        <f>IF(B14="",0,E14*IFERROR(VLOOKUP(B14,'Recetas y precios'!$A$5:$U$54,21,FALSE),0))</f>
        <v/>
      </c>
      <c r="I14" s="27" t="n"/>
      <c r="J14" s="17">
        <f>G14*I14</f>
        <v/>
      </c>
      <c r="K14" s="17">
        <f>G14-H14-J14</f>
        <v/>
      </c>
      <c r="L14" s="29">
        <f>IF(G14&gt;0,K14/G14,"")</f>
        <v/>
      </c>
      <c r="M14" s="6" t="n"/>
    </row>
    <row r="15">
      <c r="A15" s="32" t="n"/>
      <c r="B15" s="6" t="n"/>
      <c r="C15">
        <f>IF(B15="","",IFERROR(VLOOKUP(B15,'Recetas y precios'!$A$5:$B$54,2,FALSE),""))</f>
        <v/>
      </c>
      <c r="D15" s="6" t="n"/>
      <c r="E15" s="6" t="n"/>
      <c r="F15" s="11" t="n"/>
      <c r="G15" s="17">
        <f>E15*F15</f>
        <v/>
      </c>
      <c r="H15" s="17">
        <f>IF(B15="",0,E15*IFERROR(VLOOKUP(B15,'Recetas y precios'!$A$5:$U$54,21,FALSE),0))</f>
        <v/>
      </c>
      <c r="I15" s="27" t="n"/>
      <c r="J15" s="17">
        <f>G15*I15</f>
        <v/>
      </c>
      <c r="K15" s="17">
        <f>G15-H15-J15</f>
        <v/>
      </c>
      <c r="L15" s="29">
        <f>IF(G15&gt;0,K15/G15,"")</f>
        <v/>
      </c>
      <c r="M15" s="6" t="n"/>
    </row>
    <row r="16">
      <c r="A16" s="32" t="n"/>
      <c r="B16" s="6" t="n"/>
      <c r="C16">
        <f>IF(B16="","",IFERROR(VLOOKUP(B16,'Recetas y precios'!$A$5:$B$54,2,FALSE),""))</f>
        <v/>
      </c>
      <c r="D16" s="6" t="n"/>
      <c r="E16" s="6" t="n"/>
      <c r="F16" s="11" t="n"/>
      <c r="G16" s="17">
        <f>E16*F16</f>
        <v/>
      </c>
      <c r="H16" s="17">
        <f>IF(B16="",0,E16*IFERROR(VLOOKUP(B16,'Recetas y precios'!$A$5:$U$54,21,FALSE),0))</f>
        <v/>
      </c>
      <c r="I16" s="27" t="n"/>
      <c r="J16" s="17">
        <f>G16*I16</f>
        <v/>
      </c>
      <c r="K16" s="17">
        <f>G16-H16-J16</f>
        <v/>
      </c>
      <c r="L16" s="29">
        <f>IF(G16&gt;0,K16/G16,"")</f>
        <v/>
      </c>
      <c r="M16" s="6" t="n"/>
    </row>
    <row r="17">
      <c r="A17" s="32" t="n"/>
      <c r="B17" s="6" t="n"/>
      <c r="C17">
        <f>IF(B17="","",IFERROR(VLOOKUP(B17,'Recetas y precios'!$A$5:$B$54,2,FALSE),""))</f>
        <v/>
      </c>
      <c r="D17" s="6" t="n"/>
      <c r="E17" s="6" t="n"/>
      <c r="F17" s="11" t="n"/>
      <c r="G17" s="17">
        <f>E17*F17</f>
        <v/>
      </c>
      <c r="H17" s="17">
        <f>IF(B17="",0,E17*IFERROR(VLOOKUP(B17,'Recetas y precios'!$A$5:$U$54,21,FALSE),0))</f>
        <v/>
      </c>
      <c r="I17" s="27" t="n"/>
      <c r="J17" s="17">
        <f>G17*I17</f>
        <v/>
      </c>
      <c r="K17" s="17">
        <f>G17-H17-J17</f>
        <v/>
      </c>
      <c r="L17" s="29">
        <f>IF(G17&gt;0,K17/G17,"")</f>
        <v/>
      </c>
      <c r="M17" s="6" t="n"/>
    </row>
    <row r="18">
      <c r="A18" s="32" t="n"/>
      <c r="B18" s="6" t="n"/>
      <c r="C18">
        <f>IF(B18="","",IFERROR(VLOOKUP(B18,'Recetas y precios'!$A$5:$B$54,2,FALSE),""))</f>
        <v/>
      </c>
      <c r="D18" s="6" t="n"/>
      <c r="E18" s="6" t="n"/>
      <c r="F18" s="11" t="n"/>
      <c r="G18" s="17">
        <f>E18*F18</f>
        <v/>
      </c>
      <c r="H18" s="17">
        <f>IF(B18="",0,E18*IFERROR(VLOOKUP(B18,'Recetas y precios'!$A$5:$U$54,21,FALSE),0))</f>
        <v/>
      </c>
      <c r="I18" s="27" t="n"/>
      <c r="J18" s="17">
        <f>G18*I18</f>
        <v/>
      </c>
      <c r="K18" s="17">
        <f>G18-H18-J18</f>
        <v/>
      </c>
      <c r="L18" s="29">
        <f>IF(G18&gt;0,K18/G18,"")</f>
        <v/>
      </c>
      <c r="M18" s="6" t="n"/>
    </row>
    <row r="19">
      <c r="A19" s="32" t="n"/>
      <c r="B19" s="6" t="n"/>
      <c r="C19">
        <f>IF(B19="","",IFERROR(VLOOKUP(B19,'Recetas y precios'!$A$5:$B$54,2,FALSE),""))</f>
        <v/>
      </c>
      <c r="D19" s="6" t="n"/>
      <c r="E19" s="6" t="n"/>
      <c r="F19" s="11" t="n"/>
      <c r="G19" s="17">
        <f>E19*F19</f>
        <v/>
      </c>
      <c r="H19" s="17">
        <f>IF(B19="",0,E19*IFERROR(VLOOKUP(B19,'Recetas y precios'!$A$5:$U$54,21,FALSE),0))</f>
        <v/>
      </c>
      <c r="I19" s="27" t="n"/>
      <c r="J19" s="17">
        <f>G19*I19</f>
        <v/>
      </c>
      <c r="K19" s="17">
        <f>G19-H19-J19</f>
        <v/>
      </c>
      <c r="L19" s="29">
        <f>IF(G19&gt;0,K19/G19,"")</f>
        <v/>
      </c>
      <c r="M19" s="6" t="n"/>
    </row>
    <row r="20">
      <c r="A20" s="32" t="n"/>
      <c r="B20" s="6" t="n"/>
      <c r="C20">
        <f>IF(B20="","",IFERROR(VLOOKUP(B20,'Recetas y precios'!$A$5:$B$54,2,FALSE),""))</f>
        <v/>
      </c>
      <c r="D20" s="6" t="n"/>
      <c r="E20" s="6" t="n"/>
      <c r="F20" s="11" t="n"/>
      <c r="G20" s="17">
        <f>E20*F20</f>
        <v/>
      </c>
      <c r="H20" s="17">
        <f>IF(B20="",0,E20*IFERROR(VLOOKUP(B20,'Recetas y precios'!$A$5:$U$54,21,FALSE),0))</f>
        <v/>
      </c>
      <c r="I20" s="27" t="n"/>
      <c r="J20" s="17">
        <f>G20*I20</f>
        <v/>
      </c>
      <c r="K20" s="17">
        <f>G20-H20-J20</f>
        <v/>
      </c>
      <c r="L20" s="29">
        <f>IF(G20&gt;0,K20/G20,"")</f>
        <v/>
      </c>
      <c r="M20" s="6" t="n"/>
    </row>
    <row r="21">
      <c r="A21" s="32" t="n"/>
      <c r="B21" s="6" t="n"/>
      <c r="C21">
        <f>IF(B21="","",IFERROR(VLOOKUP(B21,'Recetas y precios'!$A$5:$B$54,2,FALSE),""))</f>
        <v/>
      </c>
      <c r="D21" s="6" t="n"/>
      <c r="E21" s="6" t="n"/>
      <c r="F21" s="11" t="n"/>
      <c r="G21" s="17">
        <f>E21*F21</f>
        <v/>
      </c>
      <c r="H21" s="17">
        <f>IF(B21="",0,E21*IFERROR(VLOOKUP(B21,'Recetas y precios'!$A$5:$U$54,21,FALSE),0))</f>
        <v/>
      </c>
      <c r="I21" s="27" t="n"/>
      <c r="J21" s="17">
        <f>G21*I21</f>
        <v/>
      </c>
      <c r="K21" s="17">
        <f>G21-H21-J21</f>
        <v/>
      </c>
      <c r="L21" s="29">
        <f>IF(G21&gt;0,K21/G21,"")</f>
        <v/>
      </c>
      <c r="M21" s="6" t="n"/>
    </row>
    <row r="22">
      <c r="A22" s="32" t="n"/>
      <c r="B22" s="6" t="n"/>
      <c r="C22">
        <f>IF(B22="","",IFERROR(VLOOKUP(B22,'Recetas y precios'!$A$5:$B$54,2,FALSE),""))</f>
        <v/>
      </c>
      <c r="D22" s="6" t="n"/>
      <c r="E22" s="6" t="n"/>
      <c r="F22" s="11" t="n"/>
      <c r="G22" s="17">
        <f>E22*F22</f>
        <v/>
      </c>
      <c r="H22" s="17">
        <f>IF(B22="",0,E22*IFERROR(VLOOKUP(B22,'Recetas y precios'!$A$5:$U$54,21,FALSE),0))</f>
        <v/>
      </c>
      <c r="I22" s="27" t="n"/>
      <c r="J22" s="17">
        <f>G22*I22</f>
        <v/>
      </c>
      <c r="K22" s="17">
        <f>G22-H22-J22</f>
        <v/>
      </c>
      <c r="L22" s="29">
        <f>IF(G22&gt;0,K22/G22,"")</f>
        <v/>
      </c>
      <c r="M22" s="6" t="n"/>
    </row>
    <row r="23">
      <c r="A23" s="32" t="n"/>
      <c r="B23" s="6" t="n"/>
      <c r="C23">
        <f>IF(B23="","",IFERROR(VLOOKUP(B23,'Recetas y precios'!$A$5:$B$54,2,FALSE),""))</f>
        <v/>
      </c>
      <c r="D23" s="6" t="n"/>
      <c r="E23" s="6" t="n"/>
      <c r="F23" s="11" t="n"/>
      <c r="G23" s="17">
        <f>E23*F23</f>
        <v/>
      </c>
      <c r="H23" s="17">
        <f>IF(B23="",0,E23*IFERROR(VLOOKUP(B23,'Recetas y precios'!$A$5:$U$54,21,FALSE),0))</f>
        <v/>
      </c>
      <c r="I23" s="27" t="n"/>
      <c r="J23" s="17">
        <f>G23*I23</f>
        <v/>
      </c>
      <c r="K23" s="17">
        <f>G23-H23-J23</f>
        <v/>
      </c>
      <c r="L23" s="29">
        <f>IF(G23&gt;0,K23/G23,"")</f>
        <v/>
      </c>
      <c r="M23" s="6" t="n"/>
    </row>
    <row r="24">
      <c r="A24" s="32" t="n"/>
      <c r="B24" s="6" t="n"/>
      <c r="C24">
        <f>IF(B24="","",IFERROR(VLOOKUP(B24,'Recetas y precios'!$A$5:$B$54,2,FALSE),""))</f>
        <v/>
      </c>
      <c r="D24" s="6" t="n"/>
      <c r="E24" s="6" t="n"/>
      <c r="F24" s="11" t="n"/>
      <c r="G24" s="17">
        <f>E24*F24</f>
        <v/>
      </c>
      <c r="H24" s="17">
        <f>IF(B24="",0,E24*IFERROR(VLOOKUP(B24,'Recetas y precios'!$A$5:$U$54,21,FALSE),0))</f>
        <v/>
      </c>
      <c r="I24" s="27" t="n"/>
      <c r="J24" s="17">
        <f>G24*I24</f>
        <v/>
      </c>
      <c r="K24" s="17">
        <f>G24-H24-J24</f>
        <v/>
      </c>
      <c r="L24" s="29">
        <f>IF(G24&gt;0,K24/G24,"")</f>
        <v/>
      </c>
      <c r="M24" s="6" t="n"/>
    </row>
    <row r="25">
      <c r="A25" s="32" t="n"/>
      <c r="B25" s="6" t="n"/>
      <c r="C25">
        <f>IF(B25="","",IFERROR(VLOOKUP(B25,'Recetas y precios'!$A$5:$B$54,2,FALSE),""))</f>
        <v/>
      </c>
      <c r="D25" s="6" t="n"/>
      <c r="E25" s="6" t="n"/>
      <c r="F25" s="11" t="n"/>
      <c r="G25" s="17">
        <f>E25*F25</f>
        <v/>
      </c>
      <c r="H25" s="17">
        <f>IF(B25="",0,E25*IFERROR(VLOOKUP(B25,'Recetas y precios'!$A$5:$U$54,21,FALSE),0))</f>
        <v/>
      </c>
      <c r="I25" s="27" t="n"/>
      <c r="J25" s="17">
        <f>G25*I25</f>
        <v/>
      </c>
      <c r="K25" s="17">
        <f>G25-H25-J25</f>
        <v/>
      </c>
      <c r="L25" s="29">
        <f>IF(G25&gt;0,K25/G25,"")</f>
        <v/>
      </c>
      <c r="M25" s="6" t="n"/>
    </row>
    <row r="26">
      <c r="A26" s="32" t="n"/>
      <c r="B26" s="6" t="n"/>
      <c r="C26">
        <f>IF(B26="","",IFERROR(VLOOKUP(B26,'Recetas y precios'!$A$5:$B$54,2,FALSE),""))</f>
        <v/>
      </c>
      <c r="D26" s="6" t="n"/>
      <c r="E26" s="6" t="n"/>
      <c r="F26" s="11" t="n"/>
      <c r="G26" s="17">
        <f>E26*F26</f>
        <v/>
      </c>
      <c r="H26" s="17">
        <f>IF(B26="",0,E26*IFERROR(VLOOKUP(B26,'Recetas y precios'!$A$5:$U$54,21,FALSE),0))</f>
        <v/>
      </c>
      <c r="I26" s="27" t="n"/>
      <c r="J26" s="17">
        <f>G26*I26</f>
        <v/>
      </c>
      <c r="K26" s="17">
        <f>G26-H26-J26</f>
        <v/>
      </c>
      <c r="L26" s="29">
        <f>IF(G26&gt;0,K26/G26,"")</f>
        <v/>
      </c>
      <c r="M26" s="6" t="n"/>
    </row>
    <row r="27">
      <c r="A27" s="32" t="n"/>
      <c r="B27" s="6" t="n"/>
      <c r="C27">
        <f>IF(B27="","",IFERROR(VLOOKUP(B27,'Recetas y precios'!$A$5:$B$54,2,FALSE),""))</f>
        <v/>
      </c>
      <c r="D27" s="6" t="n"/>
      <c r="E27" s="6" t="n"/>
      <c r="F27" s="11" t="n"/>
      <c r="G27" s="17">
        <f>E27*F27</f>
        <v/>
      </c>
      <c r="H27" s="17">
        <f>IF(B27="",0,E27*IFERROR(VLOOKUP(B27,'Recetas y precios'!$A$5:$U$54,21,FALSE),0))</f>
        <v/>
      </c>
      <c r="I27" s="27" t="n"/>
      <c r="J27" s="17">
        <f>G27*I27</f>
        <v/>
      </c>
      <c r="K27" s="17">
        <f>G27-H27-J27</f>
        <v/>
      </c>
      <c r="L27" s="29">
        <f>IF(G27&gt;0,K27/G27,"")</f>
        <v/>
      </c>
      <c r="M27" s="6" t="n"/>
    </row>
    <row r="28">
      <c r="A28" s="32" t="n"/>
      <c r="B28" s="6" t="n"/>
      <c r="C28">
        <f>IF(B28="","",IFERROR(VLOOKUP(B28,'Recetas y precios'!$A$5:$B$54,2,FALSE),""))</f>
        <v/>
      </c>
      <c r="D28" s="6" t="n"/>
      <c r="E28" s="6" t="n"/>
      <c r="F28" s="11" t="n"/>
      <c r="G28" s="17">
        <f>E28*F28</f>
        <v/>
      </c>
      <c r="H28" s="17">
        <f>IF(B28="",0,E28*IFERROR(VLOOKUP(B28,'Recetas y precios'!$A$5:$U$54,21,FALSE),0))</f>
        <v/>
      </c>
      <c r="I28" s="27" t="n"/>
      <c r="J28" s="17">
        <f>G28*I28</f>
        <v/>
      </c>
      <c r="K28" s="17">
        <f>G28-H28-J28</f>
        <v/>
      </c>
      <c r="L28" s="29">
        <f>IF(G28&gt;0,K28/G28,"")</f>
        <v/>
      </c>
      <c r="M28" s="6" t="n"/>
    </row>
    <row r="29">
      <c r="A29" s="32" t="n"/>
      <c r="B29" s="6" t="n"/>
      <c r="C29">
        <f>IF(B29="","",IFERROR(VLOOKUP(B29,'Recetas y precios'!$A$5:$B$54,2,FALSE),""))</f>
        <v/>
      </c>
      <c r="D29" s="6" t="n"/>
      <c r="E29" s="6" t="n"/>
      <c r="F29" s="11" t="n"/>
      <c r="G29" s="17">
        <f>E29*F29</f>
        <v/>
      </c>
      <c r="H29" s="17">
        <f>IF(B29="",0,E29*IFERROR(VLOOKUP(B29,'Recetas y precios'!$A$5:$U$54,21,FALSE),0))</f>
        <v/>
      </c>
      <c r="I29" s="27" t="n"/>
      <c r="J29" s="17">
        <f>G29*I29</f>
        <v/>
      </c>
      <c r="K29" s="17">
        <f>G29-H29-J29</f>
        <v/>
      </c>
      <c r="L29" s="29">
        <f>IF(G29&gt;0,K29/G29,"")</f>
        <v/>
      </c>
      <c r="M29" s="6" t="n"/>
    </row>
    <row r="30">
      <c r="A30" s="32" t="n"/>
      <c r="B30" s="6" t="n"/>
      <c r="C30">
        <f>IF(B30="","",IFERROR(VLOOKUP(B30,'Recetas y precios'!$A$5:$B$54,2,FALSE),""))</f>
        <v/>
      </c>
      <c r="D30" s="6" t="n"/>
      <c r="E30" s="6" t="n"/>
      <c r="F30" s="11" t="n"/>
      <c r="G30" s="17">
        <f>E30*F30</f>
        <v/>
      </c>
      <c r="H30" s="17">
        <f>IF(B30="",0,E30*IFERROR(VLOOKUP(B30,'Recetas y precios'!$A$5:$U$54,21,FALSE),0))</f>
        <v/>
      </c>
      <c r="I30" s="27" t="n"/>
      <c r="J30" s="17">
        <f>G30*I30</f>
        <v/>
      </c>
      <c r="K30" s="17">
        <f>G30-H30-J30</f>
        <v/>
      </c>
      <c r="L30" s="29">
        <f>IF(G30&gt;0,K30/G30,"")</f>
        <v/>
      </c>
      <c r="M30" s="6" t="n"/>
    </row>
    <row r="31">
      <c r="A31" s="32" t="n"/>
      <c r="B31" s="6" t="n"/>
      <c r="C31">
        <f>IF(B31="","",IFERROR(VLOOKUP(B31,'Recetas y precios'!$A$5:$B$54,2,FALSE),""))</f>
        <v/>
      </c>
      <c r="D31" s="6" t="n"/>
      <c r="E31" s="6" t="n"/>
      <c r="F31" s="11" t="n"/>
      <c r="G31" s="17">
        <f>E31*F31</f>
        <v/>
      </c>
      <c r="H31" s="17">
        <f>IF(B31="",0,E31*IFERROR(VLOOKUP(B31,'Recetas y precios'!$A$5:$U$54,21,FALSE),0))</f>
        <v/>
      </c>
      <c r="I31" s="27" t="n"/>
      <c r="J31" s="17">
        <f>G31*I31</f>
        <v/>
      </c>
      <c r="K31" s="17">
        <f>G31-H31-J31</f>
        <v/>
      </c>
      <c r="L31" s="29">
        <f>IF(G31&gt;0,K31/G31,"")</f>
        <v/>
      </c>
      <c r="M31" s="6" t="n"/>
    </row>
    <row r="32">
      <c r="A32" s="32" t="n"/>
      <c r="B32" s="6" t="n"/>
      <c r="C32">
        <f>IF(B32="","",IFERROR(VLOOKUP(B32,'Recetas y precios'!$A$5:$B$54,2,FALSE),""))</f>
        <v/>
      </c>
      <c r="D32" s="6" t="n"/>
      <c r="E32" s="6" t="n"/>
      <c r="F32" s="11" t="n"/>
      <c r="G32" s="17">
        <f>E32*F32</f>
        <v/>
      </c>
      <c r="H32" s="17">
        <f>IF(B32="",0,E32*IFERROR(VLOOKUP(B32,'Recetas y precios'!$A$5:$U$54,21,FALSE),0))</f>
        <v/>
      </c>
      <c r="I32" s="27" t="n"/>
      <c r="J32" s="17">
        <f>G32*I32</f>
        <v/>
      </c>
      <c r="K32" s="17">
        <f>G32-H32-J32</f>
        <v/>
      </c>
      <c r="L32" s="29">
        <f>IF(G32&gt;0,K32/G32,"")</f>
        <v/>
      </c>
      <c r="M32" s="6" t="n"/>
    </row>
    <row r="33">
      <c r="A33" s="32" t="n"/>
      <c r="B33" s="6" t="n"/>
      <c r="C33">
        <f>IF(B33="","",IFERROR(VLOOKUP(B33,'Recetas y precios'!$A$5:$B$54,2,FALSE),""))</f>
        <v/>
      </c>
      <c r="D33" s="6" t="n"/>
      <c r="E33" s="6" t="n"/>
      <c r="F33" s="11" t="n"/>
      <c r="G33" s="17">
        <f>E33*F33</f>
        <v/>
      </c>
      <c r="H33" s="17">
        <f>IF(B33="",0,E33*IFERROR(VLOOKUP(B33,'Recetas y precios'!$A$5:$U$54,21,FALSE),0))</f>
        <v/>
      </c>
      <c r="I33" s="27" t="n"/>
      <c r="J33" s="17">
        <f>G33*I33</f>
        <v/>
      </c>
      <c r="K33" s="17">
        <f>G33-H33-J33</f>
        <v/>
      </c>
      <c r="L33" s="29">
        <f>IF(G33&gt;0,K33/G33,"")</f>
        <v/>
      </c>
      <c r="M33" s="6" t="n"/>
    </row>
    <row r="34">
      <c r="A34" s="32" t="n"/>
      <c r="B34" s="6" t="n"/>
      <c r="C34">
        <f>IF(B34="","",IFERROR(VLOOKUP(B34,'Recetas y precios'!$A$5:$B$54,2,FALSE),""))</f>
        <v/>
      </c>
      <c r="D34" s="6" t="n"/>
      <c r="E34" s="6" t="n"/>
      <c r="F34" s="11" t="n"/>
      <c r="G34" s="17">
        <f>E34*F34</f>
        <v/>
      </c>
      <c r="H34" s="17">
        <f>IF(B34="",0,E34*IFERROR(VLOOKUP(B34,'Recetas y precios'!$A$5:$U$54,21,FALSE),0))</f>
        <v/>
      </c>
      <c r="I34" s="27" t="n"/>
      <c r="J34" s="17">
        <f>G34*I34</f>
        <v/>
      </c>
      <c r="K34" s="17">
        <f>G34-H34-J34</f>
        <v/>
      </c>
      <c r="L34" s="29">
        <f>IF(G34&gt;0,K34/G34,"")</f>
        <v/>
      </c>
      <c r="M34" s="6" t="n"/>
    </row>
    <row r="35">
      <c r="A35" s="32" t="n"/>
      <c r="B35" s="6" t="n"/>
      <c r="C35">
        <f>IF(B35="","",IFERROR(VLOOKUP(B35,'Recetas y precios'!$A$5:$B$54,2,FALSE),""))</f>
        <v/>
      </c>
      <c r="D35" s="6" t="n"/>
      <c r="E35" s="6" t="n"/>
      <c r="F35" s="11" t="n"/>
      <c r="G35" s="17">
        <f>E35*F35</f>
        <v/>
      </c>
      <c r="H35" s="17">
        <f>IF(B35="",0,E35*IFERROR(VLOOKUP(B35,'Recetas y precios'!$A$5:$U$54,21,FALSE),0))</f>
        <v/>
      </c>
      <c r="I35" s="27" t="n"/>
      <c r="J35" s="17">
        <f>G35*I35</f>
        <v/>
      </c>
      <c r="K35" s="17">
        <f>G35-H35-J35</f>
        <v/>
      </c>
      <c r="L35" s="29">
        <f>IF(G35&gt;0,K35/G35,"")</f>
        <v/>
      </c>
      <c r="M35" s="6" t="n"/>
    </row>
    <row r="36">
      <c r="A36" s="32" t="n"/>
      <c r="B36" s="6" t="n"/>
      <c r="C36">
        <f>IF(B36="","",IFERROR(VLOOKUP(B36,'Recetas y precios'!$A$5:$B$54,2,FALSE),""))</f>
        <v/>
      </c>
      <c r="D36" s="6" t="n"/>
      <c r="E36" s="6" t="n"/>
      <c r="F36" s="11" t="n"/>
      <c r="G36" s="17">
        <f>E36*F36</f>
        <v/>
      </c>
      <c r="H36" s="17">
        <f>IF(B36="",0,E36*IFERROR(VLOOKUP(B36,'Recetas y precios'!$A$5:$U$54,21,FALSE),0))</f>
        <v/>
      </c>
      <c r="I36" s="27" t="n"/>
      <c r="J36" s="17">
        <f>G36*I36</f>
        <v/>
      </c>
      <c r="K36" s="17">
        <f>G36-H36-J36</f>
        <v/>
      </c>
      <c r="L36" s="29">
        <f>IF(G36&gt;0,K36/G36,"")</f>
        <v/>
      </c>
      <c r="M36" s="6" t="n"/>
    </row>
    <row r="37">
      <c r="A37" s="32" t="n"/>
      <c r="B37" s="6" t="n"/>
      <c r="C37">
        <f>IF(B37="","",IFERROR(VLOOKUP(B37,'Recetas y precios'!$A$5:$B$54,2,FALSE),""))</f>
        <v/>
      </c>
      <c r="D37" s="6" t="n"/>
      <c r="E37" s="6" t="n"/>
      <c r="F37" s="11" t="n"/>
      <c r="G37" s="17">
        <f>E37*F37</f>
        <v/>
      </c>
      <c r="H37" s="17">
        <f>IF(B37="",0,E37*IFERROR(VLOOKUP(B37,'Recetas y precios'!$A$5:$U$54,21,FALSE),0))</f>
        <v/>
      </c>
      <c r="I37" s="27" t="n"/>
      <c r="J37" s="17">
        <f>G37*I37</f>
        <v/>
      </c>
      <c r="K37" s="17">
        <f>G37-H37-J37</f>
        <v/>
      </c>
      <c r="L37" s="29">
        <f>IF(G37&gt;0,K37/G37,"")</f>
        <v/>
      </c>
      <c r="M37" s="6" t="n"/>
    </row>
    <row r="38">
      <c r="A38" s="32" t="n"/>
      <c r="B38" s="6" t="n"/>
      <c r="C38">
        <f>IF(B38="","",IFERROR(VLOOKUP(B38,'Recetas y precios'!$A$5:$B$54,2,FALSE),""))</f>
        <v/>
      </c>
      <c r="D38" s="6" t="n"/>
      <c r="E38" s="6" t="n"/>
      <c r="F38" s="11" t="n"/>
      <c r="G38" s="17">
        <f>E38*F38</f>
        <v/>
      </c>
      <c r="H38" s="17">
        <f>IF(B38="",0,E38*IFERROR(VLOOKUP(B38,'Recetas y precios'!$A$5:$U$54,21,FALSE),0))</f>
        <v/>
      </c>
      <c r="I38" s="27" t="n"/>
      <c r="J38" s="17">
        <f>G38*I38</f>
        <v/>
      </c>
      <c r="K38" s="17">
        <f>G38-H38-J38</f>
        <v/>
      </c>
      <c r="L38" s="29">
        <f>IF(G38&gt;0,K38/G38,"")</f>
        <v/>
      </c>
      <c r="M38" s="6" t="n"/>
    </row>
    <row r="39">
      <c r="A39" s="32" t="n"/>
      <c r="B39" s="6" t="n"/>
      <c r="C39">
        <f>IF(B39="","",IFERROR(VLOOKUP(B39,'Recetas y precios'!$A$5:$B$54,2,FALSE),""))</f>
        <v/>
      </c>
      <c r="D39" s="6" t="n"/>
      <c r="E39" s="6" t="n"/>
      <c r="F39" s="11" t="n"/>
      <c r="G39" s="17">
        <f>E39*F39</f>
        <v/>
      </c>
      <c r="H39" s="17">
        <f>IF(B39="",0,E39*IFERROR(VLOOKUP(B39,'Recetas y precios'!$A$5:$U$54,21,FALSE),0))</f>
        <v/>
      </c>
      <c r="I39" s="27" t="n"/>
      <c r="J39" s="17">
        <f>G39*I39</f>
        <v/>
      </c>
      <c r="K39" s="17">
        <f>G39-H39-J39</f>
        <v/>
      </c>
      <c r="L39" s="29">
        <f>IF(G39&gt;0,K39/G39,"")</f>
        <v/>
      </c>
      <c r="M39" s="6" t="n"/>
    </row>
    <row r="40">
      <c r="A40" s="32" t="n"/>
      <c r="B40" s="6" t="n"/>
      <c r="C40">
        <f>IF(B40="","",IFERROR(VLOOKUP(B40,'Recetas y precios'!$A$5:$B$54,2,FALSE),""))</f>
        <v/>
      </c>
      <c r="D40" s="6" t="n"/>
      <c r="E40" s="6" t="n"/>
      <c r="F40" s="11" t="n"/>
      <c r="G40" s="17">
        <f>E40*F40</f>
        <v/>
      </c>
      <c r="H40" s="17">
        <f>IF(B40="",0,E40*IFERROR(VLOOKUP(B40,'Recetas y precios'!$A$5:$U$54,21,FALSE),0))</f>
        <v/>
      </c>
      <c r="I40" s="27" t="n"/>
      <c r="J40" s="17">
        <f>G40*I40</f>
        <v/>
      </c>
      <c r="K40" s="17">
        <f>G40-H40-J40</f>
        <v/>
      </c>
      <c r="L40" s="29">
        <f>IF(G40&gt;0,K40/G40,"")</f>
        <v/>
      </c>
      <c r="M40" s="6" t="n"/>
    </row>
    <row r="41">
      <c r="A41" s="32" t="n"/>
      <c r="B41" s="6" t="n"/>
      <c r="C41">
        <f>IF(B41="","",IFERROR(VLOOKUP(B41,'Recetas y precios'!$A$5:$B$54,2,FALSE),""))</f>
        <v/>
      </c>
      <c r="D41" s="6" t="n"/>
      <c r="E41" s="6" t="n"/>
      <c r="F41" s="11" t="n"/>
      <c r="G41" s="17">
        <f>E41*F41</f>
        <v/>
      </c>
      <c r="H41" s="17">
        <f>IF(B41="",0,E41*IFERROR(VLOOKUP(B41,'Recetas y precios'!$A$5:$U$54,21,FALSE),0))</f>
        <v/>
      </c>
      <c r="I41" s="27" t="n"/>
      <c r="J41" s="17">
        <f>G41*I41</f>
        <v/>
      </c>
      <c r="K41" s="17">
        <f>G41-H41-J41</f>
        <v/>
      </c>
      <c r="L41" s="29">
        <f>IF(G41&gt;0,K41/G41,"")</f>
        <v/>
      </c>
      <c r="M41" s="6" t="n"/>
    </row>
    <row r="42">
      <c r="A42" s="32" t="n"/>
      <c r="B42" s="6" t="n"/>
      <c r="C42">
        <f>IF(B42="","",IFERROR(VLOOKUP(B42,'Recetas y precios'!$A$5:$B$54,2,FALSE),""))</f>
        <v/>
      </c>
      <c r="D42" s="6" t="n"/>
      <c r="E42" s="6" t="n"/>
      <c r="F42" s="11" t="n"/>
      <c r="G42" s="17">
        <f>E42*F42</f>
        <v/>
      </c>
      <c r="H42" s="17">
        <f>IF(B42="",0,E42*IFERROR(VLOOKUP(B42,'Recetas y precios'!$A$5:$U$54,21,FALSE),0))</f>
        <v/>
      </c>
      <c r="I42" s="27" t="n"/>
      <c r="J42" s="17">
        <f>G42*I42</f>
        <v/>
      </c>
      <c r="K42" s="17">
        <f>G42-H42-J42</f>
        <v/>
      </c>
      <c r="L42" s="29">
        <f>IF(G42&gt;0,K42/G42,"")</f>
        <v/>
      </c>
      <c r="M42" s="6" t="n"/>
    </row>
    <row r="43">
      <c r="A43" s="32" t="n"/>
      <c r="B43" s="6" t="n"/>
      <c r="C43">
        <f>IF(B43="","",IFERROR(VLOOKUP(B43,'Recetas y precios'!$A$5:$B$54,2,FALSE),""))</f>
        <v/>
      </c>
      <c r="D43" s="6" t="n"/>
      <c r="E43" s="6" t="n"/>
      <c r="F43" s="11" t="n"/>
      <c r="G43" s="17">
        <f>E43*F43</f>
        <v/>
      </c>
      <c r="H43" s="17">
        <f>IF(B43="",0,E43*IFERROR(VLOOKUP(B43,'Recetas y precios'!$A$5:$U$54,21,FALSE),0))</f>
        <v/>
      </c>
      <c r="I43" s="27" t="n"/>
      <c r="J43" s="17">
        <f>G43*I43</f>
        <v/>
      </c>
      <c r="K43" s="17">
        <f>G43-H43-J43</f>
        <v/>
      </c>
      <c r="L43" s="29">
        <f>IF(G43&gt;0,K43/G43,"")</f>
        <v/>
      </c>
      <c r="M43" s="6" t="n"/>
    </row>
    <row r="44">
      <c r="A44" s="32" t="n"/>
      <c r="B44" s="6" t="n"/>
      <c r="C44">
        <f>IF(B44="","",IFERROR(VLOOKUP(B44,'Recetas y precios'!$A$5:$B$54,2,FALSE),""))</f>
        <v/>
      </c>
      <c r="D44" s="6" t="n"/>
      <c r="E44" s="6" t="n"/>
      <c r="F44" s="11" t="n"/>
      <c r="G44" s="17">
        <f>E44*F44</f>
        <v/>
      </c>
      <c r="H44" s="17">
        <f>IF(B44="",0,E44*IFERROR(VLOOKUP(B44,'Recetas y precios'!$A$5:$U$54,21,FALSE),0))</f>
        <v/>
      </c>
      <c r="I44" s="27" t="n"/>
      <c r="J44" s="17">
        <f>G44*I44</f>
        <v/>
      </c>
      <c r="K44" s="17">
        <f>G44-H44-J44</f>
        <v/>
      </c>
      <c r="L44" s="29">
        <f>IF(G44&gt;0,K44/G44,"")</f>
        <v/>
      </c>
      <c r="M44" s="6" t="n"/>
    </row>
    <row r="45">
      <c r="A45" s="32" t="n"/>
      <c r="B45" s="6" t="n"/>
      <c r="C45">
        <f>IF(B45="","",IFERROR(VLOOKUP(B45,'Recetas y precios'!$A$5:$B$54,2,FALSE),""))</f>
        <v/>
      </c>
      <c r="D45" s="6" t="n"/>
      <c r="E45" s="6" t="n"/>
      <c r="F45" s="11" t="n"/>
      <c r="G45" s="17">
        <f>E45*F45</f>
        <v/>
      </c>
      <c r="H45" s="17">
        <f>IF(B45="",0,E45*IFERROR(VLOOKUP(B45,'Recetas y precios'!$A$5:$U$54,21,FALSE),0))</f>
        <v/>
      </c>
      <c r="I45" s="27" t="n"/>
      <c r="J45" s="17">
        <f>G45*I45</f>
        <v/>
      </c>
      <c r="K45" s="17">
        <f>G45-H45-J45</f>
        <v/>
      </c>
      <c r="L45" s="29">
        <f>IF(G45&gt;0,K45/G45,"")</f>
        <v/>
      </c>
      <c r="M45" s="6" t="n"/>
    </row>
    <row r="46">
      <c r="A46" s="32" t="n"/>
      <c r="B46" s="6" t="n"/>
      <c r="C46">
        <f>IF(B46="","",IFERROR(VLOOKUP(B46,'Recetas y precios'!$A$5:$B$54,2,FALSE),""))</f>
        <v/>
      </c>
      <c r="D46" s="6" t="n"/>
      <c r="E46" s="6" t="n"/>
      <c r="F46" s="11" t="n"/>
      <c r="G46" s="17">
        <f>E46*F46</f>
        <v/>
      </c>
      <c r="H46" s="17">
        <f>IF(B46="",0,E46*IFERROR(VLOOKUP(B46,'Recetas y precios'!$A$5:$U$54,21,FALSE),0))</f>
        <v/>
      </c>
      <c r="I46" s="27" t="n"/>
      <c r="J46" s="17">
        <f>G46*I46</f>
        <v/>
      </c>
      <c r="K46" s="17">
        <f>G46-H46-J46</f>
        <v/>
      </c>
      <c r="L46" s="29">
        <f>IF(G46&gt;0,K46/G46,"")</f>
        <v/>
      </c>
      <c r="M46" s="6" t="n"/>
    </row>
    <row r="47">
      <c r="A47" s="32" t="n"/>
      <c r="B47" s="6" t="n"/>
      <c r="C47">
        <f>IF(B47="","",IFERROR(VLOOKUP(B47,'Recetas y precios'!$A$5:$B$54,2,FALSE),""))</f>
        <v/>
      </c>
      <c r="D47" s="6" t="n"/>
      <c r="E47" s="6" t="n"/>
      <c r="F47" s="11" t="n"/>
      <c r="G47" s="17">
        <f>E47*F47</f>
        <v/>
      </c>
      <c r="H47" s="17">
        <f>IF(B47="",0,E47*IFERROR(VLOOKUP(B47,'Recetas y precios'!$A$5:$U$54,21,FALSE),0))</f>
        <v/>
      </c>
      <c r="I47" s="27" t="n"/>
      <c r="J47" s="17">
        <f>G47*I47</f>
        <v/>
      </c>
      <c r="K47" s="17">
        <f>G47-H47-J47</f>
        <v/>
      </c>
      <c r="L47" s="29">
        <f>IF(G47&gt;0,K47/G47,"")</f>
        <v/>
      </c>
      <c r="M47" s="6" t="n"/>
    </row>
    <row r="48">
      <c r="A48" s="32" t="n"/>
      <c r="B48" s="6" t="n"/>
      <c r="C48">
        <f>IF(B48="","",IFERROR(VLOOKUP(B48,'Recetas y precios'!$A$5:$B$54,2,FALSE),""))</f>
        <v/>
      </c>
      <c r="D48" s="6" t="n"/>
      <c r="E48" s="6" t="n"/>
      <c r="F48" s="11" t="n"/>
      <c r="G48" s="17">
        <f>E48*F48</f>
        <v/>
      </c>
      <c r="H48" s="17">
        <f>IF(B48="",0,E48*IFERROR(VLOOKUP(B48,'Recetas y precios'!$A$5:$U$54,21,FALSE),0))</f>
        <v/>
      </c>
      <c r="I48" s="27" t="n"/>
      <c r="J48" s="17">
        <f>G48*I48</f>
        <v/>
      </c>
      <c r="K48" s="17">
        <f>G48-H48-J48</f>
        <v/>
      </c>
      <c r="L48" s="29">
        <f>IF(G48&gt;0,K48/G48,"")</f>
        <v/>
      </c>
      <c r="M48" s="6" t="n"/>
    </row>
    <row r="49">
      <c r="A49" s="32" t="n"/>
      <c r="B49" s="6" t="n"/>
      <c r="C49">
        <f>IF(B49="","",IFERROR(VLOOKUP(B49,'Recetas y precios'!$A$5:$B$54,2,FALSE),""))</f>
        <v/>
      </c>
      <c r="D49" s="6" t="n"/>
      <c r="E49" s="6" t="n"/>
      <c r="F49" s="11" t="n"/>
      <c r="G49" s="17">
        <f>E49*F49</f>
        <v/>
      </c>
      <c r="H49" s="17">
        <f>IF(B49="",0,E49*IFERROR(VLOOKUP(B49,'Recetas y precios'!$A$5:$U$54,21,FALSE),0))</f>
        <v/>
      </c>
      <c r="I49" s="27" t="n"/>
      <c r="J49" s="17">
        <f>G49*I49</f>
        <v/>
      </c>
      <c r="K49" s="17">
        <f>G49-H49-J49</f>
        <v/>
      </c>
      <c r="L49" s="29">
        <f>IF(G49&gt;0,K49/G49,"")</f>
        <v/>
      </c>
      <c r="M49" s="6" t="n"/>
    </row>
    <row r="50">
      <c r="A50" s="32" t="n"/>
      <c r="B50" s="6" t="n"/>
      <c r="C50">
        <f>IF(B50="","",IFERROR(VLOOKUP(B50,'Recetas y precios'!$A$5:$B$54,2,FALSE),""))</f>
        <v/>
      </c>
      <c r="D50" s="6" t="n"/>
      <c r="E50" s="6" t="n"/>
      <c r="F50" s="11" t="n"/>
      <c r="G50" s="17">
        <f>E50*F50</f>
        <v/>
      </c>
      <c r="H50" s="17">
        <f>IF(B50="",0,E50*IFERROR(VLOOKUP(B50,'Recetas y precios'!$A$5:$U$54,21,FALSE),0))</f>
        <v/>
      </c>
      <c r="I50" s="27" t="n"/>
      <c r="J50" s="17">
        <f>G50*I50</f>
        <v/>
      </c>
      <c r="K50" s="17">
        <f>G50-H50-J50</f>
        <v/>
      </c>
      <c r="L50" s="29">
        <f>IF(G50&gt;0,K50/G50,"")</f>
        <v/>
      </c>
      <c r="M50" s="6" t="n"/>
    </row>
    <row r="51">
      <c r="A51" s="32" t="n"/>
      <c r="B51" s="6" t="n"/>
      <c r="C51">
        <f>IF(B51="","",IFERROR(VLOOKUP(B51,'Recetas y precios'!$A$5:$B$54,2,FALSE),""))</f>
        <v/>
      </c>
      <c r="D51" s="6" t="n"/>
      <c r="E51" s="6" t="n"/>
      <c r="F51" s="11" t="n"/>
      <c r="G51" s="17">
        <f>E51*F51</f>
        <v/>
      </c>
      <c r="H51" s="17">
        <f>IF(B51="",0,E51*IFERROR(VLOOKUP(B51,'Recetas y precios'!$A$5:$U$54,21,FALSE),0))</f>
        <v/>
      </c>
      <c r="I51" s="27" t="n"/>
      <c r="J51" s="17">
        <f>G51*I51</f>
        <v/>
      </c>
      <c r="K51" s="17">
        <f>G51-H51-J51</f>
        <v/>
      </c>
      <c r="L51" s="29">
        <f>IF(G51&gt;0,K51/G51,"")</f>
        <v/>
      </c>
      <c r="M51" s="6" t="n"/>
    </row>
    <row r="52">
      <c r="A52" s="32" t="n"/>
      <c r="B52" s="6" t="n"/>
      <c r="C52">
        <f>IF(B52="","",IFERROR(VLOOKUP(B52,'Recetas y precios'!$A$5:$B$54,2,FALSE),""))</f>
        <v/>
      </c>
      <c r="D52" s="6" t="n"/>
      <c r="E52" s="6" t="n"/>
      <c r="F52" s="11" t="n"/>
      <c r="G52" s="17">
        <f>E52*F52</f>
        <v/>
      </c>
      <c r="H52" s="17">
        <f>IF(B52="",0,E52*IFERROR(VLOOKUP(B52,'Recetas y precios'!$A$5:$U$54,21,FALSE),0))</f>
        <v/>
      </c>
      <c r="I52" s="27" t="n"/>
      <c r="J52" s="17">
        <f>G52*I52</f>
        <v/>
      </c>
      <c r="K52" s="17">
        <f>G52-H52-J52</f>
        <v/>
      </c>
      <c r="L52" s="29">
        <f>IF(G52&gt;0,K52/G52,"")</f>
        <v/>
      </c>
      <c r="M52" s="6" t="n"/>
    </row>
    <row r="53">
      <c r="A53" s="32" t="n"/>
      <c r="B53" s="6" t="n"/>
      <c r="C53">
        <f>IF(B53="","",IFERROR(VLOOKUP(B53,'Recetas y precios'!$A$5:$B$54,2,FALSE),""))</f>
        <v/>
      </c>
      <c r="D53" s="6" t="n"/>
      <c r="E53" s="6" t="n"/>
      <c r="F53" s="11" t="n"/>
      <c r="G53" s="17">
        <f>E53*F53</f>
        <v/>
      </c>
      <c r="H53" s="17">
        <f>IF(B53="",0,E53*IFERROR(VLOOKUP(B53,'Recetas y precios'!$A$5:$U$54,21,FALSE),0))</f>
        <v/>
      </c>
      <c r="I53" s="27" t="n"/>
      <c r="J53" s="17">
        <f>G53*I53</f>
        <v/>
      </c>
      <c r="K53" s="17">
        <f>G53-H53-J53</f>
        <v/>
      </c>
      <c r="L53" s="29">
        <f>IF(G53&gt;0,K53/G53,"")</f>
        <v/>
      </c>
      <c r="M53" s="6" t="n"/>
    </row>
    <row r="54">
      <c r="A54" s="32" t="n"/>
      <c r="B54" s="6" t="n"/>
      <c r="C54">
        <f>IF(B54="","",IFERROR(VLOOKUP(B54,'Recetas y precios'!$A$5:$B$54,2,FALSE),""))</f>
        <v/>
      </c>
      <c r="D54" s="6" t="n"/>
      <c r="E54" s="6" t="n"/>
      <c r="F54" s="11" t="n"/>
      <c r="G54" s="17">
        <f>E54*F54</f>
        <v/>
      </c>
      <c r="H54" s="17">
        <f>IF(B54="",0,E54*IFERROR(VLOOKUP(B54,'Recetas y precios'!$A$5:$U$54,21,FALSE),0))</f>
        <v/>
      </c>
      <c r="I54" s="27" t="n"/>
      <c r="J54" s="17">
        <f>G54*I54</f>
        <v/>
      </c>
      <c r="K54" s="17">
        <f>G54-H54-J54</f>
        <v/>
      </c>
      <c r="L54" s="29">
        <f>IF(G54&gt;0,K54/G54,"")</f>
        <v/>
      </c>
      <c r="M54" s="6" t="n"/>
    </row>
    <row r="55">
      <c r="A55" s="32" t="n"/>
      <c r="B55" s="6" t="n"/>
      <c r="C55">
        <f>IF(B55="","",IFERROR(VLOOKUP(B55,'Recetas y precios'!$A$5:$B$54,2,FALSE),""))</f>
        <v/>
      </c>
      <c r="D55" s="6" t="n"/>
      <c r="E55" s="6" t="n"/>
      <c r="F55" s="11" t="n"/>
      <c r="G55" s="17">
        <f>E55*F55</f>
        <v/>
      </c>
      <c r="H55" s="17">
        <f>IF(B55="",0,E55*IFERROR(VLOOKUP(B55,'Recetas y precios'!$A$5:$U$54,21,FALSE),0))</f>
        <v/>
      </c>
      <c r="I55" s="27" t="n"/>
      <c r="J55" s="17">
        <f>G55*I55</f>
        <v/>
      </c>
      <c r="K55" s="17">
        <f>G55-H55-J55</f>
        <v/>
      </c>
      <c r="L55" s="29">
        <f>IF(G55&gt;0,K55/G55,"")</f>
        <v/>
      </c>
      <c r="M55" s="6" t="n"/>
    </row>
    <row r="56">
      <c r="A56" s="32" t="n"/>
      <c r="B56" s="6" t="n"/>
      <c r="C56">
        <f>IF(B56="","",IFERROR(VLOOKUP(B56,'Recetas y precios'!$A$5:$B$54,2,FALSE),""))</f>
        <v/>
      </c>
      <c r="D56" s="6" t="n"/>
      <c r="E56" s="6" t="n"/>
      <c r="F56" s="11" t="n"/>
      <c r="G56" s="17">
        <f>E56*F56</f>
        <v/>
      </c>
      <c r="H56" s="17">
        <f>IF(B56="",0,E56*IFERROR(VLOOKUP(B56,'Recetas y precios'!$A$5:$U$54,21,FALSE),0))</f>
        <v/>
      </c>
      <c r="I56" s="27" t="n"/>
      <c r="J56" s="17">
        <f>G56*I56</f>
        <v/>
      </c>
      <c r="K56" s="17">
        <f>G56-H56-J56</f>
        <v/>
      </c>
      <c r="L56" s="29">
        <f>IF(G56&gt;0,K56/G56,"")</f>
        <v/>
      </c>
      <c r="M56" s="6" t="n"/>
    </row>
    <row r="57">
      <c r="A57" s="32" t="n"/>
      <c r="B57" s="6" t="n"/>
      <c r="C57">
        <f>IF(B57="","",IFERROR(VLOOKUP(B57,'Recetas y precios'!$A$5:$B$54,2,FALSE),""))</f>
        <v/>
      </c>
      <c r="D57" s="6" t="n"/>
      <c r="E57" s="6" t="n"/>
      <c r="F57" s="11" t="n"/>
      <c r="G57" s="17">
        <f>E57*F57</f>
        <v/>
      </c>
      <c r="H57" s="17">
        <f>IF(B57="",0,E57*IFERROR(VLOOKUP(B57,'Recetas y precios'!$A$5:$U$54,21,FALSE),0))</f>
        <v/>
      </c>
      <c r="I57" s="27" t="n"/>
      <c r="J57" s="17">
        <f>G57*I57</f>
        <v/>
      </c>
      <c r="K57" s="17">
        <f>G57-H57-J57</f>
        <v/>
      </c>
      <c r="L57" s="29">
        <f>IF(G57&gt;0,K57/G57,"")</f>
        <v/>
      </c>
      <c r="M57" s="6" t="n"/>
    </row>
    <row r="58">
      <c r="A58" s="32" t="n"/>
      <c r="B58" s="6" t="n"/>
      <c r="C58">
        <f>IF(B58="","",IFERROR(VLOOKUP(B58,'Recetas y precios'!$A$5:$B$54,2,FALSE),""))</f>
        <v/>
      </c>
      <c r="D58" s="6" t="n"/>
      <c r="E58" s="6" t="n"/>
      <c r="F58" s="11" t="n"/>
      <c r="G58" s="17">
        <f>E58*F58</f>
        <v/>
      </c>
      <c r="H58" s="17">
        <f>IF(B58="",0,E58*IFERROR(VLOOKUP(B58,'Recetas y precios'!$A$5:$U$54,21,FALSE),0))</f>
        <v/>
      </c>
      <c r="I58" s="27" t="n"/>
      <c r="J58" s="17">
        <f>G58*I58</f>
        <v/>
      </c>
      <c r="K58" s="17">
        <f>G58-H58-J58</f>
        <v/>
      </c>
      <c r="L58" s="29">
        <f>IF(G58&gt;0,K58/G58,"")</f>
        <v/>
      </c>
      <c r="M58" s="6" t="n"/>
    </row>
    <row r="59">
      <c r="A59" s="32" t="n"/>
      <c r="B59" s="6" t="n"/>
      <c r="C59">
        <f>IF(B59="","",IFERROR(VLOOKUP(B59,'Recetas y precios'!$A$5:$B$54,2,FALSE),""))</f>
        <v/>
      </c>
      <c r="D59" s="6" t="n"/>
      <c r="E59" s="6" t="n"/>
      <c r="F59" s="11" t="n"/>
      <c r="G59" s="17">
        <f>E59*F59</f>
        <v/>
      </c>
      <c r="H59" s="17">
        <f>IF(B59="",0,E59*IFERROR(VLOOKUP(B59,'Recetas y precios'!$A$5:$U$54,21,FALSE),0))</f>
        <v/>
      </c>
      <c r="I59" s="27" t="n"/>
      <c r="J59" s="17">
        <f>G59*I59</f>
        <v/>
      </c>
      <c r="K59" s="17">
        <f>G59-H59-J59</f>
        <v/>
      </c>
      <c r="L59" s="29">
        <f>IF(G59&gt;0,K59/G59,"")</f>
        <v/>
      </c>
      <c r="M59" s="6" t="n"/>
    </row>
    <row r="60">
      <c r="A60" s="32" t="n"/>
      <c r="B60" s="6" t="n"/>
      <c r="C60">
        <f>IF(B60="","",IFERROR(VLOOKUP(B60,'Recetas y precios'!$A$5:$B$54,2,FALSE),""))</f>
        <v/>
      </c>
      <c r="D60" s="6" t="n"/>
      <c r="E60" s="6" t="n"/>
      <c r="F60" s="11" t="n"/>
      <c r="G60" s="17">
        <f>E60*F60</f>
        <v/>
      </c>
      <c r="H60" s="17">
        <f>IF(B60="",0,E60*IFERROR(VLOOKUP(B60,'Recetas y precios'!$A$5:$U$54,21,FALSE),0))</f>
        <v/>
      </c>
      <c r="I60" s="27" t="n"/>
      <c r="J60" s="17">
        <f>G60*I60</f>
        <v/>
      </c>
      <c r="K60" s="17">
        <f>G60-H60-J60</f>
        <v/>
      </c>
      <c r="L60" s="29">
        <f>IF(G60&gt;0,K60/G60,"")</f>
        <v/>
      </c>
      <c r="M60" s="6" t="n"/>
    </row>
    <row r="61">
      <c r="A61" s="32" t="n"/>
      <c r="B61" s="6" t="n"/>
      <c r="C61">
        <f>IF(B61="","",IFERROR(VLOOKUP(B61,'Recetas y precios'!$A$5:$B$54,2,FALSE),""))</f>
        <v/>
      </c>
      <c r="D61" s="6" t="n"/>
      <c r="E61" s="6" t="n"/>
      <c r="F61" s="11" t="n"/>
      <c r="G61" s="17">
        <f>E61*F61</f>
        <v/>
      </c>
      <c r="H61" s="17">
        <f>IF(B61="",0,E61*IFERROR(VLOOKUP(B61,'Recetas y precios'!$A$5:$U$54,21,FALSE),0))</f>
        <v/>
      </c>
      <c r="I61" s="27" t="n"/>
      <c r="J61" s="17">
        <f>G61*I61</f>
        <v/>
      </c>
      <c r="K61" s="17">
        <f>G61-H61-J61</f>
        <v/>
      </c>
      <c r="L61" s="29">
        <f>IF(G61&gt;0,K61/G61,"")</f>
        <v/>
      </c>
      <c r="M61" s="6" t="n"/>
    </row>
    <row r="62">
      <c r="A62" s="32" t="n"/>
      <c r="B62" s="6" t="n"/>
      <c r="C62">
        <f>IF(B62="","",IFERROR(VLOOKUP(B62,'Recetas y precios'!$A$5:$B$54,2,FALSE),""))</f>
        <v/>
      </c>
      <c r="D62" s="6" t="n"/>
      <c r="E62" s="6" t="n"/>
      <c r="F62" s="11" t="n"/>
      <c r="G62" s="17">
        <f>E62*F62</f>
        <v/>
      </c>
      <c r="H62" s="17">
        <f>IF(B62="",0,E62*IFERROR(VLOOKUP(B62,'Recetas y precios'!$A$5:$U$54,21,FALSE),0))</f>
        <v/>
      </c>
      <c r="I62" s="27" t="n"/>
      <c r="J62" s="17">
        <f>G62*I62</f>
        <v/>
      </c>
      <c r="K62" s="17">
        <f>G62-H62-J62</f>
        <v/>
      </c>
      <c r="L62" s="29">
        <f>IF(G62&gt;0,K62/G62,"")</f>
        <v/>
      </c>
      <c r="M62" s="6" t="n"/>
    </row>
    <row r="63">
      <c r="A63" s="32" t="n"/>
      <c r="B63" s="6" t="n"/>
      <c r="C63">
        <f>IF(B63="","",IFERROR(VLOOKUP(B63,'Recetas y precios'!$A$5:$B$54,2,FALSE),""))</f>
        <v/>
      </c>
      <c r="D63" s="6" t="n"/>
      <c r="E63" s="6" t="n"/>
      <c r="F63" s="11" t="n"/>
      <c r="G63" s="17">
        <f>E63*F63</f>
        <v/>
      </c>
      <c r="H63" s="17">
        <f>IF(B63="",0,E63*IFERROR(VLOOKUP(B63,'Recetas y precios'!$A$5:$U$54,21,FALSE),0))</f>
        <v/>
      </c>
      <c r="I63" s="27" t="n"/>
      <c r="J63" s="17">
        <f>G63*I63</f>
        <v/>
      </c>
      <c r="K63" s="17">
        <f>G63-H63-J63</f>
        <v/>
      </c>
      <c r="L63" s="29">
        <f>IF(G63&gt;0,K63/G63,"")</f>
        <v/>
      </c>
      <c r="M63" s="6" t="n"/>
    </row>
    <row r="64">
      <c r="A64" s="32" t="n"/>
      <c r="B64" s="6" t="n"/>
      <c r="C64">
        <f>IF(B64="","",IFERROR(VLOOKUP(B64,'Recetas y precios'!$A$5:$B$54,2,FALSE),""))</f>
        <v/>
      </c>
      <c r="D64" s="6" t="n"/>
      <c r="E64" s="6" t="n"/>
      <c r="F64" s="11" t="n"/>
      <c r="G64" s="17">
        <f>E64*F64</f>
        <v/>
      </c>
      <c r="H64" s="17">
        <f>IF(B64="",0,E64*IFERROR(VLOOKUP(B64,'Recetas y precios'!$A$5:$U$54,21,FALSE),0))</f>
        <v/>
      </c>
      <c r="I64" s="27" t="n"/>
      <c r="J64" s="17">
        <f>G64*I64</f>
        <v/>
      </c>
      <c r="K64" s="17">
        <f>G64-H64-J64</f>
        <v/>
      </c>
      <c r="L64" s="29">
        <f>IF(G64&gt;0,K64/G64,"")</f>
        <v/>
      </c>
      <c r="M64" s="6" t="n"/>
    </row>
    <row r="65">
      <c r="A65" s="32" t="n"/>
      <c r="B65" s="6" t="n"/>
      <c r="C65">
        <f>IF(B65="","",IFERROR(VLOOKUP(B65,'Recetas y precios'!$A$5:$B$54,2,FALSE),""))</f>
        <v/>
      </c>
      <c r="D65" s="6" t="n"/>
      <c r="E65" s="6" t="n"/>
      <c r="F65" s="11" t="n"/>
      <c r="G65" s="17">
        <f>E65*F65</f>
        <v/>
      </c>
      <c r="H65" s="17">
        <f>IF(B65="",0,E65*IFERROR(VLOOKUP(B65,'Recetas y precios'!$A$5:$U$54,21,FALSE),0))</f>
        <v/>
      </c>
      <c r="I65" s="27" t="n"/>
      <c r="J65" s="17">
        <f>G65*I65</f>
        <v/>
      </c>
      <c r="K65" s="17">
        <f>G65-H65-J65</f>
        <v/>
      </c>
      <c r="L65" s="29">
        <f>IF(G65&gt;0,K65/G65,"")</f>
        <v/>
      </c>
      <c r="M65" s="6" t="n"/>
    </row>
    <row r="66">
      <c r="A66" s="32" t="n"/>
      <c r="B66" s="6" t="n"/>
      <c r="C66">
        <f>IF(B66="","",IFERROR(VLOOKUP(B66,'Recetas y precios'!$A$5:$B$54,2,FALSE),""))</f>
        <v/>
      </c>
      <c r="D66" s="6" t="n"/>
      <c r="E66" s="6" t="n"/>
      <c r="F66" s="11" t="n"/>
      <c r="G66" s="17">
        <f>E66*F66</f>
        <v/>
      </c>
      <c r="H66" s="17">
        <f>IF(B66="",0,E66*IFERROR(VLOOKUP(B66,'Recetas y precios'!$A$5:$U$54,21,FALSE),0))</f>
        <v/>
      </c>
      <c r="I66" s="27" t="n"/>
      <c r="J66" s="17">
        <f>G66*I66</f>
        <v/>
      </c>
      <c r="K66" s="17">
        <f>G66-H66-J66</f>
        <v/>
      </c>
      <c r="L66" s="29">
        <f>IF(G66&gt;0,K66/G66,"")</f>
        <v/>
      </c>
      <c r="M66" s="6" t="n"/>
    </row>
    <row r="67">
      <c r="A67" s="32" t="n"/>
      <c r="B67" s="6" t="n"/>
      <c r="C67">
        <f>IF(B67="","",IFERROR(VLOOKUP(B67,'Recetas y precios'!$A$5:$B$54,2,FALSE),""))</f>
        <v/>
      </c>
      <c r="D67" s="6" t="n"/>
      <c r="E67" s="6" t="n"/>
      <c r="F67" s="11" t="n"/>
      <c r="G67" s="17">
        <f>E67*F67</f>
        <v/>
      </c>
      <c r="H67" s="17">
        <f>IF(B67="",0,E67*IFERROR(VLOOKUP(B67,'Recetas y precios'!$A$5:$U$54,21,FALSE),0))</f>
        <v/>
      </c>
      <c r="I67" s="27" t="n"/>
      <c r="J67" s="17">
        <f>G67*I67</f>
        <v/>
      </c>
      <c r="K67" s="17">
        <f>G67-H67-J67</f>
        <v/>
      </c>
      <c r="L67" s="29">
        <f>IF(G67&gt;0,K67/G67,"")</f>
        <v/>
      </c>
      <c r="M67" s="6" t="n"/>
    </row>
    <row r="68">
      <c r="A68" s="32" t="n"/>
      <c r="B68" s="6" t="n"/>
      <c r="C68">
        <f>IF(B68="","",IFERROR(VLOOKUP(B68,'Recetas y precios'!$A$5:$B$54,2,FALSE),""))</f>
        <v/>
      </c>
      <c r="D68" s="6" t="n"/>
      <c r="E68" s="6" t="n"/>
      <c r="F68" s="11" t="n"/>
      <c r="G68" s="17">
        <f>E68*F68</f>
        <v/>
      </c>
      <c r="H68" s="17">
        <f>IF(B68="",0,E68*IFERROR(VLOOKUP(B68,'Recetas y precios'!$A$5:$U$54,21,FALSE),0))</f>
        <v/>
      </c>
      <c r="I68" s="27" t="n"/>
      <c r="J68" s="17">
        <f>G68*I68</f>
        <v/>
      </c>
      <c r="K68" s="17">
        <f>G68-H68-J68</f>
        <v/>
      </c>
      <c r="L68" s="29">
        <f>IF(G68&gt;0,K68/G68,"")</f>
        <v/>
      </c>
      <c r="M68" s="6" t="n"/>
    </row>
    <row r="69">
      <c r="A69" s="32" t="n"/>
      <c r="B69" s="6" t="n"/>
      <c r="C69">
        <f>IF(B69="","",IFERROR(VLOOKUP(B69,'Recetas y precios'!$A$5:$B$54,2,FALSE),""))</f>
        <v/>
      </c>
      <c r="D69" s="6" t="n"/>
      <c r="E69" s="6" t="n"/>
      <c r="F69" s="11" t="n"/>
      <c r="G69" s="17">
        <f>E69*F69</f>
        <v/>
      </c>
      <c r="H69" s="17">
        <f>IF(B69="",0,E69*IFERROR(VLOOKUP(B69,'Recetas y precios'!$A$5:$U$54,21,FALSE),0))</f>
        <v/>
      </c>
      <c r="I69" s="27" t="n"/>
      <c r="J69" s="17">
        <f>G69*I69</f>
        <v/>
      </c>
      <c r="K69" s="17">
        <f>G69-H69-J69</f>
        <v/>
      </c>
      <c r="L69" s="29">
        <f>IF(G69&gt;0,K69/G69,"")</f>
        <v/>
      </c>
      <c r="M69" s="6" t="n"/>
    </row>
    <row r="70">
      <c r="A70" s="32" t="n"/>
      <c r="B70" s="6" t="n"/>
      <c r="C70">
        <f>IF(B70="","",IFERROR(VLOOKUP(B70,'Recetas y precios'!$A$5:$B$54,2,FALSE),""))</f>
        <v/>
      </c>
      <c r="D70" s="6" t="n"/>
      <c r="E70" s="6" t="n"/>
      <c r="F70" s="11" t="n"/>
      <c r="G70" s="17">
        <f>E70*F70</f>
        <v/>
      </c>
      <c r="H70" s="17">
        <f>IF(B70="",0,E70*IFERROR(VLOOKUP(B70,'Recetas y precios'!$A$5:$U$54,21,FALSE),0))</f>
        <v/>
      </c>
      <c r="I70" s="27" t="n"/>
      <c r="J70" s="17">
        <f>G70*I70</f>
        <v/>
      </c>
      <c r="K70" s="17">
        <f>G70-H70-J70</f>
        <v/>
      </c>
      <c r="L70" s="29">
        <f>IF(G70&gt;0,K70/G70,"")</f>
        <v/>
      </c>
      <c r="M70" s="6" t="n"/>
    </row>
    <row r="71">
      <c r="A71" s="32" t="n"/>
      <c r="B71" s="6" t="n"/>
      <c r="C71">
        <f>IF(B71="","",IFERROR(VLOOKUP(B71,'Recetas y precios'!$A$5:$B$54,2,FALSE),""))</f>
        <v/>
      </c>
      <c r="D71" s="6" t="n"/>
      <c r="E71" s="6" t="n"/>
      <c r="F71" s="11" t="n"/>
      <c r="G71" s="17">
        <f>E71*F71</f>
        <v/>
      </c>
      <c r="H71" s="17">
        <f>IF(B71="",0,E71*IFERROR(VLOOKUP(B71,'Recetas y precios'!$A$5:$U$54,21,FALSE),0))</f>
        <v/>
      </c>
      <c r="I71" s="27" t="n"/>
      <c r="J71" s="17">
        <f>G71*I71</f>
        <v/>
      </c>
      <c r="K71" s="17">
        <f>G71-H71-J71</f>
        <v/>
      </c>
      <c r="L71" s="29">
        <f>IF(G71&gt;0,K71/G71,"")</f>
        <v/>
      </c>
      <c r="M71" s="6" t="n"/>
    </row>
    <row r="72">
      <c r="A72" s="32" t="n"/>
      <c r="B72" s="6" t="n"/>
      <c r="C72">
        <f>IF(B72="","",IFERROR(VLOOKUP(B72,'Recetas y precios'!$A$5:$B$54,2,FALSE),""))</f>
        <v/>
      </c>
      <c r="D72" s="6" t="n"/>
      <c r="E72" s="6" t="n"/>
      <c r="F72" s="11" t="n"/>
      <c r="G72" s="17">
        <f>E72*F72</f>
        <v/>
      </c>
      <c r="H72" s="17">
        <f>IF(B72="",0,E72*IFERROR(VLOOKUP(B72,'Recetas y precios'!$A$5:$U$54,21,FALSE),0))</f>
        <v/>
      </c>
      <c r="I72" s="27" t="n"/>
      <c r="J72" s="17">
        <f>G72*I72</f>
        <v/>
      </c>
      <c r="K72" s="17">
        <f>G72-H72-J72</f>
        <v/>
      </c>
      <c r="L72" s="29">
        <f>IF(G72&gt;0,K72/G72,"")</f>
        <v/>
      </c>
      <c r="M72" s="6" t="n"/>
    </row>
    <row r="73">
      <c r="A73" s="32" t="n"/>
      <c r="B73" s="6" t="n"/>
      <c r="C73">
        <f>IF(B73="","",IFERROR(VLOOKUP(B73,'Recetas y precios'!$A$5:$B$54,2,FALSE),""))</f>
        <v/>
      </c>
      <c r="D73" s="6" t="n"/>
      <c r="E73" s="6" t="n"/>
      <c r="F73" s="11" t="n"/>
      <c r="G73" s="17">
        <f>E73*F73</f>
        <v/>
      </c>
      <c r="H73" s="17">
        <f>IF(B73="",0,E73*IFERROR(VLOOKUP(B73,'Recetas y precios'!$A$5:$U$54,21,FALSE),0))</f>
        <v/>
      </c>
      <c r="I73" s="27" t="n"/>
      <c r="J73" s="17">
        <f>G73*I73</f>
        <v/>
      </c>
      <c r="K73" s="17">
        <f>G73-H73-J73</f>
        <v/>
      </c>
      <c r="L73" s="29">
        <f>IF(G73&gt;0,K73/G73,"")</f>
        <v/>
      </c>
      <c r="M73" s="6" t="n"/>
    </row>
    <row r="74">
      <c r="A74" s="32" t="n"/>
      <c r="B74" s="6" t="n"/>
      <c r="C74">
        <f>IF(B74="","",IFERROR(VLOOKUP(B74,'Recetas y precios'!$A$5:$B$54,2,FALSE),""))</f>
        <v/>
      </c>
      <c r="D74" s="6" t="n"/>
      <c r="E74" s="6" t="n"/>
      <c r="F74" s="11" t="n"/>
      <c r="G74" s="17">
        <f>E74*F74</f>
        <v/>
      </c>
      <c r="H74" s="17">
        <f>IF(B74="",0,E74*IFERROR(VLOOKUP(B74,'Recetas y precios'!$A$5:$U$54,21,FALSE),0))</f>
        <v/>
      </c>
      <c r="I74" s="27" t="n"/>
      <c r="J74" s="17">
        <f>G74*I74</f>
        <v/>
      </c>
      <c r="K74" s="17">
        <f>G74-H74-J74</f>
        <v/>
      </c>
      <c r="L74" s="29">
        <f>IF(G74&gt;0,K74/G74,"")</f>
        <v/>
      </c>
      <c r="M74" s="6" t="n"/>
    </row>
    <row r="75">
      <c r="A75" s="32" t="n"/>
      <c r="B75" s="6" t="n"/>
      <c r="C75">
        <f>IF(B75="","",IFERROR(VLOOKUP(B75,'Recetas y precios'!$A$5:$B$54,2,FALSE),""))</f>
        <v/>
      </c>
      <c r="D75" s="6" t="n"/>
      <c r="E75" s="6" t="n"/>
      <c r="F75" s="11" t="n"/>
      <c r="G75" s="17">
        <f>E75*F75</f>
        <v/>
      </c>
      <c r="H75" s="17">
        <f>IF(B75="",0,E75*IFERROR(VLOOKUP(B75,'Recetas y precios'!$A$5:$U$54,21,FALSE),0))</f>
        <v/>
      </c>
      <c r="I75" s="27" t="n"/>
      <c r="J75" s="17">
        <f>G75*I75</f>
        <v/>
      </c>
      <c r="K75" s="17">
        <f>G75-H75-J75</f>
        <v/>
      </c>
      <c r="L75" s="29">
        <f>IF(G75&gt;0,K75/G75,"")</f>
        <v/>
      </c>
      <c r="M75" s="6" t="n"/>
    </row>
    <row r="76">
      <c r="A76" s="32" t="n"/>
      <c r="B76" s="6" t="n"/>
      <c r="C76">
        <f>IF(B76="","",IFERROR(VLOOKUP(B76,'Recetas y precios'!$A$5:$B$54,2,FALSE),""))</f>
        <v/>
      </c>
      <c r="D76" s="6" t="n"/>
      <c r="E76" s="6" t="n"/>
      <c r="F76" s="11" t="n"/>
      <c r="G76" s="17">
        <f>E76*F76</f>
        <v/>
      </c>
      <c r="H76" s="17">
        <f>IF(B76="",0,E76*IFERROR(VLOOKUP(B76,'Recetas y precios'!$A$5:$U$54,21,FALSE),0))</f>
        <v/>
      </c>
      <c r="I76" s="27" t="n"/>
      <c r="J76" s="17">
        <f>G76*I76</f>
        <v/>
      </c>
      <c r="K76" s="17">
        <f>G76-H76-J76</f>
        <v/>
      </c>
      <c r="L76" s="29">
        <f>IF(G76&gt;0,K76/G76,"")</f>
        <v/>
      </c>
      <c r="M76" s="6" t="n"/>
    </row>
    <row r="77">
      <c r="A77" s="32" t="n"/>
      <c r="B77" s="6" t="n"/>
      <c r="C77">
        <f>IF(B77="","",IFERROR(VLOOKUP(B77,'Recetas y precios'!$A$5:$B$54,2,FALSE),""))</f>
        <v/>
      </c>
      <c r="D77" s="6" t="n"/>
      <c r="E77" s="6" t="n"/>
      <c r="F77" s="11" t="n"/>
      <c r="G77" s="17">
        <f>E77*F77</f>
        <v/>
      </c>
      <c r="H77" s="17">
        <f>IF(B77="",0,E77*IFERROR(VLOOKUP(B77,'Recetas y precios'!$A$5:$U$54,21,FALSE),0))</f>
        <v/>
      </c>
      <c r="I77" s="27" t="n"/>
      <c r="J77" s="17">
        <f>G77*I77</f>
        <v/>
      </c>
      <c r="K77" s="17">
        <f>G77-H77-J77</f>
        <v/>
      </c>
      <c r="L77" s="29">
        <f>IF(G77&gt;0,K77/G77,"")</f>
        <v/>
      </c>
      <c r="M77" s="6" t="n"/>
    </row>
    <row r="78">
      <c r="A78" s="32" t="n"/>
      <c r="B78" s="6" t="n"/>
      <c r="C78">
        <f>IF(B78="","",IFERROR(VLOOKUP(B78,'Recetas y precios'!$A$5:$B$54,2,FALSE),""))</f>
        <v/>
      </c>
      <c r="D78" s="6" t="n"/>
      <c r="E78" s="6" t="n"/>
      <c r="F78" s="11" t="n"/>
      <c r="G78" s="17">
        <f>E78*F78</f>
        <v/>
      </c>
      <c r="H78" s="17">
        <f>IF(B78="",0,E78*IFERROR(VLOOKUP(B78,'Recetas y precios'!$A$5:$U$54,21,FALSE),0))</f>
        <v/>
      </c>
      <c r="I78" s="27" t="n"/>
      <c r="J78" s="17">
        <f>G78*I78</f>
        <v/>
      </c>
      <c r="K78" s="17">
        <f>G78-H78-J78</f>
        <v/>
      </c>
      <c r="L78" s="29">
        <f>IF(G78&gt;0,K78/G78,"")</f>
        <v/>
      </c>
      <c r="M78" s="6" t="n"/>
    </row>
    <row r="79">
      <c r="A79" s="32" t="n"/>
      <c r="B79" s="6" t="n"/>
      <c r="C79">
        <f>IF(B79="","",IFERROR(VLOOKUP(B79,'Recetas y precios'!$A$5:$B$54,2,FALSE),""))</f>
        <v/>
      </c>
      <c r="D79" s="6" t="n"/>
      <c r="E79" s="6" t="n"/>
      <c r="F79" s="11" t="n"/>
      <c r="G79" s="17">
        <f>E79*F79</f>
        <v/>
      </c>
      <c r="H79" s="17">
        <f>IF(B79="",0,E79*IFERROR(VLOOKUP(B79,'Recetas y precios'!$A$5:$U$54,21,FALSE),0))</f>
        <v/>
      </c>
      <c r="I79" s="27" t="n"/>
      <c r="J79" s="17">
        <f>G79*I79</f>
        <v/>
      </c>
      <c r="K79" s="17">
        <f>G79-H79-J79</f>
        <v/>
      </c>
      <c r="L79" s="29">
        <f>IF(G79&gt;0,K79/G79,"")</f>
        <v/>
      </c>
      <c r="M79" s="6" t="n"/>
    </row>
    <row r="80">
      <c r="A80" s="32" t="n"/>
      <c r="B80" s="6" t="n"/>
      <c r="C80">
        <f>IF(B80="","",IFERROR(VLOOKUP(B80,'Recetas y precios'!$A$5:$B$54,2,FALSE),""))</f>
        <v/>
      </c>
      <c r="D80" s="6" t="n"/>
      <c r="E80" s="6" t="n"/>
      <c r="F80" s="11" t="n"/>
      <c r="G80" s="17">
        <f>E80*F80</f>
        <v/>
      </c>
      <c r="H80" s="17">
        <f>IF(B80="",0,E80*IFERROR(VLOOKUP(B80,'Recetas y precios'!$A$5:$U$54,21,FALSE),0))</f>
        <v/>
      </c>
      <c r="I80" s="27" t="n"/>
      <c r="J80" s="17">
        <f>G80*I80</f>
        <v/>
      </c>
      <c r="K80" s="17">
        <f>G80-H80-J80</f>
        <v/>
      </c>
      <c r="L80" s="29">
        <f>IF(G80&gt;0,K80/G80,"")</f>
        <v/>
      </c>
      <c r="M80" s="6" t="n"/>
    </row>
    <row r="81">
      <c r="A81" s="32" t="n"/>
      <c r="B81" s="6" t="n"/>
      <c r="C81">
        <f>IF(B81="","",IFERROR(VLOOKUP(B81,'Recetas y precios'!$A$5:$B$54,2,FALSE),""))</f>
        <v/>
      </c>
      <c r="D81" s="6" t="n"/>
      <c r="E81" s="6" t="n"/>
      <c r="F81" s="11" t="n"/>
      <c r="G81" s="17">
        <f>E81*F81</f>
        <v/>
      </c>
      <c r="H81" s="17">
        <f>IF(B81="",0,E81*IFERROR(VLOOKUP(B81,'Recetas y precios'!$A$5:$U$54,21,FALSE),0))</f>
        <v/>
      </c>
      <c r="I81" s="27" t="n"/>
      <c r="J81" s="17">
        <f>G81*I81</f>
        <v/>
      </c>
      <c r="K81" s="17">
        <f>G81-H81-J81</f>
        <v/>
      </c>
      <c r="L81" s="29">
        <f>IF(G81&gt;0,K81/G81,"")</f>
        <v/>
      </c>
      <c r="M81" s="6" t="n"/>
    </row>
    <row r="82">
      <c r="A82" s="32" t="n"/>
      <c r="B82" s="6" t="n"/>
      <c r="C82">
        <f>IF(B82="","",IFERROR(VLOOKUP(B82,'Recetas y precios'!$A$5:$B$54,2,FALSE),""))</f>
        <v/>
      </c>
      <c r="D82" s="6" t="n"/>
      <c r="E82" s="6" t="n"/>
      <c r="F82" s="11" t="n"/>
      <c r="G82" s="17">
        <f>E82*F82</f>
        <v/>
      </c>
      <c r="H82" s="17">
        <f>IF(B82="",0,E82*IFERROR(VLOOKUP(B82,'Recetas y precios'!$A$5:$U$54,21,FALSE),0))</f>
        <v/>
      </c>
      <c r="I82" s="27" t="n"/>
      <c r="J82" s="17">
        <f>G82*I82</f>
        <v/>
      </c>
      <c r="K82" s="17">
        <f>G82-H82-J82</f>
        <v/>
      </c>
      <c r="L82" s="29">
        <f>IF(G82&gt;0,K82/G82,"")</f>
        <v/>
      </c>
      <c r="M82" s="6" t="n"/>
    </row>
    <row r="83">
      <c r="A83" s="32" t="n"/>
      <c r="B83" s="6" t="n"/>
      <c r="C83">
        <f>IF(B83="","",IFERROR(VLOOKUP(B83,'Recetas y precios'!$A$5:$B$54,2,FALSE),""))</f>
        <v/>
      </c>
      <c r="D83" s="6" t="n"/>
      <c r="E83" s="6" t="n"/>
      <c r="F83" s="11" t="n"/>
      <c r="G83" s="17">
        <f>E83*F83</f>
        <v/>
      </c>
      <c r="H83" s="17">
        <f>IF(B83="",0,E83*IFERROR(VLOOKUP(B83,'Recetas y precios'!$A$5:$U$54,21,FALSE),0))</f>
        <v/>
      </c>
      <c r="I83" s="27" t="n"/>
      <c r="J83" s="17">
        <f>G83*I83</f>
        <v/>
      </c>
      <c r="K83" s="17">
        <f>G83-H83-J83</f>
        <v/>
      </c>
      <c r="L83" s="29">
        <f>IF(G83&gt;0,K83/G83,"")</f>
        <v/>
      </c>
      <c r="M83" s="6" t="n"/>
    </row>
    <row r="84">
      <c r="A84" s="32" t="n"/>
      <c r="B84" s="6" t="n"/>
      <c r="C84">
        <f>IF(B84="","",IFERROR(VLOOKUP(B84,'Recetas y precios'!$A$5:$B$54,2,FALSE),""))</f>
        <v/>
      </c>
      <c r="D84" s="6" t="n"/>
      <c r="E84" s="6" t="n"/>
      <c r="F84" s="11" t="n"/>
      <c r="G84" s="17">
        <f>E84*F84</f>
        <v/>
      </c>
      <c r="H84" s="17">
        <f>IF(B84="",0,E84*IFERROR(VLOOKUP(B84,'Recetas y precios'!$A$5:$U$54,21,FALSE),0))</f>
        <v/>
      </c>
      <c r="I84" s="27" t="n"/>
      <c r="J84" s="17">
        <f>G84*I84</f>
        <v/>
      </c>
      <c r="K84" s="17">
        <f>G84-H84-J84</f>
        <v/>
      </c>
      <c r="L84" s="29">
        <f>IF(G84&gt;0,K84/G84,"")</f>
        <v/>
      </c>
      <c r="M84" s="6" t="n"/>
    </row>
    <row r="85">
      <c r="A85" s="32" t="n"/>
      <c r="B85" s="6" t="n"/>
      <c r="C85">
        <f>IF(B85="","",IFERROR(VLOOKUP(B85,'Recetas y precios'!$A$5:$B$54,2,FALSE),""))</f>
        <v/>
      </c>
      <c r="D85" s="6" t="n"/>
      <c r="E85" s="6" t="n"/>
      <c r="F85" s="11" t="n"/>
      <c r="G85" s="17">
        <f>E85*F85</f>
        <v/>
      </c>
      <c r="H85" s="17">
        <f>IF(B85="",0,E85*IFERROR(VLOOKUP(B85,'Recetas y precios'!$A$5:$U$54,21,FALSE),0))</f>
        <v/>
      </c>
      <c r="I85" s="27" t="n"/>
      <c r="J85" s="17">
        <f>G85*I85</f>
        <v/>
      </c>
      <c r="K85" s="17">
        <f>G85-H85-J85</f>
        <v/>
      </c>
      <c r="L85" s="29">
        <f>IF(G85&gt;0,K85/G85,"")</f>
        <v/>
      </c>
      <c r="M85" s="6" t="n"/>
    </row>
    <row r="86">
      <c r="A86" s="32" t="n"/>
      <c r="B86" s="6" t="n"/>
      <c r="C86">
        <f>IF(B86="","",IFERROR(VLOOKUP(B86,'Recetas y precios'!$A$5:$B$54,2,FALSE),""))</f>
        <v/>
      </c>
      <c r="D86" s="6" t="n"/>
      <c r="E86" s="6" t="n"/>
      <c r="F86" s="11" t="n"/>
      <c r="G86" s="17">
        <f>E86*F86</f>
        <v/>
      </c>
      <c r="H86" s="17">
        <f>IF(B86="",0,E86*IFERROR(VLOOKUP(B86,'Recetas y precios'!$A$5:$U$54,21,FALSE),0))</f>
        <v/>
      </c>
      <c r="I86" s="27" t="n"/>
      <c r="J86" s="17">
        <f>G86*I86</f>
        <v/>
      </c>
      <c r="K86" s="17">
        <f>G86-H86-J86</f>
        <v/>
      </c>
      <c r="L86" s="29">
        <f>IF(G86&gt;0,K86/G86,"")</f>
        <v/>
      </c>
      <c r="M86" s="6" t="n"/>
    </row>
    <row r="87">
      <c r="A87" s="32" t="n"/>
      <c r="B87" s="6" t="n"/>
      <c r="C87">
        <f>IF(B87="","",IFERROR(VLOOKUP(B87,'Recetas y precios'!$A$5:$B$54,2,FALSE),""))</f>
        <v/>
      </c>
      <c r="D87" s="6" t="n"/>
      <c r="E87" s="6" t="n"/>
      <c r="F87" s="11" t="n"/>
      <c r="G87" s="17">
        <f>E87*F87</f>
        <v/>
      </c>
      <c r="H87" s="17">
        <f>IF(B87="",0,E87*IFERROR(VLOOKUP(B87,'Recetas y precios'!$A$5:$U$54,21,FALSE),0))</f>
        <v/>
      </c>
      <c r="I87" s="27" t="n"/>
      <c r="J87" s="17">
        <f>G87*I87</f>
        <v/>
      </c>
      <c r="K87" s="17">
        <f>G87-H87-J87</f>
        <v/>
      </c>
      <c r="L87" s="29">
        <f>IF(G87&gt;0,K87/G87,"")</f>
        <v/>
      </c>
      <c r="M87" s="6" t="n"/>
    </row>
    <row r="88">
      <c r="A88" s="32" t="n"/>
      <c r="B88" s="6" t="n"/>
      <c r="C88">
        <f>IF(B88="","",IFERROR(VLOOKUP(B88,'Recetas y precios'!$A$5:$B$54,2,FALSE),""))</f>
        <v/>
      </c>
      <c r="D88" s="6" t="n"/>
      <c r="E88" s="6" t="n"/>
      <c r="F88" s="11" t="n"/>
      <c r="G88" s="17">
        <f>E88*F88</f>
        <v/>
      </c>
      <c r="H88" s="17">
        <f>IF(B88="",0,E88*IFERROR(VLOOKUP(B88,'Recetas y precios'!$A$5:$U$54,21,FALSE),0))</f>
        <v/>
      </c>
      <c r="I88" s="27" t="n"/>
      <c r="J88" s="17">
        <f>G88*I88</f>
        <v/>
      </c>
      <c r="K88" s="17">
        <f>G88-H88-J88</f>
        <v/>
      </c>
      <c r="L88" s="29">
        <f>IF(G88&gt;0,K88/G88,"")</f>
        <v/>
      </c>
      <c r="M88" s="6" t="n"/>
    </row>
    <row r="89">
      <c r="A89" s="32" t="n"/>
      <c r="B89" s="6" t="n"/>
      <c r="C89">
        <f>IF(B89="","",IFERROR(VLOOKUP(B89,'Recetas y precios'!$A$5:$B$54,2,FALSE),""))</f>
        <v/>
      </c>
      <c r="D89" s="6" t="n"/>
      <c r="E89" s="6" t="n"/>
      <c r="F89" s="11" t="n"/>
      <c r="G89" s="17">
        <f>E89*F89</f>
        <v/>
      </c>
      <c r="H89" s="17">
        <f>IF(B89="",0,E89*IFERROR(VLOOKUP(B89,'Recetas y precios'!$A$5:$U$54,21,FALSE),0))</f>
        <v/>
      </c>
      <c r="I89" s="27" t="n"/>
      <c r="J89" s="17">
        <f>G89*I89</f>
        <v/>
      </c>
      <c r="K89" s="17">
        <f>G89-H89-J89</f>
        <v/>
      </c>
      <c r="L89" s="29">
        <f>IF(G89&gt;0,K89/G89,"")</f>
        <v/>
      </c>
      <c r="M89" s="6" t="n"/>
    </row>
    <row r="90">
      <c r="A90" s="32" t="n"/>
      <c r="B90" s="6" t="n"/>
      <c r="C90">
        <f>IF(B90="","",IFERROR(VLOOKUP(B90,'Recetas y precios'!$A$5:$B$54,2,FALSE),""))</f>
        <v/>
      </c>
      <c r="D90" s="6" t="n"/>
      <c r="E90" s="6" t="n"/>
      <c r="F90" s="11" t="n"/>
      <c r="G90" s="17">
        <f>E90*F90</f>
        <v/>
      </c>
      <c r="H90" s="17">
        <f>IF(B90="",0,E90*IFERROR(VLOOKUP(B90,'Recetas y precios'!$A$5:$U$54,21,FALSE),0))</f>
        <v/>
      </c>
      <c r="I90" s="27" t="n"/>
      <c r="J90" s="17">
        <f>G90*I90</f>
        <v/>
      </c>
      <c r="K90" s="17">
        <f>G90-H90-J90</f>
        <v/>
      </c>
      <c r="L90" s="29">
        <f>IF(G90&gt;0,K90/G90,"")</f>
        <v/>
      </c>
      <c r="M90" s="6" t="n"/>
    </row>
    <row r="91">
      <c r="A91" s="32" t="n"/>
      <c r="B91" s="6" t="n"/>
      <c r="C91">
        <f>IF(B91="","",IFERROR(VLOOKUP(B91,'Recetas y precios'!$A$5:$B$54,2,FALSE),""))</f>
        <v/>
      </c>
      <c r="D91" s="6" t="n"/>
      <c r="E91" s="6" t="n"/>
      <c r="F91" s="11" t="n"/>
      <c r="G91" s="17">
        <f>E91*F91</f>
        <v/>
      </c>
      <c r="H91" s="17">
        <f>IF(B91="",0,E91*IFERROR(VLOOKUP(B91,'Recetas y precios'!$A$5:$U$54,21,FALSE),0))</f>
        <v/>
      </c>
      <c r="I91" s="27" t="n"/>
      <c r="J91" s="17">
        <f>G91*I91</f>
        <v/>
      </c>
      <c r="K91" s="17">
        <f>G91-H91-J91</f>
        <v/>
      </c>
      <c r="L91" s="29">
        <f>IF(G91&gt;0,K91/G91,"")</f>
        <v/>
      </c>
      <c r="M91" s="6" t="n"/>
    </row>
    <row r="92">
      <c r="A92" s="32" t="n"/>
      <c r="B92" s="6" t="n"/>
      <c r="C92">
        <f>IF(B92="","",IFERROR(VLOOKUP(B92,'Recetas y precios'!$A$5:$B$54,2,FALSE),""))</f>
        <v/>
      </c>
      <c r="D92" s="6" t="n"/>
      <c r="E92" s="6" t="n"/>
      <c r="F92" s="11" t="n"/>
      <c r="G92" s="17">
        <f>E92*F92</f>
        <v/>
      </c>
      <c r="H92" s="17">
        <f>IF(B92="",0,E92*IFERROR(VLOOKUP(B92,'Recetas y precios'!$A$5:$U$54,21,FALSE),0))</f>
        <v/>
      </c>
      <c r="I92" s="27" t="n"/>
      <c r="J92" s="17">
        <f>G92*I92</f>
        <v/>
      </c>
      <c r="K92" s="17">
        <f>G92-H92-J92</f>
        <v/>
      </c>
      <c r="L92" s="29">
        <f>IF(G92&gt;0,K92/G92,"")</f>
        <v/>
      </c>
      <c r="M92" s="6" t="n"/>
    </row>
    <row r="93">
      <c r="A93" s="32" t="n"/>
      <c r="B93" s="6" t="n"/>
      <c r="C93">
        <f>IF(B93="","",IFERROR(VLOOKUP(B93,'Recetas y precios'!$A$5:$B$54,2,FALSE),""))</f>
        <v/>
      </c>
      <c r="D93" s="6" t="n"/>
      <c r="E93" s="6" t="n"/>
      <c r="F93" s="11" t="n"/>
      <c r="G93" s="17">
        <f>E93*F93</f>
        <v/>
      </c>
      <c r="H93" s="17">
        <f>IF(B93="",0,E93*IFERROR(VLOOKUP(B93,'Recetas y precios'!$A$5:$U$54,21,FALSE),0))</f>
        <v/>
      </c>
      <c r="I93" s="27" t="n"/>
      <c r="J93" s="17">
        <f>G93*I93</f>
        <v/>
      </c>
      <c r="K93" s="17">
        <f>G93-H93-J93</f>
        <v/>
      </c>
      <c r="L93" s="29">
        <f>IF(G93&gt;0,K93/G93,"")</f>
        <v/>
      </c>
      <c r="M93" s="6" t="n"/>
    </row>
    <row r="94">
      <c r="A94" s="32" t="n"/>
      <c r="B94" s="6" t="n"/>
      <c r="C94">
        <f>IF(B94="","",IFERROR(VLOOKUP(B94,'Recetas y precios'!$A$5:$B$54,2,FALSE),""))</f>
        <v/>
      </c>
      <c r="D94" s="6" t="n"/>
      <c r="E94" s="6" t="n"/>
      <c r="F94" s="11" t="n"/>
      <c r="G94" s="17">
        <f>E94*F94</f>
        <v/>
      </c>
      <c r="H94" s="17">
        <f>IF(B94="",0,E94*IFERROR(VLOOKUP(B94,'Recetas y precios'!$A$5:$U$54,21,FALSE),0))</f>
        <v/>
      </c>
      <c r="I94" s="27" t="n"/>
      <c r="J94" s="17">
        <f>G94*I94</f>
        <v/>
      </c>
      <c r="K94" s="17">
        <f>G94-H94-J94</f>
        <v/>
      </c>
      <c r="L94" s="29">
        <f>IF(G94&gt;0,K94/G94,"")</f>
        <v/>
      </c>
      <c r="M94" s="6" t="n"/>
    </row>
    <row r="95">
      <c r="A95" s="32" t="n"/>
      <c r="B95" s="6" t="n"/>
      <c r="C95">
        <f>IF(B95="","",IFERROR(VLOOKUP(B95,'Recetas y precios'!$A$5:$B$54,2,FALSE),""))</f>
        <v/>
      </c>
      <c r="D95" s="6" t="n"/>
      <c r="E95" s="6" t="n"/>
      <c r="F95" s="11" t="n"/>
      <c r="G95" s="17">
        <f>E95*F95</f>
        <v/>
      </c>
      <c r="H95" s="17">
        <f>IF(B95="",0,E95*IFERROR(VLOOKUP(B95,'Recetas y precios'!$A$5:$U$54,21,FALSE),0))</f>
        <v/>
      </c>
      <c r="I95" s="27" t="n"/>
      <c r="J95" s="17">
        <f>G95*I95</f>
        <v/>
      </c>
      <c r="K95" s="17">
        <f>G95-H95-J95</f>
        <v/>
      </c>
      <c r="L95" s="29">
        <f>IF(G95&gt;0,K95/G95,"")</f>
        <v/>
      </c>
      <c r="M95" s="6" t="n"/>
    </row>
    <row r="96">
      <c r="A96" s="32" t="n"/>
      <c r="B96" s="6" t="n"/>
      <c r="C96">
        <f>IF(B96="","",IFERROR(VLOOKUP(B96,'Recetas y precios'!$A$5:$B$54,2,FALSE),""))</f>
        <v/>
      </c>
      <c r="D96" s="6" t="n"/>
      <c r="E96" s="6" t="n"/>
      <c r="F96" s="11" t="n"/>
      <c r="G96" s="17">
        <f>E96*F96</f>
        <v/>
      </c>
      <c r="H96" s="17">
        <f>IF(B96="",0,E96*IFERROR(VLOOKUP(B96,'Recetas y precios'!$A$5:$U$54,21,FALSE),0))</f>
        <v/>
      </c>
      <c r="I96" s="27" t="n"/>
      <c r="J96" s="17">
        <f>G96*I96</f>
        <v/>
      </c>
      <c r="K96" s="17">
        <f>G96-H96-J96</f>
        <v/>
      </c>
      <c r="L96" s="29">
        <f>IF(G96&gt;0,K96/G96,"")</f>
        <v/>
      </c>
      <c r="M96" s="6" t="n"/>
    </row>
    <row r="97">
      <c r="A97" s="32" t="n"/>
      <c r="B97" s="6" t="n"/>
      <c r="C97">
        <f>IF(B97="","",IFERROR(VLOOKUP(B97,'Recetas y precios'!$A$5:$B$54,2,FALSE),""))</f>
        <v/>
      </c>
      <c r="D97" s="6" t="n"/>
      <c r="E97" s="6" t="n"/>
      <c r="F97" s="11" t="n"/>
      <c r="G97" s="17">
        <f>E97*F97</f>
        <v/>
      </c>
      <c r="H97" s="17">
        <f>IF(B97="",0,E97*IFERROR(VLOOKUP(B97,'Recetas y precios'!$A$5:$U$54,21,FALSE),0))</f>
        <v/>
      </c>
      <c r="I97" s="27" t="n"/>
      <c r="J97" s="17">
        <f>G97*I97</f>
        <v/>
      </c>
      <c r="K97" s="17">
        <f>G97-H97-J97</f>
        <v/>
      </c>
      <c r="L97" s="29">
        <f>IF(G97&gt;0,K97/G97,"")</f>
        <v/>
      </c>
      <c r="M97" s="6" t="n"/>
    </row>
    <row r="98">
      <c r="A98" s="32" t="n"/>
      <c r="B98" s="6" t="n"/>
      <c r="C98">
        <f>IF(B98="","",IFERROR(VLOOKUP(B98,'Recetas y precios'!$A$5:$B$54,2,FALSE),""))</f>
        <v/>
      </c>
      <c r="D98" s="6" t="n"/>
      <c r="E98" s="6" t="n"/>
      <c r="F98" s="11" t="n"/>
      <c r="G98" s="17">
        <f>E98*F98</f>
        <v/>
      </c>
      <c r="H98" s="17">
        <f>IF(B98="",0,E98*IFERROR(VLOOKUP(B98,'Recetas y precios'!$A$5:$U$54,21,FALSE),0))</f>
        <v/>
      </c>
      <c r="I98" s="27" t="n"/>
      <c r="J98" s="17">
        <f>G98*I98</f>
        <v/>
      </c>
      <c r="K98" s="17">
        <f>G98-H98-J98</f>
        <v/>
      </c>
      <c r="L98" s="29">
        <f>IF(G98&gt;0,K98/G98,"")</f>
        <v/>
      </c>
      <c r="M98" s="6" t="n"/>
    </row>
    <row r="99">
      <c r="A99" s="32" t="n"/>
      <c r="B99" s="6" t="n"/>
      <c r="C99">
        <f>IF(B99="","",IFERROR(VLOOKUP(B99,'Recetas y precios'!$A$5:$B$54,2,FALSE),""))</f>
        <v/>
      </c>
      <c r="D99" s="6" t="n"/>
      <c r="E99" s="6" t="n"/>
      <c r="F99" s="11" t="n"/>
      <c r="G99" s="17">
        <f>E99*F99</f>
        <v/>
      </c>
      <c r="H99" s="17">
        <f>IF(B99="",0,E99*IFERROR(VLOOKUP(B99,'Recetas y precios'!$A$5:$U$54,21,FALSE),0))</f>
        <v/>
      </c>
      <c r="I99" s="27" t="n"/>
      <c r="J99" s="17">
        <f>G99*I99</f>
        <v/>
      </c>
      <c r="K99" s="17">
        <f>G99-H99-J99</f>
        <v/>
      </c>
      <c r="L99" s="29">
        <f>IF(G99&gt;0,K99/G99,"")</f>
        <v/>
      </c>
      <c r="M99" s="6" t="n"/>
    </row>
    <row r="100">
      <c r="A100" s="32" t="n"/>
      <c r="B100" s="6" t="n"/>
      <c r="C100">
        <f>IF(B100="","",IFERROR(VLOOKUP(B100,'Recetas y precios'!$A$5:$B$54,2,FALSE),""))</f>
        <v/>
      </c>
      <c r="D100" s="6" t="n"/>
      <c r="E100" s="6" t="n"/>
      <c r="F100" s="11" t="n"/>
      <c r="G100" s="17">
        <f>E100*F100</f>
        <v/>
      </c>
      <c r="H100" s="17">
        <f>IF(B100="",0,E100*IFERROR(VLOOKUP(B100,'Recetas y precios'!$A$5:$U$54,21,FALSE),0))</f>
        <v/>
      </c>
      <c r="I100" s="27" t="n"/>
      <c r="J100" s="17">
        <f>G100*I100</f>
        <v/>
      </c>
      <c r="K100" s="17">
        <f>G100-H100-J100</f>
        <v/>
      </c>
      <c r="L100" s="29">
        <f>IF(G100&gt;0,K100/G100,"")</f>
        <v/>
      </c>
      <c r="M100" s="6" t="n"/>
    </row>
    <row r="101">
      <c r="A101" s="32" t="n"/>
      <c r="B101" s="6" t="n"/>
      <c r="C101">
        <f>IF(B101="","",IFERROR(VLOOKUP(B101,'Recetas y precios'!$A$5:$B$54,2,FALSE),""))</f>
        <v/>
      </c>
      <c r="D101" s="6" t="n"/>
      <c r="E101" s="6" t="n"/>
      <c r="F101" s="11" t="n"/>
      <c r="G101" s="17">
        <f>E101*F101</f>
        <v/>
      </c>
      <c r="H101" s="17">
        <f>IF(B101="",0,E101*IFERROR(VLOOKUP(B101,'Recetas y precios'!$A$5:$U$54,21,FALSE),0))</f>
        <v/>
      </c>
      <c r="I101" s="27" t="n"/>
      <c r="J101" s="17">
        <f>G101*I101</f>
        <v/>
      </c>
      <c r="K101" s="17">
        <f>G101-H101-J101</f>
        <v/>
      </c>
      <c r="L101" s="29">
        <f>IF(G101&gt;0,K101/G101,"")</f>
        <v/>
      </c>
      <c r="M101" s="6" t="n"/>
    </row>
    <row r="102">
      <c r="A102" s="32" t="n"/>
      <c r="B102" s="6" t="n"/>
      <c r="C102">
        <f>IF(B102="","",IFERROR(VLOOKUP(B102,'Recetas y precios'!$A$5:$B$54,2,FALSE),""))</f>
        <v/>
      </c>
      <c r="D102" s="6" t="n"/>
      <c r="E102" s="6" t="n"/>
      <c r="F102" s="11" t="n"/>
      <c r="G102" s="17">
        <f>E102*F102</f>
        <v/>
      </c>
      <c r="H102" s="17">
        <f>IF(B102="",0,E102*IFERROR(VLOOKUP(B102,'Recetas y precios'!$A$5:$U$54,21,FALSE),0))</f>
        <v/>
      </c>
      <c r="I102" s="27" t="n"/>
      <c r="J102" s="17">
        <f>G102*I102</f>
        <v/>
      </c>
      <c r="K102" s="17">
        <f>G102-H102-J102</f>
        <v/>
      </c>
      <c r="L102" s="29">
        <f>IF(G102&gt;0,K102/G102,"")</f>
        <v/>
      </c>
      <c r="M102" s="6" t="n"/>
    </row>
    <row r="103">
      <c r="A103" s="32" t="n"/>
      <c r="B103" s="6" t="n"/>
      <c r="C103">
        <f>IF(B103="","",IFERROR(VLOOKUP(B103,'Recetas y precios'!$A$5:$B$54,2,FALSE),""))</f>
        <v/>
      </c>
      <c r="D103" s="6" t="n"/>
      <c r="E103" s="6" t="n"/>
      <c r="F103" s="11" t="n"/>
      <c r="G103" s="17">
        <f>E103*F103</f>
        <v/>
      </c>
      <c r="H103" s="17">
        <f>IF(B103="",0,E103*IFERROR(VLOOKUP(B103,'Recetas y precios'!$A$5:$U$54,21,FALSE),0))</f>
        <v/>
      </c>
      <c r="I103" s="27" t="n"/>
      <c r="J103" s="17">
        <f>G103*I103</f>
        <v/>
      </c>
      <c r="K103" s="17">
        <f>G103-H103-J103</f>
        <v/>
      </c>
      <c r="L103" s="29">
        <f>IF(G103&gt;0,K103/G103,"")</f>
        <v/>
      </c>
      <c r="M103" s="6" t="n"/>
    </row>
    <row r="104">
      <c r="A104" s="32" t="n"/>
      <c r="B104" s="6" t="n"/>
      <c r="C104">
        <f>IF(B104="","",IFERROR(VLOOKUP(B104,'Recetas y precios'!$A$5:$B$54,2,FALSE),""))</f>
        <v/>
      </c>
      <c r="D104" s="6" t="n"/>
      <c r="E104" s="6" t="n"/>
      <c r="F104" s="11" t="n"/>
      <c r="G104" s="17">
        <f>E104*F104</f>
        <v/>
      </c>
      <c r="H104" s="17">
        <f>IF(B104="",0,E104*IFERROR(VLOOKUP(B104,'Recetas y precios'!$A$5:$U$54,21,FALSE),0))</f>
        <v/>
      </c>
      <c r="I104" s="27" t="n"/>
      <c r="J104" s="17">
        <f>G104*I104</f>
        <v/>
      </c>
      <c r="K104" s="17">
        <f>G104-H104-J104</f>
        <v/>
      </c>
      <c r="L104" s="29">
        <f>IF(G104&gt;0,K104/G104,"")</f>
        <v/>
      </c>
      <c r="M104" s="6" t="n"/>
    </row>
    <row r="105">
      <c r="A105" s="32" t="n"/>
      <c r="B105" s="6" t="n"/>
      <c r="C105">
        <f>IF(B105="","",IFERROR(VLOOKUP(B105,'Recetas y precios'!$A$5:$B$54,2,FALSE),""))</f>
        <v/>
      </c>
      <c r="D105" s="6" t="n"/>
      <c r="E105" s="6" t="n"/>
      <c r="F105" s="11" t="n"/>
      <c r="G105" s="17">
        <f>E105*F105</f>
        <v/>
      </c>
      <c r="H105" s="17">
        <f>IF(B105="",0,E105*IFERROR(VLOOKUP(B105,'Recetas y precios'!$A$5:$U$54,21,FALSE),0))</f>
        <v/>
      </c>
      <c r="I105" s="27" t="n"/>
      <c r="J105" s="17">
        <f>G105*I105</f>
        <v/>
      </c>
      <c r="K105" s="17">
        <f>G105-H105-J105</f>
        <v/>
      </c>
      <c r="L105" s="29">
        <f>IF(G105&gt;0,K105/G105,"")</f>
        <v/>
      </c>
      <c r="M105" s="6" t="n"/>
    </row>
    <row r="106">
      <c r="A106" s="32" t="n"/>
      <c r="B106" s="6" t="n"/>
      <c r="C106">
        <f>IF(B106="","",IFERROR(VLOOKUP(B106,'Recetas y precios'!$A$5:$B$54,2,FALSE),""))</f>
        <v/>
      </c>
      <c r="D106" s="6" t="n"/>
      <c r="E106" s="6" t="n"/>
      <c r="F106" s="11" t="n"/>
      <c r="G106" s="17">
        <f>E106*F106</f>
        <v/>
      </c>
      <c r="H106" s="17">
        <f>IF(B106="",0,E106*IFERROR(VLOOKUP(B106,'Recetas y precios'!$A$5:$U$54,21,FALSE),0))</f>
        <v/>
      </c>
      <c r="I106" s="27" t="n"/>
      <c r="J106" s="17">
        <f>G106*I106</f>
        <v/>
      </c>
      <c r="K106" s="17">
        <f>G106-H106-J106</f>
        <v/>
      </c>
      <c r="L106" s="29">
        <f>IF(G106&gt;0,K106/G106,"")</f>
        <v/>
      </c>
      <c r="M106" s="6" t="n"/>
    </row>
    <row r="107">
      <c r="A107" s="32" t="n"/>
      <c r="B107" s="6" t="n"/>
      <c r="C107">
        <f>IF(B107="","",IFERROR(VLOOKUP(B107,'Recetas y precios'!$A$5:$B$54,2,FALSE),""))</f>
        <v/>
      </c>
      <c r="D107" s="6" t="n"/>
      <c r="E107" s="6" t="n"/>
      <c r="F107" s="11" t="n"/>
      <c r="G107" s="17">
        <f>E107*F107</f>
        <v/>
      </c>
      <c r="H107" s="17">
        <f>IF(B107="",0,E107*IFERROR(VLOOKUP(B107,'Recetas y precios'!$A$5:$U$54,21,FALSE),0))</f>
        <v/>
      </c>
      <c r="I107" s="27" t="n"/>
      <c r="J107" s="17">
        <f>G107*I107</f>
        <v/>
      </c>
      <c r="K107" s="17">
        <f>G107-H107-J107</f>
        <v/>
      </c>
      <c r="L107" s="29">
        <f>IF(G107&gt;0,K107/G107,"")</f>
        <v/>
      </c>
      <c r="M107" s="6" t="n"/>
    </row>
    <row r="108">
      <c r="A108" s="32" t="n"/>
      <c r="B108" s="6" t="n"/>
      <c r="C108">
        <f>IF(B108="","",IFERROR(VLOOKUP(B108,'Recetas y precios'!$A$5:$B$54,2,FALSE),""))</f>
        <v/>
      </c>
      <c r="D108" s="6" t="n"/>
      <c r="E108" s="6" t="n"/>
      <c r="F108" s="11" t="n"/>
      <c r="G108" s="17">
        <f>E108*F108</f>
        <v/>
      </c>
      <c r="H108" s="17">
        <f>IF(B108="",0,E108*IFERROR(VLOOKUP(B108,'Recetas y precios'!$A$5:$U$54,21,FALSE),0))</f>
        <v/>
      </c>
      <c r="I108" s="27" t="n"/>
      <c r="J108" s="17">
        <f>G108*I108</f>
        <v/>
      </c>
      <c r="K108" s="17">
        <f>G108-H108-J108</f>
        <v/>
      </c>
      <c r="L108" s="29">
        <f>IF(G108&gt;0,K108/G108,"")</f>
        <v/>
      </c>
      <c r="M108" s="6" t="n"/>
    </row>
    <row r="109">
      <c r="A109" s="32" t="n"/>
      <c r="B109" s="6" t="n"/>
      <c r="C109">
        <f>IF(B109="","",IFERROR(VLOOKUP(B109,'Recetas y precios'!$A$5:$B$54,2,FALSE),""))</f>
        <v/>
      </c>
      <c r="D109" s="6" t="n"/>
      <c r="E109" s="6" t="n"/>
      <c r="F109" s="11" t="n"/>
      <c r="G109" s="17">
        <f>E109*F109</f>
        <v/>
      </c>
      <c r="H109" s="17">
        <f>IF(B109="",0,E109*IFERROR(VLOOKUP(B109,'Recetas y precios'!$A$5:$U$54,21,FALSE),0))</f>
        <v/>
      </c>
      <c r="I109" s="27" t="n"/>
      <c r="J109" s="17">
        <f>G109*I109</f>
        <v/>
      </c>
      <c r="K109" s="17">
        <f>G109-H109-J109</f>
        <v/>
      </c>
      <c r="L109" s="29">
        <f>IF(G109&gt;0,K109/G109,"")</f>
        <v/>
      </c>
      <c r="M109" s="6" t="n"/>
    </row>
    <row r="110">
      <c r="A110" s="32" t="n"/>
      <c r="B110" s="6" t="n"/>
      <c r="C110">
        <f>IF(B110="","",IFERROR(VLOOKUP(B110,'Recetas y precios'!$A$5:$B$54,2,FALSE),""))</f>
        <v/>
      </c>
      <c r="D110" s="6" t="n"/>
      <c r="E110" s="6" t="n"/>
      <c r="F110" s="11" t="n"/>
      <c r="G110" s="17">
        <f>E110*F110</f>
        <v/>
      </c>
      <c r="H110" s="17">
        <f>IF(B110="",0,E110*IFERROR(VLOOKUP(B110,'Recetas y precios'!$A$5:$U$54,21,FALSE),0))</f>
        <v/>
      </c>
      <c r="I110" s="27" t="n"/>
      <c r="J110" s="17">
        <f>G110*I110</f>
        <v/>
      </c>
      <c r="K110" s="17">
        <f>G110-H110-J110</f>
        <v/>
      </c>
      <c r="L110" s="29">
        <f>IF(G110&gt;0,K110/G110,"")</f>
        <v/>
      </c>
      <c r="M110" s="6" t="n"/>
    </row>
    <row r="111">
      <c r="A111" s="32" t="n"/>
      <c r="B111" s="6" t="n"/>
      <c r="C111">
        <f>IF(B111="","",IFERROR(VLOOKUP(B111,'Recetas y precios'!$A$5:$B$54,2,FALSE),""))</f>
        <v/>
      </c>
      <c r="D111" s="6" t="n"/>
      <c r="E111" s="6" t="n"/>
      <c r="F111" s="11" t="n"/>
      <c r="G111" s="17">
        <f>E111*F111</f>
        <v/>
      </c>
      <c r="H111" s="17">
        <f>IF(B111="",0,E111*IFERROR(VLOOKUP(B111,'Recetas y precios'!$A$5:$U$54,21,FALSE),0))</f>
        <v/>
      </c>
      <c r="I111" s="27" t="n"/>
      <c r="J111" s="17">
        <f>G111*I111</f>
        <v/>
      </c>
      <c r="K111" s="17">
        <f>G111-H111-J111</f>
        <v/>
      </c>
      <c r="L111" s="29">
        <f>IF(G111&gt;0,K111/G111,"")</f>
        <v/>
      </c>
      <c r="M111" s="6" t="n"/>
    </row>
    <row r="112">
      <c r="A112" s="32" t="n"/>
      <c r="B112" s="6" t="n"/>
      <c r="C112">
        <f>IF(B112="","",IFERROR(VLOOKUP(B112,'Recetas y precios'!$A$5:$B$54,2,FALSE),""))</f>
        <v/>
      </c>
      <c r="D112" s="6" t="n"/>
      <c r="E112" s="6" t="n"/>
      <c r="F112" s="11" t="n"/>
      <c r="G112" s="17">
        <f>E112*F112</f>
        <v/>
      </c>
      <c r="H112" s="17">
        <f>IF(B112="",0,E112*IFERROR(VLOOKUP(B112,'Recetas y precios'!$A$5:$U$54,21,FALSE),0))</f>
        <v/>
      </c>
      <c r="I112" s="27" t="n"/>
      <c r="J112" s="17">
        <f>G112*I112</f>
        <v/>
      </c>
      <c r="K112" s="17">
        <f>G112-H112-J112</f>
        <v/>
      </c>
      <c r="L112" s="29">
        <f>IF(G112&gt;0,K112/G112,"")</f>
        <v/>
      </c>
      <c r="M112" s="6" t="n"/>
    </row>
    <row r="113">
      <c r="A113" s="32" t="n"/>
      <c r="B113" s="6" t="n"/>
      <c r="C113">
        <f>IF(B113="","",IFERROR(VLOOKUP(B113,'Recetas y precios'!$A$5:$B$54,2,FALSE),""))</f>
        <v/>
      </c>
      <c r="D113" s="6" t="n"/>
      <c r="E113" s="6" t="n"/>
      <c r="F113" s="11" t="n"/>
      <c r="G113" s="17">
        <f>E113*F113</f>
        <v/>
      </c>
      <c r="H113" s="17">
        <f>IF(B113="",0,E113*IFERROR(VLOOKUP(B113,'Recetas y precios'!$A$5:$U$54,21,FALSE),0))</f>
        <v/>
      </c>
      <c r="I113" s="27" t="n"/>
      <c r="J113" s="17">
        <f>G113*I113</f>
        <v/>
      </c>
      <c r="K113" s="17">
        <f>G113-H113-J113</f>
        <v/>
      </c>
      <c r="L113" s="29">
        <f>IF(G113&gt;0,K113/G113,"")</f>
        <v/>
      </c>
      <c r="M113" s="6" t="n"/>
    </row>
    <row r="114">
      <c r="A114" s="32" t="n"/>
      <c r="B114" s="6" t="n"/>
      <c r="C114">
        <f>IF(B114="","",IFERROR(VLOOKUP(B114,'Recetas y precios'!$A$5:$B$54,2,FALSE),""))</f>
        <v/>
      </c>
      <c r="D114" s="6" t="n"/>
      <c r="E114" s="6" t="n"/>
      <c r="F114" s="11" t="n"/>
      <c r="G114" s="17">
        <f>E114*F114</f>
        <v/>
      </c>
      <c r="H114" s="17">
        <f>IF(B114="",0,E114*IFERROR(VLOOKUP(B114,'Recetas y precios'!$A$5:$U$54,21,FALSE),0))</f>
        <v/>
      </c>
      <c r="I114" s="27" t="n"/>
      <c r="J114" s="17">
        <f>G114*I114</f>
        <v/>
      </c>
      <c r="K114" s="17">
        <f>G114-H114-J114</f>
        <v/>
      </c>
      <c r="L114" s="29">
        <f>IF(G114&gt;0,K114/G114,"")</f>
        <v/>
      </c>
      <c r="M114" s="6" t="n"/>
    </row>
    <row r="115">
      <c r="A115" s="32" t="n"/>
      <c r="B115" s="6" t="n"/>
      <c r="C115">
        <f>IF(B115="","",IFERROR(VLOOKUP(B115,'Recetas y precios'!$A$5:$B$54,2,FALSE),""))</f>
        <v/>
      </c>
      <c r="D115" s="6" t="n"/>
      <c r="E115" s="6" t="n"/>
      <c r="F115" s="11" t="n"/>
      <c r="G115" s="17">
        <f>E115*F115</f>
        <v/>
      </c>
      <c r="H115" s="17">
        <f>IF(B115="",0,E115*IFERROR(VLOOKUP(B115,'Recetas y precios'!$A$5:$U$54,21,FALSE),0))</f>
        <v/>
      </c>
      <c r="I115" s="27" t="n"/>
      <c r="J115" s="17">
        <f>G115*I115</f>
        <v/>
      </c>
      <c r="K115" s="17">
        <f>G115-H115-J115</f>
        <v/>
      </c>
      <c r="L115" s="29">
        <f>IF(G115&gt;0,K115/G115,"")</f>
        <v/>
      </c>
      <c r="M115" s="6" t="n"/>
    </row>
    <row r="116">
      <c r="A116" s="32" t="n"/>
      <c r="B116" s="6" t="n"/>
      <c r="C116">
        <f>IF(B116="","",IFERROR(VLOOKUP(B116,'Recetas y precios'!$A$5:$B$54,2,FALSE),""))</f>
        <v/>
      </c>
      <c r="D116" s="6" t="n"/>
      <c r="E116" s="6" t="n"/>
      <c r="F116" s="11" t="n"/>
      <c r="G116" s="17">
        <f>E116*F116</f>
        <v/>
      </c>
      <c r="H116" s="17">
        <f>IF(B116="",0,E116*IFERROR(VLOOKUP(B116,'Recetas y precios'!$A$5:$U$54,21,FALSE),0))</f>
        <v/>
      </c>
      <c r="I116" s="27" t="n"/>
      <c r="J116" s="17">
        <f>G116*I116</f>
        <v/>
      </c>
      <c r="K116" s="17">
        <f>G116-H116-J116</f>
        <v/>
      </c>
      <c r="L116" s="29">
        <f>IF(G116&gt;0,K116/G116,"")</f>
        <v/>
      </c>
      <c r="M116" s="6" t="n"/>
    </row>
    <row r="117">
      <c r="A117" s="32" t="n"/>
      <c r="B117" s="6" t="n"/>
      <c r="C117">
        <f>IF(B117="","",IFERROR(VLOOKUP(B117,'Recetas y precios'!$A$5:$B$54,2,FALSE),""))</f>
        <v/>
      </c>
      <c r="D117" s="6" t="n"/>
      <c r="E117" s="6" t="n"/>
      <c r="F117" s="11" t="n"/>
      <c r="G117" s="17">
        <f>E117*F117</f>
        <v/>
      </c>
      <c r="H117" s="17">
        <f>IF(B117="",0,E117*IFERROR(VLOOKUP(B117,'Recetas y precios'!$A$5:$U$54,21,FALSE),0))</f>
        <v/>
      </c>
      <c r="I117" s="27" t="n"/>
      <c r="J117" s="17">
        <f>G117*I117</f>
        <v/>
      </c>
      <c r="K117" s="17">
        <f>G117-H117-J117</f>
        <v/>
      </c>
      <c r="L117" s="29">
        <f>IF(G117&gt;0,K117/G117,"")</f>
        <v/>
      </c>
      <c r="M117" s="6" t="n"/>
    </row>
    <row r="118">
      <c r="A118" s="32" t="n"/>
      <c r="B118" s="6" t="n"/>
      <c r="C118">
        <f>IF(B118="","",IFERROR(VLOOKUP(B118,'Recetas y precios'!$A$5:$B$54,2,FALSE),""))</f>
        <v/>
      </c>
      <c r="D118" s="6" t="n"/>
      <c r="E118" s="6" t="n"/>
      <c r="F118" s="11" t="n"/>
      <c r="G118" s="17">
        <f>E118*F118</f>
        <v/>
      </c>
      <c r="H118" s="17">
        <f>IF(B118="",0,E118*IFERROR(VLOOKUP(B118,'Recetas y precios'!$A$5:$U$54,21,FALSE),0))</f>
        <v/>
      </c>
      <c r="I118" s="27" t="n"/>
      <c r="J118" s="17">
        <f>G118*I118</f>
        <v/>
      </c>
      <c r="K118" s="17">
        <f>G118-H118-J118</f>
        <v/>
      </c>
      <c r="L118" s="29">
        <f>IF(G118&gt;0,K118/G118,"")</f>
        <v/>
      </c>
      <c r="M118" s="6" t="n"/>
    </row>
    <row r="119">
      <c r="A119" s="32" t="n"/>
      <c r="B119" s="6" t="n"/>
      <c r="C119">
        <f>IF(B119="","",IFERROR(VLOOKUP(B119,'Recetas y precios'!$A$5:$B$54,2,FALSE),""))</f>
        <v/>
      </c>
      <c r="D119" s="6" t="n"/>
      <c r="E119" s="6" t="n"/>
      <c r="F119" s="11" t="n"/>
      <c r="G119" s="17">
        <f>E119*F119</f>
        <v/>
      </c>
      <c r="H119" s="17">
        <f>IF(B119="",0,E119*IFERROR(VLOOKUP(B119,'Recetas y precios'!$A$5:$U$54,21,FALSE),0))</f>
        <v/>
      </c>
      <c r="I119" s="27" t="n"/>
      <c r="J119" s="17">
        <f>G119*I119</f>
        <v/>
      </c>
      <c r="K119" s="17">
        <f>G119-H119-J119</f>
        <v/>
      </c>
      <c r="L119" s="29">
        <f>IF(G119&gt;0,K119/G119,"")</f>
        <v/>
      </c>
      <c r="M119" s="6" t="n"/>
    </row>
    <row r="120">
      <c r="A120" s="32" t="n"/>
      <c r="B120" s="6" t="n"/>
      <c r="C120">
        <f>IF(B120="","",IFERROR(VLOOKUP(B120,'Recetas y precios'!$A$5:$B$54,2,FALSE),""))</f>
        <v/>
      </c>
      <c r="D120" s="6" t="n"/>
      <c r="E120" s="6" t="n"/>
      <c r="F120" s="11" t="n"/>
      <c r="G120" s="17">
        <f>E120*F120</f>
        <v/>
      </c>
      <c r="H120" s="17">
        <f>IF(B120="",0,E120*IFERROR(VLOOKUP(B120,'Recetas y precios'!$A$5:$U$54,21,FALSE),0))</f>
        <v/>
      </c>
      <c r="I120" s="27" t="n"/>
      <c r="J120" s="17">
        <f>G120*I120</f>
        <v/>
      </c>
      <c r="K120" s="17">
        <f>G120-H120-J120</f>
        <v/>
      </c>
      <c r="L120" s="29">
        <f>IF(G120&gt;0,K120/G120,"")</f>
        <v/>
      </c>
      <c r="M120" s="6" t="n"/>
    </row>
    <row r="121">
      <c r="A121" s="32" t="n"/>
      <c r="B121" s="6" t="n"/>
      <c r="C121">
        <f>IF(B121="","",IFERROR(VLOOKUP(B121,'Recetas y precios'!$A$5:$B$54,2,FALSE),""))</f>
        <v/>
      </c>
      <c r="D121" s="6" t="n"/>
      <c r="E121" s="6" t="n"/>
      <c r="F121" s="11" t="n"/>
      <c r="G121" s="17">
        <f>E121*F121</f>
        <v/>
      </c>
      <c r="H121" s="17">
        <f>IF(B121="",0,E121*IFERROR(VLOOKUP(B121,'Recetas y precios'!$A$5:$U$54,21,FALSE),0))</f>
        <v/>
      </c>
      <c r="I121" s="27" t="n"/>
      <c r="J121" s="17">
        <f>G121*I121</f>
        <v/>
      </c>
      <c r="K121" s="17">
        <f>G121-H121-J121</f>
        <v/>
      </c>
      <c r="L121" s="29">
        <f>IF(G121&gt;0,K121/G121,"")</f>
        <v/>
      </c>
      <c r="M121" s="6" t="n"/>
    </row>
    <row r="122">
      <c r="A122" s="32" t="n"/>
      <c r="B122" s="6" t="n"/>
      <c r="C122">
        <f>IF(B122="","",IFERROR(VLOOKUP(B122,'Recetas y precios'!$A$5:$B$54,2,FALSE),""))</f>
        <v/>
      </c>
      <c r="D122" s="6" t="n"/>
      <c r="E122" s="6" t="n"/>
      <c r="F122" s="11" t="n"/>
      <c r="G122" s="17">
        <f>E122*F122</f>
        <v/>
      </c>
      <c r="H122" s="17">
        <f>IF(B122="",0,E122*IFERROR(VLOOKUP(B122,'Recetas y precios'!$A$5:$U$54,21,FALSE),0))</f>
        <v/>
      </c>
      <c r="I122" s="27" t="n"/>
      <c r="J122" s="17">
        <f>G122*I122</f>
        <v/>
      </c>
      <c r="K122" s="17">
        <f>G122-H122-J122</f>
        <v/>
      </c>
      <c r="L122" s="29">
        <f>IF(G122&gt;0,K122/G122,"")</f>
        <v/>
      </c>
      <c r="M122" s="6" t="n"/>
    </row>
    <row r="123">
      <c r="A123" s="32" t="n"/>
      <c r="B123" s="6" t="n"/>
      <c r="C123">
        <f>IF(B123="","",IFERROR(VLOOKUP(B123,'Recetas y precios'!$A$5:$B$54,2,FALSE),""))</f>
        <v/>
      </c>
      <c r="D123" s="6" t="n"/>
      <c r="E123" s="6" t="n"/>
      <c r="F123" s="11" t="n"/>
      <c r="G123" s="17">
        <f>E123*F123</f>
        <v/>
      </c>
      <c r="H123" s="17">
        <f>IF(B123="",0,E123*IFERROR(VLOOKUP(B123,'Recetas y precios'!$A$5:$U$54,21,FALSE),0))</f>
        <v/>
      </c>
      <c r="I123" s="27" t="n"/>
      <c r="J123" s="17">
        <f>G123*I123</f>
        <v/>
      </c>
      <c r="K123" s="17">
        <f>G123-H123-J123</f>
        <v/>
      </c>
      <c r="L123" s="29">
        <f>IF(G123&gt;0,K123/G123,"")</f>
        <v/>
      </c>
      <c r="M123" s="6" t="n"/>
    </row>
    <row r="124">
      <c r="A124" s="32" t="n"/>
      <c r="B124" s="6" t="n"/>
      <c r="C124">
        <f>IF(B124="","",IFERROR(VLOOKUP(B124,'Recetas y precios'!$A$5:$B$54,2,FALSE),""))</f>
        <v/>
      </c>
      <c r="D124" s="6" t="n"/>
      <c r="E124" s="6" t="n"/>
      <c r="F124" s="11" t="n"/>
      <c r="G124" s="17">
        <f>E124*F124</f>
        <v/>
      </c>
      <c r="H124" s="17">
        <f>IF(B124="",0,E124*IFERROR(VLOOKUP(B124,'Recetas y precios'!$A$5:$U$54,21,FALSE),0))</f>
        <v/>
      </c>
      <c r="I124" s="27" t="n"/>
      <c r="J124" s="17">
        <f>G124*I124</f>
        <v/>
      </c>
      <c r="K124" s="17">
        <f>G124-H124-J124</f>
        <v/>
      </c>
      <c r="L124" s="29">
        <f>IF(G124&gt;0,K124/G124,"")</f>
        <v/>
      </c>
      <c r="M124" s="6" t="n"/>
    </row>
    <row r="125">
      <c r="A125" s="32" t="n"/>
      <c r="B125" s="6" t="n"/>
      <c r="C125">
        <f>IF(B125="","",IFERROR(VLOOKUP(B125,'Recetas y precios'!$A$5:$B$54,2,FALSE),""))</f>
        <v/>
      </c>
      <c r="D125" s="6" t="n"/>
      <c r="E125" s="6" t="n"/>
      <c r="F125" s="11" t="n"/>
      <c r="G125" s="17">
        <f>E125*F125</f>
        <v/>
      </c>
      <c r="H125" s="17">
        <f>IF(B125="",0,E125*IFERROR(VLOOKUP(B125,'Recetas y precios'!$A$5:$U$54,21,FALSE),0))</f>
        <v/>
      </c>
      <c r="I125" s="27" t="n"/>
      <c r="J125" s="17">
        <f>G125*I125</f>
        <v/>
      </c>
      <c r="K125" s="17">
        <f>G125-H125-J125</f>
        <v/>
      </c>
      <c r="L125" s="29">
        <f>IF(G125&gt;0,K125/G125,"")</f>
        <v/>
      </c>
      <c r="M125" s="6" t="n"/>
    </row>
    <row r="126">
      <c r="A126" s="32" t="n"/>
      <c r="B126" s="6" t="n"/>
      <c r="C126">
        <f>IF(B126="","",IFERROR(VLOOKUP(B126,'Recetas y precios'!$A$5:$B$54,2,FALSE),""))</f>
        <v/>
      </c>
      <c r="D126" s="6" t="n"/>
      <c r="E126" s="6" t="n"/>
      <c r="F126" s="11" t="n"/>
      <c r="G126" s="17">
        <f>E126*F126</f>
        <v/>
      </c>
      <c r="H126" s="17">
        <f>IF(B126="",0,E126*IFERROR(VLOOKUP(B126,'Recetas y precios'!$A$5:$U$54,21,FALSE),0))</f>
        <v/>
      </c>
      <c r="I126" s="27" t="n"/>
      <c r="J126" s="17">
        <f>G126*I126</f>
        <v/>
      </c>
      <c r="K126" s="17">
        <f>G126-H126-J126</f>
        <v/>
      </c>
      <c r="L126" s="29">
        <f>IF(G126&gt;0,K126/G126,"")</f>
        <v/>
      </c>
      <c r="M126" s="6" t="n"/>
    </row>
    <row r="127">
      <c r="A127" s="32" t="n"/>
      <c r="B127" s="6" t="n"/>
      <c r="C127">
        <f>IF(B127="","",IFERROR(VLOOKUP(B127,'Recetas y precios'!$A$5:$B$54,2,FALSE),""))</f>
        <v/>
      </c>
      <c r="D127" s="6" t="n"/>
      <c r="E127" s="6" t="n"/>
      <c r="F127" s="11" t="n"/>
      <c r="G127" s="17">
        <f>E127*F127</f>
        <v/>
      </c>
      <c r="H127" s="17">
        <f>IF(B127="",0,E127*IFERROR(VLOOKUP(B127,'Recetas y precios'!$A$5:$U$54,21,FALSE),0))</f>
        <v/>
      </c>
      <c r="I127" s="27" t="n"/>
      <c r="J127" s="17">
        <f>G127*I127</f>
        <v/>
      </c>
      <c r="K127" s="17">
        <f>G127-H127-J127</f>
        <v/>
      </c>
      <c r="L127" s="29">
        <f>IF(G127&gt;0,K127/G127,"")</f>
        <v/>
      </c>
      <c r="M127" s="6" t="n"/>
    </row>
    <row r="128">
      <c r="A128" s="32" t="n"/>
      <c r="B128" s="6" t="n"/>
      <c r="C128">
        <f>IF(B128="","",IFERROR(VLOOKUP(B128,'Recetas y precios'!$A$5:$B$54,2,FALSE),""))</f>
        <v/>
      </c>
      <c r="D128" s="6" t="n"/>
      <c r="E128" s="6" t="n"/>
      <c r="F128" s="11" t="n"/>
      <c r="G128" s="17">
        <f>E128*F128</f>
        <v/>
      </c>
      <c r="H128" s="17">
        <f>IF(B128="",0,E128*IFERROR(VLOOKUP(B128,'Recetas y precios'!$A$5:$U$54,21,FALSE),0))</f>
        <v/>
      </c>
      <c r="I128" s="27" t="n"/>
      <c r="J128" s="17">
        <f>G128*I128</f>
        <v/>
      </c>
      <c r="K128" s="17">
        <f>G128-H128-J128</f>
        <v/>
      </c>
      <c r="L128" s="29">
        <f>IF(G128&gt;0,K128/G128,"")</f>
        <v/>
      </c>
      <c r="M128" s="6" t="n"/>
    </row>
    <row r="129">
      <c r="A129" s="32" t="n"/>
      <c r="B129" s="6" t="n"/>
      <c r="C129">
        <f>IF(B129="","",IFERROR(VLOOKUP(B129,'Recetas y precios'!$A$5:$B$54,2,FALSE),""))</f>
        <v/>
      </c>
      <c r="D129" s="6" t="n"/>
      <c r="E129" s="6" t="n"/>
      <c r="F129" s="11" t="n"/>
      <c r="G129" s="17">
        <f>E129*F129</f>
        <v/>
      </c>
      <c r="H129" s="17">
        <f>IF(B129="",0,E129*IFERROR(VLOOKUP(B129,'Recetas y precios'!$A$5:$U$54,21,FALSE),0))</f>
        <v/>
      </c>
      <c r="I129" s="27" t="n"/>
      <c r="J129" s="17">
        <f>G129*I129</f>
        <v/>
      </c>
      <c r="K129" s="17">
        <f>G129-H129-J129</f>
        <v/>
      </c>
      <c r="L129" s="29">
        <f>IF(G129&gt;0,K129/G129,"")</f>
        <v/>
      </c>
      <c r="M129" s="6" t="n"/>
    </row>
    <row r="130">
      <c r="A130" s="32" t="n"/>
      <c r="B130" s="6" t="n"/>
      <c r="C130">
        <f>IF(B130="","",IFERROR(VLOOKUP(B130,'Recetas y precios'!$A$5:$B$54,2,FALSE),""))</f>
        <v/>
      </c>
      <c r="D130" s="6" t="n"/>
      <c r="E130" s="6" t="n"/>
      <c r="F130" s="11" t="n"/>
      <c r="G130" s="17">
        <f>E130*F130</f>
        <v/>
      </c>
      <c r="H130" s="17">
        <f>IF(B130="",0,E130*IFERROR(VLOOKUP(B130,'Recetas y precios'!$A$5:$U$54,21,FALSE),0))</f>
        <v/>
      </c>
      <c r="I130" s="27" t="n"/>
      <c r="J130" s="17">
        <f>G130*I130</f>
        <v/>
      </c>
      <c r="K130" s="17">
        <f>G130-H130-J130</f>
        <v/>
      </c>
      <c r="L130" s="29">
        <f>IF(G130&gt;0,K130/G130,"")</f>
        <v/>
      </c>
      <c r="M130" s="6" t="n"/>
    </row>
    <row r="131">
      <c r="A131" s="32" t="n"/>
      <c r="B131" s="6" t="n"/>
      <c r="C131">
        <f>IF(B131="","",IFERROR(VLOOKUP(B131,'Recetas y precios'!$A$5:$B$54,2,FALSE),""))</f>
        <v/>
      </c>
      <c r="D131" s="6" t="n"/>
      <c r="E131" s="6" t="n"/>
      <c r="F131" s="11" t="n"/>
      <c r="G131" s="17">
        <f>E131*F131</f>
        <v/>
      </c>
      <c r="H131" s="17">
        <f>IF(B131="",0,E131*IFERROR(VLOOKUP(B131,'Recetas y precios'!$A$5:$U$54,21,FALSE),0))</f>
        <v/>
      </c>
      <c r="I131" s="27" t="n"/>
      <c r="J131" s="17">
        <f>G131*I131</f>
        <v/>
      </c>
      <c r="K131" s="17">
        <f>G131-H131-J131</f>
        <v/>
      </c>
      <c r="L131" s="29">
        <f>IF(G131&gt;0,K131/G131,"")</f>
        <v/>
      </c>
      <c r="M131" s="6" t="n"/>
    </row>
    <row r="132">
      <c r="A132" s="32" t="n"/>
      <c r="B132" s="6" t="n"/>
      <c r="C132">
        <f>IF(B132="","",IFERROR(VLOOKUP(B132,'Recetas y precios'!$A$5:$B$54,2,FALSE),""))</f>
        <v/>
      </c>
      <c r="D132" s="6" t="n"/>
      <c r="E132" s="6" t="n"/>
      <c r="F132" s="11" t="n"/>
      <c r="G132" s="17">
        <f>E132*F132</f>
        <v/>
      </c>
      <c r="H132" s="17">
        <f>IF(B132="",0,E132*IFERROR(VLOOKUP(B132,'Recetas y precios'!$A$5:$U$54,21,FALSE),0))</f>
        <v/>
      </c>
      <c r="I132" s="27" t="n"/>
      <c r="J132" s="17">
        <f>G132*I132</f>
        <v/>
      </c>
      <c r="K132" s="17">
        <f>G132-H132-J132</f>
        <v/>
      </c>
      <c r="L132" s="29">
        <f>IF(G132&gt;0,K132/G132,"")</f>
        <v/>
      </c>
      <c r="M132" s="6" t="n"/>
    </row>
    <row r="133">
      <c r="A133" s="32" t="n"/>
      <c r="B133" s="6" t="n"/>
      <c r="C133">
        <f>IF(B133="","",IFERROR(VLOOKUP(B133,'Recetas y precios'!$A$5:$B$54,2,FALSE),""))</f>
        <v/>
      </c>
      <c r="D133" s="6" t="n"/>
      <c r="E133" s="6" t="n"/>
      <c r="F133" s="11" t="n"/>
      <c r="G133" s="17">
        <f>E133*F133</f>
        <v/>
      </c>
      <c r="H133" s="17">
        <f>IF(B133="",0,E133*IFERROR(VLOOKUP(B133,'Recetas y precios'!$A$5:$U$54,21,FALSE),0))</f>
        <v/>
      </c>
      <c r="I133" s="27" t="n"/>
      <c r="J133" s="17">
        <f>G133*I133</f>
        <v/>
      </c>
      <c r="K133" s="17">
        <f>G133-H133-J133</f>
        <v/>
      </c>
      <c r="L133" s="29">
        <f>IF(G133&gt;0,K133/G133,"")</f>
        <v/>
      </c>
      <c r="M133" s="6" t="n"/>
    </row>
    <row r="134">
      <c r="A134" s="32" t="n"/>
      <c r="B134" s="6" t="n"/>
      <c r="C134">
        <f>IF(B134="","",IFERROR(VLOOKUP(B134,'Recetas y precios'!$A$5:$B$54,2,FALSE),""))</f>
        <v/>
      </c>
      <c r="D134" s="6" t="n"/>
      <c r="E134" s="6" t="n"/>
      <c r="F134" s="11" t="n"/>
      <c r="G134" s="17">
        <f>E134*F134</f>
        <v/>
      </c>
      <c r="H134" s="17">
        <f>IF(B134="",0,E134*IFERROR(VLOOKUP(B134,'Recetas y precios'!$A$5:$U$54,21,FALSE),0))</f>
        <v/>
      </c>
      <c r="I134" s="27" t="n"/>
      <c r="J134" s="17">
        <f>G134*I134</f>
        <v/>
      </c>
      <c r="K134" s="17">
        <f>G134-H134-J134</f>
        <v/>
      </c>
      <c r="L134" s="29">
        <f>IF(G134&gt;0,K134/G134,"")</f>
        <v/>
      </c>
      <c r="M134" s="6" t="n"/>
    </row>
    <row r="135">
      <c r="A135" s="32" t="n"/>
      <c r="B135" s="6" t="n"/>
      <c r="C135">
        <f>IF(B135="","",IFERROR(VLOOKUP(B135,'Recetas y precios'!$A$5:$B$54,2,FALSE),""))</f>
        <v/>
      </c>
      <c r="D135" s="6" t="n"/>
      <c r="E135" s="6" t="n"/>
      <c r="F135" s="11" t="n"/>
      <c r="G135" s="17">
        <f>E135*F135</f>
        <v/>
      </c>
      <c r="H135" s="17">
        <f>IF(B135="",0,E135*IFERROR(VLOOKUP(B135,'Recetas y precios'!$A$5:$U$54,21,FALSE),0))</f>
        <v/>
      </c>
      <c r="I135" s="27" t="n"/>
      <c r="J135" s="17">
        <f>G135*I135</f>
        <v/>
      </c>
      <c r="K135" s="17">
        <f>G135-H135-J135</f>
        <v/>
      </c>
      <c r="L135" s="29">
        <f>IF(G135&gt;0,K135/G135,"")</f>
        <v/>
      </c>
      <c r="M135" s="6" t="n"/>
    </row>
    <row r="136">
      <c r="A136" s="32" t="n"/>
      <c r="B136" s="6" t="n"/>
      <c r="C136">
        <f>IF(B136="","",IFERROR(VLOOKUP(B136,'Recetas y precios'!$A$5:$B$54,2,FALSE),""))</f>
        <v/>
      </c>
      <c r="D136" s="6" t="n"/>
      <c r="E136" s="6" t="n"/>
      <c r="F136" s="11" t="n"/>
      <c r="G136" s="17">
        <f>E136*F136</f>
        <v/>
      </c>
      <c r="H136" s="17">
        <f>IF(B136="",0,E136*IFERROR(VLOOKUP(B136,'Recetas y precios'!$A$5:$U$54,21,FALSE),0))</f>
        <v/>
      </c>
      <c r="I136" s="27" t="n"/>
      <c r="J136" s="17">
        <f>G136*I136</f>
        <v/>
      </c>
      <c r="K136" s="17">
        <f>G136-H136-J136</f>
        <v/>
      </c>
      <c r="L136" s="29">
        <f>IF(G136&gt;0,K136/G136,"")</f>
        <v/>
      </c>
      <c r="M136" s="6" t="n"/>
    </row>
    <row r="137">
      <c r="A137" s="32" t="n"/>
      <c r="B137" s="6" t="n"/>
      <c r="C137">
        <f>IF(B137="","",IFERROR(VLOOKUP(B137,'Recetas y precios'!$A$5:$B$54,2,FALSE),""))</f>
        <v/>
      </c>
      <c r="D137" s="6" t="n"/>
      <c r="E137" s="6" t="n"/>
      <c r="F137" s="11" t="n"/>
      <c r="G137" s="17">
        <f>E137*F137</f>
        <v/>
      </c>
      <c r="H137" s="17">
        <f>IF(B137="",0,E137*IFERROR(VLOOKUP(B137,'Recetas y precios'!$A$5:$U$54,21,FALSE),0))</f>
        <v/>
      </c>
      <c r="I137" s="27" t="n"/>
      <c r="J137" s="17">
        <f>G137*I137</f>
        <v/>
      </c>
      <c r="K137" s="17">
        <f>G137-H137-J137</f>
        <v/>
      </c>
      <c r="L137" s="29">
        <f>IF(G137&gt;0,K137/G137,"")</f>
        <v/>
      </c>
      <c r="M137" s="6" t="n"/>
    </row>
    <row r="138">
      <c r="A138" s="32" t="n"/>
      <c r="B138" s="6" t="n"/>
      <c r="C138">
        <f>IF(B138="","",IFERROR(VLOOKUP(B138,'Recetas y precios'!$A$5:$B$54,2,FALSE),""))</f>
        <v/>
      </c>
      <c r="D138" s="6" t="n"/>
      <c r="E138" s="6" t="n"/>
      <c r="F138" s="11" t="n"/>
      <c r="G138" s="17">
        <f>E138*F138</f>
        <v/>
      </c>
      <c r="H138" s="17">
        <f>IF(B138="",0,E138*IFERROR(VLOOKUP(B138,'Recetas y precios'!$A$5:$U$54,21,FALSE),0))</f>
        <v/>
      </c>
      <c r="I138" s="27" t="n"/>
      <c r="J138" s="17">
        <f>G138*I138</f>
        <v/>
      </c>
      <c r="K138" s="17">
        <f>G138-H138-J138</f>
        <v/>
      </c>
      <c r="L138" s="29">
        <f>IF(G138&gt;0,K138/G138,"")</f>
        <v/>
      </c>
      <c r="M138" s="6" t="n"/>
    </row>
    <row r="139">
      <c r="A139" s="32" t="n"/>
      <c r="B139" s="6" t="n"/>
      <c r="C139">
        <f>IF(B139="","",IFERROR(VLOOKUP(B139,'Recetas y precios'!$A$5:$B$54,2,FALSE),""))</f>
        <v/>
      </c>
      <c r="D139" s="6" t="n"/>
      <c r="E139" s="6" t="n"/>
      <c r="F139" s="11" t="n"/>
      <c r="G139" s="17">
        <f>E139*F139</f>
        <v/>
      </c>
      <c r="H139" s="17">
        <f>IF(B139="",0,E139*IFERROR(VLOOKUP(B139,'Recetas y precios'!$A$5:$U$54,21,FALSE),0))</f>
        <v/>
      </c>
      <c r="I139" s="27" t="n"/>
      <c r="J139" s="17">
        <f>G139*I139</f>
        <v/>
      </c>
      <c r="K139" s="17">
        <f>G139-H139-J139</f>
        <v/>
      </c>
      <c r="L139" s="29">
        <f>IF(G139&gt;0,K139/G139,"")</f>
        <v/>
      </c>
      <c r="M139" s="6" t="n"/>
    </row>
    <row r="140">
      <c r="A140" s="32" t="n"/>
      <c r="B140" s="6" t="n"/>
      <c r="C140">
        <f>IF(B140="","",IFERROR(VLOOKUP(B140,'Recetas y precios'!$A$5:$B$54,2,FALSE),""))</f>
        <v/>
      </c>
      <c r="D140" s="6" t="n"/>
      <c r="E140" s="6" t="n"/>
      <c r="F140" s="11" t="n"/>
      <c r="G140" s="17">
        <f>E140*F140</f>
        <v/>
      </c>
      <c r="H140" s="17">
        <f>IF(B140="",0,E140*IFERROR(VLOOKUP(B140,'Recetas y precios'!$A$5:$U$54,21,FALSE),0))</f>
        <v/>
      </c>
      <c r="I140" s="27" t="n"/>
      <c r="J140" s="17">
        <f>G140*I140</f>
        <v/>
      </c>
      <c r="K140" s="17">
        <f>G140-H140-J140</f>
        <v/>
      </c>
      <c r="L140" s="29">
        <f>IF(G140&gt;0,K140/G140,"")</f>
        <v/>
      </c>
      <c r="M140" s="6" t="n"/>
    </row>
    <row r="141">
      <c r="A141" s="32" t="n"/>
      <c r="B141" s="6" t="n"/>
      <c r="C141">
        <f>IF(B141="","",IFERROR(VLOOKUP(B141,'Recetas y precios'!$A$5:$B$54,2,FALSE),""))</f>
        <v/>
      </c>
      <c r="D141" s="6" t="n"/>
      <c r="E141" s="6" t="n"/>
      <c r="F141" s="11" t="n"/>
      <c r="G141" s="17">
        <f>E141*F141</f>
        <v/>
      </c>
      <c r="H141" s="17">
        <f>IF(B141="",0,E141*IFERROR(VLOOKUP(B141,'Recetas y precios'!$A$5:$U$54,21,FALSE),0))</f>
        <v/>
      </c>
      <c r="I141" s="27" t="n"/>
      <c r="J141" s="17">
        <f>G141*I141</f>
        <v/>
      </c>
      <c r="K141" s="17">
        <f>G141-H141-J141</f>
        <v/>
      </c>
      <c r="L141" s="29">
        <f>IF(G141&gt;0,K141/G141,"")</f>
        <v/>
      </c>
      <c r="M141" s="6" t="n"/>
    </row>
    <row r="142">
      <c r="A142" s="32" t="n"/>
      <c r="B142" s="6" t="n"/>
      <c r="C142">
        <f>IF(B142="","",IFERROR(VLOOKUP(B142,'Recetas y precios'!$A$5:$B$54,2,FALSE),""))</f>
        <v/>
      </c>
      <c r="D142" s="6" t="n"/>
      <c r="E142" s="6" t="n"/>
      <c r="F142" s="11" t="n"/>
      <c r="G142" s="17">
        <f>E142*F142</f>
        <v/>
      </c>
      <c r="H142" s="17">
        <f>IF(B142="",0,E142*IFERROR(VLOOKUP(B142,'Recetas y precios'!$A$5:$U$54,21,FALSE),0))</f>
        <v/>
      </c>
      <c r="I142" s="27" t="n"/>
      <c r="J142" s="17">
        <f>G142*I142</f>
        <v/>
      </c>
      <c r="K142" s="17">
        <f>G142-H142-J142</f>
        <v/>
      </c>
      <c r="L142" s="29">
        <f>IF(G142&gt;0,K142/G142,"")</f>
        <v/>
      </c>
      <c r="M142" s="6" t="n"/>
    </row>
    <row r="143">
      <c r="A143" s="32" t="n"/>
      <c r="B143" s="6" t="n"/>
      <c r="C143">
        <f>IF(B143="","",IFERROR(VLOOKUP(B143,'Recetas y precios'!$A$5:$B$54,2,FALSE),""))</f>
        <v/>
      </c>
      <c r="D143" s="6" t="n"/>
      <c r="E143" s="6" t="n"/>
      <c r="F143" s="11" t="n"/>
      <c r="G143" s="17">
        <f>E143*F143</f>
        <v/>
      </c>
      <c r="H143" s="17">
        <f>IF(B143="",0,E143*IFERROR(VLOOKUP(B143,'Recetas y precios'!$A$5:$U$54,21,FALSE),0))</f>
        <v/>
      </c>
      <c r="I143" s="27" t="n"/>
      <c r="J143" s="17">
        <f>G143*I143</f>
        <v/>
      </c>
      <c r="K143" s="17">
        <f>G143-H143-J143</f>
        <v/>
      </c>
      <c r="L143" s="29">
        <f>IF(G143&gt;0,K143/G143,"")</f>
        <v/>
      </c>
      <c r="M143" s="6" t="n"/>
    </row>
    <row r="144">
      <c r="A144" s="32" t="n"/>
      <c r="B144" s="6" t="n"/>
      <c r="C144">
        <f>IF(B144="","",IFERROR(VLOOKUP(B144,'Recetas y precios'!$A$5:$B$54,2,FALSE),""))</f>
        <v/>
      </c>
      <c r="D144" s="6" t="n"/>
      <c r="E144" s="6" t="n"/>
      <c r="F144" s="11" t="n"/>
      <c r="G144" s="17">
        <f>E144*F144</f>
        <v/>
      </c>
      <c r="H144" s="17">
        <f>IF(B144="",0,E144*IFERROR(VLOOKUP(B144,'Recetas y precios'!$A$5:$U$54,21,FALSE),0))</f>
        <v/>
      </c>
      <c r="I144" s="27" t="n"/>
      <c r="J144" s="17">
        <f>G144*I144</f>
        <v/>
      </c>
      <c r="K144" s="17">
        <f>G144-H144-J144</f>
        <v/>
      </c>
      <c r="L144" s="29">
        <f>IF(G144&gt;0,K144/G144,"")</f>
        <v/>
      </c>
      <c r="M144" s="6" t="n"/>
    </row>
    <row r="145">
      <c r="A145" s="32" t="n"/>
      <c r="B145" s="6" t="n"/>
      <c r="C145">
        <f>IF(B145="","",IFERROR(VLOOKUP(B145,'Recetas y precios'!$A$5:$B$54,2,FALSE),""))</f>
        <v/>
      </c>
      <c r="D145" s="6" t="n"/>
      <c r="E145" s="6" t="n"/>
      <c r="F145" s="11" t="n"/>
      <c r="G145" s="17">
        <f>E145*F145</f>
        <v/>
      </c>
      <c r="H145" s="17">
        <f>IF(B145="",0,E145*IFERROR(VLOOKUP(B145,'Recetas y precios'!$A$5:$U$54,21,FALSE),0))</f>
        <v/>
      </c>
      <c r="I145" s="27" t="n"/>
      <c r="J145" s="17">
        <f>G145*I145</f>
        <v/>
      </c>
      <c r="K145" s="17">
        <f>G145-H145-J145</f>
        <v/>
      </c>
      <c r="L145" s="29">
        <f>IF(G145&gt;0,K145/G145,"")</f>
        <v/>
      </c>
      <c r="M145" s="6" t="n"/>
    </row>
    <row r="146">
      <c r="A146" s="32" t="n"/>
      <c r="B146" s="6" t="n"/>
      <c r="C146">
        <f>IF(B146="","",IFERROR(VLOOKUP(B146,'Recetas y precios'!$A$5:$B$54,2,FALSE),""))</f>
        <v/>
      </c>
      <c r="D146" s="6" t="n"/>
      <c r="E146" s="6" t="n"/>
      <c r="F146" s="11" t="n"/>
      <c r="G146" s="17">
        <f>E146*F146</f>
        <v/>
      </c>
      <c r="H146" s="17">
        <f>IF(B146="",0,E146*IFERROR(VLOOKUP(B146,'Recetas y precios'!$A$5:$U$54,21,FALSE),0))</f>
        <v/>
      </c>
      <c r="I146" s="27" t="n"/>
      <c r="J146" s="17">
        <f>G146*I146</f>
        <v/>
      </c>
      <c r="K146" s="17">
        <f>G146-H146-J146</f>
        <v/>
      </c>
      <c r="L146" s="29">
        <f>IF(G146&gt;0,K146/G146,"")</f>
        <v/>
      </c>
      <c r="M146" s="6" t="n"/>
    </row>
    <row r="147">
      <c r="A147" s="32" t="n"/>
      <c r="B147" s="6" t="n"/>
      <c r="C147">
        <f>IF(B147="","",IFERROR(VLOOKUP(B147,'Recetas y precios'!$A$5:$B$54,2,FALSE),""))</f>
        <v/>
      </c>
      <c r="D147" s="6" t="n"/>
      <c r="E147" s="6" t="n"/>
      <c r="F147" s="11" t="n"/>
      <c r="G147" s="17">
        <f>E147*F147</f>
        <v/>
      </c>
      <c r="H147" s="17">
        <f>IF(B147="",0,E147*IFERROR(VLOOKUP(B147,'Recetas y precios'!$A$5:$U$54,21,FALSE),0))</f>
        <v/>
      </c>
      <c r="I147" s="27" t="n"/>
      <c r="J147" s="17">
        <f>G147*I147</f>
        <v/>
      </c>
      <c r="K147" s="17">
        <f>G147-H147-J147</f>
        <v/>
      </c>
      <c r="L147" s="29">
        <f>IF(G147&gt;0,K147/G147,"")</f>
        <v/>
      </c>
      <c r="M147" s="6" t="n"/>
    </row>
    <row r="148">
      <c r="A148" s="32" t="n"/>
      <c r="B148" s="6" t="n"/>
      <c r="C148">
        <f>IF(B148="","",IFERROR(VLOOKUP(B148,'Recetas y precios'!$A$5:$B$54,2,FALSE),""))</f>
        <v/>
      </c>
      <c r="D148" s="6" t="n"/>
      <c r="E148" s="6" t="n"/>
      <c r="F148" s="11" t="n"/>
      <c r="G148" s="17">
        <f>E148*F148</f>
        <v/>
      </c>
      <c r="H148" s="17">
        <f>IF(B148="",0,E148*IFERROR(VLOOKUP(B148,'Recetas y precios'!$A$5:$U$54,21,FALSE),0))</f>
        <v/>
      </c>
      <c r="I148" s="27" t="n"/>
      <c r="J148" s="17">
        <f>G148*I148</f>
        <v/>
      </c>
      <c r="K148" s="17">
        <f>G148-H148-J148</f>
        <v/>
      </c>
      <c r="L148" s="29">
        <f>IF(G148&gt;0,K148/G148,"")</f>
        <v/>
      </c>
      <c r="M148" s="6" t="n"/>
    </row>
    <row r="149">
      <c r="A149" s="32" t="n"/>
      <c r="B149" s="6" t="n"/>
      <c r="C149">
        <f>IF(B149="","",IFERROR(VLOOKUP(B149,'Recetas y precios'!$A$5:$B$54,2,FALSE),""))</f>
        <v/>
      </c>
      <c r="D149" s="6" t="n"/>
      <c r="E149" s="6" t="n"/>
      <c r="F149" s="11" t="n"/>
      <c r="G149" s="17">
        <f>E149*F149</f>
        <v/>
      </c>
      <c r="H149" s="17">
        <f>IF(B149="",0,E149*IFERROR(VLOOKUP(B149,'Recetas y precios'!$A$5:$U$54,21,FALSE),0))</f>
        <v/>
      </c>
      <c r="I149" s="27" t="n"/>
      <c r="J149" s="17">
        <f>G149*I149</f>
        <v/>
      </c>
      <c r="K149" s="17">
        <f>G149-H149-J149</f>
        <v/>
      </c>
      <c r="L149" s="29">
        <f>IF(G149&gt;0,K149/G149,"")</f>
        <v/>
      </c>
      <c r="M149" s="6" t="n"/>
    </row>
    <row r="150">
      <c r="A150" s="32" t="n"/>
      <c r="B150" s="6" t="n"/>
      <c r="C150">
        <f>IF(B150="","",IFERROR(VLOOKUP(B150,'Recetas y precios'!$A$5:$B$54,2,FALSE),""))</f>
        <v/>
      </c>
      <c r="D150" s="6" t="n"/>
      <c r="E150" s="6" t="n"/>
      <c r="F150" s="11" t="n"/>
      <c r="G150" s="17">
        <f>E150*F150</f>
        <v/>
      </c>
      <c r="H150" s="17">
        <f>IF(B150="",0,E150*IFERROR(VLOOKUP(B150,'Recetas y precios'!$A$5:$U$54,21,FALSE),0))</f>
        <v/>
      </c>
      <c r="I150" s="27" t="n"/>
      <c r="J150" s="17">
        <f>G150*I150</f>
        <v/>
      </c>
      <c r="K150" s="17">
        <f>G150-H150-J150</f>
        <v/>
      </c>
      <c r="L150" s="29">
        <f>IF(G150&gt;0,K150/G150,"")</f>
        <v/>
      </c>
      <c r="M150" s="6" t="n"/>
    </row>
    <row r="151">
      <c r="A151" s="32" t="n"/>
      <c r="B151" s="6" t="n"/>
      <c r="C151">
        <f>IF(B151="","",IFERROR(VLOOKUP(B151,'Recetas y precios'!$A$5:$B$54,2,FALSE),""))</f>
        <v/>
      </c>
      <c r="D151" s="6" t="n"/>
      <c r="E151" s="6" t="n"/>
      <c r="F151" s="11" t="n"/>
      <c r="G151" s="17">
        <f>E151*F151</f>
        <v/>
      </c>
      <c r="H151" s="17">
        <f>IF(B151="",0,E151*IFERROR(VLOOKUP(B151,'Recetas y precios'!$A$5:$U$54,21,FALSE),0))</f>
        <v/>
      </c>
      <c r="I151" s="27" t="n"/>
      <c r="J151" s="17">
        <f>G151*I151</f>
        <v/>
      </c>
      <c r="K151" s="17">
        <f>G151-H151-J151</f>
        <v/>
      </c>
      <c r="L151" s="29">
        <f>IF(G151&gt;0,K151/G151,"")</f>
        <v/>
      </c>
      <c r="M151" s="6" t="n"/>
    </row>
    <row r="152">
      <c r="A152" s="32" t="n"/>
      <c r="B152" s="6" t="n"/>
      <c r="C152">
        <f>IF(B152="","",IFERROR(VLOOKUP(B152,'Recetas y precios'!$A$5:$B$54,2,FALSE),""))</f>
        <v/>
      </c>
      <c r="D152" s="6" t="n"/>
      <c r="E152" s="6" t="n"/>
      <c r="F152" s="11" t="n"/>
      <c r="G152" s="17">
        <f>E152*F152</f>
        <v/>
      </c>
      <c r="H152" s="17">
        <f>IF(B152="",0,E152*IFERROR(VLOOKUP(B152,'Recetas y precios'!$A$5:$U$54,21,FALSE),0))</f>
        <v/>
      </c>
      <c r="I152" s="27" t="n"/>
      <c r="J152" s="17">
        <f>G152*I152</f>
        <v/>
      </c>
      <c r="K152" s="17">
        <f>G152-H152-J152</f>
        <v/>
      </c>
      <c r="L152" s="29">
        <f>IF(G152&gt;0,K152/G152,"")</f>
        <v/>
      </c>
      <c r="M152" s="6" t="n"/>
    </row>
    <row r="153">
      <c r="A153" s="32" t="n"/>
      <c r="B153" s="6" t="n"/>
      <c r="C153">
        <f>IF(B153="","",IFERROR(VLOOKUP(B153,'Recetas y precios'!$A$5:$B$54,2,FALSE),""))</f>
        <v/>
      </c>
      <c r="D153" s="6" t="n"/>
      <c r="E153" s="6" t="n"/>
      <c r="F153" s="11" t="n"/>
      <c r="G153" s="17">
        <f>E153*F153</f>
        <v/>
      </c>
      <c r="H153" s="17">
        <f>IF(B153="",0,E153*IFERROR(VLOOKUP(B153,'Recetas y precios'!$A$5:$U$54,21,FALSE),0))</f>
        <v/>
      </c>
      <c r="I153" s="27" t="n"/>
      <c r="J153" s="17">
        <f>G153*I153</f>
        <v/>
      </c>
      <c r="K153" s="17">
        <f>G153-H153-J153</f>
        <v/>
      </c>
      <c r="L153" s="29">
        <f>IF(G153&gt;0,K153/G153,"")</f>
        <v/>
      </c>
      <c r="M153" s="6" t="n"/>
    </row>
    <row r="154">
      <c r="A154" s="32" t="n"/>
      <c r="B154" s="6" t="n"/>
      <c r="C154">
        <f>IF(B154="","",IFERROR(VLOOKUP(B154,'Recetas y precios'!$A$5:$B$54,2,FALSE),""))</f>
        <v/>
      </c>
      <c r="D154" s="6" t="n"/>
      <c r="E154" s="6" t="n"/>
      <c r="F154" s="11" t="n"/>
      <c r="G154" s="17">
        <f>E154*F154</f>
        <v/>
      </c>
      <c r="H154" s="17">
        <f>IF(B154="",0,E154*IFERROR(VLOOKUP(B154,'Recetas y precios'!$A$5:$U$54,21,FALSE),0))</f>
        <v/>
      </c>
      <c r="I154" s="27" t="n"/>
      <c r="J154" s="17">
        <f>G154*I154</f>
        <v/>
      </c>
      <c r="K154" s="17">
        <f>G154-H154-J154</f>
        <v/>
      </c>
      <c r="L154" s="29">
        <f>IF(G154&gt;0,K154/G154,"")</f>
        <v/>
      </c>
      <c r="M154" s="6" t="n"/>
    </row>
    <row r="155">
      <c r="A155" s="32" t="n"/>
      <c r="B155" s="6" t="n"/>
      <c r="C155">
        <f>IF(B155="","",IFERROR(VLOOKUP(B155,'Recetas y precios'!$A$5:$B$54,2,FALSE),""))</f>
        <v/>
      </c>
      <c r="D155" s="6" t="n"/>
      <c r="E155" s="6" t="n"/>
      <c r="F155" s="11" t="n"/>
      <c r="G155" s="17">
        <f>E155*F155</f>
        <v/>
      </c>
      <c r="H155" s="17">
        <f>IF(B155="",0,E155*IFERROR(VLOOKUP(B155,'Recetas y precios'!$A$5:$U$54,21,FALSE),0))</f>
        <v/>
      </c>
      <c r="I155" s="27" t="n"/>
      <c r="J155" s="17">
        <f>G155*I155</f>
        <v/>
      </c>
      <c r="K155" s="17">
        <f>G155-H155-J155</f>
        <v/>
      </c>
      <c r="L155" s="29">
        <f>IF(G155&gt;0,K155/G155,"")</f>
        <v/>
      </c>
      <c r="M155" s="6" t="n"/>
    </row>
    <row r="156">
      <c r="A156" s="32" t="n"/>
      <c r="B156" s="6" t="n"/>
      <c r="C156">
        <f>IF(B156="","",IFERROR(VLOOKUP(B156,'Recetas y precios'!$A$5:$B$54,2,FALSE),""))</f>
        <v/>
      </c>
      <c r="D156" s="6" t="n"/>
      <c r="E156" s="6" t="n"/>
      <c r="F156" s="11" t="n"/>
      <c r="G156" s="17">
        <f>E156*F156</f>
        <v/>
      </c>
      <c r="H156" s="17">
        <f>IF(B156="",0,E156*IFERROR(VLOOKUP(B156,'Recetas y precios'!$A$5:$U$54,21,FALSE),0))</f>
        <v/>
      </c>
      <c r="I156" s="27" t="n"/>
      <c r="J156" s="17">
        <f>G156*I156</f>
        <v/>
      </c>
      <c r="K156" s="17">
        <f>G156-H156-J156</f>
        <v/>
      </c>
      <c r="L156" s="29">
        <f>IF(G156&gt;0,K156/G156,"")</f>
        <v/>
      </c>
      <c r="M156" s="6" t="n"/>
    </row>
    <row r="157">
      <c r="A157" s="32" t="n"/>
      <c r="B157" s="6" t="n"/>
      <c r="C157">
        <f>IF(B157="","",IFERROR(VLOOKUP(B157,'Recetas y precios'!$A$5:$B$54,2,FALSE),""))</f>
        <v/>
      </c>
      <c r="D157" s="6" t="n"/>
      <c r="E157" s="6" t="n"/>
      <c r="F157" s="11" t="n"/>
      <c r="G157" s="17">
        <f>E157*F157</f>
        <v/>
      </c>
      <c r="H157" s="17">
        <f>IF(B157="",0,E157*IFERROR(VLOOKUP(B157,'Recetas y precios'!$A$5:$U$54,21,FALSE),0))</f>
        <v/>
      </c>
      <c r="I157" s="27" t="n"/>
      <c r="J157" s="17">
        <f>G157*I157</f>
        <v/>
      </c>
      <c r="K157" s="17">
        <f>G157-H157-J157</f>
        <v/>
      </c>
      <c r="L157" s="29">
        <f>IF(G157&gt;0,K157/G157,"")</f>
        <v/>
      </c>
      <c r="M157" s="6" t="n"/>
    </row>
    <row r="158">
      <c r="A158" s="32" t="n"/>
      <c r="B158" s="6" t="n"/>
      <c r="C158">
        <f>IF(B158="","",IFERROR(VLOOKUP(B158,'Recetas y precios'!$A$5:$B$54,2,FALSE),""))</f>
        <v/>
      </c>
      <c r="D158" s="6" t="n"/>
      <c r="E158" s="6" t="n"/>
      <c r="F158" s="11" t="n"/>
      <c r="G158" s="17">
        <f>E158*F158</f>
        <v/>
      </c>
      <c r="H158" s="17">
        <f>IF(B158="",0,E158*IFERROR(VLOOKUP(B158,'Recetas y precios'!$A$5:$U$54,21,FALSE),0))</f>
        <v/>
      </c>
      <c r="I158" s="27" t="n"/>
      <c r="J158" s="17">
        <f>G158*I158</f>
        <v/>
      </c>
      <c r="K158" s="17">
        <f>G158-H158-J158</f>
        <v/>
      </c>
      <c r="L158" s="29">
        <f>IF(G158&gt;0,K158/G158,"")</f>
        <v/>
      </c>
      <c r="M158" s="6" t="n"/>
    </row>
    <row r="159">
      <c r="A159" s="32" t="n"/>
      <c r="B159" s="6" t="n"/>
      <c r="C159">
        <f>IF(B159="","",IFERROR(VLOOKUP(B159,'Recetas y precios'!$A$5:$B$54,2,FALSE),""))</f>
        <v/>
      </c>
      <c r="D159" s="6" t="n"/>
      <c r="E159" s="6" t="n"/>
      <c r="F159" s="11" t="n"/>
      <c r="G159" s="17">
        <f>E159*F159</f>
        <v/>
      </c>
      <c r="H159" s="17">
        <f>IF(B159="",0,E159*IFERROR(VLOOKUP(B159,'Recetas y precios'!$A$5:$U$54,21,FALSE),0))</f>
        <v/>
      </c>
      <c r="I159" s="27" t="n"/>
      <c r="J159" s="17">
        <f>G159*I159</f>
        <v/>
      </c>
      <c r="K159" s="17">
        <f>G159-H159-J159</f>
        <v/>
      </c>
      <c r="L159" s="29">
        <f>IF(G159&gt;0,K159/G159,"")</f>
        <v/>
      </c>
      <c r="M159" s="6" t="n"/>
    </row>
    <row r="160">
      <c r="A160" s="32" t="n"/>
      <c r="B160" s="6" t="n"/>
      <c r="C160">
        <f>IF(B160="","",IFERROR(VLOOKUP(B160,'Recetas y precios'!$A$5:$B$54,2,FALSE),""))</f>
        <v/>
      </c>
      <c r="D160" s="6" t="n"/>
      <c r="E160" s="6" t="n"/>
      <c r="F160" s="11" t="n"/>
      <c r="G160" s="17">
        <f>E160*F160</f>
        <v/>
      </c>
      <c r="H160" s="17">
        <f>IF(B160="",0,E160*IFERROR(VLOOKUP(B160,'Recetas y precios'!$A$5:$U$54,21,FALSE),0))</f>
        <v/>
      </c>
      <c r="I160" s="27" t="n"/>
      <c r="J160" s="17">
        <f>G160*I160</f>
        <v/>
      </c>
      <c r="K160" s="17">
        <f>G160-H160-J160</f>
        <v/>
      </c>
      <c r="L160" s="29">
        <f>IF(G160&gt;0,K160/G160,"")</f>
        <v/>
      </c>
      <c r="M160" s="6" t="n"/>
    </row>
    <row r="161">
      <c r="A161" s="32" t="n"/>
      <c r="B161" s="6" t="n"/>
      <c r="C161">
        <f>IF(B161="","",IFERROR(VLOOKUP(B161,'Recetas y precios'!$A$5:$B$54,2,FALSE),""))</f>
        <v/>
      </c>
      <c r="D161" s="6" t="n"/>
      <c r="E161" s="6" t="n"/>
      <c r="F161" s="11" t="n"/>
      <c r="G161" s="17">
        <f>E161*F161</f>
        <v/>
      </c>
      <c r="H161" s="17">
        <f>IF(B161="",0,E161*IFERROR(VLOOKUP(B161,'Recetas y precios'!$A$5:$U$54,21,FALSE),0))</f>
        <v/>
      </c>
      <c r="I161" s="27" t="n"/>
      <c r="J161" s="17">
        <f>G161*I161</f>
        <v/>
      </c>
      <c r="K161" s="17">
        <f>G161-H161-J161</f>
        <v/>
      </c>
      <c r="L161" s="29">
        <f>IF(G161&gt;0,K161/G161,"")</f>
        <v/>
      </c>
      <c r="M161" s="6" t="n"/>
    </row>
    <row r="162">
      <c r="A162" s="32" t="n"/>
      <c r="B162" s="6" t="n"/>
      <c r="C162">
        <f>IF(B162="","",IFERROR(VLOOKUP(B162,'Recetas y precios'!$A$5:$B$54,2,FALSE),""))</f>
        <v/>
      </c>
      <c r="D162" s="6" t="n"/>
      <c r="E162" s="6" t="n"/>
      <c r="F162" s="11" t="n"/>
      <c r="G162" s="17">
        <f>E162*F162</f>
        <v/>
      </c>
      <c r="H162" s="17">
        <f>IF(B162="",0,E162*IFERROR(VLOOKUP(B162,'Recetas y precios'!$A$5:$U$54,21,FALSE),0))</f>
        <v/>
      </c>
      <c r="I162" s="27" t="n"/>
      <c r="J162" s="17">
        <f>G162*I162</f>
        <v/>
      </c>
      <c r="K162" s="17">
        <f>G162-H162-J162</f>
        <v/>
      </c>
      <c r="L162" s="29">
        <f>IF(G162&gt;0,K162/G162,"")</f>
        <v/>
      </c>
      <c r="M162" s="6" t="n"/>
    </row>
    <row r="163">
      <c r="A163" s="32" t="n"/>
      <c r="B163" s="6" t="n"/>
      <c r="C163">
        <f>IF(B163="","",IFERROR(VLOOKUP(B163,'Recetas y precios'!$A$5:$B$54,2,FALSE),""))</f>
        <v/>
      </c>
      <c r="D163" s="6" t="n"/>
      <c r="E163" s="6" t="n"/>
      <c r="F163" s="11" t="n"/>
      <c r="G163" s="17">
        <f>E163*F163</f>
        <v/>
      </c>
      <c r="H163" s="17">
        <f>IF(B163="",0,E163*IFERROR(VLOOKUP(B163,'Recetas y precios'!$A$5:$U$54,21,FALSE),0))</f>
        <v/>
      </c>
      <c r="I163" s="27" t="n"/>
      <c r="J163" s="17">
        <f>G163*I163</f>
        <v/>
      </c>
      <c r="K163" s="17">
        <f>G163-H163-J163</f>
        <v/>
      </c>
      <c r="L163" s="29">
        <f>IF(G163&gt;0,K163/G163,"")</f>
        <v/>
      </c>
      <c r="M163" s="6" t="n"/>
    </row>
    <row r="164">
      <c r="A164" s="32" t="n"/>
      <c r="B164" s="6" t="n"/>
      <c r="C164">
        <f>IF(B164="","",IFERROR(VLOOKUP(B164,'Recetas y precios'!$A$5:$B$54,2,FALSE),""))</f>
        <v/>
      </c>
      <c r="D164" s="6" t="n"/>
      <c r="E164" s="6" t="n"/>
      <c r="F164" s="11" t="n"/>
      <c r="G164" s="17">
        <f>E164*F164</f>
        <v/>
      </c>
      <c r="H164" s="17">
        <f>IF(B164="",0,E164*IFERROR(VLOOKUP(B164,'Recetas y precios'!$A$5:$U$54,21,FALSE),0))</f>
        <v/>
      </c>
      <c r="I164" s="27" t="n"/>
      <c r="J164" s="17">
        <f>G164*I164</f>
        <v/>
      </c>
      <c r="K164" s="17">
        <f>G164-H164-J164</f>
        <v/>
      </c>
      <c r="L164" s="29">
        <f>IF(G164&gt;0,K164/G164,"")</f>
        <v/>
      </c>
      <c r="M164" s="6" t="n"/>
    </row>
    <row r="165">
      <c r="A165" s="32" t="n"/>
      <c r="B165" s="6" t="n"/>
      <c r="C165">
        <f>IF(B165="","",IFERROR(VLOOKUP(B165,'Recetas y precios'!$A$5:$B$54,2,FALSE),""))</f>
        <v/>
      </c>
      <c r="D165" s="6" t="n"/>
      <c r="E165" s="6" t="n"/>
      <c r="F165" s="11" t="n"/>
      <c r="G165" s="17">
        <f>E165*F165</f>
        <v/>
      </c>
      <c r="H165" s="17">
        <f>IF(B165="",0,E165*IFERROR(VLOOKUP(B165,'Recetas y precios'!$A$5:$U$54,21,FALSE),0))</f>
        <v/>
      </c>
      <c r="I165" s="27" t="n"/>
      <c r="J165" s="17">
        <f>G165*I165</f>
        <v/>
      </c>
      <c r="K165" s="17">
        <f>G165-H165-J165</f>
        <v/>
      </c>
      <c r="L165" s="29">
        <f>IF(G165&gt;0,K165/G165,"")</f>
        <v/>
      </c>
      <c r="M165" s="6" t="n"/>
    </row>
    <row r="166">
      <c r="A166" s="32" t="n"/>
      <c r="B166" s="6" t="n"/>
      <c r="C166">
        <f>IF(B166="","",IFERROR(VLOOKUP(B166,'Recetas y precios'!$A$5:$B$54,2,FALSE),""))</f>
        <v/>
      </c>
      <c r="D166" s="6" t="n"/>
      <c r="E166" s="6" t="n"/>
      <c r="F166" s="11" t="n"/>
      <c r="G166" s="17">
        <f>E166*F166</f>
        <v/>
      </c>
      <c r="H166" s="17">
        <f>IF(B166="",0,E166*IFERROR(VLOOKUP(B166,'Recetas y precios'!$A$5:$U$54,21,FALSE),0))</f>
        <v/>
      </c>
      <c r="I166" s="27" t="n"/>
      <c r="J166" s="17">
        <f>G166*I166</f>
        <v/>
      </c>
      <c r="K166" s="17">
        <f>G166-H166-J166</f>
        <v/>
      </c>
      <c r="L166" s="29">
        <f>IF(G166&gt;0,K166/G166,"")</f>
        <v/>
      </c>
      <c r="M166" s="6" t="n"/>
    </row>
    <row r="167">
      <c r="A167" s="32" t="n"/>
      <c r="B167" s="6" t="n"/>
      <c r="C167">
        <f>IF(B167="","",IFERROR(VLOOKUP(B167,'Recetas y precios'!$A$5:$B$54,2,FALSE),""))</f>
        <v/>
      </c>
      <c r="D167" s="6" t="n"/>
      <c r="E167" s="6" t="n"/>
      <c r="F167" s="11" t="n"/>
      <c r="G167" s="17">
        <f>E167*F167</f>
        <v/>
      </c>
      <c r="H167" s="17">
        <f>IF(B167="",0,E167*IFERROR(VLOOKUP(B167,'Recetas y precios'!$A$5:$U$54,21,FALSE),0))</f>
        <v/>
      </c>
      <c r="I167" s="27" t="n"/>
      <c r="J167" s="17">
        <f>G167*I167</f>
        <v/>
      </c>
      <c r="K167" s="17">
        <f>G167-H167-J167</f>
        <v/>
      </c>
      <c r="L167" s="29">
        <f>IF(G167&gt;0,K167/G167,"")</f>
        <v/>
      </c>
      <c r="M167" s="6" t="n"/>
    </row>
    <row r="168">
      <c r="A168" s="32" t="n"/>
      <c r="B168" s="6" t="n"/>
      <c r="C168">
        <f>IF(B168="","",IFERROR(VLOOKUP(B168,'Recetas y precios'!$A$5:$B$54,2,FALSE),""))</f>
        <v/>
      </c>
      <c r="D168" s="6" t="n"/>
      <c r="E168" s="6" t="n"/>
      <c r="F168" s="11" t="n"/>
      <c r="G168" s="17">
        <f>E168*F168</f>
        <v/>
      </c>
      <c r="H168" s="17">
        <f>IF(B168="",0,E168*IFERROR(VLOOKUP(B168,'Recetas y precios'!$A$5:$U$54,21,FALSE),0))</f>
        <v/>
      </c>
      <c r="I168" s="27" t="n"/>
      <c r="J168" s="17">
        <f>G168*I168</f>
        <v/>
      </c>
      <c r="K168" s="17">
        <f>G168-H168-J168</f>
        <v/>
      </c>
      <c r="L168" s="29">
        <f>IF(G168&gt;0,K168/G168,"")</f>
        <v/>
      </c>
      <c r="M168" s="6" t="n"/>
    </row>
    <row r="169">
      <c r="A169" s="32" t="n"/>
      <c r="B169" s="6" t="n"/>
      <c r="C169">
        <f>IF(B169="","",IFERROR(VLOOKUP(B169,'Recetas y precios'!$A$5:$B$54,2,FALSE),""))</f>
        <v/>
      </c>
      <c r="D169" s="6" t="n"/>
      <c r="E169" s="6" t="n"/>
      <c r="F169" s="11" t="n"/>
      <c r="G169" s="17">
        <f>E169*F169</f>
        <v/>
      </c>
      <c r="H169" s="17">
        <f>IF(B169="",0,E169*IFERROR(VLOOKUP(B169,'Recetas y precios'!$A$5:$U$54,21,FALSE),0))</f>
        <v/>
      </c>
      <c r="I169" s="27" t="n"/>
      <c r="J169" s="17">
        <f>G169*I169</f>
        <v/>
      </c>
      <c r="K169" s="17">
        <f>G169-H169-J169</f>
        <v/>
      </c>
      <c r="L169" s="29">
        <f>IF(G169&gt;0,K169/G169,"")</f>
        <v/>
      </c>
      <c r="M169" s="6" t="n"/>
    </row>
    <row r="170">
      <c r="A170" s="32" t="n"/>
      <c r="B170" s="6" t="n"/>
      <c r="C170">
        <f>IF(B170="","",IFERROR(VLOOKUP(B170,'Recetas y precios'!$A$5:$B$54,2,FALSE),""))</f>
        <v/>
      </c>
      <c r="D170" s="6" t="n"/>
      <c r="E170" s="6" t="n"/>
      <c r="F170" s="11" t="n"/>
      <c r="G170" s="17">
        <f>E170*F170</f>
        <v/>
      </c>
      <c r="H170" s="17">
        <f>IF(B170="",0,E170*IFERROR(VLOOKUP(B170,'Recetas y precios'!$A$5:$U$54,21,FALSE),0))</f>
        <v/>
      </c>
      <c r="I170" s="27" t="n"/>
      <c r="J170" s="17">
        <f>G170*I170</f>
        <v/>
      </c>
      <c r="K170" s="17">
        <f>G170-H170-J170</f>
        <v/>
      </c>
      <c r="L170" s="29">
        <f>IF(G170&gt;0,K170/G170,"")</f>
        <v/>
      </c>
      <c r="M170" s="6" t="n"/>
    </row>
    <row r="171">
      <c r="A171" s="32" t="n"/>
      <c r="B171" s="6" t="n"/>
      <c r="C171">
        <f>IF(B171="","",IFERROR(VLOOKUP(B171,'Recetas y precios'!$A$5:$B$54,2,FALSE),""))</f>
        <v/>
      </c>
      <c r="D171" s="6" t="n"/>
      <c r="E171" s="6" t="n"/>
      <c r="F171" s="11" t="n"/>
      <c r="G171" s="17">
        <f>E171*F171</f>
        <v/>
      </c>
      <c r="H171" s="17">
        <f>IF(B171="",0,E171*IFERROR(VLOOKUP(B171,'Recetas y precios'!$A$5:$U$54,21,FALSE),0))</f>
        <v/>
      </c>
      <c r="I171" s="27" t="n"/>
      <c r="J171" s="17">
        <f>G171*I171</f>
        <v/>
      </c>
      <c r="K171" s="17">
        <f>G171-H171-J171</f>
        <v/>
      </c>
      <c r="L171" s="29">
        <f>IF(G171&gt;0,K171/G171,"")</f>
        <v/>
      </c>
      <c r="M171" s="6" t="n"/>
    </row>
    <row r="172">
      <c r="A172" s="32" t="n"/>
      <c r="B172" s="6" t="n"/>
      <c r="C172">
        <f>IF(B172="","",IFERROR(VLOOKUP(B172,'Recetas y precios'!$A$5:$B$54,2,FALSE),""))</f>
        <v/>
      </c>
      <c r="D172" s="6" t="n"/>
      <c r="E172" s="6" t="n"/>
      <c r="F172" s="11" t="n"/>
      <c r="G172" s="17">
        <f>E172*F172</f>
        <v/>
      </c>
      <c r="H172" s="17">
        <f>IF(B172="",0,E172*IFERROR(VLOOKUP(B172,'Recetas y precios'!$A$5:$U$54,21,FALSE),0))</f>
        <v/>
      </c>
      <c r="I172" s="27" t="n"/>
      <c r="J172" s="17">
        <f>G172*I172</f>
        <v/>
      </c>
      <c r="K172" s="17">
        <f>G172-H172-J172</f>
        <v/>
      </c>
      <c r="L172" s="29">
        <f>IF(G172&gt;0,K172/G172,"")</f>
        <v/>
      </c>
      <c r="M172" s="6" t="n"/>
    </row>
    <row r="173">
      <c r="A173" s="32" t="n"/>
      <c r="B173" s="6" t="n"/>
      <c r="C173">
        <f>IF(B173="","",IFERROR(VLOOKUP(B173,'Recetas y precios'!$A$5:$B$54,2,FALSE),""))</f>
        <v/>
      </c>
      <c r="D173" s="6" t="n"/>
      <c r="E173" s="6" t="n"/>
      <c r="F173" s="11" t="n"/>
      <c r="G173" s="17">
        <f>E173*F173</f>
        <v/>
      </c>
      <c r="H173" s="17">
        <f>IF(B173="",0,E173*IFERROR(VLOOKUP(B173,'Recetas y precios'!$A$5:$U$54,21,FALSE),0))</f>
        <v/>
      </c>
      <c r="I173" s="27" t="n"/>
      <c r="J173" s="17">
        <f>G173*I173</f>
        <v/>
      </c>
      <c r="K173" s="17">
        <f>G173-H173-J173</f>
        <v/>
      </c>
      <c r="L173" s="29">
        <f>IF(G173&gt;0,K173/G173,"")</f>
        <v/>
      </c>
      <c r="M173" s="6" t="n"/>
    </row>
    <row r="174">
      <c r="A174" s="32" t="n"/>
      <c r="B174" s="6" t="n"/>
      <c r="C174">
        <f>IF(B174="","",IFERROR(VLOOKUP(B174,'Recetas y precios'!$A$5:$B$54,2,FALSE),""))</f>
        <v/>
      </c>
      <c r="D174" s="6" t="n"/>
      <c r="E174" s="6" t="n"/>
      <c r="F174" s="11" t="n"/>
      <c r="G174" s="17">
        <f>E174*F174</f>
        <v/>
      </c>
      <c r="H174" s="17">
        <f>IF(B174="",0,E174*IFERROR(VLOOKUP(B174,'Recetas y precios'!$A$5:$U$54,21,FALSE),0))</f>
        <v/>
      </c>
      <c r="I174" s="27" t="n"/>
      <c r="J174" s="17">
        <f>G174*I174</f>
        <v/>
      </c>
      <c r="K174" s="17">
        <f>G174-H174-J174</f>
        <v/>
      </c>
      <c r="L174" s="29">
        <f>IF(G174&gt;0,K174/G174,"")</f>
        <v/>
      </c>
      <c r="M174" s="6" t="n"/>
    </row>
    <row r="175">
      <c r="A175" s="32" t="n"/>
      <c r="B175" s="6" t="n"/>
      <c r="C175">
        <f>IF(B175="","",IFERROR(VLOOKUP(B175,'Recetas y precios'!$A$5:$B$54,2,FALSE),""))</f>
        <v/>
      </c>
      <c r="D175" s="6" t="n"/>
      <c r="E175" s="6" t="n"/>
      <c r="F175" s="11" t="n"/>
      <c r="G175" s="17">
        <f>E175*F175</f>
        <v/>
      </c>
      <c r="H175" s="17">
        <f>IF(B175="",0,E175*IFERROR(VLOOKUP(B175,'Recetas y precios'!$A$5:$U$54,21,FALSE),0))</f>
        <v/>
      </c>
      <c r="I175" s="27" t="n"/>
      <c r="J175" s="17">
        <f>G175*I175</f>
        <v/>
      </c>
      <c r="K175" s="17">
        <f>G175-H175-J175</f>
        <v/>
      </c>
      <c r="L175" s="29">
        <f>IF(G175&gt;0,K175/G175,"")</f>
        <v/>
      </c>
      <c r="M175" s="6" t="n"/>
    </row>
    <row r="176">
      <c r="A176" s="32" t="n"/>
      <c r="B176" s="6" t="n"/>
      <c r="C176">
        <f>IF(B176="","",IFERROR(VLOOKUP(B176,'Recetas y precios'!$A$5:$B$54,2,FALSE),""))</f>
        <v/>
      </c>
      <c r="D176" s="6" t="n"/>
      <c r="E176" s="6" t="n"/>
      <c r="F176" s="11" t="n"/>
      <c r="G176" s="17">
        <f>E176*F176</f>
        <v/>
      </c>
      <c r="H176" s="17">
        <f>IF(B176="",0,E176*IFERROR(VLOOKUP(B176,'Recetas y precios'!$A$5:$U$54,21,FALSE),0))</f>
        <v/>
      </c>
      <c r="I176" s="27" t="n"/>
      <c r="J176" s="17">
        <f>G176*I176</f>
        <v/>
      </c>
      <c r="K176" s="17">
        <f>G176-H176-J176</f>
        <v/>
      </c>
      <c r="L176" s="29">
        <f>IF(G176&gt;0,K176/G176,"")</f>
        <v/>
      </c>
      <c r="M176" s="6" t="n"/>
    </row>
    <row r="177">
      <c r="A177" s="32" t="n"/>
      <c r="B177" s="6" t="n"/>
      <c r="C177">
        <f>IF(B177="","",IFERROR(VLOOKUP(B177,'Recetas y precios'!$A$5:$B$54,2,FALSE),""))</f>
        <v/>
      </c>
      <c r="D177" s="6" t="n"/>
      <c r="E177" s="6" t="n"/>
      <c r="F177" s="11" t="n"/>
      <c r="G177" s="17">
        <f>E177*F177</f>
        <v/>
      </c>
      <c r="H177" s="17">
        <f>IF(B177="",0,E177*IFERROR(VLOOKUP(B177,'Recetas y precios'!$A$5:$U$54,21,FALSE),0))</f>
        <v/>
      </c>
      <c r="I177" s="27" t="n"/>
      <c r="J177" s="17">
        <f>G177*I177</f>
        <v/>
      </c>
      <c r="K177" s="17">
        <f>G177-H177-J177</f>
        <v/>
      </c>
      <c r="L177" s="29">
        <f>IF(G177&gt;0,K177/G177,"")</f>
        <v/>
      </c>
      <c r="M177" s="6" t="n"/>
    </row>
    <row r="178">
      <c r="A178" s="32" t="n"/>
      <c r="B178" s="6" t="n"/>
      <c r="C178">
        <f>IF(B178="","",IFERROR(VLOOKUP(B178,'Recetas y precios'!$A$5:$B$54,2,FALSE),""))</f>
        <v/>
      </c>
      <c r="D178" s="6" t="n"/>
      <c r="E178" s="6" t="n"/>
      <c r="F178" s="11" t="n"/>
      <c r="G178" s="17">
        <f>E178*F178</f>
        <v/>
      </c>
      <c r="H178" s="17">
        <f>IF(B178="",0,E178*IFERROR(VLOOKUP(B178,'Recetas y precios'!$A$5:$U$54,21,FALSE),0))</f>
        <v/>
      </c>
      <c r="I178" s="27" t="n"/>
      <c r="J178" s="17">
        <f>G178*I178</f>
        <v/>
      </c>
      <c r="K178" s="17">
        <f>G178-H178-J178</f>
        <v/>
      </c>
      <c r="L178" s="29">
        <f>IF(G178&gt;0,K178/G178,"")</f>
        <v/>
      </c>
      <c r="M178" s="6" t="n"/>
    </row>
    <row r="179">
      <c r="A179" s="32" t="n"/>
      <c r="B179" s="6" t="n"/>
      <c r="C179">
        <f>IF(B179="","",IFERROR(VLOOKUP(B179,'Recetas y precios'!$A$5:$B$54,2,FALSE),""))</f>
        <v/>
      </c>
      <c r="D179" s="6" t="n"/>
      <c r="E179" s="6" t="n"/>
      <c r="F179" s="11" t="n"/>
      <c r="G179" s="17">
        <f>E179*F179</f>
        <v/>
      </c>
      <c r="H179" s="17">
        <f>IF(B179="",0,E179*IFERROR(VLOOKUP(B179,'Recetas y precios'!$A$5:$U$54,21,FALSE),0))</f>
        <v/>
      </c>
      <c r="I179" s="27" t="n"/>
      <c r="J179" s="17">
        <f>G179*I179</f>
        <v/>
      </c>
      <c r="K179" s="17">
        <f>G179-H179-J179</f>
        <v/>
      </c>
      <c r="L179" s="29">
        <f>IF(G179&gt;0,K179/G179,"")</f>
        <v/>
      </c>
      <c r="M179" s="6" t="n"/>
    </row>
    <row r="180">
      <c r="A180" s="32" t="n"/>
      <c r="B180" s="6" t="n"/>
      <c r="C180">
        <f>IF(B180="","",IFERROR(VLOOKUP(B180,'Recetas y precios'!$A$5:$B$54,2,FALSE),""))</f>
        <v/>
      </c>
      <c r="D180" s="6" t="n"/>
      <c r="E180" s="6" t="n"/>
      <c r="F180" s="11" t="n"/>
      <c r="G180" s="17">
        <f>E180*F180</f>
        <v/>
      </c>
      <c r="H180" s="17">
        <f>IF(B180="",0,E180*IFERROR(VLOOKUP(B180,'Recetas y precios'!$A$5:$U$54,21,FALSE),0))</f>
        <v/>
      </c>
      <c r="I180" s="27" t="n"/>
      <c r="J180" s="17">
        <f>G180*I180</f>
        <v/>
      </c>
      <c r="K180" s="17">
        <f>G180-H180-J180</f>
        <v/>
      </c>
      <c r="L180" s="29">
        <f>IF(G180&gt;0,K180/G180,"")</f>
        <v/>
      </c>
      <c r="M180" s="6" t="n"/>
    </row>
    <row r="181">
      <c r="A181" s="32" t="n"/>
      <c r="B181" s="6" t="n"/>
      <c r="C181">
        <f>IF(B181="","",IFERROR(VLOOKUP(B181,'Recetas y precios'!$A$5:$B$54,2,FALSE),""))</f>
        <v/>
      </c>
      <c r="D181" s="6" t="n"/>
      <c r="E181" s="6" t="n"/>
      <c r="F181" s="11" t="n"/>
      <c r="G181" s="17">
        <f>E181*F181</f>
        <v/>
      </c>
      <c r="H181" s="17">
        <f>IF(B181="",0,E181*IFERROR(VLOOKUP(B181,'Recetas y precios'!$A$5:$U$54,21,FALSE),0))</f>
        <v/>
      </c>
      <c r="I181" s="27" t="n"/>
      <c r="J181" s="17">
        <f>G181*I181</f>
        <v/>
      </c>
      <c r="K181" s="17">
        <f>G181-H181-J181</f>
        <v/>
      </c>
      <c r="L181" s="29">
        <f>IF(G181&gt;0,K181/G181,"")</f>
        <v/>
      </c>
      <c r="M181" s="6" t="n"/>
    </row>
    <row r="182">
      <c r="A182" s="32" t="n"/>
      <c r="B182" s="6" t="n"/>
      <c r="C182">
        <f>IF(B182="","",IFERROR(VLOOKUP(B182,'Recetas y precios'!$A$5:$B$54,2,FALSE),""))</f>
        <v/>
      </c>
      <c r="D182" s="6" t="n"/>
      <c r="E182" s="6" t="n"/>
      <c r="F182" s="11" t="n"/>
      <c r="G182" s="17">
        <f>E182*F182</f>
        <v/>
      </c>
      <c r="H182" s="17">
        <f>IF(B182="",0,E182*IFERROR(VLOOKUP(B182,'Recetas y precios'!$A$5:$U$54,21,FALSE),0))</f>
        <v/>
      </c>
      <c r="I182" s="27" t="n"/>
      <c r="J182" s="17">
        <f>G182*I182</f>
        <v/>
      </c>
      <c r="K182" s="17">
        <f>G182-H182-J182</f>
        <v/>
      </c>
      <c r="L182" s="29">
        <f>IF(G182&gt;0,K182/G182,"")</f>
        <v/>
      </c>
      <c r="M182" s="6" t="n"/>
    </row>
    <row r="183">
      <c r="A183" s="32" t="n"/>
      <c r="B183" s="6" t="n"/>
      <c r="C183">
        <f>IF(B183="","",IFERROR(VLOOKUP(B183,'Recetas y precios'!$A$5:$B$54,2,FALSE),""))</f>
        <v/>
      </c>
      <c r="D183" s="6" t="n"/>
      <c r="E183" s="6" t="n"/>
      <c r="F183" s="11" t="n"/>
      <c r="G183" s="17">
        <f>E183*F183</f>
        <v/>
      </c>
      <c r="H183" s="17">
        <f>IF(B183="",0,E183*IFERROR(VLOOKUP(B183,'Recetas y precios'!$A$5:$U$54,21,FALSE),0))</f>
        <v/>
      </c>
      <c r="I183" s="27" t="n"/>
      <c r="J183" s="17">
        <f>G183*I183</f>
        <v/>
      </c>
      <c r="K183" s="17">
        <f>G183-H183-J183</f>
        <v/>
      </c>
      <c r="L183" s="29">
        <f>IF(G183&gt;0,K183/G183,"")</f>
        <v/>
      </c>
      <c r="M183" s="6" t="n"/>
    </row>
    <row r="184">
      <c r="A184" s="32" t="n"/>
      <c r="B184" s="6" t="n"/>
      <c r="C184">
        <f>IF(B184="","",IFERROR(VLOOKUP(B184,'Recetas y precios'!$A$5:$B$54,2,FALSE),""))</f>
        <v/>
      </c>
      <c r="D184" s="6" t="n"/>
      <c r="E184" s="6" t="n"/>
      <c r="F184" s="11" t="n"/>
      <c r="G184" s="17">
        <f>E184*F184</f>
        <v/>
      </c>
      <c r="H184" s="17">
        <f>IF(B184="",0,E184*IFERROR(VLOOKUP(B184,'Recetas y precios'!$A$5:$U$54,21,FALSE),0))</f>
        <v/>
      </c>
      <c r="I184" s="27" t="n"/>
      <c r="J184" s="17">
        <f>G184*I184</f>
        <v/>
      </c>
      <c r="K184" s="17">
        <f>G184-H184-J184</f>
        <v/>
      </c>
      <c r="L184" s="29">
        <f>IF(G184&gt;0,K184/G184,"")</f>
        <v/>
      </c>
      <c r="M184" s="6" t="n"/>
    </row>
    <row r="185">
      <c r="A185" s="32" t="n"/>
      <c r="B185" s="6" t="n"/>
      <c r="C185">
        <f>IF(B185="","",IFERROR(VLOOKUP(B185,'Recetas y precios'!$A$5:$B$54,2,FALSE),""))</f>
        <v/>
      </c>
      <c r="D185" s="6" t="n"/>
      <c r="E185" s="6" t="n"/>
      <c r="F185" s="11" t="n"/>
      <c r="G185" s="17">
        <f>E185*F185</f>
        <v/>
      </c>
      <c r="H185" s="17">
        <f>IF(B185="",0,E185*IFERROR(VLOOKUP(B185,'Recetas y precios'!$A$5:$U$54,21,FALSE),0))</f>
        <v/>
      </c>
      <c r="I185" s="27" t="n"/>
      <c r="J185" s="17">
        <f>G185*I185</f>
        <v/>
      </c>
      <c r="K185" s="17">
        <f>G185-H185-J185</f>
        <v/>
      </c>
      <c r="L185" s="29">
        <f>IF(G185&gt;0,K185/G185,"")</f>
        <v/>
      </c>
      <c r="M185" s="6" t="n"/>
    </row>
    <row r="186">
      <c r="A186" s="32" t="n"/>
      <c r="B186" s="6" t="n"/>
      <c r="C186">
        <f>IF(B186="","",IFERROR(VLOOKUP(B186,'Recetas y precios'!$A$5:$B$54,2,FALSE),""))</f>
        <v/>
      </c>
      <c r="D186" s="6" t="n"/>
      <c r="E186" s="6" t="n"/>
      <c r="F186" s="11" t="n"/>
      <c r="G186" s="17">
        <f>E186*F186</f>
        <v/>
      </c>
      <c r="H186" s="17">
        <f>IF(B186="",0,E186*IFERROR(VLOOKUP(B186,'Recetas y precios'!$A$5:$U$54,21,FALSE),0))</f>
        <v/>
      </c>
      <c r="I186" s="27" t="n"/>
      <c r="J186" s="17">
        <f>G186*I186</f>
        <v/>
      </c>
      <c r="K186" s="17">
        <f>G186-H186-J186</f>
        <v/>
      </c>
      <c r="L186" s="29">
        <f>IF(G186&gt;0,K186/G186,"")</f>
        <v/>
      </c>
      <c r="M186" s="6" t="n"/>
    </row>
    <row r="187">
      <c r="A187" s="32" t="n"/>
      <c r="B187" s="6" t="n"/>
      <c r="C187">
        <f>IF(B187="","",IFERROR(VLOOKUP(B187,'Recetas y precios'!$A$5:$B$54,2,FALSE),""))</f>
        <v/>
      </c>
      <c r="D187" s="6" t="n"/>
      <c r="E187" s="6" t="n"/>
      <c r="F187" s="11" t="n"/>
      <c r="G187" s="17">
        <f>E187*F187</f>
        <v/>
      </c>
      <c r="H187" s="17">
        <f>IF(B187="",0,E187*IFERROR(VLOOKUP(B187,'Recetas y precios'!$A$5:$U$54,21,FALSE),0))</f>
        <v/>
      </c>
      <c r="I187" s="27" t="n"/>
      <c r="J187" s="17">
        <f>G187*I187</f>
        <v/>
      </c>
      <c r="K187" s="17">
        <f>G187-H187-J187</f>
        <v/>
      </c>
      <c r="L187" s="29">
        <f>IF(G187&gt;0,K187/G187,"")</f>
        <v/>
      </c>
      <c r="M187" s="6" t="n"/>
    </row>
    <row r="188">
      <c r="A188" s="32" t="n"/>
      <c r="B188" s="6" t="n"/>
      <c r="C188">
        <f>IF(B188="","",IFERROR(VLOOKUP(B188,'Recetas y precios'!$A$5:$B$54,2,FALSE),""))</f>
        <v/>
      </c>
      <c r="D188" s="6" t="n"/>
      <c r="E188" s="6" t="n"/>
      <c r="F188" s="11" t="n"/>
      <c r="G188" s="17">
        <f>E188*F188</f>
        <v/>
      </c>
      <c r="H188" s="17">
        <f>IF(B188="",0,E188*IFERROR(VLOOKUP(B188,'Recetas y precios'!$A$5:$U$54,21,FALSE),0))</f>
        <v/>
      </c>
      <c r="I188" s="27" t="n"/>
      <c r="J188" s="17">
        <f>G188*I188</f>
        <v/>
      </c>
      <c r="K188" s="17">
        <f>G188-H188-J188</f>
        <v/>
      </c>
      <c r="L188" s="29">
        <f>IF(G188&gt;0,K188/G188,"")</f>
        <v/>
      </c>
      <c r="M188" s="6" t="n"/>
    </row>
    <row r="189">
      <c r="A189" s="32" t="n"/>
      <c r="B189" s="6" t="n"/>
      <c r="C189">
        <f>IF(B189="","",IFERROR(VLOOKUP(B189,'Recetas y precios'!$A$5:$B$54,2,FALSE),""))</f>
        <v/>
      </c>
      <c r="D189" s="6" t="n"/>
      <c r="E189" s="6" t="n"/>
      <c r="F189" s="11" t="n"/>
      <c r="G189" s="17">
        <f>E189*F189</f>
        <v/>
      </c>
      <c r="H189" s="17">
        <f>IF(B189="",0,E189*IFERROR(VLOOKUP(B189,'Recetas y precios'!$A$5:$U$54,21,FALSE),0))</f>
        <v/>
      </c>
      <c r="I189" s="27" t="n"/>
      <c r="J189" s="17">
        <f>G189*I189</f>
        <v/>
      </c>
      <c r="K189" s="17">
        <f>G189-H189-J189</f>
        <v/>
      </c>
      <c r="L189" s="29">
        <f>IF(G189&gt;0,K189/G189,"")</f>
        <v/>
      </c>
      <c r="M189" s="6" t="n"/>
    </row>
    <row r="190">
      <c r="A190" s="32" t="n"/>
      <c r="B190" s="6" t="n"/>
      <c r="C190">
        <f>IF(B190="","",IFERROR(VLOOKUP(B190,'Recetas y precios'!$A$5:$B$54,2,FALSE),""))</f>
        <v/>
      </c>
      <c r="D190" s="6" t="n"/>
      <c r="E190" s="6" t="n"/>
      <c r="F190" s="11" t="n"/>
      <c r="G190" s="17">
        <f>E190*F190</f>
        <v/>
      </c>
      <c r="H190" s="17">
        <f>IF(B190="",0,E190*IFERROR(VLOOKUP(B190,'Recetas y precios'!$A$5:$U$54,21,FALSE),0))</f>
        <v/>
      </c>
      <c r="I190" s="27" t="n"/>
      <c r="J190" s="17">
        <f>G190*I190</f>
        <v/>
      </c>
      <c r="K190" s="17">
        <f>G190-H190-J190</f>
        <v/>
      </c>
      <c r="L190" s="29">
        <f>IF(G190&gt;0,K190/G190,"")</f>
        <v/>
      </c>
      <c r="M190" s="6" t="n"/>
    </row>
    <row r="191">
      <c r="A191" s="32" t="n"/>
      <c r="B191" s="6" t="n"/>
      <c r="C191">
        <f>IF(B191="","",IFERROR(VLOOKUP(B191,'Recetas y precios'!$A$5:$B$54,2,FALSE),""))</f>
        <v/>
      </c>
      <c r="D191" s="6" t="n"/>
      <c r="E191" s="6" t="n"/>
      <c r="F191" s="11" t="n"/>
      <c r="G191" s="17">
        <f>E191*F191</f>
        <v/>
      </c>
      <c r="H191" s="17">
        <f>IF(B191="",0,E191*IFERROR(VLOOKUP(B191,'Recetas y precios'!$A$5:$U$54,21,FALSE),0))</f>
        <v/>
      </c>
      <c r="I191" s="27" t="n"/>
      <c r="J191" s="17">
        <f>G191*I191</f>
        <v/>
      </c>
      <c r="K191" s="17">
        <f>G191-H191-J191</f>
        <v/>
      </c>
      <c r="L191" s="29">
        <f>IF(G191&gt;0,K191/G191,"")</f>
        <v/>
      </c>
      <c r="M191" s="6" t="n"/>
    </row>
    <row r="192">
      <c r="A192" s="32" t="n"/>
      <c r="B192" s="6" t="n"/>
      <c r="C192">
        <f>IF(B192="","",IFERROR(VLOOKUP(B192,'Recetas y precios'!$A$5:$B$54,2,FALSE),""))</f>
        <v/>
      </c>
      <c r="D192" s="6" t="n"/>
      <c r="E192" s="6" t="n"/>
      <c r="F192" s="11" t="n"/>
      <c r="G192" s="17">
        <f>E192*F192</f>
        <v/>
      </c>
      <c r="H192" s="17">
        <f>IF(B192="",0,E192*IFERROR(VLOOKUP(B192,'Recetas y precios'!$A$5:$U$54,21,FALSE),0))</f>
        <v/>
      </c>
      <c r="I192" s="27" t="n"/>
      <c r="J192" s="17">
        <f>G192*I192</f>
        <v/>
      </c>
      <c r="K192" s="17">
        <f>G192-H192-J192</f>
        <v/>
      </c>
      <c r="L192" s="29">
        <f>IF(G192&gt;0,K192/G192,"")</f>
        <v/>
      </c>
      <c r="M192" s="6" t="n"/>
    </row>
    <row r="193">
      <c r="A193" s="32" t="n"/>
      <c r="B193" s="6" t="n"/>
      <c r="C193">
        <f>IF(B193="","",IFERROR(VLOOKUP(B193,'Recetas y precios'!$A$5:$B$54,2,FALSE),""))</f>
        <v/>
      </c>
      <c r="D193" s="6" t="n"/>
      <c r="E193" s="6" t="n"/>
      <c r="F193" s="11" t="n"/>
      <c r="G193" s="17">
        <f>E193*F193</f>
        <v/>
      </c>
      <c r="H193" s="17">
        <f>IF(B193="",0,E193*IFERROR(VLOOKUP(B193,'Recetas y precios'!$A$5:$U$54,21,FALSE),0))</f>
        <v/>
      </c>
      <c r="I193" s="27" t="n"/>
      <c r="J193" s="17">
        <f>G193*I193</f>
        <v/>
      </c>
      <c r="K193" s="17">
        <f>G193-H193-J193</f>
        <v/>
      </c>
      <c r="L193" s="29">
        <f>IF(G193&gt;0,K193/G193,"")</f>
        <v/>
      </c>
      <c r="M193" s="6" t="n"/>
    </row>
    <row r="194">
      <c r="A194" s="32" t="n"/>
      <c r="B194" s="6" t="n"/>
      <c r="C194">
        <f>IF(B194="","",IFERROR(VLOOKUP(B194,'Recetas y precios'!$A$5:$B$54,2,FALSE),""))</f>
        <v/>
      </c>
      <c r="D194" s="6" t="n"/>
      <c r="E194" s="6" t="n"/>
      <c r="F194" s="11" t="n"/>
      <c r="G194" s="17">
        <f>E194*F194</f>
        <v/>
      </c>
      <c r="H194" s="17">
        <f>IF(B194="",0,E194*IFERROR(VLOOKUP(B194,'Recetas y precios'!$A$5:$U$54,21,FALSE),0))</f>
        <v/>
      </c>
      <c r="I194" s="27" t="n"/>
      <c r="J194" s="17">
        <f>G194*I194</f>
        <v/>
      </c>
      <c r="K194" s="17">
        <f>G194-H194-J194</f>
        <v/>
      </c>
      <c r="L194" s="29">
        <f>IF(G194&gt;0,K194/G194,"")</f>
        <v/>
      </c>
      <c r="M194" s="6" t="n"/>
    </row>
    <row r="195">
      <c r="A195" s="32" t="n"/>
      <c r="B195" s="6" t="n"/>
      <c r="C195">
        <f>IF(B195="","",IFERROR(VLOOKUP(B195,'Recetas y precios'!$A$5:$B$54,2,FALSE),""))</f>
        <v/>
      </c>
      <c r="D195" s="6" t="n"/>
      <c r="E195" s="6" t="n"/>
      <c r="F195" s="11" t="n"/>
      <c r="G195" s="17">
        <f>E195*F195</f>
        <v/>
      </c>
      <c r="H195" s="17">
        <f>IF(B195="",0,E195*IFERROR(VLOOKUP(B195,'Recetas y precios'!$A$5:$U$54,21,FALSE),0))</f>
        <v/>
      </c>
      <c r="I195" s="27" t="n"/>
      <c r="J195" s="17">
        <f>G195*I195</f>
        <v/>
      </c>
      <c r="K195" s="17">
        <f>G195-H195-J195</f>
        <v/>
      </c>
      <c r="L195" s="29">
        <f>IF(G195&gt;0,K195/G195,"")</f>
        <v/>
      </c>
      <c r="M195" s="6" t="n"/>
    </row>
    <row r="196">
      <c r="A196" s="32" t="n"/>
      <c r="B196" s="6" t="n"/>
      <c r="C196">
        <f>IF(B196="","",IFERROR(VLOOKUP(B196,'Recetas y precios'!$A$5:$B$54,2,FALSE),""))</f>
        <v/>
      </c>
      <c r="D196" s="6" t="n"/>
      <c r="E196" s="6" t="n"/>
      <c r="F196" s="11" t="n"/>
      <c r="G196" s="17">
        <f>E196*F196</f>
        <v/>
      </c>
      <c r="H196" s="17">
        <f>IF(B196="",0,E196*IFERROR(VLOOKUP(B196,'Recetas y precios'!$A$5:$U$54,21,FALSE),0))</f>
        <v/>
      </c>
      <c r="I196" s="27" t="n"/>
      <c r="J196" s="17">
        <f>G196*I196</f>
        <v/>
      </c>
      <c r="K196" s="17">
        <f>G196-H196-J196</f>
        <v/>
      </c>
      <c r="L196" s="29">
        <f>IF(G196&gt;0,K196/G196,"")</f>
        <v/>
      </c>
      <c r="M196" s="6" t="n"/>
    </row>
    <row r="197">
      <c r="A197" s="32" t="n"/>
      <c r="B197" s="6" t="n"/>
      <c r="C197">
        <f>IF(B197="","",IFERROR(VLOOKUP(B197,'Recetas y precios'!$A$5:$B$54,2,FALSE),""))</f>
        <v/>
      </c>
      <c r="D197" s="6" t="n"/>
      <c r="E197" s="6" t="n"/>
      <c r="F197" s="11" t="n"/>
      <c r="G197" s="17">
        <f>E197*F197</f>
        <v/>
      </c>
      <c r="H197" s="17">
        <f>IF(B197="",0,E197*IFERROR(VLOOKUP(B197,'Recetas y precios'!$A$5:$U$54,21,FALSE),0))</f>
        <v/>
      </c>
      <c r="I197" s="27" t="n"/>
      <c r="J197" s="17">
        <f>G197*I197</f>
        <v/>
      </c>
      <c r="K197" s="17">
        <f>G197-H197-J197</f>
        <v/>
      </c>
      <c r="L197" s="29">
        <f>IF(G197&gt;0,K197/G197,"")</f>
        <v/>
      </c>
      <c r="M197" s="6" t="n"/>
    </row>
    <row r="198">
      <c r="A198" s="32" t="n"/>
      <c r="B198" s="6" t="n"/>
      <c r="C198">
        <f>IF(B198="","",IFERROR(VLOOKUP(B198,'Recetas y precios'!$A$5:$B$54,2,FALSE),""))</f>
        <v/>
      </c>
      <c r="D198" s="6" t="n"/>
      <c r="E198" s="6" t="n"/>
      <c r="F198" s="11" t="n"/>
      <c r="G198" s="17">
        <f>E198*F198</f>
        <v/>
      </c>
      <c r="H198" s="17">
        <f>IF(B198="",0,E198*IFERROR(VLOOKUP(B198,'Recetas y precios'!$A$5:$U$54,21,FALSE),0))</f>
        <v/>
      </c>
      <c r="I198" s="27" t="n"/>
      <c r="J198" s="17">
        <f>G198*I198</f>
        <v/>
      </c>
      <c r="K198" s="17">
        <f>G198-H198-J198</f>
        <v/>
      </c>
      <c r="L198" s="29">
        <f>IF(G198&gt;0,K198/G198,"")</f>
        <v/>
      </c>
      <c r="M198" s="6" t="n"/>
    </row>
    <row r="199">
      <c r="A199" s="32" t="n"/>
      <c r="B199" s="6" t="n"/>
      <c r="C199">
        <f>IF(B199="","",IFERROR(VLOOKUP(B199,'Recetas y precios'!$A$5:$B$54,2,FALSE),""))</f>
        <v/>
      </c>
      <c r="D199" s="6" t="n"/>
      <c r="E199" s="6" t="n"/>
      <c r="F199" s="11" t="n"/>
      <c r="G199" s="17">
        <f>E199*F199</f>
        <v/>
      </c>
      <c r="H199" s="17">
        <f>IF(B199="",0,E199*IFERROR(VLOOKUP(B199,'Recetas y precios'!$A$5:$U$54,21,FALSE),0))</f>
        <v/>
      </c>
      <c r="I199" s="27" t="n"/>
      <c r="J199" s="17">
        <f>G199*I199</f>
        <v/>
      </c>
      <c r="K199" s="17">
        <f>G199-H199-J199</f>
        <v/>
      </c>
      <c r="L199" s="29">
        <f>IF(G199&gt;0,K199/G199,"")</f>
        <v/>
      </c>
      <c r="M199" s="6" t="n"/>
    </row>
    <row r="200">
      <c r="A200" s="32" t="n"/>
      <c r="B200" s="6" t="n"/>
      <c r="C200">
        <f>IF(B200="","",IFERROR(VLOOKUP(B200,'Recetas y precios'!$A$5:$B$54,2,FALSE),""))</f>
        <v/>
      </c>
      <c r="D200" s="6" t="n"/>
      <c r="E200" s="6" t="n"/>
      <c r="F200" s="11" t="n"/>
      <c r="G200" s="17">
        <f>E200*F200</f>
        <v/>
      </c>
      <c r="H200" s="17">
        <f>IF(B200="",0,E200*IFERROR(VLOOKUP(B200,'Recetas y precios'!$A$5:$U$54,21,FALSE),0))</f>
        <v/>
      </c>
      <c r="I200" s="27" t="n"/>
      <c r="J200" s="17">
        <f>G200*I200</f>
        <v/>
      </c>
      <c r="K200" s="17">
        <f>G200-H200-J200</f>
        <v/>
      </c>
      <c r="L200" s="29">
        <f>IF(G200&gt;0,K200/G200,"")</f>
        <v/>
      </c>
      <c r="M200" s="6" t="n"/>
    </row>
    <row r="201">
      <c r="A201" s="32" t="n"/>
      <c r="B201" s="6" t="n"/>
      <c r="C201">
        <f>IF(B201="","",IFERROR(VLOOKUP(B201,'Recetas y precios'!$A$5:$B$54,2,FALSE),""))</f>
        <v/>
      </c>
      <c r="D201" s="6" t="n"/>
      <c r="E201" s="6" t="n"/>
      <c r="F201" s="11" t="n"/>
      <c r="G201" s="17">
        <f>E201*F201</f>
        <v/>
      </c>
      <c r="H201" s="17">
        <f>IF(B201="",0,E201*IFERROR(VLOOKUP(B201,'Recetas y precios'!$A$5:$U$54,21,FALSE),0))</f>
        <v/>
      </c>
      <c r="I201" s="27" t="n"/>
      <c r="J201" s="17">
        <f>G201*I201</f>
        <v/>
      </c>
      <c r="K201" s="17">
        <f>G201-H201-J201</f>
        <v/>
      </c>
      <c r="L201" s="29">
        <f>IF(G201&gt;0,K201/G201,"")</f>
        <v/>
      </c>
      <c r="M201" s="6" t="n"/>
    </row>
    <row r="202">
      <c r="A202" s="32" t="n"/>
      <c r="B202" s="6" t="n"/>
      <c r="C202">
        <f>IF(B202="","",IFERROR(VLOOKUP(B202,'Recetas y precios'!$A$5:$B$54,2,FALSE),""))</f>
        <v/>
      </c>
      <c r="D202" s="6" t="n"/>
      <c r="E202" s="6" t="n"/>
      <c r="F202" s="11" t="n"/>
      <c r="G202" s="17">
        <f>E202*F202</f>
        <v/>
      </c>
      <c r="H202" s="17">
        <f>IF(B202="",0,E202*IFERROR(VLOOKUP(B202,'Recetas y precios'!$A$5:$U$54,21,FALSE),0))</f>
        <v/>
      </c>
      <c r="I202" s="27" t="n"/>
      <c r="J202" s="17">
        <f>G202*I202</f>
        <v/>
      </c>
      <c r="K202" s="17">
        <f>G202-H202-J202</f>
        <v/>
      </c>
      <c r="L202" s="29">
        <f>IF(G202&gt;0,K202/G202,"")</f>
        <v/>
      </c>
      <c r="M202" s="6" t="n"/>
    </row>
    <row r="203">
      <c r="A203" s="32" t="n"/>
      <c r="B203" s="6" t="n"/>
      <c r="C203">
        <f>IF(B203="","",IFERROR(VLOOKUP(B203,'Recetas y precios'!$A$5:$B$54,2,FALSE),""))</f>
        <v/>
      </c>
      <c r="D203" s="6" t="n"/>
      <c r="E203" s="6" t="n"/>
      <c r="F203" s="11" t="n"/>
      <c r="G203" s="17">
        <f>E203*F203</f>
        <v/>
      </c>
      <c r="H203" s="17">
        <f>IF(B203="",0,E203*IFERROR(VLOOKUP(B203,'Recetas y precios'!$A$5:$U$54,21,FALSE),0))</f>
        <v/>
      </c>
      <c r="I203" s="27" t="n"/>
      <c r="J203" s="17">
        <f>G203*I203</f>
        <v/>
      </c>
      <c r="K203" s="17">
        <f>G203-H203-J203</f>
        <v/>
      </c>
      <c r="L203" s="29">
        <f>IF(G203&gt;0,K203/G203,"")</f>
        <v/>
      </c>
      <c r="M203" s="6" t="n"/>
    </row>
    <row r="204">
      <c r="A204" s="32" t="n"/>
      <c r="B204" s="6" t="n"/>
      <c r="C204">
        <f>IF(B204="","",IFERROR(VLOOKUP(B204,'Recetas y precios'!$A$5:$B$54,2,FALSE),""))</f>
        <v/>
      </c>
      <c r="D204" s="6" t="n"/>
      <c r="E204" s="6" t="n"/>
      <c r="F204" s="11" t="n"/>
      <c r="G204" s="17">
        <f>E204*F204</f>
        <v/>
      </c>
      <c r="H204" s="17">
        <f>IF(B204="",0,E204*IFERROR(VLOOKUP(B204,'Recetas y precios'!$A$5:$U$54,21,FALSE),0))</f>
        <v/>
      </c>
      <c r="I204" s="27" t="n"/>
      <c r="J204" s="17">
        <f>G204*I204</f>
        <v/>
      </c>
      <c r="K204" s="17">
        <f>G204-H204-J204</f>
        <v/>
      </c>
      <c r="L204" s="29">
        <f>IF(G204&gt;0,K204/G204,"")</f>
        <v/>
      </c>
      <c r="M204" s="6" t="n"/>
    </row>
    <row r="205">
      <c r="A205" s="32" t="n"/>
      <c r="B205" s="6" t="n"/>
      <c r="C205">
        <f>IF(B205="","",IFERROR(VLOOKUP(B205,'Recetas y precios'!$A$5:$B$54,2,FALSE),""))</f>
        <v/>
      </c>
      <c r="D205" s="6" t="n"/>
      <c r="E205" s="6" t="n"/>
      <c r="F205" s="11" t="n"/>
      <c r="G205" s="17">
        <f>E205*F205</f>
        <v/>
      </c>
      <c r="H205" s="17">
        <f>IF(B205="",0,E205*IFERROR(VLOOKUP(B205,'Recetas y precios'!$A$5:$U$54,21,FALSE),0))</f>
        <v/>
      </c>
      <c r="I205" s="27" t="n"/>
      <c r="J205" s="17">
        <f>G205*I205</f>
        <v/>
      </c>
      <c r="K205" s="17">
        <f>G205-H205-J205</f>
        <v/>
      </c>
      <c r="L205" s="29">
        <f>IF(G205&gt;0,K205/G205,"")</f>
        <v/>
      </c>
      <c r="M205" s="6" t="n"/>
    </row>
    <row r="206">
      <c r="A206" s="32" t="n"/>
      <c r="B206" s="6" t="n"/>
      <c r="C206">
        <f>IF(B206="","",IFERROR(VLOOKUP(B206,'Recetas y precios'!$A$5:$B$54,2,FALSE),""))</f>
        <v/>
      </c>
      <c r="D206" s="6" t="n"/>
      <c r="E206" s="6" t="n"/>
      <c r="F206" s="11" t="n"/>
      <c r="G206" s="17">
        <f>E206*F206</f>
        <v/>
      </c>
      <c r="H206" s="17">
        <f>IF(B206="",0,E206*IFERROR(VLOOKUP(B206,'Recetas y precios'!$A$5:$U$54,21,FALSE),0))</f>
        <v/>
      </c>
      <c r="I206" s="27" t="n"/>
      <c r="J206" s="17">
        <f>G206*I206</f>
        <v/>
      </c>
      <c r="K206" s="17">
        <f>G206-H206-J206</f>
        <v/>
      </c>
      <c r="L206" s="29">
        <f>IF(G206&gt;0,K206/G206,"")</f>
        <v/>
      </c>
      <c r="M206" s="6" t="n"/>
    </row>
    <row r="207">
      <c r="A207" s="32" t="n"/>
      <c r="B207" s="6" t="n"/>
      <c r="C207">
        <f>IF(B207="","",IFERROR(VLOOKUP(B207,'Recetas y precios'!$A$5:$B$54,2,FALSE),""))</f>
        <v/>
      </c>
      <c r="D207" s="6" t="n"/>
      <c r="E207" s="6" t="n"/>
      <c r="F207" s="11" t="n"/>
      <c r="G207" s="17">
        <f>E207*F207</f>
        <v/>
      </c>
      <c r="H207" s="17">
        <f>IF(B207="",0,E207*IFERROR(VLOOKUP(B207,'Recetas y precios'!$A$5:$U$54,21,FALSE),0))</f>
        <v/>
      </c>
      <c r="I207" s="27" t="n"/>
      <c r="J207" s="17">
        <f>G207*I207</f>
        <v/>
      </c>
      <c r="K207" s="17">
        <f>G207-H207-J207</f>
        <v/>
      </c>
      <c r="L207" s="29">
        <f>IF(G207&gt;0,K207/G207,"")</f>
        <v/>
      </c>
      <c r="M207" s="6" t="n"/>
    </row>
    <row r="208">
      <c r="A208" s="32" t="n"/>
      <c r="B208" s="6" t="n"/>
      <c r="C208">
        <f>IF(B208="","",IFERROR(VLOOKUP(B208,'Recetas y precios'!$A$5:$B$54,2,FALSE),""))</f>
        <v/>
      </c>
      <c r="D208" s="6" t="n"/>
      <c r="E208" s="6" t="n"/>
      <c r="F208" s="11" t="n"/>
      <c r="G208" s="17">
        <f>E208*F208</f>
        <v/>
      </c>
      <c r="H208" s="17">
        <f>IF(B208="",0,E208*IFERROR(VLOOKUP(B208,'Recetas y precios'!$A$5:$U$54,21,FALSE),0))</f>
        <v/>
      </c>
      <c r="I208" s="27" t="n"/>
      <c r="J208" s="17">
        <f>G208*I208</f>
        <v/>
      </c>
      <c r="K208" s="17">
        <f>G208-H208-J208</f>
        <v/>
      </c>
      <c r="L208" s="29">
        <f>IF(G208&gt;0,K208/G208,"")</f>
        <v/>
      </c>
      <c r="M208" s="6" t="n"/>
    </row>
    <row r="209">
      <c r="A209" s="32" t="n"/>
      <c r="B209" s="6" t="n"/>
      <c r="C209">
        <f>IF(B209="","",IFERROR(VLOOKUP(B209,'Recetas y precios'!$A$5:$B$54,2,FALSE),""))</f>
        <v/>
      </c>
      <c r="D209" s="6" t="n"/>
      <c r="E209" s="6" t="n"/>
      <c r="F209" s="11" t="n"/>
      <c r="G209" s="17">
        <f>E209*F209</f>
        <v/>
      </c>
      <c r="H209" s="17">
        <f>IF(B209="",0,E209*IFERROR(VLOOKUP(B209,'Recetas y precios'!$A$5:$U$54,21,FALSE),0))</f>
        <v/>
      </c>
      <c r="I209" s="27" t="n"/>
      <c r="J209" s="17">
        <f>G209*I209</f>
        <v/>
      </c>
      <c r="K209" s="17">
        <f>G209-H209-J209</f>
        <v/>
      </c>
      <c r="L209" s="29">
        <f>IF(G209&gt;0,K209/G209,"")</f>
        <v/>
      </c>
      <c r="M209" s="6" t="n"/>
    </row>
    <row r="210">
      <c r="A210" s="32" t="n"/>
      <c r="B210" s="6" t="n"/>
      <c r="C210">
        <f>IF(B210="","",IFERROR(VLOOKUP(B210,'Recetas y precios'!$A$5:$B$54,2,FALSE),""))</f>
        <v/>
      </c>
      <c r="D210" s="6" t="n"/>
      <c r="E210" s="6" t="n"/>
      <c r="F210" s="11" t="n"/>
      <c r="G210" s="17">
        <f>E210*F210</f>
        <v/>
      </c>
      <c r="H210" s="17">
        <f>IF(B210="",0,E210*IFERROR(VLOOKUP(B210,'Recetas y precios'!$A$5:$U$54,21,FALSE),0))</f>
        <v/>
      </c>
      <c r="I210" s="27" t="n"/>
      <c r="J210" s="17">
        <f>G210*I210</f>
        <v/>
      </c>
      <c r="K210" s="17">
        <f>G210-H210-J210</f>
        <v/>
      </c>
      <c r="L210" s="29">
        <f>IF(G210&gt;0,K210/G210,"")</f>
        <v/>
      </c>
      <c r="M210" s="6" t="n"/>
    </row>
    <row r="211">
      <c r="A211" s="32" t="n"/>
      <c r="B211" s="6" t="n"/>
      <c r="C211">
        <f>IF(B211="","",IFERROR(VLOOKUP(B211,'Recetas y precios'!$A$5:$B$54,2,FALSE),""))</f>
        <v/>
      </c>
      <c r="D211" s="6" t="n"/>
      <c r="E211" s="6" t="n"/>
      <c r="F211" s="11" t="n"/>
      <c r="G211" s="17">
        <f>E211*F211</f>
        <v/>
      </c>
      <c r="H211" s="17">
        <f>IF(B211="",0,E211*IFERROR(VLOOKUP(B211,'Recetas y precios'!$A$5:$U$54,21,FALSE),0))</f>
        <v/>
      </c>
      <c r="I211" s="27" t="n"/>
      <c r="J211" s="17">
        <f>G211*I211</f>
        <v/>
      </c>
      <c r="K211" s="17">
        <f>G211-H211-J211</f>
        <v/>
      </c>
      <c r="L211" s="29">
        <f>IF(G211&gt;0,K211/G211,"")</f>
        <v/>
      </c>
      <c r="M211" s="6" t="n"/>
    </row>
    <row r="212">
      <c r="A212" s="32" t="n"/>
      <c r="B212" s="6" t="n"/>
      <c r="C212">
        <f>IF(B212="","",IFERROR(VLOOKUP(B212,'Recetas y precios'!$A$5:$B$54,2,FALSE),""))</f>
        <v/>
      </c>
      <c r="D212" s="6" t="n"/>
      <c r="E212" s="6" t="n"/>
      <c r="F212" s="11" t="n"/>
      <c r="G212" s="17">
        <f>E212*F212</f>
        <v/>
      </c>
      <c r="H212" s="17">
        <f>IF(B212="",0,E212*IFERROR(VLOOKUP(B212,'Recetas y precios'!$A$5:$U$54,21,FALSE),0))</f>
        <v/>
      </c>
      <c r="I212" s="27" t="n"/>
      <c r="J212" s="17">
        <f>G212*I212</f>
        <v/>
      </c>
      <c r="K212" s="17">
        <f>G212-H212-J212</f>
        <v/>
      </c>
      <c r="L212" s="29">
        <f>IF(G212&gt;0,K212/G212,"")</f>
        <v/>
      </c>
      <c r="M212" s="6" t="n"/>
    </row>
    <row r="213">
      <c r="A213" s="32" t="n"/>
      <c r="B213" s="6" t="n"/>
      <c r="C213">
        <f>IF(B213="","",IFERROR(VLOOKUP(B213,'Recetas y precios'!$A$5:$B$54,2,FALSE),""))</f>
        <v/>
      </c>
      <c r="D213" s="6" t="n"/>
      <c r="E213" s="6" t="n"/>
      <c r="F213" s="11" t="n"/>
      <c r="G213" s="17">
        <f>E213*F213</f>
        <v/>
      </c>
      <c r="H213" s="17">
        <f>IF(B213="",0,E213*IFERROR(VLOOKUP(B213,'Recetas y precios'!$A$5:$U$54,21,FALSE),0))</f>
        <v/>
      </c>
      <c r="I213" s="27" t="n"/>
      <c r="J213" s="17">
        <f>G213*I213</f>
        <v/>
      </c>
      <c r="K213" s="17">
        <f>G213-H213-J213</f>
        <v/>
      </c>
      <c r="L213" s="29">
        <f>IF(G213&gt;0,K213/G213,"")</f>
        <v/>
      </c>
      <c r="M213" s="6" t="n"/>
    </row>
    <row r="214">
      <c r="A214" s="32" t="n"/>
      <c r="B214" s="6" t="n"/>
      <c r="C214">
        <f>IF(B214="","",IFERROR(VLOOKUP(B214,'Recetas y precios'!$A$5:$B$54,2,FALSE),""))</f>
        <v/>
      </c>
      <c r="D214" s="6" t="n"/>
      <c r="E214" s="6" t="n"/>
      <c r="F214" s="11" t="n"/>
      <c r="G214" s="17">
        <f>E214*F214</f>
        <v/>
      </c>
      <c r="H214" s="17">
        <f>IF(B214="",0,E214*IFERROR(VLOOKUP(B214,'Recetas y precios'!$A$5:$U$54,21,FALSE),0))</f>
        <v/>
      </c>
      <c r="I214" s="27" t="n"/>
      <c r="J214" s="17">
        <f>G214*I214</f>
        <v/>
      </c>
      <c r="K214" s="17">
        <f>G214-H214-J214</f>
        <v/>
      </c>
      <c r="L214" s="29">
        <f>IF(G214&gt;0,K214/G214,"")</f>
        <v/>
      </c>
      <c r="M214" s="6" t="n"/>
    </row>
    <row r="215">
      <c r="A215" s="32" t="n"/>
      <c r="B215" s="6" t="n"/>
      <c r="C215">
        <f>IF(B215="","",IFERROR(VLOOKUP(B215,'Recetas y precios'!$A$5:$B$54,2,FALSE),""))</f>
        <v/>
      </c>
      <c r="D215" s="6" t="n"/>
      <c r="E215" s="6" t="n"/>
      <c r="F215" s="11" t="n"/>
      <c r="G215" s="17">
        <f>E215*F215</f>
        <v/>
      </c>
      <c r="H215" s="17">
        <f>IF(B215="",0,E215*IFERROR(VLOOKUP(B215,'Recetas y precios'!$A$5:$U$54,21,FALSE),0))</f>
        <v/>
      </c>
      <c r="I215" s="27" t="n"/>
      <c r="J215" s="17">
        <f>G215*I215</f>
        <v/>
      </c>
      <c r="K215" s="17">
        <f>G215-H215-J215</f>
        <v/>
      </c>
      <c r="L215" s="29">
        <f>IF(G215&gt;0,K215/G215,"")</f>
        <v/>
      </c>
      <c r="M215" s="6" t="n"/>
    </row>
    <row r="216">
      <c r="A216" s="32" t="n"/>
      <c r="B216" s="6" t="n"/>
      <c r="C216">
        <f>IF(B216="","",IFERROR(VLOOKUP(B216,'Recetas y precios'!$A$5:$B$54,2,FALSE),""))</f>
        <v/>
      </c>
      <c r="D216" s="6" t="n"/>
      <c r="E216" s="6" t="n"/>
      <c r="F216" s="11" t="n"/>
      <c r="G216" s="17">
        <f>E216*F216</f>
        <v/>
      </c>
      <c r="H216" s="17">
        <f>IF(B216="",0,E216*IFERROR(VLOOKUP(B216,'Recetas y precios'!$A$5:$U$54,21,FALSE),0))</f>
        <v/>
      </c>
      <c r="I216" s="27" t="n"/>
      <c r="J216" s="17">
        <f>G216*I216</f>
        <v/>
      </c>
      <c r="K216" s="17">
        <f>G216-H216-J216</f>
        <v/>
      </c>
      <c r="L216" s="29">
        <f>IF(G216&gt;0,K216/G216,"")</f>
        <v/>
      </c>
      <c r="M216" s="6" t="n"/>
    </row>
    <row r="217">
      <c r="A217" s="32" t="n"/>
      <c r="B217" s="6" t="n"/>
      <c r="C217">
        <f>IF(B217="","",IFERROR(VLOOKUP(B217,'Recetas y precios'!$A$5:$B$54,2,FALSE),""))</f>
        <v/>
      </c>
      <c r="D217" s="6" t="n"/>
      <c r="E217" s="6" t="n"/>
      <c r="F217" s="11" t="n"/>
      <c r="G217" s="17">
        <f>E217*F217</f>
        <v/>
      </c>
      <c r="H217" s="17">
        <f>IF(B217="",0,E217*IFERROR(VLOOKUP(B217,'Recetas y precios'!$A$5:$U$54,21,FALSE),0))</f>
        <v/>
      </c>
      <c r="I217" s="27" t="n"/>
      <c r="J217" s="17">
        <f>G217*I217</f>
        <v/>
      </c>
      <c r="K217" s="17">
        <f>G217-H217-J217</f>
        <v/>
      </c>
      <c r="L217" s="29">
        <f>IF(G217&gt;0,K217/G217,"")</f>
        <v/>
      </c>
      <c r="M217" s="6" t="n"/>
    </row>
    <row r="218">
      <c r="A218" s="32" t="n"/>
      <c r="B218" s="6" t="n"/>
      <c r="C218">
        <f>IF(B218="","",IFERROR(VLOOKUP(B218,'Recetas y precios'!$A$5:$B$54,2,FALSE),""))</f>
        <v/>
      </c>
      <c r="D218" s="6" t="n"/>
      <c r="E218" s="6" t="n"/>
      <c r="F218" s="11" t="n"/>
      <c r="G218" s="17">
        <f>E218*F218</f>
        <v/>
      </c>
      <c r="H218" s="17">
        <f>IF(B218="",0,E218*IFERROR(VLOOKUP(B218,'Recetas y precios'!$A$5:$U$54,21,FALSE),0))</f>
        <v/>
      </c>
      <c r="I218" s="27" t="n"/>
      <c r="J218" s="17">
        <f>G218*I218</f>
        <v/>
      </c>
      <c r="K218" s="17">
        <f>G218-H218-J218</f>
        <v/>
      </c>
      <c r="L218" s="29">
        <f>IF(G218&gt;0,K218/G218,"")</f>
        <v/>
      </c>
      <c r="M218" s="6" t="n"/>
    </row>
    <row r="219">
      <c r="A219" s="32" t="n"/>
      <c r="B219" s="6" t="n"/>
      <c r="C219">
        <f>IF(B219="","",IFERROR(VLOOKUP(B219,'Recetas y precios'!$A$5:$B$54,2,FALSE),""))</f>
        <v/>
      </c>
      <c r="D219" s="6" t="n"/>
      <c r="E219" s="6" t="n"/>
      <c r="F219" s="11" t="n"/>
      <c r="G219" s="17">
        <f>E219*F219</f>
        <v/>
      </c>
      <c r="H219" s="17">
        <f>IF(B219="",0,E219*IFERROR(VLOOKUP(B219,'Recetas y precios'!$A$5:$U$54,21,FALSE),0))</f>
        <v/>
      </c>
      <c r="I219" s="27" t="n"/>
      <c r="J219" s="17">
        <f>G219*I219</f>
        <v/>
      </c>
      <c r="K219" s="17">
        <f>G219-H219-J219</f>
        <v/>
      </c>
      <c r="L219" s="29">
        <f>IF(G219&gt;0,K219/G219,"")</f>
        <v/>
      </c>
      <c r="M219" s="6" t="n"/>
    </row>
    <row r="220">
      <c r="A220" s="32" t="n"/>
      <c r="B220" s="6" t="n"/>
      <c r="C220">
        <f>IF(B220="","",IFERROR(VLOOKUP(B220,'Recetas y precios'!$A$5:$B$54,2,FALSE),""))</f>
        <v/>
      </c>
      <c r="D220" s="6" t="n"/>
      <c r="E220" s="6" t="n"/>
      <c r="F220" s="11" t="n"/>
      <c r="G220" s="17">
        <f>E220*F220</f>
        <v/>
      </c>
      <c r="H220" s="17">
        <f>IF(B220="",0,E220*IFERROR(VLOOKUP(B220,'Recetas y precios'!$A$5:$U$54,21,FALSE),0))</f>
        <v/>
      </c>
      <c r="I220" s="27" t="n"/>
      <c r="J220" s="17">
        <f>G220*I220</f>
        <v/>
      </c>
      <c r="K220" s="17">
        <f>G220-H220-J220</f>
        <v/>
      </c>
      <c r="L220" s="29">
        <f>IF(G220&gt;0,K220/G220,"")</f>
        <v/>
      </c>
      <c r="M220" s="6" t="n"/>
    </row>
    <row r="221">
      <c r="A221" s="32" t="n"/>
      <c r="B221" s="6" t="n"/>
      <c r="C221">
        <f>IF(B221="","",IFERROR(VLOOKUP(B221,'Recetas y precios'!$A$5:$B$54,2,FALSE),""))</f>
        <v/>
      </c>
      <c r="D221" s="6" t="n"/>
      <c r="E221" s="6" t="n"/>
      <c r="F221" s="11" t="n"/>
      <c r="G221" s="17">
        <f>E221*F221</f>
        <v/>
      </c>
      <c r="H221" s="17">
        <f>IF(B221="",0,E221*IFERROR(VLOOKUP(B221,'Recetas y precios'!$A$5:$U$54,21,FALSE),0))</f>
        <v/>
      </c>
      <c r="I221" s="27" t="n"/>
      <c r="J221" s="17">
        <f>G221*I221</f>
        <v/>
      </c>
      <c r="K221" s="17">
        <f>G221-H221-J221</f>
        <v/>
      </c>
      <c r="L221" s="29">
        <f>IF(G221&gt;0,K221/G221,"")</f>
        <v/>
      </c>
      <c r="M221" s="6" t="n"/>
    </row>
    <row r="222">
      <c r="A222" s="32" t="n"/>
      <c r="B222" s="6" t="n"/>
      <c r="C222">
        <f>IF(B222="","",IFERROR(VLOOKUP(B222,'Recetas y precios'!$A$5:$B$54,2,FALSE),""))</f>
        <v/>
      </c>
      <c r="D222" s="6" t="n"/>
      <c r="E222" s="6" t="n"/>
      <c r="F222" s="11" t="n"/>
      <c r="G222" s="17">
        <f>E222*F222</f>
        <v/>
      </c>
      <c r="H222" s="17">
        <f>IF(B222="",0,E222*IFERROR(VLOOKUP(B222,'Recetas y precios'!$A$5:$U$54,21,FALSE),0))</f>
        <v/>
      </c>
      <c r="I222" s="27" t="n"/>
      <c r="J222" s="17">
        <f>G222*I222</f>
        <v/>
      </c>
      <c r="K222" s="17">
        <f>G222-H222-J222</f>
        <v/>
      </c>
      <c r="L222" s="29">
        <f>IF(G222&gt;0,K222/G222,"")</f>
        <v/>
      </c>
      <c r="M222" s="6" t="n"/>
    </row>
    <row r="223">
      <c r="A223" s="32" t="n"/>
      <c r="B223" s="6" t="n"/>
      <c r="C223">
        <f>IF(B223="","",IFERROR(VLOOKUP(B223,'Recetas y precios'!$A$5:$B$54,2,FALSE),""))</f>
        <v/>
      </c>
      <c r="D223" s="6" t="n"/>
      <c r="E223" s="6" t="n"/>
      <c r="F223" s="11" t="n"/>
      <c r="G223" s="17">
        <f>E223*F223</f>
        <v/>
      </c>
      <c r="H223" s="17">
        <f>IF(B223="",0,E223*IFERROR(VLOOKUP(B223,'Recetas y precios'!$A$5:$U$54,21,FALSE),0))</f>
        <v/>
      </c>
      <c r="I223" s="27" t="n"/>
      <c r="J223" s="17">
        <f>G223*I223</f>
        <v/>
      </c>
      <c r="K223" s="17">
        <f>G223-H223-J223</f>
        <v/>
      </c>
      <c r="L223" s="29">
        <f>IF(G223&gt;0,K223/G223,"")</f>
        <v/>
      </c>
      <c r="M223" s="6" t="n"/>
    </row>
    <row r="224">
      <c r="A224" s="32" t="n"/>
      <c r="B224" s="6" t="n"/>
      <c r="C224">
        <f>IF(B224="","",IFERROR(VLOOKUP(B224,'Recetas y precios'!$A$5:$B$54,2,FALSE),""))</f>
        <v/>
      </c>
      <c r="D224" s="6" t="n"/>
      <c r="E224" s="6" t="n"/>
      <c r="F224" s="11" t="n"/>
      <c r="G224" s="17">
        <f>E224*F224</f>
        <v/>
      </c>
      <c r="H224" s="17">
        <f>IF(B224="",0,E224*IFERROR(VLOOKUP(B224,'Recetas y precios'!$A$5:$U$54,21,FALSE),0))</f>
        <v/>
      </c>
      <c r="I224" s="27" t="n"/>
      <c r="J224" s="17">
        <f>G224*I224</f>
        <v/>
      </c>
      <c r="K224" s="17">
        <f>G224-H224-J224</f>
        <v/>
      </c>
      <c r="L224" s="29">
        <f>IF(G224&gt;0,K224/G224,"")</f>
        <v/>
      </c>
      <c r="M224" s="6" t="n"/>
    </row>
    <row r="225">
      <c r="A225" s="32" t="n"/>
      <c r="B225" s="6" t="n"/>
      <c r="C225">
        <f>IF(B225="","",IFERROR(VLOOKUP(B225,'Recetas y precios'!$A$5:$B$54,2,FALSE),""))</f>
        <v/>
      </c>
      <c r="D225" s="6" t="n"/>
      <c r="E225" s="6" t="n"/>
      <c r="F225" s="11" t="n"/>
      <c r="G225" s="17">
        <f>E225*F225</f>
        <v/>
      </c>
      <c r="H225" s="17">
        <f>IF(B225="",0,E225*IFERROR(VLOOKUP(B225,'Recetas y precios'!$A$5:$U$54,21,FALSE),0))</f>
        <v/>
      </c>
      <c r="I225" s="27" t="n"/>
      <c r="J225" s="17">
        <f>G225*I225</f>
        <v/>
      </c>
      <c r="K225" s="17">
        <f>G225-H225-J225</f>
        <v/>
      </c>
      <c r="L225" s="29">
        <f>IF(G225&gt;0,K225/G225,"")</f>
        <v/>
      </c>
      <c r="M225" s="6" t="n"/>
    </row>
    <row r="226">
      <c r="A226" s="32" t="n"/>
      <c r="B226" s="6" t="n"/>
      <c r="C226">
        <f>IF(B226="","",IFERROR(VLOOKUP(B226,'Recetas y precios'!$A$5:$B$54,2,FALSE),""))</f>
        <v/>
      </c>
      <c r="D226" s="6" t="n"/>
      <c r="E226" s="6" t="n"/>
      <c r="F226" s="11" t="n"/>
      <c r="G226" s="17">
        <f>E226*F226</f>
        <v/>
      </c>
      <c r="H226" s="17">
        <f>IF(B226="",0,E226*IFERROR(VLOOKUP(B226,'Recetas y precios'!$A$5:$U$54,21,FALSE),0))</f>
        <v/>
      </c>
      <c r="I226" s="27" t="n"/>
      <c r="J226" s="17">
        <f>G226*I226</f>
        <v/>
      </c>
      <c r="K226" s="17">
        <f>G226-H226-J226</f>
        <v/>
      </c>
      <c r="L226" s="29">
        <f>IF(G226&gt;0,K226/G226,"")</f>
        <v/>
      </c>
      <c r="M226" s="6" t="n"/>
    </row>
    <row r="227">
      <c r="A227" s="32" t="n"/>
      <c r="B227" s="6" t="n"/>
      <c r="C227">
        <f>IF(B227="","",IFERROR(VLOOKUP(B227,'Recetas y precios'!$A$5:$B$54,2,FALSE),""))</f>
        <v/>
      </c>
      <c r="D227" s="6" t="n"/>
      <c r="E227" s="6" t="n"/>
      <c r="F227" s="11" t="n"/>
      <c r="G227" s="17">
        <f>E227*F227</f>
        <v/>
      </c>
      <c r="H227" s="17">
        <f>IF(B227="",0,E227*IFERROR(VLOOKUP(B227,'Recetas y precios'!$A$5:$U$54,21,FALSE),0))</f>
        <v/>
      </c>
      <c r="I227" s="27" t="n"/>
      <c r="J227" s="17">
        <f>G227*I227</f>
        <v/>
      </c>
      <c r="K227" s="17">
        <f>G227-H227-J227</f>
        <v/>
      </c>
      <c r="L227" s="29">
        <f>IF(G227&gt;0,K227/G227,"")</f>
        <v/>
      </c>
      <c r="M227" s="6" t="n"/>
    </row>
    <row r="228">
      <c r="A228" s="32" t="n"/>
      <c r="B228" s="6" t="n"/>
      <c r="C228">
        <f>IF(B228="","",IFERROR(VLOOKUP(B228,'Recetas y precios'!$A$5:$B$54,2,FALSE),""))</f>
        <v/>
      </c>
      <c r="D228" s="6" t="n"/>
      <c r="E228" s="6" t="n"/>
      <c r="F228" s="11" t="n"/>
      <c r="G228" s="17">
        <f>E228*F228</f>
        <v/>
      </c>
      <c r="H228" s="17">
        <f>IF(B228="",0,E228*IFERROR(VLOOKUP(B228,'Recetas y precios'!$A$5:$U$54,21,FALSE),0))</f>
        <v/>
      </c>
      <c r="I228" s="27" t="n"/>
      <c r="J228" s="17">
        <f>G228*I228</f>
        <v/>
      </c>
      <c r="K228" s="17">
        <f>G228-H228-J228</f>
        <v/>
      </c>
      <c r="L228" s="29">
        <f>IF(G228&gt;0,K228/G228,"")</f>
        <v/>
      </c>
      <c r="M228" s="6" t="n"/>
    </row>
    <row r="229">
      <c r="A229" s="32" t="n"/>
      <c r="B229" s="6" t="n"/>
      <c r="C229">
        <f>IF(B229="","",IFERROR(VLOOKUP(B229,'Recetas y precios'!$A$5:$B$54,2,FALSE),""))</f>
        <v/>
      </c>
      <c r="D229" s="6" t="n"/>
      <c r="E229" s="6" t="n"/>
      <c r="F229" s="11" t="n"/>
      <c r="G229" s="17">
        <f>E229*F229</f>
        <v/>
      </c>
      <c r="H229" s="17">
        <f>IF(B229="",0,E229*IFERROR(VLOOKUP(B229,'Recetas y precios'!$A$5:$U$54,21,FALSE),0))</f>
        <v/>
      </c>
      <c r="I229" s="27" t="n"/>
      <c r="J229" s="17">
        <f>G229*I229</f>
        <v/>
      </c>
      <c r="K229" s="17">
        <f>G229-H229-J229</f>
        <v/>
      </c>
      <c r="L229" s="29">
        <f>IF(G229&gt;0,K229/G229,"")</f>
        <v/>
      </c>
      <c r="M229" s="6" t="n"/>
    </row>
    <row r="230">
      <c r="A230" s="32" t="n"/>
      <c r="B230" s="6" t="n"/>
      <c r="C230">
        <f>IF(B230="","",IFERROR(VLOOKUP(B230,'Recetas y precios'!$A$5:$B$54,2,FALSE),""))</f>
        <v/>
      </c>
      <c r="D230" s="6" t="n"/>
      <c r="E230" s="6" t="n"/>
      <c r="F230" s="11" t="n"/>
      <c r="G230" s="17">
        <f>E230*F230</f>
        <v/>
      </c>
      <c r="H230" s="17">
        <f>IF(B230="",0,E230*IFERROR(VLOOKUP(B230,'Recetas y precios'!$A$5:$U$54,21,FALSE),0))</f>
        <v/>
      </c>
      <c r="I230" s="27" t="n"/>
      <c r="J230" s="17">
        <f>G230*I230</f>
        <v/>
      </c>
      <c r="K230" s="17">
        <f>G230-H230-J230</f>
        <v/>
      </c>
      <c r="L230" s="29">
        <f>IF(G230&gt;0,K230/G230,"")</f>
        <v/>
      </c>
      <c r="M230" s="6" t="n"/>
    </row>
    <row r="231">
      <c r="A231" s="32" t="n"/>
      <c r="B231" s="6" t="n"/>
      <c r="C231">
        <f>IF(B231="","",IFERROR(VLOOKUP(B231,'Recetas y precios'!$A$5:$B$54,2,FALSE),""))</f>
        <v/>
      </c>
      <c r="D231" s="6" t="n"/>
      <c r="E231" s="6" t="n"/>
      <c r="F231" s="11" t="n"/>
      <c r="G231" s="17">
        <f>E231*F231</f>
        <v/>
      </c>
      <c r="H231" s="17">
        <f>IF(B231="",0,E231*IFERROR(VLOOKUP(B231,'Recetas y precios'!$A$5:$U$54,21,FALSE),0))</f>
        <v/>
      </c>
      <c r="I231" s="27" t="n"/>
      <c r="J231" s="17">
        <f>G231*I231</f>
        <v/>
      </c>
      <c r="K231" s="17">
        <f>G231-H231-J231</f>
        <v/>
      </c>
      <c r="L231" s="29">
        <f>IF(G231&gt;0,K231/G231,"")</f>
        <v/>
      </c>
      <c r="M231" s="6" t="n"/>
    </row>
    <row r="232">
      <c r="A232" s="32" t="n"/>
      <c r="B232" s="6" t="n"/>
      <c r="C232">
        <f>IF(B232="","",IFERROR(VLOOKUP(B232,'Recetas y precios'!$A$5:$B$54,2,FALSE),""))</f>
        <v/>
      </c>
      <c r="D232" s="6" t="n"/>
      <c r="E232" s="6" t="n"/>
      <c r="F232" s="11" t="n"/>
      <c r="G232" s="17">
        <f>E232*F232</f>
        <v/>
      </c>
      <c r="H232" s="17">
        <f>IF(B232="",0,E232*IFERROR(VLOOKUP(B232,'Recetas y precios'!$A$5:$U$54,21,FALSE),0))</f>
        <v/>
      </c>
      <c r="I232" s="27" t="n"/>
      <c r="J232" s="17">
        <f>G232*I232</f>
        <v/>
      </c>
      <c r="K232" s="17">
        <f>G232-H232-J232</f>
        <v/>
      </c>
      <c r="L232" s="29">
        <f>IF(G232&gt;0,K232/G232,"")</f>
        <v/>
      </c>
      <c r="M232" s="6" t="n"/>
    </row>
    <row r="233">
      <c r="A233" s="32" t="n"/>
      <c r="B233" s="6" t="n"/>
      <c r="C233">
        <f>IF(B233="","",IFERROR(VLOOKUP(B233,'Recetas y precios'!$A$5:$B$54,2,FALSE),""))</f>
        <v/>
      </c>
      <c r="D233" s="6" t="n"/>
      <c r="E233" s="6" t="n"/>
      <c r="F233" s="11" t="n"/>
      <c r="G233" s="17">
        <f>E233*F233</f>
        <v/>
      </c>
      <c r="H233" s="17">
        <f>IF(B233="",0,E233*IFERROR(VLOOKUP(B233,'Recetas y precios'!$A$5:$U$54,21,FALSE),0))</f>
        <v/>
      </c>
      <c r="I233" s="27" t="n"/>
      <c r="J233" s="17">
        <f>G233*I233</f>
        <v/>
      </c>
      <c r="K233" s="17">
        <f>G233-H233-J233</f>
        <v/>
      </c>
      <c r="L233" s="29">
        <f>IF(G233&gt;0,K233/G233,"")</f>
        <v/>
      </c>
      <c r="M233" s="6" t="n"/>
    </row>
    <row r="234">
      <c r="A234" s="32" t="n"/>
      <c r="B234" s="6" t="n"/>
      <c r="C234">
        <f>IF(B234="","",IFERROR(VLOOKUP(B234,'Recetas y precios'!$A$5:$B$54,2,FALSE),""))</f>
        <v/>
      </c>
      <c r="D234" s="6" t="n"/>
      <c r="E234" s="6" t="n"/>
      <c r="F234" s="11" t="n"/>
      <c r="G234" s="17">
        <f>E234*F234</f>
        <v/>
      </c>
      <c r="H234" s="17">
        <f>IF(B234="",0,E234*IFERROR(VLOOKUP(B234,'Recetas y precios'!$A$5:$U$54,21,FALSE),0))</f>
        <v/>
      </c>
      <c r="I234" s="27" t="n"/>
      <c r="J234" s="17">
        <f>G234*I234</f>
        <v/>
      </c>
      <c r="K234" s="17">
        <f>G234-H234-J234</f>
        <v/>
      </c>
      <c r="L234" s="29">
        <f>IF(G234&gt;0,K234/G234,"")</f>
        <v/>
      </c>
      <c r="M234" s="6" t="n"/>
    </row>
    <row r="235">
      <c r="A235" s="32" t="n"/>
      <c r="B235" s="6" t="n"/>
      <c r="C235">
        <f>IF(B235="","",IFERROR(VLOOKUP(B235,'Recetas y precios'!$A$5:$B$54,2,FALSE),""))</f>
        <v/>
      </c>
      <c r="D235" s="6" t="n"/>
      <c r="E235" s="6" t="n"/>
      <c r="F235" s="11" t="n"/>
      <c r="G235" s="17">
        <f>E235*F235</f>
        <v/>
      </c>
      <c r="H235" s="17">
        <f>IF(B235="",0,E235*IFERROR(VLOOKUP(B235,'Recetas y precios'!$A$5:$U$54,21,FALSE),0))</f>
        <v/>
      </c>
      <c r="I235" s="27" t="n"/>
      <c r="J235" s="17">
        <f>G235*I235</f>
        <v/>
      </c>
      <c r="K235" s="17">
        <f>G235-H235-J235</f>
        <v/>
      </c>
      <c r="L235" s="29">
        <f>IF(G235&gt;0,K235/G235,"")</f>
        <v/>
      </c>
      <c r="M235" s="6" t="n"/>
    </row>
    <row r="236">
      <c r="A236" s="32" t="n"/>
      <c r="B236" s="6" t="n"/>
      <c r="C236">
        <f>IF(B236="","",IFERROR(VLOOKUP(B236,'Recetas y precios'!$A$5:$B$54,2,FALSE),""))</f>
        <v/>
      </c>
      <c r="D236" s="6" t="n"/>
      <c r="E236" s="6" t="n"/>
      <c r="F236" s="11" t="n"/>
      <c r="G236" s="17">
        <f>E236*F236</f>
        <v/>
      </c>
      <c r="H236" s="17">
        <f>IF(B236="",0,E236*IFERROR(VLOOKUP(B236,'Recetas y precios'!$A$5:$U$54,21,FALSE),0))</f>
        <v/>
      </c>
      <c r="I236" s="27" t="n"/>
      <c r="J236" s="17">
        <f>G236*I236</f>
        <v/>
      </c>
      <c r="K236" s="17">
        <f>G236-H236-J236</f>
        <v/>
      </c>
      <c r="L236" s="29">
        <f>IF(G236&gt;0,K236/G236,"")</f>
        <v/>
      </c>
      <c r="M236" s="6" t="n"/>
    </row>
    <row r="237">
      <c r="A237" s="32" t="n"/>
      <c r="B237" s="6" t="n"/>
      <c r="C237">
        <f>IF(B237="","",IFERROR(VLOOKUP(B237,'Recetas y precios'!$A$5:$B$54,2,FALSE),""))</f>
        <v/>
      </c>
      <c r="D237" s="6" t="n"/>
      <c r="E237" s="6" t="n"/>
      <c r="F237" s="11" t="n"/>
      <c r="G237" s="17">
        <f>E237*F237</f>
        <v/>
      </c>
      <c r="H237" s="17">
        <f>IF(B237="",0,E237*IFERROR(VLOOKUP(B237,'Recetas y precios'!$A$5:$U$54,21,FALSE),0))</f>
        <v/>
      </c>
      <c r="I237" s="27" t="n"/>
      <c r="J237" s="17">
        <f>G237*I237</f>
        <v/>
      </c>
      <c r="K237" s="17">
        <f>G237-H237-J237</f>
        <v/>
      </c>
      <c r="L237" s="29">
        <f>IF(G237&gt;0,K237/G237,"")</f>
        <v/>
      </c>
      <c r="M237" s="6" t="n"/>
    </row>
    <row r="238">
      <c r="A238" s="32" t="n"/>
      <c r="B238" s="6" t="n"/>
      <c r="C238">
        <f>IF(B238="","",IFERROR(VLOOKUP(B238,'Recetas y precios'!$A$5:$B$54,2,FALSE),""))</f>
        <v/>
      </c>
      <c r="D238" s="6" t="n"/>
      <c r="E238" s="6" t="n"/>
      <c r="F238" s="11" t="n"/>
      <c r="G238" s="17">
        <f>E238*F238</f>
        <v/>
      </c>
      <c r="H238" s="17">
        <f>IF(B238="",0,E238*IFERROR(VLOOKUP(B238,'Recetas y precios'!$A$5:$U$54,21,FALSE),0))</f>
        <v/>
      </c>
      <c r="I238" s="27" t="n"/>
      <c r="J238" s="17">
        <f>G238*I238</f>
        <v/>
      </c>
      <c r="K238" s="17">
        <f>G238-H238-J238</f>
        <v/>
      </c>
      <c r="L238" s="29">
        <f>IF(G238&gt;0,K238/G238,"")</f>
        <v/>
      </c>
      <c r="M238" s="6" t="n"/>
    </row>
    <row r="239">
      <c r="A239" s="32" t="n"/>
      <c r="B239" s="6" t="n"/>
      <c r="C239">
        <f>IF(B239="","",IFERROR(VLOOKUP(B239,'Recetas y precios'!$A$5:$B$54,2,FALSE),""))</f>
        <v/>
      </c>
      <c r="D239" s="6" t="n"/>
      <c r="E239" s="6" t="n"/>
      <c r="F239" s="11" t="n"/>
      <c r="G239" s="17">
        <f>E239*F239</f>
        <v/>
      </c>
      <c r="H239" s="17">
        <f>IF(B239="",0,E239*IFERROR(VLOOKUP(B239,'Recetas y precios'!$A$5:$U$54,21,FALSE),0))</f>
        <v/>
      </c>
      <c r="I239" s="27" t="n"/>
      <c r="J239" s="17">
        <f>G239*I239</f>
        <v/>
      </c>
      <c r="K239" s="17">
        <f>G239-H239-J239</f>
        <v/>
      </c>
      <c r="L239" s="29">
        <f>IF(G239&gt;0,K239/G239,"")</f>
        <v/>
      </c>
      <c r="M239" s="6" t="n"/>
    </row>
    <row r="240">
      <c r="A240" s="32" t="n"/>
      <c r="B240" s="6" t="n"/>
      <c r="C240">
        <f>IF(B240="","",IFERROR(VLOOKUP(B240,'Recetas y precios'!$A$5:$B$54,2,FALSE),""))</f>
        <v/>
      </c>
      <c r="D240" s="6" t="n"/>
      <c r="E240" s="6" t="n"/>
      <c r="F240" s="11" t="n"/>
      <c r="G240" s="17">
        <f>E240*F240</f>
        <v/>
      </c>
      <c r="H240" s="17">
        <f>IF(B240="",0,E240*IFERROR(VLOOKUP(B240,'Recetas y precios'!$A$5:$U$54,21,FALSE),0))</f>
        <v/>
      </c>
      <c r="I240" s="27" t="n"/>
      <c r="J240" s="17">
        <f>G240*I240</f>
        <v/>
      </c>
      <c r="K240" s="17">
        <f>G240-H240-J240</f>
        <v/>
      </c>
      <c r="L240" s="29">
        <f>IF(G240&gt;0,K240/G240,"")</f>
        <v/>
      </c>
      <c r="M240" s="6" t="n"/>
    </row>
    <row r="241">
      <c r="A241" s="32" t="n"/>
      <c r="B241" s="6" t="n"/>
      <c r="C241">
        <f>IF(B241="","",IFERROR(VLOOKUP(B241,'Recetas y precios'!$A$5:$B$54,2,FALSE),""))</f>
        <v/>
      </c>
      <c r="D241" s="6" t="n"/>
      <c r="E241" s="6" t="n"/>
      <c r="F241" s="11" t="n"/>
      <c r="G241" s="17">
        <f>E241*F241</f>
        <v/>
      </c>
      <c r="H241" s="17">
        <f>IF(B241="",0,E241*IFERROR(VLOOKUP(B241,'Recetas y precios'!$A$5:$U$54,21,FALSE),0))</f>
        <v/>
      </c>
      <c r="I241" s="27" t="n"/>
      <c r="J241" s="17">
        <f>G241*I241</f>
        <v/>
      </c>
      <c r="K241" s="17">
        <f>G241-H241-J241</f>
        <v/>
      </c>
      <c r="L241" s="29">
        <f>IF(G241&gt;0,K241/G241,"")</f>
        <v/>
      </c>
      <c r="M241" s="6" t="n"/>
    </row>
    <row r="242">
      <c r="A242" s="32" t="n"/>
      <c r="B242" s="6" t="n"/>
      <c r="C242">
        <f>IF(B242="","",IFERROR(VLOOKUP(B242,'Recetas y precios'!$A$5:$B$54,2,FALSE),""))</f>
        <v/>
      </c>
      <c r="D242" s="6" t="n"/>
      <c r="E242" s="6" t="n"/>
      <c r="F242" s="11" t="n"/>
      <c r="G242" s="17">
        <f>E242*F242</f>
        <v/>
      </c>
      <c r="H242" s="17">
        <f>IF(B242="",0,E242*IFERROR(VLOOKUP(B242,'Recetas y precios'!$A$5:$U$54,21,FALSE),0))</f>
        <v/>
      </c>
      <c r="I242" s="27" t="n"/>
      <c r="J242" s="17">
        <f>G242*I242</f>
        <v/>
      </c>
      <c r="K242" s="17">
        <f>G242-H242-J242</f>
        <v/>
      </c>
      <c r="L242" s="29">
        <f>IF(G242&gt;0,K242/G242,"")</f>
        <v/>
      </c>
      <c r="M242" s="6" t="n"/>
    </row>
    <row r="243">
      <c r="A243" s="32" t="n"/>
      <c r="B243" s="6" t="n"/>
      <c r="C243">
        <f>IF(B243="","",IFERROR(VLOOKUP(B243,'Recetas y precios'!$A$5:$B$54,2,FALSE),""))</f>
        <v/>
      </c>
      <c r="D243" s="6" t="n"/>
      <c r="E243" s="6" t="n"/>
      <c r="F243" s="11" t="n"/>
      <c r="G243" s="17">
        <f>E243*F243</f>
        <v/>
      </c>
      <c r="H243" s="17">
        <f>IF(B243="",0,E243*IFERROR(VLOOKUP(B243,'Recetas y precios'!$A$5:$U$54,21,FALSE),0))</f>
        <v/>
      </c>
      <c r="I243" s="27" t="n"/>
      <c r="J243" s="17">
        <f>G243*I243</f>
        <v/>
      </c>
      <c r="K243" s="17">
        <f>G243-H243-J243</f>
        <v/>
      </c>
      <c r="L243" s="29">
        <f>IF(G243&gt;0,K243/G243,"")</f>
        <v/>
      </c>
      <c r="M243" s="6" t="n"/>
    </row>
    <row r="244">
      <c r="A244" s="32" t="n"/>
      <c r="B244" s="6" t="n"/>
      <c r="C244">
        <f>IF(B244="","",IFERROR(VLOOKUP(B244,'Recetas y precios'!$A$5:$B$54,2,FALSE),""))</f>
        <v/>
      </c>
      <c r="D244" s="6" t="n"/>
      <c r="E244" s="6" t="n"/>
      <c r="F244" s="11" t="n"/>
      <c r="G244" s="17">
        <f>E244*F244</f>
        <v/>
      </c>
      <c r="H244" s="17">
        <f>IF(B244="",0,E244*IFERROR(VLOOKUP(B244,'Recetas y precios'!$A$5:$U$54,21,FALSE),0))</f>
        <v/>
      </c>
      <c r="I244" s="27" t="n"/>
      <c r="J244" s="17">
        <f>G244*I244</f>
        <v/>
      </c>
      <c r="K244" s="17">
        <f>G244-H244-J244</f>
        <v/>
      </c>
      <c r="L244" s="29">
        <f>IF(G244&gt;0,K244/G244,"")</f>
        <v/>
      </c>
      <c r="M244" s="6" t="n"/>
    </row>
    <row r="245">
      <c r="A245" s="32" t="n"/>
      <c r="B245" s="6" t="n"/>
      <c r="C245">
        <f>IF(B245="","",IFERROR(VLOOKUP(B245,'Recetas y precios'!$A$5:$B$54,2,FALSE),""))</f>
        <v/>
      </c>
      <c r="D245" s="6" t="n"/>
      <c r="E245" s="6" t="n"/>
      <c r="F245" s="11" t="n"/>
      <c r="G245" s="17">
        <f>E245*F245</f>
        <v/>
      </c>
      <c r="H245" s="17">
        <f>IF(B245="",0,E245*IFERROR(VLOOKUP(B245,'Recetas y precios'!$A$5:$U$54,21,FALSE),0))</f>
        <v/>
      </c>
      <c r="I245" s="27" t="n"/>
      <c r="J245" s="17">
        <f>G245*I245</f>
        <v/>
      </c>
      <c r="K245" s="17">
        <f>G245-H245-J245</f>
        <v/>
      </c>
      <c r="L245" s="29">
        <f>IF(G245&gt;0,K245/G245,"")</f>
        <v/>
      </c>
      <c r="M245" s="6" t="n"/>
    </row>
    <row r="246">
      <c r="A246" s="32" t="n"/>
      <c r="B246" s="6" t="n"/>
      <c r="C246">
        <f>IF(B246="","",IFERROR(VLOOKUP(B246,'Recetas y precios'!$A$5:$B$54,2,FALSE),""))</f>
        <v/>
      </c>
      <c r="D246" s="6" t="n"/>
      <c r="E246" s="6" t="n"/>
      <c r="F246" s="11" t="n"/>
      <c r="G246" s="17">
        <f>E246*F246</f>
        <v/>
      </c>
      <c r="H246" s="17">
        <f>IF(B246="",0,E246*IFERROR(VLOOKUP(B246,'Recetas y precios'!$A$5:$U$54,21,FALSE),0))</f>
        <v/>
      </c>
      <c r="I246" s="27" t="n"/>
      <c r="J246" s="17">
        <f>G246*I246</f>
        <v/>
      </c>
      <c r="K246" s="17">
        <f>G246-H246-J246</f>
        <v/>
      </c>
      <c r="L246" s="29">
        <f>IF(G246&gt;0,K246/G246,"")</f>
        <v/>
      </c>
      <c r="M246" s="6" t="n"/>
    </row>
    <row r="247">
      <c r="A247" s="32" t="n"/>
      <c r="B247" s="6" t="n"/>
      <c r="C247">
        <f>IF(B247="","",IFERROR(VLOOKUP(B247,'Recetas y precios'!$A$5:$B$54,2,FALSE),""))</f>
        <v/>
      </c>
      <c r="D247" s="6" t="n"/>
      <c r="E247" s="6" t="n"/>
      <c r="F247" s="11" t="n"/>
      <c r="G247" s="17">
        <f>E247*F247</f>
        <v/>
      </c>
      <c r="H247" s="17">
        <f>IF(B247="",0,E247*IFERROR(VLOOKUP(B247,'Recetas y precios'!$A$5:$U$54,21,FALSE),0))</f>
        <v/>
      </c>
      <c r="I247" s="27" t="n"/>
      <c r="J247" s="17">
        <f>G247*I247</f>
        <v/>
      </c>
      <c r="K247" s="17">
        <f>G247-H247-J247</f>
        <v/>
      </c>
      <c r="L247" s="29">
        <f>IF(G247&gt;0,K247/G247,"")</f>
        <v/>
      </c>
      <c r="M247" s="6" t="n"/>
    </row>
    <row r="248">
      <c r="A248" s="32" t="n"/>
      <c r="B248" s="6" t="n"/>
      <c r="C248">
        <f>IF(B248="","",IFERROR(VLOOKUP(B248,'Recetas y precios'!$A$5:$B$54,2,FALSE),""))</f>
        <v/>
      </c>
      <c r="D248" s="6" t="n"/>
      <c r="E248" s="6" t="n"/>
      <c r="F248" s="11" t="n"/>
      <c r="G248" s="17">
        <f>E248*F248</f>
        <v/>
      </c>
      <c r="H248" s="17">
        <f>IF(B248="",0,E248*IFERROR(VLOOKUP(B248,'Recetas y precios'!$A$5:$U$54,21,FALSE),0))</f>
        <v/>
      </c>
      <c r="I248" s="27" t="n"/>
      <c r="J248" s="17">
        <f>G248*I248</f>
        <v/>
      </c>
      <c r="K248" s="17">
        <f>G248-H248-J248</f>
        <v/>
      </c>
      <c r="L248" s="29">
        <f>IF(G248&gt;0,K248/G248,"")</f>
        <v/>
      </c>
      <c r="M248" s="6" t="n"/>
    </row>
    <row r="249">
      <c r="A249" s="32" t="n"/>
      <c r="B249" s="6" t="n"/>
      <c r="C249">
        <f>IF(B249="","",IFERROR(VLOOKUP(B249,'Recetas y precios'!$A$5:$B$54,2,FALSE),""))</f>
        <v/>
      </c>
      <c r="D249" s="6" t="n"/>
      <c r="E249" s="6" t="n"/>
      <c r="F249" s="11" t="n"/>
      <c r="G249" s="17">
        <f>E249*F249</f>
        <v/>
      </c>
      <c r="H249" s="17">
        <f>IF(B249="",0,E249*IFERROR(VLOOKUP(B249,'Recetas y precios'!$A$5:$U$54,21,FALSE),0))</f>
        <v/>
      </c>
      <c r="I249" s="27" t="n"/>
      <c r="J249" s="17">
        <f>G249*I249</f>
        <v/>
      </c>
      <c r="K249" s="17">
        <f>G249-H249-J249</f>
        <v/>
      </c>
      <c r="L249" s="29">
        <f>IF(G249&gt;0,K249/G249,"")</f>
        <v/>
      </c>
      <c r="M249" s="6" t="n"/>
    </row>
    <row r="250">
      <c r="A250" s="32" t="n"/>
      <c r="B250" s="6" t="n"/>
      <c r="C250">
        <f>IF(B250="","",IFERROR(VLOOKUP(B250,'Recetas y precios'!$A$5:$B$54,2,FALSE),""))</f>
        <v/>
      </c>
      <c r="D250" s="6" t="n"/>
      <c r="E250" s="6" t="n"/>
      <c r="F250" s="11" t="n"/>
      <c r="G250" s="17">
        <f>E250*F250</f>
        <v/>
      </c>
      <c r="H250" s="17">
        <f>IF(B250="",0,E250*IFERROR(VLOOKUP(B250,'Recetas y precios'!$A$5:$U$54,21,FALSE),0))</f>
        <v/>
      </c>
      <c r="I250" s="27" t="n"/>
      <c r="J250" s="17">
        <f>G250*I250</f>
        <v/>
      </c>
      <c r="K250" s="17">
        <f>G250-H250-J250</f>
        <v/>
      </c>
      <c r="L250" s="29">
        <f>IF(G250&gt;0,K250/G250,"")</f>
        <v/>
      </c>
      <c r="M250" s="6" t="n"/>
    </row>
    <row r="251">
      <c r="A251" s="32" t="n"/>
      <c r="B251" s="6" t="n"/>
      <c r="C251">
        <f>IF(B251="","",IFERROR(VLOOKUP(B251,'Recetas y precios'!$A$5:$B$54,2,FALSE),""))</f>
        <v/>
      </c>
      <c r="D251" s="6" t="n"/>
      <c r="E251" s="6" t="n"/>
      <c r="F251" s="11" t="n"/>
      <c r="G251" s="17">
        <f>E251*F251</f>
        <v/>
      </c>
      <c r="H251" s="17">
        <f>IF(B251="",0,E251*IFERROR(VLOOKUP(B251,'Recetas y precios'!$A$5:$U$54,21,FALSE),0))</f>
        <v/>
      </c>
      <c r="I251" s="27" t="n"/>
      <c r="J251" s="17">
        <f>G251*I251</f>
        <v/>
      </c>
      <c r="K251" s="17">
        <f>G251-H251-J251</f>
        <v/>
      </c>
      <c r="L251" s="29">
        <f>IF(G251&gt;0,K251/G251,"")</f>
        <v/>
      </c>
      <c r="M251" s="6" t="n"/>
    </row>
    <row r="252">
      <c r="A252" s="32" t="n"/>
      <c r="B252" s="6" t="n"/>
      <c r="C252">
        <f>IF(B252="","",IFERROR(VLOOKUP(B252,'Recetas y precios'!$A$5:$B$54,2,FALSE),""))</f>
        <v/>
      </c>
      <c r="D252" s="6" t="n"/>
      <c r="E252" s="6" t="n"/>
      <c r="F252" s="11" t="n"/>
      <c r="G252" s="17">
        <f>E252*F252</f>
        <v/>
      </c>
      <c r="H252" s="17">
        <f>IF(B252="",0,E252*IFERROR(VLOOKUP(B252,'Recetas y precios'!$A$5:$U$54,21,FALSE),0))</f>
        <v/>
      </c>
      <c r="I252" s="27" t="n"/>
      <c r="J252" s="17">
        <f>G252*I252</f>
        <v/>
      </c>
      <c r="K252" s="17">
        <f>G252-H252-J252</f>
        <v/>
      </c>
      <c r="L252" s="29">
        <f>IF(G252&gt;0,K252/G252,"")</f>
        <v/>
      </c>
      <c r="M252" s="6" t="n"/>
    </row>
    <row r="253">
      <c r="A253" s="32" t="n"/>
      <c r="B253" s="6" t="n"/>
      <c r="C253">
        <f>IF(B253="","",IFERROR(VLOOKUP(B253,'Recetas y precios'!$A$5:$B$54,2,FALSE),""))</f>
        <v/>
      </c>
      <c r="D253" s="6" t="n"/>
      <c r="E253" s="6" t="n"/>
      <c r="F253" s="11" t="n"/>
      <c r="G253" s="17">
        <f>E253*F253</f>
        <v/>
      </c>
      <c r="H253" s="17">
        <f>IF(B253="",0,E253*IFERROR(VLOOKUP(B253,'Recetas y precios'!$A$5:$U$54,21,FALSE),0))</f>
        <v/>
      </c>
      <c r="I253" s="27" t="n"/>
      <c r="J253" s="17">
        <f>G253*I253</f>
        <v/>
      </c>
      <c r="K253" s="17">
        <f>G253-H253-J253</f>
        <v/>
      </c>
      <c r="L253" s="29">
        <f>IF(G253&gt;0,K253/G253,"")</f>
        <v/>
      </c>
      <c r="M253" s="6" t="n"/>
    </row>
    <row r="254">
      <c r="A254" s="32" t="n"/>
      <c r="B254" s="6" t="n"/>
      <c r="C254">
        <f>IF(B254="","",IFERROR(VLOOKUP(B254,'Recetas y precios'!$A$5:$B$54,2,FALSE),""))</f>
        <v/>
      </c>
      <c r="D254" s="6" t="n"/>
      <c r="E254" s="6" t="n"/>
      <c r="F254" s="11" t="n"/>
      <c r="G254" s="17">
        <f>E254*F254</f>
        <v/>
      </c>
      <c r="H254" s="17">
        <f>IF(B254="",0,E254*IFERROR(VLOOKUP(B254,'Recetas y precios'!$A$5:$U$54,21,FALSE),0))</f>
        <v/>
      </c>
      <c r="I254" s="27" t="n"/>
      <c r="J254" s="17">
        <f>G254*I254</f>
        <v/>
      </c>
      <c r="K254" s="17">
        <f>G254-H254-J254</f>
        <v/>
      </c>
      <c r="L254" s="29">
        <f>IF(G254&gt;0,K254/G254,"")</f>
        <v/>
      </c>
      <c r="M254" s="6" t="n"/>
    </row>
    <row r="255">
      <c r="A255" s="32" t="n"/>
      <c r="B255" s="6" t="n"/>
      <c r="C255">
        <f>IF(B255="","",IFERROR(VLOOKUP(B255,'Recetas y precios'!$A$5:$B$54,2,FALSE),""))</f>
        <v/>
      </c>
      <c r="D255" s="6" t="n"/>
      <c r="E255" s="6" t="n"/>
      <c r="F255" s="11" t="n"/>
      <c r="G255" s="17">
        <f>E255*F255</f>
        <v/>
      </c>
      <c r="H255" s="17">
        <f>IF(B255="",0,E255*IFERROR(VLOOKUP(B255,'Recetas y precios'!$A$5:$U$54,21,FALSE),0))</f>
        <v/>
      </c>
      <c r="I255" s="27" t="n"/>
      <c r="J255" s="17">
        <f>G255*I255</f>
        <v/>
      </c>
      <c r="K255" s="17">
        <f>G255-H255-J255</f>
        <v/>
      </c>
      <c r="L255" s="29">
        <f>IF(G255&gt;0,K255/G255,"")</f>
        <v/>
      </c>
      <c r="M255" s="6" t="n"/>
    </row>
    <row r="256">
      <c r="A256" s="32" t="n"/>
      <c r="B256" s="6" t="n"/>
      <c r="C256">
        <f>IF(B256="","",IFERROR(VLOOKUP(B256,'Recetas y precios'!$A$5:$B$54,2,FALSE),""))</f>
        <v/>
      </c>
      <c r="D256" s="6" t="n"/>
      <c r="E256" s="6" t="n"/>
      <c r="F256" s="11" t="n"/>
      <c r="G256" s="17">
        <f>E256*F256</f>
        <v/>
      </c>
      <c r="H256" s="17">
        <f>IF(B256="",0,E256*IFERROR(VLOOKUP(B256,'Recetas y precios'!$A$5:$U$54,21,FALSE),0))</f>
        <v/>
      </c>
      <c r="I256" s="27" t="n"/>
      <c r="J256" s="17">
        <f>G256*I256</f>
        <v/>
      </c>
      <c r="K256" s="17">
        <f>G256-H256-J256</f>
        <v/>
      </c>
      <c r="L256" s="29">
        <f>IF(G256&gt;0,K256/G256,"")</f>
        <v/>
      </c>
      <c r="M256" s="6" t="n"/>
    </row>
    <row r="257">
      <c r="A257" s="32" t="n"/>
      <c r="B257" s="6" t="n"/>
      <c r="C257">
        <f>IF(B257="","",IFERROR(VLOOKUP(B257,'Recetas y precios'!$A$5:$B$54,2,FALSE),""))</f>
        <v/>
      </c>
      <c r="D257" s="6" t="n"/>
      <c r="E257" s="6" t="n"/>
      <c r="F257" s="11" t="n"/>
      <c r="G257" s="17">
        <f>E257*F257</f>
        <v/>
      </c>
      <c r="H257" s="17">
        <f>IF(B257="",0,E257*IFERROR(VLOOKUP(B257,'Recetas y precios'!$A$5:$U$54,21,FALSE),0))</f>
        <v/>
      </c>
      <c r="I257" s="27" t="n"/>
      <c r="J257" s="17">
        <f>G257*I257</f>
        <v/>
      </c>
      <c r="K257" s="17">
        <f>G257-H257-J257</f>
        <v/>
      </c>
      <c r="L257" s="29">
        <f>IF(G257&gt;0,K257/G257,"")</f>
        <v/>
      </c>
      <c r="M257" s="6" t="n"/>
    </row>
    <row r="258">
      <c r="A258" s="32" t="n"/>
      <c r="B258" s="6" t="n"/>
      <c r="C258">
        <f>IF(B258="","",IFERROR(VLOOKUP(B258,'Recetas y precios'!$A$5:$B$54,2,FALSE),""))</f>
        <v/>
      </c>
      <c r="D258" s="6" t="n"/>
      <c r="E258" s="6" t="n"/>
      <c r="F258" s="11" t="n"/>
      <c r="G258" s="17">
        <f>E258*F258</f>
        <v/>
      </c>
      <c r="H258" s="17">
        <f>IF(B258="",0,E258*IFERROR(VLOOKUP(B258,'Recetas y precios'!$A$5:$U$54,21,FALSE),0))</f>
        <v/>
      </c>
      <c r="I258" s="27" t="n"/>
      <c r="J258" s="17">
        <f>G258*I258</f>
        <v/>
      </c>
      <c r="K258" s="17">
        <f>G258-H258-J258</f>
        <v/>
      </c>
      <c r="L258" s="29">
        <f>IF(G258&gt;0,K258/G258,"")</f>
        <v/>
      </c>
      <c r="M258" s="6" t="n"/>
    </row>
    <row r="259">
      <c r="A259" s="32" t="n"/>
      <c r="B259" s="6" t="n"/>
      <c r="C259">
        <f>IF(B259="","",IFERROR(VLOOKUP(B259,'Recetas y precios'!$A$5:$B$54,2,FALSE),""))</f>
        <v/>
      </c>
      <c r="D259" s="6" t="n"/>
      <c r="E259" s="6" t="n"/>
      <c r="F259" s="11" t="n"/>
      <c r="G259" s="17">
        <f>E259*F259</f>
        <v/>
      </c>
      <c r="H259" s="17">
        <f>IF(B259="",0,E259*IFERROR(VLOOKUP(B259,'Recetas y precios'!$A$5:$U$54,21,FALSE),0))</f>
        <v/>
      </c>
      <c r="I259" s="27" t="n"/>
      <c r="J259" s="17">
        <f>G259*I259</f>
        <v/>
      </c>
      <c r="K259" s="17">
        <f>G259-H259-J259</f>
        <v/>
      </c>
      <c r="L259" s="29">
        <f>IF(G259&gt;0,K259/G259,"")</f>
        <v/>
      </c>
      <c r="M259" s="6" t="n"/>
    </row>
    <row r="260">
      <c r="A260" s="32" t="n"/>
      <c r="B260" s="6" t="n"/>
      <c r="C260">
        <f>IF(B260="","",IFERROR(VLOOKUP(B260,'Recetas y precios'!$A$5:$B$54,2,FALSE),""))</f>
        <v/>
      </c>
      <c r="D260" s="6" t="n"/>
      <c r="E260" s="6" t="n"/>
      <c r="F260" s="11" t="n"/>
      <c r="G260" s="17">
        <f>E260*F260</f>
        <v/>
      </c>
      <c r="H260" s="17">
        <f>IF(B260="",0,E260*IFERROR(VLOOKUP(B260,'Recetas y precios'!$A$5:$U$54,21,FALSE),0))</f>
        <v/>
      </c>
      <c r="I260" s="27" t="n"/>
      <c r="J260" s="17">
        <f>G260*I260</f>
        <v/>
      </c>
      <c r="K260" s="17">
        <f>G260-H260-J260</f>
        <v/>
      </c>
      <c r="L260" s="29">
        <f>IF(G260&gt;0,K260/G260,"")</f>
        <v/>
      </c>
      <c r="M260" s="6" t="n"/>
    </row>
    <row r="261">
      <c r="A261" s="32" t="n"/>
      <c r="B261" s="6" t="n"/>
      <c r="C261">
        <f>IF(B261="","",IFERROR(VLOOKUP(B261,'Recetas y precios'!$A$5:$B$54,2,FALSE),""))</f>
        <v/>
      </c>
      <c r="D261" s="6" t="n"/>
      <c r="E261" s="6" t="n"/>
      <c r="F261" s="11" t="n"/>
      <c r="G261" s="17">
        <f>E261*F261</f>
        <v/>
      </c>
      <c r="H261" s="17">
        <f>IF(B261="",0,E261*IFERROR(VLOOKUP(B261,'Recetas y precios'!$A$5:$U$54,21,FALSE),0))</f>
        <v/>
      </c>
      <c r="I261" s="27" t="n"/>
      <c r="J261" s="17">
        <f>G261*I261</f>
        <v/>
      </c>
      <c r="K261" s="17">
        <f>G261-H261-J261</f>
        <v/>
      </c>
      <c r="L261" s="29">
        <f>IF(G261&gt;0,K261/G261,"")</f>
        <v/>
      </c>
      <c r="M261" s="6" t="n"/>
    </row>
    <row r="262">
      <c r="A262" s="32" t="n"/>
      <c r="B262" s="6" t="n"/>
      <c r="C262">
        <f>IF(B262="","",IFERROR(VLOOKUP(B262,'Recetas y precios'!$A$5:$B$54,2,FALSE),""))</f>
        <v/>
      </c>
      <c r="D262" s="6" t="n"/>
      <c r="E262" s="6" t="n"/>
      <c r="F262" s="11" t="n"/>
      <c r="G262" s="17">
        <f>E262*F262</f>
        <v/>
      </c>
      <c r="H262" s="17">
        <f>IF(B262="",0,E262*IFERROR(VLOOKUP(B262,'Recetas y precios'!$A$5:$U$54,21,FALSE),0))</f>
        <v/>
      </c>
      <c r="I262" s="27" t="n"/>
      <c r="J262" s="17">
        <f>G262*I262</f>
        <v/>
      </c>
      <c r="K262" s="17">
        <f>G262-H262-J262</f>
        <v/>
      </c>
      <c r="L262" s="29">
        <f>IF(G262&gt;0,K262/G262,"")</f>
        <v/>
      </c>
      <c r="M262" s="6" t="n"/>
    </row>
    <row r="263">
      <c r="A263" s="32" t="n"/>
      <c r="B263" s="6" t="n"/>
      <c r="C263">
        <f>IF(B263="","",IFERROR(VLOOKUP(B263,'Recetas y precios'!$A$5:$B$54,2,FALSE),""))</f>
        <v/>
      </c>
      <c r="D263" s="6" t="n"/>
      <c r="E263" s="6" t="n"/>
      <c r="F263" s="11" t="n"/>
      <c r="G263" s="17">
        <f>E263*F263</f>
        <v/>
      </c>
      <c r="H263" s="17">
        <f>IF(B263="",0,E263*IFERROR(VLOOKUP(B263,'Recetas y precios'!$A$5:$U$54,21,FALSE),0))</f>
        <v/>
      </c>
      <c r="I263" s="27" t="n"/>
      <c r="J263" s="17">
        <f>G263*I263</f>
        <v/>
      </c>
      <c r="K263" s="17">
        <f>G263-H263-J263</f>
        <v/>
      </c>
      <c r="L263" s="29">
        <f>IF(G263&gt;0,K263/G263,"")</f>
        <v/>
      </c>
      <c r="M263" s="6" t="n"/>
    </row>
    <row r="264">
      <c r="A264" s="32" t="n"/>
      <c r="B264" s="6" t="n"/>
      <c r="C264">
        <f>IF(B264="","",IFERROR(VLOOKUP(B264,'Recetas y precios'!$A$5:$B$54,2,FALSE),""))</f>
        <v/>
      </c>
      <c r="D264" s="6" t="n"/>
      <c r="E264" s="6" t="n"/>
      <c r="F264" s="11" t="n"/>
      <c r="G264" s="17">
        <f>E264*F264</f>
        <v/>
      </c>
      <c r="H264" s="17">
        <f>IF(B264="",0,E264*IFERROR(VLOOKUP(B264,'Recetas y precios'!$A$5:$U$54,21,FALSE),0))</f>
        <v/>
      </c>
      <c r="I264" s="27" t="n"/>
      <c r="J264" s="17">
        <f>G264*I264</f>
        <v/>
      </c>
      <c r="K264" s="17">
        <f>G264-H264-J264</f>
        <v/>
      </c>
      <c r="L264" s="29">
        <f>IF(G264&gt;0,K264/G264,"")</f>
        <v/>
      </c>
      <c r="M264" s="6" t="n"/>
    </row>
    <row r="265">
      <c r="A265" s="32" t="n"/>
      <c r="B265" s="6" t="n"/>
      <c r="C265">
        <f>IF(B265="","",IFERROR(VLOOKUP(B265,'Recetas y precios'!$A$5:$B$54,2,FALSE),""))</f>
        <v/>
      </c>
      <c r="D265" s="6" t="n"/>
      <c r="E265" s="6" t="n"/>
      <c r="F265" s="11" t="n"/>
      <c r="G265" s="17">
        <f>E265*F265</f>
        <v/>
      </c>
      <c r="H265" s="17">
        <f>IF(B265="",0,E265*IFERROR(VLOOKUP(B265,'Recetas y precios'!$A$5:$U$54,21,FALSE),0))</f>
        <v/>
      </c>
      <c r="I265" s="27" t="n"/>
      <c r="J265" s="17">
        <f>G265*I265</f>
        <v/>
      </c>
      <c r="K265" s="17">
        <f>G265-H265-J265</f>
        <v/>
      </c>
      <c r="L265" s="29">
        <f>IF(G265&gt;0,K265/G265,"")</f>
        <v/>
      </c>
      <c r="M265" s="6" t="n"/>
    </row>
    <row r="266">
      <c r="A266" s="32" t="n"/>
      <c r="B266" s="6" t="n"/>
      <c r="C266">
        <f>IF(B266="","",IFERROR(VLOOKUP(B266,'Recetas y precios'!$A$5:$B$54,2,FALSE),""))</f>
        <v/>
      </c>
      <c r="D266" s="6" t="n"/>
      <c r="E266" s="6" t="n"/>
      <c r="F266" s="11" t="n"/>
      <c r="G266" s="17">
        <f>E266*F266</f>
        <v/>
      </c>
      <c r="H266" s="17">
        <f>IF(B266="",0,E266*IFERROR(VLOOKUP(B266,'Recetas y precios'!$A$5:$U$54,21,FALSE),0))</f>
        <v/>
      </c>
      <c r="I266" s="27" t="n"/>
      <c r="J266" s="17">
        <f>G266*I266</f>
        <v/>
      </c>
      <c r="K266" s="17">
        <f>G266-H266-J266</f>
        <v/>
      </c>
      <c r="L266" s="29">
        <f>IF(G266&gt;0,K266/G266,"")</f>
        <v/>
      </c>
      <c r="M266" s="6" t="n"/>
    </row>
    <row r="267">
      <c r="A267" s="32" t="n"/>
      <c r="B267" s="6" t="n"/>
      <c r="C267">
        <f>IF(B267="","",IFERROR(VLOOKUP(B267,'Recetas y precios'!$A$5:$B$54,2,FALSE),""))</f>
        <v/>
      </c>
      <c r="D267" s="6" t="n"/>
      <c r="E267" s="6" t="n"/>
      <c r="F267" s="11" t="n"/>
      <c r="G267" s="17">
        <f>E267*F267</f>
        <v/>
      </c>
      <c r="H267" s="17">
        <f>IF(B267="",0,E267*IFERROR(VLOOKUP(B267,'Recetas y precios'!$A$5:$U$54,21,FALSE),0))</f>
        <v/>
      </c>
      <c r="I267" s="27" t="n"/>
      <c r="J267" s="17">
        <f>G267*I267</f>
        <v/>
      </c>
      <c r="K267" s="17">
        <f>G267-H267-J267</f>
        <v/>
      </c>
      <c r="L267" s="29">
        <f>IF(G267&gt;0,K267/G267,"")</f>
        <v/>
      </c>
      <c r="M267" s="6" t="n"/>
    </row>
    <row r="268">
      <c r="A268" s="32" t="n"/>
      <c r="B268" s="6" t="n"/>
      <c r="C268">
        <f>IF(B268="","",IFERROR(VLOOKUP(B268,'Recetas y precios'!$A$5:$B$54,2,FALSE),""))</f>
        <v/>
      </c>
      <c r="D268" s="6" t="n"/>
      <c r="E268" s="6" t="n"/>
      <c r="F268" s="11" t="n"/>
      <c r="G268" s="17">
        <f>E268*F268</f>
        <v/>
      </c>
      <c r="H268" s="17">
        <f>IF(B268="",0,E268*IFERROR(VLOOKUP(B268,'Recetas y precios'!$A$5:$U$54,21,FALSE),0))</f>
        <v/>
      </c>
      <c r="I268" s="27" t="n"/>
      <c r="J268" s="17">
        <f>G268*I268</f>
        <v/>
      </c>
      <c r="K268" s="17">
        <f>G268-H268-J268</f>
        <v/>
      </c>
      <c r="L268" s="29">
        <f>IF(G268&gt;0,K268/G268,"")</f>
        <v/>
      </c>
      <c r="M268" s="6" t="n"/>
    </row>
    <row r="269">
      <c r="A269" s="32" t="n"/>
      <c r="B269" s="6" t="n"/>
      <c r="C269">
        <f>IF(B269="","",IFERROR(VLOOKUP(B269,'Recetas y precios'!$A$5:$B$54,2,FALSE),""))</f>
        <v/>
      </c>
      <c r="D269" s="6" t="n"/>
      <c r="E269" s="6" t="n"/>
      <c r="F269" s="11" t="n"/>
      <c r="G269" s="17">
        <f>E269*F269</f>
        <v/>
      </c>
      <c r="H269" s="17">
        <f>IF(B269="",0,E269*IFERROR(VLOOKUP(B269,'Recetas y precios'!$A$5:$U$54,21,FALSE),0))</f>
        <v/>
      </c>
      <c r="I269" s="27" t="n"/>
      <c r="J269" s="17">
        <f>G269*I269</f>
        <v/>
      </c>
      <c r="K269" s="17">
        <f>G269-H269-J269</f>
        <v/>
      </c>
      <c r="L269" s="29">
        <f>IF(G269&gt;0,K269/G269,"")</f>
        <v/>
      </c>
      <c r="M269" s="6" t="n"/>
    </row>
    <row r="270">
      <c r="A270" s="32" t="n"/>
      <c r="B270" s="6" t="n"/>
      <c r="C270">
        <f>IF(B270="","",IFERROR(VLOOKUP(B270,'Recetas y precios'!$A$5:$B$54,2,FALSE),""))</f>
        <v/>
      </c>
      <c r="D270" s="6" t="n"/>
      <c r="E270" s="6" t="n"/>
      <c r="F270" s="11" t="n"/>
      <c r="G270" s="17">
        <f>E270*F270</f>
        <v/>
      </c>
      <c r="H270" s="17">
        <f>IF(B270="",0,E270*IFERROR(VLOOKUP(B270,'Recetas y precios'!$A$5:$U$54,21,FALSE),0))</f>
        <v/>
      </c>
      <c r="I270" s="27" t="n"/>
      <c r="J270" s="17">
        <f>G270*I270</f>
        <v/>
      </c>
      <c r="K270" s="17">
        <f>G270-H270-J270</f>
        <v/>
      </c>
      <c r="L270" s="29">
        <f>IF(G270&gt;0,K270/G270,"")</f>
        <v/>
      </c>
      <c r="M270" s="6" t="n"/>
    </row>
    <row r="271">
      <c r="A271" s="32" t="n"/>
      <c r="B271" s="6" t="n"/>
      <c r="C271">
        <f>IF(B271="","",IFERROR(VLOOKUP(B271,'Recetas y precios'!$A$5:$B$54,2,FALSE),""))</f>
        <v/>
      </c>
      <c r="D271" s="6" t="n"/>
      <c r="E271" s="6" t="n"/>
      <c r="F271" s="11" t="n"/>
      <c r="G271" s="17">
        <f>E271*F271</f>
        <v/>
      </c>
      <c r="H271" s="17">
        <f>IF(B271="",0,E271*IFERROR(VLOOKUP(B271,'Recetas y precios'!$A$5:$U$54,21,FALSE),0))</f>
        <v/>
      </c>
      <c r="I271" s="27" t="n"/>
      <c r="J271" s="17">
        <f>G271*I271</f>
        <v/>
      </c>
      <c r="K271" s="17">
        <f>G271-H271-J271</f>
        <v/>
      </c>
      <c r="L271" s="29">
        <f>IF(G271&gt;0,K271/G271,"")</f>
        <v/>
      </c>
      <c r="M271" s="6" t="n"/>
    </row>
    <row r="272">
      <c r="A272" s="32" t="n"/>
      <c r="B272" s="6" t="n"/>
      <c r="C272">
        <f>IF(B272="","",IFERROR(VLOOKUP(B272,'Recetas y precios'!$A$5:$B$54,2,FALSE),""))</f>
        <v/>
      </c>
      <c r="D272" s="6" t="n"/>
      <c r="E272" s="6" t="n"/>
      <c r="F272" s="11" t="n"/>
      <c r="G272" s="17">
        <f>E272*F272</f>
        <v/>
      </c>
      <c r="H272" s="17">
        <f>IF(B272="",0,E272*IFERROR(VLOOKUP(B272,'Recetas y precios'!$A$5:$U$54,21,FALSE),0))</f>
        <v/>
      </c>
      <c r="I272" s="27" t="n"/>
      <c r="J272" s="17">
        <f>G272*I272</f>
        <v/>
      </c>
      <c r="K272" s="17">
        <f>G272-H272-J272</f>
        <v/>
      </c>
      <c r="L272" s="29">
        <f>IF(G272&gt;0,K272/G272,"")</f>
        <v/>
      </c>
      <c r="M272" s="6" t="n"/>
    </row>
    <row r="273">
      <c r="A273" s="32" t="n"/>
      <c r="B273" s="6" t="n"/>
      <c r="C273">
        <f>IF(B273="","",IFERROR(VLOOKUP(B273,'Recetas y precios'!$A$5:$B$54,2,FALSE),""))</f>
        <v/>
      </c>
      <c r="D273" s="6" t="n"/>
      <c r="E273" s="6" t="n"/>
      <c r="F273" s="11" t="n"/>
      <c r="G273" s="17">
        <f>E273*F273</f>
        <v/>
      </c>
      <c r="H273" s="17">
        <f>IF(B273="",0,E273*IFERROR(VLOOKUP(B273,'Recetas y precios'!$A$5:$U$54,21,FALSE),0))</f>
        <v/>
      </c>
      <c r="I273" s="27" t="n"/>
      <c r="J273" s="17">
        <f>G273*I273</f>
        <v/>
      </c>
      <c r="K273" s="17">
        <f>G273-H273-J273</f>
        <v/>
      </c>
      <c r="L273" s="29">
        <f>IF(G273&gt;0,K273/G273,"")</f>
        <v/>
      </c>
      <c r="M273" s="6" t="n"/>
    </row>
    <row r="274">
      <c r="A274" s="32" t="n"/>
      <c r="B274" s="6" t="n"/>
      <c r="C274">
        <f>IF(B274="","",IFERROR(VLOOKUP(B274,'Recetas y precios'!$A$5:$B$54,2,FALSE),""))</f>
        <v/>
      </c>
      <c r="D274" s="6" t="n"/>
      <c r="E274" s="6" t="n"/>
      <c r="F274" s="11" t="n"/>
      <c r="G274" s="17">
        <f>E274*F274</f>
        <v/>
      </c>
      <c r="H274" s="17">
        <f>IF(B274="",0,E274*IFERROR(VLOOKUP(B274,'Recetas y precios'!$A$5:$U$54,21,FALSE),0))</f>
        <v/>
      </c>
      <c r="I274" s="27" t="n"/>
      <c r="J274" s="17">
        <f>G274*I274</f>
        <v/>
      </c>
      <c r="K274" s="17">
        <f>G274-H274-J274</f>
        <v/>
      </c>
      <c r="L274" s="29">
        <f>IF(G274&gt;0,K274/G274,"")</f>
        <v/>
      </c>
      <c r="M274" s="6" t="n"/>
    </row>
    <row r="275">
      <c r="A275" s="32" t="n"/>
      <c r="B275" s="6" t="n"/>
      <c r="C275">
        <f>IF(B275="","",IFERROR(VLOOKUP(B275,'Recetas y precios'!$A$5:$B$54,2,FALSE),""))</f>
        <v/>
      </c>
      <c r="D275" s="6" t="n"/>
      <c r="E275" s="6" t="n"/>
      <c r="F275" s="11" t="n"/>
      <c r="G275" s="17">
        <f>E275*F275</f>
        <v/>
      </c>
      <c r="H275" s="17">
        <f>IF(B275="",0,E275*IFERROR(VLOOKUP(B275,'Recetas y precios'!$A$5:$U$54,21,FALSE),0))</f>
        <v/>
      </c>
      <c r="I275" s="27" t="n"/>
      <c r="J275" s="17">
        <f>G275*I275</f>
        <v/>
      </c>
      <c r="K275" s="17">
        <f>G275-H275-J275</f>
        <v/>
      </c>
      <c r="L275" s="29">
        <f>IF(G275&gt;0,K275/G275,"")</f>
        <v/>
      </c>
      <c r="M275" s="6" t="n"/>
    </row>
    <row r="276">
      <c r="A276" s="32" t="n"/>
      <c r="B276" s="6" t="n"/>
      <c r="C276">
        <f>IF(B276="","",IFERROR(VLOOKUP(B276,'Recetas y precios'!$A$5:$B$54,2,FALSE),""))</f>
        <v/>
      </c>
      <c r="D276" s="6" t="n"/>
      <c r="E276" s="6" t="n"/>
      <c r="F276" s="11" t="n"/>
      <c r="G276" s="17">
        <f>E276*F276</f>
        <v/>
      </c>
      <c r="H276" s="17">
        <f>IF(B276="",0,E276*IFERROR(VLOOKUP(B276,'Recetas y precios'!$A$5:$U$54,21,FALSE),0))</f>
        <v/>
      </c>
      <c r="I276" s="27" t="n"/>
      <c r="J276" s="17">
        <f>G276*I276</f>
        <v/>
      </c>
      <c r="K276" s="17">
        <f>G276-H276-J276</f>
        <v/>
      </c>
      <c r="L276" s="29">
        <f>IF(G276&gt;0,K276/G276,"")</f>
        <v/>
      </c>
      <c r="M276" s="6" t="n"/>
    </row>
    <row r="277">
      <c r="A277" s="32" t="n"/>
      <c r="B277" s="6" t="n"/>
      <c r="C277">
        <f>IF(B277="","",IFERROR(VLOOKUP(B277,'Recetas y precios'!$A$5:$B$54,2,FALSE),""))</f>
        <v/>
      </c>
      <c r="D277" s="6" t="n"/>
      <c r="E277" s="6" t="n"/>
      <c r="F277" s="11" t="n"/>
      <c r="G277" s="17">
        <f>E277*F277</f>
        <v/>
      </c>
      <c r="H277" s="17">
        <f>IF(B277="",0,E277*IFERROR(VLOOKUP(B277,'Recetas y precios'!$A$5:$U$54,21,FALSE),0))</f>
        <v/>
      </c>
      <c r="I277" s="27" t="n"/>
      <c r="J277" s="17">
        <f>G277*I277</f>
        <v/>
      </c>
      <c r="K277" s="17">
        <f>G277-H277-J277</f>
        <v/>
      </c>
      <c r="L277" s="29">
        <f>IF(G277&gt;0,K277/G277,"")</f>
        <v/>
      </c>
      <c r="M277" s="6" t="n"/>
    </row>
    <row r="278">
      <c r="A278" s="32" t="n"/>
      <c r="B278" s="6" t="n"/>
      <c r="C278">
        <f>IF(B278="","",IFERROR(VLOOKUP(B278,'Recetas y precios'!$A$5:$B$54,2,FALSE),""))</f>
        <v/>
      </c>
      <c r="D278" s="6" t="n"/>
      <c r="E278" s="6" t="n"/>
      <c r="F278" s="11" t="n"/>
      <c r="G278" s="17">
        <f>E278*F278</f>
        <v/>
      </c>
      <c r="H278" s="17">
        <f>IF(B278="",0,E278*IFERROR(VLOOKUP(B278,'Recetas y precios'!$A$5:$U$54,21,FALSE),0))</f>
        <v/>
      </c>
      <c r="I278" s="27" t="n"/>
      <c r="J278" s="17">
        <f>G278*I278</f>
        <v/>
      </c>
      <c r="K278" s="17">
        <f>G278-H278-J278</f>
        <v/>
      </c>
      <c r="L278" s="29">
        <f>IF(G278&gt;0,K278/G278,"")</f>
        <v/>
      </c>
      <c r="M278" s="6" t="n"/>
    </row>
    <row r="279">
      <c r="A279" s="32" t="n"/>
      <c r="B279" s="6" t="n"/>
      <c r="C279">
        <f>IF(B279="","",IFERROR(VLOOKUP(B279,'Recetas y precios'!$A$5:$B$54,2,FALSE),""))</f>
        <v/>
      </c>
      <c r="D279" s="6" t="n"/>
      <c r="E279" s="6" t="n"/>
      <c r="F279" s="11" t="n"/>
      <c r="G279" s="17">
        <f>E279*F279</f>
        <v/>
      </c>
      <c r="H279" s="17">
        <f>IF(B279="",0,E279*IFERROR(VLOOKUP(B279,'Recetas y precios'!$A$5:$U$54,21,FALSE),0))</f>
        <v/>
      </c>
      <c r="I279" s="27" t="n"/>
      <c r="J279" s="17">
        <f>G279*I279</f>
        <v/>
      </c>
      <c r="K279" s="17">
        <f>G279-H279-J279</f>
        <v/>
      </c>
      <c r="L279" s="29">
        <f>IF(G279&gt;0,K279/G279,"")</f>
        <v/>
      </c>
      <c r="M279" s="6" t="n"/>
    </row>
    <row r="280">
      <c r="A280" s="32" t="n"/>
      <c r="B280" s="6" t="n"/>
      <c r="C280">
        <f>IF(B280="","",IFERROR(VLOOKUP(B280,'Recetas y precios'!$A$5:$B$54,2,FALSE),""))</f>
        <v/>
      </c>
      <c r="D280" s="6" t="n"/>
      <c r="E280" s="6" t="n"/>
      <c r="F280" s="11" t="n"/>
      <c r="G280" s="17">
        <f>E280*F280</f>
        <v/>
      </c>
      <c r="H280" s="17">
        <f>IF(B280="",0,E280*IFERROR(VLOOKUP(B280,'Recetas y precios'!$A$5:$U$54,21,FALSE),0))</f>
        <v/>
      </c>
      <c r="I280" s="27" t="n"/>
      <c r="J280" s="17">
        <f>G280*I280</f>
        <v/>
      </c>
      <c r="K280" s="17">
        <f>G280-H280-J280</f>
        <v/>
      </c>
      <c r="L280" s="29">
        <f>IF(G280&gt;0,K280/G280,"")</f>
        <v/>
      </c>
      <c r="M280" s="6" t="n"/>
    </row>
    <row r="281">
      <c r="A281" s="32" t="n"/>
      <c r="B281" s="6" t="n"/>
      <c r="C281">
        <f>IF(B281="","",IFERROR(VLOOKUP(B281,'Recetas y precios'!$A$5:$B$54,2,FALSE),""))</f>
        <v/>
      </c>
      <c r="D281" s="6" t="n"/>
      <c r="E281" s="6" t="n"/>
      <c r="F281" s="11" t="n"/>
      <c r="G281" s="17">
        <f>E281*F281</f>
        <v/>
      </c>
      <c r="H281" s="17">
        <f>IF(B281="",0,E281*IFERROR(VLOOKUP(B281,'Recetas y precios'!$A$5:$U$54,21,FALSE),0))</f>
        <v/>
      </c>
      <c r="I281" s="27" t="n"/>
      <c r="J281" s="17">
        <f>G281*I281</f>
        <v/>
      </c>
      <c r="K281" s="17">
        <f>G281-H281-J281</f>
        <v/>
      </c>
      <c r="L281" s="29">
        <f>IF(G281&gt;0,K281/G281,"")</f>
        <v/>
      </c>
      <c r="M281" s="6" t="n"/>
    </row>
    <row r="282">
      <c r="A282" s="32" t="n"/>
      <c r="B282" s="6" t="n"/>
      <c r="C282">
        <f>IF(B282="","",IFERROR(VLOOKUP(B282,'Recetas y precios'!$A$5:$B$54,2,FALSE),""))</f>
        <v/>
      </c>
      <c r="D282" s="6" t="n"/>
      <c r="E282" s="6" t="n"/>
      <c r="F282" s="11" t="n"/>
      <c r="G282" s="17">
        <f>E282*F282</f>
        <v/>
      </c>
      <c r="H282" s="17">
        <f>IF(B282="",0,E282*IFERROR(VLOOKUP(B282,'Recetas y precios'!$A$5:$U$54,21,FALSE),0))</f>
        <v/>
      </c>
      <c r="I282" s="27" t="n"/>
      <c r="J282" s="17">
        <f>G282*I282</f>
        <v/>
      </c>
      <c r="K282" s="17">
        <f>G282-H282-J282</f>
        <v/>
      </c>
      <c r="L282" s="29">
        <f>IF(G282&gt;0,K282/G282,"")</f>
        <v/>
      </c>
      <c r="M282" s="6" t="n"/>
    </row>
    <row r="283">
      <c r="A283" s="32" t="n"/>
      <c r="B283" s="6" t="n"/>
      <c r="C283">
        <f>IF(B283="","",IFERROR(VLOOKUP(B283,'Recetas y precios'!$A$5:$B$54,2,FALSE),""))</f>
        <v/>
      </c>
      <c r="D283" s="6" t="n"/>
      <c r="E283" s="6" t="n"/>
      <c r="F283" s="11" t="n"/>
      <c r="G283" s="17">
        <f>E283*F283</f>
        <v/>
      </c>
      <c r="H283" s="17">
        <f>IF(B283="",0,E283*IFERROR(VLOOKUP(B283,'Recetas y precios'!$A$5:$U$54,21,FALSE),0))</f>
        <v/>
      </c>
      <c r="I283" s="27" t="n"/>
      <c r="J283" s="17">
        <f>G283*I283</f>
        <v/>
      </c>
      <c r="K283" s="17">
        <f>G283-H283-J283</f>
        <v/>
      </c>
      <c r="L283" s="29">
        <f>IF(G283&gt;0,K283/G283,"")</f>
        <v/>
      </c>
      <c r="M283" s="6" t="n"/>
    </row>
    <row r="284">
      <c r="A284" s="32" t="n"/>
      <c r="B284" s="6" t="n"/>
      <c r="C284">
        <f>IF(B284="","",IFERROR(VLOOKUP(B284,'Recetas y precios'!$A$5:$B$54,2,FALSE),""))</f>
        <v/>
      </c>
      <c r="D284" s="6" t="n"/>
      <c r="E284" s="6" t="n"/>
      <c r="F284" s="11" t="n"/>
      <c r="G284" s="17">
        <f>E284*F284</f>
        <v/>
      </c>
      <c r="H284" s="17">
        <f>IF(B284="",0,E284*IFERROR(VLOOKUP(B284,'Recetas y precios'!$A$5:$U$54,21,FALSE),0))</f>
        <v/>
      </c>
      <c r="I284" s="27" t="n"/>
      <c r="J284" s="17">
        <f>G284*I284</f>
        <v/>
      </c>
      <c r="K284" s="17">
        <f>G284-H284-J284</f>
        <v/>
      </c>
      <c r="L284" s="29">
        <f>IF(G284&gt;0,K284/G284,"")</f>
        <v/>
      </c>
      <c r="M284" s="6" t="n"/>
    </row>
    <row r="285">
      <c r="A285" s="32" t="n"/>
      <c r="B285" s="6" t="n"/>
      <c r="C285">
        <f>IF(B285="","",IFERROR(VLOOKUP(B285,'Recetas y precios'!$A$5:$B$54,2,FALSE),""))</f>
        <v/>
      </c>
      <c r="D285" s="6" t="n"/>
      <c r="E285" s="6" t="n"/>
      <c r="F285" s="11" t="n"/>
      <c r="G285" s="17">
        <f>E285*F285</f>
        <v/>
      </c>
      <c r="H285" s="17">
        <f>IF(B285="",0,E285*IFERROR(VLOOKUP(B285,'Recetas y precios'!$A$5:$U$54,21,FALSE),0))</f>
        <v/>
      </c>
      <c r="I285" s="27" t="n"/>
      <c r="J285" s="17">
        <f>G285*I285</f>
        <v/>
      </c>
      <c r="K285" s="17">
        <f>G285-H285-J285</f>
        <v/>
      </c>
      <c r="L285" s="29">
        <f>IF(G285&gt;0,K285/G285,"")</f>
        <v/>
      </c>
      <c r="M285" s="6" t="n"/>
    </row>
    <row r="286">
      <c r="A286" s="32" t="n"/>
      <c r="B286" s="6" t="n"/>
      <c r="C286">
        <f>IF(B286="","",IFERROR(VLOOKUP(B286,'Recetas y precios'!$A$5:$B$54,2,FALSE),""))</f>
        <v/>
      </c>
      <c r="D286" s="6" t="n"/>
      <c r="E286" s="6" t="n"/>
      <c r="F286" s="11" t="n"/>
      <c r="G286" s="17">
        <f>E286*F286</f>
        <v/>
      </c>
      <c r="H286" s="17">
        <f>IF(B286="",0,E286*IFERROR(VLOOKUP(B286,'Recetas y precios'!$A$5:$U$54,21,FALSE),0))</f>
        <v/>
      </c>
      <c r="I286" s="27" t="n"/>
      <c r="J286" s="17">
        <f>G286*I286</f>
        <v/>
      </c>
      <c r="K286" s="17">
        <f>G286-H286-J286</f>
        <v/>
      </c>
      <c r="L286" s="29">
        <f>IF(G286&gt;0,K286/G286,"")</f>
        <v/>
      </c>
      <c r="M286" s="6" t="n"/>
    </row>
    <row r="287">
      <c r="A287" s="32" t="n"/>
      <c r="B287" s="6" t="n"/>
      <c r="C287">
        <f>IF(B287="","",IFERROR(VLOOKUP(B287,'Recetas y precios'!$A$5:$B$54,2,FALSE),""))</f>
        <v/>
      </c>
      <c r="D287" s="6" t="n"/>
      <c r="E287" s="6" t="n"/>
      <c r="F287" s="11" t="n"/>
      <c r="G287" s="17">
        <f>E287*F287</f>
        <v/>
      </c>
      <c r="H287" s="17">
        <f>IF(B287="",0,E287*IFERROR(VLOOKUP(B287,'Recetas y precios'!$A$5:$U$54,21,FALSE),0))</f>
        <v/>
      </c>
      <c r="I287" s="27" t="n"/>
      <c r="J287" s="17">
        <f>G287*I287</f>
        <v/>
      </c>
      <c r="K287" s="17">
        <f>G287-H287-J287</f>
        <v/>
      </c>
      <c r="L287" s="29">
        <f>IF(G287&gt;0,K287/G287,"")</f>
        <v/>
      </c>
      <c r="M287" s="6" t="n"/>
    </row>
    <row r="288">
      <c r="A288" s="32" t="n"/>
      <c r="B288" s="6" t="n"/>
      <c r="C288">
        <f>IF(B288="","",IFERROR(VLOOKUP(B288,'Recetas y precios'!$A$5:$B$54,2,FALSE),""))</f>
        <v/>
      </c>
      <c r="D288" s="6" t="n"/>
      <c r="E288" s="6" t="n"/>
      <c r="F288" s="11" t="n"/>
      <c r="G288" s="17">
        <f>E288*F288</f>
        <v/>
      </c>
      <c r="H288" s="17">
        <f>IF(B288="",0,E288*IFERROR(VLOOKUP(B288,'Recetas y precios'!$A$5:$U$54,21,FALSE),0))</f>
        <v/>
      </c>
      <c r="I288" s="27" t="n"/>
      <c r="J288" s="17">
        <f>G288*I288</f>
        <v/>
      </c>
      <c r="K288" s="17">
        <f>G288-H288-J288</f>
        <v/>
      </c>
      <c r="L288" s="29">
        <f>IF(G288&gt;0,K288/G288,"")</f>
        <v/>
      </c>
      <c r="M288" s="6" t="n"/>
    </row>
    <row r="289">
      <c r="A289" s="32" t="n"/>
      <c r="B289" s="6" t="n"/>
      <c r="C289">
        <f>IF(B289="","",IFERROR(VLOOKUP(B289,'Recetas y precios'!$A$5:$B$54,2,FALSE),""))</f>
        <v/>
      </c>
      <c r="D289" s="6" t="n"/>
      <c r="E289" s="6" t="n"/>
      <c r="F289" s="11" t="n"/>
      <c r="G289" s="17">
        <f>E289*F289</f>
        <v/>
      </c>
      <c r="H289" s="17">
        <f>IF(B289="",0,E289*IFERROR(VLOOKUP(B289,'Recetas y precios'!$A$5:$U$54,21,FALSE),0))</f>
        <v/>
      </c>
      <c r="I289" s="27" t="n"/>
      <c r="J289" s="17">
        <f>G289*I289</f>
        <v/>
      </c>
      <c r="K289" s="17">
        <f>G289-H289-J289</f>
        <v/>
      </c>
      <c r="L289" s="29">
        <f>IF(G289&gt;0,K289/G289,"")</f>
        <v/>
      </c>
      <c r="M289" s="6" t="n"/>
    </row>
    <row r="290">
      <c r="A290" s="32" t="n"/>
      <c r="B290" s="6" t="n"/>
      <c r="C290">
        <f>IF(B290="","",IFERROR(VLOOKUP(B290,'Recetas y precios'!$A$5:$B$54,2,FALSE),""))</f>
        <v/>
      </c>
      <c r="D290" s="6" t="n"/>
      <c r="E290" s="6" t="n"/>
      <c r="F290" s="11" t="n"/>
      <c r="G290" s="17">
        <f>E290*F290</f>
        <v/>
      </c>
      <c r="H290" s="17">
        <f>IF(B290="",0,E290*IFERROR(VLOOKUP(B290,'Recetas y precios'!$A$5:$U$54,21,FALSE),0))</f>
        <v/>
      </c>
      <c r="I290" s="27" t="n"/>
      <c r="J290" s="17">
        <f>G290*I290</f>
        <v/>
      </c>
      <c r="K290" s="17">
        <f>G290-H290-J290</f>
        <v/>
      </c>
      <c r="L290" s="29">
        <f>IF(G290&gt;0,K290/G290,"")</f>
        <v/>
      </c>
      <c r="M290" s="6" t="n"/>
    </row>
    <row r="291">
      <c r="A291" s="32" t="n"/>
      <c r="B291" s="6" t="n"/>
      <c r="C291">
        <f>IF(B291="","",IFERROR(VLOOKUP(B291,'Recetas y precios'!$A$5:$B$54,2,FALSE),""))</f>
        <v/>
      </c>
      <c r="D291" s="6" t="n"/>
      <c r="E291" s="6" t="n"/>
      <c r="F291" s="11" t="n"/>
      <c r="G291" s="17">
        <f>E291*F291</f>
        <v/>
      </c>
      <c r="H291" s="17">
        <f>IF(B291="",0,E291*IFERROR(VLOOKUP(B291,'Recetas y precios'!$A$5:$U$54,21,FALSE),0))</f>
        <v/>
      </c>
      <c r="I291" s="27" t="n"/>
      <c r="J291" s="17">
        <f>G291*I291</f>
        <v/>
      </c>
      <c r="K291" s="17">
        <f>G291-H291-J291</f>
        <v/>
      </c>
      <c r="L291" s="29">
        <f>IF(G291&gt;0,K291/G291,"")</f>
        <v/>
      </c>
      <c r="M291" s="6" t="n"/>
    </row>
    <row r="292">
      <c r="A292" s="32" t="n"/>
      <c r="B292" s="6" t="n"/>
      <c r="C292">
        <f>IF(B292="","",IFERROR(VLOOKUP(B292,'Recetas y precios'!$A$5:$B$54,2,FALSE),""))</f>
        <v/>
      </c>
      <c r="D292" s="6" t="n"/>
      <c r="E292" s="6" t="n"/>
      <c r="F292" s="11" t="n"/>
      <c r="G292" s="17">
        <f>E292*F292</f>
        <v/>
      </c>
      <c r="H292" s="17">
        <f>IF(B292="",0,E292*IFERROR(VLOOKUP(B292,'Recetas y precios'!$A$5:$U$54,21,FALSE),0))</f>
        <v/>
      </c>
      <c r="I292" s="27" t="n"/>
      <c r="J292" s="17">
        <f>G292*I292</f>
        <v/>
      </c>
      <c r="K292" s="17">
        <f>G292-H292-J292</f>
        <v/>
      </c>
      <c r="L292" s="29">
        <f>IF(G292&gt;0,K292/G292,"")</f>
        <v/>
      </c>
      <c r="M292" s="6" t="n"/>
    </row>
    <row r="293">
      <c r="A293" s="32" t="n"/>
      <c r="B293" s="6" t="n"/>
      <c r="C293">
        <f>IF(B293="","",IFERROR(VLOOKUP(B293,'Recetas y precios'!$A$5:$B$54,2,FALSE),""))</f>
        <v/>
      </c>
      <c r="D293" s="6" t="n"/>
      <c r="E293" s="6" t="n"/>
      <c r="F293" s="11" t="n"/>
      <c r="G293" s="17">
        <f>E293*F293</f>
        <v/>
      </c>
      <c r="H293" s="17">
        <f>IF(B293="",0,E293*IFERROR(VLOOKUP(B293,'Recetas y precios'!$A$5:$U$54,21,FALSE),0))</f>
        <v/>
      </c>
      <c r="I293" s="27" t="n"/>
      <c r="J293" s="17">
        <f>G293*I293</f>
        <v/>
      </c>
      <c r="K293" s="17">
        <f>G293-H293-J293</f>
        <v/>
      </c>
      <c r="L293" s="29">
        <f>IF(G293&gt;0,K293/G293,"")</f>
        <v/>
      </c>
      <c r="M293" s="6" t="n"/>
    </row>
    <row r="294">
      <c r="A294" s="32" t="n"/>
      <c r="B294" s="6" t="n"/>
      <c r="C294">
        <f>IF(B294="","",IFERROR(VLOOKUP(B294,'Recetas y precios'!$A$5:$B$54,2,FALSE),""))</f>
        <v/>
      </c>
      <c r="D294" s="6" t="n"/>
      <c r="E294" s="6" t="n"/>
      <c r="F294" s="11" t="n"/>
      <c r="G294" s="17">
        <f>E294*F294</f>
        <v/>
      </c>
      <c r="H294" s="17">
        <f>IF(B294="",0,E294*IFERROR(VLOOKUP(B294,'Recetas y precios'!$A$5:$U$54,21,FALSE),0))</f>
        <v/>
      </c>
      <c r="I294" s="27" t="n"/>
      <c r="J294" s="17">
        <f>G294*I294</f>
        <v/>
      </c>
      <c r="K294" s="17">
        <f>G294-H294-J294</f>
        <v/>
      </c>
      <c r="L294" s="29">
        <f>IF(G294&gt;0,K294/G294,"")</f>
        <v/>
      </c>
      <c r="M294" s="6" t="n"/>
    </row>
    <row r="295">
      <c r="A295" s="32" t="n"/>
      <c r="B295" s="6" t="n"/>
      <c r="C295">
        <f>IF(B295="","",IFERROR(VLOOKUP(B295,'Recetas y precios'!$A$5:$B$54,2,FALSE),""))</f>
        <v/>
      </c>
      <c r="D295" s="6" t="n"/>
      <c r="E295" s="6" t="n"/>
      <c r="F295" s="11" t="n"/>
      <c r="G295" s="17">
        <f>E295*F295</f>
        <v/>
      </c>
      <c r="H295" s="17">
        <f>IF(B295="",0,E295*IFERROR(VLOOKUP(B295,'Recetas y precios'!$A$5:$U$54,21,FALSE),0))</f>
        <v/>
      </c>
      <c r="I295" s="27" t="n"/>
      <c r="J295" s="17">
        <f>G295*I295</f>
        <v/>
      </c>
      <c r="K295" s="17">
        <f>G295-H295-J295</f>
        <v/>
      </c>
      <c r="L295" s="29">
        <f>IF(G295&gt;0,K295/G295,"")</f>
        <v/>
      </c>
      <c r="M295" s="6" t="n"/>
    </row>
    <row r="296">
      <c r="A296" s="32" t="n"/>
      <c r="B296" s="6" t="n"/>
      <c r="C296">
        <f>IF(B296="","",IFERROR(VLOOKUP(B296,'Recetas y precios'!$A$5:$B$54,2,FALSE),""))</f>
        <v/>
      </c>
      <c r="D296" s="6" t="n"/>
      <c r="E296" s="6" t="n"/>
      <c r="F296" s="11" t="n"/>
      <c r="G296" s="17">
        <f>E296*F296</f>
        <v/>
      </c>
      <c r="H296" s="17">
        <f>IF(B296="",0,E296*IFERROR(VLOOKUP(B296,'Recetas y precios'!$A$5:$U$54,21,FALSE),0))</f>
        <v/>
      </c>
      <c r="I296" s="27" t="n"/>
      <c r="J296" s="17">
        <f>G296*I296</f>
        <v/>
      </c>
      <c r="K296" s="17">
        <f>G296-H296-J296</f>
        <v/>
      </c>
      <c r="L296" s="29">
        <f>IF(G296&gt;0,K296/G296,"")</f>
        <v/>
      </c>
      <c r="M296" s="6" t="n"/>
    </row>
    <row r="297">
      <c r="A297" s="32" t="n"/>
      <c r="B297" s="6" t="n"/>
      <c r="C297">
        <f>IF(B297="","",IFERROR(VLOOKUP(B297,'Recetas y precios'!$A$5:$B$54,2,FALSE),""))</f>
        <v/>
      </c>
      <c r="D297" s="6" t="n"/>
      <c r="E297" s="6" t="n"/>
      <c r="F297" s="11" t="n"/>
      <c r="G297" s="17">
        <f>E297*F297</f>
        <v/>
      </c>
      <c r="H297" s="17">
        <f>IF(B297="",0,E297*IFERROR(VLOOKUP(B297,'Recetas y precios'!$A$5:$U$54,21,FALSE),0))</f>
        <v/>
      </c>
      <c r="I297" s="27" t="n"/>
      <c r="J297" s="17">
        <f>G297*I297</f>
        <v/>
      </c>
      <c r="K297" s="17">
        <f>G297-H297-J297</f>
        <v/>
      </c>
      <c r="L297" s="29">
        <f>IF(G297&gt;0,K297/G297,"")</f>
        <v/>
      </c>
      <c r="M297" s="6" t="n"/>
    </row>
    <row r="298">
      <c r="A298" s="32" t="n"/>
      <c r="B298" s="6" t="n"/>
      <c r="C298">
        <f>IF(B298="","",IFERROR(VLOOKUP(B298,'Recetas y precios'!$A$5:$B$54,2,FALSE),""))</f>
        <v/>
      </c>
      <c r="D298" s="6" t="n"/>
      <c r="E298" s="6" t="n"/>
      <c r="F298" s="11" t="n"/>
      <c r="G298" s="17">
        <f>E298*F298</f>
        <v/>
      </c>
      <c r="H298" s="17">
        <f>IF(B298="",0,E298*IFERROR(VLOOKUP(B298,'Recetas y precios'!$A$5:$U$54,21,FALSE),0))</f>
        <v/>
      </c>
      <c r="I298" s="27" t="n"/>
      <c r="J298" s="17">
        <f>G298*I298</f>
        <v/>
      </c>
      <c r="K298" s="17">
        <f>G298-H298-J298</f>
        <v/>
      </c>
      <c r="L298" s="29">
        <f>IF(G298&gt;0,K298/G298,"")</f>
        <v/>
      </c>
      <c r="M298" s="6" t="n"/>
    </row>
    <row r="299">
      <c r="A299" s="32" t="n"/>
      <c r="B299" s="6" t="n"/>
      <c r="C299">
        <f>IF(B299="","",IFERROR(VLOOKUP(B299,'Recetas y precios'!$A$5:$B$54,2,FALSE),""))</f>
        <v/>
      </c>
      <c r="D299" s="6" t="n"/>
      <c r="E299" s="6" t="n"/>
      <c r="F299" s="11" t="n"/>
      <c r="G299" s="17">
        <f>E299*F299</f>
        <v/>
      </c>
      <c r="H299" s="17">
        <f>IF(B299="",0,E299*IFERROR(VLOOKUP(B299,'Recetas y precios'!$A$5:$U$54,21,FALSE),0))</f>
        <v/>
      </c>
      <c r="I299" s="27" t="n"/>
      <c r="J299" s="17">
        <f>G299*I299</f>
        <v/>
      </c>
      <c r="K299" s="17">
        <f>G299-H299-J299</f>
        <v/>
      </c>
      <c r="L299" s="29">
        <f>IF(G299&gt;0,K299/G299,"")</f>
        <v/>
      </c>
      <c r="M299" s="6" t="n"/>
    </row>
    <row r="300">
      <c r="A300" s="32" t="n"/>
      <c r="B300" s="6" t="n"/>
      <c r="C300">
        <f>IF(B300="","",IFERROR(VLOOKUP(B300,'Recetas y precios'!$A$5:$B$54,2,FALSE),""))</f>
        <v/>
      </c>
      <c r="D300" s="6" t="n"/>
      <c r="E300" s="6" t="n"/>
      <c r="F300" s="11" t="n"/>
      <c r="G300" s="17">
        <f>E300*F300</f>
        <v/>
      </c>
      <c r="H300" s="17">
        <f>IF(B300="",0,E300*IFERROR(VLOOKUP(B300,'Recetas y precios'!$A$5:$U$54,21,FALSE),0))</f>
        <v/>
      </c>
      <c r="I300" s="27" t="n"/>
      <c r="J300" s="17">
        <f>G300*I300</f>
        <v/>
      </c>
      <c r="K300" s="17">
        <f>G300-H300-J300</f>
        <v/>
      </c>
      <c r="L300" s="29">
        <f>IF(G300&gt;0,K300/G300,"")</f>
        <v/>
      </c>
      <c r="M300" s="6" t="n"/>
    </row>
    <row r="301">
      <c r="A301" s="32" t="n"/>
      <c r="B301" s="6" t="n"/>
      <c r="C301">
        <f>IF(B301="","",IFERROR(VLOOKUP(B301,'Recetas y precios'!$A$5:$B$54,2,FALSE),""))</f>
        <v/>
      </c>
      <c r="D301" s="6" t="n"/>
      <c r="E301" s="6" t="n"/>
      <c r="F301" s="11" t="n"/>
      <c r="G301" s="17">
        <f>E301*F301</f>
        <v/>
      </c>
      <c r="H301" s="17">
        <f>IF(B301="",0,E301*IFERROR(VLOOKUP(B301,'Recetas y precios'!$A$5:$U$54,21,FALSE),0))</f>
        <v/>
      </c>
      <c r="I301" s="27" t="n"/>
      <c r="J301" s="17">
        <f>G301*I301</f>
        <v/>
      </c>
      <c r="K301" s="17">
        <f>G301-H301-J301</f>
        <v/>
      </c>
      <c r="L301" s="29">
        <f>IF(G301&gt;0,K301/G301,"")</f>
        <v/>
      </c>
      <c r="M301" s="6" t="n"/>
    </row>
    <row r="302">
      <c r="A302" s="32" t="n"/>
      <c r="B302" s="6" t="n"/>
      <c r="C302">
        <f>IF(B302="","",IFERROR(VLOOKUP(B302,'Recetas y precios'!$A$5:$B$54,2,FALSE),""))</f>
        <v/>
      </c>
      <c r="D302" s="6" t="n"/>
      <c r="E302" s="6" t="n"/>
      <c r="F302" s="11" t="n"/>
      <c r="G302" s="17">
        <f>E302*F302</f>
        <v/>
      </c>
      <c r="H302" s="17">
        <f>IF(B302="",0,E302*IFERROR(VLOOKUP(B302,'Recetas y precios'!$A$5:$U$54,21,FALSE),0))</f>
        <v/>
      </c>
      <c r="I302" s="27" t="n"/>
      <c r="J302" s="17">
        <f>G302*I302</f>
        <v/>
      </c>
      <c r="K302" s="17">
        <f>G302-H302-J302</f>
        <v/>
      </c>
      <c r="L302" s="29">
        <f>IF(G302&gt;0,K302/G302,"")</f>
        <v/>
      </c>
      <c r="M302" s="6" t="n"/>
    </row>
    <row r="303">
      <c r="A303" s="32" t="n"/>
      <c r="B303" s="6" t="n"/>
      <c r="C303">
        <f>IF(B303="","",IFERROR(VLOOKUP(B303,'Recetas y precios'!$A$5:$B$54,2,FALSE),""))</f>
        <v/>
      </c>
      <c r="D303" s="6" t="n"/>
      <c r="E303" s="6" t="n"/>
      <c r="F303" s="11" t="n"/>
      <c r="G303" s="17">
        <f>E303*F303</f>
        <v/>
      </c>
      <c r="H303" s="17">
        <f>IF(B303="",0,E303*IFERROR(VLOOKUP(B303,'Recetas y precios'!$A$5:$U$54,21,FALSE),0))</f>
        <v/>
      </c>
      <c r="I303" s="27" t="n"/>
      <c r="J303" s="17">
        <f>G303*I303</f>
        <v/>
      </c>
      <c r="K303" s="17">
        <f>G303-H303-J303</f>
        <v/>
      </c>
      <c r="L303" s="29">
        <f>IF(G303&gt;0,K303/G303,"")</f>
        <v/>
      </c>
      <c r="M303" s="6" t="n"/>
    </row>
    <row r="304">
      <c r="A304" s="32" t="n"/>
      <c r="B304" s="6" t="n"/>
      <c r="C304">
        <f>IF(B304="","",IFERROR(VLOOKUP(B304,'Recetas y precios'!$A$5:$B$54,2,FALSE),""))</f>
        <v/>
      </c>
      <c r="D304" s="6" t="n"/>
      <c r="E304" s="6" t="n"/>
      <c r="F304" s="11" t="n"/>
      <c r="G304" s="17">
        <f>E304*F304</f>
        <v/>
      </c>
      <c r="H304" s="17">
        <f>IF(B304="",0,E304*IFERROR(VLOOKUP(B304,'Recetas y precios'!$A$5:$U$54,21,FALSE),0))</f>
        <v/>
      </c>
      <c r="I304" s="27" t="n"/>
      <c r="J304" s="17">
        <f>G304*I304</f>
        <v/>
      </c>
      <c r="K304" s="17">
        <f>G304-H304-J304</f>
        <v/>
      </c>
      <c r="L304" s="29">
        <f>IF(G304&gt;0,K304/G304,"")</f>
        <v/>
      </c>
      <c r="M304" s="6" t="n"/>
    </row>
    <row r="305">
      <c r="A305" s="32" t="n"/>
      <c r="B305" s="6" t="n"/>
      <c r="C305">
        <f>IF(B305="","",IFERROR(VLOOKUP(B305,'Recetas y precios'!$A$5:$B$54,2,FALSE),""))</f>
        <v/>
      </c>
      <c r="D305" s="6" t="n"/>
      <c r="E305" s="6" t="n"/>
      <c r="F305" s="11" t="n"/>
      <c r="G305" s="17">
        <f>E305*F305</f>
        <v/>
      </c>
      <c r="H305" s="17">
        <f>IF(B305="",0,E305*IFERROR(VLOOKUP(B305,'Recetas y precios'!$A$5:$U$54,21,FALSE),0))</f>
        <v/>
      </c>
      <c r="I305" s="27" t="n"/>
      <c r="J305" s="17">
        <f>G305*I305</f>
        <v/>
      </c>
      <c r="K305" s="17">
        <f>G305-H305-J305</f>
        <v/>
      </c>
      <c r="L305" s="29">
        <f>IF(G305&gt;0,K305/G305,"")</f>
        <v/>
      </c>
      <c r="M305" s="6" t="n"/>
    </row>
    <row r="306">
      <c r="A306" s="32" t="n"/>
      <c r="B306" s="6" t="n"/>
      <c r="C306">
        <f>IF(B306="","",IFERROR(VLOOKUP(B306,'Recetas y precios'!$A$5:$B$54,2,FALSE),""))</f>
        <v/>
      </c>
      <c r="D306" s="6" t="n"/>
      <c r="E306" s="6" t="n"/>
      <c r="F306" s="11" t="n"/>
      <c r="G306" s="17">
        <f>E306*F306</f>
        <v/>
      </c>
      <c r="H306" s="17">
        <f>IF(B306="",0,E306*IFERROR(VLOOKUP(B306,'Recetas y precios'!$A$5:$U$54,21,FALSE),0))</f>
        <v/>
      </c>
      <c r="I306" s="27" t="n"/>
      <c r="J306" s="17">
        <f>G306*I306</f>
        <v/>
      </c>
      <c r="K306" s="17">
        <f>G306-H306-J306</f>
        <v/>
      </c>
      <c r="L306" s="29">
        <f>IF(G306&gt;0,K306/G306,"")</f>
        <v/>
      </c>
      <c r="M306" s="6" t="n"/>
    </row>
    <row r="307">
      <c r="A307" s="32" t="n"/>
      <c r="B307" s="6" t="n"/>
      <c r="C307">
        <f>IF(B307="","",IFERROR(VLOOKUP(B307,'Recetas y precios'!$A$5:$B$54,2,FALSE),""))</f>
        <v/>
      </c>
      <c r="D307" s="6" t="n"/>
      <c r="E307" s="6" t="n"/>
      <c r="F307" s="11" t="n"/>
      <c r="G307" s="17">
        <f>E307*F307</f>
        <v/>
      </c>
      <c r="H307" s="17">
        <f>IF(B307="",0,E307*IFERROR(VLOOKUP(B307,'Recetas y precios'!$A$5:$U$54,21,FALSE),0))</f>
        <v/>
      </c>
      <c r="I307" s="27" t="n"/>
      <c r="J307" s="17">
        <f>G307*I307</f>
        <v/>
      </c>
      <c r="K307" s="17">
        <f>G307-H307-J307</f>
        <v/>
      </c>
      <c r="L307" s="29">
        <f>IF(G307&gt;0,K307/G307,"")</f>
        <v/>
      </c>
      <c r="M307" s="6" t="n"/>
    </row>
    <row r="308">
      <c r="A308" s="32" t="n"/>
      <c r="B308" s="6" t="n"/>
      <c r="C308">
        <f>IF(B308="","",IFERROR(VLOOKUP(B308,'Recetas y precios'!$A$5:$B$54,2,FALSE),""))</f>
        <v/>
      </c>
      <c r="D308" s="6" t="n"/>
      <c r="E308" s="6" t="n"/>
      <c r="F308" s="11" t="n"/>
      <c r="G308" s="17">
        <f>E308*F308</f>
        <v/>
      </c>
      <c r="H308" s="17">
        <f>IF(B308="",0,E308*IFERROR(VLOOKUP(B308,'Recetas y precios'!$A$5:$U$54,21,FALSE),0))</f>
        <v/>
      </c>
      <c r="I308" s="27" t="n"/>
      <c r="J308" s="17">
        <f>G308*I308</f>
        <v/>
      </c>
      <c r="K308" s="17">
        <f>G308-H308-J308</f>
        <v/>
      </c>
      <c r="L308" s="29">
        <f>IF(G308&gt;0,K308/G308,"")</f>
        <v/>
      </c>
      <c r="M308" s="6" t="n"/>
    </row>
    <row r="309">
      <c r="A309" s="32" t="n"/>
      <c r="B309" s="6" t="n"/>
      <c r="C309">
        <f>IF(B309="","",IFERROR(VLOOKUP(B309,'Recetas y precios'!$A$5:$B$54,2,FALSE),""))</f>
        <v/>
      </c>
      <c r="D309" s="6" t="n"/>
      <c r="E309" s="6" t="n"/>
      <c r="F309" s="11" t="n"/>
      <c r="G309" s="17">
        <f>E309*F309</f>
        <v/>
      </c>
      <c r="H309" s="17">
        <f>IF(B309="",0,E309*IFERROR(VLOOKUP(B309,'Recetas y precios'!$A$5:$U$54,21,FALSE),0))</f>
        <v/>
      </c>
      <c r="I309" s="27" t="n"/>
      <c r="J309" s="17">
        <f>G309*I309</f>
        <v/>
      </c>
      <c r="K309" s="17">
        <f>G309-H309-J309</f>
        <v/>
      </c>
      <c r="L309" s="29">
        <f>IF(G309&gt;0,K309/G309,"")</f>
        <v/>
      </c>
      <c r="M309" s="6" t="n"/>
    </row>
    <row r="310">
      <c r="A310" s="32" t="n"/>
      <c r="B310" s="6" t="n"/>
      <c r="C310">
        <f>IF(B310="","",IFERROR(VLOOKUP(B310,'Recetas y precios'!$A$5:$B$54,2,FALSE),""))</f>
        <v/>
      </c>
      <c r="D310" s="6" t="n"/>
      <c r="E310" s="6" t="n"/>
      <c r="F310" s="11" t="n"/>
      <c r="G310" s="17">
        <f>E310*F310</f>
        <v/>
      </c>
      <c r="H310" s="17">
        <f>IF(B310="",0,E310*IFERROR(VLOOKUP(B310,'Recetas y precios'!$A$5:$U$54,21,FALSE),0))</f>
        <v/>
      </c>
      <c r="I310" s="27" t="n"/>
      <c r="J310" s="17">
        <f>G310*I310</f>
        <v/>
      </c>
      <c r="K310" s="17">
        <f>G310-H310-J310</f>
        <v/>
      </c>
      <c r="L310" s="29">
        <f>IF(G310&gt;0,K310/G310,"")</f>
        <v/>
      </c>
      <c r="M310" s="6" t="n"/>
    </row>
    <row r="311">
      <c r="A311" s="32" t="n"/>
      <c r="B311" s="6" t="n"/>
      <c r="C311">
        <f>IF(B311="","",IFERROR(VLOOKUP(B311,'Recetas y precios'!$A$5:$B$54,2,FALSE),""))</f>
        <v/>
      </c>
      <c r="D311" s="6" t="n"/>
      <c r="E311" s="6" t="n"/>
      <c r="F311" s="11" t="n"/>
      <c r="G311" s="17">
        <f>E311*F311</f>
        <v/>
      </c>
      <c r="H311" s="17">
        <f>IF(B311="",0,E311*IFERROR(VLOOKUP(B311,'Recetas y precios'!$A$5:$U$54,21,FALSE),0))</f>
        <v/>
      </c>
      <c r="I311" s="27" t="n"/>
      <c r="J311" s="17">
        <f>G311*I311</f>
        <v/>
      </c>
      <c r="K311" s="17">
        <f>G311-H311-J311</f>
        <v/>
      </c>
      <c r="L311" s="29">
        <f>IF(G311&gt;0,K311/G311,"")</f>
        <v/>
      </c>
      <c r="M311" s="6" t="n"/>
    </row>
    <row r="312">
      <c r="A312" s="32" t="n"/>
      <c r="B312" s="6" t="n"/>
      <c r="C312">
        <f>IF(B312="","",IFERROR(VLOOKUP(B312,'Recetas y precios'!$A$5:$B$54,2,FALSE),""))</f>
        <v/>
      </c>
      <c r="D312" s="6" t="n"/>
      <c r="E312" s="6" t="n"/>
      <c r="F312" s="11" t="n"/>
      <c r="G312" s="17">
        <f>E312*F312</f>
        <v/>
      </c>
      <c r="H312" s="17">
        <f>IF(B312="",0,E312*IFERROR(VLOOKUP(B312,'Recetas y precios'!$A$5:$U$54,21,FALSE),0))</f>
        <v/>
      </c>
      <c r="I312" s="27" t="n"/>
      <c r="J312" s="17">
        <f>G312*I312</f>
        <v/>
      </c>
      <c r="K312" s="17">
        <f>G312-H312-J312</f>
        <v/>
      </c>
      <c r="L312" s="29">
        <f>IF(G312&gt;0,K312/G312,"")</f>
        <v/>
      </c>
      <c r="M312" s="6" t="n"/>
    </row>
    <row r="313">
      <c r="A313" s="32" t="n"/>
      <c r="B313" s="6" t="n"/>
      <c r="C313">
        <f>IF(B313="","",IFERROR(VLOOKUP(B313,'Recetas y precios'!$A$5:$B$54,2,FALSE),""))</f>
        <v/>
      </c>
      <c r="D313" s="6" t="n"/>
      <c r="E313" s="6" t="n"/>
      <c r="F313" s="11" t="n"/>
      <c r="G313" s="17">
        <f>E313*F313</f>
        <v/>
      </c>
      <c r="H313" s="17">
        <f>IF(B313="",0,E313*IFERROR(VLOOKUP(B313,'Recetas y precios'!$A$5:$U$54,21,FALSE),0))</f>
        <v/>
      </c>
      <c r="I313" s="27" t="n"/>
      <c r="J313" s="17">
        <f>G313*I313</f>
        <v/>
      </c>
      <c r="K313" s="17">
        <f>G313-H313-J313</f>
        <v/>
      </c>
      <c r="L313" s="29">
        <f>IF(G313&gt;0,K313/G313,"")</f>
        <v/>
      </c>
      <c r="M313" s="6" t="n"/>
    </row>
    <row r="314">
      <c r="A314" s="32" t="n"/>
      <c r="B314" s="6" t="n"/>
      <c r="C314">
        <f>IF(B314="","",IFERROR(VLOOKUP(B314,'Recetas y precios'!$A$5:$B$54,2,FALSE),""))</f>
        <v/>
      </c>
      <c r="D314" s="6" t="n"/>
      <c r="E314" s="6" t="n"/>
      <c r="F314" s="11" t="n"/>
      <c r="G314" s="17">
        <f>E314*F314</f>
        <v/>
      </c>
      <c r="H314" s="17">
        <f>IF(B314="",0,E314*IFERROR(VLOOKUP(B314,'Recetas y precios'!$A$5:$U$54,21,FALSE),0))</f>
        <v/>
      </c>
      <c r="I314" s="27" t="n"/>
      <c r="J314" s="17">
        <f>G314*I314</f>
        <v/>
      </c>
      <c r="K314" s="17">
        <f>G314-H314-J314</f>
        <v/>
      </c>
      <c r="L314" s="29">
        <f>IF(G314&gt;0,K314/G314,"")</f>
        <v/>
      </c>
      <c r="M314" s="6" t="n"/>
    </row>
    <row r="315">
      <c r="A315" s="32" t="n"/>
      <c r="B315" s="6" t="n"/>
      <c r="C315">
        <f>IF(B315="","",IFERROR(VLOOKUP(B315,'Recetas y precios'!$A$5:$B$54,2,FALSE),""))</f>
        <v/>
      </c>
      <c r="D315" s="6" t="n"/>
      <c r="E315" s="6" t="n"/>
      <c r="F315" s="11" t="n"/>
      <c r="G315" s="17">
        <f>E315*F315</f>
        <v/>
      </c>
      <c r="H315" s="17">
        <f>IF(B315="",0,E315*IFERROR(VLOOKUP(B315,'Recetas y precios'!$A$5:$U$54,21,FALSE),0))</f>
        <v/>
      </c>
      <c r="I315" s="27" t="n"/>
      <c r="J315" s="17">
        <f>G315*I315</f>
        <v/>
      </c>
      <c r="K315" s="17">
        <f>G315-H315-J315</f>
        <v/>
      </c>
      <c r="L315" s="29">
        <f>IF(G315&gt;0,K315/G315,"")</f>
        <v/>
      </c>
      <c r="M315" s="6" t="n"/>
    </row>
    <row r="316">
      <c r="A316" s="32" t="n"/>
      <c r="B316" s="6" t="n"/>
      <c r="C316">
        <f>IF(B316="","",IFERROR(VLOOKUP(B316,'Recetas y precios'!$A$5:$B$54,2,FALSE),""))</f>
        <v/>
      </c>
      <c r="D316" s="6" t="n"/>
      <c r="E316" s="6" t="n"/>
      <c r="F316" s="11" t="n"/>
      <c r="G316" s="17">
        <f>E316*F316</f>
        <v/>
      </c>
      <c r="H316" s="17">
        <f>IF(B316="",0,E316*IFERROR(VLOOKUP(B316,'Recetas y precios'!$A$5:$U$54,21,FALSE),0))</f>
        <v/>
      </c>
      <c r="I316" s="27" t="n"/>
      <c r="J316" s="17">
        <f>G316*I316</f>
        <v/>
      </c>
      <c r="K316" s="17">
        <f>G316-H316-J316</f>
        <v/>
      </c>
      <c r="L316" s="29">
        <f>IF(G316&gt;0,K316/G316,"")</f>
        <v/>
      </c>
      <c r="M316" s="6" t="n"/>
    </row>
    <row r="317">
      <c r="A317" s="32" t="n"/>
      <c r="B317" s="6" t="n"/>
      <c r="C317">
        <f>IF(B317="","",IFERROR(VLOOKUP(B317,'Recetas y precios'!$A$5:$B$54,2,FALSE),""))</f>
        <v/>
      </c>
      <c r="D317" s="6" t="n"/>
      <c r="E317" s="6" t="n"/>
      <c r="F317" s="11" t="n"/>
      <c r="G317" s="17">
        <f>E317*F317</f>
        <v/>
      </c>
      <c r="H317" s="17">
        <f>IF(B317="",0,E317*IFERROR(VLOOKUP(B317,'Recetas y precios'!$A$5:$U$54,21,FALSE),0))</f>
        <v/>
      </c>
      <c r="I317" s="27" t="n"/>
      <c r="J317" s="17">
        <f>G317*I317</f>
        <v/>
      </c>
      <c r="K317" s="17">
        <f>G317-H317-J317</f>
        <v/>
      </c>
      <c r="L317" s="29">
        <f>IF(G317&gt;0,K317/G317,"")</f>
        <v/>
      </c>
      <c r="M317" s="6" t="n"/>
    </row>
    <row r="318">
      <c r="A318" s="32" t="n"/>
      <c r="B318" s="6" t="n"/>
      <c r="C318">
        <f>IF(B318="","",IFERROR(VLOOKUP(B318,'Recetas y precios'!$A$5:$B$54,2,FALSE),""))</f>
        <v/>
      </c>
      <c r="D318" s="6" t="n"/>
      <c r="E318" s="6" t="n"/>
      <c r="F318" s="11" t="n"/>
      <c r="G318" s="17">
        <f>E318*F318</f>
        <v/>
      </c>
      <c r="H318" s="17">
        <f>IF(B318="",0,E318*IFERROR(VLOOKUP(B318,'Recetas y precios'!$A$5:$U$54,21,FALSE),0))</f>
        <v/>
      </c>
      <c r="I318" s="27" t="n"/>
      <c r="J318" s="17">
        <f>G318*I318</f>
        <v/>
      </c>
      <c r="K318" s="17">
        <f>G318-H318-J318</f>
        <v/>
      </c>
      <c r="L318" s="29">
        <f>IF(G318&gt;0,K318/G318,"")</f>
        <v/>
      </c>
      <c r="M318" s="6" t="n"/>
    </row>
    <row r="319">
      <c r="A319" s="32" t="n"/>
      <c r="B319" s="6" t="n"/>
      <c r="C319">
        <f>IF(B319="","",IFERROR(VLOOKUP(B319,'Recetas y precios'!$A$5:$B$54,2,FALSE),""))</f>
        <v/>
      </c>
      <c r="D319" s="6" t="n"/>
      <c r="E319" s="6" t="n"/>
      <c r="F319" s="11" t="n"/>
      <c r="G319" s="17">
        <f>E319*F319</f>
        <v/>
      </c>
      <c r="H319" s="17">
        <f>IF(B319="",0,E319*IFERROR(VLOOKUP(B319,'Recetas y precios'!$A$5:$U$54,21,FALSE),0))</f>
        <v/>
      </c>
      <c r="I319" s="27" t="n"/>
      <c r="J319" s="17">
        <f>G319*I319</f>
        <v/>
      </c>
      <c r="K319" s="17">
        <f>G319-H319-J319</f>
        <v/>
      </c>
      <c r="L319" s="29">
        <f>IF(G319&gt;0,K319/G319,"")</f>
        <v/>
      </c>
      <c r="M319" s="6" t="n"/>
    </row>
    <row r="320">
      <c r="A320" s="32" t="n"/>
      <c r="B320" s="6" t="n"/>
      <c r="C320">
        <f>IF(B320="","",IFERROR(VLOOKUP(B320,'Recetas y precios'!$A$5:$B$54,2,FALSE),""))</f>
        <v/>
      </c>
      <c r="D320" s="6" t="n"/>
      <c r="E320" s="6" t="n"/>
      <c r="F320" s="11" t="n"/>
      <c r="G320" s="17">
        <f>E320*F320</f>
        <v/>
      </c>
      <c r="H320" s="17">
        <f>IF(B320="",0,E320*IFERROR(VLOOKUP(B320,'Recetas y precios'!$A$5:$U$54,21,FALSE),0))</f>
        <v/>
      </c>
      <c r="I320" s="27" t="n"/>
      <c r="J320" s="17">
        <f>G320*I320</f>
        <v/>
      </c>
      <c r="K320" s="17">
        <f>G320-H320-J320</f>
        <v/>
      </c>
      <c r="L320" s="29">
        <f>IF(G320&gt;0,K320/G320,"")</f>
        <v/>
      </c>
      <c r="M320" s="6" t="n"/>
    </row>
    <row r="321">
      <c r="A321" s="32" t="n"/>
      <c r="B321" s="6" t="n"/>
      <c r="C321">
        <f>IF(B321="","",IFERROR(VLOOKUP(B321,'Recetas y precios'!$A$5:$B$54,2,FALSE),""))</f>
        <v/>
      </c>
      <c r="D321" s="6" t="n"/>
      <c r="E321" s="6" t="n"/>
      <c r="F321" s="11" t="n"/>
      <c r="G321" s="17">
        <f>E321*F321</f>
        <v/>
      </c>
      <c r="H321" s="17">
        <f>IF(B321="",0,E321*IFERROR(VLOOKUP(B321,'Recetas y precios'!$A$5:$U$54,21,FALSE),0))</f>
        <v/>
      </c>
      <c r="I321" s="27" t="n"/>
      <c r="J321" s="17">
        <f>G321*I321</f>
        <v/>
      </c>
      <c r="K321" s="17">
        <f>G321-H321-J321</f>
        <v/>
      </c>
      <c r="L321" s="29">
        <f>IF(G321&gt;0,K321/G321,"")</f>
        <v/>
      </c>
      <c r="M321" s="6" t="n"/>
    </row>
    <row r="322">
      <c r="A322" s="32" t="n"/>
      <c r="B322" s="6" t="n"/>
      <c r="C322">
        <f>IF(B322="","",IFERROR(VLOOKUP(B322,'Recetas y precios'!$A$5:$B$54,2,FALSE),""))</f>
        <v/>
      </c>
      <c r="D322" s="6" t="n"/>
      <c r="E322" s="6" t="n"/>
      <c r="F322" s="11" t="n"/>
      <c r="G322" s="17">
        <f>E322*F322</f>
        <v/>
      </c>
      <c r="H322" s="17">
        <f>IF(B322="",0,E322*IFERROR(VLOOKUP(B322,'Recetas y precios'!$A$5:$U$54,21,FALSE),0))</f>
        <v/>
      </c>
      <c r="I322" s="27" t="n"/>
      <c r="J322" s="17">
        <f>G322*I322</f>
        <v/>
      </c>
      <c r="K322" s="17">
        <f>G322-H322-J322</f>
        <v/>
      </c>
      <c r="L322" s="29">
        <f>IF(G322&gt;0,K322/G322,"")</f>
        <v/>
      </c>
      <c r="M322" s="6" t="n"/>
    </row>
    <row r="323">
      <c r="A323" s="32" t="n"/>
      <c r="B323" s="6" t="n"/>
      <c r="C323">
        <f>IF(B323="","",IFERROR(VLOOKUP(B323,'Recetas y precios'!$A$5:$B$54,2,FALSE),""))</f>
        <v/>
      </c>
      <c r="D323" s="6" t="n"/>
      <c r="E323" s="6" t="n"/>
      <c r="F323" s="11" t="n"/>
      <c r="G323" s="17">
        <f>E323*F323</f>
        <v/>
      </c>
      <c r="H323" s="17">
        <f>IF(B323="",0,E323*IFERROR(VLOOKUP(B323,'Recetas y precios'!$A$5:$U$54,21,FALSE),0))</f>
        <v/>
      </c>
      <c r="I323" s="27" t="n"/>
      <c r="J323" s="17">
        <f>G323*I323</f>
        <v/>
      </c>
      <c r="K323" s="17">
        <f>G323-H323-J323</f>
        <v/>
      </c>
      <c r="L323" s="29">
        <f>IF(G323&gt;0,K323/G323,"")</f>
        <v/>
      </c>
      <c r="M323" s="6" t="n"/>
    </row>
    <row r="324">
      <c r="A324" s="32" t="n"/>
      <c r="B324" s="6" t="n"/>
      <c r="C324">
        <f>IF(B324="","",IFERROR(VLOOKUP(B324,'Recetas y precios'!$A$5:$B$54,2,FALSE),""))</f>
        <v/>
      </c>
      <c r="D324" s="6" t="n"/>
      <c r="E324" s="6" t="n"/>
      <c r="F324" s="11" t="n"/>
      <c r="G324" s="17">
        <f>E324*F324</f>
        <v/>
      </c>
      <c r="H324" s="17">
        <f>IF(B324="",0,E324*IFERROR(VLOOKUP(B324,'Recetas y precios'!$A$5:$U$54,21,FALSE),0))</f>
        <v/>
      </c>
      <c r="I324" s="27" t="n"/>
      <c r="J324" s="17">
        <f>G324*I324</f>
        <v/>
      </c>
      <c r="K324" s="17">
        <f>G324-H324-J324</f>
        <v/>
      </c>
      <c r="L324" s="29">
        <f>IF(G324&gt;0,K324/G324,"")</f>
        <v/>
      </c>
      <c r="M324" s="6" t="n"/>
    </row>
    <row r="325">
      <c r="A325" s="32" t="n"/>
      <c r="B325" s="6" t="n"/>
      <c r="C325">
        <f>IF(B325="","",IFERROR(VLOOKUP(B325,'Recetas y precios'!$A$5:$B$54,2,FALSE),""))</f>
        <v/>
      </c>
      <c r="D325" s="6" t="n"/>
      <c r="E325" s="6" t="n"/>
      <c r="F325" s="11" t="n"/>
      <c r="G325" s="17">
        <f>E325*F325</f>
        <v/>
      </c>
      <c r="H325" s="17">
        <f>IF(B325="",0,E325*IFERROR(VLOOKUP(B325,'Recetas y precios'!$A$5:$U$54,21,FALSE),0))</f>
        <v/>
      </c>
      <c r="I325" s="27" t="n"/>
      <c r="J325" s="17">
        <f>G325*I325</f>
        <v/>
      </c>
      <c r="K325" s="17">
        <f>G325-H325-J325</f>
        <v/>
      </c>
      <c r="L325" s="29">
        <f>IF(G325&gt;0,K325/G325,"")</f>
        <v/>
      </c>
      <c r="M325" s="6" t="n"/>
    </row>
    <row r="326">
      <c r="A326" s="32" t="n"/>
      <c r="B326" s="6" t="n"/>
      <c r="C326">
        <f>IF(B326="","",IFERROR(VLOOKUP(B326,'Recetas y precios'!$A$5:$B$54,2,FALSE),""))</f>
        <v/>
      </c>
      <c r="D326" s="6" t="n"/>
      <c r="E326" s="6" t="n"/>
      <c r="F326" s="11" t="n"/>
      <c r="G326" s="17">
        <f>E326*F326</f>
        <v/>
      </c>
      <c r="H326" s="17">
        <f>IF(B326="",0,E326*IFERROR(VLOOKUP(B326,'Recetas y precios'!$A$5:$U$54,21,FALSE),0))</f>
        <v/>
      </c>
      <c r="I326" s="27" t="n"/>
      <c r="J326" s="17">
        <f>G326*I326</f>
        <v/>
      </c>
      <c r="K326" s="17">
        <f>G326-H326-J326</f>
        <v/>
      </c>
      <c r="L326" s="29">
        <f>IF(G326&gt;0,K326/G326,"")</f>
        <v/>
      </c>
      <c r="M326" s="6" t="n"/>
    </row>
    <row r="327">
      <c r="A327" s="32" t="n"/>
      <c r="B327" s="6" t="n"/>
      <c r="C327">
        <f>IF(B327="","",IFERROR(VLOOKUP(B327,'Recetas y precios'!$A$5:$B$54,2,FALSE),""))</f>
        <v/>
      </c>
      <c r="D327" s="6" t="n"/>
      <c r="E327" s="6" t="n"/>
      <c r="F327" s="11" t="n"/>
      <c r="G327" s="17">
        <f>E327*F327</f>
        <v/>
      </c>
      <c r="H327" s="17">
        <f>IF(B327="",0,E327*IFERROR(VLOOKUP(B327,'Recetas y precios'!$A$5:$U$54,21,FALSE),0))</f>
        <v/>
      </c>
      <c r="I327" s="27" t="n"/>
      <c r="J327" s="17">
        <f>G327*I327</f>
        <v/>
      </c>
      <c r="K327" s="17">
        <f>G327-H327-J327</f>
        <v/>
      </c>
      <c r="L327" s="29">
        <f>IF(G327&gt;0,K327/G327,"")</f>
        <v/>
      </c>
      <c r="M327" s="6" t="n"/>
    </row>
    <row r="328">
      <c r="A328" s="32" t="n"/>
      <c r="B328" s="6" t="n"/>
      <c r="C328">
        <f>IF(B328="","",IFERROR(VLOOKUP(B328,'Recetas y precios'!$A$5:$B$54,2,FALSE),""))</f>
        <v/>
      </c>
      <c r="D328" s="6" t="n"/>
      <c r="E328" s="6" t="n"/>
      <c r="F328" s="11" t="n"/>
      <c r="G328" s="17">
        <f>E328*F328</f>
        <v/>
      </c>
      <c r="H328" s="17">
        <f>IF(B328="",0,E328*IFERROR(VLOOKUP(B328,'Recetas y precios'!$A$5:$U$54,21,FALSE),0))</f>
        <v/>
      </c>
      <c r="I328" s="27" t="n"/>
      <c r="J328" s="17">
        <f>G328*I328</f>
        <v/>
      </c>
      <c r="K328" s="17">
        <f>G328-H328-J328</f>
        <v/>
      </c>
      <c r="L328" s="29">
        <f>IF(G328&gt;0,K328/G328,"")</f>
        <v/>
      </c>
      <c r="M328" s="6" t="n"/>
    </row>
    <row r="329">
      <c r="A329" s="32" t="n"/>
      <c r="B329" s="6" t="n"/>
      <c r="C329">
        <f>IF(B329="","",IFERROR(VLOOKUP(B329,'Recetas y precios'!$A$5:$B$54,2,FALSE),""))</f>
        <v/>
      </c>
      <c r="D329" s="6" t="n"/>
      <c r="E329" s="6" t="n"/>
      <c r="F329" s="11" t="n"/>
      <c r="G329" s="17">
        <f>E329*F329</f>
        <v/>
      </c>
      <c r="H329" s="17">
        <f>IF(B329="",0,E329*IFERROR(VLOOKUP(B329,'Recetas y precios'!$A$5:$U$54,21,FALSE),0))</f>
        <v/>
      </c>
      <c r="I329" s="27" t="n"/>
      <c r="J329" s="17">
        <f>G329*I329</f>
        <v/>
      </c>
      <c r="K329" s="17">
        <f>G329-H329-J329</f>
        <v/>
      </c>
      <c r="L329" s="29">
        <f>IF(G329&gt;0,K329/G329,"")</f>
        <v/>
      </c>
      <c r="M329" s="6" t="n"/>
    </row>
    <row r="330">
      <c r="A330" s="32" t="n"/>
      <c r="B330" s="6" t="n"/>
      <c r="C330">
        <f>IF(B330="","",IFERROR(VLOOKUP(B330,'Recetas y precios'!$A$5:$B$54,2,FALSE),""))</f>
        <v/>
      </c>
      <c r="D330" s="6" t="n"/>
      <c r="E330" s="6" t="n"/>
      <c r="F330" s="11" t="n"/>
      <c r="G330" s="17">
        <f>E330*F330</f>
        <v/>
      </c>
      <c r="H330" s="17">
        <f>IF(B330="",0,E330*IFERROR(VLOOKUP(B330,'Recetas y precios'!$A$5:$U$54,21,FALSE),0))</f>
        <v/>
      </c>
      <c r="I330" s="27" t="n"/>
      <c r="J330" s="17">
        <f>G330*I330</f>
        <v/>
      </c>
      <c r="K330" s="17">
        <f>G330-H330-J330</f>
        <v/>
      </c>
      <c r="L330" s="29">
        <f>IF(G330&gt;0,K330/G330,"")</f>
        <v/>
      </c>
      <c r="M330" s="6" t="n"/>
    </row>
    <row r="331">
      <c r="A331" s="32" t="n"/>
      <c r="B331" s="6" t="n"/>
      <c r="C331">
        <f>IF(B331="","",IFERROR(VLOOKUP(B331,'Recetas y precios'!$A$5:$B$54,2,FALSE),""))</f>
        <v/>
      </c>
      <c r="D331" s="6" t="n"/>
      <c r="E331" s="6" t="n"/>
      <c r="F331" s="11" t="n"/>
      <c r="G331" s="17">
        <f>E331*F331</f>
        <v/>
      </c>
      <c r="H331" s="17">
        <f>IF(B331="",0,E331*IFERROR(VLOOKUP(B331,'Recetas y precios'!$A$5:$U$54,21,FALSE),0))</f>
        <v/>
      </c>
      <c r="I331" s="27" t="n"/>
      <c r="J331" s="17">
        <f>G331*I331</f>
        <v/>
      </c>
      <c r="K331" s="17">
        <f>G331-H331-J331</f>
        <v/>
      </c>
      <c r="L331" s="29">
        <f>IF(G331&gt;0,K331/G331,"")</f>
        <v/>
      </c>
      <c r="M331" s="6" t="n"/>
    </row>
    <row r="332">
      <c r="A332" s="32" t="n"/>
      <c r="B332" s="6" t="n"/>
      <c r="C332">
        <f>IF(B332="","",IFERROR(VLOOKUP(B332,'Recetas y precios'!$A$5:$B$54,2,FALSE),""))</f>
        <v/>
      </c>
      <c r="D332" s="6" t="n"/>
      <c r="E332" s="6" t="n"/>
      <c r="F332" s="11" t="n"/>
      <c r="G332" s="17">
        <f>E332*F332</f>
        <v/>
      </c>
      <c r="H332" s="17">
        <f>IF(B332="",0,E332*IFERROR(VLOOKUP(B332,'Recetas y precios'!$A$5:$U$54,21,FALSE),0))</f>
        <v/>
      </c>
      <c r="I332" s="27" t="n"/>
      <c r="J332" s="17">
        <f>G332*I332</f>
        <v/>
      </c>
      <c r="K332" s="17">
        <f>G332-H332-J332</f>
        <v/>
      </c>
      <c r="L332" s="29">
        <f>IF(G332&gt;0,K332/G332,"")</f>
        <v/>
      </c>
      <c r="M332" s="6" t="n"/>
    </row>
    <row r="333">
      <c r="A333" s="32" t="n"/>
      <c r="B333" s="6" t="n"/>
      <c r="C333">
        <f>IF(B333="","",IFERROR(VLOOKUP(B333,'Recetas y precios'!$A$5:$B$54,2,FALSE),""))</f>
        <v/>
      </c>
      <c r="D333" s="6" t="n"/>
      <c r="E333" s="6" t="n"/>
      <c r="F333" s="11" t="n"/>
      <c r="G333" s="17">
        <f>E333*F333</f>
        <v/>
      </c>
      <c r="H333" s="17">
        <f>IF(B333="",0,E333*IFERROR(VLOOKUP(B333,'Recetas y precios'!$A$5:$U$54,21,FALSE),0))</f>
        <v/>
      </c>
      <c r="I333" s="27" t="n"/>
      <c r="J333" s="17">
        <f>G333*I333</f>
        <v/>
      </c>
      <c r="K333" s="17">
        <f>G333-H333-J333</f>
        <v/>
      </c>
      <c r="L333" s="29">
        <f>IF(G333&gt;0,K333/G333,"")</f>
        <v/>
      </c>
      <c r="M333" s="6" t="n"/>
    </row>
    <row r="334">
      <c r="A334" s="32" t="n"/>
      <c r="B334" s="6" t="n"/>
      <c r="C334">
        <f>IF(B334="","",IFERROR(VLOOKUP(B334,'Recetas y precios'!$A$5:$B$54,2,FALSE),""))</f>
        <v/>
      </c>
      <c r="D334" s="6" t="n"/>
      <c r="E334" s="6" t="n"/>
      <c r="F334" s="11" t="n"/>
      <c r="G334" s="17">
        <f>E334*F334</f>
        <v/>
      </c>
      <c r="H334" s="17">
        <f>IF(B334="",0,E334*IFERROR(VLOOKUP(B334,'Recetas y precios'!$A$5:$U$54,21,FALSE),0))</f>
        <v/>
      </c>
      <c r="I334" s="27" t="n"/>
      <c r="J334" s="17">
        <f>G334*I334</f>
        <v/>
      </c>
      <c r="K334" s="17">
        <f>G334-H334-J334</f>
        <v/>
      </c>
      <c r="L334" s="29">
        <f>IF(G334&gt;0,K334/G334,"")</f>
        <v/>
      </c>
      <c r="M334" s="6" t="n"/>
    </row>
    <row r="335">
      <c r="A335" s="32" t="n"/>
      <c r="B335" s="6" t="n"/>
      <c r="C335">
        <f>IF(B335="","",IFERROR(VLOOKUP(B335,'Recetas y precios'!$A$5:$B$54,2,FALSE),""))</f>
        <v/>
      </c>
      <c r="D335" s="6" t="n"/>
      <c r="E335" s="6" t="n"/>
      <c r="F335" s="11" t="n"/>
      <c r="G335" s="17">
        <f>E335*F335</f>
        <v/>
      </c>
      <c r="H335" s="17">
        <f>IF(B335="",0,E335*IFERROR(VLOOKUP(B335,'Recetas y precios'!$A$5:$U$54,21,FALSE),0))</f>
        <v/>
      </c>
      <c r="I335" s="27" t="n"/>
      <c r="J335" s="17">
        <f>G335*I335</f>
        <v/>
      </c>
      <c r="K335" s="17">
        <f>G335-H335-J335</f>
        <v/>
      </c>
      <c r="L335" s="29">
        <f>IF(G335&gt;0,K335/G335,"")</f>
        <v/>
      </c>
      <c r="M335" s="6" t="n"/>
    </row>
    <row r="336">
      <c r="A336" s="32" t="n"/>
      <c r="B336" s="6" t="n"/>
      <c r="C336">
        <f>IF(B336="","",IFERROR(VLOOKUP(B336,'Recetas y precios'!$A$5:$B$54,2,FALSE),""))</f>
        <v/>
      </c>
      <c r="D336" s="6" t="n"/>
      <c r="E336" s="6" t="n"/>
      <c r="F336" s="11" t="n"/>
      <c r="G336" s="17">
        <f>E336*F336</f>
        <v/>
      </c>
      <c r="H336" s="17">
        <f>IF(B336="",0,E336*IFERROR(VLOOKUP(B336,'Recetas y precios'!$A$5:$U$54,21,FALSE),0))</f>
        <v/>
      </c>
      <c r="I336" s="27" t="n"/>
      <c r="J336" s="17">
        <f>G336*I336</f>
        <v/>
      </c>
      <c r="K336" s="17">
        <f>G336-H336-J336</f>
        <v/>
      </c>
      <c r="L336" s="29">
        <f>IF(G336&gt;0,K336/G336,"")</f>
        <v/>
      </c>
      <c r="M336" s="6" t="n"/>
    </row>
    <row r="337">
      <c r="A337" s="32" t="n"/>
      <c r="B337" s="6" t="n"/>
      <c r="C337">
        <f>IF(B337="","",IFERROR(VLOOKUP(B337,'Recetas y precios'!$A$5:$B$54,2,FALSE),""))</f>
        <v/>
      </c>
      <c r="D337" s="6" t="n"/>
      <c r="E337" s="6" t="n"/>
      <c r="F337" s="11" t="n"/>
      <c r="G337" s="17">
        <f>E337*F337</f>
        <v/>
      </c>
      <c r="H337" s="17">
        <f>IF(B337="",0,E337*IFERROR(VLOOKUP(B337,'Recetas y precios'!$A$5:$U$54,21,FALSE),0))</f>
        <v/>
      </c>
      <c r="I337" s="27" t="n"/>
      <c r="J337" s="17">
        <f>G337*I337</f>
        <v/>
      </c>
      <c r="K337" s="17">
        <f>G337-H337-J337</f>
        <v/>
      </c>
      <c r="L337" s="29">
        <f>IF(G337&gt;0,K337/G337,"")</f>
        <v/>
      </c>
      <c r="M337" s="6" t="n"/>
    </row>
    <row r="338">
      <c r="A338" s="32" t="n"/>
      <c r="B338" s="6" t="n"/>
      <c r="C338">
        <f>IF(B338="","",IFERROR(VLOOKUP(B338,'Recetas y precios'!$A$5:$B$54,2,FALSE),""))</f>
        <v/>
      </c>
      <c r="D338" s="6" t="n"/>
      <c r="E338" s="6" t="n"/>
      <c r="F338" s="11" t="n"/>
      <c r="G338" s="17">
        <f>E338*F338</f>
        <v/>
      </c>
      <c r="H338" s="17">
        <f>IF(B338="",0,E338*IFERROR(VLOOKUP(B338,'Recetas y precios'!$A$5:$U$54,21,FALSE),0))</f>
        <v/>
      </c>
      <c r="I338" s="27" t="n"/>
      <c r="J338" s="17">
        <f>G338*I338</f>
        <v/>
      </c>
      <c r="K338" s="17">
        <f>G338-H338-J338</f>
        <v/>
      </c>
      <c r="L338" s="29">
        <f>IF(G338&gt;0,K338/G338,"")</f>
        <v/>
      </c>
      <c r="M338" s="6" t="n"/>
    </row>
    <row r="339">
      <c r="A339" s="32" t="n"/>
      <c r="B339" s="6" t="n"/>
      <c r="C339">
        <f>IF(B339="","",IFERROR(VLOOKUP(B339,'Recetas y precios'!$A$5:$B$54,2,FALSE),""))</f>
        <v/>
      </c>
      <c r="D339" s="6" t="n"/>
      <c r="E339" s="6" t="n"/>
      <c r="F339" s="11" t="n"/>
      <c r="G339" s="17">
        <f>E339*F339</f>
        <v/>
      </c>
      <c r="H339" s="17">
        <f>IF(B339="",0,E339*IFERROR(VLOOKUP(B339,'Recetas y precios'!$A$5:$U$54,21,FALSE),0))</f>
        <v/>
      </c>
      <c r="I339" s="27" t="n"/>
      <c r="J339" s="17">
        <f>G339*I339</f>
        <v/>
      </c>
      <c r="K339" s="17">
        <f>G339-H339-J339</f>
        <v/>
      </c>
      <c r="L339" s="29">
        <f>IF(G339&gt;0,K339/G339,"")</f>
        <v/>
      </c>
      <c r="M339" s="6" t="n"/>
    </row>
    <row r="340">
      <c r="A340" s="32" t="n"/>
      <c r="B340" s="6" t="n"/>
      <c r="C340">
        <f>IF(B340="","",IFERROR(VLOOKUP(B340,'Recetas y precios'!$A$5:$B$54,2,FALSE),""))</f>
        <v/>
      </c>
      <c r="D340" s="6" t="n"/>
      <c r="E340" s="6" t="n"/>
      <c r="F340" s="11" t="n"/>
      <c r="G340" s="17">
        <f>E340*F340</f>
        <v/>
      </c>
      <c r="H340" s="17">
        <f>IF(B340="",0,E340*IFERROR(VLOOKUP(B340,'Recetas y precios'!$A$5:$U$54,21,FALSE),0))</f>
        <v/>
      </c>
      <c r="I340" s="27" t="n"/>
      <c r="J340" s="17">
        <f>G340*I340</f>
        <v/>
      </c>
      <c r="K340" s="17">
        <f>G340-H340-J340</f>
        <v/>
      </c>
      <c r="L340" s="29">
        <f>IF(G340&gt;0,K340/G340,"")</f>
        <v/>
      </c>
      <c r="M340" s="6" t="n"/>
    </row>
    <row r="341">
      <c r="A341" s="32" t="n"/>
      <c r="B341" s="6" t="n"/>
      <c r="C341">
        <f>IF(B341="","",IFERROR(VLOOKUP(B341,'Recetas y precios'!$A$5:$B$54,2,FALSE),""))</f>
        <v/>
      </c>
      <c r="D341" s="6" t="n"/>
      <c r="E341" s="6" t="n"/>
      <c r="F341" s="11" t="n"/>
      <c r="G341" s="17">
        <f>E341*F341</f>
        <v/>
      </c>
      <c r="H341" s="17">
        <f>IF(B341="",0,E341*IFERROR(VLOOKUP(B341,'Recetas y precios'!$A$5:$U$54,21,FALSE),0))</f>
        <v/>
      </c>
      <c r="I341" s="27" t="n"/>
      <c r="J341" s="17">
        <f>G341*I341</f>
        <v/>
      </c>
      <c r="K341" s="17">
        <f>G341-H341-J341</f>
        <v/>
      </c>
      <c r="L341" s="29">
        <f>IF(G341&gt;0,K341/G341,"")</f>
        <v/>
      </c>
      <c r="M341" s="6" t="n"/>
    </row>
    <row r="342">
      <c r="A342" s="32" t="n"/>
      <c r="B342" s="6" t="n"/>
      <c r="C342">
        <f>IF(B342="","",IFERROR(VLOOKUP(B342,'Recetas y precios'!$A$5:$B$54,2,FALSE),""))</f>
        <v/>
      </c>
      <c r="D342" s="6" t="n"/>
      <c r="E342" s="6" t="n"/>
      <c r="F342" s="11" t="n"/>
      <c r="G342" s="17">
        <f>E342*F342</f>
        <v/>
      </c>
      <c r="H342" s="17">
        <f>IF(B342="",0,E342*IFERROR(VLOOKUP(B342,'Recetas y precios'!$A$5:$U$54,21,FALSE),0))</f>
        <v/>
      </c>
      <c r="I342" s="27" t="n"/>
      <c r="J342" s="17">
        <f>G342*I342</f>
        <v/>
      </c>
      <c r="K342" s="17">
        <f>G342-H342-J342</f>
        <v/>
      </c>
      <c r="L342" s="29">
        <f>IF(G342&gt;0,K342/G342,"")</f>
        <v/>
      </c>
      <c r="M342" s="6" t="n"/>
    </row>
    <row r="343">
      <c r="A343" s="32" t="n"/>
      <c r="B343" s="6" t="n"/>
      <c r="C343">
        <f>IF(B343="","",IFERROR(VLOOKUP(B343,'Recetas y precios'!$A$5:$B$54,2,FALSE),""))</f>
        <v/>
      </c>
      <c r="D343" s="6" t="n"/>
      <c r="E343" s="6" t="n"/>
      <c r="F343" s="11" t="n"/>
      <c r="G343" s="17">
        <f>E343*F343</f>
        <v/>
      </c>
      <c r="H343" s="17">
        <f>IF(B343="",0,E343*IFERROR(VLOOKUP(B343,'Recetas y precios'!$A$5:$U$54,21,FALSE),0))</f>
        <v/>
      </c>
      <c r="I343" s="27" t="n"/>
      <c r="J343" s="17">
        <f>G343*I343</f>
        <v/>
      </c>
      <c r="K343" s="17">
        <f>G343-H343-J343</f>
        <v/>
      </c>
      <c r="L343" s="29">
        <f>IF(G343&gt;0,K343/G343,"")</f>
        <v/>
      </c>
      <c r="M343" s="6" t="n"/>
    </row>
    <row r="344">
      <c r="A344" s="32" t="n"/>
      <c r="B344" s="6" t="n"/>
      <c r="C344">
        <f>IF(B344="","",IFERROR(VLOOKUP(B344,'Recetas y precios'!$A$5:$B$54,2,FALSE),""))</f>
        <v/>
      </c>
      <c r="D344" s="6" t="n"/>
      <c r="E344" s="6" t="n"/>
      <c r="F344" s="11" t="n"/>
      <c r="G344" s="17">
        <f>E344*F344</f>
        <v/>
      </c>
      <c r="H344" s="17">
        <f>IF(B344="",0,E344*IFERROR(VLOOKUP(B344,'Recetas y precios'!$A$5:$U$54,21,FALSE),0))</f>
        <v/>
      </c>
      <c r="I344" s="27" t="n"/>
      <c r="J344" s="17">
        <f>G344*I344</f>
        <v/>
      </c>
      <c r="K344" s="17">
        <f>G344-H344-J344</f>
        <v/>
      </c>
      <c r="L344" s="29">
        <f>IF(G344&gt;0,K344/G344,"")</f>
        <v/>
      </c>
      <c r="M344" s="6" t="n"/>
    </row>
    <row r="345">
      <c r="A345" s="32" t="n"/>
      <c r="B345" s="6" t="n"/>
      <c r="C345">
        <f>IF(B345="","",IFERROR(VLOOKUP(B345,'Recetas y precios'!$A$5:$B$54,2,FALSE),""))</f>
        <v/>
      </c>
      <c r="D345" s="6" t="n"/>
      <c r="E345" s="6" t="n"/>
      <c r="F345" s="11" t="n"/>
      <c r="G345" s="17">
        <f>E345*F345</f>
        <v/>
      </c>
      <c r="H345" s="17">
        <f>IF(B345="",0,E345*IFERROR(VLOOKUP(B345,'Recetas y precios'!$A$5:$U$54,21,FALSE),0))</f>
        <v/>
      </c>
      <c r="I345" s="27" t="n"/>
      <c r="J345" s="17">
        <f>G345*I345</f>
        <v/>
      </c>
      <c r="K345" s="17">
        <f>G345-H345-J345</f>
        <v/>
      </c>
      <c r="L345" s="29">
        <f>IF(G345&gt;0,K345/G345,"")</f>
        <v/>
      </c>
      <c r="M345" s="6" t="n"/>
    </row>
    <row r="346">
      <c r="A346" s="32" t="n"/>
      <c r="B346" s="6" t="n"/>
      <c r="C346">
        <f>IF(B346="","",IFERROR(VLOOKUP(B346,'Recetas y precios'!$A$5:$B$54,2,FALSE),""))</f>
        <v/>
      </c>
      <c r="D346" s="6" t="n"/>
      <c r="E346" s="6" t="n"/>
      <c r="F346" s="11" t="n"/>
      <c r="G346" s="17">
        <f>E346*F346</f>
        <v/>
      </c>
      <c r="H346" s="17">
        <f>IF(B346="",0,E346*IFERROR(VLOOKUP(B346,'Recetas y precios'!$A$5:$U$54,21,FALSE),0))</f>
        <v/>
      </c>
      <c r="I346" s="27" t="n"/>
      <c r="J346" s="17">
        <f>G346*I346</f>
        <v/>
      </c>
      <c r="K346" s="17">
        <f>G346-H346-J346</f>
        <v/>
      </c>
      <c r="L346" s="29">
        <f>IF(G346&gt;0,K346/G346,"")</f>
        <v/>
      </c>
      <c r="M346" s="6" t="n"/>
    </row>
    <row r="347">
      <c r="A347" s="32" t="n"/>
      <c r="B347" s="6" t="n"/>
      <c r="C347">
        <f>IF(B347="","",IFERROR(VLOOKUP(B347,'Recetas y precios'!$A$5:$B$54,2,FALSE),""))</f>
        <v/>
      </c>
      <c r="D347" s="6" t="n"/>
      <c r="E347" s="6" t="n"/>
      <c r="F347" s="11" t="n"/>
      <c r="G347" s="17">
        <f>E347*F347</f>
        <v/>
      </c>
      <c r="H347" s="17">
        <f>IF(B347="",0,E347*IFERROR(VLOOKUP(B347,'Recetas y precios'!$A$5:$U$54,21,FALSE),0))</f>
        <v/>
      </c>
      <c r="I347" s="27" t="n"/>
      <c r="J347" s="17">
        <f>G347*I347</f>
        <v/>
      </c>
      <c r="K347" s="17">
        <f>G347-H347-J347</f>
        <v/>
      </c>
      <c r="L347" s="29">
        <f>IF(G347&gt;0,K347/G347,"")</f>
        <v/>
      </c>
      <c r="M347" s="6" t="n"/>
    </row>
    <row r="348">
      <c r="A348" s="32" t="n"/>
      <c r="B348" s="6" t="n"/>
      <c r="C348">
        <f>IF(B348="","",IFERROR(VLOOKUP(B348,'Recetas y precios'!$A$5:$B$54,2,FALSE),""))</f>
        <v/>
      </c>
      <c r="D348" s="6" t="n"/>
      <c r="E348" s="6" t="n"/>
      <c r="F348" s="11" t="n"/>
      <c r="G348" s="17">
        <f>E348*F348</f>
        <v/>
      </c>
      <c r="H348" s="17">
        <f>IF(B348="",0,E348*IFERROR(VLOOKUP(B348,'Recetas y precios'!$A$5:$U$54,21,FALSE),0))</f>
        <v/>
      </c>
      <c r="I348" s="27" t="n"/>
      <c r="J348" s="17">
        <f>G348*I348</f>
        <v/>
      </c>
      <c r="K348" s="17">
        <f>G348-H348-J348</f>
        <v/>
      </c>
      <c r="L348" s="29">
        <f>IF(G348&gt;0,K348/G348,"")</f>
        <v/>
      </c>
      <c r="M348" s="6" t="n"/>
    </row>
    <row r="349">
      <c r="A349" s="32" t="n"/>
      <c r="B349" s="6" t="n"/>
      <c r="C349">
        <f>IF(B349="","",IFERROR(VLOOKUP(B349,'Recetas y precios'!$A$5:$B$54,2,FALSE),""))</f>
        <v/>
      </c>
      <c r="D349" s="6" t="n"/>
      <c r="E349" s="6" t="n"/>
      <c r="F349" s="11" t="n"/>
      <c r="G349" s="17">
        <f>E349*F349</f>
        <v/>
      </c>
      <c r="H349" s="17">
        <f>IF(B349="",0,E349*IFERROR(VLOOKUP(B349,'Recetas y precios'!$A$5:$U$54,21,FALSE),0))</f>
        <v/>
      </c>
      <c r="I349" s="27" t="n"/>
      <c r="J349" s="17">
        <f>G349*I349</f>
        <v/>
      </c>
      <c r="K349" s="17">
        <f>G349-H349-J349</f>
        <v/>
      </c>
      <c r="L349" s="29">
        <f>IF(G349&gt;0,K349/G349,"")</f>
        <v/>
      </c>
      <c r="M349" s="6" t="n"/>
    </row>
    <row r="350">
      <c r="A350" s="32" t="n"/>
      <c r="B350" s="6" t="n"/>
      <c r="C350">
        <f>IF(B350="","",IFERROR(VLOOKUP(B350,'Recetas y precios'!$A$5:$B$54,2,FALSE),""))</f>
        <v/>
      </c>
      <c r="D350" s="6" t="n"/>
      <c r="E350" s="6" t="n"/>
      <c r="F350" s="11" t="n"/>
      <c r="G350" s="17">
        <f>E350*F350</f>
        <v/>
      </c>
      <c r="H350" s="17">
        <f>IF(B350="",0,E350*IFERROR(VLOOKUP(B350,'Recetas y precios'!$A$5:$U$54,21,FALSE),0))</f>
        <v/>
      </c>
      <c r="I350" s="27" t="n"/>
      <c r="J350" s="17">
        <f>G350*I350</f>
        <v/>
      </c>
      <c r="K350" s="17">
        <f>G350-H350-J350</f>
        <v/>
      </c>
      <c r="L350" s="29">
        <f>IF(G350&gt;0,K350/G350,"")</f>
        <v/>
      </c>
      <c r="M350" s="6" t="n"/>
    </row>
    <row r="351">
      <c r="A351" s="32" t="n"/>
      <c r="B351" s="6" t="n"/>
      <c r="C351">
        <f>IF(B351="","",IFERROR(VLOOKUP(B351,'Recetas y precios'!$A$5:$B$54,2,FALSE),""))</f>
        <v/>
      </c>
      <c r="D351" s="6" t="n"/>
      <c r="E351" s="6" t="n"/>
      <c r="F351" s="11" t="n"/>
      <c r="G351" s="17">
        <f>E351*F351</f>
        <v/>
      </c>
      <c r="H351" s="17">
        <f>IF(B351="",0,E351*IFERROR(VLOOKUP(B351,'Recetas y precios'!$A$5:$U$54,21,FALSE),0))</f>
        <v/>
      </c>
      <c r="I351" s="27" t="n"/>
      <c r="J351" s="17">
        <f>G351*I351</f>
        <v/>
      </c>
      <c r="K351" s="17">
        <f>G351-H351-J351</f>
        <v/>
      </c>
      <c r="L351" s="29">
        <f>IF(G351&gt;0,K351/G351,"")</f>
        <v/>
      </c>
      <c r="M351" s="6" t="n"/>
    </row>
    <row r="352">
      <c r="A352" s="32" t="n"/>
      <c r="B352" s="6" t="n"/>
      <c r="C352">
        <f>IF(B352="","",IFERROR(VLOOKUP(B352,'Recetas y precios'!$A$5:$B$54,2,FALSE),""))</f>
        <v/>
      </c>
      <c r="D352" s="6" t="n"/>
      <c r="E352" s="6" t="n"/>
      <c r="F352" s="11" t="n"/>
      <c r="G352" s="17">
        <f>E352*F352</f>
        <v/>
      </c>
      <c r="H352" s="17">
        <f>IF(B352="",0,E352*IFERROR(VLOOKUP(B352,'Recetas y precios'!$A$5:$U$54,21,FALSE),0))</f>
        <v/>
      </c>
      <c r="I352" s="27" t="n"/>
      <c r="J352" s="17">
        <f>G352*I352</f>
        <v/>
      </c>
      <c r="K352" s="17">
        <f>G352-H352-J352</f>
        <v/>
      </c>
      <c r="L352" s="29">
        <f>IF(G352&gt;0,K352/G352,"")</f>
        <v/>
      </c>
      <c r="M352" s="6" t="n"/>
    </row>
    <row r="353">
      <c r="A353" s="32" t="n"/>
      <c r="B353" s="6" t="n"/>
      <c r="C353">
        <f>IF(B353="","",IFERROR(VLOOKUP(B353,'Recetas y precios'!$A$5:$B$54,2,FALSE),""))</f>
        <v/>
      </c>
      <c r="D353" s="6" t="n"/>
      <c r="E353" s="6" t="n"/>
      <c r="F353" s="11" t="n"/>
      <c r="G353" s="17">
        <f>E353*F353</f>
        <v/>
      </c>
      <c r="H353" s="17">
        <f>IF(B353="",0,E353*IFERROR(VLOOKUP(B353,'Recetas y precios'!$A$5:$U$54,21,FALSE),0))</f>
        <v/>
      </c>
      <c r="I353" s="27" t="n"/>
      <c r="J353" s="17">
        <f>G353*I353</f>
        <v/>
      </c>
      <c r="K353" s="17">
        <f>G353-H353-J353</f>
        <v/>
      </c>
      <c r="L353" s="29">
        <f>IF(G353&gt;0,K353/G353,"")</f>
        <v/>
      </c>
      <c r="M353" s="6" t="n"/>
    </row>
    <row r="354">
      <c r="A354" s="32" t="n"/>
      <c r="B354" s="6" t="n"/>
      <c r="C354">
        <f>IF(B354="","",IFERROR(VLOOKUP(B354,'Recetas y precios'!$A$5:$B$54,2,FALSE),""))</f>
        <v/>
      </c>
      <c r="D354" s="6" t="n"/>
      <c r="E354" s="6" t="n"/>
      <c r="F354" s="11" t="n"/>
      <c r="G354" s="17">
        <f>E354*F354</f>
        <v/>
      </c>
      <c r="H354" s="17">
        <f>IF(B354="",0,E354*IFERROR(VLOOKUP(B354,'Recetas y precios'!$A$5:$U$54,21,FALSE),0))</f>
        <v/>
      </c>
      <c r="I354" s="27" t="n"/>
      <c r="J354" s="17">
        <f>G354*I354</f>
        <v/>
      </c>
      <c r="K354" s="17">
        <f>G354-H354-J354</f>
        <v/>
      </c>
      <c r="L354" s="29">
        <f>IF(G354&gt;0,K354/G354,"")</f>
        <v/>
      </c>
      <c r="M354" s="6" t="n"/>
    </row>
    <row r="355">
      <c r="A355" s="32" t="n"/>
      <c r="B355" s="6" t="n"/>
      <c r="C355">
        <f>IF(B355="","",IFERROR(VLOOKUP(B355,'Recetas y precios'!$A$5:$B$54,2,FALSE),""))</f>
        <v/>
      </c>
      <c r="D355" s="6" t="n"/>
      <c r="E355" s="6" t="n"/>
      <c r="F355" s="11" t="n"/>
      <c r="G355" s="17">
        <f>E355*F355</f>
        <v/>
      </c>
      <c r="H355" s="17">
        <f>IF(B355="",0,E355*IFERROR(VLOOKUP(B355,'Recetas y precios'!$A$5:$U$54,21,FALSE),0))</f>
        <v/>
      </c>
      <c r="I355" s="27" t="n"/>
      <c r="J355" s="17">
        <f>G355*I355</f>
        <v/>
      </c>
      <c r="K355" s="17">
        <f>G355-H355-J355</f>
        <v/>
      </c>
      <c r="L355" s="29">
        <f>IF(G355&gt;0,K355/G355,"")</f>
        <v/>
      </c>
      <c r="M355" s="6" t="n"/>
    </row>
    <row r="356">
      <c r="A356" s="32" t="n"/>
      <c r="B356" s="6" t="n"/>
      <c r="C356">
        <f>IF(B356="","",IFERROR(VLOOKUP(B356,'Recetas y precios'!$A$5:$B$54,2,FALSE),""))</f>
        <v/>
      </c>
      <c r="D356" s="6" t="n"/>
      <c r="E356" s="6" t="n"/>
      <c r="F356" s="11" t="n"/>
      <c r="G356" s="17">
        <f>E356*F356</f>
        <v/>
      </c>
      <c r="H356" s="17">
        <f>IF(B356="",0,E356*IFERROR(VLOOKUP(B356,'Recetas y precios'!$A$5:$U$54,21,FALSE),0))</f>
        <v/>
      </c>
      <c r="I356" s="27" t="n"/>
      <c r="J356" s="17">
        <f>G356*I356</f>
        <v/>
      </c>
      <c r="K356" s="17">
        <f>G356-H356-J356</f>
        <v/>
      </c>
      <c r="L356" s="29">
        <f>IF(G356&gt;0,K356/G356,"")</f>
        <v/>
      </c>
      <c r="M356" s="6" t="n"/>
    </row>
    <row r="357">
      <c r="A357" s="32" t="n"/>
      <c r="B357" s="6" t="n"/>
      <c r="C357">
        <f>IF(B357="","",IFERROR(VLOOKUP(B357,'Recetas y precios'!$A$5:$B$54,2,FALSE),""))</f>
        <v/>
      </c>
      <c r="D357" s="6" t="n"/>
      <c r="E357" s="6" t="n"/>
      <c r="F357" s="11" t="n"/>
      <c r="G357" s="17">
        <f>E357*F357</f>
        <v/>
      </c>
      <c r="H357" s="17">
        <f>IF(B357="",0,E357*IFERROR(VLOOKUP(B357,'Recetas y precios'!$A$5:$U$54,21,FALSE),0))</f>
        <v/>
      </c>
      <c r="I357" s="27" t="n"/>
      <c r="J357" s="17">
        <f>G357*I357</f>
        <v/>
      </c>
      <c r="K357" s="17">
        <f>G357-H357-J357</f>
        <v/>
      </c>
      <c r="L357" s="29">
        <f>IF(G357&gt;0,K357/G357,"")</f>
        <v/>
      </c>
      <c r="M357" s="6" t="n"/>
    </row>
    <row r="358">
      <c r="A358" s="32" t="n"/>
      <c r="B358" s="6" t="n"/>
      <c r="C358">
        <f>IF(B358="","",IFERROR(VLOOKUP(B358,'Recetas y precios'!$A$5:$B$54,2,FALSE),""))</f>
        <v/>
      </c>
      <c r="D358" s="6" t="n"/>
      <c r="E358" s="6" t="n"/>
      <c r="F358" s="11" t="n"/>
      <c r="G358" s="17">
        <f>E358*F358</f>
        <v/>
      </c>
      <c r="H358" s="17">
        <f>IF(B358="",0,E358*IFERROR(VLOOKUP(B358,'Recetas y precios'!$A$5:$U$54,21,FALSE),0))</f>
        <v/>
      </c>
      <c r="I358" s="27" t="n"/>
      <c r="J358" s="17">
        <f>G358*I358</f>
        <v/>
      </c>
      <c r="K358" s="17">
        <f>G358-H358-J358</f>
        <v/>
      </c>
      <c r="L358" s="29">
        <f>IF(G358&gt;0,K358/G358,"")</f>
        <v/>
      </c>
      <c r="M358" s="6" t="n"/>
    </row>
    <row r="359">
      <c r="A359" s="32" t="n"/>
      <c r="B359" s="6" t="n"/>
      <c r="C359">
        <f>IF(B359="","",IFERROR(VLOOKUP(B359,'Recetas y precios'!$A$5:$B$54,2,FALSE),""))</f>
        <v/>
      </c>
      <c r="D359" s="6" t="n"/>
      <c r="E359" s="6" t="n"/>
      <c r="F359" s="11" t="n"/>
      <c r="G359" s="17">
        <f>E359*F359</f>
        <v/>
      </c>
      <c r="H359" s="17">
        <f>IF(B359="",0,E359*IFERROR(VLOOKUP(B359,'Recetas y precios'!$A$5:$U$54,21,FALSE),0))</f>
        <v/>
      </c>
      <c r="I359" s="27" t="n"/>
      <c r="J359" s="17">
        <f>G359*I359</f>
        <v/>
      </c>
      <c r="K359" s="17">
        <f>G359-H359-J359</f>
        <v/>
      </c>
      <c r="L359" s="29">
        <f>IF(G359&gt;0,K359/G359,"")</f>
        <v/>
      </c>
      <c r="M359" s="6" t="n"/>
    </row>
    <row r="360">
      <c r="A360" s="32" t="n"/>
      <c r="B360" s="6" t="n"/>
      <c r="C360">
        <f>IF(B360="","",IFERROR(VLOOKUP(B360,'Recetas y precios'!$A$5:$B$54,2,FALSE),""))</f>
        <v/>
      </c>
      <c r="D360" s="6" t="n"/>
      <c r="E360" s="6" t="n"/>
      <c r="F360" s="11" t="n"/>
      <c r="G360" s="17">
        <f>E360*F360</f>
        <v/>
      </c>
      <c r="H360" s="17">
        <f>IF(B360="",0,E360*IFERROR(VLOOKUP(B360,'Recetas y precios'!$A$5:$U$54,21,FALSE),0))</f>
        <v/>
      </c>
      <c r="I360" s="27" t="n"/>
      <c r="J360" s="17">
        <f>G360*I360</f>
        <v/>
      </c>
      <c r="K360" s="17">
        <f>G360-H360-J360</f>
        <v/>
      </c>
      <c r="L360" s="29">
        <f>IF(G360&gt;0,K360/G360,"")</f>
        <v/>
      </c>
      <c r="M360" s="6" t="n"/>
    </row>
    <row r="361">
      <c r="A361" s="32" t="n"/>
      <c r="B361" s="6" t="n"/>
      <c r="C361">
        <f>IF(B361="","",IFERROR(VLOOKUP(B361,'Recetas y precios'!$A$5:$B$54,2,FALSE),""))</f>
        <v/>
      </c>
      <c r="D361" s="6" t="n"/>
      <c r="E361" s="6" t="n"/>
      <c r="F361" s="11" t="n"/>
      <c r="G361" s="17">
        <f>E361*F361</f>
        <v/>
      </c>
      <c r="H361" s="17">
        <f>IF(B361="",0,E361*IFERROR(VLOOKUP(B361,'Recetas y precios'!$A$5:$U$54,21,FALSE),0))</f>
        <v/>
      </c>
      <c r="I361" s="27" t="n"/>
      <c r="J361" s="17">
        <f>G361*I361</f>
        <v/>
      </c>
      <c r="K361" s="17">
        <f>G361-H361-J361</f>
        <v/>
      </c>
      <c r="L361" s="29">
        <f>IF(G361&gt;0,K361/G361,"")</f>
        <v/>
      </c>
      <c r="M361" s="6" t="n"/>
    </row>
    <row r="362">
      <c r="A362" s="32" t="n"/>
      <c r="B362" s="6" t="n"/>
      <c r="C362">
        <f>IF(B362="","",IFERROR(VLOOKUP(B362,'Recetas y precios'!$A$5:$B$54,2,FALSE),""))</f>
        <v/>
      </c>
      <c r="D362" s="6" t="n"/>
      <c r="E362" s="6" t="n"/>
      <c r="F362" s="11" t="n"/>
      <c r="G362" s="17">
        <f>E362*F362</f>
        <v/>
      </c>
      <c r="H362" s="17">
        <f>IF(B362="",0,E362*IFERROR(VLOOKUP(B362,'Recetas y precios'!$A$5:$U$54,21,FALSE),0))</f>
        <v/>
      </c>
      <c r="I362" s="27" t="n"/>
      <c r="J362" s="17">
        <f>G362*I362</f>
        <v/>
      </c>
      <c r="K362" s="17">
        <f>G362-H362-J362</f>
        <v/>
      </c>
      <c r="L362" s="29">
        <f>IF(G362&gt;0,K362/G362,"")</f>
        <v/>
      </c>
      <c r="M362" s="6" t="n"/>
    </row>
    <row r="363">
      <c r="A363" s="32" t="n"/>
      <c r="B363" s="6" t="n"/>
      <c r="C363">
        <f>IF(B363="","",IFERROR(VLOOKUP(B363,'Recetas y precios'!$A$5:$B$54,2,FALSE),""))</f>
        <v/>
      </c>
      <c r="D363" s="6" t="n"/>
      <c r="E363" s="6" t="n"/>
      <c r="F363" s="11" t="n"/>
      <c r="G363" s="17">
        <f>E363*F363</f>
        <v/>
      </c>
      <c r="H363" s="17">
        <f>IF(B363="",0,E363*IFERROR(VLOOKUP(B363,'Recetas y precios'!$A$5:$U$54,21,FALSE),0))</f>
        <v/>
      </c>
      <c r="I363" s="27" t="n"/>
      <c r="J363" s="17">
        <f>G363*I363</f>
        <v/>
      </c>
      <c r="K363" s="17">
        <f>G363-H363-J363</f>
        <v/>
      </c>
      <c r="L363" s="29">
        <f>IF(G363&gt;0,K363/G363,"")</f>
        <v/>
      </c>
      <c r="M363" s="6" t="n"/>
    </row>
    <row r="364">
      <c r="A364" s="32" t="n"/>
      <c r="B364" s="6" t="n"/>
      <c r="C364">
        <f>IF(B364="","",IFERROR(VLOOKUP(B364,'Recetas y precios'!$A$5:$B$54,2,FALSE),""))</f>
        <v/>
      </c>
      <c r="D364" s="6" t="n"/>
      <c r="E364" s="6" t="n"/>
      <c r="F364" s="11" t="n"/>
      <c r="G364" s="17">
        <f>E364*F364</f>
        <v/>
      </c>
      <c r="H364" s="17">
        <f>IF(B364="",0,E364*IFERROR(VLOOKUP(B364,'Recetas y precios'!$A$5:$U$54,21,FALSE),0))</f>
        <v/>
      </c>
      <c r="I364" s="27" t="n"/>
      <c r="J364" s="17">
        <f>G364*I364</f>
        <v/>
      </c>
      <c r="K364" s="17">
        <f>G364-H364-J364</f>
        <v/>
      </c>
      <c r="L364" s="29">
        <f>IF(G364&gt;0,K364/G364,"")</f>
        <v/>
      </c>
      <c r="M364" s="6" t="n"/>
    </row>
    <row r="365">
      <c r="A365" s="32" t="n"/>
      <c r="B365" s="6" t="n"/>
      <c r="C365">
        <f>IF(B365="","",IFERROR(VLOOKUP(B365,'Recetas y precios'!$A$5:$B$54,2,FALSE),""))</f>
        <v/>
      </c>
      <c r="D365" s="6" t="n"/>
      <c r="E365" s="6" t="n"/>
      <c r="F365" s="11" t="n"/>
      <c r="G365" s="17">
        <f>E365*F365</f>
        <v/>
      </c>
      <c r="H365" s="17">
        <f>IF(B365="",0,E365*IFERROR(VLOOKUP(B365,'Recetas y precios'!$A$5:$U$54,21,FALSE),0))</f>
        <v/>
      </c>
      <c r="I365" s="27" t="n"/>
      <c r="J365" s="17">
        <f>G365*I365</f>
        <v/>
      </c>
      <c r="K365" s="17">
        <f>G365-H365-J365</f>
        <v/>
      </c>
      <c r="L365" s="29">
        <f>IF(G365&gt;0,K365/G365,"")</f>
        <v/>
      </c>
      <c r="M365" s="6" t="n"/>
    </row>
    <row r="366">
      <c r="A366" s="32" t="n"/>
      <c r="B366" s="6" t="n"/>
      <c r="C366">
        <f>IF(B366="","",IFERROR(VLOOKUP(B366,'Recetas y precios'!$A$5:$B$54,2,FALSE),""))</f>
        <v/>
      </c>
      <c r="D366" s="6" t="n"/>
      <c r="E366" s="6" t="n"/>
      <c r="F366" s="11" t="n"/>
      <c r="G366" s="17">
        <f>E366*F366</f>
        <v/>
      </c>
      <c r="H366" s="17">
        <f>IF(B366="",0,E366*IFERROR(VLOOKUP(B366,'Recetas y precios'!$A$5:$U$54,21,FALSE),0))</f>
        <v/>
      </c>
      <c r="I366" s="27" t="n"/>
      <c r="J366" s="17">
        <f>G366*I366</f>
        <v/>
      </c>
      <c r="K366" s="17">
        <f>G366-H366-J366</f>
        <v/>
      </c>
      <c r="L366" s="29">
        <f>IF(G366&gt;0,K366/G366,"")</f>
        <v/>
      </c>
      <c r="M366" s="6" t="n"/>
    </row>
    <row r="367">
      <c r="A367" s="32" t="n"/>
      <c r="B367" s="6" t="n"/>
      <c r="C367">
        <f>IF(B367="","",IFERROR(VLOOKUP(B367,'Recetas y precios'!$A$5:$B$54,2,FALSE),""))</f>
        <v/>
      </c>
      <c r="D367" s="6" t="n"/>
      <c r="E367" s="6" t="n"/>
      <c r="F367" s="11" t="n"/>
      <c r="G367" s="17">
        <f>E367*F367</f>
        <v/>
      </c>
      <c r="H367" s="17">
        <f>IF(B367="",0,E367*IFERROR(VLOOKUP(B367,'Recetas y precios'!$A$5:$U$54,21,FALSE),0))</f>
        <v/>
      </c>
      <c r="I367" s="27" t="n"/>
      <c r="J367" s="17">
        <f>G367*I367</f>
        <v/>
      </c>
      <c r="K367" s="17">
        <f>G367-H367-J367</f>
        <v/>
      </c>
      <c r="L367" s="29">
        <f>IF(G367&gt;0,K367/G367,"")</f>
        <v/>
      </c>
      <c r="M367" s="6" t="n"/>
    </row>
    <row r="368">
      <c r="A368" s="32" t="n"/>
      <c r="B368" s="6" t="n"/>
      <c r="C368">
        <f>IF(B368="","",IFERROR(VLOOKUP(B368,'Recetas y precios'!$A$5:$B$54,2,FALSE),""))</f>
        <v/>
      </c>
      <c r="D368" s="6" t="n"/>
      <c r="E368" s="6" t="n"/>
      <c r="F368" s="11" t="n"/>
      <c r="G368" s="17">
        <f>E368*F368</f>
        <v/>
      </c>
      <c r="H368" s="17">
        <f>IF(B368="",0,E368*IFERROR(VLOOKUP(B368,'Recetas y precios'!$A$5:$U$54,21,FALSE),0))</f>
        <v/>
      </c>
      <c r="I368" s="27" t="n"/>
      <c r="J368" s="17">
        <f>G368*I368</f>
        <v/>
      </c>
      <c r="K368" s="17">
        <f>G368-H368-J368</f>
        <v/>
      </c>
      <c r="L368" s="29">
        <f>IF(G368&gt;0,K368/G368,"")</f>
        <v/>
      </c>
      <c r="M368" s="6" t="n"/>
    </row>
    <row r="369">
      <c r="A369" s="32" t="n"/>
      <c r="B369" s="6" t="n"/>
      <c r="C369">
        <f>IF(B369="","",IFERROR(VLOOKUP(B369,'Recetas y precios'!$A$5:$B$54,2,FALSE),""))</f>
        <v/>
      </c>
      <c r="D369" s="6" t="n"/>
      <c r="E369" s="6" t="n"/>
      <c r="F369" s="11" t="n"/>
      <c r="G369" s="17">
        <f>E369*F369</f>
        <v/>
      </c>
      <c r="H369" s="17">
        <f>IF(B369="",0,E369*IFERROR(VLOOKUP(B369,'Recetas y precios'!$A$5:$U$54,21,FALSE),0))</f>
        <v/>
      </c>
      <c r="I369" s="27" t="n"/>
      <c r="J369" s="17">
        <f>G369*I369</f>
        <v/>
      </c>
      <c r="K369" s="17">
        <f>G369-H369-J369</f>
        <v/>
      </c>
      <c r="L369" s="29">
        <f>IF(G369&gt;0,K369/G369,"")</f>
        <v/>
      </c>
      <c r="M369" s="6" t="n"/>
    </row>
    <row r="370">
      <c r="A370" s="32" t="n"/>
      <c r="B370" s="6" t="n"/>
      <c r="C370">
        <f>IF(B370="","",IFERROR(VLOOKUP(B370,'Recetas y precios'!$A$5:$B$54,2,FALSE),""))</f>
        <v/>
      </c>
      <c r="D370" s="6" t="n"/>
      <c r="E370" s="6" t="n"/>
      <c r="F370" s="11" t="n"/>
      <c r="G370" s="17">
        <f>E370*F370</f>
        <v/>
      </c>
      <c r="H370" s="17">
        <f>IF(B370="",0,E370*IFERROR(VLOOKUP(B370,'Recetas y precios'!$A$5:$U$54,21,FALSE),0))</f>
        <v/>
      </c>
      <c r="I370" s="27" t="n"/>
      <c r="J370" s="17">
        <f>G370*I370</f>
        <v/>
      </c>
      <c r="K370" s="17">
        <f>G370-H370-J370</f>
        <v/>
      </c>
      <c r="L370" s="29">
        <f>IF(G370&gt;0,K370/G370,"")</f>
        <v/>
      </c>
      <c r="M370" s="6" t="n"/>
    </row>
    <row r="371">
      <c r="A371" s="32" t="n"/>
      <c r="B371" s="6" t="n"/>
      <c r="C371">
        <f>IF(B371="","",IFERROR(VLOOKUP(B371,'Recetas y precios'!$A$5:$B$54,2,FALSE),""))</f>
        <v/>
      </c>
      <c r="D371" s="6" t="n"/>
      <c r="E371" s="6" t="n"/>
      <c r="F371" s="11" t="n"/>
      <c r="G371" s="17">
        <f>E371*F371</f>
        <v/>
      </c>
      <c r="H371" s="17">
        <f>IF(B371="",0,E371*IFERROR(VLOOKUP(B371,'Recetas y precios'!$A$5:$U$54,21,FALSE),0))</f>
        <v/>
      </c>
      <c r="I371" s="27" t="n"/>
      <c r="J371" s="17">
        <f>G371*I371</f>
        <v/>
      </c>
      <c r="K371" s="17">
        <f>G371-H371-J371</f>
        <v/>
      </c>
      <c r="L371" s="29">
        <f>IF(G371&gt;0,K371/G371,"")</f>
        <v/>
      </c>
      <c r="M371" s="6" t="n"/>
    </row>
    <row r="372">
      <c r="A372" s="32" t="n"/>
      <c r="B372" s="6" t="n"/>
      <c r="C372">
        <f>IF(B372="","",IFERROR(VLOOKUP(B372,'Recetas y precios'!$A$5:$B$54,2,FALSE),""))</f>
        <v/>
      </c>
      <c r="D372" s="6" t="n"/>
      <c r="E372" s="6" t="n"/>
      <c r="F372" s="11" t="n"/>
      <c r="G372" s="17">
        <f>E372*F372</f>
        <v/>
      </c>
      <c r="H372" s="17">
        <f>IF(B372="",0,E372*IFERROR(VLOOKUP(B372,'Recetas y precios'!$A$5:$U$54,21,FALSE),0))</f>
        <v/>
      </c>
      <c r="I372" s="27" t="n"/>
      <c r="J372" s="17">
        <f>G372*I372</f>
        <v/>
      </c>
      <c r="K372" s="17">
        <f>G372-H372-J372</f>
        <v/>
      </c>
      <c r="L372" s="29">
        <f>IF(G372&gt;0,K372/G372,"")</f>
        <v/>
      </c>
      <c r="M372" s="6" t="n"/>
    </row>
    <row r="373">
      <c r="A373" s="32" t="n"/>
      <c r="B373" s="6" t="n"/>
      <c r="C373">
        <f>IF(B373="","",IFERROR(VLOOKUP(B373,'Recetas y precios'!$A$5:$B$54,2,FALSE),""))</f>
        <v/>
      </c>
      <c r="D373" s="6" t="n"/>
      <c r="E373" s="6" t="n"/>
      <c r="F373" s="11" t="n"/>
      <c r="G373" s="17">
        <f>E373*F373</f>
        <v/>
      </c>
      <c r="H373" s="17">
        <f>IF(B373="",0,E373*IFERROR(VLOOKUP(B373,'Recetas y precios'!$A$5:$U$54,21,FALSE),0))</f>
        <v/>
      </c>
      <c r="I373" s="27" t="n"/>
      <c r="J373" s="17">
        <f>G373*I373</f>
        <v/>
      </c>
      <c r="K373" s="17">
        <f>G373-H373-J373</f>
        <v/>
      </c>
      <c r="L373" s="29">
        <f>IF(G373&gt;0,K373/G373,"")</f>
        <v/>
      </c>
      <c r="M373" s="6" t="n"/>
    </row>
    <row r="374">
      <c r="A374" s="32" t="n"/>
      <c r="B374" s="6" t="n"/>
      <c r="C374">
        <f>IF(B374="","",IFERROR(VLOOKUP(B374,'Recetas y precios'!$A$5:$B$54,2,FALSE),""))</f>
        <v/>
      </c>
      <c r="D374" s="6" t="n"/>
      <c r="E374" s="6" t="n"/>
      <c r="F374" s="11" t="n"/>
      <c r="G374" s="17">
        <f>E374*F374</f>
        <v/>
      </c>
      <c r="H374" s="17">
        <f>IF(B374="",0,E374*IFERROR(VLOOKUP(B374,'Recetas y precios'!$A$5:$U$54,21,FALSE),0))</f>
        <v/>
      </c>
      <c r="I374" s="27" t="n"/>
      <c r="J374" s="17">
        <f>G374*I374</f>
        <v/>
      </c>
      <c r="K374" s="17">
        <f>G374-H374-J374</f>
        <v/>
      </c>
      <c r="L374" s="29">
        <f>IF(G374&gt;0,K374/G374,"")</f>
        <v/>
      </c>
      <c r="M374" s="6" t="n"/>
    </row>
    <row r="375">
      <c r="A375" s="32" t="n"/>
      <c r="B375" s="6" t="n"/>
      <c r="C375">
        <f>IF(B375="","",IFERROR(VLOOKUP(B375,'Recetas y precios'!$A$5:$B$54,2,FALSE),""))</f>
        <v/>
      </c>
      <c r="D375" s="6" t="n"/>
      <c r="E375" s="6" t="n"/>
      <c r="F375" s="11" t="n"/>
      <c r="G375" s="17">
        <f>E375*F375</f>
        <v/>
      </c>
      <c r="H375" s="17">
        <f>IF(B375="",0,E375*IFERROR(VLOOKUP(B375,'Recetas y precios'!$A$5:$U$54,21,FALSE),0))</f>
        <v/>
      </c>
      <c r="I375" s="27" t="n"/>
      <c r="J375" s="17">
        <f>G375*I375</f>
        <v/>
      </c>
      <c r="K375" s="17">
        <f>G375-H375-J375</f>
        <v/>
      </c>
      <c r="L375" s="29">
        <f>IF(G375&gt;0,K375/G375,"")</f>
        <v/>
      </c>
      <c r="M375" s="6" t="n"/>
    </row>
    <row r="376">
      <c r="A376" s="32" t="n"/>
      <c r="B376" s="6" t="n"/>
      <c r="C376">
        <f>IF(B376="","",IFERROR(VLOOKUP(B376,'Recetas y precios'!$A$5:$B$54,2,FALSE),""))</f>
        <v/>
      </c>
      <c r="D376" s="6" t="n"/>
      <c r="E376" s="6" t="n"/>
      <c r="F376" s="11" t="n"/>
      <c r="G376" s="17">
        <f>E376*F376</f>
        <v/>
      </c>
      <c r="H376" s="17">
        <f>IF(B376="",0,E376*IFERROR(VLOOKUP(B376,'Recetas y precios'!$A$5:$U$54,21,FALSE),0))</f>
        <v/>
      </c>
      <c r="I376" s="27" t="n"/>
      <c r="J376" s="17">
        <f>G376*I376</f>
        <v/>
      </c>
      <c r="K376" s="17">
        <f>G376-H376-J376</f>
        <v/>
      </c>
      <c r="L376" s="29">
        <f>IF(G376&gt;0,K376/G376,"")</f>
        <v/>
      </c>
      <c r="M376" s="6" t="n"/>
    </row>
    <row r="377">
      <c r="A377" s="32" t="n"/>
      <c r="B377" s="6" t="n"/>
      <c r="C377">
        <f>IF(B377="","",IFERROR(VLOOKUP(B377,'Recetas y precios'!$A$5:$B$54,2,FALSE),""))</f>
        <v/>
      </c>
      <c r="D377" s="6" t="n"/>
      <c r="E377" s="6" t="n"/>
      <c r="F377" s="11" t="n"/>
      <c r="G377" s="17">
        <f>E377*F377</f>
        <v/>
      </c>
      <c r="H377" s="17">
        <f>IF(B377="",0,E377*IFERROR(VLOOKUP(B377,'Recetas y precios'!$A$5:$U$54,21,FALSE),0))</f>
        <v/>
      </c>
      <c r="I377" s="27" t="n"/>
      <c r="J377" s="17">
        <f>G377*I377</f>
        <v/>
      </c>
      <c r="K377" s="17">
        <f>G377-H377-J377</f>
        <v/>
      </c>
      <c r="L377" s="29">
        <f>IF(G377&gt;0,K377/G377,"")</f>
        <v/>
      </c>
      <c r="M377" s="6" t="n"/>
    </row>
    <row r="378">
      <c r="A378" s="32" t="n"/>
      <c r="B378" s="6" t="n"/>
      <c r="C378">
        <f>IF(B378="","",IFERROR(VLOOKUP(B378,'Recetas y precios'!$A$5:$B$54,2,FALSE),""))</f>
        <v/>
      </c>
      <c r="D378" s="6" t="n"/>
      <c r="E378" s="6" t="n"/>
      <c r="F378" s="11" t="n"/>
      <c r="G378" s="17">
        <f>E378*F378</f>
        <v/>
      </c>
      <c r="H378" s="17">
        <f>IF(B378="",0,E378*IFERROR(VLOOKUP(B378,'Recetas y precios'!$A$5:$U$54,21,FALSE),0))</f>
        <v/>
      </c>
      <c r="I378" s="27" t="n"/>
      <c r="J378" s="17">
        <f>G378*I378</f>
        <v/>
      </c>
      <c r="K378" s="17">
        <f>G378-H378-J378</f>
        <v/>
      </c>
      <c r="L378" s="29">
        <f>IF(G378&gt;0,K378/G378,"")</f>
        <v/>
      </c>
      <c r="M378" s="6" t="n"/>
    </row>
    <row r="379">
      <c r="A379" s="32" t="n"/>
      <c r="B379" s="6" t="n"/>
      <c r="C379">
        <f>IF(B379="","",IFERROR(VLOOKUP(B379,'Recetas y precios'!$A$5:$B$54,2,FALSE),""))</f>
        <v/>
      </c>
      <c r="D379" s="6" t="n"/>
      <c r="E379" s="6" t="n"/>
      <c r="F379" s="11" t="n"/>
      <c r="G379" s="17">
        <f>E379*F379</f>
        <v/>
      </c>
      <c r="H379" s="17">
        <f>IF(B379="",0,E379*IFERROR(VLOOKUP(B379,'Recetas y precios'!$A$5:$U$54,21,FALSE),0))</f>
        <v/>
      </c>
      <c r="I379" s="27" t="n"/>
      <c r="J379" s="17">
        <f>G379*I379</f>
        <v/>
      </c>
      <c r="K379" s="17">
        <f>G379-H379-J379</f>
        <v/>
      </c>
      <c r="L379" s="29">
        <f>IF(G379&gt;0,K379/G379,"")</f>
        <v/>
      </c>
      <c r="M379" s="6" t="n"/>
    </row>
    <row r="380">
      <c r="A380" s="32" t="n"/>
      <c r="B380" s="6" t="n"/>
      <c r="C380">
        <f>IF(B380="","",IFERROR(VLOOKUP(B380,'Recetas y precios'!$A$5:$B$54,2,FALSE),""))</f>
        <v/>
      </c>
      <c r="D380" s="6" t="n"/>
      <c r="E380" s="6" t="n"/>
      <c r="F380" s="11" t="n"/>
      <c r="G380" s="17">
        <f>E380*F380</f>
        <v/>
      </c>
      <c r="H380" s="17">
        <f>IF(B380="",0,E380*IFERROR(VLOOKUP(B380,'Recetas y precios'!$A$5:$U$54,21,FALSE),0))</f>
        <v/>
      </c>
      <c r="I380" s="27" t="n"/>
      <c r="J380" s="17">
        <f>G380*I380</f>
        <v/>
      </c>
      <c r="K380" s="17">
        <f>G380-H380-J380</f>
        <v/>
      </c>
      <c r="L380" s="29">
        <f>IF(G380&gt;0,K380/G380,"")</f>
        <v/>
      </c>
      <c r="M380" s="6" t="n"/>
    </row>
    <row r="381">
      <c r="A381" s="32" t="n"/>
      <c r="B381" s="6" t="n"/>
      <c r="C381">
        <f>IF(B381="","",IFERROR(VLOOKUP(B381,'Recetas y precios'!$A$5:$B$54,2,FALSE),""))</f>
        <v/>
      </c>
      <c r="D381" s="6" t="n"/>
      <c r="E381" s="6" t="n"/>
      <c r="F381" s="11" t="n"/>
      <c r="G381" s="17">
        <f>E381*F381</f>
        <v/>
      </c>
      <c r="H381" s="17">
        <f>IF(B381="",0,E381*IFERROR(VLOOKUP(B381,'Recetas y precios'!$A$5:$U$54,21,FALSE),0))</f>
        <v/>
      </c>
      <c r="I381" s="27" t="n"/>
      <c r="J381" s="17">
        <f>G381*I381</f>
        <v/>
      </c>
      <c r="K381" s="17">
        <f>G381-H381-J381</f>
        <v/>
      </c>
      <c r="L381" s="29">
        <f>IF(G381&gt;0,K381/G381,"")</f>
        <v/>
      </c>
      <c r="M381" s="6" t="n"/>
    </row>
    <row r="382">
      <c r="A382" s="32" t="n"/>
      <c r="B382" s="6" t="n"/>
      <c r="C382">
        <f>IF(B382="","",IFERROR(VLOOKUP(B382,'Recetas y precios'!$A$5:$B$54,2,FALSE),""))</f>
        <v/>
      </c>
      <c r="D382" s="6" t="n"/>
      <c r="E382" s="6" t="n"/>
      <c r="F382" s="11" t="n"/>
      <c r="G382" s="17">
        <f>E382*F382</f>
        <v/>
      </c>
      <c r="H382" s="17">
        <f>IF(B382="",0,E382*IFERROR(VLOOKUP(B382,'Recetas y precios'!$A$5:$U$54,21,FALSE),0))</f>
        <v/>
      </c>
      <c r="I382" s="27" t="n"/>
      <c r="J382" s="17">
        <f>G382*I382</f>
        <v/>
      </c>
      <c r="K382" s="17">
        <f>G382-H382-J382</f>
        <v/>
      </c>
      <c r="L382" s="29">
        <f>IF(G382&gt;0,K382/G382,"")</f>
        <v/>
      </c>
      <c r="M382" s="6" t="n"/>
    </row>
    <row r="383">
      <c r="A383" s="32" t="n"/>
      <c r="B383" s="6" t="n"/>
      <c r="C383">
        <f>IF(B383="","",IFERROR(VLOOKUP(B383,'Recetas y precios'!$A$5:$B$54,2,FALSE),""))</f>
        <v/>
      </c>
      <c r="D383" s="6" t="n"/>
      <c r="E383" s="6" t="n"/>
      <c r="F383" s="11" t="n"/>
      <c r="G383" s="17">
        <f>E383*F383</f>
        <v/>
      </c>
      <c r="H383" s="17">
        <f>IF(B383="",0,E383*IFERROR(VLOOKUP(B383,'Recetas y precios'!$A$5:$U$54,21,FALSE),0))</f>
        <v/>
      </c>
      <c r="I383" s="27" t="n"/>
      <c r="J383" s="17">
        <f>G383*I383</f>
        <v/>
      </c>
      <c r="K383" s="17">
        <f>G383-H383-J383</f>
        <v/>
      </c>
      <c r="L383" s="29">
        <f>IF(G383&gt;0,K383/G383,"")</f>
        <v/>
      </c>
      <c r="M383" s="6" t="n"/>
    </row>
    <row r="384">
      <c r="A384" s="32" t="n"/>
      <c r="B384" s="6" t="n"/>
      <c r="C384">
        <f>IF(B384="","",IFERROR(VLOOKUP(B384,'Recetas y precios'!$A$5:$B$54,2,FALSE),""))</f>
        <v/>
      </c>
      <c r="D384" s="6" t="n"/>
      <c r="E384" s="6" t="n"/>
      <c r="F384" s="11" t="n"/>
      <c r="G384" s="17">
        <f>E384*F384</f>
        <v/>
      </c>
      <c r="H384" s="17">
        <f>IF(B384="",0,E384*IFERROR(VLOOKUP(B384,'Recetas y precios'!$A$5:$U$54,21,FALSE),0))</f>
        <v/>
      </c>
      <c r="I384" s="27" t="n"/>
      <c r="J384" s="17">
        <f>G384*I384</f>
        <v/>
      </c>
      <c r="K384" s="17">
        <f>G384-H384-J384</f>
        <v/>
      </c>
      <c r="L384" s="29">
        <f>IF(G384&gt;0,K384/G384,"")</f>
        <v/>
      </c>
      <c r="M384" s="6" t="n"/>
    </row>
    <row r="385">
      <c r="A385" s="32" t="n"/>
      <c r="B385" s="6" t="n"/>
      <c r="C385">
        <f>IF(B385="","",IFERROR(VLOOKUP(B385,'Recetas y precios'!$A$5:$B$54,2,FALSE),""))</f>
        <v/>
      </c>
      <c r="D385" s="6" t="n"/>
      <c r="E385" s="6" t="n"/>
      <c r="F385" s="11" t="n"/>
      <c r="G385" s="17">
        <f>E385*F385</f>
        <v/>
      </c>
      <c r="H385" s="17">
        <f>IF(B385="",0,E385*IFERROR(VLOOKUP(B385,'Recetas y precios'!$A$5:$U$54,21,FALSE),0))</f>
        <v/>
      </c>
      <c r="I385" s="27" t="n"/>
      <c r="J385" s="17">
        <f>G385*I385</f>
        <v/>
      </c>
      <c r="K385" s="17">
        <f>G385-H385-J385</f>
        <v/>
      </c>
      <c r="L385" s="29">
        <f>IF(G385&gt;0,K385/G385,"")</f>
        <v/>
      </c>
      <c r="M385" s="6" t="n"/>
    </row>
    <row r="386">
      <c r="A386" s="32" t="n"/>
      <c r="B386" s="6" t="n"/>
      <c r="C386">
        <f>IF(B386="","",IFERROR(VLOOKUP(B386,'Recetas y precios'!$A$5:$B$54,2,FALSE),""))</f>
        <v/>
      </c>
      <c r="D386" s="6" t="n"/>
      <c r="E386" s="6" t="n"/>
      <c r="F386" s="11" t="n"/>
      <c r="G386" s="17">
        <f>E386*F386</f>
        <v/>
      </c>
      <c r="H386" s="17">
        <f>IF(B386="",0,E386*IFERROR(VLOOKUP(B386,'Recetas y precios'!$A$5:$U$54,21,FALSE),0))</f>
        <v/>
      </c>
      <c r="I386" s="27" t="n"/>
      <c r="J386" s="17">
        <f>G386*I386</f>
        <v/>
      </c>
      <c r="K386" s="17">
        <f>G386-H386-J386</f>
        <v/>
      </c>
      <c r="L386" s="29">
        <f>IF(G386&gt;0,K386/G386,"")</f>
        <v/>
      </c>
      <c r="M386" s="6" t="n"/>
    </row>
    <row r="387">
      <c r="A387" s="32" t="n"/>
      <c r="B387" s="6" t="n"/>
      <c r="C387">
        <f>IF(B387="","",IFERROR(VLOOKUP(B387,'Recetas y precios'!$A$5:$B$54,2,FALSE),""))</f>
        <v/>
      </c>
      <c r="D387" s="6" t="n"/>
      <c r="E387" s="6" t="n"/>
      <c r="F387" s="11" t="n"/>
      <c r="G387" s="17">
        <f>E387*F387</f>
        <v/>
      </c>
      <c r="H387" s="17">
        <f>IF(B387="",0,E387*IFERROR(VLOOKUP(B387,'Recetas y precios'!$A$5:$U$54,21,FALSE),0))</f>
        <v/>
      </c>
      <c r="I387" s="27" t="n"/>
      <c r="J387" s="17">
        <f>G387*I387</f>
        <v/>
      </c>
      <c r="K387" s="17">
        <f>G387-H387-J387</f>
        <v/>
      </c>
      <c r="L387" s="29">
        <f>IF(G387&gt;0,K387/G387,"")</f>
        <v/>
      </c>
      <c r="M387" s="6" t="n"/>
    </row>
    <row r="388">
      <c r="A388" s="32" t="n"/>
      <c r="B388" s="6" t="n"/>
      <c r="C388">
        <f>IF(B388="","",IFERROR(VLOOKUP(B388,'Recetas y precios'!$A$5:$B$54,2,FALSE),""))</f>
        <v/>
      </c>
      <c r="D388" s="6" t="n"/>
      <c r="E388" s="6" t="n"/>
      <c r="F388" s="11" t="n"/>
      <c r="G388" s="17">
        <f>E388*F388</f>
        <v/>
      </c>
      <c r="H388" s="17">
        <f>IF(B388="",0,E388*IFERROR(VLOOKUP(B388,'Recetas y precios'!$A$5:$U$54,21,FALSE),0))</f>
        <v/>
      </c>
      <c r="I388" s="27" t="n"/>
      <c r="J388" s="17">
        <f>G388*I388</f>
        <v/>
      </c>
      <c r="K388" s="17">
        <f>G388-H388-J388</f>
        <v/>
      </c>
      <c r="L388" s="29">
        <f>IF(G388&gt;0,K388/G388,"")</f>
        <v/>
      </c>
      <c r="M388" s="6" t="n"/>
    </row>
    <row r="389">
      <c r="A389" s="32" t="n"/>
      <c r="B389" s="6" t="n"/>
      <c r="C389">
        <f>IF(B389="","",IFERROR(VLOOKUP(B389,'Recetas y precios'!$A$5:$B$54,2,FALSE),""))</f>
        <v/>
      </c>
      <c r="D389" s="6" t="n"/>
      <c r="E389" s="6" t="n"/>
      <c r="F389" s="11" t="n"/>
      <c r="G389" s="17">
        <f>E389*F389</f>
        <v/>
      </c>
      <c r="H389" s="17">
        <f>IF(B389="",0,E389*IFERROR(VLOOKUP(B389,'Recetas y precios'!$A$5:$U$54,21,FALSE),0))</f>
        <v/>
      </c>
      <c r="I389" s="27" t="n"/>
      <c r="J389" s="17">
        <f>G389*I389</f>
        <v/>
      </c>
      <c r="K389" s="17">
        <f>G389-H389-J389</f>
        <v/>
      </c>
      <c r="L389" s="29">
        <f>IF(G389&gt;0,K389/G389,"")</f>
        <v/>
      </c>
      <c r="M389" s="6" t="n"/>
    </row>
    <row r="390">
      <c r="A390" s="32" t="n"/>
      <c r="B390" s="6" t="n"/>
      <c r="C390">
        <f>IF(B390="","",IFERROR(VLOOKUP(B390,'Recetas y precios'!$A$5:$B$54,2,FALSE),""))</f>
        <v/>
      </c>
      <c r="D390" s="6" t="n"/>
      <c r="E390" s="6" t="n"/>
      <c r="F390" s="11" t="n"/>
      <c r="G390" s="17">
        <f>E390*F390</f>
        <v/>
      </c>
      <c r="H390" s="17">
        <f>IF(B390="",0,E390*IFERROR(VLOOKUP(B390,'Recetas y precios'!$A$5:$U$54,21,FALSE),0))</f>
        <v/>
      </c>
      <c r="I390" s="27" t="n"/>
      <c r="J390" s="17">
        <f>G390*I390</f>
        <v/>
      </c>
      <c r="K390" s="17">
        <f>G390-H390-J390</f>
        <v/>
      </c>
      <c r="L390" s="29">
        <f>IF(G390&gt;0,K390/G390,"")</f>
        <v/>
      </c>
      <c r="M390" s="6" t="n"/>
    </row>
    <row r="391">
      <c r="A391" s="32" t="n"/>
      <c r="B391" s="6" t="n"/>
      <c r="C391">
        <f>IF(B391="","",IFERROR(VLOOKUP(B391,'Recetas y precios'!$A$5:$B$54,2,FALSE),""))</f>
        <v/>
      </c>
      <c r="D391" s="6" t="n"/>
      <c r="E391" s="6" t="n"/>
      <c r="F391" s="11" t="n"/>
      <c r="G391" s="17">
        <f>E391*F391</f>
        <v/>
      </c>
      <c r="H391" s="17">
        <f>IF(B391="",0,E391*IFERROR(VLOOKUP(B391,'Recetas y precios'!$A$5:$U$54,21,FALSE),0))</f>
        <v/>
      </c>
      <c r="I391" s="27" t="n"/>
      <c r="J391" s="17">
        <f>G391*I391</f>
        <v/>
      </c>
      <c r="K391" s="17">
        <f>G391-H391-J391</f>
        <v/>
      </c>
      <c r="L391" s="29">
        <f>IF(G391&gt;0,K391/G391,"")</f>
        <v/>
      </c>
      <c r="M391" s="6" t="n"/>
    </row>
    <row r="392">
      <c r="A392" s="32" t="n"/>
      <c r="B392" s="6" t="n"/>
      <c r="C392">
        <f>IF(B392="","",IFERROR(VLOOKUP(B392,'Recetas y precios'!$A$5:$B$54,2,FALSE),""))</f>
        <v/>
      </c>
      <c r="D392" s="6" t="n"/>
      <c r="E392" s="6" t="n"/>
      <c r="F392" s="11" t="n"/>
      <c r="G392" s="17">
        <f>E392*F392</f>
        <v/>
      </c>
      <c r="H392" s="17">
        <f>IF(B392="",0,E392*IFERROR(VLOOKUP(B392,'Recetas y precios'!$A$5:$U$54,21,FALSE),0))</f>
        <v/>
      </c>
      <c r="I392" s="27" t="n"/>
      <c r="J392" s="17">
        <f>G392*I392</f>
        <v/>
      </c>
      <c r="K392" s="17">
        <f>G392-H392-J392</f>
        <v/>
      </c>
      <c r="L392" s="29">
        <f>IF(G392&gt;0,K392/G392,"")</f>
        <v/>
      </c>
      <c r="M392" s="6" t="n"/>
    </row>
    <row r="393">
      <c r="A393" s="32" t="n"/>
      <c r="B393" s="6" t="n"/>
      <c r="C393">
        <f>IF(B393="","",IFERROR(VLOOKUP(B393,'Recetas y precios'!$A$5:$B$54,2,FALSE),""))</f>
        <v/>
      </c>
      <c r="D393" s="6" t="n"/>
      <c r="E393" s="6" t="n"/>
      <c r="F393" s="11" t="n"/>
      <c r="G393" s="17">
        <f>E393*F393</f>
        <v/>
      </c>
      <c r="H393" s="17">
        <f>IF(B393="",0,E393*IFERROR(VLOOKUP(B393,'Recetas y precios'!$A$5:$U$54,21,FALSE),0))</f>
        <v/>
      </c>
      <c r="I393" s="27" t="n"/>
      <c r="J393" s="17">
        <f>G393*I393</f>
        <v/>
      </c>
      <c r="K393" s="17">
        <f>G393-H393-J393</f>
        <v/>
      </c>
      <c r="L393" s="29">
        <f>IF(G393&gt;0,K393/G393,"")</f>
        <v/>
      </c>
      <c r="M393" s="6" t="n"/>
    </row>
    <row r="394">
      <c r="A394" s="32" t="n"/>
      <c r="B394" s="6" t="n"/>
      <c r="C394">
        <f>IF(B394="","",IFERROR(VLOOKUP(B394,'Recetas y precios'!$A$5:$B$54,2,FALSE),""))</f>
        <v/>
      </c>
      <c r="D394" s="6" t="n"/>
      <c r="E394" s="6" t="n"/>
      <c r="F394" s="11" t="n"/>
      <c r="G394" s="17">
        <f>E394*F394</f>
        <v/>
      </c>
      <c r="H394" s="17">
        <f>IF(B394="",0,E394*IFERROR(VLOOKUP(B394,'Recetas y precios'!$A$5:$U$54,21,FALSE),0))</f>
        <v/>
      </c>
      <c r="I394" s="27" t="n"/>
      <c r="J394" s="17">
        <f>G394*I394</f>
        <v/>
      </c>
      <c r="K394" s="17">
        <f>G394-H394-J394</f>
        <v/>
      </c>
      <c r="L394" s="29">
        <f>IF(G394&gt;0,K394/G394,"")</f>
        <v/>
      </c>
      <c r="M394" s="6" t="n"/>
    </row>
    <row r="395">
      <c r="A395" s="32" t="n"/>
      <c r="B395" s="6" t="n"/>
      <c r="C395">
        <f>IF(B395="","",IFERROR(VLOOKUP(B395,'Recetas y precios'!$A$5:$B$54,2,FALSE),""))</f>
        <v/>
      </c>
      <c r="D395" s="6" t="n"/>
      <c r="E395" s="6" t="n"/>
      <c r="F395" s="11" t="n"/>
      <c r="G395" s="17">
        <f>E395*F395</f>
        <v/>
      </c>
      <c r="H395" s="17">
        <f>IF(B395="",0,E395*IFERROR(VLOOKUP(B395,'Recetas y precios'!$A$5:$U$54,21,FALSE),0))</f>
        <v/>
      </c>
      <c r="I395" s="27" t="n"/>
      <c r="J395" s="17">
        <f>G395*I395</f>
        <v/>
      </c>
      <c r="K395" s="17">
        <f>G395-H395-J395</f>
        <v/>
      </c>
      <c r="L395" s="29">
        <f>IF(G395&gt;0,K395/G395,"")</f>
        <v/>
      </c>
      <c r="M395" s="6" t="n"/>
    </row>
    <row r="396">
      <c r="A396" s="32" t="n"/>
      <c r="B396" s="6" t="n"/>
      <c r="C396">
        <f>IF(B396="","",IFERROR(VLOOKUP(B396,'Recetas y precios'!$A$5:$B$54,2,FALSE),""))</f>
        <v/>
      </c>
      <c r="D396" s="6" t="n"/>
      <c r="E396" s="6" t="n"/>
      <c r="F396" s="11" t="n"/>
      <c r="G396" s="17">
        <f>E396*F396</f>
        <v/>
      </c>
      <c r="H396" s="17">
        <f>IF(B396="",0,E396*IFERROR(VLOOKUP(B396,'Recetas y precios'!$A$5:$U$54,21,FALSE),0))</f>
        <v/>
      </c>
      <c r="I396" s="27" t="n"/>
      <c r="J396" s="17">
        <f>G396*I396</f>
        <v/>
      </c>
      <c r="K396" s="17">
        <f>G396-H396-J396</f>
        <v/>
      </c>
      <c r="L396" s="29">
        <f>IF(G396&gt;0,K396/G396,"")</f>
        <v/>
      </c>
      <c r="M396" s="6" t="n"/>
    </row>
    <row r="397">
      <c r="A397" s="32" t="n"/>
      <c r="B397" s="6" t="n"/>
      <c r="C397">
        <f>IF(B397="","",IFERROR(VLOOKUP(B397,'Recetas y precios'!$A$5:$B$54,2,FALSE),""))</f>
        <v/>
      </c>
      <c r="D397" s="6" t="n"/>
      <c r="E397" s="6" t="n"/>
      <c r="F397" s="11" t="n"/>
      <c r="G397" s="17">
        <f>E397*F397</f>
        <v/>
      </c>
      <c r="H397" s="17">
        <f>IF(B397="",0,E397*IFERROR(VLOOKUP(B397,'Recetas y precios'!$A$5:$U$54,21,FALSE),0))</f>
        <v/>
      </c>
      <c r="I397" s="27" t="n"/>
      <c r="J397" s="17">
        <f>G397*I397</f>
        <v/>
      </c>
      <c r="K397" s="17">
        <f>G397-H397-J397</f>
        <v/>
      </c>
      <c r="L397" s="29">
        <f>IF(G397&gt;0,K397/G397,"")</f>
        <v/>
      </c>
      <c r="M397" s="6" t="n"/>
    </row>
    <row r="398">
      <c r="A398" s="32" t="n"/>
      <c r="B398" s="6" t="n"/>
      <c r="C398">
        <f>IF(B398="","",IFERROR(VLOOKUP(B398,'Recetas y precios'!$A$5:$B$54,2,FALSE),""))</f>
        <v/>
      </c>
      <c r="D398" s="6" t="n"/>
      <c r="E398" s="6" t="n"/>
      <c r="F398" s="11" t="n"/>
      <c r="G398" s="17">
        <f>E398*F398</f>
        <v/>
      </c>
      <c r="H398" s="17">
        <f>IF(B398="",0,E398*IFERROR(VLOOKUP(B398,'Recetas y precios'!$A$5:$U$54,21,FALSE),0))</f>
        <v/>
      </c>
      <c r="I398" s="27" t="n"/>
      <c r="J398" s="17">
        <f>G398*I398</f>
        <v/>
      </c>
      <c r="K398" s="17">
        <f>G398-H398-J398</f>
        <v/>
      </c>
      <c r="L398" s="29">
        <f>IF(G398&gt;0,K398/G398,"")</f>
        <v/>
      </c>
      <c r="M398" s="6" t="n"/>
    </row>
    <row r="399">
      <c r="A399" s="32" t="n"/>
      <c r="B399" s="6" t="n"/>
      <c r="C399">
        <f>IF(B399="","",IFERROR(VLOOKUP(B399,'Recetas y precios'!$A$5:$B$54,2,FALSE),""))</f>
        <v/>
      </c>
      <c r="D399" s="6" t="n"/>
      <c r="E399" s="6" t="n"/>
      <c r="F399" s="11" t="n"/>
      <c r="G399" s="17">
        <f>E399*F399</f>
        <v/>
      </c>
      <c r="H399" s="17">
        <f>IF(B399="",0,E399*IFERROR(VLOOKUP(B399,'Recetas y precios'!$A$5:$U$54,21,FALSE),0))</f>
        <v/>
      </c>
      <c r="I399" s="27" t="n"/>
      <c r="J399" s="17">
        <f>G399*I399</f>
        <v/>
      </c>
      <c r="K399" s="17">
        <f>G399-H399-J399</f>
        <v/>
      </c>
      <c r="L399" s="29">
        <f>IF(G399&gt;0,K399/G399,"")</f>
        <v/>
      </c>
      <c r="M399" s="6" t="n"/>
    </row>
    <row r="400">
      <c r="A400" s="32" t="n"/>
      <c r="B400" s="6" t="n"/>
      <c r="C400">
        <f>IF(B400="","",IFERROR(VLOOKUP(B400,'Recetas y precios'!$A$5:$B$54,2,FALSE),""))</f>
        <v/>
      </c>
      <c r="D400" s="6" t="n"/>
      <c r="E400" s="6" t="n"/>
      <c r="F400" s="11" t="n"/>
      <c r="G400" s="17">
        <f>E400*F400</f>
        <v/>
      </c>
      <c r="H400" s="17">
        <f>IF(B400="",0,E400*IFERROR(VLOOKUP(B400,'Recetas y precios'!$A$5:$U$54,21,FALSE),0))</f>
        <v/>
      </c>
      <c r="I400" s="27" t="n"/>
      <c r="J400" s="17">
        <f>G400*I400</f>
        <v/>
      </c>
      <c r="K400" s="17">
        <f>G400-H400-J400</f>
        <v/>
      </c>
      <c r="L400" s="29">
        <f>IF(G400&gt;0,K400/G400,"")</f>
        <v/>
      </c>
      <c r="M400" s="6" t="n"/>
    </row>
    <row r="401">
      <c r="A401" s="32" t="n"/>
      <c r="B401" s="6" t="n"/>
      <c r="C401">
        <f>IF(B401="","",IFERROR(VLOOKUP(B401,'Recetas y precios'!$A$5:$B$54,2,FALSE),""))</f>
        <v/>
      </c>
      <c r="D401" s="6" t="n"/>
      <c r="E401" s="6" t="n"/>
      <c r="F401" s="11" t="n"/>
      <c r="G401" s="17">
        <f>E401*F401</f>
        <v/>
      </c>
      <c r="H401" s="17">
        <f>IF(B401="",0,E401*IFERROR(VLOOKUP(B401,'Recetas y precios'!$A$5:$U$54,21,FALSE),0))</f>
        <v/>
      </c>
      <c r="I401" s="27" t="n"/>
      <c r="J401" s="17">
        <f>G401*I401</f>
        <v/>
      </c>
      <c r="K401" s="17">
        <f>G401-H401-J401</f>
        <v/>
      </c>
      <c r="L401" s="29">
        <f>IF(G401&gt;0,K401/G401,"")</f>
        <v/>
      </c>
      <c r="M401" s="6" t="n"/>
    </row>
    <row r="402">
      <c r="A402" s="32" t="n"/>
      <c r="B402" s="6" t="n"/>
      <c r="C402">
        <f>IF(B402="","",IFERROR(VLOOKUP(B402,'Recetas y precios'!$A$5:$B$54,2,FALSE),""))</f>
        <v/>
      </c>
      <c r="D402" s="6" t="n"/>
      <c r="E402" s="6" t="n"/>
      <c r="F402" s="11" t="n"/>
      <c r="G402" s="17">
        <f>E402*F402</f>
        <v/>
      </c>
      <c r="H402" s="17">
        <f>IF(B402="",0,E402*IFERROR(VLOOKUP(B402,'Recetas y precios'!$A$5:$U$54,21,FALSE),0))</f>
        <v/>
      </c>
      <c r="I402" s="27" t="n"/>
      <c r="J402" s="17">
        <f>G402*I402</f>
        <v/>
      </c>
      <c r="K402" s="17">
        <f>G402-H402-J402</f>
        <v/>
      </c>
      <c r="L402" s="29">
        <f>IF(G402&gt;0,K402/G402,"")</f>
        <v/>
      </c>
      <c r="M402" s="6" t="n"/>
    </row>
    <row r="403">
      <c r="A403" s="32" t="n"/>
      <c r="B403" s="6" t="n"/>
      <c r="C403">
        <f>IF(B403="","",IFERROR(VLOOKUP(B403,'Recetas y precios'!$A$5:$B$54,2,FALSE),""))</f>
        <v/>
      </c>
      <c r="D403" s="6" t="n"/>
      <c r="E403" s="6" t="n"/>
      <c r="F403" s="11" t="n"/>
      <c r="G403" s="17">
        <f>E403*F403</f>
        <v/>
      </c>
      <c r="H403" s="17">
        <f>IF(B403="",0,E403*IFERROR(VLOOKUP(B403,'Recetas y precios'!$A$5:$U$54,21,FALSE),0))</f>
        <v/>
      </c>
      <c r="I403" s="27" t="n"/>
      <c r="J403" s="17">
        <f>G403*I403</f>
        <v/>
      </c>
      <c r="K403" s="17">
        <f>G403-H403-J403</f>
        <v/>
      </c>
      <c r="L403" s="29">
        <f>IF(G403&gt;0,K403/G403,"")</f>
        <v/>
      </c>
      <c r="M403" s="6" t="n"/>
    </row>
    <row r="404">
      <c r="A404" s="32" t="n"/>
      <c r="B404" s="6" t="n"/>
      <c r="C404">
        <f>IF(B404="","",IFERROR(VLOOKUP(B404,'Recetas y precios'!$A$5:$B$54,2,FALSE),""))</f>
        <v/>
      </c>
      <c r="D404" s="6" t="n"/>
      <c r="E404" s="6" t="n"/>
      <c r="F404" s="11" t="n"/>
      <c r="G404" s="17">
        <f>E404*F404</f>
        <v/>
      </c>
      <c r="H404" s="17">
        <f>IF(B404="",0,E404*IFERROR(VLOOKUP(B404,'Recetas y precios'!$A$5:$U$54,21,FALSE),0))</f>
        <v/>
      </c>
      <c r="I404" s="27" t="n"/>
      <c r="J404" s="17">
        <f>G404*I404</f>
        <v/>
      </c>
      <c r="K404" s="17">
        <f>G404-H404-J404</f>
        <v/>
      </c>
      <c r="L404" s="29">
        <f>IF(G404&gt;0,K404/G404,"")</f>
        <v/>
      </c>
      <c r="M404" s="6" t="n"/>
    </row>
    <row r="405">
      <c r="A405" s="32" t="n"/>
      <c r="B405" s="6" t="n"/>
      <c r="C405">
        <f>IF(B405="","",IFERROR(VLOOKUP(B405,'Recetas y precios'!$A$5:$B$54,2,FALSE),""))</f>
        <v/>
      </c>
      <c r="D405" s="6" t="n"/>
      <c r="E405" s="6" t="n"/>
      <c r="F405" s="11" t="n"/>
      <c r="G405" s="17">
        <f>E405*F405</f>
        <v/>
      </c>
      <c r="H405" s="17">
        <f>IF(B405="",0,E405*IFERROR(VLOOKUP(B405,'Recetas y precios'!$A$5:$U$54,21,FALSE),0))</f>
        <v/>
      </c>
      <c r="I405" s="27" t="n"/>
      <c r="J405" s="17">
        <f>G405*I405</f>
        <v/>
      </c>
      <c r="K405" s="17">
        <f>G405-H405-J405</f>
        <v/>
      </c>
      <c r="L405" s="29">
        <f>IF(G405&gt;0,K405/G405,"")</f>
        <v/>
      </c>
      <c r="M405" s="6" t="n"/>
    </row>
    <row r="406">
      <c r="A406" s="32" t="n"/>
      <c r="B406" s="6" t="n"/>
      <c r="C406">
        <f>IF(B406="","",IFERROR(VLOOKUP(B406,'Recetas y precios'!$A$5:$B$54,2,FALSE),""))</f>
        <v/>
      </c>
      <c r="D406" s="6" t="n"/>
      <c r="E406" s="6" t="n"/>
      <c r="F406" s="11" t="n"/>
      <c r="G406" s="17">
        <f>E406*F406</f>
        <v/>
      </c>
      <c r="H406" s="17">
        <f>IF(B406="",0,E406*IFERROR(VLOOKUP(B406,'Recetas y precios'!$A$5:$U$54,21,FALSE),0))</f>
        <v/>
      </c>
      <c r="I406" s="27" t="n"/>
      <c r="J406" s="17">
        <f>G406*I406</f>
        <v/>
      </c>
      <c r="K406" s="17">
        <f>G406-H406-J406</f>
        <v/>
      </c>
      <c r="L406" s="29">
        <f>IF(G406&gt;0,K406/G406,"")</f>
        <v/>
      </c>
      <c r="M406" s="6" t="n"/>
    </row>
    <row r="407">
      <c r="A407" s="32" t="n"/>
      <c r="B407" s="6" t="n"/>
      <c r="C407">
        <f>IF(B407="","",IFERROR(VLOOKUP(B407,'Recetas y precios'!$A$5:$B$54,2,FALSE),""))</f>
        <v/>
      </c>
      <c r="D407" s="6" t="n"/>
      <c r="E407" s="6" t="n"/>
      <c r="F407" s="11" t="n"/>
      <c r="G407" s="17">
        <f>E407*F407</f>
        <v/>
      </c>
      <c r="H407" s="17">
        <f>IF(B407="",0,E407*IFERROR(VLOOKUP(B407,'Recetas y precios'!$A$5:$U$54,21,FALSE),0))</f>
        <v/>
      </c>
      <c r="I407" s="27" t="n"/>
      <c r="J407" s="17">
        <f>G407*I407</f>
        <v/>
      </c>
      <c r="K407" s="17">
        <f>G407-H407-J407</f>
        <v/>
      </c>
      <c r="L407" s="29">
        <f>IF(G407&gt;0,K407/G407,"")</f>
        <v/>
      </c>
      <c r="M407" s="6" t="n"/>
    </row>
    <row r="408">
      <c r="A408" s="32" t="n"/>
      <c r="B408" s="6" t="n"/>
      <c r="C408">
        <f>IF(B408="","",IFERROR(VLOOKUP(B408,'Recetas y precios'!$A$5:$B$54,2,FALSE),""))</f>
        <v/>
      </c>
      <c r="D408" s="6" t="n"/>
      <c r="E408" s="6" t="n"/>
      <c r="F408" s="11" t="n"/>
      <c r="G408" s="17">
        <f>E408*F408</f>
        <v/>
      </c>
      <c r="H408" s="17">
        <f>IF(B408="",0,E408*IFERROR(VLOOKUP(B408,'Recetas y precios'!$A$5:$U$54,21,FALSE),0))</f>
        <v/>
      </c>
      <c r="I408" s="27" t="n"/>
      <c r="J408" s="17">
        <f>G408*I408</f>
        <v/>
      </c>
      <c r="K408" s="17">
        <f>G408-H408-J408</f>
        <v/>
      </c>
      <c r="L408" s="29">
        <f>IF(G408&gt;0,K408/G408,"")</f>
        <v/>
      </c>
      <c r="M408" s="6" t="n"/>
    </row>
    <row r="409">
      <c r="A409" s="32" t="n"/>
      <c r="B409" s="6" t="n"/>
      <c r="C409">
        <f>IF(B409="","",IFERROR(VLOOKUP(B409,'Recetas y precios'!$A$5:$B$54,2,FALSE),""))</f>
        <v/>
      </c>
      <c r="D409" s="6" t="n"/>
      <c r="E409" s="6" t="n"/>
      <c r="F409" s="11" t="n"/>
      <c r="G409" s="17">
        <f>E409*F409</f>
        <v/>
      </c>
      <c r="H409" s="17">
        <f>IF(B409="",0,E409*IFERROR(VLOOKUP(B409,'Recetas y precios'!$A$5:$U$54,21,FALSE),0))</f>
        <v/>
      </c>
      <c r="I409" s="27" t="n"/>
      <c r="J409" s="17">
        <f>G409*I409</f>
        <v/>
      </c>
      <c r="K409" s="17">
        <f>G409-H409-J409</f>
        <v/>
      </c>
      <c r="L409" s="29">
        <f>IF(G409&gt;0,K409/G409,"")</f>
        <v/>
      </c>
      <c r="M409" s="6" t="n"/>
    </row>
    <row r="410">
      <c r="A410" s="32" t="n"/>
      <c r="B410" s="6" t="n"/>
      <c r="C410">
        <f>IF(B410="","",IFERROR(VLOOKUP(B410,'Recetas y precios'!$A$5:$B$54,2,FALSE),""))</f>
        <v/>
      </c>
      <c r="D410" s="6" t="n"/>
      <c r="E410" s="6" t="n"/>
      <c r="F410" s="11" t="n"/>
      <c r="G410" s="17">
        <f>E410*F410</f>
        <v/>
      </c>
      <c r="H410" s="17">
        <f>IF(B410="",0,E410*IFERROR(VLOOKUP(B410,'Recetas y precios'!$A$5:$U$54,21,FALSE),0))</f>
        <v/>
      </c>
      <c r="I410" s="27" t="n"/>
      <c r="J410" s="17">
        <f>G410*I410</f>
        <v/>
      </c>
      <c r="K410" s="17">
        <f>G410-H410-J410</f>
        <v/>
      </c>
      <c r="L410" s="29">
        <f>IF(G410&gt;0,K410/G410,"")</f>
        <v/>
      </c>
      <c r="M410" s="6" t="n"/>
    </row>
    <row r="411">
      <c r="A411" s="32" t="n"/>
      <c r="B411" s="6" t="n"/>
      <c r="C411">
        <f>IF(B411="","",IFERROR(VLOOKUP(B411,'Recetas y precios'!$A$5:$B$54,2,FALSE),""))</f>
        <v/>
      </c>
      <c r="D411" s="6" t="n"/>
      <c r="E411" s="6" t="n"/>
      <c r="F411" s="11" t="n"/>
      <c r="G411" s="17">
        <f>E411*F411</f>
        <v/>
      </c>
      <c r="H411" s="17">
        <f>IF(B411="",0,E411*IFERROR(VLOOKUP(B411,'Recetas y precios'!$A$5:$U$54,21,FALSE),0))</f>
        <v/>
      </c>
      <c r="I411" s="27" t="n"/>
      <c r="J411" s="17">
        <f>G411*I411</f>
        <v/>
      </c>
      <c r="K411" s="17">
        <f>G411-H411-J411</f>
        <v/>
      </c>
      <c r="L411" s="29">
        <f>IF(G411&gt;0,K411/G411,"")</f>
        <v/>
      </c>
      <c r="M411" s="6" t="n"/>
    </row>
    <row r="412">
      <c r="A412" s="32" t="n"/>
      <c r="B412" s="6" t="n"/>
      <c r="C412">
        <f>IF(B412="","",IFERROR(VLOOKUP(B412,'Recetas y precios'!$A$5:$B$54,2,FALSE),""))</f>
        <v/>
      </c>
      <c r="D412" s="6" t="n"/>
      <c r="E412" s="6" t="n"/>
      <c r="F412" s="11" t="n"/>
      <c r="G412" s="17">
        <f>E412*F412</f>
        <v/>
      </c>
      <c r="H412" s="17">
        <f>IF(B412="",0,E412*IFERROR(VLOOKUP(B412,'Recetas y precios'!$A$5:$U$54,21,FALSE),0))</f>
        <v/>
      </c>
      <c r="I412" s="27" t="n"/>
      <c r="J412" s="17">
        <f>G412*I412</f>
        <v/>
      </c>
      <c r="K412" s="17">
        <f>G412-H412-J412</f>
        <v/>
      </c>
      <c r="L412" s="29">
        <f>IF(G412&gt;0,K412/G412,"")</f>
        <v/>
      </c>
      <c r="M412" s="6" t="n"/>
    </row>
    <row r="413">
      <c r="A413" s="32" t="n"/>
      <c r="B413" s="6" t="n"/>
      <c r="C413">
        <f>IF(B413="","",IFERROR(VLOOKUP(B413,'Recetas y precios'!$A$5:$B$54,2,FALSE),""))</f>
        <v/>
      </c>
      <c r="D413" s="6" t="n"/>
      <c r="E413" s="6" t="n"/>
      <c r="F413" s="11" t="n"/>
      <c r="G413" s="17">
        <f>E413*F413</f>
        <v/>
      </c>
      <c r="H413" s="17">
        <f>IF(B413="",0,E413*IFERROR(VLOOKUP(B413,'Recetas y precios'!$A$5:$U$54,21,FALSE),0))</f>
        <v/>
      </c>
      <c r="I413" s="27" t="n"/>
      <c r="J413" s="17">
        <f>G413*I413</f>
        <v/>
      </c>
      <c r="K413" s="17">
        <f>G413-H413-J413</f>
        <v/>
      </c>
      <c r="L413" s="29">
        <f>IF(G413&gt;0,K413/G413,"")</f>
        <v/>
      </c>
      <c r="M413" s="6" t="n"/>
    </row>
    <row r="414">
      <c r="A414" s="32" t="n"/>
      <c r="B414" s="6" t="n"/>
      <c r="C414">
        <f>IF(B414="","",IFERROR(VLOOKUP(B414,'Recetas y precios'!$A$5:$B$54,2,FALSE),""))</f>
        <v/>
      </c>
      <c r="D414" s="6" t="n"/>
      <c r="E414" s="6" t="n"/>
      <c r="F414" s="11" t="n"/>
      <c r="G414" s="17">
        <f>E414*F414</f>
        <v/>
      </c>
      <c r="H414" s="17">
        <f>IF(B414="",0,E414*IFERROR(VLOOKUP(B414,'Recetas y precios'!$A$5:$U$54,21,FALSE),0))</f>
        <v/>
      </c>
      <c r="I414" s="27" t="n"/>
      <c r="J414" s="17">
        <f>G414*I414</f>
        <v/>
      </c>
      <c r="K414" s="17">
        <f>G414-H414-J414</f>
        <v/>
      </c>
      <c r="L414" s="29">
        <f>IF(G414&gt;0,K414/G414,"")</f>
        <v/>
      </c>
      <c r="M414" s="6" t="n"/>
    </row>
    <row r="415">
      <c r="A415" s="32" t="n"/>
      <c r="B415" s="6" t="n"/>
      <c r="C415">
        <f>IF(B415="","",IFERROR(VLOOKUP(B415,'Recetas y precios'!$A$5:$B$54,2,FALSE),""))</f>
        <v/>
      </c>
      <c r="D415" s="6" t="n"/>
      <c r="E415" s="6" t="n"/>
      <c r="F415" s="11" t="n"/>
      <c r="G415" s="17">
        <f>E415*F415</f>
        <v/>
      </c>
      <c r="H415" s="17">
        <f>IF(B415="",0,E415*IFERROR(VLOOKUP(B415,'Recetas y precios'!$A$5:$U$54,21,FALSE),0))</f>
        <v/>
      </c>
      <c r="I415" s="27" t="n"/>
      <c r="J415" s="17">
        <f>G415*I415</f>
        <v/>
      </c>
      <c r="K415" s="17">
        <f>G415-H415-J415</f>
        <v/>
      </c>
      <c r="L415" s="29">
        <f>IF(G415&gt;0,K415/G415,"")</f>
        <v/>
      </c>
      <c r="M415" s="6" t="n"/>
    </row>
    <row r="416">
      <c r="A416" s="32" t="n"/>
      <c r="B416" s="6" t="n"/>
      <c r="C416">
        <f>IF(B416="","",IFERROR(VLOOKUP(B416,'Recetas y precios'!$A$5:$B$54,2,FALSE),""))</f>
        <v/>
      </c>
      <c r="D416" s="6" t="n"/>
      <c r="E416" s="6" t="n"/>
      <c r="F416" s="11" t="n"/>
      <c r="G416" s="17">
        <f>E416*F416</f>
        <v/>
      </c>
      <c r="H416" s="17">
        <f>IF(B416="",0,E416*IFERROR(VLOOKUP(B416,'Recetas y precios'!$A$5:$U$54,21,FALSE),0))</f>
        <v/>
      </c>
      <c r="I416" s="27" t="n"/>
      <c r="J416" s="17">
        <f>G416*I416</f>
        <v/>
      </c>
      <c r="K416" s="17">
        <f>G416-H416-J416</f>
        <v/>
      </c>
      <c r="L416" s="29">
        <f>IF(G416&gt;0,K416/G416,"")</f>
        <v/>
      </c>
      <c r="M416" s="6" t="n"/>
    </row>
    <row r="417">
      <c r="A417" s="32" t="n"/>
      <c r="B417" s="6" t="n"/>
      <c r="C417">
        <f>IF(B417="","",IFERROR(VLOOKUP(B417,'Recetas y precios'!$A$5:$B$54,2,FALSE),""))</f>
        <v/>
      </c>
      <c r="D417" s="6" t="n"/>
      <c r="E417" s="6" t="n"/>
      <c r="F417" s="11" t="n"/>
      <c r="G417" s="17">
        <f>E417*F417</f>
        <v/>
      </c>
      <c r="H417" s="17">
        <f>IF(B417="",0,E417*IFERROR(VLOOKUP(B417,'Recetas y precios'!$A$5:$U$54,21,FALSE),0))</f>
        <v/>
      </c>
      <c r="I417" s="27" t="n"/>
      <c r="J417" s="17">
        <f>G417*I417</f>
        <v/>
      </c>
      <c r="K417" s="17">
        <f>G417-H417-J417</f>
        <v/>
      </c>
      <c r="L417" s="29">
        <f>IF(G417&gt;0,K417/G417,"")</f>
        <v/>
      </c>
      <c r="M417" s="6" t="n"/>
    </row>
    <row r="418">
      <c r="A418" s="32" t="n"/>
      <c r="B418" s="6" t="n"/>
      <c r="C418">
        <f>IF(B418="","",IFERROR(VLOOKUP(B418,'Recetas y precios'!$A$5:$B$54,2,FALSE),""))</f>
        <v/>
      </c>
      <c r="D418" s="6" t="n"/>
      <c r="E418" s="6" t="n"/>
      <c r="F418" s="11" t="n"/>
      <c r="G418" s="17">
        <f>E418*F418</f>
        <v/>
      </c>
      <c r="H418" s="17">
        <f>IF(B418="",0,E418*IFERROR(VLOOKUP(B418,'Recetas y precios'!$A$5:$U$54,21,FALSE),0))</f>
        <v/>
      </c>
      <c r="I418" s="27" t="n"/>
      <c r="J418" s="17">
        <f>G418*I418</f>
        <v/>
      </c>
      <c r="K418" s="17">
        <f>G418-H418-J418</f>
        <v/>
      </c>
      <c r="L418" s="29">
        <f>IF(G418&gt;0,K418/G418,"")</f>
        <v/>
      </c>
      <c r="M418" s="6" t="n"/>
    </row>
    <row r="419">
      <c r="A419" s="32" t="n"/>
      <c r="B419" s="6" t="n"/>
      <c r="C419">
        <f>IF(B419="","",IFERROR(VLOOKUP(B419,'Recetas y precios'!$A$5:$B$54,2,FALSE),""))</f>
        <v/>
      </c>
      <c r="D419" s="6" t="n"/>
      <c r="E419" s="6" t="n"/>
      <c r="F419" s="11" t="n"/>
      <c r="G419" s="17">
        <f>E419*F419</f>
        <v/>
      </c>
      <c r="H419" s="17">
        <f>IF(B419="",0,E419*IFERROR(VLOOKUP(B419,'Recetas y precios'!$A$5:$U$54,21,FALSE),0))</f>
        <v/>
      </c>
      <c r="I419" s="27" t="n"/>
      <c r="J419" s="17">
        <f>G419*I419</f>
        <v/>
      </c>
      <c r="K419" s="17">
        <f>G419-H419-J419</f>
        <v/>
      </c>
      <c r="L419" s="29">
        <f>IF(G419&gt;0,K419/G419,"")</f>
        <v/>
      </c>
      <c r="M419" s="6" t="n"/>
    </row>
    <row r="420">
      <c r="A420" s="32" t="n"/>
      <c r="B420" s="6" t="n"/>
      <c r="C420">
        <f>IF(B420="","",IFERROR(VLOOKUP(B420,'Recetas y precios'!$A$5:$B$54,2,FALSE),""))</f>
        <v/>
      </c>
      <c r="D420" s="6" t="n"/>
      <c r="E420" s="6" t="n"/>
      <c r="F420" s="11" t="n"/>
      <c r="G420" s="17">
        <f>E420*F420</f>
        <v/>
      </c>
      <c r="H420" s="17">
        <f>IF(B420="",0,E420*IFERROR(VLOOKUP(B420,'Recetas y precios'!$A$5:$U$54,21,FALSE),0))</f>
        <v/>
      </c>
      <c r="I420" s="27" t="n"/>
      <c r="J420" s="17">
        <f>G420*I420</f>
        <v/>
      </c>
      <c r="K420" s="17">
        <f>G420-H420-J420</f>
        <v/>
      </c>
      <c r="L420" s="29">
        <f>IF(G420&gt;0,K420/G420,"")</f>
        <v/>
      </c>
      <c r="M420" s="6" t="n"/>
    </row>
    <row r="421">
      <c r="A421" s="32" t="n"/>
      <c r="B421" s="6" t="n"/>
      <c r="C421">
        <f>IF(B421="","",IFERROR(VLOOKUP(B421,'Recetas y precios'!$A$5:$B$54,2,FALSE),""))</f>
        <v/>
      </c>
      <c r="D421" s="6" t="n"/>
      <c r="E421" s="6" t="n"/>
      <c r="F421" s="11" t="n"/>
      <c r="G421" s="17">
        <f>E421*F421</f>
        <v/>
      </c>
      <c r="H421" s="17">
        <f>IF(B421="",0,E421*IFERROR(VLOOKUP(B421,'Recetas y precios'!$A$5:$U$54,21,FALSE),0))</f>
        <v/>
      </c>
      <c r="I421" s="27" t="n"/>
      <c r="J421" s="17">
        <f>G421*I421</f>
        <v/>
      </c>
      <c r="K421" s="17">
        <f>G421-H421-J421</f>
        <v/>
      </c>
      <c r="L421" s="29">
        <f>IF(G421&gt;0,K421/G421,"")</f>
        <v/>
      </c>
      <c r="M421" s="6" t="n"/>
    </row>
    <row r="422">
      <c r="A422" s="32" t="n"/>
      <c r="B422" s="6" t="n"/>
      <c r="C422">
        <f>IF(B422="","",IFERROR(VLOOKUP(B422,'Recetas y precios'!$A$5:$B$54,2,FALSE),""))</f>
        <v/>
      </c>
      <c r="D422" s="6" t="n"/>
      <c r="E422" s="6" t="n"/>
      <c r="F422" s="11" t="n"/>
      <c r="G422" s="17">
        <f>E422*F422</f>
        <v/>
      </c>
      <c r="H422" s="17">
        <f>IF(B422="",0,E422*IFERROR(VLOOKUP(B422,'Recetas y precios'!$A$5:$U$54,21,FALSE),0))</f>
        <v/>
      </c>
      <c r="I422" s="27" t="n"/>
      <c r="J422" s="17">
        <f>G422*I422</f>
        <v/>
      </c>
      <c r="K422" s="17">
        <f>G422-H422-J422</f>
        <v/>
      </c>
      <c r="L422" s="29">
        <f>IF(G422&gt;0,K422/G422,"")</f>
        <v/>
      </c>
      <c r="M422" s="6" t="n"/>
    </row>
    <row r="423">
      <c r="A423" s="32" t="n"/>
      <c r="B423" s="6" t="n"/>
      <c r="C423">
        <f>IF(B423="","",IFERROR(VLOOKUP(B423,'Recetas y precios'!$A$5:$B$54,2,FALSE),""))</f>
        <v/>
      </c>
      <c r="D423" s="6" t="n"/>
      <c r="E423" s="6" t="n"/>
      <c r="F423" s="11" t="n"/>
      <c r="G423" s="17">
        <f>E423*F423</f>
        <v/>
      </c>
      <c r="H423" s="17">
        <f>IF(B423="",0,E423*IFERROR(VLOOKUP(B423,'Recetas y precios'!$A$5:$U$54,21,FALSE),0))</f>
        <v/>
      </c>
      <c r="I423" s="27" t="n"/>
      <c r="J423" s="17">
        <f>G423*I423</f>
        <v/>
      </c>
      <c r="K423" s="17">
        <f>G423-H423-J423</f>
        <v/>
      </c>
      <c r="L423" s="29">
        <f>IF(G423&gt;0,K423/G423,"")</f>
        <v/>
      </c>
      <c r="M423" s="6" t="n"/>
    </row>
    <row r="424">
      <c r="A424" s="32" t="n"/>
      <c r="B424" s="6" t="n"/>
      <c r="C424">
        <f>IF(B424="","",IFERROR(VLOOKUP(B424,'Recetas y precios'!$A$5:$B$54,2,FALSE),""))</f>
        <v/>
      </c>
      <c r="D424" s="6" t="n"/>
      <c r="E424" s="6" t="n"/>
      <c r="F424" s="11" t="n"/>
      <c r="G424" s="17">
        <f>E424*F424</f>
        <v/>
      </c>
      <c r="H424" s="17">
        <f>IF(B424="",0,E424*IFERROR(VLOOKUP(B424,'Recetas y precios'!$A$5:$U$54,21,FALSE),0))</f>
        <v/>
      </c>
      <c r="I424" s="27" t="n"/>
      <c r="J424" s="17">
        <f>G424*I424</f>
        <v/>
      </c>
      <c r="K424" s="17">
        <f>G424-H424-J424</f>
        <v/>
      </c>
      <c r="L424" s="29">
        <f>IF(G424&gt;0,K424/G424,"")</f>
        <v/>
      </c>
      <c r="M424" s="6" t="n"/>
    </row>
    <row r="425">
      <c r="A425" s="32" t="n"/>
      <c r="B425" s="6" t="n"/>
      <c r="C425">
        <f>IF(B425="","",IFERROR(VLOOKUP(B425,'Recetas y precios'!$A$5:$B$54,2,FALSE),""))</f>
        <v/>
      </c>
      <c r="D425" s="6" t="n"/>
      <c r="E425" s="6" t="n"/>
      <c r="F425" s="11" t="n"/>
      <c r="G425" s="17">
        <f>E425*F425</f>
        <v/>
      </c>
      <c r="H425" s="17">
        <f>IF(B425="",0,E425*IFERROR(VLOOKUP(B425,'Recetas y precios'!$A$5:$U$54,21,FALSE),0))</f>
        <v/>
      </c>
      <c r="I425" s="27" t="n"/>
      <c r="J425" s="17">
        <f>G425*I425</f>
        <v/>
      </c>
      <c r="K425" s="17">
        <f>G425-H425-J425</f>
        <v/>
      </c>
      <c r="L425" s="29">
        <f>IF(G425&gt;0,K425/G425,"")</f>
        <v/>
      </c>
      <c r="M425" s="6" t="n"/>
    </row>
    <row r="426">
      <c r="A426" s="32" t="n"/>
      <c r="B426" s="6" t="n"/>
      <c r="C426">
        <f>IF(B426="","",IFERROR(VLOOKUP(B426,'Recetas y precios'!$A$5:$B$54,2,FALSE),""))</f>
        <v/>
      </c>
      <c r="D426" s="6" t="n"/>
      <c r="E426" s="6" t="n"/>
      <c r="F426" s="11" t="n"/>
      <c r="G426" s="17">
        <f>E426*F426</f>
        <v/>
      </c>
      <c r="H426" s="17">
        <f>IF(B426="",0,E426*IFERROR(VLOOKUP(B426,'Recetas y precios'!$A$5:$U$54,21,FALSE),0))</f>
        <v/>
      </c>
      <c r="I426" s="27" t="n"/>
      <c r="J426" s="17">
        <f>G426*I426</f>
        <v/>
      </c>
      <c r="K426" s="17">
        <f>G426-H426-J426</f>
        <v/>
      </c>
      <c r="L426" s="29">
        <f>IF(G426&gt;0,K426/G426,"")</f>
        <v/>
      </c>
      <c r="M426" s="6" t="n"/>
    </row>
    <row r="427">
      <c r="A427" s="32" t="n"/>
      <c r="B427" s="6" t="n"/>
      <c r="C427">
        <f>IF(B427="","",IFERROR(VLOOKUP(B427,'Recetas y precios'!$A$5:$B$54,2,FALSE),""))</f>
        <v/>
      </c>
      <c r="D427" s="6" t="n"/>
      <c r="E427" s="6" t="n"/>
      <c r="F427" s="11" t="n"/>
      <c r="G427" s="17">
        <f>E427*F427</f>
        <v/>
      </c>
      <c r="H427" s="17">
        <f>IF(B427="",0,E427*IFERROR(VLOOKUP(B427,'Recetas y precios'!$A$5:$U$54,21,FALSE),0))</f>
        <v/>
      </c>
      <c r="I427" s="27" t="n"/>
      <c r="J427" s="17">
        <f>G427*I427</f>
        <v/>
      </c>
      <c r="K427" s="17">
        <f>G427-H427-J427</f>
        <v/>
      </c>
      <c r="L427" s="29">
        <f>IF(G427&gt;0,K427/G427,"")</f>
        <v/>
      </c>
      <c r="M427" s="6" t="n"/>
    </row>
    <row r="428">
      <c r="A428" s="32" t="n"/>
      <c r="B428" s="6" t="n"/>
      <c r="C428">
        <f>IF(B428="","",IFERROR(VLOOKUP(B428,'Recetas y precios'!$A$5:$B$54,2,FALSE),""))</f>
        <v/>
      </c>
      <c r="D428" s="6" t="n"/>
      <c r="E428" s="6" t="n"/>
      <c r="F428" s="11" t="n"/>
      <c r="G428" s="17">
        <f>E428*F428</f>
        <v/>
      </c>
      <c r="H428" s="17">
        <f>IF(B428="",0,E428*IFERROR(VLOOKUP(B428,'Recetas y precios'!$A$5:$U$54,21,FALSE),0))</f>
        <v/>
      </c>
      <c r="I428" s="27" t="n"/>
      <c r="J428" s="17">
        <f>G428*I428</f>
        <v/>
      </c>
      <c r="K428" s="17">
        <f>G428-H428-J428</f>
        <v/>
      </c>
      <c r="L428" s="29">
        <f>IF(G428&gt;0,K428/G428,"")</f>
        <v/>
      </c>
      <c r="M428" s="6" t="n"/>
    </row>
    <row r="429">
      <c r="A429" s="32" t="n"/>
      <c r="B429" s="6" t="n"/>
      <c r="C429">
        <f>IF(B429="","",IFERROR(VLOOKUP(B429,'Recetas y precios'!$A$5:$B$54,2,FALSE),""))</f>
        <v/>
      </c>
      <c r="D429" s="6" t="n"/>
      <c r="E429" s="6" t="n"/>
      <c r="F429" s="11" t="n"/>
      <c r="G429" s="17">
        <f>E429*F429</f>
        <v/>
      </c>
      <c r="H429" s="17">
        <f>IF(B429="",0,E429*IFERROR(VLOOKUP(B429,'Recetas y precios'!$A$5:$U$54,21,FALSE),0))</f>
        <v/>
      </c>
      <c r="I429" s="27" t="n"/>
      <c r="J429" s="17">
        <f>G429*I429</f>
        <v/>
      </c>
      <c r="K429" s="17">
        <f>G429-H429-J429</f>
        <v/>
      </c>
      <c r="L429" s="29">
        <f>IF(G429&gt;0,K429/G429,"")</f>
        <v/>
      </c>
      <c r="M429" s="6" t="n"/>
    </row>
    <row r="430">
      <c r="A430" s="32" t="n"/>
      <c r="B430" s="6" t="n"/>
      <c r="C430">
        <f>IF(B430="","",IFERROR(VLOOKUP(B430,'Recetas y precios'!$A$5:$B$54,2,FALSE),""))</f>
        <v/>
      </c>
      <c r="D430" s="6" t="n"/>
      <c r="E430" s="6" t="n"/>
      <c r="F430" s="11" t="n"/>
      <c r="G430" s="17">
        <f>E430*F430</f>
        <v/>
      </c>
      <c r="H430" s="17">
        <f>IF(B430="",0,E430*IFERROR(VLOOKUP(B430,'Recetas y precios'!$A$5:$U$54,21,FALSE),0))</f>
        <v/>
      </c>
      <c r="I430" s="27" t="n"/>
      <c r="J430" s="17">
        <f>G430*I430</f>
        <v/>
      </c>
      <c r="K430" s="17">
        <f>G430-H430-J430</f>
        <v/>
      </c>
      <c r="L430" s="29">
        <f>IF(G430&gt;0,K430/G430,"")</f>
        <v/>
      </c>
      <c r="M430" s="6" t="n"/>
    </row>
    <row r="431">
      <c r="A431" s="32" t="n"/>
      <c r="B431" s="6" t="n"/>
      <c r="C431">
        <f>IF(B431="","",IFERROR(VLOOKUP(B431,'Recetas y precios'!$A$5:$B$54,2,FALSE),""))</f>
        <v/>
      </c>
      <c r="D431" s="6" t="n"/>
      <c r="E431" s="6" t="n"/>
      <c r="F431" s="11" t="n"/>
      <c r="G431" s="17">
        <f>E431*F431</f>
        <v/>
      </c>
      <c r="H431" s="17">
        <f>IF(B431="",0,E431*IFERROR(VLOOKUP(B431,'Recetas y precios'!$A$5:$U$54,21,FALSE),0))</f>
        <v/>
      </c>
      <c r="I431" s="27" t="n"/>
      <c r="J431" s="17">
        <f>G431*I431</f>
        <v/>
      </c>
      <c r="K431" s="17">
        <f>G431-H431-J431</f>
        <v/>
      </c>
      <c r="L431" s="29">
        <f>IF(G431&gt;0,K431/G431,"")</f>
        <v/>
      </c>
      <c r="M431" s="6" t="n"/>
    </row>
    <row r="432">
      <c r="A432" s="32" t="n"/>
      <c r="B432" s="6" t="n"/>
      <c r="C432">
        <f>IF(B432="","",IFERROR(VLOOKUP(B432,'Recetas y precios'!$A$5:$B$54,2,FALSE),""))</f>
        <v/>
      </c>
      <c r="D432" s="6" t="n"/>
      <c r="E432" s="6" t="n"/>
      <c r="F432" s="11" t="n"/>
      <c r="G432" s="17">
        <f>E432*F432</f>
        <v/>
      </c>
      <c r="H432" s="17">
        <f>IF(B432="",0,E432*IFERROR(VLOOKUP(B432,'Recetas y precios'!$A$5:$U$54,21,FALSE),0))</f>
        <v/>
      </c>
      <c r="I432" s="27" t="n"/>
      <c r="J432" s="17">
        <f>G432*I432</f>
        <v/>
      </c>
      <c r="K432" s="17">
        <f>G432-H432-J432</f>
        <v/>
      </c>
      <c r="L432" s="29">
        <f>IF(G432&gt;0,K432/G432,"")</f>
        <v/>
      </c>
      <c r="M432" s="6" t="n"/>
    </row>
    <row r="433">
      <c r="A433" s="32" t="n"/>
      <c r="B433" s="6" t="n"/>
      <c r="C433">
        <f>IF(B433="","",IFERROR(VLOOKUP(B433,'Recetas y precios'!$A$5:$B$54,2,FALSE),""))</f>
        <v/>
      </c>
      <c r="D433" s="6" t="n"/>
      <c r="E433" s="6" t="n"/>
      <c r="F433" s="11" t="n"/>
      <c r="G433" s="17">
        <f>E433*F433</f>
        <v/>
      </c>
      <c r="H433" s="17">
        <f>IF(B433="",0,E433*IFERROR(VLOOKUP(B433,'Recetas y precios'!$A$5:$U$54,21,FALSE),0))</f>
        <v/>
      </c>
      <c r="I433" s="27" t="n"/>
      <c r="J433" s="17">
        <f>G433*I433</f>
        <v/>
      </c>
      <c r="K433" s="17">
        <f>G433-H433-J433</f>
        <v/>
      </c>
      <c r="L433" s="29">
        <f>IF(G433&gt;0,K433/G433,"")</f>
        <v/>
      </c>
      <c r="M433" s="6" t="n"/>
    </row>
    <row r="434">
      <c r="A434" s="32" t="n"/>
      <c r="B434" s="6" t="n"/>
      <c r="C434">
        <f>IF(B434="","",IFERROR(VLOOKUP(B434,'Recetas y precios'!$A$5:$B$54,2,FALSE),""))</f>
        <v/>
      </c>
      <c r="D434" s="6" t="n"/>
      <c r="E434" s="6" t="n"/>
      <c r="F434" s="11" t="n"/>
      <c r="G434" s="17">
        <f>E434*F434</f>
        <v/>
      </c>
      <c r="H434" s="17">
        <f>IF(B434="",0,E434*IFERROR(VLOOKUP(B434,'Recetas y precios'!$A$5:$U$54,21,FALSE),0))</f>
        <v/>
      </c>
      <c r="I434" s="27" t="n"/>
      <c r="J434" s="17">
        <f>G434*I434</f>
        <v/>
      </c>
      <c r="K434" s="17">
        <f>G434-H434-J434</f>
        <v/>
      </c>
      <c r="L434" s="29">
        <f>IF(G434&gt;0,K434/G434,"")</f>
        <v/>
      </c>
      <c r="M434" s="6" t="n"/>
    </row>
    <row r="435">
      <c r="A435" s="32" t="n"/>
      <c r="B435" s="6" t="n"/>
      <c r="C435">
        <f>IF(B435="","",IFERROR(VLOOKUP(B435,'Recetas y precios'!$A$5:$B$54,2,FALSE),""))</f>
        <v/>
      </c>
      <c r="D435" s="6" t="n"/>
      <c r="E435" s="6" t="n"/>
      <c r="F435" s="11" t="n"/>
      <c r="G435" s="17">
        <f>E435*F435</f>
        <v/>
      </c>
      <c r="H435" s="17">
        <f>IF(B435="",0,E435*IFERROR(VLOOKUP(B435,'Recetas y precios'!$A$5:$U$54,21,FALSE),0))</f>
        <v/>
      </c>
      <c r="I435" s="27" t="n"/>
      <c r="J435" s="17">
        <f>G435*I435</f>
        <v/>
      </c>
      <c r="K435" s="17">
        <f>G435-H435-J435</f>
        <v/>
      </c>
      <c r="L435" s="29">
        <f>IF(G435&gt;0,K435/G435,"")</f>
        <v/>
      </c>
      <c r="M435" s="6" t="n"/>
    </row>
    <row r="436">
      <c r="A436" s="32" t="n"/>
      <c r="B436" s="6" t="n"/>
      <c r="C436">
        <f>IF(B436="","",IFERROR(VLOOKUP(B436,'Recetas y precios'!$A$5:$B$54,2,FALSE),""))</f>
        <v/>
      </c>
      <c r="D436" s="6" t="n"/>
      <c r="E436" s="6" t="n"/>
      <c r="F436" s="11" t="n"/>
      <c r="G436" s="17">
        <f>E436*F436</f>
        <v/>
      </c>
      <c r="H436" s="17">
        <f>IF(B436="",0,E436*IFERROR(VLOOKUP(B436,'Recetas y precios'!$A$5:$U$54,21,FALSE),0))</f>
        <v/>
      </c>
      <c r="I436" s="27" t="n"/>
      <c r="J436" s="17">
        <f>G436*I436</f>
        <v/>
      </c>
      <c r="K436" s="17">
        <f>G436-H436-J436</f>
        <v/>
      </c>
      <c r="L436" s="29">
        <f>IF(G436&gt;0,K436/G436,"")</f>
        <v/>
      </c>
      <c r="M436" s="6" t="n"/>
    </row>
    <row r="437">
      <c r="A437" s="32" t="n"/>
      <c r="B437" s="6" t="n"/>
      <c r="C437">
        <f>IF(B437="","",IFERROR(VLOOKUP(B437,'Recetas y precios'!$A$5:$B$54,2,FALSE),""))</f>
        <v/>
      </c>
      <c r="D437" s="6" t="n"/>
      <c r="E437" s="6" t="n"/>
      <c r="F437" s="11" t="n"/>
      <c r="G437" s="17">
        <f>E437*F437</f>
        <v/>
      </c>
      <c r="H437" s="17">
        <f>IF(B437="",0,E437*IFERROR(VLOOKUP(B437,'Recetas y precios'!$A$5:$U$54,21,FALSE),0))</f>
        <v/>
      </c>
      <c r="I437" s="27" t="n"/>
      <c r="J437" s="17">
        <f>G437*I437</f>
        <v/>
      </c>
      <c r="K437" s="17">
        <f>G437-H437-J437</f>
        <v/>
      </c>
      <c r="L437" s="29">
        <f>IF(G437&gt;0,K437/G437,"")</f>
        <v/>
      </c>
      <c r="M437" s="6" t="n"/>
    </row>
    <row r="438">
      <c r="A438" s="32" t="n"/>
      <c r="B438" s="6" t="n"/>
      <c r="C438">
        <f>IF(B438="","",IFERROR(VLOOKUP(B438,'Recetas y precios'!$A$5:$B$54,2,FALSE),""))</f>
        <v/>
      </c>
      <c r="D438" s="6" t="n"/>
      <c r="E438" s="6" t="n"/>
      <c r="F438" s="11" t="n"/>
      <c r="G438" s="17">
        <f>E438*F438</f>
        <v/>
      </c>
      <c r="H438" s="17">
        <f>IF(B438="",0,E438*IFERROR(VLOOKUP(B438,'Recetas y precios'!$A$5:$U$54,21,FALSE),0))</f>
        <v/>
      </c>
      <c r="I438" s="27" t="n"/>
      <c r="J438" s="17">
        <f>G438*I438</f>
        <v/>
      </c>
      <c r="K438" s="17">
        <f>G438-H438-J438</f>
        <v/>
      </c>
      <c r="L438" s="29">
        <f>IF(G438&gt;0,K438/G438,"")</f>
        <v/>
      </c>
      <c r="M438" s="6" t="n"/>
    </row>
    <row r="439">
      <c r="A439" s="32" t="n"/>
      <c r="B439" s="6" t="n"/>
      <c r="C439">
        <f>IF(B439="","",IFERROR(VLOOKUP(B439,'Recetas y precios'!$A$5:$B$54,2,FALSE),""))</f>
        <v/>
      </c>
      <c r="D439" s="6" t="n"/>
      <c r="E439" s="6" t="n"/>
      <c r="F439" s="11" t="n"/>
      <c r="G439" s="17">
        <f>E439*F439</f>
        <v/>
      </c>
      <c r="H439" s="17">
        <f>IF(B439="",0,E439*IFERROR(VLOOKUP(B439,'Recetas y precios'!$A$5:$U$54,21,FALSE),0))</f>
        <v/>
      </c>
      <c r="I439" s="27" t="n"/>
      <c r="J439" s="17">
        <f>G439*I439</f>
        <v/>
      </c>
      <c r="K439" s="17">
        <f>G439-H439-J439</f>
        <v/>
      </c>
      <c r="L439" s="29">
        <f>IF(G439&gt;0,K439/G439,"")</f>
        <v/>
      </c>
      <c r="M439" s="6" t="n"/>
    </row>
    <row r="440">
      <c r="A440" s="32" t="n"/>
      <c r="B440" s="6" t="n"/>
      <c r="C440">
        <f>IF(B440="","",IFERROR(VLOOKUP(B440,'Recetas y precios'!$A$5:$B$54,2,FALSE),""))</f>
        <v/>
      </c>
      <c r="D440" s="6" t="n"/>
      <c r="E440" s="6" t="n"/>
      <c r="F440" s="11" t="n"/>
      <c r="G440" s="17">
        <f>E440*F440</f>
        <v/>
      </c>
      <c r="H440" s="17">
        <f>IF(B440="",0,E440*IFERROR(VLOOKUP(B440,'Recetas y precios'!$A$5:$U$54,21,FALSE),0))</f>
        <v/>
      </c>
      <c r="I440" s="27" t="n"/>
      <c r="J440" s="17">
        <f>G440*I440</f>
        <v/>
      </c>
      <c r="K440" s="17">
        <f>G440-H440-J440</f>
        <v/>
      </c>
      <c r="L440" s="29">
        <f>IF(G440&gt;0,K440/G440,"")</f>
        <v/>
      </c>
      <c r="M440" s="6" t="n"/>
    </row>
    <row r="441">
      <c r="A441" s="32" t="n"/>
      <c r="B441" s="6" t="n"/>
      <c r="C441">
        <f>IF(B441="","",IFERROR(VLOOKUP(B441,'Recetas y precios'!$A$5:$B$54,2,FALSE),""))</f>
        <v/>
      </c>
      <c r="D441" s="6" t="n"/>
      <c r="E441" s="6" t="n"/>
      <c r="F441" s="11" t="n"/>
      <c r="G441" s="17">
        <f>E441*F441</f>
        <v/>
      </c>
      <c r="H441" s="17">
        <f>IF(B441="",0,E441*IFERROR(VLOOKUP(B441,'Recetas y precios'!$A$5:$U$54,21,FALSE),0))</f>
        <v/>
      </c>
      <c r="I441" s="27" t="n"/>
      <c r="J441" s="17">
        <f>G441*I441</f>
        <v/>
      </c>
      <c r="K441" s="17">
        <f>G441-H441-J441</f>
        <v/>
      </c>
      <c r="L441" s="29">
        <f>IF(G441&gt;0,K441/G441,"")</f>
        <v/>
      </c>
      <c r="M441" s="6" t="n"/>
    </row>
    <row r="442">
      <c r="A442" s="32" t="n"/>
      <c r="B442" s="6" t="n"/>
      <c r="C442">
        <f>IF(B442="","",IFERROR(VLOOKUP(B442,'Recetas y precios'!$A$5:$B$54,2,FALSE),""))</f>
        <v/>
      </c>
      <c r="D442" s="6" t="n"/>
      <c r="E442" s="6" t="n"/>
      <c r="F442" s="11" t="n"/>
      <c r="G442" s="17">
        <f>E442*F442</f>
        <v/>
      </c>
      <c r="H442" s="17">
        <f>IF(B442="",0,E442*IFERROR(VLOOKUP(B442,'Recetas y precios'!$A$5:$U$54,21,FALSE),0))</f>
        <v/>
      </c>
      <c r="I442" s="27" t="n"/>
      <c r="J442" s="17">
        <f>G442*I442</f>
        <v/>
      </c>
      <c r="K442" s="17">
        <f>G442-H442-J442</f>
        <v/>
      </c>
      <c r="L442" s="29">
        <f>IF(G442&gt;0,K442/G442,"")</f>
        <v/>
      </c>
      <c r="M442" s="6" t="n"/>
    </row>
    <row r="443">
      <c r="A443" s="32" t="n"/>
      <c r="B443" s="6" t="n"/>
      <c r="C443">
        <f>IF(B443="","",IFERROR(VLOOKUP(B443,'Recetas y precios'!$A$5:$B$54,2,FALSE),""))</f>
        <v/>
      </c>
      <c r="D443" s="6" t="n"/>
      <c r="E443" s="6" t="n"/>
      <c r="F443" s="11" t="n"/>
      <c r="G443" s="17">
        <f>E443*F443</f>
        <v/>
      </c>
      <c r="H443" s="17">
        <f>IF(B443="",0,E443*IFERROR(VLOOKUP(B443,'Recetas y precios'!$A$5:$U$54,21,FALSE),0))</f>
        <v/>
      </c>
      <c r="I443" s="27" t="n"/>
      <c r="J443" s="17">
        <f>G443*I443</f>
        <v/>
      </c>
      <c r="K443" s="17">
        <f>G443-H443-J443</f>
        <v/>
      </c>
      <c r="L443" s="29">
        <f>IF(G443&gt;0,K443/G443,"")</f>
        <v/>
      </c>
      <c r="M443" s="6" t="n"/>
    </row>
    <row r="444">
      <c r="A444" s="32" t="n"/>
      <c r="B444" s="6" t="n"/>
      <c r="C444">
        <f>IF(B444="","",IFERROR(VLOOKUP(B444,'Recetas y precios'!$A$5:$B$54,2,FALSE),""))</f>
        <v/>
      </c>
      <c r="D444" s="6" t="n"/>
      <c r="E444" s="6" t="n"/>
      <c r="F444" s="11" t="n"/>
      <c r="G444" s="17">
        <f>E444*F444</f>
        <v/>
      </c>
      <c r="H444" s="17">
        <f>IF(B444="",0,E444*IFERROR(VLOOKUP(B444,'Recetas y precios'!$A$5:$U$54,21,FALSE),0))</f>
        <v/>
      </c>
      <c r="I444" s="27" t="n"/>
      <c r="J444" s="17">
        <f>G444*I444</f>
        <v/>
      </c>
      <c r="K444" s="17">
        <f>G444-H444-J444</f>
        <v/>
      </c>
      <c r="L444" s="29">
        <f>IF(G444&gt;0,K444/G444,"")</f>
        <v/>
      </c>
      <c r="M444" s="6" t="n"/>
    </row>
    <row r="445">
      <c r="A445" s="32" t="n"/>
      <c r="B445" s="6" t="n"/>
      <c r="C445">
        <f>IF(B445="","",IFERROR(VLOOKUP(B445,'Recetas y precios'!$A$5:$B$54,2,FALSE),""))</f>
        <v/>
      </c>
      <c r="D445" s="6" t="n"/>
      <c r="E445" s="6" t="n"/>
      <c r="F445" s="11" t="n"/>
      <c r="G445" s="17">
        <f>E445*F445</f>
        <v/>
      </c>
      <c r="H445" s="17">
        <f>IF(B445="",0,E445*IFERROR(VLOOKUP(B445,'Recetas y precios'!$A$5:$U$54,21,FALSE),0))</f>
        <v/>
      </c>
      <c r="I445" s="27" t="n"/>
      <c r="J445" s="17">
        <f>G445*I445</f>
        <v/>
      </c>
      <c r="K445" s="17">
        <f>G445-H445-J445</f>
        <v/>
      </c>
      <c r="L445" s="29">
        <f>IF(G445&gt;0,K445/G445,"")</f>
        <v/>
      </c>
      <c r="M445" s="6" t="n"/>
    </row>
    <row r="446">
      <c r="A446" s="32" t="n"/>
      <c r="B446" s="6" t="n"/>
      <c r="C446">
        <f>IF(B446="","",IFERROR(VLOOKUP(B446,'Recetas y precios'!$A$5:$B$54,2,FALSE),""))</f>
        <v/>
      </c>
      <c r="D446" s="6" t="n"/>
      <c r="E446" s="6" t="n"/>
      <c r="F446" s="11" t="n"/>
      <c r="G446" s="17">
        <f>E446*F446</f>
        <v/>
      </c>
      <c r="H446" s="17">
        <f>IF(B446="",0,E446*IFERROR(VLOOKUP(B446,'Recetas y precios'!$A$5:$U$54,21,FALSE),0))</f>
        <v/>
      </c>
      <c r="I446" s="27" t="n"/>
      <c r="J446" s="17">
        <f>G446*I446</f>
        <v/>
      </c>
      <c r="K446" s="17">
        <f>G446-H446-J446</f>
        <v/>
      </c>
      <c r="L446" s="29">
        <f>IF(G446&gt;0,K446/G446,"")</f>
        <v/>
      </c>
      <c r="M446" s="6" t="n"/>
    </row>
    <row r="447">
      <c r="A447" s="32" t="n"/>
      <c r="B447" s="6" t="n"/>
      <c r="C447">
        <f>IF(B447="","",IFERROR(VLOOKUP(B447,'Recetas y precios'!$A$5:$B$54,2,FALSE),""))</f>
        <v/>
      </c>
      <c r="D447" s="6" t="n"/>
      <c r="E447" s="6" t="n"/>
      <c r="F447" s="11" t="n"/>
      <c r="G447" s="17">
        <f>E447*F447</f>
        <v/>
      </c>
      <c r="H447" s="17">
        <f>IF(B447="",0,E447*IFERROR(VLOOKUP(B447,'Recetas y precios'!$A$5:$U$54,21,FALSE),0))</f>
        <v/>
      </c>
      <c r="I447" s="27" t="n"/>
      <c r="J447" s="17">
        <f>G447*I447</f>
        <v/>
      </c>
      <c r="K447" s="17">
        <f>G447-H447-J447</f>
        <v/>
      </c>
      <c r="L447" s="29">
        <f>IF(G447&gt;0,K447/G447,"")</f>
        <v/>
      </c>
      <c r="M447" s="6" t="n"/>
    </row>
    <row r="448">
      <c r="A448" s="32" t="n"/>
      <c r="B448" s="6" t="n"/>
      <c r="C448">
        <f>IF(B448="","",IFERROR(VLOOKUP(B448,'Recetas y precios'!$A$5:$B$54,2,FALSE),""))</f>
        <v/>
      </c>
      <c r="D448" s="6" t="n"/>
      <c r="E448" s="6" t="n"/>
      <c r="F448" s="11" t="n"/>
      <c r="G448" s="17">
        <f>E448*F448</f>
        <v/>
      </c>
      <c r="H448" s="17">
        <f>IF(B448="",0,E448*IFERROR(VLOOKUP(B448,'Recetas y precios'!$A$5:$U$54,21,FALSE),0))</f>
        <v/>
      </c>
      <c r="I448" s="27" t="n"/>
      <c r="J448" s="17">
        <f>G448*I448</f>
        <v/>
      </c>
      <c r="K448" s="17">
        <f>G448-H448-J448</f>
        <v/>
      </c>
      <c r="L448" s="29">
        <f>IF(G448&gt;0,K448/G448,"")</f>
        <v/>
      </c>
      <c r="M448" s="6" t="n"/>
    </row>
    <row r="449">
      <c r="A449" s="32" t="n"/>
      <c r="B449" s="6" t="n"/>
      <c r="C449">
        <f>IF(B449="","",IFERROR(VLOOKUP(B449,'Recetas y precios'!$A$5:$B$54,2,FALSE),""))</f>
        <v/>
      </c>
      <c r="D449" s="6" t="n"/>
      <c r="E449" s="6" t="n"/>
      <c r="F449" s="11" t="n"/>
      <c r="G449" s="17">
        <f>E449*F449</f>
        <v/>
      </c>
      <c r="H449" s="17">
        <f>IF(B449="",0,E449*IFERROR(VLOOKUP(B449,'Recetas y precios'!$A$5:$U$54,21,FALSE),0))</f>
        <v/>
      </c>
      <c r="I449" s="27" t="n"/>
      <c r="J449" s="17">
        <f>G449*I449</f>
        <v/>
      </c>
      <c r="K449" s="17">
        <f>G449-H449-J449</f>
        <v/>
      </c>
      <c r="L449" s="29">
        <f>IF(G449&gt;0,K449/G449,"")</f>
        <v/>
      </c>
      <c r="M449" s="6" t="n"/>
    </row>
    <row r="450">
      <c r="A450" s="32" t="n"/>
      <c r="B450" s="6" t="n"/>
      <c r="C450">
        <f>IF(B450="","",IFERROR(VLOOKUP(B450,'Recetas y precios'!$A$5:$B$54,2,FALSE),""))</f>
        <v/>
      </c>
      <c r="D450" s="6" t="n"/>
      <c r="E450" s="6" t="n"/>
      <c r="F450" s="11" t="n"/>
      <c r="G450" s="17">
        <f>E450*F450</f>
        <v/>
      </c>
      <c r="H450" s="17">
        <f>IF(B450="",0,E450*IFERROR(VLOOKUP(B450,'Recetas y precios'!$A$5:$U$54,21,FALSE),0))</f>
        <v/>
      </c>
      <c r="I450" s="27" t="n"/>
      <c r="J450" s="17">
        <f>G450*I450</f>
        <v/>
      </c>
      <c r="K450" s="17">
        <f>G450-H450-J450</f>
        <v/>
      </c>
      <c r="L450" s="29">
        <f>IF(G450&gt;0,K450/G450,"")</f>
        <v/>
      </c>
      <c r="M450" s="6" t="n"/>
    </row>
    <row r="451">
      <c r="A451" s="32" t="n"/>
      <c r="B451" s="6" t="n"/>
      <c r="C451">
        <f>IF(B451="","",IFERROR(VLOOKUP(B451,'Recetas y precios'!$A$5:$B$54,2,FALSE),""))</f>
        <v/>
      </c>
      <c r="D451" s="6" t="n"/>
      <c r="E451" s="6" t="n"/>
      <c r="F451" s="11" t="n"/>
      <c r="G451" s="17">
        <f>E451*F451</f>
        <v/>
      </c>
      <c r="H451" s="17">
        <f>IF(B451="",0,E451*IFERROR(VLOOKUP(B451,'Recetas y precios'!$A$5:$U$54,21,FALSE),0))</f>
        <v/>
      </c>
      <c r="I451" s="27" t="n"/>
      <c r="J451" s="17">
        <f>G451*I451</f>
        <v/>
      </c>
      <c r="K451" s="17">
        <f>G451-H451-J451</f>
        <v/>
      </c>
      <c r="L451" s="29">
        <f>IF(G451&gt;0,K451/G451,"")</f>
        <v/>
      </c>
      <c r="M451" s="6" t="n"/>
    </row>
    <row r="452">
      <c r="A452" s="32" t="n"/>
      <c r="B452" s="6" t="n"/>
      <c r="C452">
        <f>IF(B452="","",IFERROR(VLOOKUP(B452,'Recetas y precios'!$A$5:$B$54,2,FALSE),""))</f>
        <v/>
      </c>
      <c r="D452" s="6" t="n"/>
      <c r="E452" s="6" t="n"/>
      <c r="F452" s="11" t="n"/>
      <c r="G452" s="17">
        <f>E452*F452</f>
        <v/>
      </c>
      <c r="H452" s="17">
        <f>IF(B452="",0,E452*IFERROR(VLOOKUP(B452,'Recetas y precios'!$A$5:$U$54,21,FALSE),0))</f>
        <v/>
      </c>
      <c r="I452" s="27" t="n"/>
      <c r="J452" s="17">
        <f>G452*I452</f>
        <v/>
      </c>
      <c r="K452" s="17">
        <f>G452-H452-J452</f>
        <v/>
      </c>
      <c r="L452" s="29">
        <f>IF(G452&gt;0,K452/G452,"")</f>
        <v/>
      </c>
      <c r="M452" s="6" t="n"/>
    </row>
    <row r="453">
      <c r="A453" s="32" t="n"/>
      <c r="B453" s="6" t="n"/>
      <c r="C453">
        <f>IF(B453="","",IFERROR(VLOOKUP(B453,'Recetas y precios'!$A$5:$B$54,2,FALSE),""))</f>
        <v/>
      </c>
      <c r="D453" s="6" t="n"/>
      <c r="E453" s="6" t="n"/>
      <c r="F453" s="11" t="n"/>
      <c r="G453" s="17">
        <f>E453*F453</f>
        <v/>
      </c>
      <c r="H453" s="17">
        <f>IF(B453="",0,E453*IFERROR(VLOOKUP(B453,'Recetas y precios'!$A$5:$U$54,21,FALSE),0))</f>
        <v/>
      </c>
      <c r="I453" s="27" t="n"/>
      <c r="J453" s="17">
        <f>G453*I453</f>
        <v/>
      </c>
      <c r="K453" s="17">
        <f>G453-H453-J453</f>
        <v/>
      </c>
      <c r="L453" s="29">
        <f>IF(G453&gt;0,K453/G453,"")</f>
        <v/>
      </c>
      <c r="M453" s="6" t="n"/>
    </row>
    <row r="454">
      <c r="A454" s="32" t="n"/>
      <c r="B454" s="6" t="n"/>
      <c r="C454">
        <f>IF(B454="","",IFERROR(VLOOKUP(B454,'Recetas y precios'!$A$5:$B$54,2,FALSE),""))</f>
        <v/>
      </c>
      <c r="D454" s="6" t="n"/>
      <c r="E454" s="6" t="n"/>
      <c r="F454" s="11" t="n"/>
      <c r="G454" s="17">
        <f>E454*F454</f>
        <v/>
      </c>
      <c r="H454" s="17">
        <f>IF(B454="",0,E454*IFERROR(VLOOKUP(B454,'Recetas y precios'!$A$5:$U$54,21,FALSE),0))</f>
        <v/>
      </c>
      <c r="I454" s="27" t="n"/>
      <c r="J454" s="17">
        <f>G454*I454</f>
        <v/>
      </c>
      <c r="K454" s="17">
        <f>G454-H454-J454</f>
        <v/>
      </c>
      <c r="L454" s="29">
        <f>IF(G454&gt;0,K454/G454,"")</f>
        <v/>
      </c>
      <c r="M454" s="6" t="n"/>
    </row>
    <row r="455">
      <c r="A455" s="32" t="n"/>
      <c r="B455" s="6" t="n"/>
      <c r="C455">
        <f>IF(B455="","",IFERROR(VLOOKUP(B455,'Recetas y precios'!$A$5:$B$54,2,FALSE),""))</f>
        <v/>
      </c>
      <c r="D455" s="6" t="n"/>
      <c r="E455" s="6" t="n"/>
      <c r="F455" s="11" t="n"/>
      <c r="G455" s="17">
        <f>E455*F455</f>
        <v/>
      </c>
      <c r="H455" s="17">
        <f>IF(B455="",0,E455*IFERROR(VLOOKUP(B455,'Recetas y precios'!$A$5:$U$54,21,FALSE),0))</f>
        <v/>
      </c>
      <c r="I455" s="27" t="n"/>
      <c r="J455" s="17">
        <f>G455*I455</f>
        <v/>
      </c>
      <c r="K455" s="17">
        <f>G455-H455-J455</f>
        <v/>
      </c>
      <c r="L455" s="29">
        <f>IF(G455&gt;0,K455/G455,"")</f>
        <v/>
      </c>
      <c r="M455" s="6" t="n"/>
    </row>
    <row r="456">
      <c r="A456" s="32" t="n"/>
      <c r="B456" s="6" t="n"/>
      <c r="C456">
        <f>IF(B456="","",IFERROR(VLOOKUP(B456,'Recetas y precios'!$A$5:$B$54,2,FALSE),""))</f>
        <v/>
      </c>
      <c r="D456" s="6" t="n"/>
      <c r="E456" s="6" t="n"/>
      <c r="F456" s="11" t="n"/>
      <c r="G456" s="17">
        <f>E456*F456</f>
        <v/>
      </c>
      <c r="H456" s="17">
        <f>IF(B456="",0,E456*IFERROR(VLOOKUP(B456,'Recetas y precios'!$A$5:$U$54,21,FALSE),0))</f>
        <v/>
      </c>
      <c r="I456" s="27" t="n"/>
      <c r="J456" s="17">
        <f>G456*I456</f>
        <v/>
      </c>
      <c r="K456" s="17">
        <f>G456-H456-J456</f>
        <v/>
      </c>
      <c r="L456" s="29">
        <f>IF(G456&gt;0,K456/G456,"")</f>
        <v/>
      </c>
      <c r="M456" s="6" t="n"/>
    </row>
    <row r="457">
      <c r="A457" s="32" t="n"/>
      <c r="B457" s="6" t="n"/>
      <c r="C457">
        <f>IF(B457="","",IFERROR(VLOOKUP(B457,'Recetas y precios'!$A$5:$B$54,2,FALSE),""))</f>
        <v/>
      </c>
      <c r="D457" s="6" t="n"/>
      <c r="E457" s="6" t="n"/>
      <c r="F457" s="11" t="n"/>
      <c r="G457" s="17">
        <f>E457*F457</f>
        <v/>
      </c>
      <c r="H457" s="17">
        <f>IF(B457="",0,E457*IFERROR(VLOOKUP(B457,'Recetas y precios'!$A$5:$U$54,21,FALSE),0))</f>
        <v/>
      </c>
      <c r="I457" s="27" t="n"/>
      <c r="J457" s="17">
        <f>G457*I457</f>
        <v/>
      </c>
      <c r="K457" s="17">
        <f>G457-H457-J457</f>
        <v/>
      </c>
      <c r="L457" s="29">
        <f>IF(G457&gt;0,K457/G457,"")</f>
        <v/>
      </c>
      <c r="M457" s="6" t="n"/>
    </row>
    <row r="458">
      <c r="A458" s="32" t="n"/>
      <c r="B458" s="6" t="n"/>
      <c r="C458">
        <f>IF(B458="","",IFERROR(VLOOKUP(B458,'Recetas y precios'!$A$5:$B$54,2,FALSE),""))</f>
        <v/>
      </c>
      <c r="D458" s="6" t="n"/>
      <c r="E458" s="6" t="n"/>
      <c r="F458" s="11" t="n"/>
      <c r="G458" s="17">
        <f>E458*F458</f>
        <v/>
      </c>
      <c r="H458" s="17">
        <f>IF(B458="",0,E458*IFERROR(VLOOKUP(B458,'Recetas y precios'!$A$5:$U$54,21,FALSE),0))</f>
        <v/>
      </c>
      <c r="I458" s="27" t="n"/>
      <c r="J458" s="17">
        <f>G458*I458</f>
        <v/>
      </c>
      <c r="K458" s="17">
        <f>G458-H458-J458</f>
        <v/>
      </c>
      <c r="L458" s="29">
        <f>IF(G458&gt;0,K458/G458,"")</f>
        <v/>
      </c>
      <c r="M458" s="6" t="n"/>
    </row>
    <row r="459">
      <c r="A459" s="32" t="n"/>
      <c r="B459" s="6" t="n"/>
      <c r="C459">
        <f>IF(B459="","",IFERROR(VLOOKUP(B459,'Recetas y precios'!$A$5:$B$54,2,FALSE),""))</f>
        <v/>
      </c>
      <c r="D459" s="6" t="n"/>
      <c r="E459" s="6" t="n"/>
      <c r="F459" s="11" t="n"/>
      <c r="G459" s="17">
        <f>E459*F459</f>
        <v/>
      </c>
      <c r="H459" s="17">
        <f>IF(B459="",0,E459*IFERROR(VLOOKUP(B459,'Recetas y precios'!$A$5:$U$54,21,FALSE),0))</f>
        <v/>
      </c>
      <c r="I459" s="27" t="n"/>
      <c r="J459" s="17">
        <f>G459*I459</f>
        <v/>
      </c>
      <c r="K459" s="17">
        <f>G459-H459-J459</f>
        <v/>
      </c>
      <c r="L459" s="29">
        <f>IF(G459&gt;0,K459/G459,"")</f>
        <v/>
      </c>
      <c r="M459" s="6" t="n"/>
    </row>
    <row r="460">
      <c r="A460" s="32" t="n"/>
      <c r="B460" s="6" t="n"/>
      <c r="C460">
        <f>IF(B460="","",IFERROR(VLOOKUP(B460,'Recetas y precios'!$A$5:$B$54,2,FALSE),""))</f>
        <v/>
      </c>
      <c r="D460" s="6" t="n"/>
      <c r="E460" s="6" t="n"/>
      <c r="F460" s="11" t="n"/>
      <c r="G460" s="17">
        <f>E460*F460</f>
        <v/>
      </c>
      <c r="H460" s="17">
        <f>IF(B460="",0,E460*IFERROR(VLOOKUP(B460,'Recetas y precios'!$A$5:$U$54,21,FALSE),0))</f>
        <v/>
      </c>
      <c r="I460" s="27" t="n"/>
      <c r="J460" s="17">
        <f>G460*I460</f>
        <v/>
      </c>
      <c r="K460" s="17">
        <f>G460-H460-J460</f>
        <v/>
      </c>
      <c r="L460" s="29">
        <f>IF(G460&gt;0,K460/G460,"")</f>
        <v/>
      </c>
      <c r="M460" s="6" t="n"/>
    </row>
    <row r="461">
      <c r="A461" s="32" t="n"/>
      <c r="B461" s="6" t="n"/>
      <c r="C461">
        <f>IF(B461="","",IFERROR(VLOOKUP(B461,'Recetas y precios'!$A$5:$B$54,2,FALSE),""))</f>
        <v/>
      </c>
      <c r="D461" s="6" t="n"/>
      <c r="E461" s="6" t="n"/>
      <c r="F461" s="11" t="n"/>
      <c r="G461" s="17">
        <f>E461*F461</f>
        <v/>
      </c>
      <c r="H461" s="17">
        <f>IF(B461="",0,E461*IFERROR(VLOOKUP(B461,'Recetas y precios'!$A$5:$U$54,21,FALSE),0))</f>
        <v/>
      </c>
      <c r="I461" s="27" t="n"/>
      <c r="J461" s="17">
        <f>G461*I461</f>
        <v/>
      </c>
      <c r="K461" s="17">
        <f>G461-H461-J461</f>
        <v/>
      </c>
      <c r="L461" s="29">
        <f>IF(G461&gt;0,K461/G461,"")</f>
        <v/>
      </c>
      <c r="M461" s="6" t="n"/>
    </row>
    <row r="462">
      <c r="A462" s="32" t="n"/>
      <c r="B462" s="6" t="n"/>
      <c r="C462">
        <f>IF(B462="","",IFERROR(VLOOKUP(B462,'Recetas y precios'!$A$5:$B$54,2,FALSE),""))</f>
        <v/>
      </c>
      <c r="D462" s="6" t="n"/>
      <c r="E462" s="6" t="n"/>
      <c r="F462" s="11" t="n"/>
      <c r="G462" s="17">
        <f>E462*F462</f>
        <v/>
      </c>
      <c r="H462" s="17">
        <f>IF(B462="",0,E462*IFERROR(VLOOKUP(B462,'Recetas y precios'!$A$5:$U$54,21,FALSE),0))</f>
        <v/>
      </c>
      <c r="I462" s="27" t="n"/>
      <c r="J462" s="17">
        <f>G462*I462</f>
        <v/>
      </c>
      <c r="K462" s="17">
        <f>G462-H462-J462</f>
        <v/>
      </c>
      <c r="L462" s="29">
        <f>IF(G462&gt;0,K462/G462,"")</f>
        <v/>
      </c>
      <c r="M462" s="6" t="n"/>
    </row>
    <row r="463">
      <c r="A463" s="32" t="n"/>
      <c r="B463" s="6" t="n"/>
      <c r="C463">
        <f>IF(B463="","",IFERROR(VLOOKUP(B463,'Recetas y precios'!$A$5:$B$54,2,FALSE),""))</f>
        <v/>
      </c>
      <c r="D463" s="6" t="n"/>
      <c r="E463" s="6" t="n"/>
      <c r="F463" s="11" t="n"/>
      <c r="G463" s="17">
        <f>E463*F463</f>
        <v/>
      </c>
      <c r="H463" s="17">
        <f>IF(B463="",0,E463*IFERROR(VLOOKUP(B463,'Recetas y precios'!$A$5:$U$54,21,FALSE),0))</f>
        <v/>
      </c>
      <c r="I463" s="27" t="n"/>
      <c r="J463" s="17">
        <f>G463*I463</f>
        <v/>
      </c>
      <c r="K463" s="17">
        <f>G463-H463-J463</f>
        <v/>
      </c>
      <c r="L463" s="29">
        <f>IF(G463&gt;0,K463/G463,"")</f>
        <v/>
      </c>
      <c r="M463" s="6" t="n"/>
    </row>
    <row r="464">
      <c r="A464" s="32" t="n"/>
      <c r="B464" s="6" t="n"/>
      <c r="C464">
        <f>IF(B464="","",IFERROR(VLOOKUP(B464,'Recetas y precios'!$A$5:$B$54,2,FALSE),""))</f>
        <v/>
      </c>
      <c r="D464" s="6" t="n"/>
      <c r="E464" s="6" t="n"/>
      <c r="F464" s="11" t="n"/>
      <c r="G464" s="17">
        <f>E464*F464</f>
        <v/>
      </c>
      <c r="H464" s="17">
        <f>IF(B464="",0,E464*IFERROR(VLOOKUP(B464,'Recetas y precios'!$A$5:$U$54,21,FALSE),0))</f>
        <v/>
      </c>
      <c r="I464" s="27" t="n"/>
      <c r="J464" s="17">
        <f>G464*I464</f>
        <v/>
      </c>
      <c r="K464" s="17">
        <f>G464-H464-J464</f>
        <v/>
      </c>
      <c r="L464" s="29">
        <f>IF(G464&gt;0,K464/G464,"")</f>
        <v/>
      </c>
      <c r="M464" s="6" t="n"/>
    </row>
    <row r="465">
      <c r="A465" s="32" t="n"/>
      <c r="B465" s="6" t="n"/>
      <c r="C465">
        <f>IF(B465="","",IFERROR(VLOOKUP(B465,'Recetas y precios'!$A$5:$B$54,2,FALSE),""))</f>
        <v/>
      </c>
      <c r="D465" s="6" t="n"/>
      <c r="E465" s="6" t="n"/>
      <c r="F465" s="11" t="n"/>
      <c r="G465" s="17">
        <f>E465*F465</f>
        <v/>
      </c>
      <c r="H465" s="17">
        <f>IF(B465="",0,E465*IFERROR(VLOOKUP(B465,'Recetas y precios'!$A$5:$U$54,21,FALSE),0))</f>
        <v/>
      </c>
      <c r="I465" s="27" t="n"/>
      <c r="J465" s="17">
        <f>G465*I465</f>
        <v/>
      </c>
      <c r="K465" s="17">
        <f>G465-H465-J465</f>
        <v/>
      </c>
      <c r="L465" s="29">
        <f>IF(G465&gt;0,K465/G465,"")</f>
        <v/>
      </c>
      <c r="M465" s="6" t="n"/>
    </row>
    <row r="466">
      <c r="A466" s="32" t="n"/>
      <c r="B466" s="6" t="n"/>
      <c r="C466">
        <f>IF(B466="","",IFERROR(VLOOKUP(B466,'Recetas y precios'!$A$5:$B$54,2,FALSE),""))</f>
        <v/>
      </c>
      <c r="D466" s="6" t="n"/>
      <c r="E466" s="6" t="n"/>
      <c r="F466" s="11" t="n"/>
      <c r="G466" s="17">
        <f>E466*F466</f>
        <v/>
      </c>
      <c r="H466" s="17">
        <f>IF(B466="",0,E466*IFERROR(VLOOKUP(B466,'Recetas y precios'!$A$5:$U$54,21,FALSE),0))</f>
        <v/>
      </c>
      <c r="I466" s="27" t="n"/>
      <c r="J466" s="17">
        <f>G466*I466</f>
        <v/>
      </c>
      <c r="K466" s="17">
        <f>G466-H466-J466</f>
        <v/>
      </c>
      <c r="L466" s="29">
        <f>IF(G466&gt;0,K466/G466,"")</f>
        <v/>
      </c>
      <c r="M466" s="6" t="n"/>
    </row>
    <row r="467">
      <c r="A467" s="32" t="n"/>
      <c r="B467" s="6" t="n"/>
      <c r="C467">
        <f>IF(B467="","",IFERROR(VLOOKUP(B467,'Recetas y precios'!$A$5:$B$54,2,FALSE),""))</f>
        <v/>
      </c>
      <c r="D467" s="6" t="n"/>
      <c r="E467" s="6" t="n"/>
      <c r="F467" s="11" t="n"/>
      <c r="G467" s="17">
        <f>E467*F467</f>
        <v/>
      </c>
      <c r="H467" s="17">
        <f>IF(B467="",0,E467*IFERROR(VLOOKUP(B467,'Recetas y precios'!$A$5:$U$54,21,FALSE),0))</f>
        <v/>
      </c>
      <c r="I467" s="27" t="n"/>
      <c r="J467" s="17">
        <f>G467*I467</f>
        <v/>
      </c>
      <c r="K467" s="17">
        <f>G467-H467-J467</f>
        <v/>
      </c>
      <c r="L467" s="29">
        <f>IF(G467&gt;0,K467/G467,"")</f>
        <v/>
      </c>
      <c r="M467" s="6" t="n"/>
    </row>
    <row r="468">
      <c r="A468" s="32" t="n"/>
      <c r="B468" s="6" t="n"/>
      <c r="C468">
        <f>IF(B468="","",IFERROR(VLOOKUP(B468,'Recetas y precios'!$A$5:$B$54,2,FALSE),""))</f>
        <v/>
      </c>
      <c r="D468" s="6" t="n"/>
      <c r="E468" s="6" t="n"/>
      <c r="F468" s="11" t="n"/>
      <c r="G468" s="17">
        <f>E468*F468</f>
        <v/>
      </c>
      <c r="H468" s="17">
        <f>IF(B468="",0,E468*IFERROR(VLOOKUP(B468,'Recetas y precios'!$A$5:$U$54,21,FALSE),0))</f>
        <v/>
      </c>
      <c r="I468" s="27" t="n"/>
      <c r="J468" s="17">
        <f>G468*I468</f>
        <v/>
      </c>
      <c r="K468" s="17">
        <f>G468-H468-J468</f>
        <v/>
      </c>
      <c r="L468" s="29">
        <f>IF(G468&gt;0,K468/G468,"")</f>
        <v/>
      </c>
      <c r="M468" s="6" t="n"/>
    </row>
    <row r="469">
      <c r="A469" s="32" t="n"/>
      <c r="B469" s="6" t="n"/>
      <c r="C469">
        <f>IF(B469="","",IFERROR(VLOOKUP(B469,'Recetas y precios'!$A$5:$B$54,2,FALSE),""))</f>
        <v/>
      </c>
      <c r="D469" s="6" t="n"/>
      <c r="E469" s="6" t="n"/>
      <c r="F469" s="11" t="n"/>
      <c r="G469" s="17">
        <f>E469*F469</f>
        <v/>
      </c>
      <c r="H469" s="17">
        <f>IF(B469="",0,E469*IFERROR(VLOOKUP(B469,'Recetas y precios'!$A$5:$U$54,21,FALSE),0))</f>
        <v/>
      </c>
      <c r="I469" s="27" t="n"/>
      <c r="J469" s="17">
        <f>G469*I469</f>
        <v/>
      </c>
      <c r="K469" s="17">
        <f>G469-H469-J469</f>
        <v/>
      </c>
      <c r="L469" s="29">
        <f>IF(G469&gt;0,K469/G469,"")</f>
        <v/>
      </c>
      <c r="M469" s="6" t="n"/>
    </row>
    <row r="470">
      <c r="A470" s="32" t="n"/>
      <c r="B470" s="6" t="n"/>
      <c r="C470">
        <f>IF(B470="","",IFERROR(VLOOKUP(B470,'Recetas y precios'!$A$5:$B$54,2,FALSE),""))</f>
        <v/>
      </c>
      <c r="D470" s="6" t="n"/>
      <c r="E470" s="6" t="n"/>
      <c r="F470" s="11" t="n"/>
      <c r="G470" s="17">
        <f>E470*F470</f>
        <v/>
      </c>
      <c r="H470" s="17">
        <f>IF(B470="",0,E470*IFERROR(VLOOKUP(B470,'Recetas y precios'!$A$5:$U$54,21,FALSE),0))</f>
        <v/>
      </c>
      <c r="I470" s="27" t="n"/>
      <c r="J470" s="17">
        <f>G470*I470</f>
        <v/>
      </c>
      <c r="K470" s="17">
        <f>G470-H470-J470</f>
        <v/>
      </c>
      <c r="L470" s="29">
        <f>IF(G470&gt;0,K470/G470,"")</f>
        <v/>
      </c>
      <c r="M470" s="6" t="n"/>
    </row>
    <row r="471">
      <c r="A471" s="32" t="n"/>
      <c r="B471" s="6" t="n"/>
      <c r="C471">
        <f>IF(B471="","",IFERROR(VLOOKUP(B471,'Recetas y precios'!$A$5:$B$54,2,FALSE),""))</f>
        <v/>
      </c>
      <c r="D471" s="6" t="n"/>
      <c r="E471" s="6" t="n"/>
      <c r="F471" s="11" t="n"/>
      <c r="G471" s="17">
        <f>E471*F471</f>
        <v/>
      </c>
      <c r="H471" s="17">
        <f>IF(B471="",0,E471*IFERROR(VLOOKUP(B471,'Recetas y precios'!$A$5:$U$54,21,FALSE),0))</f>
        <v/>
      </c>
      <c r="I471" s="27" t="n"/>
      <c r="J471" s="17">
        <f>G471*I471</f>
        <v/>
      </c>
      <c r="K471" s="17">
        <f>G471-H471-J471</f>
        <v/>
      </c>
      <c r="L471" s="29">
        <f>IF(G471&gt;0,K471/G471,"")</f>
        <v/>
      </c>
      <c r="M471" s="6" t="n"/>
    </row>
    <row r="472">
      <c r="A472" s="32" t="n"/>
      <c r="B472" s="6" t="n"/>
      <c r="C472">
        <f>IF(B472="","",IFERROR(VLOOKUP(B472,'Recetas y precios'!$A$5:$B$54,2,FALSE),""))</f>
        <v/>
      </c>
      <c r="D472" s="6" t="n"/>
      <c r="E472" s="6" t="n"/>
      <c r="F472" s="11" t="n"/>
      <c r="G472" s="17">
        <f>E472*F472</f>
        <v/>
      </c>
      <c r="H472" s="17">
        <f>IF(B472="",0,E472*IFERROR(VLOOKUP(B472,'Recetas y precios'!$A$5:$U$54,21,FALSE),0))</f>
        <v/>
      </c>
      <c r="I472" s="27" t="n"/>
      <c r="J472" s="17">
        <f>G472*I472</f>
        <v/>
      </c>
      <c r="K472" s="17">
        <f>G472-H472-J472</f>
        <v/>
      </c>
      <c r="L472" s="29">
        <f>IF(G472&gt;0,K472/G472,"")</f>
        <v/>
      </c>
      <c r="M472" s="6" t="n"/>
    </row>
    <row r="473">
      <c r="A473" s="32" t="n"/>
      <c r="B473" s="6" t="n"/>
      <c r="C473">
        <f>IF(B473="","",IFERROR(VLOOKUP(B473,'Recetas y precios'!$A$5:$B$54,2,FALSE),""))</f>
        <v/>
      </c>
      <c r="D473" s="6" t="n"/>
      <c r="E473" s="6" t="n"/>
      <c r="F473" s="11" t="n"/>
      <c r="G473" s="17">
        <f>E473*F473</f>
        <v/>
      </c>
      <c r="H473" s="17">
        <f>IF(B473="",0,E473*IFERROR(VLOOKUP(B473,'Recetas y precios'!$A$5:$U$54,21,FALSE),0))</f>
        <v/>
      </c>
      <c r="I473" s="27" t="n"/>
      <c r="J473" s="17">
        <f>G473*I473</f>
        <v/>
      </c>
      <c r="K473" s="17">
        <f>G473-H473-J473</f>
        <v/>
      </c>
      <c r="L473" s="29">
        <f>IF(G473&gt;0,K473/G473,"")</f>
        <v/>
      </c>
      <c r="M473" s="6" t="n"/>
    </row>
    <row r="474">
      <c r="A474" s="32" t="n"/>
      <c r="B474" s="6" t="n"/>
      <c r="C474">
        <f>IF(B474="","",IFERROR(VLOOKUP(B474,'Recetas y precios'!$A$5:$B$54,2,FALSE),""))</f>
        <v/>
      </c>
      <c r="D474" s="6" t="n"/>
      <c r="E474" s="6" t="n"/>
      <c r="F474" s="11" t="n"/>
      <c r="G474" s="17">
        <f>E474*F474</f>
        <v/>
      </c>
      <c r="H474" s="17">
        <f>IF(B474="",0,E474*IFERROR(VLOOKUP(B474,'Recetas y precios'!$A$5:$U$54,21,FALSE),0))</f>
        <v/>
      </c>
      <c r="I474" s="27" t="n"/>
      <c r="J474" s="17">
        <f>G474*I474</f>
        <v/>
      </c>
      <c r="K474" s="17">
        <f>G474-H474-J474</f>
        <v/>
      </c>
      <c r="L474" s="29">
        <f>IF(G474&gt;0,K474/G474,"")</f>
        <v/>
      </c>
      <c r="M474" s="6" t="n"/>
    </row>
    <row r="475">
      <c r="A475" s="32" t="n"/>
      <c r="B475" s="6" t="n"/>
      <c r="C475">
        <f>IF(B475="","",IFERROR(VLOOKUP(B475,'Recetas y precios'!$A$5:$B$54,2,FALSE),""))</f>
        <v/>
      </c>
      <c r="D475" s="6" t="n"/>
      <c r="E475" s="6" t="n"/>
      <c r="F475" s="11" t="n"/>
      <c r="G475" s="17">
        <f>E475*F475</f>
        <v/>
      </c>
      <c r="H475" s="17">
        <f>IF(B475="",0,E475*IFERROR(VLOOKUP(B475,'Recetas y precios'!$A$5:$U$54,21,FALSE),0))</f>
        <v/>
      </c>
      <c r="I475" s="27" t="n"/>
      <c r="J475" s="17">
        <f>G475*I475</f>
        <v/>
      </c>
      <c r="K475" s="17">
        <f>G475-H475-J475</f>
        <v/>
      </c>
      <c r="L475" s="29">
        <f>IF(G475&gt;0,K475/G475,"")</f>
        <v/>
      </c>
      <c r="M475" s="6" t="n"/>
    </row>
    <row r="476">
      <c r="A476" s="32" t="n"/>
      <c r="B476" s="6" t="n"/>
      <c r="C476">
        <f>IF(B476="","",IFERROR(VLOOKUP(B476,'Recetas y precios'!$A$5:$B$54,2,FALSE),""))</f>
        <v/>
      </c>
      <c r="D476" s="6" t="n"/>
      <c r="E476" s="6" t="n"/>
      <c r="F476" s="11" t="n"/>
      <c r="G476" s="17">
        <f>E476*F476</f>
        <v/>
      </c>
      <c r="H476" s="17">
        <f>IF(B476="",0,E476*IFERROR(VLOOKUP(B476,'Recetas y precios'!$A$5:$U$54,21,FALSE),0))</f>
        <v/>
      </c>
      <c r="I476" s="27" t="n"/>
      <c r="J476" s="17">
        <f>G476*I476</f>
        <v/>
      </c>
      <c r="K476" s="17">
        <f>G476-H476-J476</f>
        <v/>
      </c>
      <c r="L476" s="29">
        <f>IF(G476&gt;0,K476/G476,"")</f>
        <v/>
      </c>
      <c r="M476" s="6" t="n"/>
    </row>
    <row r="477">
      <c r="A477" s="32" t="n"/>
      <c r="B477" s="6" t="n"/>
      <c r="C477">
        <f>IF(B477="","",IFERROR(VLOOKUP(B477,'Recetas y precios'!$A$5:$B$54,2,FALSE),""))</f>
        <v/>
      </c>
      <c r="D477" s="6" t="n"/>
      <c r="E477" s="6" t="n"/>
      <c r="F477" s="11" t="n"/>
      <c r="G477" s="17">
        <f>E477*F477</f>
        <v/>
      </c>
      <c r="H477" s="17">
        <f>IF(B477="",0,E477*IFERROR(VLOOKUP(B477,'Recetas y precios'!$A$5:$U$54,21,FALSE),0))</f>
        <v/>
      </c>
      <c r="I477" s="27" t="n"/>
      <c r="J477" s="17">
        <f>G477*I477</f>
        <v/>
      </c>
      <c r="K477" s="17">
        <f>G477-H477-J477</f>
        <v/>
      </c>
      <c r="L477" s="29">
        <f>IF(G477&gt;0,K477/G477,"")</f>
        <v/>
      </c>
      <c r="M477" s="6" t="n"/>
    </row>
    <row r="478">
      <c r="A478" s="32" t="n"/>
      <c r="B478" s="6" t="n"/>
      <c r="C478">
        <f>IF(B478="","",IFERROR(VLOOKUP(B478,'Recetas y precios'!$A$5:$B$54,2,FALSE),""))</f>
        <v/>
      </c>
      <c r="D478" s="6" t="n"/>
      <c r="E478" s="6" t="n"/>
      <c r="F478" s="11" t="n"/>
      <c r="G478" s="17">
        <f>E478*F478</f>
        <v/>
      </c>
      <c r="H478" s="17">
        <f>IF(B478="",0,E478*IFERROR(VLOOKUP(B478,'Recetas y precios'!$A$5:$U$54,21,FALSE),0))</f>
        <v/>
      </c>
      <c r="I478" s="27" t="n"/>
      <c r="J478" s="17">
        <f>G478*I478</f>
        <v/>
      </c>
      <c r="K478" s="17">
        <f>G478-H478-J478</f>
        <v/>
      </c>
      <c r="L478" s="29">
        <f>IF(G478&gt;0,K478/G478,"")</f>
        <v/>
      </c>
      <c r="M478" s="6" t="n"/>
    </row>
    <row r="479">
      <c r="A479" s="32" t="n"/>
      <c r="B479" s="6" t="n"/>
      <c r="C479">
        <f>IF(B479="","",IFERROR(VLOOKUP(B479,'Recetas y precios'!$A$5:$B$54,2,FALSE),""))</f>
        <v/>
      </c>
      <c r="D479" s="6" t="n"/>
      <c r="E479" s="6" t="n"/>
      <c r="F479" s="11" t="n"/>
      <c r="G479" s="17">
        <f>E479*F479</f>
        <v/>
      </c>
      <c r="H479" s="17">
        <f>IF(B479="",0,E479*IFERROR(VLOOKUP(B479,'Recetas y precios'!$A$5:$U$54,21,FALSE),0))</f>
        <v/>
      </c>
      <c r="I479" s="27" t="n"/>
      <c r="J479" s="17">
        <f>G479*I479</f>
        <v/>
      </c>
      <c r="K479" s="17">
        <f>G479-H479-J479</f>
        <v/>
      </c>
      <c r="L479" s="29">
        <f>IF(G479&gt;0,K479/G479,"")</f>
        <v/>
      </c>
      <c r="M479" s="6" t="n"/>
    </row>
    <row r="480">
      <c r="A480" s="32" t="n"/>
      <c r="B480" s="6" t="n"/>
      <c r="C480">
        <f>IF(B480="","",IFERROR(VLOOKUP(B480,'Recetas y precios'!$A$5:$B$54,2,FALSE),""))</f>
        <v/>
      </c>
      <c r="D480" s="6" t="n"/>
      <c r="E480" s="6" t="n"/>
      <c r="F480" s="11" t="n"/>
      <c r="G480" s="17">
        <f>E480*F480</f>
        <v/>
      </c>
      <c r="H480" s="17">
        <f>IF(B480="",0,E480*IFERROR(VLOOKUP(B480,'Recetas y precios'!$A$5:$U$54,21,FALSE),0))</f>
        <v/>
      </c>
      <c r="I480" s="27" t="n"/>
      <c r="J480" s="17">
        <f>G480*I480</f>
        <v/>
      </c>
      <c r="K480" s="17">
        <f>G480-H480-J480</f>
        <v/>
      </c>
      <c r="L480" s="29">
        <f>IF(G480&gt;0,K480/G480,"")</f>
        <v/>
      </c>
      <c r="M480" s="6" t="n"/>
    </row>
    <row r="481">
      <c r="A481" s="32" t="n"/>
      <c r="B481" s="6" t="n"/>
      <c r="C481">
        <f>IF(B481="","",IFERROR(VLOOKUP(B481,'Recetas y precios'!$A$5:$B$54,2,FALSE),""))</f>
        <v/>
      </c>
      <c r="D481" s="6" t="n"/>
      <c r="E481" s="6" t="n"/>
      <c r="F481" s="11" t="n"/>
      <c r="G481" s="17">
        <f>E481*F481</f>
        <v/>
      </c>
      <c r="H481" s="17">
        <f>IF(B481="",0,E481*IFERROR(VLOOKUP(B481,'Recetas y precios'!$A$5:$U$54,21,FALSE),0))</f>
        <v/>
      </c>
      <c r="I481" s="27" t="n"/>
      <c r="J481" s="17">
        <f>G481*I481</f>
        <v/>
      </c>
      <c r="K481" s="17">
        <f>G481-H481-J481</f>
        <v/>
      </c>
      <c r="L481" s="29">
        <f>IF(G481&gt;0,K481/G481,"")</f>
        <v/>
      </c>
      <c r="M481" s="6" t="n"/>
    </row>
    <row r="482">
      <c r="A482" s="32" t="n"/>
      <c r="B482" s="6" t="n"/>
      <c r="C482">
        <f>IF(B482="","",IFERROR(VLOOKUP(B482,'Recetas y precios'!$A$5:$B$54,2,FALSE),""))</f>
        <v/>
      </c>
      <c r="D482" s="6" t="n"/>
      <c r="E482" s="6" t="n"/>
      <c r="F482" s="11" t="n"/>
      <c r="G482" s="17">
        <f>E482*F482</f>
        <v/>
      </c>
      <c r="H482" s="17">
        <f>IF(B482="",0,E482*IFERROR(VLOOKUP(B482,'Recetas y precios'!$A$5:$U$54,21,FALSE),0))</f>
        <v/>
      </c>
      <c r="I482" s="27" t="n"/>
      <c r="J482" s="17">
        <f>G482*I482</f>
        <v/>
      </c>
      <c r="K482" s="17">
        <f>G482-H482-J482</f>
        <v/>
      </c>
      <c r="L482" s="29">
        <f>IF(G482&gt;0,K482/G482,"")</f>
        <v/>
      </c>
      <c r="M482" s="6" t="n"/>
    </row>
    <row r="483">
      <c r="A483" s="32" t="n"/>
      <c r="B483" s="6" t="n"/>
      <c r="C483">
        <f>IF(B483="","",IFERROR(VLOOKUP(B483,'Recetas y precios'!$A$5:$B$54,2,FALSE),""))</f>
        <v/>
      </c>
      <c r="D483" s="6" t="n"/>
      <c r="E483" s="6" t="n"/>
      <c r="F483" s="11" t="n"/>
      <c r="G483" s="17">
        <f>E483*F483</f>
        <v/>
      </c>
      <c r="H483" s="17">
        <f>IF(B483="",0,E483*IFERROR(VLOOKUP(B483,'Recetas y precios'!$A$5:$U$54,21,FALSE),0))</f>
        <v/>
      </c>
      <c r="I483" s="27" t="n"/>
      <c r="J483" s="17">
        <f>G483*I483</f>
        <v/>
      </c>
      <c r="K483" s="17">
        <f>G483-H483-J483</f>
        <v/>
      </c>
      <c r="L483" s="29">
        <f>IF(G483&gt;0,K483/G483,"")</f>
        <v/>
      </c>
      <c r="M483" s="6" t="n"/>
    </row>
    <row r="484">
      <c r="A484" s="32" t="n"/>
      <c r="B484" s="6" t="n"/>
      <c r="C484">
        <f>IF(B484="","",IFERROR(VLOOKUP(B484,'Recetas y precios'!$A$5:$B$54,2,FALSE),""))</f>
        <v/>
      </c>
      <c r="D484" s="6" t="n"/>
      <c r="E484" s="6" t="n"/>
      <c r="F484" s="11" t="n"/>
      <c r="G484" s="17">
        <f>E484*F484</f>
        <v/>
      </c>
      <c r="H484" s="17">
        <f>IF(B484="",0,E484*IFERROR(VLOOKUP(B484,'Recetas y precios'!$A$5:$U$54,21,FALSE),0))</f>
        <v/>
      </c>
      <c r="I484" s="27" t="n"/>
      <c r="J484" s="17">
        <f>G484*I484</f>
        <v/>
      </c>
      <c r="K484" s="17">
        <f>G484-H484-J484</f>
        <v/>
      </c>
      <c r="L484" s="29">
        <f>IF(G484&gt;0,K484/G484,"")</f>
        <v/>
      </c>
      <c r="M484" s="6" t="n"/>
    </row>
    <row r="485">
      <c r="A485" s="32" t="n"/>
      <c r="B485" s="6" t="n"/>
      <c r="C485">
        <f>IF(B485="","",IFERROR(VLOOKUP(B485,'Recetas y precios'!$A$5:$B$54,2,FALSE),""))</f>
        <v/>
      </c>
      <c r="D485" s="6" t="n"/>
      <c r="E485" s="6" t="n"/>
      <c r="F485" s="11" t="n"/>
      <c r="G485" s="17">
        <f>E485*F485</f>
        <v/>
      </c>
      <c r="H485" s="17">
        <f>IF(B485="",0,E485*IFERROR(VLOOKUP(B485,'Recetas y precios'!$A$5:$U$54,21,FALSE),0))</f>
        <v/>
      </c>
      <c r="I485" s="27" t="n"/>
      <c r="J485" s="17">
        <f>G485*I485</f>
        <v/>
      </c>
      <c r="K485" s="17">
        <f>G485-H485-J485</f>
        <v/>
      </c>
      <c r="L485" s="29">
        <f>IF(G485&gt;0,K485/G485,"")</f>
        <v/>
      </c>
      <c r="M485" s="6" t="n"/>
    </row>
    <row r="486">
      <c r="A486" s="32" t="n"/>
      <c r="B486" s="6" t="n"/>
      <c r="C486">
        <f>IF(B486="","",IFERROR(VLOOKUP(B486,'Recetas y precios'!$A$5:$B$54,2,FALSE),""))</f>
        <v/>
      </c>
      <c r="D486" s="6" t="n"/>
      <c r="E486" s="6" t="n"/>
      <c r="F486" s="11" t="n"/>
      <c r="G486" s="17">
        <f>E486*F486</f>
        <v/>
      </c>
      <c r="H486" s="17">
        <f>IF(B486="",0,E486*IFERROR(VLOOKUP(B486,'Recetas y precios'!$A$5:$U$54,21,FALSE),0))</f>
        <v/>
      </c>
      <c r="I486" s="27" t="n"/>
      <c r="J486" s="17">
        <f>G486*I486</f>
        <v/>
      </c>
      <c r="K486" s="17">
        <f>G486-H486-J486</f>
        <v/>
      </c>
      <c r="L486" s="29">
        <f>IF(G486&gt;0,K486/G486,"")</f>
        <v/>
      </c>
      <c r="M486" s="6" t="n"/>
    </row>
    <row r="487">
      <c r="A487" s="32" t="n"/>
      <c r="B487" s="6" t="n"/>
      <c r="C487">
        <f>IF(B487="","",IFERROR(VLOOKUP(B487,'Recetas y precios'!$A$5:$B$54,2,FALSE),""))</f>
        <v/>
      </c>
      <c r="D487" s="6" t="n"/>
      <c r="E487" s="6" t="n"/>
      <c r="F487" s="11" t="n"/>
      <c r="G487" s="17">
        <f>E487*F487</f>
        <v/>
      </c>
      <c r="H487" s="17">
        <f>IF(B487="",0,E487*IFERROR(VLOOKUP(B487,'Recetas y precios'!$A$5:$U$54,21,FALSE),0))</f>
        <v/>
      </c>
      <c r="I487" s="27" t="n"/>
      <c r="J487" s="17">
        <f>G487*I487</f>
        <v/>
      </c>
      <c r="K487" s="17">
        <f>G487-H487-J487</f>
        <v/>
      </c>
      <c r="L487" s="29">
        <f>IF(G487&gt;0,K487/G487,"")</f>
        <v/>
      </c>
      <c r="M487" s="6" t="n"/>
    </row>
    <row r="488">
      <c r="A488" s="32" t="n"/>
      <c r="B488" s="6" t="n"/>
      <c r="C488">
        <f>IF(B488="","",IFERROR(VLOOKUP(B488,'Recetas y precios'!$A$5:$B$54,2,FALSE),""))</f>
        <v/>
      </c>
      <c r="D488" s="6" t="n"/>
      <c r="E488" s="6" t="n"/>
      <c r="F488" s="11" t="n"/>
      <c r="G488" s="17">
        <f>E488*F488</f>
        <v/>
      </c>
      <c r="H488" s="17">
        <f>IF(B488="",0,E488*IFERROR(VLOOKUP(B488,'Recetas y precios'!$A$5:$U$54,21,FALSE),0))</f>
        <v/>
      </c>
      <c r="I488" s="27" t="n"/>
      <c r="J488" s="17">
        <f>G488*I488</f>
        <v/>
      </c>
      <c r="K488" s="17">
        <f>G488-H488-J488</f>
        <v/>
      </c>
      <c r="L488" s="29">
        <f>IF(G488&gt;0,K488/G488,"")</f>
        <v/>
      </c>
      <c r="M488" s="6" t="n"/>
    </row>
    <row r="489">
      <c r="A489" s="32" t="n"/>
      <c r="B489" s="6" t="n"/>
      <c r="C489">
        <f>IF(B489="","",IFERROR(VLOOKUP(B489,'Recetas y precios'!$A$5:$B$54,2,FALSE),""))</f>
        <v/>
      </c>
      <c r="D489" s="6" t="n"/>
      <c r="E489" s="6" t="n"/>
      <c r="F489" s="11" t="n"/>
      <c r="G489" s="17">
        <f>E489*F489</f>
        <v/>
      </c>
      <c r="H489" s="17">
        <f>IF(B489="",0,E489*IFERROR(VLOOKUP(B489,'Recetas y precios'!$A$5:$U$54,21,FALSE),0))</f>
        <v/>
      </c>
      <c r="I489" s="27" t="n"/>
      <c r="J489" s="17">
        <f>G489*I489</f>
        <v/>
      </c>
      <c r="K489" s="17">
        <f>G489-H489-J489</f>
        <v/>
      </c>
      <c r="L489" s="29">
        <f>IF(G489&gt;0,K489/G489,"")</f>
        <v/>
      </c>
      <c r="M489" s="6" t="n"/>
    </row>
    <row r="490">
      <c r="A490" s="32" t="n"/>
      <c r="B490" s="6" t="n"/>
      <c r="C490">
        <f>IF(B490="","",IFERROR(VLOOKUP(B490,'Recetas y precios'!$A$5:$B$54,2,FALSE),""))</f>
        <v/>
      </c>
      <c r="D490" s="6" t="n"/>
      <c r="E490" s="6" t="n"/>
      <c r="F490" s="11" t="n"/>
      <c r="G490" s="17">
        <f>E490*F490</f>
        <v/>
      </c>
      <c r="H490" s="17">
        <f>IF(B490="",0,E490*IFERROR(VLOOKUP(B490,'Recetas y precios'!$A$5:$U$54,21,FALSE),0))</f>
        <v/>
      </c>
      <c r="I490" s="27" t="n"/>
      <c r="J490" s="17">
        <f>G490*I490</f>
        <v/>
      </c>
      <c r="K490" s="17">
        <f>G490-H490-J490</f>
        <v/>
      </c>
      <c r="L490" s="29">
        <f>IF(G490&gt;0,K490/G490,"")</f>
        <v/>
      </c>
      <c r="M490" s="6" t="n"/>
    </row>
    <row r="491">
      <c r="A491" s="32" t="n"/>
      <c r="B491" s="6" t="n"/>
      <c r="C491">
        <f>IF(B491="","",IFERROR(VLOOKUP(B491,'Recetas y precios'!$A$5:$B$54,2,FALSE),""))</f>
        <v/>
      </c>
      <c r="D491" s="6" t="n"/>
      <c r="E491" s="6" t="n"/>
      <c r="F491" s="11" t="n"/>
      <c r="G491" s="17">
        <f>E491*F491</f>
        <v/>
      </c>
      <c r="H491" s="17">
        <f>IF(B491="",0,E491*IFERROR(VLOOKUP(B491,'Recetas y precios'!$A$5:$U$54,21,FALSE),0))</f>
        <v/>
      </c>
      <c r="I491" s="27" t="n"/>
      <c r="J491" s="17">
        <f>G491*I491</f>
        <v/>
      </c>
      <c r="K491" s="17">
        <f>G491-H491-J491</f>
        <v/>
      </c>
      <c r="L491" s="29">
        <f>IF(G491&gt;0,K491/G491,"")</f>
        <v/>
      </c>
      <c r="M491" s="6" t="n"/>
    </row>
    <row r="492">
      <c r="A492" s="32" t="n"/>
      <c r="B492" s="6" t="n"/>
      <c r="C492">
        <f>IF(B492="","",IFERROR(VLOOKUP(B492,'Recetas y precios'!$A$5:$B$54,2,FALSE),""))</f>
        <v/>
      </c>
      <c r="D492" s="6" t="n"/>
      <c r="E492" s="6" t="n"/>
      <c r="F492" s="11" t="n"/>
      <c r="G492" s="17">
        <f>E492*F492</f>
        <v/>
      </c>
      <c r="H492" s="17">
        <f>IF(B492="",0,E492*IFERROR(VLOOKUP(B492,'Recetas y precios'!$A$5:$U$54,21,FALSE),0))</f>
        <v/>
      </c>
      <c r="I492" s="27" t="n"/>
      <c r="J492" s="17">
        <f>G492*I492</f>
        <v/>
      </c>
      <c r="K492" s="17">
        <f>G492-H492-J492</f>
        <v/>
      </c>
      <c r="L492" s="29">
        <f>IF(G492&gt;0,K492/G492,"")</f>
        <v/>
      </c>
      <c r="M492" s="6" t="n"/>
    </row>
    <row r="493">
      <c r="A493" s="32" t="n"/>
      <c r="B493" s="6" t="n"/>
      <c r="C493">
        <f>IF(B493="","",IFERROR(VLOOKUP(B493,'Recetas y precios'!$A$5:$B$54,2,FALSE),""))</f>
        <v/>
      </c>
      <c r="D493" s="6" t="n"/>
      <c r="E493" s="6" t="n"/>
      <c r="F493" s="11" t="n"/>
      <c r="G493" s="17">
        <f>E493*F493</f>
        <v/>
      </c>
      <c r="H493" s="17">
        <f>IF(B493="",0,E493*IFERROR(VLOOKUP(B493,'Recetas y precios'!$A$5:$U$54,21,FALSE),0))</f>
        <v/>
      </c>
      <c r="I493" s="27" t="n"/>
      <c r="J493" s="17">
        <f>G493*I493</f>
        <v/>
      </c>
      <c r="K493" s="17">
        <f>G493-H493-J493</f>
        <v/>
      </c>
      <c r="L493" s="29">
        <f>IF(G493&gt;0,K493/G493,"")</f>
        <v/>
      </c>
      <c r="M493" s="6" t="n"/>
    </row>
    <row r="494">
      <c r="A494" s="32" t="n"/>
      <c r="B494" s="6" t="n"/>
      <c r="C494">
        <f>IF(B494="","",IFERROR(VLOOKUP(B494,'Recetas y precios'!$A$5:$B$54,2,FALSE),""))</f>
        <v/>
      </c>
      <c r="D494" s="6" t="n"/>
      <c r="E494" s="6" t="n"/>
      <c r="F494" s="11" t="n"/>
      <c r="G494" s="17">
        <f>E494*F494</f>
        <v/>
      </c>
      <c r="H494" s="17">
        <f>IF(B494="",0,E494*IFERROR(VLOOKUP(B494,'Recetas y precios'!$A$5:$U$54,21,FALSE),0))</f>
        <v/>
      </c>
      <c r="I494" s="27" t="n"/>
      <c r="J494" s="17">
        <f>G494*I494</f>
        <v/>
      </c>
      <c r="K494" s="17">
        <f>G494-H494-J494</f>
        <v/>
      </c>
      <c r="L494" s="29">
        <f>IF(G494&gt;0,K494/G494,"")</f>
        <v/>
      </c>
      <c r="M494" s="6" t="n"/>
    </row>
    <row r="495">
      <c r="A495" s="32" t="n"/>
      <c r="B495" s="6" t="n"/>
      <c r="C495">
        <f>IF(B495="","",IFERROR(VLOOKUP(B495,'Recetas y precios'!$A$5:$B$54,2,FALSE),""))</f>
        <v/>
      </c>
      <c r="D495" s="6" t="n"/>
      <c r="E495" s="6" t="n"/>
      <c r="F495" s="11" t="n"/>
      <c r="G495" s="17">
        <f>E495*F495</f>
        <v/>
      </c>
      <c r="H495" s="17">
        <f>IF(B495="",0,E495*IFERROR(VLOOKUP(B495,'Recetas y precios'!$A$5:$U$54,21,FALSE),0))</f>
        <v/>
      </c>
      <c r="I495" s="27" t="n"/>
      <c r="J495" s="17">
        <f>G495*I495</f>
        <v/>
      </c>
      <c r="K495" s="17">
        <f>G495-H495-J495</f>
        <v/>
      </c>
      <c r="L495" s="29">
        <f>IF(G495&gt;0,K495/G495,"")</f>
        <v/>
      </c>
      <c r="M495" s="6" t="n"/>
    </row>
    <row r="496">
      <c r="A496" s="32" t="n"/>
      <c r="B496" s="6" t="n"/>
      <c r="C496">
        <f>IF(B496="","",IFERROR(VLOOKUP(B496,'Recetas y precios'!$A$5:$B$54,2,FALSE),""))</f>
        <v/>
      </c>
      <c r="D496" s="6" t="n"/>
      <c r="E496" s="6" t="n"/>
      <c r="F496" s="11" t="n"/>
      <c r="G496" s="17">
        <f>E496*F496</f>
        <v/>
      </c>
      <c r="H496" s="17">
        <f>IF(B496="",0,E496*IFERROR(VLOOKUP(B496,'Recetas y precios'!$A$5:$U$54,21,FALSE),0))</f>
        <v/>
      </c>
      <c r="I496" s="27" t="n"/>
      <c r="J496" s="17">
        <f>G496*I496</f>
        <v/>
      </c>
      <c r="K496" s="17">
        <f>G496-H496-J496</f>
        <v/>
      </c>
      <c r="L496" s="29">
        <f>IF(G496&gt;0,K496/G496,"")</f>
        <v/>
      </c>
      <c r="M496" s="6" t="n"/>
    </row>
    <row r="497">
      <c r="A497" s="32" t="n"/>
      <c r="B497" s="6" t="n"/>
      <c r="C497">
        <f>IF(B497="","",IFERROR(VLOOKUP(B497,'Recetas y precios'!$A$5:$B$54,2,FALSE),""))</f>
        <v/>
      </c>
      <c r="D497" s="6" t="n"/>
      <c r="E497" s="6" t="n"/>
      <c r="F497" s="11" t="n"/>
      <c r="G497" s="17">
        <f>E497*F497</f>
        <v/>
      </c>
      <c r="H497" s="17">
        <f>IF(B497="",0,E497*IFERROR(VLOOKUP(B497,'Recetas y precios'!$A$5:$U$54,21,FALSE),0))</f>
        <v/>
      </c>
      <c r="I497" s="27" t="n"/>
      <c r="J497" s="17">
        <f>G497*I497</f>
        <v/>
      </c>
      <c r="K497" s="17">
        <f>G497-H497-J497</f>
        <v/>
      </c>
      <c r="L497" s="29">
        <f>IF(G497&gt;0,K497/G497,"")</f>
        <v/>
      </c>
      <c r="M497" s="6" t="n"/>
    </row>
    <row r="498">
      <c r="A498" s="32" t="n"/>
      <c r="B498" s="6" t="n"/>
      <c r="C498">
        <f>IF(B498="","",IFERROR(VLOOKUP(B498,'Recetas y precios'!$A$5:$B$54,2,FALSE),""))</f>
        <v/>
      </c>
      <c r="D498" s="6" t="n"/>
      <c r="E498" s="6" t="n"/>
      <c r="F498" s="11" t="n"/>
      <c r="G498" s="17">
        <f>E498*F498</f>
        <v/>
      </c>
      <c r="H498" s="17">
        <f>IF(B498="",0,E498*IFERROR(VLOOKUP(B498,'Recetas y precios'!$A$5:$U$54,21,FALSE),0))</f>
        <v/>
      </c>
      <c r="I498" s="27" t="n"/>
      <c r="J498" s="17">
        <f>G498*I498</f>
        <v/>
      </c>
      <c r="K498" s="17">
        <f>G498-H498-J498</f>
        <v/>
      </c>
      <c r="L498" s="29">
        <f>IF(G498&gt;0,K498/G498,"")</f>
        <v/>
      </c>
      <c r="M498" s="6" t="n"/>
    </row>
    <row r="499">
      <c r="A499" s="32" t="n"/>
      <c r="B499" s="6" t="n"/>
      <c r="C499">
        <f>IF(B499="","",IFERROR(VLOOKUP(B499,'Recetas y precios'!$A$5:$B$54,2,FALSE),""))</f>
        <v/>
      </c>
      <c r="D499" s="6" t="n"/>
      <c r="E499" s="6" t="n"/>
      <c r="F499" s="11" t="n"/>
      <c r="G499" s="17">
        <f>E499*F499</f>
        <v/>
      </c>
      <c r="H499" s="17">
        <f>IF(B499="",0,E499*IFERROR(VLOOKUP(B499,'Recetas y precios'!$A$5:$U$54,21,FALSE),0))</f>
        <v/>
      </c>
      <c r="I499" s="27" t="n"/>
      <c r="J499" s="17">
        <f>G499*I499</f>
        <v/>
      </c>
      <c r="K499" s="17">
        <f>G499-H499-J499</f>
        <v/>
      </c>
      <c r="L499" s="29">
        <f>IF(G499&gt;0,K499/G499,"")</f>
        <v/>
      </c>
      <c r="M499" s="6" t="n"/>
    </row>
    <row r="500">
      <c r="A500" s="32" t="n"/>
      <c r="B500" s="6" t="n"/>
      <c r="C500">
        <f>IF(B500="","",IFERROR(VLOOKUP(B500,'Recetas y precios'!$A$5:$B$54,2,FALSE),""))</f>
        <v/>
      </c>
      <c r="D500" s="6" t="n"/>
      <c r="E500" s="6" t="n"/>
      <c r="F500" s="11" t="n"/>
      <c r="G500" s="17">
        <f>E500*F500</f>
        <v/>
      </c>
      <c r="H500" s="17">
        <f>IF(B500="",0,E500*IFERROR(VLOOKUP(B500,'Recetas y precios'!$A$5:$U$54,21,FALSE),0))</f>
        <v/>
      </c>
      <c r="I500" s="27" t="n"/>
      <c r="J500" s="17">
        <f>G500*I500</f>
        <v/>
      </c>
      <c r="K500" s="17">
        <f>G500-H500-J500</f>
        <v/>
      </c>
      <c r="L500" s="29">
        <f>IF(G500&gt;0,K500/G500,"")</f>
        <v/>
      </c>
      <c r="M500" s="6" t="n"/>
    </row>
    <row r="501">
      <c r="A501" s="32" t="n"/>
      <c r="B501" s="6" t="n"/>
      <c r="C501">
        <f>IF(B501="","",IFERROR(VLOOKUP(B501,'Recetas y precios'!$A$5:$B$54,2,FALSE),""))</f>
        <v/>
      </c>
      <c r="D501" s="6" t="n"/>
      <c r="E501" s="6" t="n"/>
      <c r="F501" s="11" t="n"/>
      <c r="G501" s="17">
        <f>E501*F501</f>
        <v/>
      </c>
      <c r="H501" s="17">
        <f>IF(B501="",0,E501*IFERROR(VLOOKUP(B501,'Recetas y precios'!$A$5:$U$54,21,FALSE),0))</f>
        <v/>
      </c>
      <c r="I501" s="27" t="n"/>
      <c r="J501" s="17">
        <f>G501*I501</f>
        <v/>
      </c>
      <c r="K501" s="17">
        <f>G501-H501-J501</f>
        <v/>
      </c>
      <c r="L501" s="29">
        <f>IF(G501&gt;0,K501/G501,"")</f>
        <v/>
      </c>
      <c r="M501" s="6" t="n"/>
    </row>
    <row r="502">
      <c r="A502" s="32" t="n"/>
      <c r="B502" s="6" t="n"/>
      <c r="C502">
        <f>IF(B502="","",IFERROR(VLOOKUP(B502,'Recetas y precios'!$A$5:$B$54,2,FALSE),""))</f>
        <v/>
      </c>
      <c r="D502" s="6" t="n"/>
      <c r="E502" s="6" t="n"/>
      <c r="F502" s="11" t="n"/>
      <c r="G502" s="17">
        <f>E502*F502</f>
        <v/>
      </c>
      <c r="H502" s="17">
        <f>IF(B502="",0,E502*IFERROR(VLOOKUP(B502,'Recetas y precios'!$A$5:$U$54,21,FALSE),0))</f>
        <v/>
      </c>
      <c r="I502" s="27" t="n"/>
      <c r="J502" s="17">
        <f>G502*I502</f>
        <v/>
      </c>
      <c r="K502" s="17">
        <f>G502-H502-J502</f>
        <v/>
      </c>
      <c r="L502" s="29">
        <f>IF(G502&gt;0,K502/G502,"")</f>
        <v/>
      </c>
      <c r="M502" s="6" t="n"/>
    </row>
    <row r="503">
      <c r="A503" s="32" t="n"/>
      <c r="B503" s="6" t="n"/>
      <c r="C503">
        <f>IF(B503="","",IFERROR(VLOOKUP(B503,'Recetas y precios'!$A$5:$B$54,2,FALSE),""))</f>
        <v/>
      </c>
      <c r="D503" s="6" t="n"/>
      <c r="E503" s="6" t="n"/>
      <c r="F503" s="11" t="n"/>
      <c r="G503" s="17">
        <f>E503*F503</f>
        <v/>
      </c>
      <c r="H503" s="17">
        <f>IF(B503="",0,E503*IFERROR(VLOOKUP(B503,'Recetas y precios'!$A$5:$U$54,21,FALSE),0))</f>
        <v/>
      </c>
      <c r="I503" s="27" t="n"/>
      <c r="J503" s="17">
        <f>G503*I503</f>
        <v/>
      </c>
      <c r="K503" s="17">
        <f>G503-H503-J503</f>
        <v/>
      </c>
      <c r="L503" s="29">
        <f>IF(G503&gt;0,K503/G503,"")</f>
        <v/>
      </c>
      <c r="M503" s="6" t="n"/>
    </row>
    <row r="504">
      <c r="A504" s="32" t="n"/>
      <c r="B504" s="6" t="n"/>
      <c r="C504">
        <f>IF(B504="","",IFERROR(VLOOKUP(B504,'Recetas y precios'!$A$5:$B$54,2,FALSE),""))</f>
        <v/>
      </c>
      <c r="D504" s="6" t="n"/>
      <c r="E504" s="6" t="n"/>
      <c r="F504" s="11" t="n"/>
      <c r="G504" s="17">
        <f>E504*F504</f>
        <v/>
      </c>
      <c r="H504" s="17">
        <f>IF(B504="",0,E504*IFERROR(VLOOKUP(B504,'Recetas y precios'!$A$5:$U$54,21,FALSE),0))</f>
        <v/>
      </c>
      <c r="I504" s="27" t="n"/>
      <c r="J504" s="17">
        <f>G504*I504</f>
        <v/>
      </c>
      <c r="K504" s="17">
        <f>G504-H504-J504</f>
        <v/>
      </c>
      <c r="L504" s="29">
        <f>IF(G504&gt;0,K504/G504,"")</f>
        <v/>
      </c>
      <c r="M504" s="6" t="n"/>
    </row>
  </sheetData>
  <conditionalFormatting sqref="K5:K504">
    <cfRule type="cellIs" priority="1" operator="lessThan" dxfId="1">
      <formula>0</formula>
    </cfRule>
  </conditionalFormatting>
  <dataValidations count="2">
    <dataValidation sqref="D5:D504" showDropDown="0" showInputMessage="0" showErrorMessage="0" allowBlank="1" type="list">
      <formula1>"Salón y barra de vinos,Para llevar y reparto,Evento y catering,Mayoreo y corporativo,Degustación o cortesía"</formula1>
    </dataValidation>
    <dataValidation sqref="B5:B504" showDropDown="0" showInputMessage="0" showErrorMessage="0" allowBlank="1" type="whole" operator="between">
      <formula1>1</formula1>
      <formula2>50</formula2>
    </dataValidation>
  </dataValidations>
  <pageMargins left="0.75" right="0.75" top="1" bottom="1" header="0.5" footer="0.5"/>
</worksheet>
</file>

<file path=xl/worksheets/sheet9.xml><?xml version="1.0" encoding="utf-8"?>
<worksheet xmlns="http://schemas.openxmlformats.org/spreadsheetml/2006/main">
  <sheetPr>
    <tabColor rgb="004E1454"/>
    <outlinePr summaryBelow="1" summaryRight="1"/>
    <pageSetUpPr/>
  </sheetPr>
  <dimension ref="A1:G28"/>
  <sheetViews>
    <sheetView showGridLines="0" workbookViewId="0">
      <selection activeCell="A1" sqref="A1"/>
    </sheetView>
  </sheetViews>
  <sheetFormatPr baseColWidth="8" defaultRowHeight="15"/>
  <cols>
    <col width="4" customWidth="1" min="1" max="1"/>
    <col width="52" customWidth="1" min="2" max="2"/>
    <col width="18" customWidth="1" min="3" max="3"/>
    <col width="4" customWidth="1" min="4" max="4"/>
    <col width="44" customWidth="1" min="5" max="5"/>
    <col width="16" customWidth="1" min="6" max="6"/>
    <col width="14" customWidth="1" min="7" max="7"/>
  </cols>
  <sheetData>
    <row r="1">
      <c r="A1" s="1" t="inlineStr">
        <is>
          <t>Tablero</t>
        </is>
      </c>
    </row>
    <row r="2">
      <c r="A2" s="7" t="inlineStr">
        <is>
          <t>Resumen automático de Ventas y Producción. No se edita.</t>
        </is>
      </c>
    </row>
    <row r="3">
      <c r="B3" s="18" t="inlineStr">
        <is>
          <t>Ventas</t>
        </is>
      </c>
      <c r="E3" s="33" t="inlineStr">
        <is>
          <t>Canal</t>
        </is>
      </c>
      <c r="F3" s="33" t="inlineStr">
        <is>
          <t>Ingreso</t>
        </is>
      </c>
      <c r="G3" s="33" t="inlineStr">
        <is>
          <t>Tablas</t>
        </is>
      </c>
    </row>
    <row r="4">
      <c r="B4" s="9" t="inlineStr">
        <is>
          <t>Ingreso acumulado</t>
        </is>
      </c>
      <c r="C4" s="34">
        <f>SUM(Ventas!G5:G504)</f>
        <v/>
      </c>
      <c r="E4" t="inlineStr">
        <is>
          <t>Salón y barra de vinos</t>
        </is>
      </c>
      <c r="F4" s="31">
        <f>SUMIF(Ventas!$D$5:$D$504,E4,Ventas!$G$5:$G$504)</f>
        <v/>
      </c>
      <c r="G4" s="35">
        <f>SUMIF(Ventas!$D$5:$D$504,E4,Ventas!$E$5:$E$504)</f>
        <v/>
      </c>
    </row>
    <row r="5">
      <c r="B5" s="9" t="inlineStr">
        <is>
          <t>Tablas vendidos</t>
        </is>
      </c>
      <c r="C5" s="36">
        <f>SUM(Ventas!E5:E504)</f>
        <v/>
      </c>
      <c r="E5" t="inlineStr">
        <is>
          <t>Para llevar y reparto</t>
        </is>
      </c>
      <c r="F5" s="31">
        <f>SUMIF(Ventas!$D$5:$D$504,E5,Ventas!$G$5:$G$504)</f>
        <v/>
      </c>
      <c r="G5" s="35">
        <f>SUMIF(Ventas!$D$5:$D$504,E5,Ventas!$E$5:$E$504)</f>
        <v/>
      </c>
    </row>
    <row r="6">
      <c r="B6" s="9" t="inlineStr">
        <is>
          <t>Costo de lo vendido</t>
        </is>
      </c>
      <c r="C6" s="34">
        <f>SUM(Ventas!H5:H504)</f>
        <v/>
      </c>
      <c r="E6" t="inlineStr">
        <is>
          <t>Evento y catering</t>
        </is>
      </c>
      <c r="F6" s="31">
        <f>SUMIF(Ventas!$D$5:$D$504,E6,Ventas!$G$5:$G$504)</f>
        <v/>
      </c>
      <c r="G6" s="35">
        <f>SUMIF(Ventas!$D$5:$D$504,E6,Ventas!$E$5:$E$504)</f>
        <v/>
      </c>
    </row>
    <row r="7">
      <c r="B7" s="9" t="inlineStr">
        <is>
          <t>Comisiones</t>
        </is>
      </c>
      <c r="C7" s="34">
        <f>SUM(Ventas!J5:J504)</f>
        <v/>
      </c>
      <c r="E7" t="inlineStr">
        <is>
          <t>Mayoreo y corporativo</t>
        </is>
      </c>
      <c r="F7" s="31">
        <f>SUMIF(Ventas!$D$5:$D$504,E7,Ventas!$G$5:$G$504)</f>
        <v/>
      </c>
      <c r="G7" s="35">
        <f>SUMIF(Ventas!$D$5:$D$504,E7,Ventas!$E$5:$E$504)</f>
        <v/>
      </c>
    </row>
    <row r="8">
      <c r="B8" s="9" t="inlineStr">
        <is>
          <t>Utilidad neta (antes de gastos fijos)</t>
        </is>
      </c>
      <c r="C8" s="34">
        <f>SUM(Ventas!K5:K504)</f>
        <v/>
      </c>
      <c r="E8" t="inlineStr">
        <is>
          <t>Degustación o cortesía</t>
        </is>
      </c>
      <c r="F8" s="31">
        <f>SUMIF(Ventas!$D$5:$D$504,E8,Ventas!$G$5:$G$504)</f>
        <v/>
      </c>
      <c r="G8" s="35">
        <f>SUMIF(Ventas!$D$5:$D$504,E8,Ventas!$E$5:$E$504)</f>
        <v/>
      </c>
    </row>
    <row r="9">
      <c r="B9" s="9" t="inlineStr">
        <is>
          <t>Margen neto</t>
        </is>
      </c>
      <c r="C9" s="37">
        <f>IFERROR(C8/C4,0)</f>
        <v/>
      </c>
    </row>
    <row r="10">
      <c r="B10" s="9" t="inlineStr">
        <is>
          <t>Utilidad después de gastos fijos</t>
        </is>
      </c>
      <c r="C10" s="34">
        <f>C8-'Mi negocio'!C17</f>
        <v/>
      </c>
    </row>
    <row r="11">
      <c r="B11" s="18" t="inlineStr">
        <is>
          <t>Producción y merma</t>
        </is>
      </c>
      <c r="E11" s="33" t="inlineStr">
        <is>
          <t>Preparación base</t>
        </is>
      </c>
      <c r="F11" s="33" t="inlineStr">
        <is>
          <t>Costo del lote</t>
        </is>
      </c>
      <c r="G11" s="33" t="inlineStr">
        <is>
          <t>Costo unitario</t>
        </is>
      </c>
    </row>
    <row r="12">
      <c r="B12" s="9" t="inlineStr">
        <is>
          <t>Tablas buenos producidos</t>
        </is>
      </c>
      <c r="C12" s="36">
        <f>SUM(Producción!F5:F304)</f>
        <v/>
      </c>
      <c r="E12" t="inlineStr">
        <is>
          <t>B-1 · Mermelada o compota densa de la casa</t>
        </is>
      </c>
      <c r="F12" s="17">
        <f>'Preparaciones de la casa'!F5</f>
        <v/>
      </c>
      <c r="G12" s="12">
        <f>'Preparaciones de la casa'!G5</f>
        <v/>
      </c>
    </row>
    <row r="13">
      <c r="B13" s="9" t="inlineStr">
        <is>
          <t>Tablas fallados</t>
        </is>
      </c>
      <c r="C13" s="36">
        <f>SUM(Producción!G5:G304)</f>
        <v/>
      </c>
      <c r="E13" t="inlineStr">
        <is>
          <t>B-2 · Reducción densa de vino para tabla</t>
        </is>
      </c>
      <c r="F13" s="17">
        <f>'Preparaciones de la casa'!F6</f>
        <v/>
      </c>
      <c r="G13" s="12">
        <f>'Preparaciones de la casa'!G6</f>
        <v/>
      </c>
    </row>
    <row r="14">
      <c r="B14" s="9" t="inlineStr">
        <is>
          <t>Merma real</t>
        </is>
      </c>
      <c r="C14" s="37">
        <f>IFERROR(C13/(C12+C13),0)</f>
        <v/>
      </c>
      <c r="E14" t="inlineStr">
        <is>
          <t>B-3 · Confit de cebolla o chalota al vino</t>
        </is>
      </c>
      <c r="F14" s="17">
        <f>'Preparaciones de la casa'!F7</f>
        <v/>
      </c>
      <c r="G14" s="12">
        <f>'Preparaciones de la casa'!G7</f>
        <v/>
      </c>
    </row>
    <row r="15">
      <c r="B15" s="9" t="inlineStr">
        <is>
          <t>Merma supuesta</t>
        </is>
      </c>
      <c r="C15" s="37">
        <f>'Mi negocio'!$C$24</f>
        <v/>
      </c>
      <c r="E15" t="inlineStr">
        <is>
          <t>B-4 · Encurtido rápido de la casa</t>
        </is>
      </c>
      <c r="F15" s="17">
        <f>'Preparaciones de la casa'!F8</f>
        <v/>
      </c>
      <c r="G15" s="12">
        <f>'Preparaciones de la casa'!G8</f>
        <v/>
      </c>
    </row>
    <row r="16">
      <c r="B16" s="9" t="inlineStr">
        <is>
          <t>Dinero perdido en merma</t>
        </is>
      </c>
      <c r="C16" s="34">
        <f>SUM(Producción!J5:J304)</f>
        <v/>
      </c>
    </row>
    <row r="17">
      <c r="B17" s="18" t="inlineStr">
        <is>
          <t>Punto de equilibrio</t>
        </is>
      </c>
    </row>
    <row r="18">
      <c r="B18" s="9" t="inlineStr">
        <is>
          <t>Precio promedio · Salón y barra de vinos</t>
        </is>
      </c>
      <c r="C18" s="38">
        <f>AVERAGE('Recetas y precios'!$X$5:$X$54)</f>
        <v/>
      </c>
    </row>
    <row r="19">
      <c r="B19" s="9" t="inlineStr">
        <is>
          <t>Costo total promedio (recetario)</t>
        </is>
      </c>
      <c r="C19" s="38">
        <f>AVERAGE('Recetas y precios'!$U$5:$U$54)</f>
        <v/>
      </c>
    </row>
    <row r="20">
      <c r="B20" s="9" t="inlineStr">
        <is>
          <t>Margen de contribución promedio</t>
        </is>
      </c>
      <c r="C20" s="38">
        <f>C18-C19</f>
        <v/>
      </c>
    </row>
    <row r="21">
      <c r="B21" s="9" t="inlineStr">
        <is>
          <t>Margen de contribución real de tus ventas</t>
        </is>
      </c>
      <c r="C21" s="38">
        <f>IFERROR((C4-C6-C7)/C5,0)</f>
        <v/>
      </c>
      <c r="D21" s="39" t="inlineStr">
        <is>
          <t>←</t>
        </is>
      </c>
      <c r="E21" s="7" t="inlineStr">
        <is>
          <t>En cuanto registres ventas reales, el equilibrio usa tu margen real, no el promedio del recetario.</t>
        </is>
      </c>
    </row>
    <row r="22">
      <c r="B22" s="9" t="inlineStr">
        <is>
          <t>Gastos fijos del mes</t>
        </is>
      </c>
      <c r="C22" s="34">
        <f>'Mi negocio'!C17</f>
        <v/>
      </c>
    </row>
    <row r="23">
      <c r="B23" s="9" t="inlineStr">
        <is>
          <t>PUNTO DE EQUILIBRIO (tablas al mes)</t>
        </is>
      </c>
      <c r="C23" s="40">
        <f>IFERROR(ROUNDUP(C22/IF(C21&gt;0,C21,C20),0),0)</f>
        <v/>
      </c>
    </row>
    <row r="24">
      <c r="B24" s="9" t="inlineStr">
        <is>
          <t>Avance contra el punto de equilibrio</t>
        </is>
      </c>
      <c r="C24" s="37">
        <f>IFERROR(C5/C23,0)</f>
        <v/>
      </c>
    </row>
    <row r="28">
      <c r="B28" s="41" t="inlineStr">
        <is>
          <t>Endulcora · Estudio Gastronómico · En colaboración con Levent · Tablas de Charcutería · Anexo 1</t>
        </is>
      </c>
    </row>
  </sheetData>
  <conditionalFormatting sqref="C14">
    <cfRule type="expression" priority="1" dxfId="2">
      <formula>C14&gt;C15</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2026-09-26T21:00:14Z</dcterms:created>
  <dcterms:modified xmlns:dcterms="http://purl.org/dc/terms/" xmlns:xsi="http://www.w3.org/2001/XMLSchema-instance" xsi:type="dcterms:W3CDTF">2026-09-26T21:00:14Z</dcterms:modified>
</cp:coreProperties>
</file>