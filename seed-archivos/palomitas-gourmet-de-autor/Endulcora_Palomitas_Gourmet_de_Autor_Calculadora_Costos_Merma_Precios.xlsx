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eme" sheetId="1" state="visible" r:id="rId3"/>
    <sheet name="Costeo" sheetId="2" state="visible" r:id="rId4"/>
    <sheet name="Parámetros" sheetId="3" state="visible" r:id="rId5"/>
    <sheet name="Catálogo" sheetId="4" state="visible" r:id="rId6"/>
    <sheet name="Recetas" sheetId="5" state="visible" r:id="rId7"/>
  </sheets>
  <definedNames>
    <definedName function="false" hidden="true" localSheetId="4" name="_xlnm._FilterDatabase" vbProcedure="false">Recetas!$A$1:$I$468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<sst xmlns="http://schemas.openxmlformats.org/spreadsheetml/2006/main" count="3081" uniqueCount="816">
  <si>
    <t xml:space="preserve">ANEXO 1 · PLANTILLA DE COSTEO</t>
  </si>
  <si>
    <t xml:space="preserve">Palomitas Gourmet de Autor &amp; Confitería Técnica — Oficios Dulces · Endulcora Estudio Gastronómico · En colaboración con Levent</t>
  </si>
  <si>
    <t xml:space="preserve">CÓMO USAR ESTA PLANTILLA</t>
  </si>
  <si>
    <t xml:space="preserve">1. Hoja «Catálogo»: escribe TU precio real de compra (columna E) y la cantidad de la presentación (columna C). El costo por gramo/ml se calcula solo.</t>
  </si>
  <si>
    <t xml:space="preserve">2. Hoja «Parámetros»: ajusta empaque por porción, energía, tarifa de mano de obra, overhead, % de merma y márgenes por canal.</t>
  </si>
  <si>
    <t xml:space="preserve">3. Hoja «Costeo»: ajusta las horas por lote de cada receta (columna G). Todo lo demás se recalcula: costo del lote, costo por porción y precio de venta por canal.</t>
  </si>
  <si>
    <t xml:space="preserve">4. Hoja «Recetas»: contiene las 51 fórmulas línea por línea, tal como aparecen en el ebook. No necesitas editarla; si cambias una cantidad, el costeo se actualiza.</t>
  </si>
  <si>
    <t xml:space="preserve">CÓDIGO DE COLORES</t>
  </si>
  <si>
    <t xml:space="preserve">Texto AZUL sobre fondo AMARILLO = dato que tú capturas (precio, parámetro, horas).</t>
  </si>
  <si>
    <t xml:space="preserve">Texto negro = fórmula. No la sobrescribas.</t>
  </si>
  <si>
    <t xml:space="preserve">FÓRMULAS (idénticas en el ebook, en esta hoja y en la app HTML)</t>
  </si>
  <si>
    <t xml:space="preserve">Costo por gramo = Precio de compra ÷ Cantidad comprada</t>
  </si>
  <si>
    <t xml:space="preserve">Costo de insumos del lote = SUMA(Cantidad × Costo por gramo) de todas las líneas de la receta</t>
  </si>
  <si>
    <t xml:space="preserve">Costo base del lote = Insumos + (Empaque por porción × Porciones) + Energía + (Horas × Tarifa) + Overhead</t>
  </si>
  <si>
    <t xml:space="preserve">Costo total del lote = Costo base ÷ (1 − % merma)      ← la merma DIVIDE, nunca se suma</t>
  </si>
  <si>
    <t xml:space="preserve">Costo por porción = Costo total ÷ Porciones</t>
  </si>
  <si>
    <t xml:space="preserve">Precio de venta = Costo por porción ÷ (1 − margen del canal)</t>
  </si>
  <si>
    <t xml:space="preserve">AVISO IMPORTANTE SOBRE LOS PRECIOS PRECARGADOS</t>
  </si>
  <si>
    <t xml:space="preserve">Todos los precios del catálogo y los parámetros son valores de REFERENCIA ESTIMADOS (Ciudad de México, septiembre 2026) para que la hoja funcione desde el primer día. No son cotizaciones reales. Sustitúyelos por tus precios de compra antes de fijar precios de venta.</t>
  </si>
  <si>
    <t xml:space="preserve">Quesos, polvos y reducciones: la fórmula indica el peso ya transformado (queso en polvo, reducción). Si tú deshidratas o reduces, ajusta el costo por gramo según tu rendimiento real.</t>
  </si>
  <si>
    <t xml:space="preserve">Maíz reventado: el costo por gramo reventado considera la pérdida de humedad y los granos sin abrir. Palomitas pre-selladas (Recetas 12, 13, 15 y 17): se elaboran con el sellado base de la Receta 11; su precio de catálogo es un estimado.</t>
  </si>
  <si>
    <t xml:space="preserve">Líneas marcadas INT: preparaciones intermedias (reducciones, infusiones coladas) cuyo costo ya se contó en la materia prima original de la misma receta.</t>
  </si>
  <si>
    <t xml:space="preserve">Esta plantilla es orientativa y no sustituye asesoría contable o fiscal. El IVA no es utilidad.</t>
  </si>
  <si>
    <t xml:space="preserve">#</t>
  </si>
  <si>
    <t xml:space="preserve">Receta</t>
  </si>
  <si>
    <t xml:space="preserve">Técnica</t>
  </si>
  <si>
    <t xml:space="preserve">Rendimiento (g)</t>
  </si>
  <si>
    <t xml:space="preserve">Porciones</t>
  </si>
  <si>
    <t xml:space="preserve">Porción (g)</t>
  </si>
  <si>
    <t xml:space="preserve">Horas por lote</t>
  </si>
  <si>
    <t xml:space="preserve">Insumos</t>
  </si>
  <si>
    <t xml:space="preserve">Empaque</t>
  </si>
  <si>
    <t xml:space="preserve">Energía</t>
  </si>
  <si>
    <t xml:space="preserve">Mano de obra</t>
  </si>
  <si>
    <t xml:space="preserve">Overhead</t>
  </si>
  <si>
    <t xml:space="preserve">Costo base</t>
  </si>
  <si>
    <t xml:space="preserve">Costo total (con merma)</t>
  </si>
  <si>
    <t xml:space="preserve">Costo por porción</t>
  </si>
  <si>
    <t xml:space="preserve">PVP Menudeo</t>
  </si>
  <si>
    <t xml:space="preserve">PVP Mayoreo</t>
  </si>
  <si>
    <t xml:space="preserve">PVP Corporativo</t>
  </si>
  <si>
    <t xml:space="preserve">Utilidad por porción (menudeo)</t>
  </si>
  <si>
    <t xml:space="preserve">Toffee Clásico de Caramelo Salado con Mantequilla Avellanada y Sal de Colima</t>
  </si>
  <si>
    <t xml:space="preserve">Toffee aireado</t>
  </si>
  <si>
    <t xml:space="preserve">Caramelo Dorado con Bourbon Añejo y Nueces Pecán Tostadas</t>
  </si>
  <si>
    <t xml:space="preserve">Toffee de Maple Puro Grado A y Tocino Ahumado Crujiente</t>
  </si>
  <si>
    <t xml:space="preserve">Caramelo al Cardamomo Verde y Café Arábica Tostado</t>
  </si>
  <si>
    <t xml:space="preserve">Dulce de Leche y Sal Marina con Almendras Fileteadas</t>
  </si>
  <si>
    <t xml:space="preserve">Mantequilla de Trufa Negra y Parmesano Reggiano de 24 Meses</t>
  </si>
  <si>
    <t xml:space="preserve">Nebulización / adhesión</t>
  </si>
  <si>
    <t xml:space="preserve">Mantequilla Morena (Beurre Noisette) con Romero Crispy y Sal en Escamas</t>
  </si>
  <si>
    <t xml:space="preserve">Caramelo Especiado Masala Chai con Vainilla Tahití</t>
  </si>
  <si>
    <t xml:space="preserve">Toffee Crunch de Melaza de Piloncillo y Ajonjolí Tostado al Comal</t>
  </si>
  <si>
    <t xml:space="preserve">Caramelo de Maracuyá Ácido con Contraste de Sal Rosa del Himalaya</t>
  </si>
  <si>
    <t xml:space="preserve">Chocolate Oscuro 70% con Nibs de Cacao y Flor de Sal Maldon</t>
  </si>
  <si>
    <t xml:space="preserve">Pre-sellado + chocolate</t>
  </si>
  <si>
    <t xml:space="preserve">Chocolate Blanco, Frambuesa Liofilizada y Nuez de Macadamia</t>
  </si>
  <si>
    <t xml:space="preserve">Gianduja Piamontesa (Chocolate con Leche y Crema de Avellana Tostada)</t>
  </si>
  <si>
    <t xml:space="preserve">Selva Negra con Chocolate Amargo y Polvo de Cerezas Ácidas</t>
  </si>
  <si>
    <t xml:space="preserve">Cookies and Cream Artesanal con Galleta de Cacao Negro y Vainilla</t>
  </si>
  <si>
    <t xml:space="preserve">Chocolate de Metate Oaxaqueño con Canela Ceilán y Pimentón Dulce</t>
  </si>
  <si>
    <t xml:space="preserve">Praliné de Pistache Siciliano y Chocolate Blanco con Sal Marina</t>
  </si>
  <si>
    <t xml:space="preserve">Mocha Crunch (Espresso Concentrado, Chocolate con Leche y Caramelo)</t>
  </si>
  <si>
    <t xml:space="preserve">Chocolate Ruby con Arándanos Rojos y Pétalos de Rosa Comestible</t>
  </si>
  <si>
    <t xml:space="preserve">Mazapán Criollo con Cubierta de Chocolate Semi-Amargo al 55%</t>
  </si>
  <si>
    <t xml:space="preserve">Tres Quesos Nobles: Cheddar Añejo, Parmesano y Pecorino Romano</t>
  </si>
  <si>
    <t xml:space="preserve">Queso Gouda Ahumado al Humo de Manzano y Pimienta Negra Quebrada</t>
  </si>
  <si>
    <t xml:space="preserve">Blue Cheese (Queso Azul Deshidratado) con Miel de Abeja y Nuez de Castilla</t>
  </si>
  <si>
    <t xml:space="preserve">Cheddar Blanco Afilado con Jalapeño Verde Liofilizado</t>
  </si>
  <si>
    <t xml:space="preserve">Mantequilla de Ajo Negro Fermentado y Tomillo Limón</t>
  </si>
  <si>
    <t xml:space="preserve">Miso Tostado y Mantequilla Dulce con Sésamo Negro</t>
  </si>
  <si>
    <t xml:space="preserve">Crema y Cebolla Rostizada al Horno (Sour Cream &amp; French Onion)</t>
  </si>
  <si>
    <t xml:space="preserve">Queso Idiazábal Ahumado con Pimentón de la Vera Ahumado Dulce</t>
  </si>
  <si>
    <t xml:space="preserve">Cerveza Negra Porter, Mostaza en Grano y Queso Cheddar</t>
  </si>
  <si>
    <t xml:space="preserve">Alga Nori Tostada, Sal Maldon y Levadura Nutricional Tostada</t>
  </si>
  <si>
    <t xml:space="preserve">Limón Real Eureka y Semillas de Amapola con Glaseado Ácido</t>
  </si>
  <si>
    <t xml:space="preserve">Yuzu Japonés con Té Matcha Grado Ceremonial y Chocolate Blanco</t>
  </si>
  <si>
    <t xml:space="preserve">Fresa Liofilizada y Vinagre Balsámico de Módena Tradicional</t>
  </si>
  <si>
    <t xml:space="preserve">Coco Tostado al Curry Amarillo Dulce y Miel de Azahar</t>
  </si>
  <si>
    <t xml:space="preserve">Lavanda Francesa con Moras Silvestres y Caramelo Suave</t>
  </si>
  <si>
    <t xml:space="preserve">Mandarina Criolla y Tomillo con Costra de Azúcar Mascabado</t>
  </si>
  <si>
    <t xml:space="preserve">Manzana Verde Reineta con Caramelo Ácido y Canela</t>
  </si>
  <si>
    <t xml:space="preserve">Mango Manila Deshidratado al Cardamomo con Chile Piquín</t>
  </si>
  <si>
    <t xml:space="preserve">Jengibre Cristalizado, Pimienta Rosa y Chocolate Blanco</t>
  </si>
  <si>
    <t xml:space="preserve">Caramelo de Guayaba Rosa con Queso Canasto Seco</t>
  </si>
  <si>
    <t xml:space="preserve">Mole Negro Oaxaqueño con Ajonjolí Tostado y Cacao Puro</t>
  </si>
  <si>
    <t xml:space="preserve">Esquites de Cantina (Mantequilla, Epazote, Queso Cotija y Chile de Árbol)</t>
  </si>
  <si>
    <t xml:space="preserve">Chamoy Artesanal de Flor de Jamaica y Tamarindo con Piquín</t>
  </si>
  <si>
    <t xml:space="preserve">Chile Habanero Naranja Tatemado con Piña Caramelizada</t>
  </si>
  <si>
    <t xml:space="preserve">Churro Tradicional con Azúcar Mascabado y Canela Ceilán</t>
  </si>
  <si>
    <t xml:space="preserve">Mezcal Espadín Ahumado con Sal de Gusano y Cáscara de Naranja Asada</t>
  </si>
  <si>
    <t xml:space="preserve">Chile Poblano Asado, Elote Dulce y Crema de Rancho</t>
  </si>
  <si>
    <t xml:space="preserve">Cajeta Envinada Artesanal de Celaya con Nuez Encarcelada</t>
  </si>
  <si>
    <t xml:space="preserve">Flor de Jamaica Confitada con Chile Chipotle y Piloncillo</t>
  </si>
  <si>
    <t xml:space="preserve">Pipían Rojo de Pepitas de Calabaza con Comino Tostado</t>
  </si>
  <si>
    <t xml:space="preserve">Tres Leches con Canela y Horchata de Arroz Concentrada</t>
  </si>
  <si>
    <t xml:space="preserve">Promedio de las 51 recetas</t>
  </si>
  <si>
    <t xml:space="preserve">Todos los montos dependen de precios y parámetros ESTIMADOS. Sustitúyelos por los tuyos antes de publicar precios.</t>
  </si>
  <si>
    <t xml:space="preserve">Parámetro</t>
  </si>
  <si>
    <t xml:space="preserve">Valor</t>
  </si>
  <si>
    <t xml:space="preserve">Unidad</t>
  </si>
  <si>
    <t xml:space="preserve">Nota</t>
  </si>
  <si>
    <t xml:space="preserve">Empaque por porción (bolsa tricapa + desecante + etiqueta)</t>
  </si>
  <si>
    <t xml:space="preserve">MXN / porción</t>
  </si>
  <si>
    <t xml:space="preserve">Estimado. Sustituye por tu costo real de empaque.</t>
  </si>
  <si>
    <t xml:space="preserve">Energía y consumibles por lote</t>
  </si>
  <si>
    <t xml:space="preserve">MXN / lote</t>
  </si>
  <si>
    <t xml:space="preserve">Estimado: estufa + horno de secado + papel, guantes.</t>
  </si>
  <si>
    <t xml:space="preserve">Tarifa de mano de obra</t>
  </si>
  <si>
    <t xml:space="preserve">MXN / hora</t>
  </si>
  <si>
    <t xml:space="preserve">Tu hora vale aunque produzcas tú. Estimado.</t>
  </si>
  <si>
    <t xml:space="preserve">Overhead prorrateado por lote</t>
  </si>
  <si>
    <t xml:space="preserve">Renta, servicios, publicidad ÷ lotes al mes. Estimado.</t>
  </si>
  <si>
    <t xml:space="preserve">% de merma</t>
  </si>
  <si>
    <t xml:space="preserve">%</t>
  </si>
  <si>
    <t xml:space="preserve">Principiante 15–25 %, intermedio 8–15 %, estandarizado 3–8 %.</t>
  </si>
  <si>
    <t xml:space="preserve">Margen · Menudeo (bolsa individual)</t>
  </si>
  <si>
    <t xml:space="preserve">% sobre venta</t>
  </si>
  <si>
    <t xml:space="preserve">Sugerencia editable; decisión de cada negocio.</t>
  </si>
  <si>
    <t xml:space="preserve">Margen · Mayoreo / reventa</t>
  </si>
  <si>
    <t xml:space="preserve">Margen · Regalo corporativo / eventos</t>
  </si>
  <si>
    <t xml:space="preserve">ID</t>
  </si>
  <si>
    <t xml:space="preserve">Insumo</t>
  </si>
  <si>
    <t xml:space="preserve">Cantidad de compra</t>
  </si>
  <si>
    <t xml:space="preserve">Precio de compra (MXN)</t>
  </si>
  <si>
    <t xml:space="preserve">Costo por unidad (MXN)</t>
  </si>
  <si>
    <t xml:space="preserve">MAIZ_M</t>
  </si>
  <si>
    <t xml:space="preserve">Maíz palomero Mushroom (costo por g reventado)</t>
  </si>
  <si>
    <t xml:space="preserve">g</t>
  </si>
  <si>
    <t xml:space="preserve">Precio de referencia ESTIMADO — sustituir</t>
  </si>
  <si>
    <t xml:space="preserve">MAIZ_B</t>
  </si>
  <si>
    <t xml:space="preserve">Maíz palomero Butterfly (costo por g reventado)</t>
  </si>
  <si>
    <t xml:space="preserve">PRESELL</t>
  </si>
  <si>
    <t xml:space="preserve">Palomitas pre-selladas (sellado base de la Receta 11)</t>
  </si>
  <si>
    <t xml:space="preserve">MANTEQ</t>
  </si>
  <si>
    <t xml:space="preserve">Mantequilla sin sal (82–84 % M.G.)</t>
  </si>
  <si>
    <t xml:space="preserve">GHEE</t>
  </si>
  <si>
    <t xml:space="preserve">Ghee / mantequilla clarificada</t>
  </si>
  <si>
    <t xml:space="preserve">AZ_REF</t>
  </si>
  <si>
    <t xml:space="preserve">Azúcar refinada</t>
  </si>
  <si>
    <t xml:space="preserve">AZ_GLAS</t>
  </si>
  <si>
    <t xml:space="preserve">Azúcar glas</t>
  </si>
  <si>
    <t xml:space="preserve">AZ_MASC</t>
  </si>
  <si>
    <t xml:space="preserve">Azúcar mascabado</t>
  </si>
  <si>
    <t xml:space="preserve">PILON</t>
  </si>
  <si>
    <t xml:space="preserve">Piloncillo</t>
  </si>
  <si>
    <t xml:space="preserve">GLUC</t>
  </si>
  <si>
    <t xml:space="preserve">Jarabe de glucosa / jarabe de maíz</t>
  </si>
  <si>
    <t xml:space="preserve">AGUA</t>
  </si>
  <si>
    <t xml:space="preserve">Agua purificada</t>
  </si>
  <si>
    <t xml:space="preserve">ml</t>
  </si>
  <si>
    <t xml:space="preserve">BICARB</t>
  </si>
  <si>
    <t xml:space="preserve">Bicarbonato de sodio</t>
  </si>
  <si>
    <t xml:space="preserve">SAL_FINA</t>
  </si>
  <si>
    <t xml:space="preserve">Sal marina fina</t>
  </si>
  <si>
    <t xml:space="preserve">FLOR_SAL</t>
  </si>
  <si>
    <t xml:space="preserve">Flor de sal (Colima)</t>
  </si>
  <si>
    <t xml:space="preserve">MALDON</t>
  </si>
  <si>
    <t xml:space="preserve">Sal Maldon en escamas</t>
  </si>
  <si>
    <t xml:space="preserve">SAL_ROSA</t>
  </si>
  <si>
    <t xml:space="preserve">Sal rosa del Himalaya</t>
  </si>
  <si>
    <t xml:space="preserve">SAL_AHUM</t>
  </si>
  <si>
    <t xml:space="preserve">Sal ahumada</t>
  </si>
  <si>
    <t xml:space="preserve">SAL_TRUFA</t>
  </si>
  <si>
    <t xml:space="preserve">Sal marina con trufa negra</t>
  </si>
  <si>
    <t xml:space="preserve">SAL_GUSANO</t>
  </si>
  <si>
    <t xml:space="preserve">Sal de gusano de maguey</t>
  </si>
  <si>
    <t xml:space="preserve">VAIN_EXT</t>
  </si>
  <si>
    <t xml:space="preserve">Extracto de vainilla</t>
  </si>
  <si>
    <t xml:space="preserve">VAIN_VAINA</t>
  </si>
  <si>
    <t xml:space="preserve">Vaina de vainilla</t>
  </si>
  <si>
    <t xml:space="preserve">pza</t>
  </si>
  <si>
    <t xml:space="preserve">BOURBON</t>
  </si>
  <si>
    <t xml:space="preserve">Bourbon whiskey (45 % ABV)</t>
  </si>
  <si>
    <t xml:space="preserve">KIRSCH</t>
  </si>
  <si>
    <t xml:space="preserve">Licor Kirsch</t>
  </si>
  <si>
    <t xml:space="preserve">MEZCAL</t>
  </si>
  <si>
    <t xml:space="preserve">Mezcal espadín joven</t>
  </si>
  <si>
    <t xml:space="preserve">CERVEZA</t>
  </si>
  <si>
    <t xml:space="preserve">Cerveza Porter / Stout artesanal</t>
  </si>
  <si>
    <t xml:space="preserve">PECAN</t>
  </si>
  <si>
    <t xml:space="preserve">Nuez pecán</t>
  </si>
  <si>
    <t xml:space="preserve">CASTILLA</t>
  </si>
  <si>
    <t xml:space="preserve">Nuez de Castilla</t>
  </si>
  <si>
    <t xml:space="preserve">ALMENDRA</t>
  </si>
  <si>
    <t xml:space="preserve">Almendra fileteada</t>
  </si>
  <si>
    <t xml:space="preserve">MACADAMIA</t>
  </si>
  <si>
    <t xml:space="preserve">Nuez de macadamia</t>
  </si>
  <si>
    <t xml:space="preserve">AVELLANA</t>
  </si>
  <si>
    <t xml:space="preserve">Avellana pelada</t>
  </si>
  <si>
    <t xml:space="preserve">PISTACHE</t>
  </si>
  <si>
    <t xml:space="preserve">Pistache pelado sin sal</t>
  </si>
  <si>
    <t xml:space="preserve">PEPITA</t>
  </si>
  <si>
    <t xml:space="preserve">Pepita de calabaza pelada</t>
  </si>
  <si>
    <t xml:space="preserve">AJONJOLI</t>
  </si>
  <si>
    <t xml:space="preserve">Ajonjolí blanco</t>
  </si>
  <si>
    <t xml:space="preserve">SESAMO_N</t>
  </si>
  <si>
    <t xml:space="preserve">Sésamo (ajonjolí) negro</t>
  </si>
  <si>
    <t xml:space="preserve">AMAPOLA</t>
  </si>
  <si>
    <t xml:space="preserve">Semilla de amapola</t>
  </si>
  <si>
    <t xml:space="preserve">TOCINO</t>
  </si>
  <si>
    <t xml:space="preserve">Tocino ahumado</t>
  </si>
  <si>
    <t xml:space="preserve">MAPLE</t>
  </si>
  <si>
    <t xml:space="preserve">Jarabe puro de maple grado A</t>
  </si>
  <si>
    <t xml:space="preserve">MIEL</t>
  </si>
  <si>
    <t xml:space="preserve">Miel de abeja</t>
  </si>
  <si>
    <t xml:space="preserve">MIEL_AZ</t>
  </si>
  <si>
    <t xml:space="preserve">Miel de azahar</t>
  </si>
  <si>
    <t xml:space="preserve">AGAVE</t>
  </si>
  <si>
    <t xml:space="preserve">Miel de agave</t>
  </si>
  <si>
    <t xml:space="preserve">CAFE</t>
  </si>
  <si>
    <t xml:space="preserve">Café arábica (grano o molido)</t>
  </si>
  <si>
    <t xml:space="preserve">ESPRESSO</t>
  </si>
  <si>
    <t xml:space="preserve">Café espresso concentrado (preparado)</t>
  </si>
  <si>
    <t xml:space="preserve">TE_ASSAM</t>
  </si>
  <si>
    <t xml:space="preserve">Infusión concentrada de té Assam (preparada)</t>
  </si>
  <si>
    <t xml:space="preserve">MATCHA</t>
  </si>
  <si>
    <t xml:space="preserve">Té matcha grado ceremonial</t>
  </si>
  <si>
    <t xml:space="preserve">CARDAMOMO</t>
  </si>
  <si>
    <t xml:space="preserve">Cardamomo verde</t>
  </si>
  <si>
    <t xml:space="preserve">CANELA</t>
  </si>
  <si>
    <t xml:space="preserve">Canela Ceilán molida</t>
  </si>
  <si>
    <t xml:space="preserve">JENG_POLVO</t>
  </si>
  <si>
    <t xml:space="preserve">Jengibre en polvo</t>
  </si>
  <si>
    <t xml:space="preserve">CLAVO</t>
  </si>
  <si>
    <t xml:space="preserve">Clavo de olor molido</t>
  </si>
  <si>
    <t xml:space="preserve">PIM_NEGRA</t>
  </si>
  <si>
    <t xml:space="preserve">Pimienta negra</t>
  </si>
  <si>
    <t xml:space="preserve">PIM_BLANCA</t>
  </si>
  <si>
    <t xml:space="preserve">Pimienta blanca</t>
  </si>
  <si>
    <t xml:space="preserve">PIM_ROSA</t>
  </si>
  <si>
    <t xml:space="preserve">Pimienta rosa</t>
  </si>
  <si>
    <t xml:space="preserve">COMINO</t>
  </si>
  <si>
    <t xml:space="preserve">Comino</t>
  </si>
  <si>
    <t xml:space="preserve">PIMENTON</t>
  </si>
  <si>
    <t xml:space="preserve">Pimentón dulce ahumado / de la Vera</t>
  </si>
  <si>
    <t xml:space="preserve">CURRY</t>
  </si>
  <si>
    <t xml:space="preserve">Curry amarillo suave</t>
  </si>
  <si>
    <t xml:space="preserve">PIQUIN</t>
  </si>
  <si>
    <t xml:space="preserve">Chile piquín en polvo</t>
  </si>
  <si>
    <t xml:space="preserve">ARBOL</t>
  </si>
  <si>
    <t xml:space="preserve">Chile de árbol seco</t>
  </si>
  <si>
    <t xml:space="preserve">CHIPOTLE</t>
  </si>
  <si>
    <t xml:space="preserve">Chile chipotle/morita en polvo</t>
  </si>
  <si>
    <t xml:space="preserve">HABANERO</t>
  </si>
  <si>
    <t xml:space="preserve">Chile habanero (pasta / ceniza)</t>
  </si>
  <si>
    <t xml:space="preserve">DULCE_LECHE</t>
  </si>
  <si>
    <t xml:space="preserve">Dulce de leche repostero</t>
  </si>
  <si>
    <t xml:space="preserve">CAJETA</t>
  </si>
  <si>
    <t xml:space="preserve">Cajeta envinada de Celaya</t>
  </si>
  <si>
    <t xml:space="preserve">MARACUYA</t>
  </si>
  <si>
    <t xml:space="preserve">Pulpa de maracuyá</t>
  </si>
  <si>
    <t xml:space="preserve">GUAYABA</t>
  </si>
  <si>
    <t xml:space="preserve">Pulpa de guayaba rosa</t>
  </si>
  <si>
    <t xml:space="preserve">MANGO_PULPA</t>
  </si>
  <si>
    <t xml:space="preserve">Pulpa de mango Manila</t>
  </si>
  <si>
    <t xml:space="preserve">MANZ_PURE</t>
  </si>
  <si>
    <t xml:space="preserve">Puré de manzana</t>
  </si>
  <si>
    <t xml:space="preserve">LIMON_JUGO</t>
  </si>
  <si>
    <t xml:space="preserve">Jugo de limón</t>
  </si>
  <si>
    <t xml:space="preserve">LIMON_PZA</t>
  </si>
  <si>
    <t xml:space="preserve">Limón amarillo (para ralladura)</t>
  </si>
  <si>
    <t xml:space="preserve">MAND_JUGO</t>
  </si>
  <si>
    <t xml:space="preserve">Jugo de mandarina</t>
  </si>
  <si>
    <t xml:space="preserve">MAND_PZA</t>
  </si>
  <si>
    <t xml:space="preserve">Mandarina (para ralladura)</t>
  </si>
  <si>
    <t xml:space="preserve">YUZU</t>
  </si>
  <si>
    <t xml:space="preserve">Jugo de yuzu 100 %</t>
  </si>
  <si>
    <t xml:space="preserve">JENG_JUGO</t>
  </si>
  <si>
    <t xml:space="preserve">Jugo de jengibre fresco</t>
  </si>
  <si>
    <t xml:space="preserve">PINA_JUGO</t>
  </si>
  <si>
    <t xml:space="preserve">Jugo de piña</t>
  </si>
  <si>
    <t xml:space="preserve">JAM_TAM</t>
  </si>
  <si>
    <t xml:space="preserve">Concentrado de jamaica y tamarindo</t>
  </si>
  <si>
    <t xml:space="preserve">JAM_CONC</t>
  </si>
  <si>
    <t xml:space="preserve">Concentrado de flor de jamaica</t>
  </si>
  <si>
    <t xml:space="preserve">HORCHATA</t>
  </si>
  <si>
    <t xml:space="preserve">Concentrado de horchata de arroz</t>
  </si>
  <si>
    <t xml:space="preserve">BALSAMICO</t>
  </si>
  <si>
    <t xml:space="preserve">Vinagre balsámico de Módena</t>
  </si>
  <si>
    <t xml:space="preserve">CHOC_70</t>
  </si>
  <si>
    <t xml:space="preserve">Cobertura chocolate amargo 64–70 %</t>
  </si>
  <si>
    <t xml:space="preserve">CHOC_55</t>
  </si>
  <si>
    <t xml:space="preserve">Cobertura chocolate semiamargo 55 %</t>
  </si>
  <si>
    <t xml:space="preserve">CHOC_LECHE</t>
  </si>
  <si>
    <t xml:space="preserve">Cobertura chocolate con leche 38–40 %</t>
  </si>
  <si>
    <t xml:space="preserve">CHOC_BLANCO</t>
  </si>
  <si>
    <t xml:space="preserve">Cobertura chocolate blanco 31–32 %</t>
  </si>
  <si>
    <t xml:space="preserve">RUBY</t>
  </si>
  <si>
    <t xml:space="preserve">Cobertura chocolate Ruby</t>
  </si>
  <si>
    <t xml:space="preserve">METATE</t>
  </si>
  <si>
    <t xml:space="preserve">Chocolate de metate oaxaqueño</t>
  </si>
  <si>
    <t xml:space="preserve">M_CACAO</t>
  </si>
  <si>
    <t xml:space="preserve">Manteca de cacao</t>
  </si>
  <si>
    <t xml:space="preserve">NIBS</t>
  </si>
  <si>
    <t xml:space="preserve">Nibs de cacao</t>
  </si>
  <si>
    <t xml:space="preserve">NIBS_GAR</t>
  </si>
  <si>
    <t xml:space="preserve">Nibs de cacao garapiñados</t>
  </si>
  <si>
    <t xml:space="preserve">P_AVELLANA</t>
  </si>
  <si>
    <t xml:space="preserve">Pasta pura de avellana</t>
  </si>
  <si>
    <t xml:space="preserve">P_PISTACHE</t>
  </si>
  <si>
    <t xml:space="preserve">Pasta pura de pistache</t>
  </si>
  <si>
    <t xml:space="preserve">CACAHUATE</t>
  </si>
  <si>
    <t xml:space="preserve">Mantequilla de cacahuate natural</t>
  </si>
  <si>
    <t xml:space="preserve">MAZAPAN</t>
  </si>
  <si>
    <t xml:space="preserve">Mazapán de cacahuate</t>
  </si>
  <si>
    <t xml:space="preserve">FRAMBUESA_L</t>
  </si>
  <si>
    <t xml:space="preserve">Frambuesa liofilizada</t>
  </si>
  <si>
    <t xml:space="preserve">FRESA_L</t>
  </si>
  <si>
    <t xml:space="preserve">Fresa liofilizada</t>
  </si>
  <si>
    <t xml:space="preserve">CEREZA_L</t>
  </si>
  <si>
    <t xml:space="preserve">Cereza ácida liofilizada</t>
  </si>
  <si>
    <t xml:space="preserve">MORA_L</t>
  </si>
  <si>
    <t xml:space="preserve">Mora liofilizada</t>
  </si>
  <si>
    <t xml:space="preserve">JALAP_L</t>
  </si>
  <si>
    <t xml:space="preserve">Jalapeño liofilizado</t>
  </si>
  <si>
    <t xml:space="preserve">LIMON_L</t>
  </si>
  <si>
    <t xml:space="preserve">Jugo de limón liofilizado (polvo)</t>
  </si>
  <si>
    <t xml:space="preserve">CEBOLLIN_L</t>
  </si>
  <si>
    <t xml:space="preserve">Cebollín liofilizado</t>
  </si>
  <si>
    <t xml:space="preserve">CEBOLLA_P</t>
  </si>
  <si>
    <t xml:space="preserve">Cebolla en polvo (liofilizada / caramelizada)</t>
  </si>
  <si>
    <t xml:space="preserve">ELOTE_P</t>
  </si>
  <si>
    <t xml:space="preserve">Polvo de elote dulce</t>
  </si>
  <si>
    <t xml:space="preserve">POBLANO_P</t>
  </si>
  <si>
    <t xml:space="preserve">Polvo de chile poblano asado</t>
  </si>
  <si>
    <t xml:space="preserve">ARANDANO</t>
  </si>
  <si>
    <t xml:space="preserve">Arándano rojo deshidratado</t>
  </si>
  <si>
    <t xml:space="preserve">ROSA</t>
  </si>
  <si>
    <t xml:space="preserve">Pétalos de rosa comestibles</t>
  </si>
  <si>
    <t xml:space="preserve">LAVANDA</t>
  </si>
  <si>
    <t xml:space="preserve">Lavanda culinaria</t>
  </si>
  <si>
    <t xml:space="preserve">JENG_CRIST</t>
  </si>
  <si>
    <t xml:space="preserve">Jengibre cristalizado</t>
  </si>
  <si>
    <t xml:space="preserve">MANGO_DESH</t>
  </si>
  <si>
    <t xml:space="preserve">Mango deshidratado</t>
  </si>
  <si>
    <t xml:space="preserve">PINA_DESH</t>
  </si>
  <si>
    <t xml:space="preserve">Piña deshidratada</t>
  </si>
  <si>
    <t xml:space="preserve">MANZ_DESH</t>
  </si>
  <si>
    <t xml:space="preserve">Manzana verde deshidratada</t>
  </si>
  <si>
    <t xml:space="preserve">COCO</t>
  </si>
  <si>
    <t xml:space="preserve">Coco en hojuelas sin azúcar</t>
  </si>
  <si>
    <t xml:space="preserve">JAMAICA</t>
  </si>
  <si>
    <t xml:space="preserve">Flor de jamaica</t>
  </si>
  <si>
    <t xml:space="preserve">GALLETA</t>
  </si>
  <si>
    <t xml:space="preserve">Galleta de cacao negro sin relleno</t>
  </si>
  <si>
    <t xml:space="preserve">PARMESANO</t>
  </si>
  <si>
    <t xml:space="preserve">Queso Parmesano Reggiano</t>
  </si>
  <si>
    <t xml:space="preserve">PECORINO</t>
  </si>
  <si>
    <t xml:space="preserve">Queso Pecorino Romano</t>
  </si>
  <si>
    <t xml:space="preserve">CHEDDAR</t>
  </si>
  <si>
    <t xml:space="preserve">Queso Cheddar añejo / blanco</t>
  </si>
  <si>
    <t xml:space="preserve">GOUDA</t>
  </si>
  <si>
    <t xml:space="preserve">Queso Gouda madurado</t>
  </si>
  <si>
    <t xml:space="preserve">IDIAZABAL</t>
  </si>
  <si>
    <t xml:space="preserve">Queso Idiazábal</t>
  </si>
  <si>
    <t xml:space="preserve">Q_AZUL</t>
  </si>
  <si>
    <t xml:space="preserve">Queso azul</t>
  </si>
  <si>
    <t xml:space="preserve">COTIJA</t>
  </si>
  <si>
    <t xml:space="preserve">Queso Cotija / canasto seco</t>
  </si>
  <si>
    <t xml:space="preserve">CREMA_P</t>
  </si>
  <si>
    <t xml:space="preserve">Crema ácida / de rancho en polvo</t>
  </si>
  <si>
    <t xml:space="preserve">BUTTERMILK</t>
  </si>
  <si>
    <t xml:space="preserve">Suero de mantequilla en polvo</t>
  </si>
  <si>
    <t xml:space="preserve">LECHE_P</t>
  </si>
  <si>
    <t xml:space="preserve">Leche en polvo entera</t>
  </si>
  <si>
    <t xml:space="preserve">L_CONDENS</t>
  </si>
  <si>
    <t xml:space="preserve">Leche condensada</t>
  </si>
  <si>
    <t xml:space="preserve">L_EVAP</t>
  </si>
  <si>
    <t xml:space="preserve">Leche evaporada</t>
  </si>
  <si>
    <t xml:space="preserve">CREMA</t>
  </si>
  <si>
    <t xml:space="preserve">Crema de leche espesa</t>
  </si>
  <si>
    <t xml:space="preserve">AC_TRUFA</t>
  </si>
  <si>
    <t xml:space="preserve">Aceite aromatizado con trufa</t>
  </si>
  <si>
    <t xml:space="preserve">AC_HUMO</t>
  </si>
  <si>
    <t xml:space="preserve">Aceite infusionado con humo de manzano</t>
  </si>
  <si>
    <t xml:space="preserve">AC_SESAMO</t>
  </si>
  <si>
    <t xml:space="preserve">Aceite de sésamo tostado</t>
  </si>
  <si>
    <t xml:space="preserve">AC_NEUTRO</t>
  </si>
  <si>
    <t xml:space="preserve">Aceite neutro (girasol / maíz)</t>
  </si>
  <si>
    <t xml:space="preserve">AJO_NEGRO</t>
  </si>
  <si>
    <t xml:space="preserve">Ajo negro fermentado</t>
  </si>
  <si>
    <t xml:space="preserve">MISO</t>
  </si>
  <si>
    <t xml:space="preserve">Miso blanco (shiro)</t>
  </si>
  <si>
    <t xml:space="preserve">MOSTAZA</t>
  </si>
  <si>
    <t xml:space="preserve">Mostaza de Dijon en grano</t>
  </si>
  <si>
    <t xml:space="preserve">LEVADURA</t>
  </si>
  <si>
    <t xml:space="preserve">Levadura nutricional</t>
  </si>
  <si>
    <t xml:space="preserve">NORI</t>
  </si>
  <si>
    <t xml:space="preserve">Alga nori tostada</t>
  </si>
  <si>
    <t xml:space="preserve">HIERBA_FRESCA</t>
  </si>
  <si>
    <t xml:space="preserve">Hierbas frescas (romero, tomillo, epazote)</t>
  </si>
  <si>
    <t xml:space="preserve">HIERBA_SECA</t>
  </si>
  <si>
    <t xml:space="preserve">Hierbas secas (tomillo, tomillo limón)</t>
  </si>
  <si>
    <t xml:space="preserve">MOLE</t>
  </si>
  <si>
    <t xml:space="preserve">Pasta de mole negro oaxaqueño</t>
  </si>
  <si>
    <t xml:space="preserve">PIPIAN</t>
  </si>
  <si>
    <t xml:space="preserve">Pasta de pipián rojo</t>
  </si>
  <si>
    <t xml:space="preserve">AC_CITRICO</t>
  </si>
  <si>
    <t xml:space="preserve">Ácido cítrico</t>
  </si>
  <si>
    <t xml:space="preserve">AC_MALICO</t>
  </si>
  <si>
    <t xml:space="preserve">Ácido málico</t>
  </si>
  <si>
    <t xml:space="preserve">AC_LACTICO</t>
  </si>
  <si>
    <t xml:space="preserve">Ácido láctico en polvo</t>
  </si>
  <si>
    <t xml:space="preserve">NARANJA_P</t>
  </si>
  <si>
    <t xml:space="preserve">Cáscara de naranja tatemada en polvo</t>
  </si>
  <si>
    <t xml:space="preserve">INT</t>
  </si>
  <si>
    <t xml:space="preserve">(Preparación intermedia ya costeada en la misma receta)</t>
  </si>
  <si>
    <t xml:space="preserve">Preparación intermedia: costo 0</t>
  </si>
  <si>
    <t xml:space="preserve">Nombre de la receta</t>
  </si>
  <si>
    <t xml:space="preserve">Componente</t>
  </si>
  <si>
    <t xml:space="preserve">Ingrediente (tal como aparece en la fórmula)</t>
  </si>
  <si>
    <t xml:space="preserve">ID insumo</t>
  </si>
  <si>
    <t xml:space="preserve">Cantidad</t>
  </si>
  <si>
    <t xml:space="preserve">Costo unitario</t>
  </si>
  <si>
    <t xml:space="preserve">Costo de la línea</t>
  </si>
  <si>
    <t xml:space="preserve">la Base</t>
  </si>
  <si>
    <t xml:space="preserve">150 g Maíz palomero Mushroom reventado por aire caliente (sin aceite, tibio y sin granos sin abrir)</t>
  </si>
  <si>
    <t xml:space="preserve">el Toffee Avellanado</t>
  </si>
  <si>
    <t xml:space="preserve">120 g Mantequilla sin sal de alta calidad (84% M.G.)</t>
  </si>
  <si>
    <t xml:space="preserve">180 g Azúcar mascabado claro</t>
  </si>
  <si>
    <t xml:space="preserve">60 g Jarabe de glucosa o miel de maíz clara</t>
  </si>
  <si>
    <t xml:space="preserve">40 ml Agua purificada</t>
  </si>
  <si>
    <t xml:space="preserve">4 g Bicarbonato de sodio tamizado (aerador y microcristalizador)</t>
  </si>
  <si>
    <t xml:space="preserve">3 g Sal marina fina</t>
  </si>
  <si>
    <t xml:space="preserve">5 ml Extracto concentrado de vainilla Bourbon</t>
  </si>
  <si>
    <t xml:space="preserve">el Acabado Salino</t>
  </si>
  <si>
    <t xml:space="preserve">6 g Flor de sal de Colima en grano medio</t>
  </si>
  <si>
    <t xml:space="preserve">la Base e Inclusiones</t>
  </si>
  <si>
    <t xml:space="preserve">140 g Maíz palomero Mushroom reventado</t>
  </si>
  <si>
    <t xml:space="preserve">120 g Nueces pecán seleccionadas (tostadas a 150°C por 10 min y templadas)</t>
  </si>
  <si>
    <t xml:space="preserve">el Caramelo al Bourbon</t>
  </si>
  <si>
    <t xml:space="preserve">110 g Mantequilla sin sal a 18°C</t>
  </si>
  <si>
    <t xml:space="preserve">190 g Azúcar refinada blanca</t>
  </si>
  <si>
    <t xml:space="preserve">50 g Jarabe de maíz de alta densidad</t>
  </si>
  <si>
    <t xml:space="preserve">35 ml Bourbon whiskey añejo (mínimo 45% ABV)</t>
  </si>
  <si>
    <t xml:space="preserve">20 ml Agua purificada</t>
  </si>
  <si>
    <t xml:space="preserve">4 g Bicarbonato de sodio</t>
  </si>
  <si>
    <t xml:space="preserve">el Tocino Crocante</t>
  </si>
  <si>
    <t xml:space="preserve">250 g Tocino ahumado en rebanadas gruesas (al hornear a 160°C y desgrasar rendirá 80 g de migajas crocantes ultra secas)</t>
  </si>
  <si>
    <t xml:space="preserve">130 g Maíz palomero Mushroom reventado tibio</t>
  </si>
  <si>
    <t xml:space="preserve">el Toffee de Maple</t>
  </si>
  <si>
    <t xml:space="preserve">100 g Mantequilla sin sal</t>
  </si>
  <si>
    <t xml:space="preserve">100 ml Jarabe puro de maple Grado A ámbar u oscuro</t>
  </si>
  <si>
    <t xml:space="preserve">120 g Azúcar mascabado claro</t>
  </si>
  <si>
    <t xml:space="preserve">40 g Glucosa líquida</t>
  </si>
  <si>
    <t xml:space="preserve">2 g Sal ahumada o sal marina fina</t>
  </si>
  <si>
    <t xml:space="preserve">150 g Maíz palomero Mushroom reventado tibio</t>
  </si>
  <si>
    <t xml:space="preserve">el Caramelo de Cardamomo y Café</t>
  </si>
  <si>
    <t xml:space="preserve">110 g Mantequilla sin sal</t>
  </si>
  <si>
    <t xml:space="preserve">180 g Azúcar refinada</t>
  </si>
  <si>
    <t xml:space="preserve">50 g Jarabe de glucosa</t>
  </si>
  <si>
    <t xml:space="preserve">30 ml Café espresso doble recién extraído y concentrado</t>
  </si>
  <si>
    <t xml:space="preserve">4 g Semillas de cardamomo verde recién extraídas de la cápsula y pulverizadas fino</t>
  </si>
  <si>
    <t xml:space="preserve">2 g Sal fina</t>
  </si>
  <si>
    <t xml:space="preserve">el Remate</t>
  </si>
  <si>
    <t xml:space="preserve">4 g Café 100% Arábica tueste medio molido ultra fino (tipo molienda turca)</t>
  </si>
  <si>
    <t xml:space="preserve">140 g Maíz Mushroom reventado</t>
  </si>
  <si>
    <t xml:space="preserve">80 g Almendras fileteadas peladas (tostadas a 150°C por 8 min hasta dorar ligero)</t>
  </si>
  <si>
    <t xml:space="preserve">el Caramelo de Dulce de Leche</t>
  </si>
  <si>
    <t xml:space="preserve">90 g Mantequilla sin sal</t>
  </si>
  <si>
    <t xml:space="preserve">120 g Dulce de leche repostero firme (bajo porcentaje de humedad, alto sólidos lácteos)</t>
  </si>
  <si>
    <t xml:space="preserve">140 g Azúcar mascabado claro</t>
  </si>
  <si>
    <t xml:space="preserve">40 g Jarabe de glucosa</t>
  </si>
  <si>
    <t xml:space="preserve">25 ml Agua purificada</t>
  </si>
  <si>
    <t xml:space="preserve">4 g Flor de sal marina</t>
  </si>
  <si>
    <t xml:space="preserve">150 g Maíz palomero Butterfly reventado por aire caliente (caliente a 60°C)</t>
  </si>
  <si>
    <t xml:space="preserve">la Grasa de Adherencia</t>
  </si>
  <si>
    <t xml:space="preserve">50 g Ghee (mantequilla clarificada al 99.8% materia grasa láctea, líquida a 45°C)</t>
  </si>
  <si>
    <t xml:space="preserve">15 ml Aceite virgen aromatizado con trufa negra natural (Tuber melanosporum)</t>
  </si>
  <si>
    <t xml:space="preserve">el Sazonador Seco Umami</t>
  </si>
  <si>
    <t xml:space="preserve">50 g Queso Parmesano Reggiano D.O.P. 24 meses (rallado ultra fino y deshidratado a 50°C, pulverizado a malla 60)</t>
  </si>
  <si>
    <t xml:space="preserve">5 g Sal marina fina con microfragmentos de trufa negra</t>
  </si>
  <si>
    <t xml:space="preserve">1 g Pimienta blanca molida fina (opcional, para dar soporte aromático)</t>
  </si>
  <si>
    <t xml:space="preserve">150 g Maíz palomero Butterfly recién reventado y tibio</t>
  </si>
  <si>
    <t xml:space="preserve">la Grasa Avellanada y Botánico</t>
  </si>
  <si>
    <t xml:space="preserve">100 g Mantequilla sin sal de alta gama (rendirá aprox. 70 g de grasa clarificada avellanada tras colar sólidos oscuros)</t>
  </si>
  <si>
    <t xml:space="preserve">15 g Hojas frescas de romero lavadas y secadas meticulosamente</t>
  </si>
  <si>
    <t xml:space="preserve">6 g Sal Maldon (escamas de sal marina de pirámide)</t>
  </si>
  <si>
    <t xml:space="preserve">2 g Azúcar refinada tamizada ultra fina (para equilibrar el amargor del romero)</t>
  </si>
  <si>
    <t xml:space="preserve">150 g Maíz Mushroom reventado por aire caliente, mantenido a 60°C</t>
  </si>
  <si>
    <t xml:space="preserve">el Caramelo Especiado</t>
  </si>
  <si>
    <t xml:space="preserve">35 ml Infusión concentrada de té negro Assam (extraída con 8 g de té en 50 ml de agua hirviendo por 10 min)</t>
  </si>
  <si>
    <t xml:space="preserve">1 Vaina de vainilla de Tahití (semillas raspadas)</t>
  </si>
  <si>
    <t xml:space="preserve">4 g Bicarbonato de sodio tamizado</t>
  </si>
  <si>
    <t xml:space="preserve">el Mix de Especias Masala</t>
  </si>
  <si>
    <t xml:space="preserve">3 g Canela Ceilán molida</t>
  </si>
  <si>
    <t xml:space="preserve">2 g Jengibre en polvo</t>
  </si>
  <si>
    <t xml:space="preserve">1 g Cardamomo verde recién molido</t>
  </si>
  <si>
    <t xml:space="preserve">0.5 g Clavo de olor en polvo</t>
  </si>
  <si>
    <t xml:space="preserve">0.5 g Pimienta negra recién molida</t>
  </si>
  <si>
    <t xml:space="preserve">60 g Semillas de ajonjolí blanco (tostadas en comal a fuego bajo hasta dorar parejo)</t>
  </si>
  <si>
    <t xml:space="preserve">el Toffee de Piloncillo</t>
  </si>
  <si>
    <t xml:space="preserve">180 g Piloncillo artesanal oscuro rallado fino (o raspadura de panela)</t>
  </si>
  <si>
    <t xml:space="preserve">40 g Jarabe de glucosa o miel de maíz clara</t>
  </si>
  <si>
    <t xml:space="preserve">3 g Flor de sal marina</t>
  </si>
  <si>
    <t xml:space="preserve">2 g Canela Ceilán molida fina</t>
  </si>
  <si>
    <t xml:space="preserve">150 g Maíz Mushroom reventado tibio (60°C)</t>
  </si>
  <si>
    <t xml:space="preserve">la Reducción Ácida</t>
  </si>
  <si>
    <t xml:space="preserve">100 ml Pulpa pura de maracuyá natural colada (sin semillas), reducida a fuego bajo hasta obtener 40 ml de concentrado espeso</t>
  </si>
  <si>
    <t xml:space="preserve">el Caramelo</t>
  </si>
  <si>
    <t xml:space="preserve">190 g Azúcar refinada</t>
  </si>
  <si>
    <t xml:space="preserve">40 ml Concentrado de maracuyá tibio</t>
  </si>
  <si>
    <t xml:space="preserve">3 g Ácido cítrico en polvo anhidro (para elevar acidez frutal)</t>
  </si>
  <si>
    <t xml:space="preserve">5 g Sal rosa del Himalaya en grano medio-fino</t>
  </si>
  <si>
    <t xml:space="preserve">el Sellado Base (Sugar Shell)</t>
  </si>
  <si>
    <t xml:space="preserve">140 g Maíz Mushroom reventado tibio</t>
  </si>
  <si>
    <t xml:space="preserve">90 g Azúcar refinada</t>
  </si>
  <si>
    <t xml:space="preserve">25 g Mantequilla sin sal</t>
  </si>
  <si>
    <t xml:space="preserve">2 g Bicarbonato de sodio</t>
  </si>
  <si>
    <t xml:space="preserve">la Cobertura de Chocolate y Acabado</t>
  </si>
  <si>
    <t xml:space="preserve">240 g Cobertura de chocolate amargo 70% cacao (manteca de cacao pura, sin sustitutos grasos)</t>
  </si>
  <si>
    <t xml:space="preserve">60 g Nibs de cacao criollo tostados (granillo de 2 a 3 mm)</t>
  </si>
  <si>
    <t xml:space="preserve">6 g Sal Maldon en escamas de pirámide</t>
  </si>
  <si>
    <t xml:space="preserve">250 g Palomitas Mushroom pre-selladas con capa neutra de azúcar (a 20°C)</t>
  </si>
  <si>
    <t xml:space="preserve">80 g Nueces de macadamia (tostadas a 140°C por 12 min y picadas en cuartos)</t>
  </si>
  <si>
    <t xml:space="preserve">la Cobertura y Fruta</t>
  </si>
  <si>
    <t xml:space="preserve">230 g Chocolate blanco fino (mínimo 32% manteca de cacao pura)</t>
  </si>
  <si>
    <t xml:space="preserve">30 g Frambuesas 100% liofilizadas (sin humedad añadida)</t>
  </si>
  <si>
    <t xml:space="preserve">2 g Flor de sal fina</t>
  </si>
  <si>
    <t xml:space="preserve">la Gianduja Fluida de Cobertura</t>
  </si>
  <si>
    <t xml:space="preserve">160 g Chocolate con leche 40% cacao</t>
  </si>
  <si>
    <t xml:space="preserve">100 g Pasta pura de avellana tostada 100% (sin azúcar añadida, refinada a &lt;20 micras)</t>
  </si>
  <si>
    <t xml:space="preserve">15 g Manteca de cacao pura (para aportar rigidez estructural y evitar textura pegajosa)</t>
  </si>
  <si>
    <t xml:space="preserve">2 g Sal fina marina</t>
  </si>
  <si>
    <t xml:space="preserve">240 g Palomitas Mushroom pre-selladas crocantes</t>
  </si>
  <si>
    <t xml:space="preserve">100 g Avellanas tostadas peladas, troceadas en granillo de 3 mm</t>
  </si>
  <si>
    <t xml:space="preserve">el Sellado Aromatizado</t>
  </si>
  <si>
    <t xml:space="preserve">80 g Azúcar refinada</t>
  </si>
  <si>
    <t xml:space="preserve">20 ml Licor Kirsch tradicional (destilado de cerezas, 40% ABV)</t>
  </si>
  <si>
    <t xml:space="preserve">15 ml Agua purificada</t>
  </si>
  <si>
    <t xml:space="preserve">20 g Mantequilla sin sal</t>
  </si>
  <si>
    <t xml:space="preserve">el Acabado de Chocolatería</t>
  </si>
  <si>
    <t xml:space="preserve">220 g Cobertura de chocolate amargo 64% cacao</t>
  </si>
  <si>
    <t xml:space="preserve">35 g Cerezas ácidas liofilizadas molidas en polvo fino</t>
  </si>
  <si>
    <t xml:space="preserve">50 g Virutas o rizos pequeños de chocolate amargo al 70%</t>
  </si>
  <si>
    <t xml:space="preserve">2 g Flor de sal</t>
  </si>
  <si>
    <t xml:space="preserve">240 g Palomitas Mushroom pre-selladas neutras frías (a 20°C)</t>
  </si>
  <si>
    <t xml:space="preserve">la Cobertura Blanca Aromatizada</t>
  </si>
  <si>
    <t xml:space="preserve">240 g Chocolate blanco fino (mínimo 31% manteca de cacao)</t>
  </si>
  <si>
    <t xml:space="preserve">1 Vaina de vainilla Bourbon madura (semillas raspadas)</t>
  </si>
  <si>
    <t xml:space="preserve">las Inclusiones de Galleta Negra</t>
  </si>
  <si>
    <t xml:space="preserve">100 g Galletas de cacao negro alcalinizado estilo Black Cocoa (desprovistas de relleno dulce)</t>
  </si>
  <si>
    <t xml:space="preserve">el Sellado Rústico</t>
  </si>
  <si>
    <t xml:space="preserve">140 g Maíz Mushroom reventado por aire caliente</t>
  </si>
  <si>
    <t xml:space="preserve">70 g Piloncillo rallado fino</t>
  </si>
  <si>
    <t xml:space="preserve">la Cobertura Especiada</t>
  </si>
  <si>
    <t xml:space="preserve">220 g Chocolate de metate tradicional oaxaqueño al 65% cacao (molienda rústica con azúcar de grano y almendra)</t>
  </si>
  <si>
    <t xml:space="preserve">30 g Manteca de cacao pura (para dar fluidez y atemperado firme)</t>
  </si>
  <si>
    <t xml:space="preserve">4 g Canela Ceilán molida fina</t>
  </si>
  <si>
    <t xml:space="preserve">3 g Pimentón dulce ahumado (paprika noble sin picante agresivo)</t>
  </si>
  <si>
    <t xml:space="preserve">la Inclusión</t>
  </si>
  <si>
    <t xml:space="preserve">70 g Nibs de cacao garapiñados con azúcar y canela</t>
  </si>
  <si>
    <t xml:space="preserve">la Cobertura de Pistache</t>
  </si>
  <si>
    <t xml:space="preserve">160 g Chocolate blanco 32% manteca de cacao</t>
  </si>
  <si>
    <t xml:space="preserve">80 g Pasta pura de pistache 100% verde (sin colorantes ni almendra añadida)</t>
  </si>
  <si>
    <t xml:space="preserve">15 g Manteca de cacao pura desodorizada</t>
  </si>
  <si>
    <t xml:space="preserve">240 g Palomitas Mushroom pre-selladas con azúcar neutra frías (a 20°C)</t>
  </si>
  <si>
    <t xml:space="preserve">90 g Pistaches pelados sin sal (tostados a 140°C por 10 min y picados a 3 mm)</t>
  </si>
  <si>
    <t xml:space="preserve">3 g Flor de sal marina en grano fino (para espolvoreo final)</t>
  </si>
  <si>
    <t xml:space="preserve">el Caramelo al Espresso</t>
  </si>
  <si>
    <t xml:space="preserve">100 g Azúcar mascabado claro</t>
  </si>
  <si>
    <t xml:space="preserve">40 g Mantequilla sin sal</t>
  </si>
  <si>
    <t xml:space="preserve">25 ml Café espresso concentrado doble (recién extraído)</t>
  </si>
  <si>
    <t xml:space="preserve">20 g Jarabe de glucosa</t>
  </si>
  <si>
    <t xml:space="preserve">3 g Bicarbonato de sodio</t>
  </si>
  <si>
    <t xml:space="preserve">el Bañado y Terminado</t>
  </si>
  <si>
    <t xml:space="preserve">200 g Cobertura de chocolate con leche 38% cacao</t>
  </si>
  <si>
    <t xml:space="preserve">50 g Granos de café arábica de tueste medio (quebrados en mortero a 2 mm, tamizados para retirar polvo fino)</t>
  </si>
  <si>
    <t xml:space="preserve">5 g Flor de sal marina</t>
  </si>
  <si>
    <t xml:space="preserve">el Sellado Ácido</t>
  </si>
  <si>
    <t xml:space="preserve">1.5 g Ácido cítrico en polvo</t>
  </si>
  <si>
    <t xml:space="preserve">el Bañado y Botánicos</t>
  </si>
  <si>
    <t xml:space="preserve">230 g Cobertura de chocolate Ruby (acidez natural a frutos rojos, sin colorantes)</t>
  </si>
  <si>
    <t xml:space="preserve">60 g Arándanos rojos secos (revisados sin humedad externa, picados a 3 mm)</t>
  </si>
  <si>
    <t xml:space="preserve">15 g Pétalos de rosa deshidratados orgánicos aptos para confitería</t>
  </si>
  <si>
    <t xml:space="preserve">2 g Flor de sal rosa del Himalaya fina</t>
  </si>
  <si>
    <t xml:space="preserve">la Base al Mazapán</t>
  </si>
  <si>
    <t xml:space="preserve">40 g Mantequilla de cacahuate natural tostado fluida (100% cacahuate, sin aceites hidrogenados)</t>
  </si>
  <si>
    <t xml:space="preserve">30 ml Agua purificada</t>
  </si>
  <si>
    <t xml:space="preserve">100 g Mazapán tradicional mexicano de cacahuate desmoronado fino (o 60 g cacahuate tostado molido fino + 40 g azúcar glas)</t>
  </si>
  <si>
    <t xml:space="preserve">el Bañado</t>
  </si>
  <si>
    <t xml:space="preserve">230 g Cobertura de chocolate semi-amargo 55% cacao</t>
  </si>
  <si>
    <t xml:space="preserve">10 g Manteca de cacao pura</t>
  </si>
  <si>
    <t xml:space="preserve">5 g Flor de sal marina de Colima</t>
  </si>
  <si>
    <t xml:space="preserve">150 g Maíz Butterfly reventado por aire caliente (caliente a 60°C)</t>
  </si>
  <si>
    <t xml:space="preserve">la Grasa Portadora</t>
  </si>
  <si>
    <t xml:space="preserve">60 g Ghee (mantequilla clarificada anhidra líquida a 45°C)</t>
  </si>
  <si>
    <t xml:space="preserve">el Sazonador Seco de Tres Quesos (Malla 60)</t>
  </si>
  <si>
    <t xml:space="preserve">35 g Queso Cheddar añejo (madurado 12 meses, liofilizado o deshidratado y pulverizado fino)</t>
  </si>
  <si>
    <t xml:space="preserve">25 g Queso Parmesano Reggiano D.O.P. deshidratado en polvo</t>
  </si>
  <si>
    <t xml:space="preserve">15 g Queso Pecorino Romano D.O.P. (aporta acidez láctica de oveja y alta salinidad natural)</t>
  </si>
  <si>
    <t xml:space="preserve">5 g Sal marina fina molida a polvo de talco</t>
  </si>
  <si>
    <t xml:space="preserve">1 g Ácido láctico en polvo (opcional, para resaltar notas de fermentación láctea limpia)</t>
  </si>
  <si>
    <t xml:space="preserve">150 g Maíz palomero Butterfly recién reventado tibio</t>
  </si>
  <si>
    <t xml:space="preserve">la Grasa Portadora Ahumada</t>
  </si>
  <si>
    <t xml:space="preserve">55 g Ghee de mantequilla sin sal</t>
  </si>
  <si>
    <t xml:space="preserve">5 ml Aceite virgen prensado en frío infusionado con humo natural de madera de manzano (libre de aromas sintéticos a carbón)</t>
  </si>
  <si>
    <t xml:space="preserve">el Sazonador de Gouda y Pimienta</t>
  </si>
  <si>
    <t xml:space="preserve">60 g Queso Gouda holandés madurado (desgrasado a 50°C, deshidratado y pulverizado)</t>
  </si>
  <si>
    <t xml:space="preserve">6 g Pimienta negra de Tellicherry de grano entero (tostada en comal 2 min y quebrada en mortero a 1 mm)</t>
  </si>
  <si>
    <t xml:space="preserve">4 g Flor de sal marina fina pulverizada</t>
  </si>
  <si>
    <t xml:space="preserve">80 g Nueces de Castilla seleccionadas (tostadas a 150°C por 10 min y picadas a 4 mm)</t>
  </si>
  <si>
    <t xml:space="preserve">el Jarabe Confitador de Miel</t>
  </si>
  <si>
    <t xml:space="preserve">100 g Miel pura de abeja multifloral</t>
  </si>
  <si>
    <t xml:space="preserve">80 g Azúcar mascabado claro</t>
  </si>
  <si>
    <t xml:space="preserve">60 g Mantequilla sin sal</t>
  </si>
  <si>
    <t xml:space="preserve">3 g Bicarbonato de sodio tamizado</t>
  </si>
  <si>
    <t xml:space="preserve">2 g Sal marina fina</t>
  </si>
  <si>
    <t xml:space="preserve">el Sazonador Seco</t>
  </si>
  <si>
    <t xml:space="preserve">60 g Queso azul de corteza madura (liofilizado o deshidratado al vacío en frío y pulverizado)</t>
  </si>
  <si>
    <t xml:space="preserve">150 g Maíz palomero Butterfly caliente (60°C)</t>
  </si>
  <si>
    <t xml:space="preserve">55 g Ghee anhidro caliente a 45°C</t>
  </si>
  <si>
    <t xml:space="preserve">50 g Queso Cheddar blanco afilado (Sharp White Cheddar, deshidratado a polvo malla 60)</t>
  </si>
  <si>
    <t xml:space="preserve">10 g Jalapeño verde fresco liofilizado pulverizado fino (sin semillas para control de picor)</t>
  </si>
  <si>
    <t xml:space="preserve">5 g Hojuelas crujientes de jalapeño liofilizado (granillo de 1 mm)</t>
  </si>
  <si>
    <t xml:space="preserve">5 g Sal marina fina molida</t>
  </si>
  <si>
    <t xml:space="preserve">1 g Cebolla blanca en polvo liofilizada</t>
  </si>
  <si>
    <t xml:space="preserve">150 g Maíz palomero Butterfly tibio</t>
  </si>
  <si>
    <t xml:space="preserve">la Emulsión Lipídica de Ajo Negro</t>
  </si>
  <si>
    <t xml:space="preserve">50 g Ghee tibio a 50°C</t>
  </si>
  <si>
    <t xml:space="preserve">25 g Dientes de ajo negro fermentado (textura blanda y dulce tipo pasa) (Triturar con procesador de inmersión el ajo negro con el ghee caliente hasta obtener un aceite oscuro denso y homogéneo; colar por colador fino para retirar fibras duras y obtener 65 g de grasa filtrada)</t>
  </si>
  <si>
    <t xml:space="preserve">el Sazonador Seco Botánico</t>
  </si>
  <si>
    <t xml:space="preserve">25 g Levadura nutricional en polvo desactivada (soporte umami seco y tostado)</t>
  </si>
  <si>
    <t xml:space="preserve">8 g Hojas de tomillo limón secadas al vacío, frotadas a polvo grueso</t>
  </si>
  <si>
    <t xml:space="preserve">6 g Sal marina fina molida</t>
  </si>
  <si>
    <t xml:space="preserve">2 g Azúcar glas</t>
  </si>
  <si>
    <t xml:space="preserve">140 g Maíz palomero Mushroom reventado tibio</t>
  </si>
  <si>
    <t xml:space="preserve">45 g Semillas de sésamo (ajonjolí) negro tostadas al comal</t>
  </si>
  <si>
    <t xml:space="preserve">el Caramelo al Miso</t>
  </si>
  <si>
    <t xml:space="preserve">160 g Azúcar mascabado claro</t>
  </si>
  <si>
    <t xml:space="preserve">45 g Pasta de miso blanco dulce (Shiro Miso fermentado)</t>
  </si>
  <si>
    <t xml:space="preserve">150 g Maíz Butterfly reventado caliente (60°C)</t>
  </si>
  <si>
    <t xml:space="preserve">55 g Ghee caliente a 45°C</t>
  </si>
  <si>
    <t xml:space="preserve">el Sazonador Seco (French Onion &amp; Sour Cream)</t>
  </si>
  <si>
    <t xml:space="preserve">30 g Polvo de crema ácida deshidratada (Sour cream powder de alto contenido graso)</t>
  </si>
  <si>
    <t xml:space="preserve">20 g Polvo de cebolla dulce caramelizada al horno (cebolla horneada a 140°C hasta dorar, deshidratada y pulverizada)</t>
  </si>
  <si>
    <t xml:space="preserve">8 g Suero de mantequilla en polvo (Buttermilk)</t>
  </si>
  <si>
    <t xml:space="preserve">5 g Cebollín fresco liofilizado en hojuelas finas</t>
  </si>
  <si>
    <t xml:space="preserve">5 g Sal marina fina molida a talco (malla 60)</t>
  </si>
  <si>
    <t xml:space="preserve">2 g Ácido láctico en polvo (para intensificar el toque agrio lácteo)</t>
  </si>
  <si>
    <t xml:space="preserve">150 g Maíz Butterfly reventado y tibio</t>
  </si>
  <si>
    <t xml:space="preserve">55 g Ghee (mantequilla clarificada anhidra a 45°C)</t>
  </si>
  <si>
    <t xml:space="preserve">50 g Queso Idiazábal de leche cruda de oveja latxa ahumado (madurado, desgrasado a 50°C y pulverizado fino)</t>
  </si>
  <si>
    <t xml:space="preserve">12 g Pimentón de la Vera D.O.P. variedad dulce (secado tradicional al humo de leña de roble)</t>
  </si>
  <si>
    <t xml:space="preserve">5 g Flor de sal marina molida</t>
  </si>
  <si>
    <t xml:space="preserve">3 g Azúcar glas tamizada (neutralizador de amargor tánico del pimentón)</t>
  </si>
  <si>
    <t xml:space="preserve">140 g Maíz palomero Mushroom reventado caliente (60°C)</t>
  </si>
  <si>
    <t xml:space="preserve">la Reducción de Cerveza Porter</t>
  </si>
  <si>
    <t xml:space="preserve">250 ml Cerveza negra estilo Baltic Porter o Stout artesanal (reducida a fuego bajo hasta obtener 40 ml de extracto denso malteado)</t>
  </si>
  <si>
    <t xml:space="preserve">el Caramelo de Malta y Mostaza</t>
  </si>
  <si>
    <t xml:space="preserve">150 g Azúcar mascabado claro</t>
  </si>
  <si>
    <t xml:space="preserve">40 ml Reducción concentrada de cerveza Porter tibia</t>
  </si>
  <si>
    <t xml:space="preserve">15 g Mostaza antigua de Dijon en grano entero (escurrida)</t>
  </si>
  <si>
    <t xml:space="preserve">el Remate de Queso</t>
  </si>
  <si>
    <t xml:space="preserve">70 g Queso Cheddar añejo en polvo deshidratado (malla 60)</t>
  </si>
  <si>
    <t xml:space="preserve">la Grasa Portadora Aromática</t>
  </si>
  <si>
    <t xml:space="preserve">35 ml Aceite de girasol o maíz refinado neutro</t>
  </si>
  <si>
    <t xml:space="preserve">15 ml Aceite de sésamo tostado puro virgen oscuro</t>
  </si>
  <si>
    <t xml:space="preserve">el Sazonador Seco Marino</t>
  </si>
  <si>
    <t xml:space="preserve">25 g Levadura nutricional en hojuelas desactivada (tostada 5 min a 120°C y pulverizada fino)</t>
  </si>
  <si>
    <t xml:space="preserve">20 g Algas Nori de alta calidad tostadas (trituradas a microhojuelas de 1 mm)</t>
  </si>
  <si>
    <t xml:space="preserve">5 g Sal Maldon en escamas finamente desmenuzadas</t>
  </si>
  <si>
    <t xml:space="preserve">3 g Azúcar glas tamizada</t>
  </si>
  <si>
    <t xml:space="preserve">2 g Semillas de sésamo blanco tostado molido</t>
  </si>
  <si>
    <t xml:space="preserve">150 g Maíz palomero Mushroom reventado tibio (60°C)</t>
  </si>
  <si>
    <t xml:space="preserve">35 g Semillas de amapola azul crudas y secas</t>
  </si>
  <si>
    <t xml:space="preserve">el Caramelo Cítrico</t>
  </si>
  <si>
    <t xml:space="preserve">180 g Azúcar refinada blanca</t>
  </si>
  <si>
    <t xml:space="preserve">40 g Jarabe de glucosa o maíz claro</t>
  </si>
  <si>
    <t xml:space="preserve">Ralladura fina de 3 limones amarillos Eureka (solo corteza amarilla, sin albedo blanco)</t>
  </si>
  <si>
    <t xml:space="preserve">35 ml Jugo concentrado de limón Eureka colado</t>
  </si>
  <si>
    <t xml:space="preserve">3 g Ácido cítrico en polvo anhidro</t>
  </si>
  <si>
    <t xml:space="preserve">el Sellado al Yuzu</t>
  </si>
  <si>
    <t xml:space="preserve">25 ml Jugo puro de yuzu japonés 100% natural (sin sal ni conservadores)</t>
  </si>
  <si>
    <t xml:space="preserve">la Cobertura de Matcha</t>
  </si>
  <si>
    <t xml:space="preserve">240 g Chocolate blanco fino (mínimo 32% manteca de cacao pura)</t>
  </si>
  <si>
    <t xml:space="preserve">15 g Polvo de té matcha grado ceremonial de Uji (tamizado a malla fina)</t>
  </si>
  <si>
    <t xml:space="preserve">15 g Manteca de cacao desodorizada pura</t>
  </si>
  <si>
    <t xml:space="preserve">4 g Flor de sal marina fina</t>
  </si>
  <si>
    <t xml:space="preserve">10 g Polvo de té matcha tamizado mezclado con 5 g de azúcar glas</t>
  </si>
  <si>
    <t xml:space="preserve">140 g Maíz Mushroom reventado caliente (60°C)</t>
  </si>
  <si>
    <t xml:space="preserve">la Reducción Balsámica Concentrada</t>
  </si>
  <si>
    <t xml:space="preserve">100 ml Vinagre balsámico de Módena I.G.P. (reducido a fuego suave hasta obtener 35 ml de glaseado denso y brillante)</t>
  </si>
  <si>
    <t xml:space="preserve">170 g Azúcar mascabado claro</t>
  </si>
  <si>
    <t xml:space="preserve">35 ml Reducción de vinagre balsámico tibia</t>
  </si>
  <si>
    <t xml:space="preserve">la Inclusión y Acabado</t>
  </si>
  <si>
    <t xml:space="preserve">30 g Fresas liofilizadas partidas en dados crocantes de 4 mm</t>
  </si>
  <si>
    <t xml:space="preserve">15 g Fresa liofilizada molida a polvo fino</t>
  </si>
  <si>
    <t xml:space="preserve">75 g Hojuelas de coco deshidratado natural sin azúcar (tostadas a 140°C por 8 min hasta tomar color dorado uniforme)</t>
  </si>
  <si>
    <t xml:space="preserve">el Caramelo al Curry y Miel</t>
  </si>
  <si>
    <t xml:space="preserve">140 g Azúcar refinada</t>
  </si>
  <si>
    <t xml:space="preserve">50 g Miel pura de flor de azahar</t>
  </si>
  <si>
    <t xml:space="preserve">6 g Polvo de curry amarillo suave (mezcla de cúrcuma, cilantro, comino, fenogreco y jengibre, sin picante punzante)</t>
  </si>
  <si>
    <t xml:space="preserve">150 g Maíz palomero Mushroom reventado caliente (60°C)</t>
  </si>
  <si>
    <t xml:space="preserve">la Infusión Concentrada de Lavanda</t>
  </si>
  <si>
    <t xml:space="preserve">50 ml Agua purificada hirviendo</t>
  </si>
  <si>
    <t xml:space="preserve">4 g Flores secas de lavanda francesa culinaria (Lavandula angustifolia, grado alimentario) (Reposar tapado por 8 min y colar presionando las flores para obtener 30 ml netos de infusión aromática colada)</t>
  </si>
  <si>
    <t xml:space="preserve">el Caramelo de Lavanda</t>
  </si>
  <si>
    <t xml:space="preserve">30 ml Infusión colada de lavanda</t>
  </si>
  <si>
    <t xml:space="preserve">la Inclusión Frutal</t>
  </si>
  <si>
    <t xml:space="preserve">25 g Moras silvestres (blackberries) liofilizadas partidas en trozos crujientes de 3 mm</t>
  </si>
  <si>
    <t xml:space="preserve">10 g Polvo fino de moras liofilizadas</t>
  </si>
  <si>
    <t xml:space="preserve">Flores de lavanda secas extras para decorar (microdosis de 1 g)</t>
  </si>
  <si>
    <t xml:space="preserve">150 g Maíz palomero Mushroom reventado por aire caliente (tibio a 60°C)</t>
  </si>
  <si>
    <t xml:space="preserve">el Caramelo de Cítricos y Hierbas</t>
  </si>
  <si>
    <t xml:space="preserve">110 g Mantequilla sin sal (84% M.G.)</t>
  </si>
  <si>
    <t xml:space="preserve">Ralladura fina de 4 mandarinas criollas (solo corteza naranja perfumada)</t>
  </si>
  <si>
    <t xml:space="preserve">35 ml Jugo fresco de mandarina criolla reducido y colado (a partir de 70 ml iniciales)</t>
  </si>
  <si>
    <t xml:space="preserve">4 g Hojas frescas de tomillo común finamente picadas</t>
  </si>
  <si>
    <t xml:space="preserve">4 g Hojas enteras de tomillo seco frotado</t>
  </si>
  <si>
    <t xml:space="preserve">5 g Flor de sal marina en grano fino</t>
  </si>
  <si>
    <t xml:space="preserve">50 g Manzanas verdes (Granny Smith o Reineta) deshidratadas en cubitos crujientes de 3 mm</t>
  </si>
  <si>
    <t xml:space="preserve">el Caramelo Ácido de Manzana</t>
  </si>
  <si>
    <t xml:space="preserve">35 ml Puré concentrado colado de manzana Reineta cocida (sin piel ni semillas)</t>
  </si>
  <si>
    <t xml:space="preserve">4 g Ácido málico en polvo anhidro</t>
  </si>
  <si>
    <t xml:space="preserve">el Acabado</t>
  </si>
  <si>
    <t xml:space="preserve">3 g Canela Ceilán molida tamizada con 3 g de azúcar glas</t>
  </si>
  <si>
    <t xml:space="preserve">50 g Mango Manila deshidratado en cubitos crujientes de 3 mm</t>
  </si>
  <si>
    <t xml:space="preserve">el Caramelo de Mango y Cardamomo</t>
  </si>
  <si>
    <t xml:space="preserve">170 g Azúcar refinada</t>
  </si>
  <si>
    <t xml:space="preserve">35 ml Pulpa colada de mango Manila natural maduro reducida a fuego bajo</t>
  </si>
  <si>
    <t xml:space="preserve">3 g Semillas de cardamomo verde recién molidas</t>
  </si>
  <si>
    <t xml:space="preserve">12 g Chile piquín puro en polvo deshidratado (sin sal agregada comercial)</t>
  </si>
  <si>
    <t xml:space="preserve">5 g Flor de sal marina molida fina</t>
  </si>
  <si>
    <t xml:space="preserve">3 g Azúcar glas</t>
  </si>
  <si>
    <t xml:space="preserve">el Sellado al Jengibre</t>
  </si>
  <si>
    <t xml:space="preserve">25 ml Jugo concentrado de jengibre fresco colado (extraído en frío con extractor)</t>
  </si>
  <si>
    <t xml:space="preserve">la Cobertura y Terminación</t>
  </si>
  <si>
    <t xml:space="preserve">70 g Jengibre cristalizado deshidratado (picado en brunoise de 2 mm)</t>
  </si>
  <si>
    <t xml:space="preserve">6 g Bayas de pimienta rosa (frotadas suavemente entre los dedos para separar las cascarillas del corazón)</t>
  </si>
  <si>
    <t xml:space="preserve">4 g Flor de sal fina</t>
  </si>
  <si>
    <t xml:space="preserve">la Reducción de Guayaba Rosa</t>
  </si>
  <si>
    <t xml:space="preserve">120 ml Pulpa pura de guayaba rosa natural licuada y pasada dos veces por colador de malla fina para retirar las semillas pétreas (reducir a fuego medio hasta obtener 35 ml de concentrado espeso)</t>
  </si>
  <si>
    <t xml:space="preserve">35 ml Concentrado colado de guayaba rosa</t>
  </si>
  <si>
    <t xml:space="preserve">el Acabado de Queso</t>
  </si>
  <si>
    <t xml:space="preserve">65 g Queso canasto artesanal madurado o queso Cotija seco desgrasado (deshidratado a 50°C y molido fino a malla 60)</t>
  </si>
  <si>
    <t xml:space="preserve">140 g Maíz palomero Mushroom reventado por aire caliente (tibio a 60°C)</t>
  </si>
  <si>
    <t xml:space="preserve">40 g Semillas de ajonjolí blanco tostadas en comal de barro hasta dorar</t>
  </si>
  <si>
    <t xml:space="preserve">30 g Nibs de cacao criollo tostados (granillo de 2 mm)</t>
  </si>
  <si>
    <t xml:space="preserve">el Toffee de Mole Negro</t>
  </si>
  <si>
    <t xml:space="preserve">160 g Azúcar mascabado oscuro</t>
  </si>
  <si>
    <t xml:space="preserve">40 g Pasta artesanal de mole negro oaxaqueño (reducción tradicional con chiles chilhuacle negro, mulato, pasilla, plátano macho, pasas y especias)</t>
  </si>
  <si>
    <t xml:space="preserve">3 g Flor de sal marina fina</t>
  </si>
  <si>
    <t xml:space="preserve">la Grasa Portadora Aromatizada</t>
  </si>
  <si>
    <t xml:space="preserve">55 g Ghee (mantequilla clarificada anhidra líquida a 45°C)</t>
  </si>
  <si>
    <t xml:space="preserve">10 g Hojas frescas de epazote verde limpio y muy seco (Freír las hojas de epazote en el ghee a 120°C por 45 s hasta quedar crujientes; colar reservando el aceite aromático y las hojas fritas)</t>
  </si>
  <si>
    <t xml:space="preserve">el Sazonador Seco de Esquite</t>
  </si>
  <si>
    <t xml:space="preserve">50 g Queso Cotija añejo de Michoacán (desgrasado a 50°C, seco y pulverizado fino a malla 60)</t>
  </si>
  <si>
    <t xml:space="preserve">8 g Chile de árbol seco tatemado al comal (molido fino a polvo sin semillas)</t>
  </si>
  <si>
    <t xml:space="preserve">5 g Jugo de limón liofilizado en polvo (aporta la acidez cítrica del limón recién exprimido sin aportar humedad)</t>
  </si>
  <si>
    <t xml:space="preserve">4 g Flor de sal marina molida</t>
  </si>
  <si>
    <t xml:space="preserve">3 g Hojas de epazote frito trituradas a polvo fino</t>
  </si>
  <si>
    <t xml:space="preserve">la Reducción de Chamoy Casero</t>
  </si>
  <si>
    <t xml:space="preserve">100 ml Concentrado puro de flor de jamaica criolla y pulpa de tamarindo natural (hervido al 20% y reducido a 35 ml de pasta espesa agridulce)</t>
  </si>
  <si>
    <t xml:space="preserve">el Caramelo de Chamoy</t>
  </si>
  <si>
    <t xml:space="preserve">35 ml Concentrado de chamoy tibio</t>
  </si>
  <si>
    <t xml:space="preserve">el Sazonador Ácido-Picante Exterior</t>
  </si>
  <si>
    <t xml:space="preserve">25 g Chile piquín puro en polvo</t>
  </si>
  <si>
    <t xml:space="preserve">15 g Azúcar glas tamizada</t>
  </si>
  <si>
    <t xml:space="preserve">7 g Flor de sal marina molida</t>
  </si>
  <si>
    <t xml:space="preserve">3 g Ácido cítrico en polvo</t>
  </si>
  <si>
    <t xml:space="preserve">40 g Piña miel deshidratada en dados crujientes de 3 mm</t>
  </si>
  <si>
    <t xml:space="preserve">el Caramelo de Piña y Habanero</t>
  </si>
  <si>
    <t xml:space="preserve">35 ml Jugo concentrado de piña miel asada al comal (reducido a fuego medio)</t>
  </si>
  <si>
    <t xml:space="preserve">2 g Pasta fina de chile habanero naranja tatemado al comal (sin semillas ni venas, procesado ultra fino con una gota de aceite)</t>
  </si>
  <si>
    <t xml:space="preserve">el Remate Salino</t>
  </si>
  <si>
    <t xml:space="preserve">6 g Flor de sal de Colima</t>
  </si>
  <si>
    <t xml:space="preserve">4 g Ceniza de chile habanero tatemado a polvo fino</t>
  </si>
  <si>
    <t xml:space="preserve">el Caramelo Estilo Masa Frita</t>
  </si>
  <si>
    <t xml:space="preserve">120 g Mantequilla sin sal (cocinada a beurre noisette ligero para emular la masa frita dorada)</t>
  </si>
  <si>
    <t xml:space="preserve">6 g Canela Ceilán molida fina</t>
  </si>
  <si>
    <t xml:space="preserve">5 ml Extracto concentrado de vainilla</t>
  </si>
  <si>
    <t xml:space="preserve">el Rebozado Seco de Churrería</t>
  </si>
  <si>
    <t xml:space="preserve">35 g Azúcar refinada de grano medio</t>
  </si>
  <si>
    <t xml:space="preserve">12 g Canela Ceilán molida fresca</t>
  </si>
  <si>
    <t xml:space="preserve">el Caramelo al Mezcal y Agave</t>
  </si>
  <si>
    <t xml:space="preserve">35 g Miel de agave pura concentrada</t>
  </si>
  <si>
    <t xml:space="preserve">35 ml Mezcal artesanal Espadín joven (45% ABV)</t>
  </si>
  <si>
    <t xml:space="preserve">el Remate Aromático</t>
  </si>
  <si>
    <t xml:space="preserve">8 g Sal de gusano de maguey artesanal (chinicuil tostado, chile seco y sal de Colima)</t>
  </si>
  <si>
    <t xml:space="preserve">8 g Cáscara de naranja dulce tatemada en comal de barro (deshidratada y pulverizada fino)</t>
  </si>
  <si>
    <t xml:space="preserve">55 g Ghee (mantequilla clarificada líquida a 45°C)</t>
  </si>
  <si>
    <t xml:space="preserve">el Sazonador Seco de Rajas con Crema</t>
  </si>
  <si>
    <t xml:space="preserve">30 g Polvo de elote dulce liofilizado o deshidratado fino (harina de maíz tierno tostado)</t>
  </si>
  <si>
    <t xml:space="preserve">20 g Chile poblano asado, pelado, deshidratado a 50°C y pulverizado fino (malla 60)</t>
  </si>
  <si>
    <t xml:space="preserve">15 g Crema de rancho deshidratada en polvo (Sour cream powder)</t>
  </si>
  <si>
    <t xml:space="preserve">5 g Flor de sal de Colima molida</t>
  </si>
  <si>
    <t xml:space="preserve">2 g Cebolla blanca liofilizada en polvo</t>
  </si>
  <si>
    <t xml:space="preserve">80 g Nueces pecán seleccionadas (tostadas a 150°C por 8 min y picadas a 4 mm)</t>
  </si>
  <si>
    <t xml:space="preserve">el Toffee de Cajeta</t>
  </si>
  <si>
    <t xml:space="preserve">140 g Cajeta envinada artesanal de Celaya tradicional (100% leche de cabra, con toque de ron/vino)</t>
  </si>
  <si>
    <t xml:space="preserve">130 g Azúcar mascabado claro</t>
  </si>
  <si>
    <t xml:space="preserve">35 g Jarabe de glucosa</t>
  </si>
  <si>
    <t xml:space="preserve">30 g Flores de jamaica criolla hervidas, escurridas, deshidratadas a 60°C hasta quedar crujientes y picadas en trocitos finos</t>
  </si>
  <si>
    <t xml:space="preserve">el Toffee de Jamaica y Chipotle</t>
  </si>
  <si>
    <t xml:space="preserve">160 g Piloncillo artesanal rallado fino</t>
  </si>
  <si>
    <t xml:space="preserve">35 ml Concentrado puro colado de flor de jamaica caliente</t>
  </si>
  <si>
    <t xml:space="preserve">4 g Polvo de chile chipotle meco o morita tatemado (molido muy fino sin semillas)</t>
  </si>
  <si>
    <t xml:space="preserve">11 g Mezcla de chile chipotle molido fino con flor de sal marina</t>
  </si>
  <si>
    <t xml:space="preserve">60 g Pepitas de calabaza peladas (tostadas en comal a fuego medio hasta inflar y dorar ligero)</t>
  </si>
  <si>
    <t xml:space="preserve">el Toffee de Pipián Rojo</t>
  </si>
  <si>
    <t xml:space="preserve">35 g Pasta concentrada de pipián rojo tradicional (reducción de chiles anchos, guajillo, jitomate tatemado y pepita)</t>
  </si>
  <si>
    <t xml:space="preserve">2 g Comino entero recién tostado en comal y molido fino</t>
  </si>
  <si>
    <t xml:space="preserve">4 g Pepitas de calabaza molidas a polvo fino con una pizca de comino</t>
  </si>
  <si>
    <t xml:space="preserve">el Toffee de Tres Leches y Horchata</t>
  </si>
  <si>
    <t xml:space="preserve">60 g Leche condensada azucarada</t>
  </si>
  <si>
    <t xml:space="preserve">40 g Leche evaporada</t>
  </si>
  <si>
    <t xml:space="preserve">20 g Crema de leche espesa</t>
  </si>
  <si>
    <t xml:space="preserve">130 g Azúcar refinada</t>
  </si>
  <si>
    <t xml:space="preserve">30 ml Concentrado de horchata artesanal de arroz (arroz remojado con canela licuado ultra espeso y colado fino)</t>
  </si>
  <si>
    <t xml:space="preserve">el Rebozado Aterciopelado Exterior</t>
  </si>
  <si>
    <t xml:space="preserve">30 g Leche en polvo entera de alta gama tamizada</t>
  </si>
  <si>
    <t xml:space="preserve">15 g Azúcar glas</t>
  </si>
  <si>
    <t xml:space="preserve">8 g Canela Ceilán molida fina</t>
  </si>
  <si>
    <t xml:space="preserve">2 g Flor de sal marina fina</t>
  </si>
</sst>
</file>

<file path=xl/styles.xml><?xml version="1.0" encoding="utf-8"?>
<styleSheet xmlns="http://schemas.openxmlformats.org/spreadsheetml/2006/main">
  <numFmts count="4">
    <numFmt numFmtId="164" formatCode="General"/>
    <numFmt numFmtId="165" formatCode="\$#,##0.00"/>
    <numFmt numFmtId="166" formatCode="0.0%"/>
    <numFmt numFmtId="167" formatCode="\$#,##0.0000"/>
  </numFmts>
  <fonts count="22">
    <font>
      <sz val="11"/>
      <color theme="1"/>
      <name val="Calibri"/>
      <family val="2"/>
      <charset val="1"/>
    </font>
    <font>
      <sz val="10"/>
      <name val="Arial"/>
      <family val="0"/>
    </font>
    <font>
      <sz val="10"/>
      <name val="Arial"/>
      <family val="0"/>
    </font>
    <font>
      <sz val="10"/>
      <name val="Arial"/>
      <family val="0"/>
    </font>
    <font>
      <b val="true"/>
      <sz val="16"/>
      <color rgb="FF4E1454"/>
      <name val="Arial"/>
      <family val="0"/>
      <charset val="1"/>
    </font>
    <font>
      <i val="true"/>
      <sz val="11"/>
      <color rgb="FF7A2E7E"/>
      <name val="Arial"/>
      <family val="0"/>
      <charset val="1"/>
    </font>
    <font>
      <b val="true"/>
      <sz val="12"/>
      <color rgb="FF4E1454"/>
      <name val="Arial"/>
      <family val="0"/>
      <charset val="1"/>
    </font>
    <font>
      <sz val="11"/>
      <name val="Arial"/>
      <family val="0"/>
      <charset val="1"/>
    </font>
    <font>
      <sz val="11"/>
      <color rgb="FF0000FF"/>
      <name val="Arial"/>
      <family val="0"/>
      <charset val="1"/>
    </font>
    <font>
      <b val="true"/>
      <sz val="11"/>
      <name val="Arial"/>
      <family val="0"/>
      <charset val="1"/>
    </font>
    <font>
      <b val="true"/>
      <sz val="12"/>
      <color rgb="FFC00000"/>
      <name val="Arial"/>
      <family val="0"/>
      <charset val="1"/>
    </font>
    <font>
      <sz val="11"/>
      <color rgb="FFC00000"/>
      <name val="Arial"/>
      <family val="0"/>
      <charset val="1"/>
    </font>
    <font>
      <i val="true"/>
      <sz val="11"/>
      <name val="Arial"/>
      <family val="0"/>
      <charset val="1"/>
    </font>
    <font>
      <b val="true"/>
      <sz val="11"/>
      <color rgb="FFFFFFFF"/>
      <name val="Arial"/>
      <family val="0"/>
      <charset val="1"/>
    </font>
    <font>
      <sz val="10"/>
      <name val="Arial"/>
      <family val="0"/>
      <charset val="1"/>
    </font>
    <font>
      <sz val="9"/>
      <name val="Arial"/>
      <family val="0"/>
      <charset val="1"/>
    </font>
    <font>
      <i val="true"/>
      <sz val="11"/>
      <color rgb="FFC00000"/>
      <name val="Arial"/>
      <family val="0"/>
      <charset val="1"/>
    </font>
    <font>
      <i val="true"/>
      <sz val="11"/>
      <color rgb="FF666666"/>
      <name val="Arial"/>
      <family val="0"/>
      <charset val="1"/>
    </font>
    <font>
      <sz val="9"/>
      <color rgb="FF666666"/>
      <name val="Arial"/>
      <family val="0"/>
      <charset val="1"/>
    </font>
    <font>
      <i val="true"/>
      <sz val="9"/>
      <color rgb="FFC00000"/>
      <name val="Arial"/>
      <family val="0"/>
      <charset val="1"/>
    </font>
    <font>
      <i val="true"/>
      <sz val="9"/>
      <color rgb="FF666666"/>
      <name val="Arial"/>
      <family val="0"/>
      <charset val="1"/>
    </font>
    <font>
      <sz val="11"/>
      <color rgb="FF008000"/>
      <name val="Arial"/>
      <family val="0"/>
      <charset val="1"/>
    </font>
  </fonts>
  <fills count="5">
    <fill>
      <patternFill patternType="none"/>
    </fill>
    <fill>
      <patternFill patternType="gray125"/>
    </fill>
    <fill>
      <patternFill patternType="solid">
        <fgColor rgb="FF4E1454"/>
        <bgColor rgb="FF333333"/>
      </patternFill>
    </fill>
    <fill>
      <patternFill patternType="solid">
        <fgColor rgb="FFFFF2CC"/>
        <bgColor rgb="FFFBF4E9"/>
      </patternFill>
    </fill>
    <fill>
      <patternFill patternType="solid">
        <fgColor rgb="FFFBF4E9"/>
        <bgColor rgb="FFFFF2CC"/>
      </patternFill>
    </fill>
  </fills>
  <borders count="2">
    <border diagonalUp="false" diagonalDown="false">
      <left/>
      <right/>
      <top/>
      <bottom/>
      <diagonal/>
    </border>
    <border diagonalUp="false" diagonalDown="false">
      <left style="thin">
        <color rgb="FFD9D2C5"/>
      </left>
      <right style="thin">
        <color rgb="FFD9D2C5"/>
      </right>
      <top style="thin">
        <color rgb="FFD9D2C5"/>
      </top>
      <bottom style="thin">
        <color rgb="FFD9D2C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false" applyAlignment="false" applyProtection="false">
      <alignment horizontal="general"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5" fontId="9"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7" fontId="21"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18" fillId="4"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7" fontId="21"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4E1454"/>
          <bgColor rgb="FF000000"/>
        </patternFill>
      </fill>
    </dxf>
    <dxf>
      <fill>
        <patternFill patternType="solid">
          <fgColor rgb="FFFBF4E9"/>
          <bgColor rgb="FF000000"/>
        </patternFill>
      </fill>
    </dxf>
    <dxf>
      <fill>
        <patternFill patternType="solid">
          <bgColor rgb="FF000000"/>
        </patternFill>
      </fill>
    </dxf>
    <dxf>
      <fill>
        <patternFill patternType="solid">
          <fgColor rgb="FFFFFFFF"/>
          <bgColor rgb="FF000000"/>
        </patternFill>
      </fill>
    </dxf>
    <dxf>
      <fill>
        <patternFill patternType="solid">
          <fgColor rgb="FF666666"/>
          <bgColor rgb="FF000000"/>
        </patternFill>
      </fill>
    </dxf>
    <dxf>
      <fill>
        <patternFill patternType="solid">
          <fgColor rgb="FF0000FF"/>
          <bgColor rgb="FF000000"/>
        </patternFill>
      </fill>
    </dxf>
    <dxf>
      <fill>
        <patternFill patternType="solid">
          <fgColor rgb="FF008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D9D2C5"/>
      <rgbColor rgb="FF808080"/>
      <rgbColor rgb="FF9999FF"/>
      <rgbColor rgb="FF7A2E7E"/>
      <rgbColor rgb="FFFFF2CC"/>
      <rgbColor rgb="FFCCFFFF"/>
      <rgbColor rgb="FF4E1454"/>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BF4E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19.7" hidden="false" customHeight="false" outlineLevel="0" collapsed="false">
      <c r="B2" s="1" t="s">
        <v>0</v>
      </c>
    </row>
    <row r="3" customFormat="false" ht="26.85" hidden="false" customHeight="false" outlineLevel="0" collapsed="false">
      <c r="B3" s="2" t="s">
        <v>1</v>
      </c>
    </row>
    <row r="4" customFormat="false" ht="15" hidden="false" customHeight="false" outlineLevel="0" collapsed="false">
      <c r="B4" s="3"/>
    </row>
    <row r="5" customFormat="false" ht="15" hidden="false" customHeight="false" outlineLevel="0" collapsed="false">
      <c r="B5" s="4" t="s">
        <v>2</v>
      </c>
    </row>
    <row r="6" customFormat="false" ht="26.85" hidden="false" customHeight="false" outlineLevel="0" collapsed="false">
      <c r="B6" s="5" t="s">
        <v>3</v>
      </c>
    </row>
    <row r="7" customFormat="false" ht="26.85" hidden="false" customHeight="false" outlineLevel="0" collapsed="false">
      <c r="B7" s="5" t="s">
        <v>4</v>
      </c>
    </row>
    <row r="8" customFormat="false" ht="26.85" hidden="false" customHeight="false" outlineLevel="0" collapsed="false">
      <c r="B8" s="5" t="s">
        <v>5</v>
      </c>
    </row>
    <row r="9" customFormat="false" ht="26.85" hidden="false" customHeight="false" outlineLevel="0" collapsed="false">
      <c r="B9" s="5" t="s">
        <v>6</v>
      </c>
    </row>
    <row r="10" customFormat="false" ht="15" hidden="false" customHeight="false" outlineLevel="0" collapsed="false">
      <c r="B10" s="3"/>
    </row>
    <row r="11" customFormat="false" ht="15" hidden="false" customHeight="false" outlineLevel="0" collapsed="false">
      <c r="B11" s="4" t="s">
        <v>7</v>
      </c>
    </row>
    <row r="12" customFormat="false" ht="15" hidden="false" customHeight="false" outlineLevel="0" collapsed="false">
      <c r="B12" s="6" t="s">
        <v>8</v>
      </c>
    </row>
    <row r="13" customFormat="false" ht="15" hidden="false" customHeight="false" outlineLevel="0" collapsed="false">
      <c r="B13" s="5" t="s">
        <v>9</v>
      </c>
    </row>
    <row r="14" customFormat="false" ht="15" hidden="false" customHeight="false" outlineLevel="0" collapsed="false">
      <c r="B14" s="3"/>
    </row>
    <row r="15" customFormat="false" ht="15" hidden="false" customHeight="false" outlineLevel="0" collapsed="false">
      <c r="B15" s="4" t="s">
        <v>10</v>
      </c>
    </row>
    <row r="16" customFormat="false" ht="15" hidden="false" customHeight="false" outlineLevel="0" collapsed="false">
      <c r="B16" s="5" t="s">
        <v>11</v>
      </c>
    </row>
    <row r="17" customFormat="false" ht="15" hidden="false" customHeight="false" outlineLevel="0" collapsed="false">
      <c r="B17" s="5" t="s">
        <v>12</v>
      </c>
    </row>
    <row r="18" customFormat="false" ht="15" hidden="false" customHeight="false" outlineLevel="0" collapsed="false">
      <c r="B18" s="5" t="s">
        <v>13</v>
      </c>
    </row>
    <row r="19" customFormat="false" ht="15" hidden="false" customHeight="false" outlineLevel="0" collapsed="false">
      <c r="B19" s="7" t="s">
        <v>14</v>
      </c>
    </row>
    <row r="20" customFormat="false" ht="15" hidden="false" customHeight="false" outlineLevel="0" collapsed="false">
      <c r="B20" s="5" t="s">
        <v>15</v>
      </c>
    </row>
    <row r="21" customFormat="false" ht="15" hidden="false" customHeight="false" outlineLevel="0" collapsed="false">
      <c r="B21" s="5" t="s">
        <v>16</v>
      </c>
    </row>
    <row r="22" customFormat="false" ht="15" hidden="false" customHeight="false" outlineLevel="0" collapsed="false">
      <c r="B22" s="3"/>
    </row>
    <row r="23" customFormat="false" ht="15" hidden="false" customHeight="false" outlineLevel="0" collapsed="false">
      <c r="B23" s="8" t="s">
        <v>17</v>
      </c>
    </row>
    <row r="24" customFormat="false" ht="39.55" hidden="false" customHeight="false" outlineLevel="0" collapsed="false">
      <c r="B24" s="9" t="s">
        <v>18</v>
      </c>
    </row>
    <row r="25" customFormat="false" ht="26.85" hidden="false" customHeight="false" outlineLevel="0" collapsed="false">
      <c r="B25" s="5" t="s">
        <v>19</v>
      </c>
    </row>
    <row r="26" customFormat="false" ht="39.55" hidden="false" customHeight="false" outlineLevel="0" collapsed="false">
      <c r="B26" s="5" t="s">
        <v>20</v>
      </c>
    </row>
    <row r="27" customFormat="false" ht="26.85" hidden="false" customHeight="false" outlineLevel="0" collapsed="false">
      <c r="B27" s="5" t="s">
        <v>21</v>
      </c>
    </row>
    <row r="28" customFormat="false" ht="15" hidden="false" customHeight="false" outlineLevel="0" collapsed="false">
      <c r="B28" s="10"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20"/>
    <col collapsed="false" customWidth="true" hidden="false" outlineLevel="0" max="4" min="4" style="0" width="11"/>
    <col collapsed="false" customWidth="true" hidden="false" outlineLevel="0" max="7" min="5" style="0" width="9"/>
    <col collapsed="false" customWidth="true" hidden="false" outlineLevel="0" max="8" min="8" style="0" width="11"/>
    <col collapsed="false" customWidth="true" hidden="false" outlineLevel="0" max="9" min="9" style="0" width="10"/>
    <col collapsed="false" customWidth="true" hidden="false" outlineLevel="0" max="10" min="10" style="0" width="9"/>
    <col collapsed="false" customWidth="true" hidden="false" outlineLevel="0" max="11" min="11" style="0" width="11"/>
    <col collapsed="false" customWidth="true" hidden="false" outlineLevel="0" max="12" min="12" style="0" width="10"/>
    <col collapsed="false" customWidth="true" hidden="false" outlineLevel="0" max="13" min="13" style="0" width="11"/>
    <col collapsed="false" customWidth="true" hidden="false" outlineLevel="0" max="14" min="14" style="0" width="13"/>
    <col collapsed="false" customWidth="true" hidden="false" outlineLevel="0" max="17" min="15" style="0" width="11"/>
    <col collapsed="false" customWidth="true" hidden="false" outlineLevel="0" max="18" min="18" style="0" width="12"/>
    <col collapsed="false" customWidth="true" hidden="false" outlineLevel="0" max="19" min="19" style="0" width="13"/>
  </cols>
  <sheetData>
    <row r="1" customFormat="false" ht="31.5" hidden="false" customHeight="true" outlineLevel="0" collapsed="false">
      <c r="A1" s="11" t="s">
        <v>23</v>
      </c>
      <c r="B1" s="11" t="s">
        <v>24</v>
      </c>
      <c r="C1" s="11" t="s">
        <v>25</v>
      </c>
      <c r="D1" s="11" t="s">
        <v>26</v>
      </c>
      <c r="E1" s="11" t="s">
        <v>27</v>
      </c>
      <c r="F1" s="11" t="s">
        <v>28</v>
      </c>
      <c r="G1" s="11" t="s">
        <v>29</v>
      </c>
      <c r="H1" s="11" t="s">
        <v>30</v>
      </c>
      <c r="I1" s="11" t="s">
        <v>31</v>
      </c>
      <c r="J1" s="11" t="s">
        <v>32</v>
      </c>
      <c r="K1" s="11" t="s">
        <v>33</v>
      </c>
      <c r="L1" s="11" t="s">
        <v>34</v>
      </c>
      <c r="M1" s="11" t="s">
        <v>35</v>
      </c>
      <c r="N1" s="11" t="s">
        <v>36</v>
      </c>
      <c r="O1" s="11" t="s">
        <v>37</v>
      </c>
      <c r="P1" s="11" t="s">
        <v>38</v>
      </c>
      <c r="Q1" s="11" t="s">
        <v>39</v>
      </c>
      <c r="R1" s="11" t="s">
        <v>40</v>
      </c>
      <c r="S1" s="11" t="s">
        <v>41</v>
      </c>
    </row>
    <row r="2" customFormat="false" ht="15" hidden="false" customHeight="false" outlineLevel="0" collapsed="false">
      <c r="A2" s="12" t="n">
        <v>1</v>
      </c>
      <c r="B2" s="13" t="s">
        <v>42</v>
      </c>
      <c r="C2" s="12" t="s">
        <v>43</v>
      </c>
      <c r="D2" s="12" t="n">
        <v>550</v>
      </c>
      <c r="E2" s="12" t="n">
        <v>10</v>
      </c>
      <c r="F2" s="12" t="n">
        <v>55</v>
      </c>
      <c r="G2" s="14" t="n">
        <v>1.5</v>
      </c>
      <c r="H2" s="15" t="n">
        <f aca="false">SUMIF(Recetas!$A$2:$A$468,A2,Recetas!$I$2:$I$468)</f>
        <v>69.335</v>
      </c>
      <c r="I2" s="15" t="n">
        <f aca="false">E2*Parámetros!$B$2</f>
        <v>90</v>
      </c>
      <c r="J2" s="15" t="n">
        <f aca="false">Parámetros!$B$3</f>
        <v>25</v>
      </c>
      <c r="K2" s="15" t="n">
        <f aca="false">G2*Parámetros!$B$4</f>
        <v>135</v>
      </c>
      <c r="L2" s="15" t="n">
        <f aca="false">Parámetros!$B$5</f>
        <v>30</v>
      </c>
      <c r="M2" s="15" t="n">
        <f aca="false">SUM(H2:L2)</f>
        <v>349.335</v>
      </c>
      <c r="N2" s="15" t="n">
        <f aca="false">M2/(1-Parámetros!$B$6)</f>
        <v>388.15</v>
      </c>
      <c r="O2" s="16" t="n">
        <f aca="false">N2/E2</f>
        <v>38.815</v>
      </c>
      <c r="P2" s="16" t="n">
        <f aca="false">O2/(1-Parámetros!$B$7)</f>
        <v>97.0375</v>
      </c>
      <c r="Q2" s="15" t="n">
        <f aca="false">O2/(1-Parámetros!$B$8)</f>
        <v>64.6916666666667</v>
      </c>
      <c r="R2" s="15" t="n">
        <f aca="false">O2/(1-Parámetros!$B$9)</f>
        <v>110.9</v>
      </c>
      <c r="S2" s="15" t="n">
        <f aca="false">P2-O2</f>
        <v>58.2225</v>
      </c>
    </row>
    <row r="3" customFormat="false" ht="15" hidden="false" customHeight="false" outlineLevel="0" collapsed="false">
      <c r="A3" s="17" t="n">
        <v>2</v>
      </c>
      <c r="B3" s="18" t="s">
        <v>44</v>
      </c>
      <c r="C3" s="17" t="s">
        <v>43</v>
      </c>
      <c r="D3" s="17" t="n">
        <v>620</v>
      </c>
      <c r="E3" s="17" t="n">
        <v>10</v>
      </c>
      <c r="F3" s="17" t="n">
        <v>60</v>
      </c>
      <c r="G3" s="14" t="n">
        <v>1.5</v>
      </c>
      <c r="H3" s="19" t="n">
        <f aca="false">SUMIF(Recetas!$A$2:$A$468,A3,Recetas!$I$2:$I$468)</f>
        <v>127.535</v>
      </c>
      <c r="I3" s="19" t="n">
        <f aca="false">E3*Parámetros!$B$2</f>
        <v>90</v>
      </c>
      <c r="J3" s="19" t="n">
        <f aca="false">Parámetros!$B$3</f>
        <v>25</v>
      </c>
      <c r="K3" s="19" t="n">
        <f aca="false">G3*Parámetros!$B$4</f>
        <v>135</v>
      </c>
      <c r="L3" s="19" t="n">
        <f aca="false">Parámetros!$B$5</f>
        <v>30</v>
      </c>
      <c r="M3" s="19" t="n">
        <f aca="false">SUM(H3:L3)</f>
        <v>407.535</v>
      </c>
      <c r="N3" s="19" t="n">
        <f aca="false">M3/(1-Parámetros!$B$6)</f>
        <v>452.816666666667</v>
      </c>
      <c r="O3" s="20" t="n">
        <f aca="false">N3/E3</f>
        <v>45.2816666666667</v>
      </c>
      <c r="P3" s="20" t="n">
        <f aca="false">O3/(1-Parámetros!$B$7)</f>
        <v>113.204166666667</v>
      </c>
      <c r="Q3" s="19" t="n">
        <f aca="false">O3/(1-Parámetros!$B$8)</f>
        <v>75.4694444444445</v>
      </c>
      <c r="R3" s="19" t="n">
        <f aca="false">O3/(1-Parámetros!$B$9)</f>
        <v>129.376190476191</v>
      </c>
      <c r="S3" s="19" t="n">
        <f aca="false">P3-O3</f>
        <v>67.9225</v>
      </c>
    </row>
    <row r="4" customFormat="false" ht="15" hidden="false" customHeight="false" outlineLevel="0" collapsed="false">
      <c r="A4" s="12" t="n">
        <v>3</v>
      </c>
      <c r="B4" s="13" t="s">
        <v>45</v>
      </c>
      <c r="C4" s="12" t="s">
        <v>43</v>
      </c>
      <c r="D4" s="12" t="n">
        <v>580</v>
      </c>
      <c r="E4" s="12" t="n">
        <v>10</v>
      </c>
      <c r="F4" s="12" t="n">
        <v>58</v>
      </c>
      <c r="G4" s="14" t="n">
        <v>1.5</v>
      </c>
      <c r="H4" s="15" t="n">
        <f aca="false">SUMIF(Recetas!$A$2:$A$468,A4,Recetas!$I$2:$I$468)</f>
        <v>155.14</v>
      </c>
      <c r="I4" s="15" t="n">
        <f aca="false">E4*Parámetros!$B$2</f>
        <v>90</v>
      </c>
      <c r="J4" s="15" t="n">
        <f aca="false">Parámetros!$B$3</f>
        <v>25</v>
      </c>
      <c r="K4" s="15" t="n">
        <f aca="false">G4*Parámetros!$B$4</f>
        <v>135</v>
      </c>
      <c r="L4" s="15" t="n">
        <f aca="false">Parámetros!$B$5</f>
        <v>30</v>
      </c>
      <c r="M4" s="15" t="n">
        <f aca="false">SUM(H4:L4)</f>
        <v>435.14</v>
      </c>
      <c r="N4" s="15" t="n">
        <f aca="false">M4/(1-Parámetros!$B$6)</f>
        <v>483.488888888889</v>
      </c>
      <c r="O4" s="16" t="n">
        <f aca="false">N4/E4</f>
        <v>48.3488888888889</v>
      </c>
      <c r="P4" s="16" t="n">
        <f aca="false">O4/(1-Parámetros!$B$7)</f>
        <v>120.872222222222</v>
      </c>
      <c r="Q4" s="15" t="n">
        <f aca="false">O4/(1-Parámetros!$B$8)</f>
        <v>80.5814814814815</v>
      </c>
      <c r="R4" s="15" t="n">
        <f aca="false">O4/(1-Parámetros!$B$9)</f>
        <v>138.139682539683</v>
      </c>
      <c r="S4" s="15" t="n">
        <f aca="false">P4-O4</f>
        <v>72.5233333333333</v>
      </c>
    </row>
    <row r="5" customFormat="false" ht="15" hidden="false" customHeight="false" outlineLevel="0" collapsed="false">
      <c r="A5" s="17" t="n">
        <v>4</v>
      </c>
      <c r="B5" s="18" t="s">
        <v>46</v>
      </c>
      <c r="C5" s="17" t="s">
        <v>43</v>
      </c>
      <c r="D5" s="17" t="n">
        <v>540</v>
      </c>
      <c r="E5" s="17" t="n">
        <v>10</v>
      </c>
      <c r="F5" s="17" t="n">
        <v>54</v>
      </c>
      <c r="G5" s="14" t="n">
        <v>1.5</v>
      </c>
      <c r="H5" s="19" t="n">
        <f aca="false">SUMIF(Recetas!$A$2:$A$468,A5,Recetas!$I$2:$I$468)</f>
        <v>65.85</v>
      </c>
      <c r="I5" s="19" t="n">
        <f aca="false">E5*Parámetros!$B$2</f>
        <v>90</v>
      </c>
      <c r="J5" s="19" t="n">
        <f aca="false">Parámetros!$B$3</f>
        <v>25</v>
      </c>
      <c r="K5" s="19" t="n">
        <f aca="false">G5*Parámetros!$B$4</f>
        <v>135</v>
      </c>
      <c r="L5" s="19" t="n">
        <f aca="false">Parámetros!$B$5</f>
        <v>30</v>
      </c>
      <c r="M5" s="19" t="n">
        <f aca="false">SUM(H5:L5)</f>
        <v>345.85</v>
      </c>
      <c r="N5" s="19" t="n">
        <f aca="false">M5/(1-Parámetros!$B$6)</f>
        <v>384.277777777778</v>
      </c>
      <c r="O5" s="20" t="n">
        <f aca="false">N5/E5</f>
        <v>38.4277777777778</v>
      </c>
      <c r="P5" s="20" t="n">
        <f aca="false">O5/(1-Parámetros!$B$7)</f>
        <v>96.0694444444444</v>
      </c>
      <c r="Q5" s="19" t="n">
        <f aca="false">O5/(1-Parámetros!$B$8)</f>
        <v>64.0462962962963</v>
      </c>
      <c r="R5" s="19" t="n">
        <f aca="false">O5/(1-Parámetros!$B$9)</f>
        <v>109.793650793651</v>
      </c>
      <c r="S5" s="19" t="n">
        <f aca="false">P5-O5</f>
        <v>57.6416666666667</v>
      </c>
    </row>
    <row r="6" customFormat="false" ht="15" hidden="false" customHeight="false" outlineLevel="0" collapsed="false">
      <c r="A6" s="12" t="n">
        <v>5</v>
      </c>
      <c r="B6" s="13" t="s">
        <v>47</v>
      </c>
      <c r="C6" s="12" t="s">
        <v>43</v>
      </c>
      <c r="D6" s="12" t="n">
        <v>590</v>
      </c>
      <c r="E6" s="12" t="n">
        <v>10</v>
      </c>
      <c r="F6" s="12" t="n">
        <v>59</v>
      </c>
      <c r="G6" s="14" t="n">
        <v>1.5</v>
      </c>
      <c r="H6" s="15" t="n">
        <f aca="false">SUMIF(Recetas!$A$2:$A$468,A6,Recetas!$I$2:$I$468)</f>
        <v>88.75</v>
      </c>
      <c r="I6" s="15" t="n">
        <f aca="false">E6*Parámetros!$B$2</f>
        <v>90</v>
      </c>
      <c r="J6" s="15" t="n">
        <f aca="false">Parámetros!$B$3</f>
        <v>25</v>
      </c>
      <c r="K6" s="15" t="n">
        <f aca="false">G6*Parámetros!$B$4</f>
        <v>135</v>
      </c>
      <c r="L6" s="15" t="n">
        <f aca="false">Parámetros!$B$5</f>
        <v>30</v>
      </c>
      <c r="M6" s="15" t="n">
        <f aca="false">SUM(H6:L6)</f>
        <v>368.75</v>
      </c>
      <c r="N6" s="15" t="n">
        <f aca="false">M6/(1-Parámetros!$B$6)</f>
        <v>409.722222222222</v>
      </c>
      <c r="O6" s="16" t="n">
        <f aca="false">N6/E6</f>
        <v>40.9722222222222</v>
      </c>
      <c r="P6" s="16" t="n">
        <f aca="false">O6/(1-Parámetros!$B$7)</f>
        <v>102.430555555556</v>
      </c>
      <c r="Q6" s="15" t="n">
        <f aca="false">O6/(1-Parámetros!$B$8)</f>
        <v>68.287037037037</v>
      </c>
      <c r="R6" s="15" t="n">
        <f aca="false">O6/(1-Parámetros!$B$9)</f>
        <v>117.063492063492</v>
      </c>
      <c r="S6" s="15" t="n">
        <f aca="false">P6-O6</f>
        <v>61.4583333333333</v>
      </c>
    </row>
    <row r="7" customFormat="false" ht="15" hidden="false" customHeight="false" outlineLevel="0" collapsed="false">
      <c r="A7" s="17" t="n">
        <v>6</v>
      </c>
      <c r="B7" s="18" t="s">
        <v>48</v>
      </c>
      <c r="C7" s="17" t="s">
        <v>49</v>
      </c>
      <c r="D7" s="17" t="n">
        <v>270</v>
      </c>
      <c r="E7" s="17" t="n">
        <v>10</v>
      </c>
      <c r="F7" s="17" t="n">
        <v>27</v>
      </c>
      <c r="G7" s="14" t="n">
        <v>1</v>
      </c>
      <c r="H7" s="19" t="n">
        <f aca="false">SUMIF(Recetas!$A$2:$A$468,A7,Recetas!$I$2:$I$468)</f>
        <v>110.7</v>
      </c>
      <c r="I7" s="19" t="n">
        <f aca="false">E7*Parámetros!$B$2</f>
        <v>90</v>
      </c>
      <c r="J7" s="19" t="n">
        <f aca="false">Parámetros!$B$3</f>
        <v>25</v>
      </c>
      <c r="K7" s="19" t="n">
        <f aca="false">G7*Parámetros!$B$4</f>
        <v>90</v>
      </c>
      <c r="L7" s="19" t="n">
        <f aca="false">Parámetros!$B$5</f>
        <v>30</v>
      </c>
      <c r="M7" s="19" t="n">
        <f aca="false">SUM(H7:L7)</f>
        <v>345.7</v>
      </c>
      <c r="N7" s="19" t="n">
        <f aca="false">M7/(1-Parámetros!$B$6)</f>
        <v>384.111111111111</v>
      </c>
      <c r="O7" s="20" t="n">
        <f aca="false">N7/E7</f>
        <v>38.4111111111111</v>
      </c>
      <c r="P7" s="20" t="n">
        <f aca="false">O7/(1-Parámetros!$B$7)</f>
        <v>96.0277777777778</v>
      </c>
      <c r="Q7" s="19" t="n">
        <f aca="false">O7/(1-Parámetros!$B$8)</f>
        <v>64.0185185185185</v>
      </c>
      <c r="R7" s="19" t="n">
        <f aca="false">O7/(1-Parámetros!$B$9)</f>
        <v>109.746031746032</v>
      </c>
      <c r="S7" s="19" t="n">
        <f aca="false">P7-O7</f>
        <v>57.6166666666667</v>
      </c>
    </row>
    <row r="8" customFormat="false" ht="15" hidden="false" customHeight="false" outlineLevel="0" collapsed="false">
      <c r="A8" s="12" t="n">
        <v>7</v>
      </c>
      <c r="B8" s="13" t="s">
        <v>50</v>
      </c>
      <c r="C8" s="12" t="s">
        <v>49</v>
      </c>
      <c r="D8" s="12" t="n">
        <v>240</v>
      </c>
      <c r="E8" s="12" t="n">
        <v>10</v>
      </c>
      <c r="F8" s="12" t="n">
        <v>24</v>
      </c>
      <c r="G8" s="14" t="n">
        <v>1</v>
      </c>
      <c r="H8" s="15" t="n">
        <f aca="false">SUMIF(Recetas!$A$2:$A$468,A8,Recetas!$I$2:$I$468)</f>
        <v>47.124</v>
      </c>
      <c r="I8" s="15" t="n">
        <f aca="false">E8*Parámetros!$B$2</f>
        <v>90</v>
      </c>
      <c r="J8" s="15" t="n">
        <f aca="false">Parámetros!$B$3</f>
        <v>25</v>
      </c>
      <c r="K8" s="15" t="n">
        <f aca="false">G8*Parámetros!$B$4</f>
        <v>90</v>
      </c>
      <c r="L8" s="15" t="n">
        <f aca="false">Parámetros!$B$5</f>
        <v>30</v>
      </c>
      <c r="M8" s="15" t="n">
        <f aca="false">SUM(H8:L8)</f>
        <v>282.124</v>
      </c>
      <c r="N8" s="15" t="n">
        <f aca="false">M8/(1-Parámetros!$B$6)</f>
        <v>313.471111111111</v>
      </c>
      <c r="O8" s="16" t="n">
        <f aca="false">N8/E8</f>
        <v>31.3471111111111</v>
      </c>
      <c r="P8" s="16" t="n">
        <f aca="false">O8/(1-Parámetros!$B$7)</f>
        <v>78.3677777777778</v>
      </c>
      <c r="Q8" s="15" t="n">
        <f aca="false">O8/(1-Parámetros!$B$8)</f>
        <v>52.2451851851852</v>
      </c>
      <c r="R8" s="15" t="n">
        <f aca="false">O8/(1-Parámetros!$B$9)</f>
        <v>89.5631746031746</v>
      </c>
      <c r="S8" s="15" t="n">
        <f aca="false">P8-O8</f>
        <v>47.0206666666667</v>
      </c>
    </row>
    <row r="9" customFormat="false" ht="15" hidden="false" customHeight="false" outlineLevel="0" collapsed="false">
      <c r="A9" s="17" t="n">
        <v>8</v>
      </c>
      <c r="B9" s="18" t="s">
        <v>51</v>
      </c>
      <c r="C9" s="17" t="s">
        <v>43</v>
      </c>
      <c r="D9" s="17" t="n">
        <v>560</v>
      </c>
      <c r="E9" s="17" t="n">
        <v>10</v>
      </c>
      <c r="F9" s="17" t="n">
        <v>56</v>
      </c>
      <c r="G9" s="14" t="n">
        <v>1.5</v>
      </c>
      <c r="H9" s="19" t="n">
        <f aca="false">SUMIF(Recetas!$A$2:$A$468,A9,Recetas!$I$2:$I$468)</f>
        <v>112.19</v>
      </c>
      <c r="I9" s="19" t="n">
        <f aca="false">E9*Parámetros!$B$2</f>
        <v>90</v>
      </c>
      <c r="J9" s="19" t="n">
        <f aca="false">Parámetros!$B$3</f>
        <v>25</v>
      </c>
      <c r="K9" s="19" t="n">
        <f aca="false">G9*Parámetros!$B$4</f>
        <v>135</v>
      </c>
      <c r="L9" s="19" t="n">
        <f aca="false">Parámetros!$B$5</f>
        <v>30</v>
      </c>
      <c r="M9" s="19" t="n">
        <f aca="false">SUM(H9:L9)</f>
        <v>392.19</v>
      </c>
      <c r="N9" s="19" t="n">
        <f aca="false">M9/(1-Parámetros!$B$6)</f>
        <v>435.766666666667</v>
      </c>
      <c r="O9" s="20" t="n">
        <f aca="false">N9/E9</f>
        <v>43.5766666666667</v>
      </c>
      <c r="P9" s="20" t="n">
        <f aca="false">O9/(1-Parámetros!$B$7)</f>
        <v>108.941666666667</v>
      </c>
      <c r="Q9" s="19" t="n">
        <f aca="false">O9/(1-Parámetros!$B$8)</f>
        <v>72.6277777777778</v>
      </c>
      <c r="R9" s="19" t="n">
        <f aca="false">O9/(1-Parámetros!$B$9)</f>
        <v>124.504761904762</v>
      </c>
      <c r="S9" s="19" t="n">
        <f aca="false">P9-O9</f>
        <v>65.365</v>
      </c>
    </row>
    <row r="10" customFormat="false" ht="15" hidden="false" customHeight="false" outlineLevel="0" collapsed="false">
      <c r="A10" s="12" t="n">
        <v>9</v>
      </c>
      <c r="B10" s="13" t="s">
        <v>52</v>
      </c>
      <c r="C10" s="12" t="s">
        <v>43</v>
      </c>
      <c r="D10" s="12" t="n">
        <v>580</v>
      </c>
      <c r="E10" s="12" t="n">
        <v>10</v>
      </c>
      <c r="F10" s="12" t="n">
        <v>58</v>
      </c>
      <c r="G10" s="14" t="n">
        <v>1.5</v>
      </c>
      <c r="H10" s="15" t="n">
        <f aca="false">SUMIF(Recetas!$A$2:$A$468,A10,Recetas!$I$2:$I$468)</f>
        <v>59.94</v>
      </c>
      <c r="I10" s="15" t="n">
        <f aca="false">E10*Parámetros!$B$2</f>
        <v>90</v>
      </c>
      <c r="J10" s="15" t="n">
        <f aca="false">Parámetros!$B$3</f>
        <v>25</v>
      </c>
      <c r="K10" s="15" t="n">
        <f aca="false">G10*Parámetros!$B$4</f>
        <v>135</v>
      </c>
      <c r="L10" s="15" t="n">
        <f aca="false">Parámetros!$B$5</f>
        <v>30</v>
      </c>
      <c r="M10" s="15" t="n">
        <f aca="false">SUM(H10:L10)</f>
        <v>339.94</v>
      </c>
      <c r="N10" s="15" t="n">
        <f aca="false">M10/(1-Parámetros!$B$6)</f>
        <v>377.711111111111</v>
      </c>
      <c r="O10" s="16" t="n">
        <f aca="false">N10/E10</f>
        <v>37.7711111111111</v>
      </c>
      <c r="P10" s="16" t="n">
        <f aca="false">O10/(1-Parámetros!$B$7)</f>
        <v>94.4277777777778</v>
      </c>
      <c r="Q10" s="15" t="n">
        <f aca="false">O10/(1-Parámetros!$B$8)</f>
        <v>62.9518518518519</v>
      </c>
      <c r="R10" s="15" t="n">
        <f aca="false">O10/(1-Parámetros!$B$9)</f>
        <v>107.91746031746</v>
      </c>
      <c r="S10" s="15" t="n">
        <f aca="false">P10-O10</f>
        <v>56.6566666666667</v>
      </c>
    </row>
    <row r="11" customFormat="false" ht="15" hidden="false" customHeight="false" outlineLevel="0" collapsed="false">
      <c r="A11" s="17" t="n">
        <v>10</v>
      </c>
      <c r="B11" s="18" t="s">
        <v>53</v>
      </c>
      <c r="C11" s="17" t="s">
        <v>43</v>
      </c>
      <c r="D11" s="17" t="n">
        <v>540</v>
      </c>
      <c r="E11" s="17" t="n">
        <v>10</v>
      </c>
      <c r="F11" s="17" t="n">
        <v>54</v>
      </c>
      <c r="G11" s="14" t="n">
        <v>1.5</v>
      </c>
      <c r="H11" s="19" t="n">
        <f aca="false">SUMIF(Recetas!$A$2:$A$468,A11,Recetas!$I$2:$I$468)</f>
        <v>63.31</v>
      </c>
      <c r="I11" s="19" t="n">
        <f aca="false">E11*Parámetros!$B$2</f>
        <v>90</v>
      </c>
      <c r="J11" s="19" t="n">
        <f aca="false">Parámetros!$B$3</f>
        <v>25</v>
      </c>
      <c r="K11" s="19" t="n">
        <f aca="false">G11*Parámetros!$B$4</f>
        <v>135</v>
      </c>
      <c r="L11" s="19" t="n">
        <f aca="false">Parámetros!$B$5</f>
        <v>30</v>
      </c>
      <c r="M11" s="19" t="n">
        <f aca="false">SUM(H11:L11)</f>
        <v>343.31</v>
      </c>
      <c r="N11" s="19" t="n">
        <f aca="false">M11/(1-Parámetros!$B$6)</f>
        <v>381.455555555556</v>
      </c>
      <c r="O11" s="20" t="n">
        <f aca="false">N11/E11</f>
        <v>38.1455555555556</v>
      </c>
      <c r="P11" s="20" t="n">
        <f aca="false">O11/(1-Parámetros!$B$7)</f>
        <v>95.3638888888889</v>
      </c>
      <c r="Q11" s="19" t="n">
        <f aca="false">O11/(1-Parámetros!$B$8)</f>
        <v>63.5759259259259</v>
      </c>
      <c r="R11" s="19" t="n">
        <f aca="false">O11/(1-Parámetros!$B$9)</f>
        <v>108.987301587302</v>
      </c>
      <c r="S11" s="19" t="n">
        <f aca="false">P11-O11</f>
        <v>57.2183333333333</v>
      </c>
    </row>
    <row r="12" customFormat="false" ht="15" hidden="false" customHeight="false" outlineLevel="0" collapsed="false">
      <c r="A12" s="12" t="n">
        <v>11</v>
      </c>
      <c r="B12" s="13" t="s">
        <v>54</v>
      </c>
      <c r="C12" s="12" t="s">
        <v>55</v>
      </c>
      <c r="D12" s="12" t="n">
        <v>570</v>
      </c>
      <c r="E12" s="12" t="n">
        <v>10</v>
      </c>
      <c r="F12" s="12" t="n">
        <v>57</v>
      </c>
      <c r="G12" s="14" t="n">
        <v>2</v>
      </c>
      <c r="H12" s="15" t="n">
        <f aca="false">SUMIF(Recetas!$A$2:$A$468,A12,Recetas!$I$2:$I$468)</f>
        <v>161.51</v>
      </c>
      <c r="I12" s="15" t="n">
        <f aca="false">E12*Parámetros!$B$2</f>
        <v>90</v>
      </c>
      <c r="J12" s="15" t="n">
        <f aca="false">Parámetros!$B$3</f>
        <v>25</v>
      </c>
      <c r="K12" s="15" t="n">
        <f aca="false">G12*Parámetros!$B$4</f>
        <v>180</v>
      </c>
      <c r="L12" s="15" t="n">
        <f aca="false">Parámetros!$B$5</f>
        <v>30</v>
      </c>
      <c r="M12" s="15" t="n">
        <f aca="false">SUM(H12:L12)</f>
        <v>486.51</v>
      </c>
      <c r="N12" s="15" t="n">
        <f aca="false">M12/(1-Parámetros!$B$6)</f>
        <v>540.566666666667</v>
      </c>
      <c r="O12" s="16" t="n">
        <f aca="false">N12/E12</f>
        <v>54.0566666666667</v>
      </c>
      <c r="P12" s="16" t="n">
        <f aca="false">O12/(1-Parámetros!$B$7)</f>
        <v>135.141666666667</v>
      </c>
      <c r="Q12" s="15" t="n">
        <f aca="false">O12/(1-Parámetros!$B$8)</f>
        <v>90.0944444444444</v>
      </c>
      <c r="R12" s="15" t="n">
        <f aca="false">O12/(1-Parámetros!$B$9)</f>
        <v>154.447619047619</v>
      </c>
      <c r="S12" s="15" t="n">
        <f aca="false">P12-O12</f>
        <v>81.085</v>
      </c>
    </row>
    <row r="13" customFormat="false" ht="15" hidden="false" customHeight="false" outlineLevel="0" collapsed="false">
      <c r="A13" s="17" t="n">
        <v>12</v>
      </c>
      <c r="B13" s="18" t="s">
        <v>56</v>
      </c>
      <c r="C13" s="17" t="s">
        <v>55</v>
      </c>
      <c r="D13" s="17" t="n">
        <v>590</v>
      </c>
      <c r="E13" s="17" t="n">
        <v>10</v>
      </c>
      <c r="F13" s="17" t="n">
        <v>59</v>
      </c>
      <c r="G13" s="14" t="n">
        <v>2</v>
      </c>
      <c r="H13" s="19" t="n">
        <f aca="false">SUMIF(Recetas!$A$2:$A$468,A13,Recetas!$I$2:$I$468)</f>
        <v>239.98</v>
      </c>
      <c r="I13" s="19" t="n">
        <f aca="false">E13*Parámetros!$B$2</f>
        <v>90</v>
      </c>
      <c r="J13" s="19" t="n">
        <f aca="false">Parámetros!$B$3</f>
        <v>25</v>
      </c>
      <c r="K13" s="19" t="n">
        <f aca="false">G13*Parámetros!$B$4</f>
        <v>180</v>
      </c>
      <c r="L13" s="19" t="n">
        <f aca="false">Parámetros!$B$5</f>
        <v>30</v>
      </c>
      <c r="M13" s="19" t="n">
        <f aca="false">SUM(H13:L13)</f>
        <v>564.98</v>
      </c>
      <c r="N13" s="19" t="n">
        <f aca="false">M13/(1-Parámetros!$B$6)</f>
        <v>627.755555555556</v>
      </c>
      <c r="O13" s="20" t="n">
        <f aca="false">N13/E13</f>
        <v>62.7755555555556</v>
      </c>
      <c r="P13" s="20" t="n">
        <f aca="false">O13/(1-Parámetros!$B$7)</f>
        <v>156.938888888889</v>
      </c>
      <c r="Q13" s="19" t="n">
        <f aca="false">O13/(1-Parámetros!$B$8)</f>
        <v>104.625925925926</v>
      </c>
      <c r="R13" s="19" t="n">
        <f aca="false">O13/(1-Parámetros!$B$9)</f>
        <v>179.35873015873</v>
      </c>
      <c r="S13" s="19" t="n">
        <f aca="false">P13-O13</f>
        <v>94.1633333333333</v>
      </c>
    </row>
    <row r="14" customFormat="false" ht="15" hidden="false" customHeight="false" outlineLevel="0" collapsed="false">
      <c r="A14" s="12" t="n">
        <v>13</v>
      </c>
      <c r="B14" s="13" t="s">
        <v>57</v>
      </c>
      <c r="C14" s="12" t="s">
        <v>55</v>
      </c>
      <c r="D14" s="12" t="n">
        <v>600</v>
      </c>
      <c r="E14" s="12" t="n">
        <v>10</v>
      </c>
      <c r="F14" s="12" t="n">
        <v>60</v>
      </c>
      <c r="G14" s="14" t="n">
        <v>2</v>
      </c>
      <c r="H14" s="15" t="n">
        <f aca="false">SUMIF(Recetas!$A$2:$A$468,A14,Recetas!$I$2:$I$468)</f>
        <v>231.6</v>
      </c>
      <c r="I14" s="15" t="n">
        <f aca="false">E14*Parámetros!$B$2</f>
        <v>90</v>
      </c>
      <c r="J14" s="15" t="n">
        <f aca="false">Parámetros!$B$3</f>
        <v>25</v>
      </c>
      <c r="K14" s="15" t="n">
        <f aca="false">G14*Parámetros!$B$4</f>
        <v>180</v>
      </c>
      <c r="L14" s="15" t="n">
        <f aca="false">Parámetros!$B$5</f>
        <v>30</v>
      </c>
      <c r="M14" s="15" t="n">
        <f aca="false">SUM(H14:L14)</f>
        <v>556.6</v>
      </c>
      <c r="N14" s="15" t="n">
        <f aca="false">M14/(1-Parámetros!$B$6)</f>
        <v>618.444444444445</v>
      </c>
      <c r="O14" s="16" t="n">
        <f aca="false">N14/E14</f>
        <v>61.8444444444445</v>
      </c>
      <c r="P14" s="16" t="n">
        <f aca="false">O14/(1-Parámetros!$B$7)</f>
        <v>154.611111111111</v>
      </c>
      <c r="Q14" s="15" t="n">
        <f aca="false">O14/(1-Parámetros!$B$8)</f>
        <v>103.074074074074</v>
      </c>
      <c r="R14" s="15" t="n">
        <f aca="false">O14/(1-Parámetros!$B$9)</f>
        <v>176.698412698413</v>
      </c>
      <c r="S14" s="15" t="n">
        <f aca="false">P14-O14</f>
        <v>92.7666666666667</v>
      </c>
    </row>
    <row r="15" customFormat="false" ht="15" hidden="false" customHeight="false" outlineLevel="0" collapsed="false">
      <c r="A15" s="17" t="n">
        <v>14</v>
      </c>
      <c r="B15" s="18" t="s">
        <v>58</v>
      </c>
      <c r="C15" s="17" t="s">
        <v>55</v>
      </c>
      <c r="D15" s="17" t="n">
        <v>560</v>
      </c>
      <c r="E15" s="17" t="n">
        <v>10</v>
      </c>
      <c r="F15" s="17" t="n">
        <v>56</v>
      </c>
      <c r="G15" s="14" t="n">
        <v>2</v>
      </c>
      <c r="H15" s="19" t="n">
        <f aca="false">SUMIF(Recetas!$A$2:$A$468,A15,Recetas!$I$2:$I$468)</f>
        <v>242.29</v>
      </c>
      <c r="I15" s="19" t="n">
        <f aca="false">E15*Parámetros!$B$2</f>
        <v>90</v>
      </c>
      <c r="J15" s="19" t="n">
        <f aca="false">Parámetros!$B$3</f>
        <v>25</v>
      </c>
      <c r="K15" s="19" t="n">
        <f aca="false">G15*Parámetros!$B$4</f>
        <v>180</v>
      </c>
      <c r="L15" s="19" t="n">
        <f aca="false">Parámetros!$B$5</f>
        <v>30</v>
      </c>
      <c r="M15" s="19" t="n">
        <f aca="false">SUM(H15:L15)</f>
        <v>567.29</v>
      </c>
      <c r="N15" s="19" t="n">
        <f aca="false">M15/(1-Parámetros!$B$6)</f>
        <v>630.322222222222</v>
      </c>
      <c r="O15" s="20" t="n">
        <f aca="false">N15/E15</f>
        <v>63.0322222222222</v>
      </c>
      <c r="P15" s="20" t="n">
        <f aca="false">O15/(1-Parámetros!$B$7)</f>
        <v>157.580555555556</v>
      </c>
      <c r="Q15" s="19" t="n">
        <f aca="false">O15/(1-Parámetros!$B$8)</f>
        <v>105.053703703704</v>
      </c>
      <c r="R15" s="19" t="n">
        <f aca="false">O15/(1-Parámetros!$B$9)</f>
        <v>180.092063492064</v>
      </c>
      <c r="S15" s="19" t="n">
        <f aca="false">P15-O15</f>
        <v>94.5483333333333</v>
      </c>
    </row>
    <row r="16" customFormat="false" ht="15" hidden="false" customHeight="false" outlineLevel="0" collapsed="false">
      <c r="A16" s="12" t="n">
        <v>15</v>
      </c>
      <c r="B16" s="13" t="s">
        <v>59</v>
      </c>
      <c r="C16" s="12" t="s">
        <v>55</v>
      </c>
      <c r="D16" s="12" t="n">
        <v>580</v>
      </c>
      <c r="E16" s="12" t="n">
        <v>10</v>
      </c>
      <c r="F16" s="12" t="n">
        <v>58</v>
      </c>
      <c r="G16" s="14" t="n">
        <v>2</v>
      </c>
      <c r="H16" s="15" t="n">
        <f aca="false">SUMIF(Recetas!$A$2:$A$468,A16,Recetas!$I$2:$I$468)</f>
        <v>197.05</v>
      </c>
      <c r="I16" s="15" t="n">
        <f aca="false">E16*Parámetros!$B$2</f>
        <v>90</v>
      </c>
      <c r="J16" s="15" t="n">
        <f aca="false">Parámetros!$B$3</f>
        <v>25</v>
      </c>
      <c r="K16" s="15" t="n">
        <f aca="false">G16*Parámetros!$B$4</f>
        <v>180</v>
      </c>
      <c r="L16" s="15" t="n">
        <f aca="false">Parámetros!$B$5</f>
        <v>30</v>
      </c>
      <c r="M16" s="15" t="n">
        <f aca="false">SUM(H16:L16)</f>
        <v>522.05</v>
      </c>
      <c r="N16" s="15" t="n">
        <f aca="false">M16/(1-Parámetros!$B$6)</f>
        <v>580.055555555556</v>
      </c>
      <c r="O16" s="16" t="n">
        <f aca="false">N16/E16</f>
        <v>58.0055555555556</v>
      </c>
      <c r="P16" s="16" t="n">
        <f aca="false">O16/(1-Parámetros!$B$7)</f>
        <v>145.013888888889</v>
      </c>
      <c r="Q16" s="15" t="n">
        <f aca="false">O16/(1-Parámetros!$B$8)</f>
        <v>96.6759259259259</v>
      </c>
      <c r="R16" s="15" t="n">
        <f aca="false">O16/(1-Parámetros!$B$9)</f>
        <v>165.730158730159</v>
      </c>
      <c r="S16" s="15" t="n">
        <f aca="false">P16-O16</f>
        <v>87.0083333333333</v>
      </c>
    </row>
    <row r="17" customFormat="false" ht="15" hidden="false" customHeight="false" outlineLevel="0" collapsed="false">
      <c r="A17" s="17" t="n">
        <v>16</v>
      </c>
      <c r="B17" s="18" t="s">
        <v>60</v>
      </c>
      <c r="C17" s="17" t="s">
        <v>55</v>
      </c>
      <c r="D17" s="17" t="n">
        <v>570</v>
      </c>
      <c r="E17" s="17" t="n">
        <v>10</v>
      </c>
      <c r="F17" s="17" t="n">
        <v>57</v>
      </c>
      <c r="G17" s="14" t="n">
        <v>2</v>
      </c>
      <c r="H17" s="19" t="n">
        <f aca="false">SUMIF(Recetas!$A$2:$A$468,A17,Recetas!$I$2:$I$468)</f>
        <v>141.33</v>
      </c>
      <c r="I17" s="19" t="n">
        <f aca="false">E17*Parámetros!$B$2</f>
        <v>90</v>
      </c>
      <c r="J17" s="19" t="n">
        <f aca="false">Parámetros!$B$3</f>
        <v>25</v>
      </c>
      <c r="K17" s="19" t="n">
        <f aca="false">G17*Parámetros!$B$4</f>
        <v>180</v>
      </c>
      <c r="L17" s="19" t="n">
        <f aca="false">Parámetros!$B$5</f>
        <v>30</v>
      </c>
      <c r="M17" s="19" t="n">
        <f aca="false">SUM(H17:L17)</f>
        <v>466.33</v>
      </c>
      <c r="N17" s="19" t="n">
        <f aca="false">M17/(1-Parámetros!$B$6)</f>
        <v>518.144444444445</v>
      </c>
      <c r="O17" s="20" t="n">
        <f aca="false">N17/E17</f>
        <v>51.8144444444445</v>
      </c>
      <c r="P17" s="20" t="n">
        <f aca="false">O17/(1-Parámetros!$B$7)</f>
        <v>129.536111111111</v>
      </c>
      <c r="Q17" s="19" t="n">
        <f aca="false">O17/(1-Parámetros!$B$8)</f>
        <v>86.3574074074074</v>
      </c>
      <c r="R17" s="19" t="n">
        <f aca="false">O17/(1-Parámetros!$B$9)</f>
        <v>148.04126984127</v>
      </c>
      <c r="S17" s="19" t="n">
        <f aca="false">P17-O17</f>
        <v>77.7216666666667</v>
      </c>
    </row>
    <row r="18" customFormat="false" ht="15" hidden="false" customHeight="false" outlineLevel="0" collapsed="false">
      <c r="A18" s="12" t="n">
        <v>17</v>
      </c>
      <c r="B18" s="13" t="s">
        <v>61</v>
      </c>
      <c r="C18" s="12" t="s">
        <v>43</v>
      </c>
      <c r="D18" s="12" t="n">
        <v>590</v>
      </c>
      <c r="E18" s="12" t="n">
        <v>10</v>
      </c>
      <c r="F18" s="12" t="n">
        <v>59</v>
      </c>
      <c r="G18" s="14" t="n">
        <v>1.5</v>
      </c>
      <c r="H18" s="15" t="n">
        <f aca="false">SUMIF(Recetas!$A$2:$A$468,A18,Recetas!$I$2:$I$468)</f>
        <v>303.545</v>
      </c>
      <c r="I18" s="15" t="n">
        <f aca="false">E18*Parámetros!$B$2</f>
        <v>90</v>
      </c>
      <c r="J18" s="15" t="n">
        <f aca="false">Parámetros!$B$3</f>
        <v>25</v>
      </c>
      <c r="K18" s="15" t="n">
        <f aca="false">G18*Parámetros!$B$4</f>
        <v>135</v>
      </c>
      <c r="L18" s="15" t="n">
        <f aca="false">Parámetros!$B$5</f>
        <v>30</v>
      </c>
      <c r="M18" s="15" t="n">
        <f aca="false">SUM(H18:L18)</f>
        <v>583.545</v>
      </c>
      <c r="N18" s="15" t="n">
        <f aca="false">M18/(1-Parámetros!$B$6)</f>
        <v>648.383333333333</v>
      </c>
      <c r="O18" s="16" t="n">
        <f aca="false">N18/E18</f>
        <v>64.8383333333333</v>
      </c>
      <c r="P18" s="16" t="n">
        <f aca="false">O18/(1-Parámetros!$B$7)</f>
        <v>162.095833333333</v>
      </c>
      <c r="Q18" s="15" t="n">
        <f aca="false">O18/(1-Parámetros!$B$8)</f>
        <v>108.063888888889</v>
      </c>
      <c r="R18" s="15" t="n">
        <f aca="false">O18/(1-Parámetros!$B$9)</f>
        <v>185.252380952381</v>
      </c>
      <c r="S18" s="15" t="n">
        <f aca="false">P18-O18</f>
        <v>97.2575</v>
      </c>
    </row>
    <row r="19" customFormat="false" ht="15" hidden="false" customHeight="false" outlineLevel="0" collapsed="false">
      <c r="A19" s="17" t="n">
        <v>18</v>
      </c>
      <c r="B19" s="18" t="s">
        <v>62</v>
      </c>
      <c r="C19" s="17" t="s">
        <v>55</v>
      </c>
      <c r="D19" s="17" t="n">
        <v>580</v>
      </c>
      <c r="E19" s="17" t="n">
        <v>10</v>
      </c>
      <c r="F19" s="17" t="n">
        <v>58</v>
      </c>
      <c r="G19" s="14" t="n">
        <v>2</v>
      </c>
      <c r="H19" s="19" t="n">
        <f aca="false">SUMIF(Recetas!$A$2:$A$468,A19,Recetas!$I$2:$I$468)</f>
        <v>132.08</v>
      </c>
      <c r="I19" s="19" t="n">
        <f aca="false">E19*Parámetros!$B$2</f>
        <v>90</v>
      </c>
      <c r="J19" s="19" t="n">
        <f aca="false">Parámetros!$B$3</f>
        <v>25</v>
      </c>
      <c r="K19" s="19" t="n">
        <f aca="false">G19*Parámetros!$B$4</f>
        <v>180</v>
      </c>
      <c r="L19" s="19" t="n">
        <f aca="false">Parámetros!$B$5</f>
        <v>30</v>
      </c>
      <c r="M19" s="19" t="n">
        <f aca="false">SUM(H19:L19)</f>
        <v>457.08</v>
      </c>
      <c r="N19" s="19" t="n">
        <f aca="false">M19/(1-Parámetros!$B$6)</f>
        <v>507.866666666667</v>
      </c>
      <c r="O19" s="20" t="n">
        <f aca="false">N19/E19</f>
        <v>50.7866666666667</v>
      </c>
      <c r="P19" s="20" t="n">
        <f aca="false">O19/(1-Parámetros!$B$7)</f>
        <v>126.966666666667</v>
      </c>
      <c r="Q19" s="19" t="n">
        <f aca="false">O19/(1-Parámetros!$B$8)</f>
        <v>84.6444444444445</v>
      </c>
      <c r="R19" s="19" t="n">
        <f aca="false">O19/(1-Parámetros!$B$9)</f>
        <v>145.104761904762</v>
      </c>
      <c r="S19" s="19" t="n">
        <f aca="false">P19-O19</f>
        <v>76.18</v>
      </c>
    </row>
    <row r="20" customFormat="false" ht="15" hidden="false" customHeight="false" outlineLevel="0" collapsed="false">
      <c r="A20" s="12" t="n">
        <v>19</v>
      </c>
      <c r="B20" s="13" t="s">
        <v>63</v>
      </c>
      <c r="C20" s="12" t="s">
        <v>55</v>
      </c>
      <c r="D20" s="12" t="n">
        <v>550</v>
      </c>
      <c r="E20" s="12" t="n">
        <v>10</v>
      </c>
      <c r="F20" s="12" t="n">
        <v>55</v>
      </c>
      <c r="G20" s="14" t="n">
        <v>2</v>
      </c>
      <c r="H20" s="15" t="n">
        <f aca="false">SUMIF(Recetas!$A$2:$A$468,A20,Recetas!$I$2:$I$468)</f>
        <v>235.77</v>
      </c>
      <c r="I20" s="15" t="n">
        <f aca="false">E20*Parámetros!$B$2</f>
        <v>90</v>
      </c>
      <c r="J20" s="15" t="n">
        <f aca="false">Parámetros!$B$3</f>
        <v>25</v>
      </c>
      <c r="K20" s="15" t="n">
        <f aca="false">G20*Parámetros!$B$4</f>
        <v>180</v>
      </c>
      <c r="L20" s="15" t="n">
        <f aca="false">Parámetros!$B$5</f>
        <v>30</v>
      </c>
      <c r="M20" s="15" t="n">
        <f aca="false">SUM(H20:L20)</f>
        <v>560.77</v>
      </c>
      <c r="N20" s="15" t="n">
        <f aca="false">M20/(1-Parámetros!$B$6)</f>
        <v>623.077777777778</v>
      </c>
      <c r="O20" s="16" t="n">
        <f aca="false">N20/E20</f>
        <v>62.3077777777778</v>
      </c>
      <c r="P20" s="16" t="n">
        <f aca="false">O20/(1-Parámetros!$B$7)</f>
        <v>155.769444444444</v>
      </c>
      <c r="Q20" s="15" t="n">
        <f aca="false">O20/(1-Parámetros!$B$8)</f>
        <v>103.846296296296</v>
      </c>
      <c r="R20" s="15" t="n">
        <f aca="false">O20/(1-Parámetros!$B$9)</f>
        <v>178.022222222222</v>
      </c>
      <c r="S20" s="15" t="n">
        <f aca="false">P20-O20</f>
        <v>93.4616666666667</v>
      </c>
    </row>
    <row r="21" customFormat="false" ht="15" hidden="false" customHeight="false" outlineLevel="0" collapsed="false">
      <c r="A21" s="17" t="n">
        <v>20</v>
      </c>
      <c r="B21" s="18" t="s">
        <v>64</v>
      </c>
      <c r="C21" s="17" t="s">
        <v>55</v>
      </c>
      <c r="D21" s="17" t="n">
        <v>600</v>
      </c>
      <c r="E21" s="17" t="n">
        <v>10</v>
      </c>
      <c r="F21" s="17" t="n">
        <v>60</v>
      </c>
      <c r="G21" s="14" t="n">
        <v>2</v>
      </c>
      <c r="H21" s="19" t="n">
        <f aca="false">SUMIF(Recetas!$A$2:$A$468,A21,Recetas!$I$2:$I$468)</f>
        <v>135.44</v>
      </c>
      <c r="I21" s="19" t="n">
        <f aca="false">E21*Parámetros!$B$2</f>
        <v>90</v>
      </c>
      <c r="J21" s="19" t="n">
        <f aca="false">Parámetros!$B$3</f>
        <v>25</v>
      </c>
      <c r="K21" s="19" t="n">
        <f aca="false">G21*Parámetros!$B$4</f>
        <v>180</v>
      </c>
      <c r="L21" s="19" t="n">
        <f aca="false">Parámetros!$B$5</f>
        <v>30</v>
      </c>
      <c r="M21" s="19" t="n">
        <f aca="false">SUM(H21:L21)</f>
        <v>460.44</v>
      </c>
      <c r="N21" s="19" t="n">
        <f aca="false">M21/(1-Parámetros!$B$6)</f>
        <v>511.6</v>
      </c>
      <c r="O21" s="20" t="n">
        <f aca="false">N21/E21</f>
        <v>51.16</v>
      </c>
      <c r="P21" s="20" t="n">
        <f aca="false">O21/(1-Parámetros!$B$7)</f>
        <v>127.9</v>
      </c>
      <c r="Q21" s="19" t="n">
        <f aca="false">O21/(1-Parámetros!$B$8)</f>
        <v>85.2666666666667</v>
      </c>
      <c r="R21" s="19" t="n">
        <f aca="false">O21/(1-Parámetros!$B$9)</f>
        <v>146.171428571429</v>
      </c>
      <c r="S21" s="19" t="n">
        <f aca="false">P21-O21</f>
        <v>76.74</v>
      </c>
    </row>
    <row r="22" customFormat="false" ht="15" hidden="false" customHeight="false" outlineLevel="0" collapsed="false">
      <c r="A22" s="12" t="n">
        <v>21</v>
      </c>
      <c r="B22" s="13" t="s">
        <v>65</v>
      </c>
      <c r="C22" s="12" t="s">
        <v>49</v>
      </c>
      <c r="D22" s="12" t="n">
        <v>290</v>
      </c>
      <c r="E22" s="12" t="n">
        <v>10</v>
      </c>
      <c r="F22" s="12" t="n">
        <v>29</v>
      </c>
      <c r="G22" s="14" t="n">
        <v>1</v>
      </c>
      <c r="H22" s="15" t="n">
        <f aca="false">SUMIF(Recetas!$A$2:$A$468,A22,Recetas!$I$2:$I$468)</f>
        <v>86.575</v>
      </c>
      <c r="I22" s="15" t="n">
        <f aca="false">E22*Parámetros!$B$2</f>
        <v>90</v>
      </c>
      <c r="J22" s="15" t="n">
        <f aca="false">Parámetros!$B$3</f>
        <v>25</v>
      </c>
      <c r="K22" s="15" t="n">
        <f aca="false">G22*Parámetros!$B$4</f>
        <v>90</v>
      </c>
      <c r="L22" s="15" t="n">
        <f aca="false">Parámetros!$B$5</f>
        <v>30</v>
      </c>
      <c r="M22" s="15" t="n">
        <f aca="false">SUM(H22:L22)</f>
        <v>321.575</v>
      </c>
      <c r="N22" s="15" t="n">
        <f aca="false">M22/(1-Parámetros!$B$6)</f>
        <v>357.305555555556</v>
      </c>
      <c r="O22" s="16" t="n">
        <f aca="false">N22/E22</f>
        <v>35.7305555555556</v>
      </c>
      <c r="P22" s="16" t="n">
        <f aca="false">O22/(1-Parámetros!$B$7)</f>
        <v>89.3263888888889</v>
      </c>
      <c r="Q22" s="15" t="n">
        <f aca="false">O22/(1-Parámetros!$B$8)</f>
        <v>59.5509259259259</v>
      </c>
      <c r="R22" s="15" t="n">
        <f aca="false">O22/(1-Parámetros!$B$9)</f>
        <v>102.087301587302</v>
      </c>
      <c r="S22" s="15" t="n">
        <f aca="false">P22-O22</f>
        <v>53.5958333333333</v>
      </c>
    </row>
    <row r="23" customFormat="false" ht="15" hidden="false" customHeight="false" outlineLevel="0" collapsed="false">
      <c r="A23" s="17" t="n">
        <v>22</v>
      </c>
      <c r="B23" s="18" t="s">
        <v>66</v>
      </c>
      <c r="C23" s="17" t="s">
        <v>49</v>
      </c>
      <c r="D23" s="17" t="n">
        <v>280</v>
      </c>
      <c r="E23" s="17" t="n">
        <v>10</v>
      </c>
      <c r="F23" s="17" t="n">
        <v>28</v>
      </c>
      <c r="G23" s="14" t="n">
        <v>1</v>
      </c>
      <c r="H23" s="19" t="n">
        <f aca="false">SUMIF(Recetas!$A$2:$A$468,A23,Recetas!$I$2:$I$468)</f>
        <v>72.26</v>
      </c>
      <c r="I23" s="19" t="n">
        <f aca="false">E23*Parámetros!$B$2</f>
        <v>90</v>
      </c>
      <c r="J23" s="19" t="n">
        <f aca="false">Parámetros!$B$3</f>
        <v>25</v>
      </c>
      <c r="K23" s="19" t="n">
        <f aca="false">G23*Parámetros!$B$4</f>
        <v>90</v>
      </c>
      <c r="L23" s="19" t="n">
        <f aca="false">Parámetros!$B$5</f>
        <v>30</v>
      </c>
      <c r="M23" s="19" t="n">
        <f aca="false">SUM(H23:L23)</f>
        <v>307.26</v>
      </c>
      <c r="N23" s="19" t="n">
        <f aca="false">M23/(1-Parámetros!$B$6)</f>
        <v>341.4</v>
      </c>
      <c r="O23" s="20" t="n">
        <f aca="false">N23/E23</f>
        <v>34.14</v>
      </c>
      <c r="P23" s="20" t="n">
        <f aca="false">O23/(1-Parámetros!$B$7)</f>
        <v>85.35</v>
      </c>
      <c r="Q23" s="19" t="n">
        <f aca="false">O23/(1-Parámetros!$B$8)</f>
        <v>56.9</v>
      </c>
      <c r="R23" s="19" t="n">
        <f aca="false">O23/(1-Parámetros!$B$9)</f>
        <v>97.5428571428571</v>
      </c>
      <c r="S23" s="19" t="n">
        <f aca="false">P23-O23</f>
        <v>51.21</v>
      </c>
    </row>
    <row r="24" customFormat="false" ht="15" hidden="false" customHeight="false" outlineLevel="0" collapsed="false">
      <c r="A24" s="12" t="n">
        <v>23</v>
      </c>
      <c r="B24" s="13" t="s">
        <v>67</v>
      </c>
      <c r="C24" s="12" t="s">
        <v>43</v>
      </c>
      <c r="D24" s="12" t="n">
        <v>540</v>
      </c>
      <c r="E24" s="12" t="n">
        <v>10</v>
      </c>
      <c r="F24" s="12" t="n">
        <v>54</v>
      </c>
      <c r="G24" s="14" t="n">
        <v>1.5</v>
      </c>
      <c r="H24" s="15" t="n">
        <f aca="false">SUMIF(Recetas!$A$2:$A$468,A24,Recetas!$I$2:$I$468)</f>
        <v>124.78</v>
      </c>
      <c r="I24" s="15" t="n">
        <f aca="false">E24*Parámetros!$B$2</f>
        <v>90</v>
      </c>
      <c r="J24" s="15" t="n">
        <f aca="false">Parámetros!$B$3</f>
        <v>25</v>
      </c>
      <c r="K24" s="15" t="n">
        <f aca="false">G24*Parámetros!$B$4</f>
        <v>135</v>
      </c>
      <c r="L24" s="15" t="n">
        <f aca="false">Parámetros!$B$5</f>
        <v>30</v>
      </c>
      <c r="M24" s="15" t="n">
        <f aca="false">SUM(H24:L24)</f>
        <v>404.78</v>
      </c>
      <c r="N24" s="15" t="n">
        <f aca="false">M24/(1-Parámetros!$B$6)</f>
        <v>449.755555555556</v>
      </c>
      <c r="O24" s="16" t="n">
        <f aca="false">N24/E24</f>
        <v>44.9755555555556</v>
      </c>
      <c r="P24" s="16" t="n">
        <f aca="false">O24/(1-Parámetros!$B$7)</f>
        <v>112.438888888889</v>
      </c>
      <c r="Q24" s="15" t="n">
        <f aca="false">O24/(1-Parámetros!$B$8)</f>
        <v>74.9592592592593</v>
      </c>
      <c r="R24" s="15" t="n">
        <f aca="false">O24/(1-Parámetros!$B$9)</f>
        <v>128.501587301587</v>
      </c>
      <c r="S24" s="15" t="n">
        <f aca="false">P24-O24</f>
        <v>67.4633333333333</v>
      </c>
    </row>
    <row r="25" customFormat="false" ht="15" hidden="false" customHeight="false" outlineLevel="0" collapsed="false">
      <c r="A25" s="17" t="n">
        <v>24</v>
      </c>
      <c r="B25" s="18" t="s">
        <v>68</v>
      </c>
      <c r="C25" s="17" t="s">
        <v>49</v>
      </c>
      <c r="D25" s="17" t="n">
        <v>275</v>
      </c>
      <c r="E25" s="17" t="n">
        <v>10</v>
      </c>
      <c r="F25" s="17" t="n">
        <v>27.5</v>
      </c>
      <c r="G25" s="14" t="n">
        <v>1</v>
      </c>
      <c r="H25" s="19" t="n">
        <f aca="false">SUMIF(Recetas!$A$2:$A$468,A25,Recetas!$I$2:$I$468)</f>
        <v>79.325</v>
      </c>
      <c r="I25" s="19" t="n">
        <f aca="false">E25*Parámetros!$B$2</f>
        <v>90</v>
      </c>
      <c r="J25" s="19" t="n">
        <f aca="false">Parámetros!$B$3</f>
        <v>25</v>
      </c>
      <c r="K25" s="19" t="n">
        <f aca="false">G25*Parámetros!$B$4</f>
        <v>90</v>
      </c>
      <c r="L25" s="19" t="n">
        <f aca="false">Parámetros!$B$5</f>
        <v>30</v>
      </c>
      <c r="M25" s="19" t="n">
        <f aca="false">SUM(H25:L25)</f>
        <v>314.325</v>
      </c>
      <c r="N25" s="19" t="n">
        <f aca="false">M25/(1-Parámetros!$B$6)</f>
        <v>349.25</v>
      </c>
      <c r="O25" s="20" t="n">
        <f aca="false">N25/E25</f>
        <v>34.925</v>
      </c>
      <c r="P25" s="20" t="n">
        <f aca="false">O25/(1-Parámetros!$B$7)</f>
        <v>87.3125</v>
      </c>
      <c r="Q25" s="19" t="n">
        <f aca="false">O25/(1-Parámetros!$B$8)</f>
        <v>58.2083333333333</v>
      </c>
      <c r="R25" s="19" t="n">
        <f aca="false">O25/(1-Parámetros!$B$9)</f>
        <v>99.7857142857143</v>
      </c>
      <c r="S25" s="19" t="n">
        <f aca="false">P25-O25</f>
        <v>52.3875</v>
      </c>
    </row>
    <row r="26" customFormat="false" ht="15" hidden="false" customHeight="false" outlineLevel="0" collapsed="false">
      <c r="A26" s="12" t="n">
        <v>25</v>
      </c>
      <c r="B26" s="13" t="s">
        <v>69</v>
      </c>
      <c r="C26" s="12" t="s">
        <v>49</v>
      </c>
      <c r="D26" s="12" t="n">
        <v>270</v>
      </c>
      <c r="E26" s="12" t="n">
        <v>10</v>
      </c>
      <c r="F26" s="12" t="n">
        <v>27</v>
      </c>
      <c r="G26" s="14" t="n">
        <v>1</v>
      </c>
      <c r="H26" s="15" t="n">
        <f aca="false">SUMIF(Recetas!$A$2:$A$468,A26,Recetas!$I$2:$I$468)</f>
        <v>82.58</v>
      </c>
      <c r="I26" s="15" t="n">
        <f aca="false">E26*Parámetros!$B$2</f>
        <v>90</v>
      </c>
      <c r="J26" s="15" t="n">
        <f aca="false">Parámetros!$B$3</f>
        <v>25</v>
      </c>
      <c r="K26" s="15" t="n">
        <f aca="false">G26*Parámetros!$B$4</f>
        <v>90</v>
      </c>
      <c r="L26" s="15" t="n">
        <f aca="false">Parámetros!$B$5</f>
        <v>30</v>
      </c>
      <c r="M26" s="15" t="n">
        <f aca="false">SUM(H26:L26)</f>
        <v>317.58</v>
      </c>
      <c r="N26" s="15" t="n">
        <f aca="false">M26/(1-Parámetros!$B$6)</f>
        <v>352.866666666667</v>
      </c>
      <c r="O26" s="16" t="n">
        <f aca="false">N26/E26</f>
        <v>35.2866666666667</v>
      </c>
      <c r="P26" s="16" t="n">
        <f aca="false">O26/(1-Parámetros!$B$7)</f>
        <v>88.2166666666667</v>
      </c>
      <c r="Q26" s="15" t="n">
        <f aca="false">O26/(1-Parámetros!$B$8)</f>
        <v>58.8111111111111</v>
      </c>
      <c r="R26" s="15" t="n">
        <f aca="false">O26/(1-Parámetros!$B$9)</f>
        <v>100.819047619048</v>
      </c>
      <c r="S26" s="15" t="n">
        <f aca="false">P26-O26</f>
        <v>52.93</v>
      </c>
    </row>
    <row r="27" customFormat="false" ht="15" hidden="false" customHeight="false" outlineLevel="0" collapsed="false">
      <c r="A27" s="17" t="n">
        <v>26</v>
      </c>
      <c r="B27" s="18" t="s">
        <v>70</v>
      </c>
      <c r="C27" s="17" t="s">
        <v>43</v>
      </c>
      <c r="D27" s="17" t="n">
        <v>540</v>
      </c>
      <c r="E27" s="17" t="n">
        <v>10</v>
      </c>
      <c r="F27" s="17" t="n">
        <v>54</v>
      </c>
      <c r="G27" s="14" t="n">
        <v>1.5</v>
      </c>
      <c r="H27" s="19" t="n">
        <f aca="false">SUMIF(Recetas!$A$2:$A$468,A27,Recetas!$I$2:$I$468)</f>
        <v>72.56</v>
      </c>
      <c r="I27" s="19" t="n">
        <f aca="false">E27*Parámetros!$B$2</f>
        <v>90</v>
      </c>
      <c r="J27" s="19" t="n">
        <f aca="false">Parámetros!$B$3</f>
        <v>25</v>
      </c>
      <c r="K27" s="19" t="n">
        <f aca="false">G27*Parámetros!$B$4</f>
        <v>135</v>
      </c>
      <c r="L27" s="19" t="n">
        <f aca="false">Parámetros!$B$5</f>
        <v>30</v>
      </c>
      <c r="M27" s="19" t="n">
        <f aca="false">SUM(H27:L27)</f>
        <v>352.56</v>
      </c>
      <c r="N27" s="19" t="n">
        <f aca="false">M27/(1-Parámetros!$B$6)</f>
        <v>391.733333333333</v>
      </c>
      <c r="O27" s="20" t="n">
        <f aca="false">N27/E27</f>
        <v>39.1733333333333</v>
      </c>
      <c r="P27" s="20" t="n">
        <f aca="false">O27/(1-Parámetros!$B$7)</f>
        <v>97.9333333333333</v>
      </c>
      <c r="Q27" s="19" t="n">
        <f aca="false">O27/(1-Parámetros!$B$8)</f>
        <v>65.2888888888889</v>
      </c>
      <c r="R27" s="19" t="n">
        <f aca="false">O27/(1-Parámetros!$B$9)</f>
        <v>111.92380952381</v>
      </c>
      <c r="S27" s="19" t="n">
        <f aca="false">P27-O27</f>
        <v>58.76</v>
      </c>
    </row>
    <row r="28" customFormat="false" ht="15" hidden="false" customHeight="false" outlineLevel="0" collapsed="false">
      <c r="A28" s="12" t="n">
        <v>27</v>
      </c>
      <c r="B28" s="13" t="s">
        <v>71</v>
      </c>
      <c r="C28" s="12" t="s">
        <v>49</v>
      </c>
      <c r="D28" s="12" t="n">
        <v>280</v>
      </c>
      <c r="E28" s="12" t="n">
        <v>10</v>
      </c>
      <c r="F28" s="12" t="n">
        <v>28</v>
      </c>
      <c r="G28" s="14" t="n">
        <v>1</v>
      </c>
      <c r="H28" s="15" t="n">
        <f aca="false">SUMIF(Recetas!$A$2:$A$468,A28,Recetas!$I$2:$I$468)</f>
        <v>71.625</v>
      </c>
      <c r="I28" s="15" t="n">
        <f aca="false">E28*Parámetros!$B$2</f>
        <v>90</v>
      </c>
      <c r="J28" s="15" t="n">
        <f aca="false">Parámetros!$B$3</f>
        <v>25</v>
      </c>
      <c r="K28" s="15" t="n">
        <f aca="false">G28*Parámetros!$B$4</f>
        <v>90</v>
      </c>
      <c r="L28" s="15" t="n">
        <f aca="false">Parámetros!$B$5</f>
        <v>30</v>
      </c>
      <c r="M28" s="15" t="n">
        <f aca="false">SUM(H28:L28)</f>
        <v>306.625</v>
      </c>
      <c r="N28" s="15" t="n">
        <f aca="false">M28/(1-Parámetros!$B$6)</f>
        <v>340.694444444444</v>
      </c>
      <c r="O28" s="16" t="n">
        <f aca="false">N28/E28</f>
        <v>34.0694444444444</v>
      </c>
      <c r="P28" s="16" t="n">
        <f aca="false">O28/(1-Parámetros!$B$7)</f>
        <v>85.1736111111111</v>
      </c>
      <c r="Q28" s="15" t="n">
        <f aca="false">O28/(1-Parámetros!$B$8)</f>
        <v>56.7824074074074</v>
      </c>
      <c r="R28" s="15" t="n">
        <f aca="false">O28/(1-Parámetros!$B$9)</f>
        <v>97.3412698412699</v>
      </c>
      <c r="S28" s="15" t="n">
        <f aca="false">P28-O28</f>
        <v>51.1041666666667</v>
      </c>
    </row>
    <row r="29" customFormat="false" ht="15" hidden="false" customHeight="false" outlineLevel="0" collapsed="false">
      <c r="A29" s="17" t="n">
        <v>28</v>
      </c>
      <c r="B29" s="18" t="s">
        <v>72</v>
      </c>
      <c r="C29" s="17" t="s">
        <v>49</v>
      </c>
      <c r="D29" s="17" t="n">
        <v>275</v>
      </c>
      <c r="E29" s="17" t="n">
        <v>10</v>
      </c>
      <c r="F29" s="17" t="n">
        <v>27.5</v>
      </c>
      <c r="G29" s="14" t="n">
        <v>1</v>
      </c>
      <c r="H29" s="19" t="n">
        <f aca="false">SUMIF(Recetas!$A$2:$A$468,A29,Recetas!$I$2:$I$468)</f>
        <v>99.12</v>
      </c>
      <c r="I29" s="19" t="n">
        <f aca="false">E29*Parámetros!$B$2</f>
        <v>90</v>
      </c>
      <c r="J29" s="19" t="n">
        <f aca="false">Parámetros!$B$3</f>
        <v>25</v>
      </c>
      <c r="K29" s="19" t="n">
        <f aca="false">G29*Parámetros!$B$4</f>
        <v>90</v>
      </c>
      <c r="L29" s="19" t="n">
        <f aca="false">Parámetros!$B$5</f>
        <v>30</v>
      </c>
      <c r="M29" s="19" t="n">
        <f aca="false">SUM(H29:L29)</f>
        <v>334.12</v>
      </c>
      <c r="N29" s="19" t="n">
        <f aca="false">M29/(1-Parámetros!$B$6)</f>
        <v>371.244444444444</v>
      </c>
      <c r="O29" s="20" t="n">
        <f aca="false">N29/E29</f>
        <v>37.1244444444445</v>
      </c>
      <c r="P29" s="20" t="n">
        <f aca="false">O29/(1-Parámetros!$B$7)</f>
        <v>92.8111111111111</v>
      </c>
      <c r="Q29" s="19" t="n">
        <f aca="false">O29/(1-Parámetros!$B$8)</f>
        <v>61.8740740740741</v>
      </c>
      <c r="R29" s="19" t="n">
        <f aca="false">O29/(1-Parámetros!$B$9)</f>
        <v>106.069841269841</v>
      </c>
      <c r="S29" s="19" t="n">
        <f aca="false">P29-O29</f>
        <v>55.6866666666667</v>
      </c>
    </row>
    <row r="30" customFormat="false" ht="15" hidden="false" customHeight="false" outlineLevel="0" collapsed="false">
      <c r="A30" s="12" t="n">
        <v>29</v>
      </c>
      <c r="B30" s="13" t="s">
        <v>73</v>
      </c>
      <c r="C30" s="12" t="s">
        <v>43</v>
      </c>
      <c r="D30" s="12" t="n">
        <v>560</v>
      </c>
      <c r="E30" s="12" t="n">
        <v>10</v>
      </c>
      <c r="F30" s="12" t="n">
        <v>56</v>
      </c>
      <c r="G30" s="14" t="n">
        <v>1.5</v>
      </c>
      <c r="H30" s="15" t="n">
        <f aca="false">SUMIF(Recetas!$A$2:$A$468,A30,Recetas!$I$2:$I$468)</f>
        <v>128.247394366197</v>
      </c>
      <c r="I30" s="15" t="n">
        <f aca="false">E30*Parámetros!$B$2</f>
        <v>90</v>
      </c>
      <c r="J30" s="15" t="n">
        <f aca="false">Parámetros!$B$3</f>
        <v>25</v>
      </c>
      <c r="K30" s="15" t="n">
        <f aca="false">G30*Parámetros!$B$4</f>
        <v>135</v>
      </c>
      <c r="L30" s="15" t="n">
        <f aca="false">Parámetros!$B$5</f>
        <v>30</v>
      </c>
      <c r="M30" s="15" t="n">
        <f aca="false">SUM(H30:L30)</f>
        <v>408.247394366197</v>
      </c>
      <c r="N30" s="15" t="n">
        <f aca="false">M30/(1-Parámetros!$B$6)</f>
        <v>453.608215962441</v>
      </c>
      <c r="O30" s="16" t="n">
        <f aca="false">N30/E30</f>
        <v>45.3608215962441</v>
      </c>
      <c r="P30" s="16" t="n">
        <f aca="false">O30/(1-Parámetros!$B$7)</f>
        <v>113.40205399061</v>
      </c>
      <c r="Q30" s="15" t="n">
        <f aca="false">O30/(1-Parámetros!$B$8)</f>
        <v>75.6013693270736</v>
      </c>
      <c r="R30" s="15" t="n">
        <f aca="false">O30/(1-Parámetros!$B$9)</f>
        <v>129.60234741784</v>
      </c>
      <c r="S30" s="15" t="n">
        <f aca="false">P30-O30</f>
        <v>68.0412323943662</v>
      </c>
    </row>
    <row r="31" customFormat="false" ht="15" hidden="false" customHeight="false" outlineLevel="0" collapsed="false">
      <c r="A31" s="17" t="n">
        <v>30</v>
      </c>
      <c r="B31" s="18" t="s">
        <v>74</v>
      </c>
      <c r="C31" s="17" t="s">
        <v>49</v>
      </c>
      <c r="D31" s="17" t="n">
        <v>260</v>
      </c>
      <c r="E31" s="17" t="n">
        <v>10</v>
      </c>
      <c r="F31" s="17" t="n">
        <v>26</v>
      </c>
      <c r="G31" s="14" t="n">
        <v>1</v>
      </c>
      <c r="H31" s="19" t="n">
        <f aca="false">SUMIF(Recetas!$A$2:$A$468,A31,Recetas!$I$2:$I$468)</f>
        <v>63</v>
      </c>
      <c r="I31" s="19" t="n">
        <f aca="false">E31*Parámetros!$B$2</f>
        <v>90</v>
      </c>
      <c r="J31" s="19" t="n">
        <f aca="false">Parámetros!$B$3</f>
        <v>25</v>
      </c>
      <c r="K31" s="19" t="n">
        <f aca="false">G31*Parámetros!$B$4</f>
        <v>90</v>
      </c>
      <c r="L31" s="19" t="n">
        <f aca="false">Parámetros!$B$5</f>
        <v>30</v>
      </c>
      <c r="M31" s="19" t="n">
        <f aca="false">SUM(H31:L31)</f>
        <v>298</v>
      </c>
      <c r="N31" s="19" t="n">
        <f aca="false">M31/(1-Parámetros!$B$6)</f>
        <v>331.111111111111</v>
      </c>
      <c r="O31" s="20" t="n">
        <f aca="false">N31/E31</f>
        <v>33.1111111111111</v>
      </c>
      <c r="P31" s="20" t="n">
        <f aca="false">O31/(1-Parámetros!$B$7)</f>
        <v>82.7777777777778</v>
      </c>
      <c r="Q31" s="19" t="n">
        <f aca="false">O31/(1-Parámetros!$B$8)</f>
        <v>55.1851851851852</v>
      </c>
      <c r="R31" s="19" t="n">
        <f aca="false">O31/(1-Parámetros!$B$9)</f>
        <v>94.6031746031746</v>
      </c>
      <c r="S31" s="19" t="n">
        <f aca="false">P31-O31</f>
        <v>49.6666666666667</v>
      </c>
    </row>
    <row r="32" customFormat="false" ht="15" hidden="false" customHeight="false" outlineLevel="0" collapsed="false">
      <c r="A32" s="12" t="n">
        <v>31</v>
      </c>
      <c r="B32" s="13" t="s">
        <v>75</v>
      </c>
      <c r="C32" s="12" t="s">
        <v>43</v>
      </c>
      <c r="D32" s="12" t="n">
        <v>530</v>
      </c>
      <c r="E32" s="12" t="n">
        <v>10</v>
      </c>
      <c r="F32" s="12" t="n">
        <v>53</v>
      </c>
      <c r="G32" s="14" t="n">
        <v>1.5</v>
      </c>
      <c r="H32" s="15" t="n">
        <f aca="false">SUMIF(Recetas!$A$2:$A$468,A32,Recetas!$I$2:$I$468)</f>
        <v>78.115</v>
      </c>
      <c r="I32" s="15" t="n">
        <f aca="false">E32*Parámetros!$B$2</f>
        <v>90</v>
      </c>
      <c r="J32" s="15" t="n">
        <f aca="false">Parámetros!$B$3</f>
        <v>25</v>
      </c>
      <c r="K32" s="15" t="n">
        <f aca="false">G32*Parámetros!$B$4</f>
        <v>135</v>
      </c>
      <c r="L32" s="15" t="n">
        <f aca="false">Parámetros!$B$5</f>
        <v>30</v>
      </c>
      <c r="M32" s="15" t="n">
        <f aca="false">SUM(H32:L32)</f>
        <v>358.115</v>
      </c>
      <c r="N32" s="15" t="n">
        <f aca="false">M32/(1-Parámetros!$B$6)</f>
        <v>397.905555555556</v>
      </c>
      <c r="O32" s="16" t="n">
        <f aca="false">N32/E32</f>
        <v>39.7905555555556</v>
      </c>
      <c r="P32" s="16" t="n">
        <f aca="false">O32/(1-Parámetros!$B$7)</f>
        <v>99.4763888888889</v>
      </c>
      <c r="Q32" s="15" t="n">
        <f aca="false">O32/(1-Parámetros!$B$8)</f>
        <v>66.3175925925926</v>
      </c>
      <c r="R32" s="15" t="n">
        <f aca="false">O32/(1-Parámetros!$B$9)</f>
        <v>113.687301587302</v>
      </c>
      <c r="S32" s="15" t="n">
        <f aca="false">P32-O32</f>
        <v>59.6858333333333</v>
      </c>
    </row>
    <row r="33" customFormat="false" ht="15" hidden="false" customHeight="false" outlineLevel="0" collapsed="false">
      <c r="A33" s="17" t="n">
        <v>32</v>
      </c>
      <c r="B33" s="18" t="s">
        <v>76</v>
      </c>
      <c r="C33" s="17" t="s">
        <v>55</v>
      </c>
      <c r="D33" s="17" t="n">
        <v>570</v>
      </c>
      <c r="E33" s="17" t="n">
        <v>10</v>
      </c>
      <c r="F33" s="17" t="n">
        <v>57</v>
      </c>
      <c r="G33" s="14" t="n">
        <v>2</v>
      </c>
      <c r="H33" s="19" t="n">
        <f aca="false">SUMIF(Recetas!$A$2:$A$468,A33,Recetas!$I$2:$I$468)</f>
        <v>342.49</v>
      </c>
      <c r="I33" s="19" t="n">
        <f aca="false">E33*Parámetros!$B$2</f>
        <v>90</v>
      </c>
      <c r="J33" s="19" t="n">
        <f aca="false">Parámetros!$B$3</f>
        <v>25</v>
      </c>
      <c r="K33" s="19" t="n">
        <f aca="false">G33*Parámetros!$B$4</f>
        <v>180</v>
      </c>
      <c r="L33" s="19" t="n">
        <f aca="false">Parámetros!$B$5</f>
        <v>30</v>
      </c>
      <c r="M33" s="19" t="n">
        <f aca="false">SUM(H33:L33)</f>
        <v>667.49</v>
      </c>
      <c r="N33" s="19" t="n">
        <f aca="false">M33/(1-Parámetros!$B$6)</f>
        <v>741.655555555556</v>
      </c>
      <c r="O33" s="20" t="n">
        <f aca="false">N33/E33</f>
        <v>74.1655555555556</v>
      </c>
      <c r="P33" s="20" t="n">
        <f aca="false">O33/(1-Parámetros!$B$7)</f>
        <v>185.413888888889</v>
      </c>
      <c r="Q33" s="19" t="n">
        <f aca="false">O33/(1-Parámetros!$B$8)</f>
        <v>123.609259259259</v>
      </c>
      <c r="R33" s="19" t="n">
        <f aca="false">O33/(1-Parámetros!$B$9)</f>
        <v>211.901587301587</v>
      </c>
      <c r="S33" s="19" t="n">
        <f aca="false">P33-O33</f>
        <v>111.248333333333</v>
      </c>
    </row>
    <row r="34" customFormat="false" ht="15" hidden="false" customHeight="false" outlineLevel="0" collapsed="false">
      <c r="A34" s="12" t="n">
        <v>33</v>
      </c>
      <c r="B34" s="13" t="s">
        <v>77</v>
      </c>
      <c r="C34" s="12" t="s">
        <v>43</v>
      </c>
      <c r="D34" s="12" t="n">
        <v>540</v>
      </c>
      <c r="E34" s="12" t="n">
        <v>10</v>
      </c>
      <c r="F34" s="12" t="n">
        <v>54</v>
      </c>
      <c r="G34" s="14" t="n">
        <v>1.5</v>
      </c>
      <c r="H34" s="15" t="n">
        <f aca="false">SUMIF(Recetas!$A$2:$A$468,A34,Recetas!$I$2:$I$468)</f>
        <v>159.465</v>
      </c>
      <c r="I34" s="15" t="n">
        <f aca="false">E34*Parámetros!$B$2</f>
        <v>90</v>
      </c>
      <c r="J34" s="15" t="n">
        <f aca="false">Parámetros!$B$3</f>
        <v>25</v>
      </c>
      <c r="K34" s="15" t="n">
        <f aca="false">G34*Parámetros!$B$4</f>
        <v>135</v>
      </c>
      <c r="L34" s="15" t="n">
        <f aca="false">Parámetros!$B$5</f>
        <v>30</v>
      </c>
      <c r="M34" s="15" t="n">
        <f aca="false">SUM(H34:L34)</f>
        <v>439.465</v>
      </c>
      <c r="N34" s="15" t="n">
        <f aca="false">M34/(1-Parámetros!$B$6)</f>
        <v>488.294444444445</v>
      </c>
      <c r="O34" s="16" t="n">
        <f aca="false">N34/E34</f>
        <v>48.8294444444445</v>
      </c>
      <c r="P34" s="16" t="n">
        <f aca="false">O34/(1-Parámetros!$B$7)</f>
        <v>122.073611111111</v>
      </c>
      <c r="Q34" s="15" t="n">
        <f aca="false">O34/(1-Parámetros!$B$8)</f>
        <v>81.3824074074074</v>
      </c>
      <c r="R34" s="15" t="n">
        <f aca="false">O34/(1-Parámetros!$B$9)</f>
        <v>139.512698412698</v>
      </c>
      <c r="S34" s="15" t="n">
        <f aca="false">P34-O34</f>
        <v>73.2441666666667</v>
      </c>
    </row>
    <row r="35" customFormat="false" ht="15" hidden="false" customHeight="false" outlineLevel="0" collapsed="false">
      <c r="A35" s="17" t="n">
        <v>34</v>
      </c>
      <c r="B35" s="18" t="s">
        <v>78</v>
      </c>
      <c r="C35" s="17" t="s">
        <v>43</v>
      </c>
      <c r="D35" s="17" t="n">
        <v>570</v>
      </c>
      <c r="E35" s="17" t="n">
        <v>10</v>
      </c>
      <c r="F35" s="17" t="n">
        <v>57</v>
      </c>
      <c r="G35" s="14" t="n">
        <v>1.5</v>
      </c>
      <c r="H35" s="19" t="n">
        <f aca="false">SUMIF(Recetas!$A$2:$A$468,A35,Recetas!$I$2:$I$468)</f>
        <v>86.53</v>
      </c>
      <c r="I35" s="19" t="n">
        <f aca="false">E35*Parámetros!$B$2</f>
        <v>90</v>
      </c>
      <c r="J35" s="19" t="n">
        <f aca="false">Parámetros!$B$3</f>
        <v>25</v>
      </c>
      <c r="K35" s="19" t="n">
        <f aca="false">G35*Parámetros!$B$4</f>
        <v>135</v>
      </c>
      <c r="L35" s="19" t="n">
        <f aca="false">Parámetros!$B$5</f>
        <v>30</v>
      </c>
      <c r="M35" s="19" t="n">
        <f aca="false">SUM(H35:L35)</f>
        <v>366.53</v>
      </c>
      <c r="N35" s="19" t="n">
        <f aca="false">M35/(1-Parámetros!$B$6)</f>
        <v>407.255555555556</v>
      </c>
      <c r="O35" s="20" t="n">
        <f aca="false">N35/E35</f>
        <v>40.7255555555556</v>
      </c>
      <c r="P35" s="20" t="n">
        <f aca="false">O35/(1-Parámetros!$B$7)</f>
        <v>101.813888888889</v>
      </c>
      <c r="Q35" s="19" t="n">
        <f aca="false">O35/(1-Parámetros!$B$8)</f>
        <v>67.8759259259259</v>
      </c>
      <c r="R35" s="19" t="n">
        <f aca="false">O35/(1-Parámetros!$B$9)</f>
        <v>116.35873015873</v>
      </c>
      <c r="S35" s="19" t="n">
        <f aca="false">P35-O35</f>
        <v>61.0883333333333</v>
      </c>
    </row>
    <row r="36" customFormat="false" ht="15" hidden="false" customHeight="false" outlineLevel="0" collapsed="false">
      <c r="A36" s="12" t="n">
        <v>35</v>
      </c>
      <c r="B36" s="13" t="s">
        <v>79</v>
      </c>
      <c r="C36" s="12" t="s">
        <v>43</v>
      </c>
      <c r="D36" s="12" t="n">
        <v>540</v>
      </c>
      <c r="E36" s="12" t="n">
        <v>10</v>
      </c>
      <c r="F36" s="12" t="n">
        <v>54</v>
      </c>
      <c r="G36" s="14" t="n">
        <v>1.5</v>
      </c>
      <c r="H36" s="15" t="n">
        <f aca="false">SUMIF(Recetas!$A$2:$A$468,A36,Recetas!$I$2:$I$468)</f>
        <v>132.075</v>
      </c>
      <c r="I36" s="15" t="n">
        <f aca="false">E36*Parámetros!$B$2</f>
        <v>90</v>
      </c>
      <c r="J36" s="15" t="n">
        <f aca="false">Parámetros!$B$3</f>
        <v>25</v>
      </c>
      <c r="K36" s="15" t="n">
        <f aca="false">G36*Parámetros!$B$4</f>
        <v>135</v>
      </c>
      <c r="L36" s="15" t="n">
        <f aca="false">Parámetros!$B$5</f>
        <v>30</v>
      </c>
      <c r="M36" s="15" t="n">
        <f aca="false">SUM(H36:L36)</f>
        <v>412.075</v>
      </c>
      <c r="N36" s="15" t="n">
        <f aca="false">M36/(1-Parámetros!$B$6)</f>
        <v>457.861111111111</v>
      </c>
      <c r="O36" s="16" t="n">
        <f aca="false">N36/E36</f>
        <v>45.7861111111111</v>
      </c>
      <c r="P36" s="16" t="n">
        <f aca="false">O36/(1-Parámetros!$B$7)</f>
        <v>114.465277777778</v>
      </c>
      <c r="Q36" s="15" t="n">
        <f aca="false">O36/(1-Parámetros!$B$8)</f>
        <v>76.3101851851852</v>
      </c>
      <c r="R36" s="15" t="n">
        <f aca="false">O36/(1-Parámetros!$B$9)</f>
        <v>130.81746031746</v>
      </c>
      <c r="S36" s="15" t="n">
        <f aca="false">P36-O36</f>
        <v>68.6791666666667</v>
      </c>
    </row>
    <row r="37" customFormat="false" ht="15" hidden="false" customHeight="false" outlineLevel="0" collapsed="false">
      <c r="A37" s="17" t="n">
        <v>36</v>
      </c>
      <c r="B37" s="18" t="s">
        <v>80</v>
      </c>
      <c r="C37" s="17" t="s">
        <v>43</v>
      </c>
      <c r="D37" s="17" t="n">
        <v>540</v>
      </c>
      <c r="E37" s="17" t="n">
        <v>10</v>
      </c>
      <c r="F37" s="17" t="n">
        <v>54</v>
      </c>
      <c r="G37" s="14" t="n">
        <v>1.5</v>
      </c>
      <c r="H37" s="19" t="n">
        <f aca="false">SUMIF(Recetas!$A$2:$A$468,A37,Recetas!$I$2:$I$468)</f>
        <v>80.865</v>
      </c>
      <c r="I37" s="19" t="n">
        <f aca="false">E37*Parámetros!$B$2</f>
        <v>90</v>
      </c>
      <c r="J37" s="19" t="n">
        <f aca="false">Parámetros!$B$3</f>
        <v>25</v>
      </c>
      <c r="K37" s="19" t="n">
        <f aca="false">G37*Parámetros!$B$4</f>
        <v>135</v>
      </c>
      <c r="L37" s="19" t="n">
        <f aca="false">Parámetros!$B$5</f>
        <v>30</v>
      </c>
      <c r="M37" s="19" t="n">
        <f aca="false">SUM(H37:L37)</f>
        <v>360.865</v>
      </c>
      <c r="N37" s="19" t="n">
        <f aca="false">M37/(1-Parámetros!$B$6)</f>
        <v>400.961111111111</v>
      </c>
      <c r="O37" s="20" t="n">
        <f aca="false">N37/E37</f>
        <v>40.0961111111111</v>
      </c>
      <c r="P37" s="20" t="n">
        <f aca="false">O37/(1-Parámetros!$B$7)</f>
        <v>100.240277777778</v>
      </c>
      <c r="Q37" s="19" t="n">
        <f aca="false">O37/(1-Parámetros!$B$8)</f>
        <v>66.8268518518519</v>
      </c>
      <c r="R37" s="19" t="n">
        <f aca="false">O37/(1-Parámetros!$B$9)</f>
        <v>114.560317460317</v>
      </c>
      <c r="S37" s="19" t="n">
        <f aca="false">P37-O37</f>
        <v>60.1441666666667</v>
      </c>
    </row>
    <row r="38" customFormat="false" ht="15" hidden="false" customHeight="false" outlineLevel="0" collapsed="false">
      <c r="A38" s="12" t="n">
        <v>37</v>
      </c>
      <c r="B38" s="13" t="s">
        <v>81</v>
      </c>
      <c r="C38" s="12" t="s">
        <v>43</v>
      </c>
      <c r="D38" s="12" t="n">
        <v>550</v>
      </c>
      <c r="E38" s="12" t="n">
        <v>10</v>
      </c>
      <c r="F38" s="12" t="n">
        <v>55</v>
      </c>
      <c r="G38" s="14" t="n">
        <v>1.5</v>
      </c>
      <c r="H38" s="15" t="n">
        <f aca="false">SUMIF(Recetas!$A$2:$A$468,A38,Recetas!$I$2:$I$468)</f>
        <v>77.045</v>
      </c>
      <c r="I38" s="15" t="n">
        <f aca="false">E38*Parámetros!$B$2</f>
        <v>90</v>
      </c>
      <c r="J38" s="15" t="n">
        <f aca="false">Parámetros!$B$3</f>
        <v>25</v>
      </c>
      <c r="K38" s="15" t="n">
        <f aca="false">G38*Parámetros!$B$4</f>
        <v>135</v>
      </c>
      <c r="L38" s="15" t="n">
        <f aca="false">Parámetros!$B$5</f>
        <v>30</v>
      </c>
      <c r="M38" s="15" t="n">
        <f aca="false">SUM(H38:L38)</f>
        <v>357.045</v>
      </c>
      <c r="N38" s="15" t="n">
        <f aca="false">M38/(1-Parámetros!$B$6)</f>
        <v>396.716666666667</v>
      </c>
      <c r="O38" s="16" t="n">
        <f aca="false">N38/E38</f>
        <v>39.6716666666667</v>
      </c>
      <c r="P38" s="16" t="n">
        <f aca="false">O38/(1-Parámetros!$B$7)</f>
        <v>99.1791666666667</v>
      </c>
      <c r="Q38" s="15" t="n">
        <f aca="false">O38/(1-Parámetros!$B$8)</f>
        <v>66.1194444444445</v>
      </c>
      <c r="R38" s="15" t="n">
        <f aca="false">O38/(1-Parámetros!$B$9)</f>
        <v>113.347619047619</v>
      </c>
      <c r="S38" s="15" t="n">
        <f aca="false">P38-O38</f>
        <v>59.5075</v>
      </c>
    </row>
    <row r="39" customFormat="false" ht="15" hidden="false" customHeight="false" outlineLevel="0" collapsed="false">
      <c r="A39" s="17" t="n">
        <v>38</v>
      </c>
      <c r="B39" s="18" t="s">
        <v>82</v>
      </c>
      <c r="C39" s="17" t="s">
        <v>43</v>
      </c>
      <c r="D39" s="17" t="n">
        <v>560</v>
      </c>
      <c r="E39" s="17" t="n">
        <v>10</v>
      </c>
      <c r="F39" s="17" t="n">
        <v>56</v>
      </c>
      <c r="G39" s="14" t="n">
        <v>1.5</v>
      </c>
      <c r="H39" s="19" t="n">
        <f aca="false">SUMIF(Recetas!$A$2:$A$468,A39,Recetas!$I$2:$I$468)</f>
        <v>86.475</v>
      </c>
      <c r="I39" s="19" t="n">
        <f aca="false">E39*Parámetros!$B$2</f>
        <v>90</v>
      </c>
      <c r="J39" s="19" t="n">
        <f aca="false">Parámetros!$B$3</f>
        <v>25</v>
      </c>
      <c r="K39" s="19" t="n">
        <f aca="false">G39*Parámetros!$B$4</f>
        <v>135</v>
      </c>
      <c r="L39" s="19" t="n">
        <f aca="false">Parámetros!$B$5</f>
        <v>30</v>
      </c>
      <c r="M39" s="19" t="n">
        <f aca="false">SUM(H39:L39)</f>
        <v>366.475</v>
      </c>
      <c r="N39" s="19" t="n">
        <f aca="false">M39/(1-Parámetros!$B$6)</f>
        <v>407.194444444444</v>
      </c>
      <c r="O39" s="20" t="n">
        <f aca="false">N39/E39</f>
        <v>40.7194444444445</v>
      </c>
      <c r="P39" s="20" t="n">
        <f aca="false">O39/(1-Parámetros!$B$7)</f>
        <v>101.798611111111</v>
      </c>
      <c r="Q39" s="19" t="n">
        <f aca="false">O39/(1-Parámetros!$B$8)</f>
        <v>67.8657407407408</v>
      </c>
      <c r="R39" s="19" t="n">
        <f aca="false">O39/(1-Parámetros!$B$9)</f>
        <v>116.34126984127</v>
      </c>
      <c r="S39" s="19" t="n">
        <f aca="false">P39-O39</f>
        <v>61.0791666666667</v>
      </c>
    </row>
    <row r="40" customFormat="false" ht="15" hidden="false" customHeight="false" outlineLevel="0" collapsed="false">
      <c r="A40" s="12" t="n">
        <v>39</v>
      </c>
      <c r="B40" s="13" t="s">
        <v>83</v>
      </c>
      <c r="C40" s="12" t="s">
        <v>55</v>
      </c>
      <c r="D40" s="12" t="n">
        <v>580</v>
      </c>
      <c r="E40" s="12" t="n">
        <v>10</v>
      </c>
      <c r="F40" s="12" t="n">
        <v>58</v>
      </c>
      <c r="G40" s="14" t="n">
        <v>2</v>
      </c>
      <c r="H40" s="15" t="n">
        <f aca="false">SUMIF(Recetas!$A$2:$A$468,A40,Recetas!$I$2:$I$468)</f>
        <v>161.04</v>
      </c>
      <c r="I40" s="15" t="n">
        <f aca="false">E40*Parámetros!$B$2</f>
        <v>90</v>
      </c>
      <c r="J40" s="15" t="n">
        <f aca="false">Parámetros!$B$3</f>
        <v>25</v>
      </c>
      <c r="K40" s="15" t="n">
        <f aca="false">G40*Parámetros!$B$4</f>
        <v>180</v>
      </c>
      <c r="L40" s="15" t="n">
        <f aca="false">Parámetros!$B$5</f>
        <v>30</v>
      </c>
      <c r="M40" s="15" t="n">
        <f aca="false">SUM(H40:L40)</f>
        <v>486.04</v>
      </c>
      <c r="N40" s="15" t="n">
        <f aca="false">M40/(1-Parámetros!$B$6)</f>
        <v>540.044444444444</v>
      </c>
      <c r="O40" s="16" t="n">
        <f aca="false">N40/E40</f>
        <v>54.0044444444444</v>
      </c>
      <c r="P40" s="16" t="n">
        <f aca="false">O40/(1-Parámetros!$B$7)</f>
        <v>135.011111111111</v>
      </c>
      <c r="Q40" s="15" t="n">
        <f aca="false">O40/(1-Parámetros!$B$8)</f>
        <v>90.0074074074074</v>
      </c>
      <c r="R40" s="15" t="n">
        <f aca="false">O40/(1-Parámetros!$B$9)</f>
        <v>154.298412698413</v>
      </c>
      <c r="S40" s="15" t="n">
        <f aca="false">P40-O40</f>
        <v>81.0066666666667</v>
      </c>
    </row>
    <row r="41" customFormat="false" ht="15" hidden="false" customHeight="false" outlineLevel="0" collapsed="false">
      <c r="A41" s="17" t="n">
        <v>40</v>
      </c>
      <c r="B41" s="18" t="s">
        <v>84</v>
      </c>
      <c r="C41" s="17" t="s">
        <v>43</v>
      </c>
      <c r="D41" s="17" t="n">
        <v>560</v>
      </c>
      <c r="E41" s="17" t="n">
        <v>10</v>
      </c>
      <c r="F41" s="17" t="n">
        <v>56</v>
      </c>
      <c r="G41" s="14" t="n">
        <v>1.5</v>
      </c>
      <c r="H41" s="19" t="n">
        <f aca="false">SUMIF(Recetas!$A$2:$A$468,A41,Recetas!$I$2:$I$468)</f>
        <v>78.215</v>
      </c>
      <c r="I41" s="19" t="n">
        <f aca="false">E41*Parámetros!$B$2</f>
        <v>90</v>
      </c>
      <c r="J41" s="19" t="n">
        <f aca="false">Parámetros!$B$3</f>
        <v>25</v>
      </c>
      <c r="K41" s="19" t="n">
        <f aca="false">G41*Parámetros!$B$4</f>
        <v>135</v>
      </c>
      <c r="L41" s="19" t="n">
        <f aca="false">Parámetros!$B$5</f>
        <v>30</v>
      </c>
      <c r="M41" s="19" t="n">
        <f aca="false">SUM(H41:L41)</f>
        <v>358.215</v>
      </c>
      <c r="N41" s="19" t="n">
        <f aca="false">M41/(1-Parámetros!$B$6)</f>
        <v>398.016666666667</v>
      </c>
      <c r="O41" s="20" t="n">
        <f aca="false">N41/E41</f>
        <v>39.8016666666667</v>
      </c>
      <c r="P41" s="20" t="n">
        <f aca="false">O41/(1-Parámetros!$B$7)</f>
        <v>99.5041666666667</v>
      </c>
      <c r="Q41" s="19" t="n">
        <f aca="false">O41/(1-Parámetros!$B$8)</f>
        <v>66.3361111111111</v>
      </c>
      <c r="R41" s="19" t="n">
        <f aca="false">O41/(1-Parámetros!$B$9)</f>
        <v>113.719047619048</v>
      </c>
      <c r="S41" s="19" t="n">
        <f aca="false">P41-O41</f>
        <v>59.7025</v>
      </c>
    </row>
    <row r="42" customFormat="false" ht="15" hidden="false" customHeight="false" outlineLevel="0" collapsed="false">
      <c r="A42" s="12" t="n">
        <v>41</v>
      </c>
      <c r="B42" s="13" t="s">
        <v>85</v>
      </c>
      <c r="C42" s="12" t="s">
        <v>43</v>
      </c>
      <c r="D42" s="12" t="n">
        <v>570</v>
      </c>
      <c r="E42" s="12" t="n">
        <v>10</v>
      </c>
      <c r="F42" s="12" t="n">
        <v>57</v>
      </c>
      <c r="G42" s="14" t="n">
        <v>1.5</v>
      </c>
      <c r="H42" s="15" t="n">
        <f aca="false">SUMIF(Recetas!$A$2:$A$468,A42,Recetas!$I$2:$I$468)</f>
        <v>81.01</v>
      </c>
      <c r="I42" s="15" t="n">
        <f aca="false">E42*Parámetros!$B$2</f>
        <v>90</v>
      </c>
      <c r="J42" s="15" t="n">
        <f aca="false">Parámetros!$B$3</f>
        <v>25</v>
      </c>
      <c r="K42" s="15" t="n">
        <f aca="false">G42*Parámetros!$B$4</f>
        <v>135</v>
      </c>
      <c r="L42" s="15" t="n">
        <f aca="false">Parámetros!$B$5</f>
        <v>30</v>
      </c>
      <c r="M42" s="15" t="n">
        <f aca="false">SUM(H42:L42)</f>
        <v>361.01</v>
      </c>
      <c r="N42" s="15" t="n">
        <f aca="false">M42/(1-Parámetros!$B$6)</f>
        <v>401.122222222222</v>
      </c>
      <c r="O42" s="16" t="n">
        <f aca="false">N42/E42</f>
        <v>40.1122222222222</v>
      </c>
      <c r="P42" s="16" t="n">
        <f aca="false">O42/(1-Parámetros!$B$7)</f>
        <v>100.280555555556</v>
      </c>
      <c r="Q42" s="15" t="n">
        <f aca="false">O42/(1-Parámetros!$B$8)</f>
        <v>66.8537037037037</v>
      </c>
      <c r="R42" s="15" t="n">
        <f aca="false">O42/(1-Parámetros!$B$9)</f>
        <v>114.606349206349</v>
      </c>
      <c r="S42" s="15" t="n">
        <f aca="false">P42-O42</f>
        <v>60.1683333333333</v>
      </c>
    </row>
    <row r="43" customFormat="false" ht="15" hidden="false" customHeight="false" outlineLevel="0" collapsed="false">
      <c r="A43" s="17" t="n">
        <v>42</v>
      </c>
      <c r="B43" s="18" t="s">
        <v>86</v>
      </c>
      <c r="C43" s="17" t="s">
        <v>49</v>
      </c>
      <c r="D43" s="17" t="n">
        <v>275</v>
      </c>
      <c r="E43" s="17" t="n">
        <v>10</v>
      </c>
      <c r="F43" s="17" t="n">
        <v>27.5</v>
      </c>
      <c r="G43" s="14" t="n">
        <v>1</v>
      </c>
      <c r="H43" s="19" t="n">
        <f aca="false">SUMIF(Recetas!$A$2:$A$468,A43,Recetas!$I$2:$I$468)</f>
        <v>62.56</v>
      </c>
      <c r="I43" s="19" t="n">
        <f aca="false">E43*Parámetros!$B$2</f>
        <v>90</v>
      </c>
      <c r="J43" s="19" t="n">
        <f aca="false">Parámetros!$B$3</f>
        <v>25</v>
      </c>
      <c r="K43" s="19" t="n">
        <f aca="false">G43*Parámetros!$B$4</f>
        <v>90</v>
      </c>
      <c r="L43" s="19" t="n">
        <f aca="false">Parámetros!$B$5</f>
        <v>30</v>
      </c>
      <c r="M43" s="19" t="n">
        <f aca="false">SUM(H43:L43)</f>
        <v>297.56</v>
      </c>
      <c r="N43" s="19" t="n">
        <f aca="false">M43/(1-Parámetros!$B$6)</f>
        <v>330.622222222222</v>
      </c>
      <c r="O43" s="20" t="n">
        <f aca="false">N43/E43</f>
        <v>33.0622222222222</v>
      </c>
      <c r="P43" s="20" t="n">
        <f aca="false">O43/(1-Parámetros!$B$7)</f>
        <v>82.6555555555555</v>
      </c>
      <c r="Q43" s="19" t="n">
        <f aca="false">O43/(1-Parámetros!$B$8)</f>
        <v>55.1037037037037</v>
      </c>
      <c r="R43" s="19" t="n">
        <f aca="false">O43/(1-Parámetros!$B$9)</f>
        <v>94.4634920634921</v>
      </c>
      <c r="S43" s="19" t="n">
        <f aca="false">P43-O43</f>
        <v>49.5933333333333</v>
      </c>
    </row>
    <row r="44" customFormat="false" ht="15" hidden="false" customHeight="false" outlineLevel="0" collapsed="false">
      <c r="A44" s="12" t="n">
        <v>43</v>
      </c>
      <c r="B44" s="13" t="s">
        <v>87</v>
      </c>
      <c r="C44" s="12" t="s">
        <v>43</v>
      </c>
      <c r="D44" s="12" t="n">
        <v>550</v>
      </c>
      <c r="E44" s="12" t="n">
        <v>10</v>
      </c>
      <c r="F44" s="12" t="n">
        <v>55</v>
      </c>
      <c r="G44" s="14" t="n">
        <v>1.5</v>
      </c>
      <c r="H44" s="15" t="n">
        <f aca="false">SUMIF(Recetas!$A$2:$A$468,A44,Recetas!$I$2:$I$468)</f>
        <v>72.975</v>
      </c>
      <c r="I44" s="15" t="n">
        <f aca="false">E44*Parámetros!$B$2</f>
        <v>90</v>
      </c>
      <c r="J44" s="15" t="n">
        <f aca="false">Parámetros!$B$3</f>
        <v>25</v>
      </c>
      <c r="K44" s="15" t="n">
        <f aca="false">G44*Parámetros!$B$4</f>
        <v>135</v>
      </c>
      <c r="L44" s="15" t="n">
        <f aca="false">Parámetros!$B$5</f>
        <v>30</v>
      </c>
      <c r="M44" s="15" t="n">
        <f aca="false">SUM(H44:L44)</f>
        <v>352.975</v>
      </c>
      <c r="N44" s="15" t="n">
        <f aca="false">M44/(1-Parámetros!$B$6)</f>
        <v>392.194444444444</v>
      </c>
      <c r="O44" s="16" t="n">
        <f aca="false">N44/E44</f>
        <v>39.2194444444445</v>
      </c>
      <c r="P44" s="16" t="n">
        <f aca="false">O44/(1-Parámetros!$B$7)</f>
        <v>98.0486111111111</v>
      </c>
      <c r="Q44" s="15" t="n">
        <f aca="false">O44/(1-Parámetros!$B$8)</f>
        <v>65.3657407407408</v>
      </c>
      <c r="R44" s="15" t="n">
        <f aca="false">O44/(1-Parámetros!$B$9)</f>
        <v>112.055555555556</v>
      </c>
      <c r="S44" s="15" t="n">
        <f aca="false">P44-O44</f>
        <v>58.8291666666667</v>
      </c>
    </row>
    <row r="45" customFormat="false" ht="15" hidden="false" customHeight="false" outlineLevel="0" collapsed="false">
      <c r="A45" s="17" t="n">
        <v>44</v>
      </c>
      <c r="B45" s="18" t="s">
        <v>88</v>
      </c>
      <c r="C45" s="17" t="s">
        <v>43</v>
      </c>
      <c r="D45" s="17" t="n">
        <v>540</v>
      </c>
      <c r="E45" s="17" t="n">
        <v>10</v>
      </c>
      <c r="F45" s="17" t="n">
        <v>54</v>
      </c>
      <c r="G45" s="14" t="n">
        <v>1.5</v>
      </c>
      <c r="H45" s="19" t="n">
        <f aca="false">SUMIF(Recetas!$A$2:$A$468,A45,Recetas!$I$2:$I$468)</f>
        <v>70.645</v>
      </c>
      <c r="I45" s="19" t="n">
        <f aca="false">E45*Parámetros!$B$2</f>
        <v>90</v>
      </c>
      <c r="J45" s="19" t="n">
        <f aca="false">Parámetros!$B$3</f>
        <v>25</v>
      </c>
      <c r="K45" s="19" t="n">
        <f aca="false">G45*Parámetros!$B$4</f>
        <v>135</v>
      </c>
      <c r="L45" s="19" t="n">
        <f aca="false">Parámetros!$B$5</f>
        <v>30</v>
      </c>
      <c r="M45" s="19" t="n">
        <f aca="false">SUM(H45:L45)</f>
        <v>350.645</v>
      </c>
      <c r="N45" s="19" t="n">
        <f aca="false">M45/(1-Parámetros!$B$6)</f>
        <v>389.605555555556</v>
      </c>
      <c r="O45" s="20" t="n">
        <f aca="false">N45/E45</f>
        <v>38.9605555555556</v>
      </c>
      <c r="P45" s="20" t="n">
        <f aca="false">O45/(1-Parámetros!$B$7)</f>
        <v>97.4013888888889</v>
      </c>
      <c r="Q45" s="19" t="n">
        <f aca="false">O45/(1-Parámetros!$B$8)</f>
        <v>64.9342592592593</v>
      </c>
      <c r="R45" s="19" t="n">
        <f aca="false">O45/(1-Parámetros!$B$9)</f>
        <v>111.315873015873</v>
      </c>
      <c r="S45" s="19" t="n">
        <f aca="false">P45-O45</f>
        <v>58.4408333333333</v>
      </c>
    </row>
    <row r="46" customFormat="false" ht="15" hidden="false" customHeight="false" outlineLevel="0" collapsed="false">
      <c r="A46" s="12" t="n">
        <v>45</v>
      </c>
      <c r="B46" s="13" t="s">
        <v>89</v>
      </c>
      <c r="C46" s="12" t="s">
        <v>43</v>
      </c>
      <c r="D46" s="12" t="n">
        <v>550</v>
      </c>
      <c r="E46" s="12" t="n">
        <v>10</v>
      </c>
      <c r="F46" s="12" t="n">
        <v>55</v>
      </c>
      <c r="G46" s="14" t="n">
        <v>1.5</v>
      </c>
      <c r="H46" s="15" t="n">
        <f aca="false">SUMIF(Recetas!$A$2:$A$468,A46,Recetas!$I$2:$I$468)</f>
        <v>78.215</v>
      </c>
      <c r="I46" s="15" t="n">
        <f aca="false">E46*Parámetros!$B$2</f>
        <v>90</v>
      </c>
      <c r="J46" s="15" t="n">
        <f aca="false">Parámetros!$B$3</f>
        <v>25</v>
      </c>
      <c r="K46" s="15" t="n">
        <f aca="false">G46*Parámetros!$B$4</f>
        <v>135</v>
      </c>
      <c r="L46" s="15" t="n">
        <f aca="false">Parámetros!$B$5</f>
        <v>30</v>
      </c>
      <c r="M46" s="15" t="n">
        <f aca="false">SUM(H46:L46)</f>
        <v>358.215</v>
      </c>
      <c r="N46" s="15" t="n">
        <f aca="false">M46/(1-Parámetros!$B$6)</f>
        <v>398.016666666667</v>
      </c>
      <c r="O46" s="16" t="n">
        <f aca="false">N46/E46</f>
        <v>39.8016666666667</v>
      </c>
      <c r="P46" s="16" t="n">
        <f aca="false">O46/(1-Parámetros!$B$7)</f>
        <v>99.5041666666667</v>
      </c>
      <c r="Q46" s="15" t="n">
        <f aca="false">O46/(1-Parámetros!$B$8)</f>
        <v>66.3361111111111</v>
      </c>
      <c r="R46" s="15" t="n">
        <f aca="false">O46/(1-Parámetros!$B$9)</f>
        <v>113.719047619048</v>
      </c>
      <c r="S46" s="15" t="n">
        <f aca="false">P46-O46</f>
        <v>59.7025</v>
      </c>
    </row>
    <row r="47" customFormat="false" ht="15" hidden="false" customHeight="false" outlineLevel="0" collapsed="false">
      <c r="A47" s="17" t="n">
        <v>46</v>
      </c>
      <c r="B47" s="18" t="s">
        <v>90</v>
      </c>
      <c r="C47" s="17" t="s">
        <v>43</v>
      </c>
      <c r="D47" s="17" t="n">
        <v>550</v>
      </c>
      <c r="E47" s="17" t="n">
        <v>10</v>
      </c>
      <c r="F47" s="17" t="n">
        <v>55</v>
      </c>
      <c r="G47" s="14" t="n">
        <v>1.5</v>
      </c>
      <c r="H47" s="19" t="n">
        <f aca="false">SUMIF(Recetas!$A$2:$A$468,A47,Recetas!$I$2:$I$468)</f>
        <v>88.8283333333333</v>
      </c>
      <c r="I47" s="19" t="n">
        <f aca="false">E47*Parámetros!$B$2</f>
        <v>90</v>
      </c>
      <c r="J47" s="19" t="n">
        <f aca="false">Parámetros!$B$3</f>
        <v>25</v>
      </c>
      <c r="K47" s="19" t="n">
        <f aca="false">G47*Parámetros!$B$4</f>
        <v>135</v>
      </c>
      <c r="L47" s="19" t="n">
        <f aca="false">Parámetros!$B$5</f>
        <v>30</v>
      </c>
      <c r="M47" s="19" t="n">
        <f aca="false">SUM(H47:L47)</f>
        <v>368.828333333333</v>
      </c>
      <c r="N47" s="19" t="n">
        <f aca="false">M47/(1-Parámetros!$B$6)</f>
        <v>409.809259259259</v>
      </c>
      <c r="O47" s="20" t="n">
        <f aca="false">N47/E47</f>
        <v>40.9809259259259</v>
      </c>
      <c r="P47" s="20" t="n">
        <f aca="false">O47/(1-Parámetros!$B$7)</f>
        <v>102.452314814815</v>
      </c>
      <c r="Q47" s="19" t="n">
        <f aca="false">O47/(1-Parámetros!$B$8)</f>
        <v>68.3015432098765</v>
      </c>
      <c r="R47" s="19" t="n">
        <f aca="false">O47/(1-Parámetros!$B$9)</f>
        <v>117.08835978836</v>
      </c>
      <c r="S47" s="19" t="n">
        <f aca="false">P47-O47</f>
        <v>61.4713888888889</v>
      </c>
    </row>
    <row r="48" customFormat="false" ht="15" hidden="false" customHeight="false" outlineLevel="0" collapsed="false">
      <c r="A48" s="12" t="n">
        <v>47</v>
      </c>
      <c r="B48" s="13" t="s">
        <v>91</v>
      </c>
      <c r="C48" s="12" t="s">
        <v>49</v>
      </c>
      <c r="D48" s="12" t="n">
        <v>280</v>
      </c>
      <c r="E48" s="12" t="n">
        <v>10</v>
      </c>
      <c r="F48" s="12" t="n">
        <v>28</v>
      </c>
      <c r="G48" s="14" t="n">
        <v>1</v>
      </c>
      <c r="H48" s="15" t="n">
        <f aca="false">SUMIF(Recetas!$A$2:$A$468,A48,Recetas!$I$2:$I$468)</f>
        <v>84.25</v>
      </c>
      <c r="I48" s="15" t="n">
        <f aca="false">E48*Parámetros!$B$2</f>
        <v>90</v>
      </c>
      <c r="J48" s="15" t="n">
        <f aca="false">Parámetros!$B$3</f>
        <v>25</v>
      </c>
      <c r="K48" s="15" t="n">
        <f aca="false">G48*Parámetros!$B$4</f>
        <v>90</v>
      </c>
      <c r="L48" s="15" t="n">
        <f aca="false">Parámetros!$B$5</f>
        <v>30</v>
      </c>
      <c r="M48" s="15" t="n">
        <f aca="false">SUM(H48:L48)</f>
        <v>319.25</v>
      </c>
      <c r="N48" s="15" t="n">
        <f aca="false">M48/(1-Parámetros!$B$6)</f>
        <v>354.722222222222</v>
      </c>
      <c r="O48" s="16" t="n">
        <f aca="false">N48/E48</f>
        <v>35.4722222222222</v>
      </c>
      <c r="P48" s="16" t="n">
        <f aca="false">O48/(1-Parámetros!$B$7)</f>
        <v>88.6805555555555</v>
      </c>
      <c r="Q48" s="15" t="n">
        <f aca="false">O48/(1-Parámetros!$B$8)</f>
        <v>59.1203703703704</v>
      </c>
      <c r="R48" s="15" t="n">
        <f aca="false">O48/(1-Parámetros!$B$9)</f>
        <v>101.349206349206</v>
      </c>
      <c r="S48" s="15" t="n">
        <f aca="false">P48-O48</f>
        <v>53.2083333333333</v>
      </c>
    </row>
    <row r="49" customFormat="false" ht="15" hidden="false" customHeight="false" outlineLevel="0" collapsed="false">
      <c r="A49" s="17" t="n">
        <v>48</v>
      </c>
      <c r="B49" s="18" t="s">
        <v>92</v>
      </c>
      <c r="C49" s="17" t="s">
        <v>43</v>
      </c>
      <c r="D49" s="17" t="n">
        <v>580</v>
      </c>
      <c r="E49" s="17" t="n">
        <v>10</v>
      </c>
      <c r="F49" s="17" t="n">
        <v>58</v>
      </c>
      <c r="G49" s="14" t="n">
        <v>1.5</v>
      </c>
      <c r="H49" s="19" t="n">
        <f aca="false">SUMIF(Recetas!$A$2:$A$468,A49,Recetas!$I$2:$I$468)</f>
        <v>102.61</v>
      </c>
      <c r="I49" s="19" t="n">
        <f aca="false">E49*Parámetros!$B$2</f>
        <v>90</v>
      </c>
      <c r="J49" s="19" t="n">
        <f aca="false">Parámetros!$B$3</f>
        <v>25</v>
      </c>
      <c r="K49" s="19" t="n">
        <f aca="false">G49*Parámetros!$B$4</f>
        <v>135</v>
      </c>
      <c r="L49" s="19" t="n">
        <f aca="false">Parámetros!$B$5</f>
        <v>30</v>
      </c>
      <c r="M49" s="19" t="n">
        <f aca="false">SUM(H49:L49)</f>
        <v>382.61</v>
      </c>
      <c r="N49" s="19" t="n">
        <f aca="false">M49/(1-Parámetros!$B$6)</f>
        <v>425.122222222222</v>
      </c>
      <c r="O49" s="20" t="n">
        <f aca="false">N49/E49</f>
        <v>42.5122222222222</v>
      </c>
      <c r="P49" s="20" t="n">
        <f aca="false">O49/(1-Parámetros!$B$7)</f>
        <v>106.280555555556</v>
      </c>
      <c r="Q49" s="19" t="n">
        <f aca="false">O49/(1-Parámetros!$B$8)</f>
        <v>70.8537037037037</v>
      </c>
      <c r="R49" s="19" t="n">
        <f aca="false">O49/(1-Parámetros!$B$9)</f>
        <v>121.463492063492</v>
      </c>
      <c r="S49" s="19" t="n">
        <f aca="false">P49-O49</f>
        <v>63.7683333333333</v>
      </c>
    </row>
    <row r="50" customFormat="false" ht="15" hidden="false" customHeight="false" outlineLevel="0" collapsed="false">
      <c r="A50" s="12" t="n">
        <v>49</v>
      </c>
      <c r="B50" s="13" t="s">
        <v>93</v>
      </c>
      <c r="C50" s="12" t="s">
        <v>43</v>
      </c>
      <c r="D50" s="12" t="n">
        <v>540</v>
      </c>
      <c r="E50" s="12" t="n">
        <v>10</v>
      </c>
      <c r="F50" s="12" t="n">
        <v>54</v>
      </c>
      <c r="G50" s="14" t="n">
        <v>1.5</v>
      </c>
      <c r="H50" s="15" t="n">
        <f aca="false">SUMIF(Recetas!$A$2:$A$468,A50,Recetas!$I$2:$I$468)</f>
        <v>68.115</v>
      </c>
      <c r="I50" s="15" t="n">
        <f aca="false">E50*Parámetros!$B$2</f>
        <v>90</v>
      </c>
      <c r="J50" s="15" t="n">
        <f aca="false">Parámetros!$B$3</f>
        <v>25</v>
      </c>
      <c r="K50" s="15" t="n">
        <f aca="false">G50*Parámetros!$B$4</f>
        <v>135</v>
      </c>
      <c r="L50" s="15" t="n">
        <f aca="false">Parámetros!$B$5</f>
        <v>30</v>
      </c>
      <c r="M50" s="15" t="n">
        <f aca="false">SUM(H50:L50)</f>
        <v>348.115</v>
      </c>
      <c r="N50" s="15" t="n">
        <f aca="false">M50/(1-Parámetros!$B$6)</f>
        <v>386.794444444444</v>
      </c>
      <c r="O50" s="16" t="n">
        <f aca="false">N50/E50</f>
        <v>38.6794444444444</v>
      </c>
      <c r="P50" s="16" t="n">
        <f aca="false">O50/(1-Parámetros!$B$7)</f>
        <v>96.6986111111111</v>
      </c>
      <c r="Q50" s="15" t="n">
        <f aca="false">O50/(1-Parámetros!$B$8)</f>
        <v>64.4657407407407</v>
      </c>
      <c r="R50" s="15" t="n">
        <f aca="false">O50/(1-Parámetros!$B$9)</f>
        <v>110.512698412698</v>
      </c>
      <c r="S50" s="15" t="n">
        <f aca="false">P50-O50</f>
        <v>58.0191666666667</v>
      </c>
    </row>
    <row r="51" customFormat="false" ht="15" hidden="false" customHeight="false" outlineLevel="0" collapsed="false">
      <c r="A51" s="17" t="n">
        <v>50</v>
      </c>
      <c r="B51" s="18" t="s">
        <v>94</v>
      </c>
      <c r="C51" s="17" t="s">
        <v>43</v>
      </c>
      <c r="D51" s="17" t="n">
        <v>560</v>
      </c>
      <c r="E51" s="17" t="n">
        <v>10</v>
      </c>
      <c r="F51" s="17" t="n">
        <v>56</v>
      </c>
      <c r="G51" s="14" t="n">
        <v>1.5</v>
      </c>
      <c r="H51" s="19" t="n">
        <f aca="false">SUMIF(Recetas!$A$2:$A$468,A51,Recetas!$I$2:$I$468)</f>
        <v>75.025</v>
      </c>
      <c r="I51" s="19" t="n">
        <f aca="false">E51*Parámetros!$B$2</f>
        <v>90</v>
      </c>
      <c r="J51" s="19" t="n">
        <f aca="false">Parámetros!$B$3</f>
        <v>25</v>
      </c>
      <c r="K51" s="19" t="n">
        <f aca="false">G51*Parámetros!$B$4</f>
        <v>135</v>
      </c>
      <c r="L51" s="19" t="n">
        <f aca="false">Parámetros!$B$5</f>
        <v>30</v>
      </c>
      <c r="M51" s="19" t="n">
        <f aca="false">SUM(H51:L51)</f>
        <v>355.025</v>
      </c>
      <c r="N51" s="19" t="n">
        <f aca="false">M51/(1-Parámetros!$B$6)</f>
        <v>394.472222222222</v>
      </c>
      <c r="O51" s="20" t="n">
        <f aca="false">N51/E51</f>
        <v>39.4472222222222</v>
      </c>
      <c r="P51" s="20" t="n">
        <f aca="false">O51/(1-Parámetros!$B$7)</f>
        <v>98.6180555555555</v>
      </c>
      <c r="Q51" s="19" t="n">
        <f aca="false">O51/(1-Parámetros!$B$8)</f>
        <v>65.7453703703704</v>
      </c>
      <c r="R51" s="19" t="n">
        <f aca="false">O51/(1-Parámetros!$B$9)</f>
        <v>112.706349206349</v>
      </c>
      <c r="S51" s="19" t="n">
        <f aca="false">P51-O51</f>
        <v>59.1708333333333</v>
      </c>
    </row>
    <row r="52" customFormat="false" ht="15" hidden="false" customHeight="false" outlineLevel="0" collapsed="false">
      <c r="A52" s="12" t="n">
        <v>51</v>
      </c>
      <c r="B52" s="13" t="s">
        <v>95</v>
      </c>
      <c r="C52" s="12" t="s">
        <v>43</v>
      </c>
      <c r="D52" s="12" t="n">
        <v>580</v>
      </c>
      <c r="E52" s="12" t="n">
        <v>10</v>
      </c>
      <c r="F52" s="12" t="n">
        <v>58</v>
      </c>
      <c r="G52" s="14" t="n">
        <v>1.5</v>
      </c>
      <c r="H52" s="15" t="n">
        <f aca="false">SUMIF(Recetas!$A$2:$A$468,A52,Recetas!$I$2:$I$468)</f>
        <v>71.4329069767442</v>
      </c>
      <c r="I52" s="15" t="n">
        <f aca="false">E52*Parámetros!$B$2</f>
        <v>90</v>
      </c>
      <c r="J52" s="15" t="n">
        <f aca="false">Parámetros!$B$3</f>
        <v>25</v>
      </c>
      <c r="K52" s="15" t="n">
        <f aca="false">G52*Parámetros!$B$4</f>
        <v>135</v>
      </c>
      <c r="L52" s="15" t="n">
        <f aca="false">Parámetros!$B$5</f>
        <v>30</v>
      </c>
      <c r="M52" s="15" t="n">
        <f aca="false">SUM(H52:L52)</f>
        <v>351.432906976744</v>
      </c>
      <c r="N52" s="15" t="n">
        <f aca="false">M52/(1-Parámetros!$B$6)</f>
        <v>390.481007751938</v>
      </c>
      <c r="O52" s="16" t="n">
        <f aca="false">N52/E52</f>
        <v>39.0481007751938</v>
      </c>
      <c r="P52" s="16" t="n">
        <f aca="false">O52/(1-Parámetros!$B$7)</f>
        <v>97.6202519379845</v>
      </c>
      <c r="Q52" s="15" t="n">
        <f aca="false">O52/(1-Parámetros!$B$8)</f>
        <v>65.0801679586564</v>
      </c>
      <c r="R52" s="15" t="n">
        <f aca="false">O52/(1-Parámetros!$B$9)</f>
        <v>111.566002214839</v>
      </c>
      <c r="S52" s="15" t="n">
        <f aca="false">P52-O52</f>
        <v>58.5721511627907</v>
      </c>
    </row>
    <row r="54" customFormat="false" ht="15" hidden="false" customHeight="false" outlineLevel="0" collapsed="false">
      <c r="B54" s="21" t="s">
        <v>96</v>
      </c>
      <c r="H54" s="16" t="n">
        <f aca="false">AVERAGE(H2:H52)</f>
        <v>116.44162028777</v>
      </c>
      <c r="M54" s="16" t="n">
        <f aca="false">AVERAGE(M2:M52)</f>
        <v>396.44162028777</v>
      </c>
      <c r="N54" s="16" t="n">
        <f aca="false">AVERAGE(N2:N52)</f>
        <v>440.490689208633</v>
      </c>
      <c r="O54" s="16" t="n">
        <f aca="false">AVERAGE(O2:O52)</f>
        <v>44.0490689208633</v>
      </c>
      <c r="P54" s="16" t="n">
        <f aca="false">AVERAGE(P2:P52)</f>
        <v>110.122672302158</v>
      </c>
      <c r="Q54" s="16" t="n">
        <f aca="false">AVERAGE(Q2:Q52)</f>
        <v>73.4151148681056</v>
      </c>
      <c r="R54" s="16" t="n">
        <f aca="false">AVERAGE(R2:R52)</f>
        <v>125.854482631038</v>
      </c>
      <c r="S54" s="16" t="n">
        <f aca="false">AVERAGE(S2:S52)</f>
        <v>66.073603381295</v>
      </c>
    </row>
    <row r="56" customFormat="false" ht="15" hidden="false" customHeight="false" outlineLevel="0" collapsed="false">
      <c r="B56" s="22"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16"/>
    <col collapsed="false" customWidth="true" hidden="false" outlineLevel="0" max="4" min="4" style="0" width="70"/>
  </cols>
  <sheetData>
    <row r="1" customFormat="false" ht="31.5" hidden="false" customHeight="true" outlineLevel="0" collapsed="false">
      <c r="A1" s="11" t="s">
        <v>98</v>
      </c>
      <c r="B1" s="11" t="s">
        <v>99</v>
      </c>
      <c r="C1" s="11" t="s">
        <v>100</v>
      </c>
      <c r="D1" s="11" t="s">
        <v>101</v>
      </c>
    </row>
    <row r="2" customFormat="false" ht="15" hidden="false" customHeight="false" outlineLevel="0" collapsed="false">
      <c r="A2" s="21" t="s">
        <v>102</v>
      </c>
      <c r="B2" s="23" t="n">
        <v>9</v>
      </c>
      <c r="C2" s="24" t="s">
        <v>103</v>
      </c>
      <c r="D2" s="25" t="s">
        <v>104</v>
      </c>
    </row>
    <row r="3" customFormat="false" ht="15" hidden="false" customHeight="false" outlineLevel="0" collapsed="false">
      <c r="A3" s="21" t="s">
        <v>105</v>
      </c>
      <c r="B3" s="23" t="n">
        <v>25</v>
      </c>
      <c r="C3" s="24" t="s">
        <v>106</v>
      </c>
      <c r="D3" s="25" t="s">
        <v>107</v>
      </c>
    </row>
    <row r="4" customFormat="false" ht="15" hidden="false" customHeight="false" outlineLevel="0" collapsed="false">
      <c r="A4" s="21" t="s">
        <v>108</v>
      </c>
      <c r="B4" s="23" t="n">
        <v>90</v>
      </c>
      <c r="C4" s="24" t="s">
        <v>109</v>
      </c>
      <c r="D4" s="25" t="s">
        <v>110</v>
      </c>
    </row>
    <row r="5" customFormat="false" ht="15" hidden="false" customHeight="false" outlineLevel="0" collapsed="false">
      <c r="A5" s="21" t="s">
        <v>111</v>
      </c>
      <c r="B5" s="23" t="n">
        <v>30</v>
      </c>
      <c r="C5" s="24" t="s">
        <v>106</v>
      </c>
      <c r="D5" s="25" t="s">
        <v>112</v>
      </c>
    </row>
    <row r="6" customFormat="false" ht="15" hidden="false" customHeight="false" outlineLevel="0" collapsed="false">
      <c r="A6" s="21" t="s">
        <v>113</v>
      </c>
      <c r="B6" s="26" t="n">
        <v>0.1</v>
      </c>
      <c r="C6" s="24" t="s">
        <v>114</v>
      </c>
      <c r="D6" s="25" t="s">
        <v>115</v>
      </c>
    </row>
    <row r="7" customFormat="false" ht="15" hidden="false" customHeight="false" outlineLevel="0" collapsed="false">
      <c r="A7" s="21" t="s">
        <v>116</v>
      </c>
      <c r="B7" s="26" t="n">
        <v>0.6</v>
      </c>
      <c r="C7" s="24" t="s">
        <v>117</v>
      </c>
      <c r="D7" s="25" t="s">
        <v>118</v>
      </c>
    </row>
    <row r="8" customFormat="false" ht="15" hidden="false" customHeight="false" outlineLevel="0" collapsed="false">
      <c r="A8" s="21" t="s">
        <v>119</v>
      </c>
      <c r="B8" s="26" t="n">
        <v>0.4</v>
      </c>
      <c r="C8" s="24" t="s">
        <v>117</v>
      </c>
      <c r="D8" s="25" t="s">
        <v>118</v>
      </c>
    </row>
    <row r="9" customFormat="false" ht="15" hidden="false" customHeight="false" outlineLevel="0" collapsed="false">
      <c r="A9" s="21" t="s">
        <v>120</v>
      </c>
      <c r="B9" s="26" t="n">
        <v>0.65</v>
      </c>
      <c r="C9" s="24" t="s">
        <v>117</v>
      </c>
      <c r="D9" s="25" t="s">
        <v>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2"/>
    <col collapsed="false" customWidth="true" hidden="false" outlineLevel="0" max="3" min="3" style="0" width="12"/>
    <col collapsed="false" customWidth="true" hidden="false" outlineLevel="0" max="4" min="4" style="0" width="9"/>
    <col collapsed="false" customWidth="true" hidden="false" outlineLevel="0" max="6" min="5" style="0" width="14"/>
    <col collapsed="false" customWidth="true" hidden="false" outlineLevel="0" max="7" min="7" style="0" width="48"/>
  </cols>
  <sheetData>
    <row r="1" customFormat="false" ht="31.5" hidden="false" customHeight="true" outlineLevel="0" collapsed="false">
      <c r="A1" s="11" t="s">
        <v>121</v>
      </c>
      <c r="B1" s="11" t="s">
        <v>122</v>
      </c>
      <c r="C1" s="11" t="s">
        <v>123</v>
      </c>
      <c r="D1" s="11" t="s">
        <v>100</v>
      </c>
      <c r="E1" s="11" t="s">
        <v>124</v>
      </c>
      <c r="F1" s="11" t="s">
        <v>125</v>
      </c>
      <c r="G1" s="11" t="s">
        <v>101</v>
      </c>
    </row>
    <row r="2" customFormat="false" ht="15" hidden="false" customHeight="false" outlineLevel="0" collapsed="false">
      <c r="A2" s="27" t="s">
        <v>126</v>
      </c>
      <c r="B2" s="24" t="s">
        <v>127</v>
      </c>
      <c r="C2" s="14" t="n">
        <v>1000</v>
      </c>
      <c r="D2" s="24" t="s">
        <v>128</v>
      </c>
      <c r="E2" s="23" t="n">
        <v>110</v>
      </c>
      <c r="F2" s="28" t="n">
        <f aca="false">IF(C2=0,0,E2/C2)</f>
        <v>0.11</v>
      </c>
      <c r="G2" s="29" t="s">
        <v>129</v>
      </c>
    </row>
    <row r="3" customFormat="false" ht="15" hidden="false" customHeight="false" outlineLevel="0" collapsed="false">
      <c r="A3" s="27" t="s">
        <v>130</v>
      </c>
      <c r="B3" s="24" t="s">
        <v>131</v>
      </c>
      <c r="C3" s="14" t="n">
        <v>1000</v>
      </c>
      <c r="D3" s="24" t="s">
        <v>128</v>
      </c>
      <c r="E3" s="23" t="n">
        <v>70</v>
      </c>
      <c r="F3" s="28" t="n">
        <f aca="false">IF(C3=0,0,E3/C3)</f>
        <v>0.07</v>
      </c>
      <c r="G3" s="29" t="s">
        <v>129</v>
      </c>
    </row>
    <row r="4" customFormat="false" ht="15" hidden="false" customHeight="false" outlineLevel="0" collapsed="false">
      <c r="A4" s="27" t="s">
        <v>132</v>
      </c>
      <c r="B4" s="24" t="s">
        <v>133</v>
      </c>
      <c r="C4" s="14" t="n">
        <v>1000</v>
      </c>
      <c r="D4" s="24" t="s">
        <v>128</v>
      </c>
      <c r="E4" s="23" t="n">
        <v>150</v>
      </c>
      <c r="F4" s="28" t="n">
        <f aca="false">IF(C4=0,0,E4/C4)</f>
        <v>0.15</v>
      </c>
      <c r="G4" s="29" t="s">
        <v>129</v>
      </c>
    </row>
    <row r="5" customFormat="false" ht="15" hidden="false" customHeight="false" outlineLevel="0" collapsed="false">
      <c r="A5" s="27" t="s">
        <v>134</v>
      </c>
      <c r="B5" s="24" t="s">
        <v>135</v>
      </c>
      <c r="C5" s="14" t="n">
        <v>1000</v>
      </c>
      <c r="D5" s="24" t="s">
        <v>128</v>
      </c>
      <c r="E5" s="23" t="n">
        <v>260</v>
      </c>
      <c r="F5" s="28" t="n">
        <f aca="false">IF(C5=0,0,E5/C5)</f>
        <v>0.26</v>
      </c>
      <c r="G5" s="29" t="s">
        <v>129</v>
      </c>
    </row>
    <row r="6" customFormat="false" ht="15" hidden="false" customHeight="false" outlineLevel="0" collapsed="false">
      <c r="A6" s="27" t="s">
        <v>136</v>
      </c>
      <c r="B6" s="24" t="s">
        <v>137</v>
      </c>
      <c r="C6" s="14" t="n">
        <v>1000</v>
      </c>
      <c r="D6" s="24" t="s">
        <v>128</v>
      </c>
      <c r="E6" s="23" t="n">
        <v>420</v>
      </c>
      <c r="F6" s="28" t="n">
        <f aca="false">IF(C6=0,0,E6/C6)</f>
        <v>0.42</v>
      </c>
      <c r="G6" s="29" t="s">
        <v>129</v>
      </c>
    </row>
    <row r="7" customFormat="false" ht="15" hidden="false" customHeight="false" outlineLevel="0" collapsed="false">
      <c r="A7" s="27" t="s">
        <v>138</v>
      </c>
      <c r="B7" s="24" t="s">
        <v>139</v>
      </c>
      <c r="C7" s="14" t="n">
        <v>1000</v>
      </c>
      <c r="D7" s="24" t="s">
        <v>128</v>
      </c>
      <c r="E7" s="23" t="n">
        <v>32</v>
      </c>
      <c r="F7" s="28" t="n">
        <f aca="false">IF(C7=0,0,E7/C7)</f>
        <v>0.032</v>
      </c>
      <c r="G7" s="29" t="s">
        <v>129</v>
      </c>
    </row>
    <row r="8" customFormat="false" ht="15" hidden="false" customHeight="false" outlineLevel="0" collapsed="false">
      <c r="A8" s="27" t="s">
        <v>140</v>
      </c>
      <c r="B8" s="24" t="s">
        <v>141</v>
      </c>
      <c r="C8" s="14" t="n">
        <v>1000</v>
      </c>
      <c r="D8" s="24" t="s">
        <v>128</v>
      </c>
      <c r="E8" s="23" t="n">
        <v>40</v>
      </c>
      <c r="F8" s="28" t="n">
        <f aca="false">IF(C8=0,0,E8/C8)</f>
        <v>0.04</v>
      </c>
      <c r="G8" s="29" t="s">
        <v>129</v>
      </c>
    </row>
    <row r="9" customFormat="false" ht="15" hidden="false" customHeight="false" outlineLevel="0" collapsed="false">
      <c r="A9" s="27" t="s">
        <v>142</v>
      </c>
      <c r="B9" s="24" t="s">
        <v>143</v>
      </c>
      <c r="C9" s="14" t="n">
        <v>1000</v>
      </c>
      <c r="D9" s="24" t="s">
        <v>128</v>
      </c>
      <c r="E9" s="23" t="n">
        <v>45</v>
      </c>
      <c r="F9" s="28" t="n">
        <f aca="false">IF(C9=0,0,E9/C9)</f>
        <v>0.045</v>
      </c>
      <c r="G9" s="29" t="s">
        <v>129</v>
      </c>
    </row>
    <row r="10" customFormat="false" ht="15" hidden="false" customHeight="false" outlineLevel="0" collapsed="false">
      <c r="A10" s="27" t="s">
        <v>144</v>
      </c>
      <c r="B10" s="24" t="s">
        <v>145</v>
      </c>
      <c r="C10" s="14" t="n">
        <v>1000</v>
      </c>
      <c r="D10" s="24" t="s">
        <v>128</v>
      </c>
      <c r="E10" s="23" t="n">
        <v>45</v>
      </c>
      <c r="F10" s="28" t="n">
        <f aca="false">IF(C10=0,0,E10/C10)</f>
        <v>0.045</v>
      </c>
      <c r="G10" s="29" t="s">
        <v>129</v>
      </c>
    </row>
    <row r="11" customFormat="false" ht="15" hidden="false" customHeight="false" outlineLevel="0" collapsed="false">
      <c r="A11" s="27" t="s">
        <v>146</v>
      </c>
      <c r="B11" s="24" t="s">
        <v>147</v>
      </c>
      <c r="C11" s="14" t="n">
        <v>1000</v>
      </c>
      <c r="D11" s="24" t="s">
        <v>128</v>
      </c>
      <c r="E11" s="23" t="n">
        <v>70</v>
      </c>
      <c r="F11" s="28" t="n">
        <f aca="false">IF(C11=0,0,E11/C11)</f>
        <v>0.07</v>
      </c>
      <c r="G11" s="29" t="s">
        <v>129</v>
      </c>
    </row>
    <row r="12" customFormat="false" ht="15" hidden="false" customHeight="false" outlineLevel="0" collapsed="false">
      <c r="A12" s="27" t="s">
        <v>148</v>
      </c>
      <c r="B12" s="24" t="s">
        <v>149</v>
      </c>
      <c r="C12" s="14" t="n">
        <v>1000</v>
      </c>
      <c r="D12" s="24" t="s">
        <v>150</v>
      </c>
      <c r="E12" s="23" t="n">
        <v>2</v>
      </c>
      <c r="F12" s="28" t="n">
        <f aca="false">IF(C12=0,0,E12/C12)</f>
        <v>0.002</v>
      </c>
      <c r="G12" s="29" t="s">
        <v>129</v>
      </c>
    </row>
    <row r="13" customFormat="false" ht="15" hidden="false" customHeight="false" outlineLevel="0" collapsed="false">
      <c r="A13" s="27" t="s">
        <v>151</v>
      </c>
      <c r="B13" s="24" t="s">
        <v>152</v>
      </c>
      <c r="C13" s="14" t="n">
        <v>1000</v>
      </c>
      <c r="D13" s="24" t="s">
        <v>128</v>
      </c>
      <c r="E13" s="23" t="n">
        <v>60</v>
      </c>
      <c r="F13" s="28" t="n">
        <f aca="false">IF(C13=0,0,E13/C13)</f>
        <v>0.06</v>
      </c>
      <c r="G13" s="29" t="s">
        <v>129</v>
      </c>
    </row>
    <row r="14" customFormat="false" ht="15" hidden="false" customHeight="false" outlineLevel="0" collapsed="false">
      <c r="A14" s="27" t="s">
        <v>153</v>
      </c>
      <c r="B14" s="24" t="s">
        <v>154</v>
      </c>
      <c r="C14" s="14" t="n">
        <v>1000</v>
      </c>
      <c r="D14" s="24" t="s">
        <v>128</v>
      </c>
      <c r="E14" s="23" t="n">
        <v>25</v>
      </c>
      <c r="F14" s="28" t="n">
        <f aca="false">IF(C14=0,0,E14/C14)</f>
        <v>0.025</v>
      </c>
      <c r="G14" s="29" t="s">
        <v>129</v>
      </c>
    </row>
    <row r="15" customFormat="false" ht="15" hidden="false" customHeight="false" outlineLevel="0" collapsed="false">
      <c r="A15" s="27" t="s">
        <v>155</v>
      </c>
      <c r="B15" s="24" t="s">
        <v>156</v>
      </c>
      <c r="C15" s="14" t="n">
        <v>500</v>
      </c>
      <c r="D15" s="24" t="s">
        <v>128</v>
      </c>
      <c r="E15" s="23" t="n">
        <v>120</v>
      </c>
      <c r="F15" s="28" t="n">
        <f aca="false">IF(C15=0,0,E15/C15)</f>
        <v>0.24</v>
      </c>
      <c r="G15" s="29" t="s">
        <v>129</v>
      </c>
    </row>
    <row r="16" customFormat="false" ht="15" hidden="false" customHeight="false" outlineLevel="0" collapsed="false">
      <c r="A16" s="27" t="s">
        <v>157</v>
      </c>
      <c r="B16" s="24" t="s">
        <v>158</v>
      </c>
      <c r="C16" s="14" t="n">
        <v>250</v>
      </c>
      <c r="D16" s="24" t="s">
        <v>128</v>
      </c>
      <c r="E16" s="23" t="n">
        <v>190</v>
      </c>
      <c r="F16" s="28" t="n">
        <f aca="false">IF(C16=0,0,E16/C16)</f>
        <v>0.76</v>
      </c>
      <c r="G16" s="29" t="s">
        <v>129</v>
      </c>
    </row>
    <row r="17" customFormat="false" ht="15" hidden="false" customHeight="false" outlineLevel="0" collapsed="false">
      <c r="A17" s="27" t="s">
        <v>159</v>
      </c>
      <c r="B17" s="24" t="s">
        <v>160</v>
      </c>
      <c r="C17" s="14" t="n">
        <v>500</v>
      </c>
      <c r="D17" s="24" t="s">
        <v>128</v>
      </c>
      <c r="E17" s="23" t="n">
        <v>80</v>
      </c>
      <c r="F17" s="28" t="n">
        <f aca="false">IF(C17=0,0,E17/C17)</f>
        <v>0.16</v>
      </c>
      <c r="G17" s="29" t="s">
        <v>129</v>
      </c>
    </row>
    <row r="18" customFormat="false" ht="15" hidden="false" customHeight="false" outlineLevel="0" collapsed="false">
      <c r="A18" s="27" t="s">
        <v>161</v>
      </c>
      <c r="B18" s="24" t="s">
        <v>162</v>
      </c>
      <c r="C18" s="14" t="n">
        <v>100</v>
      </c>
      <c r="D18" s="24" t="s">
        <v>128</v>
      </c>
      <c r="E18" s="23" t="n">
        <v>70</v>
      </c>
      <c r="F18" s="28" t="n">
        <f aca="false">IF(C18=0,0,E18/C18)</f>
        <v>0.7</v>
      </c>
      <c r="G18" s="29" t="s">
        <v>129</v>
      </c>
    </row>
    <row r="19" customFormat="false" ht="15" hidden="false" customHeight="false" outlineLevel="0" collapsed="false">
      <c r="A19" s="27" t="s">
        <v>163</v>
      </c>
      <c r="B19" s="24" t="s">
        <v>164</v>
      </c>
      <c r="C19" s="14" t="n">
        <v>100</v>
      </c>
      <c r="D19" s="24" t="s">
        <v>128</v>
      </c>
      <c r="E19" s="23" t="n">
        <v>250</v>
      </c>
      <c r="F19" s="28" t="n">
        <f aca="false">IF(C19=0,0,E19/C19)</f>
        <v>2.5</v>
      </c>
      <c r="G19" s="29" t="s">
        <v>129</v>
      </c>
    </row>
    <row r="20" customFormat="false" ht="15" hidden="false" customHeight="false" outlineLevel="0" collapsed="false">
      <c r="A20" s="27" t="s">
        <v>165</v>
      </c>
      <c r="B20" s="24" t="s">
        <v>166</v>
      </c>
      <c r="C20" s="14" t="n">
        <v>100</v>
      </c>
      <c r="D20" s="24" t="s">
        <v>128</v>
      </c>
      <c r="E20" s="23" t="n">
        <v>120</v>
      </c>
      <c r="F20" s="28" t="n">
        <f aca="false">IF(C20=0,0,E20/C20)</f>
        <v>1.2</v>
      </c>
      <c r="G20" s="29" t="s">
        <v>129</v>
      </c>
    </row>
    <row r="21" customFormat="false" ht="15" hidden="false" customHeight="false" outlineLevel="0" collapsed="false">
      <c r="A21" s="27" t="s">
        <v>167</v>
      </c>
      <c r="B21" s="24" t="s">
        <v>168</v>
      </c>
      <c r="C21" s="14" t="n">
        <v>120</v>
      </c>
      <c r="D21" s="24" t="s">
        <v>150</v>
      </c>
      <c r="E21" s="23" t="n">
        <v>180</v>
      </c>
      <c r="F21" s="28" t="n">
        <f aca="false">IF(C21=0,0,E21/C21)</f>
        <v>1.5</v>
      </c>
      <c r="G21" s="29" t="s">
        <v>129</v>
      </c>
    </row>
    <row r="22" customFormat="false" ht="15" hidden="false" customHeight="false" outlineLevel="0" collapsed="false">
      <c r="A22" s="27" t="s">
        <v>169</v>
      </c>
      <c r="B22" s="24" t="s">
        <v>170</v>
      </c>
      <c r="C22" s="14" t="n">
        <v>1</v>
      </c>
      <c r="D22" s="24" t="s">
        <v>171</v>
      </c>
      <c r="E22" s="23" t="n">
        <v>45</v>
      </c>
      <c r="F22" s="28" t="n">
        <f aca="false">IF(C22=0,0,E22/C22)</f>
        <v>45</v>
      </c>
      <c r="G22" s="29" t="s">
        <v>129</v>
      </c>
    </row>
    <row r="23" customFormat="false" ht="15" hidden="false" customHeight="false" outlineLevel="0" collapsed="false">
      <c r="A23" s="27" t="s">
        <v>172</v>
      </c>
      <c r="B23" s="24" t="s">
        <v>173</v>
      </c>
      <c r="C23" s="14" t="n">
        <v>750</v>
      </c>
      <c r="D23" s="24" t="s">
        <v>150</v>
      </c>
      <c r="E23" s="23" t="n">
        <v>600</v>
      </c>
      <c r="F23" s="28" t="n">
        <f aca="false">IF(C23=0,0,E23/C23)</f>
        <v>0.8</v>
      </c>
      <c r="G23" s="29" t="s">
        <v>129</v>
      </c>
    </row>
    <row r="24" customFormat="false" ht="15" hidden="false" customHeight="false" outlineLevel="0" collapsed="false">
      <c r="A24" s="27" t="s">
        <v>174</v>
      </c>
      <c r="B24" s="24" t="s">
        <v>175</v>
      </c>
      <c r="C24" s="14" t="n">
        <v>700</v>
      </c>
      <c r="D24" s="24" t="s">
        <v>150</v>
      </c>
      <c r="E24" s="23" t="n">
        <v>700</v>
      </c>
      <c r="F24" s="28" t="n">
        <f aca="false">IF(C24=0,0,E24/C24)</f>
        <v>1</v>
      </c>
      <c r="G24" s="29" t="s">
        <v>129</v>
      </c>
    </row>
    <row r="25" customFormat="false" ht="15" hidden="false" customHeight="false" outlineLevel="0" collapsed="false">
      <c r="A25" s="27" t="s">
        <v>176</v>
      </c>
      <c r="B25" s="24" t="s">
        <v>177</v>
      </c>
      <c r="C25" s="14" t="n">
        <v>750</v>
      </c>
      <c r="D25" s="24" t="s">
        <v>150</v>
      </c>
      <c r="E25" s="23" t="n">
        <v>500</v>
      </c>
      <c r="F25" s="28" t="n">
        <f aca="false">IF(C25=0,0,E25/C25)</f>
        <v>0.666666666666667</v>
      </c>
      <c r="G25" s="29" t="s">
        <v>129</v>
      </c>
    </row>
    <row r="26" customFormat="false" ht="15" hidden="false" customHeight="false" outlineLevel="0" collapsed="false">
      <c r="A26" s="27" t="s">
        <v>178</v>
      </c>
      <c r="B26" s="24" t="s">
        <v>179</v>
      </c>
      <c r="C26" s="14" t="n">
        <v>355</v>
      </c>
      <c r="D26" s="24" t="s">
        <v>150</v>
      </c>
      <c r="E26" s="23" t="n">
        <v>55</v>
      </c>
      <c r="F26" s="28" t="n">
        <f aca="false">IF(C26=0,0,E26/C26)</f>
        <v>0.154929577464789</v>
      </c>
      <c r="G26" s="29" t="s">
        <v>129</v>
      </c>
    </row>
    <row r="27" customFormat="false" ht="15" hidden="false" customHeight="false" outlineLevel="0" collapsed="false">
      <c r="A27" s="27" t="s">
        <v>180</v>
      </c>
      <c r="B27" s="24" t="s">
        <v>181</v>
      </c>
      <c r="C27" s="14" t="n">
        <v>1000</v>
      </c>
      <c r="D27" s="24" t="s">
        <v>128</v>
      </c>
      <c r="E27" s="23" t="n">
        <v>380</v>
      </c>
      <c r="F27" s="28" t="n">
        <f aca="false">IF(C27=0,0,E27/C27)</f>
        <v>0.38</v>
      </c>
      <c r="G27" s="29" t="s">
        <v>129</v>
      </c>
    </row>
    <row r="28" customFormat="false" ht="15" hidden="false" customHeight="false" outlineLevel="0" collapsed="false">
      <c r="A28" s="27" t="s">
        <v>182</v>
      </c>
      <c r="B28" s="24" t="s">
        <v>183</v>
      </c>
      <c r="C28" s="14" t="n">
        <v>1000</v>
      </c>
      <c r="D28" s="24" t="s">
        <v>128</v>
      </c>
      <c r="E28" s="23" t="n">
        <v>500</v>
      </c>
      <c r="F28" s="28" t="n">
        <f aca="false">IF(C28=0,0,E28/C28)</f>
        <v>0.5</v>
      </c>
      <c r="G28" s="29" t="s">
        <v>129</v>
      </c>
    </row>
    <row r="29" customFormat="false" ht="15" hidden="false" customHeight="false" outlineLevel="0" collapsed="false">
      <c r="A29" s="27" t="s">
        <v>184</v>
      </c>
      <c r="B29" s="24" t="s">
        <v>185</v>
      </c>
      <c r="C29" s="14" t="n">
        <v>1000</v>
      </c>
      <c r="D29" s="24" t="s">
        <v>128</v>
      </c>
      <c r="E29" s="23" t="n">
        <v>330</v>
      </c>
      <c r="F29" s="28" t="n">
        <f aca="false">IF(C29=0,0,E29/C29)</f>
        <v>0.33</v>
      </c>
      <c r="G29" s="29" t="s">
        <v>129</v>
      </c>
    </row>
    <row r="30" customFormat="false" ht="15" hidden="false" customHeight="false" outlineLevel="0" collapsed="false">
      <c r="A30" s="27" t="s">
        <v>186</v>
      </c>
      <c r="B30" s="24" t="s">
        <v>187</v>
      </c>
      <c r="C30" s="14" t="n">
        <v>1000</v>
      </c>
      <c r="D30" s="24" t="s">
        <v>128</v>
      </c>
      <c r="E30" s="23" t="n">
        <v>700</v>
      </c>
      <c r="F30" s="28" t="n">
        <f aca="false">IF(C30=0,0,E30/C30)</f>
        <v>0.7</v>
      </c>
      <c r="G30" s="29" t="s">
        <v>129</v>
      </c>
    </row>
    <row r="31" customFormat="false" ht="15" hidden="false" customHeight="false" outlineLevel="0" collapsed="false">
      <c r="A31" s="27" t="s">
        <v>188</v>
      </c>
      <c r="B31" s="24" t="s">
        <v>189</v>
      </c>
      <c r="C31" s="14" t="n">
        <v>1000</v>
      </c>
      <c r="D31" s="24" t="s">
        <v>128</v>
      </c>
      <c r="E31" s="23" t="n">
        <v>550</v>
      </c>
      <c r="F31" s="28" t="n">
        <f aca="false">IF(C31=0,0,E31/C31)</f>
        <v>0.55</v>
      </c>
      <c r="G31" s="29" t="s">
        <v>129</v>
      </c>
    </row>
    <row r="32" customFormat="false" ht="15" hidden="false" customHeight="false" outlineLevel="0" collapsed="false">
      <c r="A32" s="27" t="s">
        <v>190</v>
      </c>
      <c r="B32" s="24" t="s">
        <v>191</v>
      </c>
      <c r="C32" s="14" t="n">
        <v>1000</v>
      </c>
      <c r="D32" s="24" t="s">
        <v>128</v>
      </c>
      <c r="E32" s="23" t="n">
        <v>900</v>
      </c>
      <c r="F32" s="28" t="n">
        <f aca="false">IF(C32=0,0,E32/C32)</f>
        <v>0.9</v>
      </c>
      <c r="G32" s="29" t="s">
        <v>129</v>
      </c>
    </row>
    <row r="33" customFormat="false" ht="15" hidden="false" customHeight="false" outlineLevel="0" collapsed="false">
      <c r="A33" s="27" t="s">
        <v>192</v>
      </c>
      <c r="B33" s="24" t="s">
        <v>193</v>
      </c>
      <c r="C33" s="14" t="n">
        <v>1000</v>
      </c>
      <c r="D33" s="24" t="s">
        <v>128</v>
      </c>
      <c r="E33" s="23" t="n">
        <v>180</v>
      </c>
      <c r="F33" s="28" t="n">
        <f aca="false">IF(C33=0,0,E33/C33)</f>
        <v>0.18</v>
      </c>
      <c r="G33" s="29" t="s">
        <v>129</v>
      </c>
    </row>
    <row r="34" customFormat="false" ht="15" hidden="false" customHeight="false" outlineLevel="0" collapsed="false">
      <c r="A34" s="27" t="s">
        <v>194</v>
      </c>
      <c r="B34" s="24" t="s">
        <v>195</v>
      </c>
      <c r="C34" s="14" t="n">
        <v>1000</v>
      </c>
      <c r="D34" s="24" t="s">
        <v>128</v>
      </c>
      <c r="E34" s="23" t="n">
        <v>90</v>
      </c>
      <c r="F34" s="28" t="n">
        <f aca="false">IF(C34=0,0,E34/C34)</f>
        <v>0.09</v>
      </c>
      <c r="G34" s="29" t="s">
        <v>129</v>
      </c>
    </row>
    <row r="35" customFormat="false" ht="15" hidden="false" customHeight="false" outlineLevel="0" collapsed="false">
      <c r="A35" s="27" t="s">
        <v>196</v>
      </c>
      <c r="B35" s="24" t="s">
        <v>197</v>
      </c>
      <c r="C35" s="14" t="n">
        <v>1000</v>
      </c>
      <c r="D35" s="24" t="s">
        <v>128</v>
      </c>
      <c r="E35" s="23" t="n">
        <v>140</v>
      </c>
      <c r="F35" s="28" t="n">
        <f aca="false">IF(C35=0,0,E35/C35)</f>
        <v>0.14</v>
      </c>
      <c r="G35" s="29" t="s">
        <v>129</v>
      </c>
    </row>
    <row r="36" customFormat="false" ht="15" hidden="false" customHeight="false" outlineLevel="0" collapsed="false">
      <c r="A36" s="27" t="s">
        <v>198</v>
      </c>
      <c r="B36" s="24" t="s">
        <v>199</v>
      </c>
      <c r="C36" s="14" t="n">
        <v>500</v>
      </c>
      <c r="D36" s="24" t="s">
        <v>128</v>
      </c>
      <c r="E36" s="23" t="n">
        <v>150</v>
      </c>
      <c r="F36" s="28" t="n">
        <f aca="false">IF(C36=0,0,E36/C36)</f>
        <v>0.3</v>
      </c>
      <c r="G36" s="29" t="s">
        <v>129</v>
      </c>
    </row>
    <row r="37" customFormat="false" ht="15" hidden="false" customHeight="false" outlineLevel="0" collapsed="false">
      <c r="A37" s="27" t="s">
        <v>200</v>
      </c>
      <c r="B37" s="24" t="s">
        <v>201</v>
      </c>
      <c r="C37" s="14" t="n">
        <v>1000</v>
      </c>
      <c r="D37" s="24" t="s">
        <v>128</v>
      </c>
      <c r="E37" s="23" t="n">
        <v>220</v>
      </c>
      <c r="F37" s="28" t="n">
        <f aca="false">IF(C37=0,0,E37/C37)</f>
        <v>0.22</v>
      </c>
      <c r="G37" s="29" t="s">
        <v>129</v>
      </c>
    </row>
    <row r="38" customFormat="false" ht="15" hidden="false" customHeight="false" outlineLevel="0" collapsed="false">
      <c r="A38" s="27" t="s">
        <v>202</v>
      </c>
      <c r="B38" s="24" t="s">
        <v>203</v>
      </c>
      <c r="C38" s="14" t="n">
        <v>1000</v>
      </c>
      <c r="D38" s="24" t="s">
        <v>150</v>
      </c>
      <c r="E38" s="23" t="n">
        <v>500</v>
      </c>
      <c r="F38" s="28" t="n">
        <f aca="false">IF(C38=0,0,E38/C38)</f>
        <v>0.5</v>
      </c>
      <c r="G38" s="29" t="s">
        <v>129</v>
      </c>
    </row>
    <row r="39" customFormat="false" ht="15" hidden="false" customHeight="false" outlineLevel="0" collapsed="false">
      <c r="A39" s="27" t="s">
        <v>204</v>
      </c>
      <c r="B39" s="24" t="s">
        <v>205</v>
      </c>
      <c r="C39" s="14" t="n">
        <v>1000</v>
      </c>
      <c r="D39" s="24" t="s">
        <v>128</v>
      </c>
      <c r="E39" s="23" t="n">
        <v>150</v>
      </c>
      <c r="F39" s="28" t="n">
        <f aca="false">IF(C39=0,0,E39/C39)</f>
        <v>0.15</v>
      </c>
      <c r="G39" s="29" t="s">
        <v>129</v>
      </c>
    </row>
    <row r="40" customFormat="false" ht="15" hidden="false" customHeight="false" outlineLevel="0" collapsed="false">
      <c r="A40" s="27" t="s">
        <v>206</v>
      </c>
      <c r="B40" s="24" t="s">
        <v>207</v>
      </c>
      <c r="C40" s="14" t="n">
        <v>500</v>
      </c>
      <c r="D40" s="24" t="s">
        <v>128</v>
      </c>
      <c r="E40" s="23" t="n">
        <v>180</v>
      </c>
      <c r="F40" s="28" t="n">
        <f aca="false">IF(C40=0,0,E40/C40)</f>
        <v>0.36</v>
      </c>
      <c r="G40" s="29" t="s">
        <v>129</v>
      </c>
    </row>
    <row r="41" customFormat="false" ht="15" hidden="false" customHeight="false" outlineLevel="0" collapsed="false">
      <c r="A41" s="27" t="s">
        <v>208</v>
      </c>
      <c r="B41" s="24" t="s">
        <v>209</v>
      </c>
      <c r="C41" s="14" t="n">
        <v>1000</v>
      </c>
      <c r="D41" s="24" t="s">
        <v>128</v>
      </c>
      <c r="E41" s="23" t="n">
        <v>120</v>
      </c>
      <c r="F41" s="28" t="n">
        <f aca="false">IF(C41=0,0,E41/C41)</f>
        <v>0.12</v>
      </c>
      <c r="G41" s="29" t="s">
        <v>129</v>
      </c>
    </row>
    <row r="42" customFormat="false" ht="15" hidden="false" customHeight="false" outlineLevel="0" collapsed="false">
      <c r="A42" s="27" t="s">
        <v>210</v>
      </c>
      <c r="B42" s="24" t="s">
        <v>211</v>
      </c>
      <c r="C42" s="14" t="n">
        <v>1000</v>
      </c>
      <c r="D42" s="24" t="s">
        <v>128</v>
      </c>
      <c r="E42" s="23" t="n">
        <v>400</v>
      </c>
      <c r="F42" s="28" t="n">
        <f aca="false">IF(C42=0,0,E42/C42)</f>
        <v>0.4</v>
      </c>
      <c r="G42" s="29" t="s">
        <v>129</v>
      </c>
    </row>
    <row r="43" customFormat="false" ht="15" hidden="false" customHeight="false" outlineLevel="0" collapsed="false">
      <c r="A43" s="27" t="s">
        <v>212</v>
      </c>
      <c r="B43" s="24" t="s">
        <v>213</v>
      </c>
      <c r="C43" s="14" t="n">
        <v>1000</v>
      </c>
      <c r="D43" s="24" t="s">
        <v>150</v>
      </c>
      <c r="E43" s="23" t="n">
        <v>120</v>
      </c>
      <c r="F43" s="28" t="n">
        <f aca="false">IF(C43=0,0,E43/C43)</f>
        <v>0.12</v>
      </c>
      <c r="G43" s="29" t="s">
        <v>129</v>
      </c>
    </row>
    <row r="44" customFormat="false" ht="15" hidden="false" customHeight="false" outlineLevel="0" collapsed="false">
      <c r="A44" s="27" t="s">
        <v>214</v>
      </c>
      <c r="B44" s="24" t="s">
        <v>215</v>
      </c>
      <c r="C44" s="14" t="n">
        <v>1000</v>
      </c>
      <c r="D44" s="24" t="s">
        <v>150</v>
      </c>
      <c r="E44" s="23" t="n">
        <v>160</v>
      </c>
      <c r="F44" s="28" t="n">
        <f aca="false">IF(C44=0,0,E44/C44)</f>
        <v>0.16</v>
      </c>
      <c r="G44" s="29" t="s">
        <v>129</v>
      </c>
    </row>
    <row r="45" customFormat="false" ht="15" hidden="false" customHeight="false" outlineLevel="0" collapsed="false">
      <c r="A45" s="27" t="s">
        <v>216</v>
      </c>
      <c r="B45" s="24" t="s">
        <v>217</v>
      </c>
      <c r="C45" s="14" t="n">
        <v>100</v>
      </c>
      <c r="D45" s="24" t="s">
        <v>128</v>
      </c>
      <c r="E45" s="23" t="n">
        <v>600</v>
      </c>
      <c r="F45" s="28" t="n">
        <f aca="false">IF(C45=0,0,E45/C45)</f>
        <v>6</v>
      </c>
      <c r="G45" s="29" t="s">
        <v>129</v>
      </c>
    </row>
    <row r="46" customFormat="false" ht="15" hidden="false" customHeight="false" outlineLevel="0" collapsed="false">
      <c r="A46" s="27" t="s">
        <v>218</v>
      </c>
      <c r="B46" s="24" t="s">
        <v>219</v>
      </c>
      <c r="C46" s="14" t="n">
        <v>100</v>
      </c>
      <c r="D46" s="24" t="s">
        <v>128</v>
      </c>
      <c r="E46" s="23" t="n">
        <v>150</v>
      </c>
      <c r="F46" s="28" t="n">
        <f aca="false">IF(C46=0,0,E46/C46)</f>
        <v>1.5</v>
      </c>
      <c r="G46" s="29" t="s">
        <v>129</v>
      </c>
    </row>
    <row r="47" customFormat="false" ht="15" hidden="false" customHeight="false" outlineLevel="0" collapsed="false">
      <c r="A47" s="27" t="s">
        <v>220</v>
      </c>
      <c r="B47" s="24" t="s">
        <v>221</v>
      </c>
      <c r="C47" s="14" t="n">
        <v>100</v>
      </c>
      <c r="D47" s="24" t="s">
        <v>128</v>
      </c>
      <c r="E47" s="23" t="n">
        <v>60</v>
      </c>
      <c r="F47" s="28" t="n">
        <f aca="false">IF(C47=0,0,E47/C47)</f>
        <v>0.6</v>
      </c>
      <c r="G47" s="29" t="s">
        <v>129</v>
      </c>
    </row>
    <row r="48" customFormat="false" ht="15" hidden="false" customHeight="false" outlineLevel="0" collapsed="false">
      <c r="A48" s="27" t="s">
        <v>222</v>
      </c>
      <c r="B48" s="24" t="s">
        <v>223</v>
      </c>
      <c r="C48" s="14" t="n">
        <v>100</v>
      </c>
      <c r="D48" s="24" t="s">
        <v>128</v>
      </c>
      <c r="E48" s="23" t="n">
        <v>35</v>
      </c>
      <c r="F48" s="28" t="n">
        <f aca="false">IF(C48=0,0,E48/C48)</f>
        <v>0.35</v>
      </c>
      <c r="G48" s="29" t="s">
        <v>129</v>
      </c>
    </row>
    <row r="49" customFormat="false" ht="15" hidden="false" customHeight="false" outlineLevel="0" collapsed="false">
      <c r="A49" s="27" t="s">
        <v>224</v>
      </c>
      <c r="B49" s="24" t="s">
        <v>225</v>
      </c>
      <c r="C49" s="14" t="n">
        <v>100</v>
      </c>
      <c r="D49" s="24" t="s">
        <v>128</v>
      </c>
      <c r="E49" s="23" t="n">
        <v>70</v>
      </c>
      <c r="F49" s="28" t="n">
        <f aca="false">IF(C49=0,0,E49/C49)</f>
        <v>0.7</v>
      </c>
      <c r="G49" s="29" t="s">
        <v>129</v>
      </c>
    </row>
    <row r="50" customFormat="false" ht="15" hidden="false" customHeight="false" outlineLevel="0" collapsed="false">
      <c r="A50" s="27" t="s">
        <v>226</v>
      </c>
      <c r="B50" s="24" t="s">
        <v>227</v>
      </c>
      <c r="C50" s="14" t="n">
        <v>100</v>
      </c>
      <c r="D50" s="24" t="s">
        <v>128</v>
      </c>
      <c r="E50" s="23" t="n">
        <v>45</v>
      </c>
      <c r="F50" s="28" t="n">
        <f aca="false">IF(C50=0,0,E50/C50)</f>
        <v>0.45</v>
      </c>
      <c r="G50" s="29" t="s">
        <v>129</v>
      </c>
    </row>
    <row r="51" customFormat="false" ht="15" hidden="false" customHeight="false" outlineLevel="0" collapsed="false">
      <c r="A51" s="27" t="s">
        <v>228</v>
      </c>
      <c r="B51" s="24" t="s">
        <v>229</v>
      </c>
      <c r="C51" s="14" t="n">
        <v>100</v>
      </c>
      <c r="D51" s="24" t="s">
        <v>128</v>
      </c>
      <c r="E51" s="23" t="n">
        <v>70</v>
      </c>
      <c r="F51" s="28" t="n">
        <f aca="false">IF(C51=0,0,E51/C51)</f>
        <v>0.7</v>
      </c>
      <c r="G51" s="29" t="s">
        <v>129</v>
      </c>
    </row>
    <row r="52" customFormat="false" ht="15" hidden="false" customHeight="false" outlineLevel="0" collapsed="false">
      <c r="A52" s="27" t="s">
        <v>230</v>
      </c>
      <c r="B52" s="24" t="s">
        <v>231</v>
      </c>
      <c r="C52" s="14" t="n">
        <v>50</v>
      </c>
      <c r="D52" s="24" t="s">
        <v>128</v>
      </c>
      <c r="E52" s="23" t="n">
        <v>90</v>
      </c>
      <c r="F52" s="28" t="n">
        <f aca="false">IF(C52=0,0,E52/C52)</f>
        <v>1.8</v>
      </c>
      <c r="G52" s="29" t="s">
        <v>129</v>
      </c>
    </row>
    <row r="53" customFormat="false" ht="15" hidden="false" customHeight="false" outlineLevel="0" collapsed="false">
      <c r="A53" s="27" t="s">
        <v>232</v>
      </c>
      <c r="B53" s="24" t="s">
        <v>233</v>
      </c>
      <c r="C53" s="14" t="n">
        <v>100</v>
      </c>
      <c r="D53" s="24" t="s">
        <v>128</v>
      </c>
      <c r="E53" s="23" t="n">
        <v>35</v>
      </c>
      <c r="F53" s="28" t="n">
        <f aca="false">IF(C53=0,0,E53/C53)</f>
        <v>0.35</v>
      </c>
      <c r="G53" s="29" t="s">
        <v>129</v>
      </c>
    </row>
    <row r="54" customFormat="false" ht="15" hidden="false" customHeight="false" outlineLevel="0" collapsed="false">
      <c r="A54" s="27" t="s">
        <v>234</v>
      </c>
      <c r="B54" s="24" t="s">
        <v>235</v>
      </c>
      <c r="C54" s="14" t="n">
        <v>75</v>
      </c>
      <c r="D54" s="24" t="s">
        <v>128</v>
      </c>
      <c r="E54" s="23" t="n">
        <v>120</v>
      </c>
      <c r="F54" s="28" t="n">
        <f aca="false">IF(C54=0,0,E54/C54)</f>
        <v>1.6</v>
      </c>
      <c r="G54" s="29" t="s">
        <v>129</v>
      </c>
    </row>
    <row r="55" customFormat="false" ht="15" hidden="false" customHeight="false" outlineLevel="0" collapsed="false">
      <c r="A55" s="27" t="s">
        <v>236</v>
      </c>
      <c r="B55" s="24" t="s">
        <v>237</v>
      </c>
      <c r="C55" s="14" t="n">
        <v>100</v>
      </c>
      <c r="D55" s="24" t="s">
        <v>128</v>
      </c>
      <c r="E55" s="23" t="n">
        <v>60</v>
      </c>
      <c r="F55" s="28" t="n">
        <f aca="false">IF(C55=0,0,E55/C55)</f>
        <v>0.6</v>
      </c>
      <c r="G55" s="29" t="s">
        <v>129</v>
      </c>
    </row>
    <row r="56" customFormat="false" ht="15" hidden="false" customHeight="false" outlineLevel="0" collapsed="false">
      <c r="A56" s="27" t="s">
        <v>238</v>
      </c>
      <c r="B56" s="24" t="s">
        <v>239</v>
      </c>
      <c r="C56" s="14" t="n">
        <v>100</v>
      </c>
      <c r="D56" s="24" t="s">
        <v>128</v>
      </c>
      <c r="E56" s="23" t="n">
        <v>50</v>
      </c>
      <c r="F56" s="28" t="n">
        <f aca="false">IF(C56=0,0,E56/C56)</f>
        <v>0.5</v>
      </c>
      <c r="G56" s="29" t="s">
        <v>129</v>
      </c>
    </row>
    <row r="57" customFormat="false" ht="15" hidden="false" customHeight="false" outlineLevel="0" collapsed="false">
      <c r="A57" s="27" t="s">
        <v>240</v>
      </c>
      <c r="B57" s="24" t="s">
        <v>241</v>
      </c>
      <c r="C57" s="14" t="n">
        <v>100</v>
      </c>
      <c r="D57" s="24" t="s">
        <v>128</v>
      </c>
      <c r="E57" s="23" t="n">
        <v>35</v>
      </c>
      <c r="F57" s="28" t="n">
        <f aca="false">IF(C57=0,0,E57/C57)</f>
        <v>0.35</v>
      </c>
      <c r="G57" s="29" t="s">
        <v>129</v>
      </c>
    </row>
    <row r="58" customFormat="false" ht="15" hidden="false" customHeight="false" outlineLevel="0" collapsed="false">
      <c r="A58" s="27" t="s">
        <v>242</v>
      </c>
      <c r="B58" s="24" t="s">
        <v>243</v>
      </c>
      <c r="C58" s="14" t="n">
        <v>100</v>
      </c>
      <c r="D58" s="24" t="s">
        <v>128</v>
      </c>
      <c r="E58" s="23" t="n">
        <v>50</v>
      </c>
      <c r="F58" s="28" t="n">
        <f aca="false">IF(C58=0,0,E58/C58)</f>
        <v>0.5</v>
      </c>
      <c r="G58" s="29" t="s">
        <v>129</v>
      </c>
    </row>
    <row r="59" customFormat="false" ht="15" hidden="false" customHeight="false" outlineLevel="0" collapsed="false">
      <c r="A59" s="27" t="s">
        <v>244</v>
      </c>
      <c r="B59" s="24" t="s">
        <v>245</v>
      </c>
      <c r="C59" s="14" t="n">
        <v>100</v>
      </c>
      <c r="D59" s="24" t="s">
        <v>128</v>
      </c>
      <c r="E59" s="23" t="n">
        <v>15</v>
      </c>
      <c r="F59" s="28" t="n">
        <f aca="false">IF(C59=0,0,E59/C59)</f>
        <v>0.15</v>
      </c>
      <c r="G59" s="29" t="s">
        <v>129</v>
      </c>
    </row>
    <row r="60" customFormat="false" ht="15" hidden="false" customHeight="false" outlineLevel="0" collapsed="false">
      <c r="A60" s="27" t="s">
        <v>246</v>
      </c>
      <c r="B60" s="24" t="s">
        <v>247</v>
      </c>
      <c r="C60" s="14" t="n">
        <v>1000</v>
      </c>
      <c r="D60" s="24" t="s">
        <v>128</v>
      </c>
      <c r="E60" s="23" t="n">
        <v>110</v>
      </c>
      <c r="F60" s="28" t="n">
        <f aca="false">IF(C60=0,0,E60/C60)</f>
        <v>0.11</v>
      </c>
      <c r="G60" s="29" t="s">
        <v>129</v>
      </c>
    </row>
    <row r="61" customFormat="false" ht="15" hidden="false" customHeight="false" outlineLevel="0" collapsed="false">
      <c r="A61" s="27" t="s">
        <v>248</v>
      </c>
      <c r="B61" s="24" t="s">
        <v>249</v>
      </c>
      <c r="C61" s="14" t="n">
        <v>1000</v>
      </c>
      <c r="D61" s="24" t="s">
        <v>128</v>
      </c>
      <c r="E61" s="23" t="n">
        <v>180</v>
      </c>
      <c r="F61" s="28" t="n">
        <f aca="false">IF(C61=0,0,E61/C61)</f>
        <v>0.18</v>
      </c>
      <c r="G61" s="29" t="s">
        <v>129</v>
      </c>
    </row>
    <row r="62" customFormat="false" ht="15" hidden="false" customHeight="false" outlineLevel="0" collapsed="false">
      <c r="A62" s="27" t="s">
        <v>250</v>
      </c>
      <c r="B62" s="24" t="s">
        <v>251</v>
      </c>
      <c r="C62" s="14" t="n">
        <v>1000</v>
      </c>
      <c r="D62" s="24" t="s">
        <v>150</v>
      </c>
      <c r="E62" s="23" t="n">
        <v>80</v>
      </c>
      <c r="F62" s="28" t="n">
        <f aca="false">IF(C62=0,0,E62/C62)</f>
        <v>0.08</v>
      </c>
      <c r="G62" s="29" t="s">
        <v>129</v>
      </c>
    </row>
    <row r="63" customFormat="false" ht="15" hidden="false" customHeight="false" outlineLevel="0" collapsed="false">
      <c r="A63" s="27" t="s">
        <v>252</v>
      </c>
      <c r="B63" s="24" t="s">
        <v>253</v>
      </c>
      <c r="C63" s="14" t="n">
        <v>1000</v>
      </c>
      <c r="D63" s="24" t="s">
        <v>150</v>
      </c>
      <c r="E63" s="23" t="n">
        <v>50</v>
      </c>
      <c r="F63" s="28" t="n">
        <f aca="false">IF(C63=0,0,E63/C63)</f>
        <v>0.05</v>
      </c>
      <c r="G63" s="29" t="s">
        <v>129</v>
      </c>
    </row>
    <row r="64" customFormat="false" ht="15" hidden="false" customHeight="false" outlineLevel="0" collapsed="false">
      <c r="A64" s="27" t="s">
        <v>254</v>
      </c>
      <c r="B64" s="24" t="s">
        <v>255</v>
      </c>
      <c r="C64" s="14" t="n">
        <v>1000</v>
      </c>
      <c r="D64" s="24" t="s">
        <v>150</v>
      </c>
      <c r="E64" s="23" t="n">
        <v>60</v>
      </c>
      <c r="F64" s="28" t="n">
        <f aca="false">IF(C64=0,0,E64/C64)</f>
        <v>0.06</v>
      </c>
      <c r="G64" s="29" t="s">
        <v>129</v>
      </c>
    </row>
    <row r="65" customFormat="false" ht="15" hidden="false" customHeight="false" outlineLevel="0" collapsed="false">
      <c r="A65" s="27" t="s">
        <v>256</v>
      </c>
      <c r="B65" s="24" t="s">
        <v>257</v>
      </c>
      <c r="C65" s="14" t="n">
        <v>1000</v>
      </c>
      <c r="D65" s="24" t="s">
        <v>150</v>
      </c>
      <c r="E65" s="23" t="n">
        <v>50</v>
      </c>
      <c r="F65" s="28" t="n">
        <f aca="false">IF(C65=0,0,E65/C65)</f>
        <v>0.05</v>
      </c>
      <c r="G65" s="29" t="s">
        <v>129</v>
      </c>
    </row>
    <row r="66" customFormat="false" ht="15" hidden="false" customHeight="false" outlineLevel="0" collapsed="false">
      <c r="A66" s="27" t="s">
        <v>258</v>
      </c>
      <c r="B66" s="24" t="s">
        <v>259</v>
      </c>
      <c r="C66" s="14" t="n">
        <v>1000</v>
      </c>
      <c r="D66" s="24" t="s">
        <v>150</v>
      </c>
      <c r="E66" s="23" t="n">
        <v>40</v>
      </c>
      <c r="F66" s="28" t="n">
        <f aca="false">IF(C66=0,0,E66/C66)</f>
        <v>0.04</v>
      </c>
      <c r="G66" s="29" t="s">
        <v>129</v>
      </c>
    </row>
    <row r="67" customFormat="false" ht="15" hidden="false" customHeight="false" outlineLevel="0" collapsed="false">
      <c r="A67" s="27" t="s">
        <v>260</v>
      </c>
      <c r="B67" s="24" t="s">
        <v>261</v>
      </c>
      <c r="C67" s="14" t="n">
        <v>1</v>
      </c>
      <c r="D67" s="24" t="s">
        <v>171</v>
      </c>
      <c r="E67" s="23" t="n">
        <v>4</v>
      </c>
      <c r="F67" s="28" t="n">
        <f aca="false">IF(C67=0,0,E67/C67)</f>
        <v>4</v>
      </c>
      <c r="G67" s="29" t="s">
        <v>129</v>
      </c>
    </row>
    <row r="68" customFormat="false" ht="15" hidden="false" customHeight="false" outlineLevel="0" collapsed="false">
      <c r="A68" s="27" t="s">
        <v>262</v>
      </c>
      <c r="B68" s="24" t="s">
        <v>263</v>
      </c>
      <c r="C68" s="14" t="n">
        <v>1000</v>
      </c>
      <c r="D68" s="24" t="s">
        <v>150</v>
      </c>
      <c r="E68" s="23" t="n">
        <v>40</v>
      </c>
      <c r="F68" s="28" t="n">
        <f aca="false">IF(C68=0,0,E68/C68)</f>
        <v>0.04</v>
      </c>
      <c r="G68" s="29" t="s">
        <v>129</v>
      </c>
    </row>
    <row r="69" customFormat="false" ht="15" hidden="false" customHeight="false" outlineLevel="0" collapsed="false">
      <c r="A69" s="27" t="s">
        <v>264</v>
      </c>
      <c r="B69" s="24" t="s">
        <v>265</v>
      </c>
      <c r="C69" s="14" t="n">
        <v>1</v>
      </c>
      <c r="D69" s="24" t="s">
        <v>171</v>
      </c>
      <c r="E69" s="23" t="n">
        <v>4</v>
      </c>
      <c r="F69" s="28" t="n">
        <f aca="false">IF(C69=0,0,E69/C69)</f>
        <v>4</v>
      </c>
      <c r="G69" s="29" t="s">
        <v>129</v>
      </c>
    </row>
    <row r="70" customFormat="false" ht="15" hidden="false" customHeight="false" outlineLevel="0" collapsed="false">
      <c r="A70" s="27" t="s">
        <v>266</v>
      </c>
      <c r="B70" s="24" t="s">
        <v>267</v>
      </c>
      <c r="C70" s="14" t="n">
        <v>100</v>
      </c>
      <c r="D70" s="24" t="s">
        <v>150</v>
      </c>
      <c r="E70" s="23" t="n">
        <v>250</v>
      </c>
      <c r="F70" s="28" t="n">
        <f aca="false">IF(C70=0,0,E70/C70)</f>
        <v>2.5</v>
      </c>
      <c r="G70" s="29" t="s">
        <v>129</v>
      </c>
    </row>
    <row r="71" customFormat="false" ht="15" hidden="false" customHeight="false" outlineLevel="0" collapsed="false">
      <c r="A71" s="27" t="s">
        <v>268</v>
      </c>
      <c r="B71" s="24" t="s">
        <v>269</v>
      </c>
      <c r="C71" s="14" t="n">
        <v>1000</v>
      </c>
      <c r="D71" s="24" t="s">
        <v>150</v>
      </c>
      <c r="E71" s="23" t="n">
        <v>120</v>
      </c>
      <c r="F71" s="28" t="n">
        <f aca="false">IF(C71=0,0,E71/C71)</f>
        <v>0.12</v>
      </c>
      <c r="G71" s="29" t="s">
        <v>129</v>
      </c>
    </row>
    <row r="72" customFormat="false" ht="15" hidden="false" customHeight="false" outlineLevel="0" collapsed="false">
      <c r="A72" s="27" t="s">
        <v>270</v>
      </c>
      <c r="B72" s="24" t="s">
        <v>271</v>
      </c>
      <c r="C72" s="14" t="n">
        <v>1000</v>
      </c>
      <c r="D72" s="24" t="s">
        <v>150</v>
      </c>
      <c r="E72" s="23" t="n">
        <v>50</v>
      </c>
      <c r="F72" s="28" t="n">
        <f aca="false">IF(C72=0,0,E72/C72)</f>
        <v>0.05</v>
      </c>
      <c r="G72" s="29" t="s">
        <v>129</v>
      </c>
    </row>
    <row r="73" customFormat="false" ht="15" hidden="false" customHeight="false" outlineLevel="0" collapsed="false">
      <c r="A73" s="27" t="s">
        <v>272</v>
      </c>
      <c r="B73" s="24" t="s">
        <v>273</v>
      </c>
      <c r="C73" s="14" t="n">
        <v>1000</v>
      </c>
      <c r="D73" s="24" t="s">
        <v>150</v>
      </c>
      <c r="E73" s="23" t="n">
        <v>60</v>
      </c>
      <c r="F73" s="28" t="n">
        <f aca="false">IF(C73=0,0,E73/C73)</f>
        <v>0.06</v>
      </c>
      <c r="G73" s="29" t="s">
        <v>129</v>
      </c>
    </row>
    <row r="74" customFormat="false" ht="15" hidden="false" customHeight="false" outlineLevel="0" collapsed="false">
      <c r="A74" s="27" t="s">
        <v>274</v>
      </c>
      <c r="B74" s="24" t="s">
        <v>275</v>
      </c>
      <c r="C74" s="14" t="n">
        <v>1000</v>
      </c>
      <c r="D74" s="24" t="s">
        <v>150</v>
      </c>
      <c r="E74" s="23" t="n">
        <v>40</v>
      </c>
      <c r="F74" s="28" t="n">
        <f aca="false">IF(C74=0,0,E74/C74)</f>
        <v>0.04</v>
      </c>
      <c r="G74" s="29" t="s">
        <v>129</v>
      </c>
    </row>
    <row r="75" customFormat="false" ht="15" hidden="false" customHeight="false" outlineLevel="0" collapsed="false">
      <c r="A75" s="27" t="s">
        <v>276</v>
      </c>
      <c r="B75" s="24" t="s">
        <v>277</v>
      </c>
      <c r="C75" s="14" t="n">
        <v>1000</v>
      </c>
      <c r="D75" s="24" t="s">
        <v>150</v>
      </c>
      <c r="E75" s="23" t="n">
        <v>60</v>
      </c>
      <c r="F75" s="28" t="n">
        <f aca="false">IF(C75=0,0,E75/C75)</f>
        <v>0.06</v>
      </c>
      <c r="G75" s="29" t="s">
        <v>129</v>
      </c>
    </row>
    <row r="76" customFormat="false" ht="15" hidden="false" customHeight="false" outlineLevel="0" collapsed="false">
      <c r="A76" s="27" t="s">
        <v>278</v>
      </c>
      <c r="B76" s="24" t="s">
        <v>279</v>
      </c>
      <c r="C76" s="14" t="n">
        <v>500</v>
      </c>
      <c r="D76" s="24" t="s">
        <v>150</v>
      </c>
      <c r="E76" s="23" t="n">
        <v>180</v>
      </c>
      <c r="F76" s="28" t="n">
        <f aca="false">IF(C76=0,0,E76/C76)</f>
        <v>0.36</v>
      </c>
      <c r="G76" s="29" t="s">
        <v>129</v>
      </c>
    </row>
    <row r="77" customFormat="false" ht="15" hidden="false" customHeight="false" outlineLevel="0" collapsed="false">
      <c r="A77" s="27" t="s">
        <v>280</v>
      </c>
      <c r="B77" s="24" t="s">
        <v>281</v>
      </c>
      <c r="C77" s="14" t="n">
        <v>1000</v>
      </c>
      <c r="D77" s="24" t="s">
        <v>128</v>
      </c>
      <c r="E77" s="23" t="n">
        <v>450</v>
      </c>
      <c r="F77" s="28" t="n">
        <f aca="false">IF(C77=0,0,E77/C77)</f>
        <v>0.45</v>
      </c>
      <c r="G77" s="29" t="s">
        <v>129</v>
      </c>
    </row>
    <row r="78" customFormat="false" ht="15" hidden="false" customHeight="false" outlineLevel="0" collapsed="false">
      <c r="A78" s="27" t="s">
        <v>282</v>
      </c>
      <c r="B78" s="24" t="s">
        <v>283</v>
      </c>
      <c r="C78" s="14" t="n">
        <v>1000</v>
      </c>
      <c r="D78" s="24" t="s">
        <v>128</v>
      </c>
      <c r="E78" s="23" t="n">
        <v>380</v>
      </c>
      <c r="F78" s="28" t="n">
        <f aca="false">IF(C78=0,0,E78/C78)</f>
        <v>0.38</v>
      </c>
      <c r="G78" s="29" t="s">
        <v>129</v>
      </c>
    </row>
    <row r="79" customFormat="false" ht="15" hidden="false" customHeight="false" outlineLevel="0" collapsed="false">
      <c r="A79" s="27" t="s">
        <v>284</v>
      </c>
      <c r="B79" s="24" t="s">
        <v>285</v>
      </c>
      <c r="C79" s="14" t="n">
        <v>1000</v>
      </c>
      <c r="D79" s="24" t="s">
        <v>128</v>
      </c>
      <c r="E79" s="23" t="n">
        <v>380</v>
      </c>
      <c r="F79" s="28" t="n">
        <f aca="false">IF(C79=0,0,E79/C79)</f>
        <v>0.38</v>
      </c>
      <c r="G79" s="29" t="s">
        <v>129</v>
      </c>
    </row>
    <row r="80" customFormat="false" ht="15" hidden="false" customHeight="false" outlineLevel="0" collapsed="false">
      <c r="A80" s="27" t="s">
        <v>286</v>
      </c>
      <c r="B80" s="24" t="s">
        <v>287</v>
      </c>
      <c r="C80" s="14" t="n">
        <v>1000</v>
      </c>
      <c r="D80" s="24" t="s">
        <v>128</v>
      </c>
      <c r="E80" s="23" t="n">
        <v>400</v>
      </c>
      <c r="F80" s="28" t="n">
        <f aca="false">IF(C80=0,0,E80/C80)</f>
        <v>0.4</v>
      </c>
      <c r="G80" s="29" t="s">
        <v>129</v>
      </c>
    </row>
    <row r="81" customFormat="false" ht="15" hidden="false" customHeight="false" outlineLevel="0" collapsed="false">
      <c r="A81" s="27" t="s">
        <v>288</v>
      </c>
      <c r="B81" s="24" t="s">
        <v>289</v>
      </c>
      <c r="C81" s="14" t="n">
        <v>1000</v>
      </c>
      <c r="D81" s="24" t="s">
        <v>128</v>
      </c>
      <c r="E81" s="23" t="n">
        <v>700</v>
      </c>
      <c r="F81" s="28" t="n">
        <f aca="false">IF(C81=0,0,E81/C81)</f>
        <v>0.7</v>
      </c>
      <c r="G81" s="29" t="s">
        <v>129</v>
      </c>
    </row>
    <row r="82" customFormat="false" ht="15" hidden="false" customHeight="false" outlineLevel="0" collapsed="false">
      <c r="A82" s="27" t="s">
        <v>290</v>
      </c>
      <c r="B82" s="24" t="s">
        <v>291</v>
      </c>
      <c r="C82" s="14" t="n">
        <v>1000</v>
      </c>
      <c r="D82" s="24" t="s">
        <v>128</v>
      </c>
      <c r="E82" s="23" t="n">
        <v>260</v>
      </c>
      <c r="F82" s="28" t="n">
        <f aca="false">IF(C82=0,0,E82/C82)</f>
        <v>0.26</v>
      </c>
      <c r="G82" s="29" t="s">
        <v>129</v>
      </c>
    </row>
    <row r="83" customFormat="false" ht="15" hidden="false" customHeight="false" outlineLevel="0" collapsed="false">
      <c r="A83" s="27" t="s">
        <v>292</v>
      </c>
      <c r="B83" s="24" t="s">
        <v>293</v>
      </c>
      <c r="C83" s="14" t="n">
        <v>1000</v>
      </c>
      <c r="D83" s="24" t="s">
        <v>128</v>
      </c>
      <c r="E83" s="23" t="n">
        <v>650</v>
      </c>
      <c r="F83" s="28" t="n">
        <f aca="false">IF(C83=0,0,E83/C83)</f>
        <v>0.65</v>
      </c>
      <c r="G83" s="29" t="s">
        <v>129</v>
      </c>
    </row>
    <row r="84" customFormat="false" ht="15" hidden="false" customHeight="false" outlineLevel="0" collapsed="false">
      <c r="A84" s="27" t="s">
        <v>294</v>
      </c>
      <c r="B84" s="24" t="s">
        <v>295</v>
      </c>
      <c r="C84" s="14" t="n">
        <v>1000</v>
      </c>
      <c r="D84" s="24" t="s">
        <v>128</v>
      </c>
      <c r="E84" s="23" t="n">
        <v>400</v>
      </c>
      <c r="F84" s="28" t="n">
        <f aca="false">IF(C84=0,0,E84/C84)</f>
        <v>0.4</v>
      </c>
      <c r="G84" s="29" t="s">
        <v>129</v>
      </c>
    </row>
    <row r="85" customFormat="false" ht="15" hidden="false" customHeight="false" outlineLevel="0" collapsed="false">
      <c r="A85" s="27" t="s">
        <v>296</v>
      </c>
      <c r="B85" s="24" t="s">
        <v>297</v>
      </c>
      <c r="C85" s="14" t="n">
        <v>1000</v>
      </c>
      <c r="D85" s="24" t="s">
        <v>128</v>
      </c>
      <c r="E85" s="23" t="n">
        <v>450</v>
      </c>
      <c r="F85" s="28" t="n">
        <f aca="false">IF(C85=0,0,E85/C85)</f>
        <v>0.45</v>
      </c>
      <c r="G85" s="29" t="s">
        <v>129</v>
      </c>
    </row>
    <row r="86" customFormat="false" ht="15" hidden="false" customHeight="false" outlineLevel="0" collapsed="false">
      <c r="A86" s="27" t="s">
        <v>298</v>
      </c>
      <c r="B86" s="24" t="s">
        <v>299</v>
      </c>
      <c r="C86" s="14" t="n">
        <v>1000</v>
      </c>
      <c r="D86" s="24" t="s">
        <v>128</v>
      </c>
      <c r="E86" s="23" t="n">
        <v>700</v>
      </c>
      <c r="F86" s="28" t="n">
        <f aca="false">IF(C86=0,0,E86/C86)</f>
        <v>0.7</v>
      </c>
      <c r="G86" s="29" t="s">
        <v>129</v>
      </c>
    </row>
    <row r="87" customFormat="false" ht="15" hidden="false" customHeight="false" outlineLevel="0" collapsed="false">
      <c r="A87" s="27" t="s">
        <v>300</v>
      </c>
      <c r="B87" s="24" t="s">
        <v>301</v>
      </c>
      <c r="C87" s="14" t="n">
        <v>1000</v>
      </c>
      <c r="D87" s="24" t="s">
        <v>128</v>
      </c>
      <c r="E87" s="23" t="n">
        <v>1400</v>
      </c>
      <c r="F87" s="28" t="n">
        <f aca="false">IF(C87=0,0,E87/C87)</f>
        <v>1.4</v>
      </c>
      <c r="G87" s="29" t="s">
        <v>129</v>
      </c>
    </row>
    <row r="88" customFormat="false" ht="15" hidden="false" customHeight="false" outlineLevel="0" collapsed="false">
      <c r="A88" s="27" t="s">
        <v>302</v>
      </c>
      <c r="B88" s="24" t="s">
        <v>303</v>
      </c>
      <c r="C88" s="14" t="n">
        <v>1000</v>
      </c>
      <c r="D88" s="24" t="s">
        <v>128</v>
      </c>
      <c r="E88" s="23" t="n">
        <v>180</v>
      </c>
      <c r="F88" s="28" t="n">
        <f aca="false">IF(C88=0,0,E88/C88)</f>
        <v>0.18</v>
      </c>
      <c r="G88" s="29" t="s">
        <v>129</v>
      </c>
    </row>
    <row r="89" customFormat="false" ht="15" hidden="false" customHeight="false" outlineLevel="0" collapsed="false">
      <c r="A89" s="27" t="s">
        <v>304</v>
      </c>
      <c r="B89" s="24" t="s">
        <v>305</v>
      </c>
      <c r="C89" s="14" t="n">
        <v>1000</v>
      </c>
      <c r="D89" s="24" t="s">
        <v>128</v>
      </c>
      <c r="E89" s="23" t="n">
        <v>150</v>
      </c>
      <c r="F89" s="28" t="n">
        <f aca="false">IF(C89=0,0,E89/C89)</f>
        <v>0.15</v>
      </c>
      <c r="G89" s="29" t="s">
        <v>129</v>
      </c>
    </row>
    <row r="90" customFormat="false" ht="15" hidden="false" customHeight="false" outlineLevel="0" collapsed="false">
      <c r="A90" s="27" t="s">
        <v>306</v>
      </c>
      <c r="B90" s="24" t="s">
        <v>307</v>
      </c>
      <c r="C90" s="14" t="n">
        <v>100</v>
      </c>
      <c r="D90" s="24" t="s">
        <v>128</v>
      </c>
      <c r="E90" s="23" t="n">
        <v>180</v>
      </c>
      <c r="F90" s="28" t="n">
        <f aca="false">IF(C90=0,0,E90/C90)</f>
        <v>1.8</v>
      </c>
      <c r="G90" s="29" t="s">
        <v>129</v>
      </c>
    </row>
    <row r="91" customFormat="false" ht="15" hidden="false" customHeight="false" outlineLevel="0" collapsed="false">
      <c r="A91" s="27" t="s">
        <v>308</v>
      </c>
      <c r="B91" s="24" t="s">
        <v>309</v>
      </c>
      <c r="C91" s="14" t="n">
        <v>100</v>
      </c>
      <c r="D91" s="24" t="s">
        <v>128</v>
      </c>
      <c r="E91" s="23" t="n">
        <v>150</v>
      </c>
      <c r="F91" s="28" t="n">
        <f aca="false">IF(C91=0,0,E91/C91)</f>
        <v>1.5</v>
      </c>
      <c r="G91" s="29" t="s">
        <v>129</v>
      </c>
    </row>
    <row r="92" customFormat="false" ht="15" hidden="false" customHeight="false" outlineLevel="0" collapsed="false">
      <c r="A92" s="27" t="s">
        <v>310</v>
      </c>
      <c r="B92" s="24" t="s">
        <v>311</v>
      </c>
      <c r="C92" s="14" t="n">
        <v>100</v>
      </c>
      <c r="D92" s="24" t="s">
        <v>128</v>
      </c>
      <c r="E92" s="23" t="n">
        <v>220</v>
      </c>
      <c r="F92" s="28" t="n">
        <f aca="false">IF(C92=0,0,E92/C92)</f>
        <v>2.2</v>
      </c>
      <c r="G92" s="29" t="s">
        <v>129</v>
      </c>
    </row>
    <row r="93" customFormat="false" ht="15" hidden="false" customHeight="false" outlineLevel="0" collapsed="false">
      <c r="A93" s="27" t="s">
        <v>312</v>
      </c>
      <c r="B93" s="24" t="s">
        <v>313</v>
      </c>
      <c r="C93" s="14" t="n">
        <v>100</v>
      </c>
      <c r="D93" s="24" t="s">
        <v>128</v>
      </c>
      <c r="E93" s="23" t="n">
        <v>200</v>
      </c>
      <c r="F93" s="28" t="n">
        <f aca="false">IF(C93=0,0,E93/C93)</f>
        <v>2</v>
      </c>
      <c r="G93" s="29" t="s">
        <v>129</v>
      </c>
    </row>
    <row r="94" customFormat="false" ht="15" hidden="false" customHeight="false" outlineLevel="0" collapsed="false">
      <c r="A94" s="27" t="s">
        <v>314</v>
      </c>
      <c r="B94" s="24" t="s">
        <v>315</v>
      </c>
      <c r="C94" s="14" t="n">
        <v>100</v>
      </c>
      <c r="D94" s="24" t="s">
        <v>128</v>
      </c>
      <c r="E94" s="23" t="n">
        <v>150</v>
      </c>
      <c r="F94" s="28" t="n">
        <f aca="false">IF(C94=0,0,E94/C94)</f>
        <v>1.5</v>
      </c>
      <c r="G94" s="29" t="s">
        <v>129</v>
      </c>
    </row>
    <row r="95" customFormat="false" ht="15" hidden="false" customHeight="false" outlineLevel="0" collapsed="false">
      <c r="A95" s="27" t="s">
        <v>316</v>
      </c>
      <c r="B95" s="24" t="s">
        <v>317</v>
      </c>
      <c r="C95" s="14" t="n">
        <v>100</v>
      </c>
      <c r="D95" s="24" t="s">
        <v>128</v>
      </c>
      <c r="E95" s="23" t="n">
        <v>150</v>
      </c>
      <c r="F95" s="28" t="n">
        <f aca="false">IF(C95=0,0,E95/C95)</f>
        <v>1.5</v>
      </c>
      <c r="G95" s="29" t="s">
        <v>129</v>
      </c>
    </row>
    <row r="96" customFormat="false" ht="15" hidden="false" customHeight="false" outlineLevel="0" collapsed="false">
      <c r="A96" s="27" t="s">
        <v>318</v>
      </c>
      <c r="B96" s="24" t="s">
        <v>319</v>
      </c>
      <c r="C96" s="14" t="n">
        <v>50</v>
      </c>
      <c r="D96" s="24" t="s">
        <v>128</v>
      </c>
      <c r="E96" s="23" t="n">
        <v>120</v>
      </c>
      <c r="F96" s="28" t="n">
        <f aca="false">IF(C96=0,0,E96/C96)</f>
        <v>2.4</v>
      </c>
      <c r="G96" s="29" t="s">
        <v>129</v>
      </c>
    </row>
    <row r="97" customFormat="false" ht="15" hidden="false" customHeight="false" outlineLevel="0" collapsed="false">
      <c r="A97" s="27" t="s">
        <v>320</v>
      </c>
      <c r="B97" s="24" t="s">
        <v>321</v>
      </c>
      <c r="C97" s="14" t="n">
        <v>100</v>
      </c>
      <c r="D97" s="24" t="s">
        <v>128</v>
      </c>
      <c r="E97" s="23" t="n">
        <v>60</v>
      </c>
      <c r="F97" s="28" t="n">
        <f aca="false">IF(C97=0,0,E97/C97)</f>
        <v>0.6</v>
      </c>
      <c r="G97" s="29" t="s">
        <v>129</v>
      </c>
    </row>
    <row r="98" customFormat="false" ht="15" hidden="false" customHeight="false" outlineLevel="0" collapsed="false">
      <c r="A98" s="27" t="s">
        <v>322</v>
      </c>
      <c r="B98" s="24" t="s">
        <v>323</v>
      </c>
      <c r="C98" s="14" t="n">
        <v>100</v>
      </c>
      <c r="D98" s="24" t="s">
        <v>128</v>
      </c>
      <c r="E98" s="23" t="n">
        <v>90</v>
      </c>
      <c r="F98" s="28" t="n">
        <f aca="false">IF(C98=0,0,E98/C98)</f>
        <v>0.9</v>
      </c>
      <c r="G98" s="29" t="s">
        <v>129</v>
      </c>
    </row>
    <row r="99" customFormat="false" ht="15" hidden="false" customHeight="false" outlineLevel="0" collapsed="false">
      <c r="A99" s="27" t="s">
        <v>324</v>
      </c>
      <c r="B99" s="24" t="s">
        <v>325</v>
      </c>
      <c r="C99" s="14" t="n">
        <v>100</v>
      </c>
      <c r="D99" s="24" t="s">
        <v>128</v>
      </c>
      <c r="E99" s="23" t="n">
        <v>80</v>
      </c>
      <c r="F99" s="28" t="n">
        <f aca="false">IF(C99=0,0,E99/C99)</f>
        <v>0.8</v>
      </c>
      <c r="G99" s="29" t="s">
        <v>129</v>
      </c>
    </row>
    <row r="100" customFormat="false" ht="15" hidden="false" customHeight="false" outlineLevel="0" collapsed="false">
      <c r="A100" s="27" t="s">
        <v>326</v>
      </c>
      <c r="B100" s="24" t="s">
        <v>327</v>
      </c>
      <c r="C100" s="14" t="n">
        <v>1000</v>
      </c>
      <c r="D100" s="24" t="s">
        <v>128</v>
      </c>
      <c r="E100" s="23" t="n">
        <v>250</v>
      </c>
      <c r="F100" s="28" t="n">
        <f aca="false">IF(C100=0,0,E100/C100)</f>
        <v>0.25</v>
      </c>
      <c r="G100" s="29" t="s">
        <v>129</v>
      </c>
    </row>
    <row r="101" customFormat="false" ht="15" hidden="false" customHeight="false" outlineLevel="0" collapsed="false">
      <c r="A101" s="27" t="s">
        <v>328</v>
      </c>
      <c r="B101" s="24" t="s">
        <v>329</v>
      </c>
      <c r="C101" s="14" t="n">
        <v>50</v>
      </c>
      <c r="D101" s="24" t="s">
        <v>128</v>
      </c>
      <c r="E101" s="23" t="n">
        <v>120</v>
      </c>
      <c r="F101" s="28" t="n">
        <f aca="false">IF(C101=0,0,E101/C101)</f>
        <v>2.4</v>
      </c>
      <c r="G101" s="29" t="s">
        <v>129</v>
      </c>
    </row>
    <row r="102" customFormat="false" ht="15" hidden="false" customHeight="false" outlineLevel="0" collapsed="false">
      <c r="A102" s="27" t="s">
        <v>330</v>
      </c>
      <c r="B102" s="24" t="s">
        <v>331</v>
      </c>
      <c r="C102" s="14" t="n">
        <v>50</v>
      </c>
      <c r="D102" s="24" t="s">
        <v>128</v>
      </c>
      <c r="E102" s="23" t="n">
        <v>80</v>
      </c>
      <c r="F102" s="28" t="n">
        <f aca="false">IF(C102=0,0,E102/C102)</f>
        <v>1.6</v>
      </c>
      <c r="G102" s="29" t="s">
        <v>129</v>
      </c>
    </row>
    <row r="103" customFormat="false" ht="15" hidden="false" customHeight="false" outlineLevel="0" collapsed="false">
      <c r="A103" s="27" t="s">
        <v>332</v>
      </c>
      <c r="B103" s="24" t="s">
        <v>333</v>
      </c>
      <c r="C103" s="14" t="n">
        <v>1000</v>
      </c>
      <c r="D103" s="24" t="s">
        <v>128</v>
      </c>
      <c r="E103" s="23" t="n">
        <v>350</v>
      </c>
      <c r="F103" s="28" t="n">
        <f aca="false">IF(C103=0,0,E103/C103)</f>
        <v>0.35</v>
      </c>
      <c r="G103" s="29" t="s">
        <v>129</v>
      </c>
    </row>
    <row r="104" customFormat="false" ht="15" hidden="false" customHeight="false" outlineLevel="0" collapsed="false">
      <c r="A104" s="27" t="s">
        <v>334</v>
      </c>
      <c r="B104" s="24" t="s">
        <v>335</v>
      </c>
      <c r="C104" s="14" t="n">
        <v>1000</v>
      </c>
      <c r="D104" s="24" t="s">
        <v>128</v>
      </c>
      <c r="E104" s="23" t="n">
        <v>400</v>
      </c>
      <c r="F104" s="28" t="n">
        <f aca="false">IF(C104=0,0,E104/C104)</f>
        <v>0.4</v>
      </c>
      <c r="G104" s="29" t="s">
        <v>129</v>
      </c>
    </row>
    <row r="105" customFormat="false" ht="15" hidden="false" customHeight="false" outlineLevel="0" collapsed="false">
      <c r="A105" s="27" t="s">
        <v>336</v>
      </c>
      <c r="B105" s="24" t="s">
        <v>337</v>
      </c>
      <c r="C105" s="14" t="n">
        <v>1000</v>
      </c>
      <c r="D105" s="24" t="s">
        <v>128</v>
      </c>
      <c r="E105" s="23" t="n">
        <v>350</v>
      </c>
      <c r="F105" s="28" t="n">
        <f aca="false">IF(C105=0,0,E105/C105)</f>
        <v>0.35</v>
      </c>
      <c r="G105" s="29" t="s">
        <v>129</v>
      </c>
    </row>
    <row r="106" customFormat="false" ht="15" hidden="false" customHeight="false" outlineLevel="0" collapsed="false">
      <c r="A106" s="27" t="s">
        <v>338</v>
      </c>
      <c r="B106" s="24" t="s">
        <v>339</v>
      </c>
      <c r="C106" s="14" t="n">
        <v>1000</v>
      </c>
      <c r="D106" s="24" t="s">
        <v>128</v>
      </c>
      <c r="E106" s="23" t="n">
        <v>350</v>
      </c>
      <c r="F106" s="28" t="n">
        <f aca="false">IF(C106=0,0,E106/C106)</f>
        <v>0.35</v>
      </c>
      <c r="G106" s="29" t="s">
        <v>129</v>
      </c>
    </row>
    <row r="107" customFormat="false" ht="15" hidden="false" customHeight="false" outlineLevel="0" collapsed="false">
      <c r="A107" s="27" t="s">
        <v>340</v>
      </c>
      <c r="B107" s="24" t="s">
        <v>341</v>
      </c>
      <c r="C107" s="14" t="n">
        <v>1000</v>
      </c>
      <c r="D107" s="24" t="s">
        <v>128</v>
      </c>
      <c r="E107" s="23" t="n">
        <v>200</v>
      </c>
      <c r="F107" s="28" t="n">
        <f aca="false">IF(C107=0,0,E107/C107)</f>
        <v>0.2</v>
      </c>
      <c r="G107" s="29" t="s">
        <v>129</v>
      </c>
    </row>
    <row r="108" customFormat="false" ht="15" hidden="false" customHeight="false" outlineLevel="0" collapsed="false">
      <c r="A108" s="27" t="s">
        <v>342</v>
      </c>
      <c r="B108" s="24" t="s">
        <v>343</v>
      </c>
      <c r="C108" s="14" t="n">
        <v>1000</v>
      </c>
      <c r="D108" s="24" t="s">
        <v>128</v>
      </c>
      <c r="E108" s="23" t="n">
        <v>250</v>
      </c>
      <c r="F108" s="28" t="n">
        <f aca="false">IF(C108=0,0,E108/C108)</f>
        <v>0.25</v>
      </c>
      <c r="G108" s="29" t="s">
        <v>129</v>
      </c>
    </row>
    <row r="109" customFormat="false" ht="15" hidden="false" customHeight="false" outlineLevel="0" collapsed="false">
      <c r="A109" s="27" t="s">
        <v>344</v>
      </c>
      <c r="B109" s="24" t="s">
        <v>345</v>
      </c>
      <c r="C109" s="14" t="n">
        <v>1000</v>
      </c>
      <c r="D109" s="24" t="s">
        <v>128</v>
      </c>
      <c r="E109" s="23" t="n">
        <v>200</v>
      </c>
      <c r="F109" s="28" t="n">
        <f aca="false">IF(C109=0,0,E109/C109)</f>
        <v>0.2</v>
      </c>
      <c r="G109" s="29" t="s">
        <v>129</v>
      </c>
    </row>
    <row r="110" customFormat="false" ht="15" hidden="false" customHeight="false" outlineLevel="0" collapsed="false">
      <c r="A110" s="27" t="s">
        <v>346</v>
      </c>
      <c r="B110" s="24" t="s">
        <v>347</v>
      </c>
      <c r="C110" s="14" t="n">
        <v>1000</v>
      </c>
      <c r="D110" s="24" t="s">
        <v>128</v>
      </c>
      <c r="E110" s="23" t="n">
        <v>900</v>
      </c>
      <c r="F110" s="28" t="n">
        <f aca="false">IF(C110=0,0,E110/C110)</f>
        <v>0.9</v>
      </c>
      <c r="G110" s="29" t="s">
        <v>129</v>
      </c>
    </row>
    <row r="111" customFormat="false" ht="15" hidden="false" customHeight="false" outlineLevel="0" collapsed="false">
      <c r="A111" s="27" t="s">
        <v>348</v>
      </c>
      <c r="B111" s="24" t="s">
        <v>349</v>
      </c>
      <c r="C111" s="14" t="n">
        <v>1000</v>
      </c>
      <c r="D111" s="24" t="s">
        <v>128</v>
      </c>
      <c r="E111" s="23" t="n">
        <v>800</v>
      </c>
      <c r="F111" s="28" t="n">
        <f aca="false">IF(C111=0,0,E111/C111)</f>
        <v>0.8</v>
      </c>
      <c r="G111" s="29" t="s">
        <v>129</v>
      </c>
    </row>
    <row r="112" customFormat="false" ht="15" hidden="false" customHeight="false" outlineLevel="0" collapsed="false">
      <c r="A112" s="27" t="s">
        <v>350</v>
      </c>
      <c r="B112" s="24" t="s">
        <v>351</v>
      </c>
      <c r="C112" s="14" t="n">
        <v>1000</v>
      </c>
      <c r="D112" s="24" t="s">
        <v>128</v>
      </c>
      <c r="E112" s="23" t="n">
        <v>450</v>
      </c>
      <c r="F112" s="28" t="n">
        <f aca="false">IF(C112=0,0,E112/C112)</f>
        <v>0.45</v>
      </c>
      <c r="G112" s="29" t="s">
        <v>129</v>
      </c>
    </row>
    <row r="113" customFormat="false" ht="15" hidden="false" customHeight="false" outlineLevel="0" collapsed="false">
      <c r="A113" s="27" t="s">
        <v>352</v>
      </c>
      <c r="B113" s="24" t="s">
        <v>353</v>
      </c>
      <c r="C113" s="14" t="n">
        <v>1000</v>
      </c>
      <c r="D113" s="24" t="s">
        <v>128</v>
      </c>
      <c r="E113" s="23" t="n">
        <v>500</v>
      </c>
      <c r="F113" s="28" t="n">
        <f aca="false">IF(C113=0,0,E113/C113)</f>
        <v>0.5</v>
      </c>
      <c r="G113" s="29" t="s">
        <v>129</v>
      </c>
    </row>
    <row r="114" customFormat="false" ht="15" hidden="false" customHeight="false" outlineLevel="0" collapsed="false">
      <c r="A114" s="27" t="s">
        <v>354</v>
      </c>
      <c r="B114" s="24" t="s">
        <v>355</v>
      </c>
      <c r="C114" s="14" t="n">
        <v>1000</v>
      </c>
      <c r="D114" s="24" t="s">
        <v>128</v>
      </c>
      <c r="E114" s="23" t="n">
        <v>900</v>
      </c>
      <c r="F114" s="28" t="n">
        <f aca="false">IF(C114=0,0,E114/C114)</f>
        <v>0.9</v>
      </c>
      <c r="G114" s="29" t="s">
        <v>129</v>
      </c>
    </row>
    <row r="115" customFormat="false" ht="15" hidden="false" customHeight="false" outlineLevel="0" collapsed="false">
      <c r="A115" s="27" t="s">
        <v>356</v>
      </c>
      <c r="B115" s="24" t="s">
        <v>357</v>
      </c>
      <c r="C115" s="14" t="n">
        <v>1000</v>
      </c>
      <c r="D115" s="24" t="s">
        <v>128</v>
      </c>
      <c r="E115" s="23" t="n">
        <v>600</v>
      </c>
      <c r="F115" s="28" t="n">
        <f aca="false">IF(C115=0,0,E115/C115)</f>
        <v>0.6</v>
      </c>
      <c r="G115" s="29" t="s">
        <v>129</v>
      </c>
    </row>
    <row r="116" customFormat="false" ht="15" hidden="false" customHeight="false" outlineLevel="0" collapsed="false">
      <c r="A116" s="27" t="s">
        <v>358</v>
      </c>
      <c r="B116" s="24" t="s">
        <v>359</v>
      </c>
      <c r="C116" s="14" t="n">
        <v>1000</v>
      </c>
      <c r="D116" s="24" t="s">
        <v>128</v>
      </c>
      <c r="E116" s="23" t="n">
        <v>250</v>
      </c>
      <c r="F116" s="28" t="n">
        <f aca="false">IF(C116=0,0,E116/C116)</f>
        <v>0.25</v>
      </c>
      <c r="G116" s="29" t="s">
        <v>129</v>
      </c>
    </row>
    <row r="117" customFormat="false" ht="15" hidden="false" customHeight="false" outlineLevel="0" collapsed="false">
      <c r="A117" s="27" t="s">
        <v>360</v>
      </c>
      <c r="B117" s="24" t="s">
        <v>361</v>
      </c>
      <c r="C117" s="14" t="n">
        <v>1000</v>
      </c>
      <c r="D117" s="24" t="s">
        <v>128</v>
      </c>
      <c r="E117" s="23" t="n">
        <v>350</v>
      </c>
      <c r="F117" s="28" t="n">
        <f aca="false">IF(C117=0,0,E117/C117)</f>
        <v>0.35</v>
      </c>
      <c r="G117" s="29" t="s">
        <v>129</v>
      </c>
    </row>
    <row r="118" customFormat="false" ht="15" hidden="false" customHeight="false" outlineLevel="0" collapsed="false">
      <c r="A118" s="27" t="s">
        <v>362</v>
      </c>
      <c r="B118" s="24" t="s">
        <v>363</v>
      </c>
      <c r="C118" s="14" t="n">
        <v>1000</v>
      </c>
      <c r="D118" s="24" t="s">
        <v>128</v>
      </c>
      <c r="E118" s="23" t="n">
        <v>300</v>
      </c>
      <c r="F118" s="28" t="n">
        <f aca="false">IF(C118=0,0,E118/C118)</f>
        <v>0.3</v>
      </c>
      <c r="G118" s="29" t="s">
        <v>129</v>
      </c>
    </row>
    <row r="119" customFormat="false" ht="15" hidden="false" customHeight="false" outlineLevel="0" collapsed="false">
      <c r="A119" s="27" t="s">
        <v>364</v>
      </c>
      <c r="B119" s="24" t="s">
        <v>365</v>
      </c>
      <c r="C119" s="14" t="n">
        <v>1000</v>
      </c>
      <c r="D119" s="24" t="s">
        <v>128</v>
      </c>
      <c r="E119" s="23" t="n">
        <v>200</v>
      </c>
      <c r="F119" s="28" t="n">
        <f aca="false">IF(C119=0,0,E119/C119)</f>
        <v>0.2</v>
      </c>
      <c r="G119" s="29" t="s">
        <v>129</v>
      </c>
    </row>
    <row r="120" customFormat="false" ht="15" hidden="false" customHeight="false" outlineLevel="0" collapsed="false">
      <c r="A120" s="27" t="s">
        <v>366</v>
      </c>
      <c r="B120" s="24" t="s">
        <v>367</v>
      </c>
      <c r="C120" s="14" t="n">
        <v>387</v>
      </c>
      <c r="D120" s="24" t="s">
        <v>128</v>
      </c>
      <c r="E120" s="23" t="n">
        <v>32</v>
      </c>
      <c r="F120" s="28" t="n">
        <f aca="false">IF(C120=0,0,E120/C120)</f>
        <v>0.082687338501292</v>
      </c>
      <c r="G120" s="29" t="s">
        <v>129</v>
      </c>
    </row>
    <row r="121" customFormat="false" ht="15" hidden="false" customHeight="false" outlineLevel="0" collapsed="false">
      <c r="A121" s="27" t="s">
        <v>368</v>
      </c>
      <c r="B121" s="24" t="s">
        <v>369</v>
      </c>
      <c r="C121" s="14" t="n">
        <v>360</v>
      </c>
      <c r="D121" s="24" t="s">
        <v>128</v>
      </c>
      <c r="E121" s="23" t="n">
        <v>24</v>
      </c>
      <c r="F121" s="28" t="n">
        <f aca="false">IF(C121=0,0,E121/C121)</f>
        <v>0.0666666666666667</v>
      </c>
      <c r="G121" s="29" t="s">
        <v>129</v>
      </c>
    </row>
    <row r="122" customFormat="false" ht="15" hidden="false" customHeight="false" outlineLevel="0" collapsed="false">
      <c r="A122" s="27" t="s">
        <v>370</v>
      </c>
      <c r="B122" s="24" t="s">
        <v>371</v>
      </c>
      <c r="C122" s="14" t="n">
        <v>1000</v>
      </c>
      <c r="D122" s="24" t="s">
        <v>128</v>
      </c>
      <c r="E122" s="23" t="n">
        <v>90</v>
      </c>
      <c r="F122" s="28" t="n">
        <f aca="false">IF(C122=0,0,E122/C122)</f>
        <v>0.09</v>
      </c>
      <c r="G122" s="29" t="s">
        <v>129</v>
      </c>
    </row>
    <row r="123" customFormat="false" ht="15" hidden="false" customHeight="false" outlineLevel="0" collapsed="false">
      <c r="A123" s="27" t="s">
        <v>372</v>
      </c>
      <c r="B123" s="24" t="s">
        <v>373</v>
      </c>
      <c r="C123" s="14" t="n">
        <v>250</v>
      </c>
      <c r="D123" s="24" t="s">
        <v>150</v>
      </c>
      <c r="E123" s="23" t="n">
        <v>350</v>
      </c>
      <c r="F123" s="28" t="n">
        <f aca="false">IF(C123=0,0,E123/C123)</f>
        <v>1.4</v>
      </c>
      <c r="G123" s="29" t="s">
        <v>129</v>
      </c>
    </row>
    <row r="124" customFormat="false" ht="15" hidden="false" customHeight="false" outlineLevel="0" collapsed="false">
      <c r="A124" s="27" t="s">
        <v>374</v>
      </c>
      <c r="B124" s="24" t="s">
        <v>375</v>
      </c>
      <c r="C124" s="14" t="n">
        <v>250</v>
      </c>
      <c r="D124" s="24" t="s">
        <v>150</v>
      </c>
      <c r="E124" s="23" t="n">
        <v>250</v>
      </c>
      <c r="F124" s="28" t="n">
        <f aca="false">IF(C124=0,0,E124/C124)</f>
        <v>1</v>
      </c>
      <c r="G124" s="29" t="s">
        <v>129</v>
      </c>
    </row>
    <row r="125" customFormat="false" ht="15" hidden="false" customHeight="false" outlineLevel="0" collapsed="false">
      <c r="A125" s="27" t="s">
        <v>376</v>
      </c>
      <c r="B125" s="24" t="s">
        <v>377</v>
      </c>
      <c r="C125" s="14" t="n">
        <v>250</v>
      </c>
      <c r="D125" s="24" t="s">
        <v>150</v>
      </c>
      <c r="E125" s="23" t="n">
        <v>90</v>
      </c>
      <c r="F125" s="28" t="n">
        <f aca="false">IF(C125=0,0,E125/C125)</f>
        <v>0.36</v>
      </c>
      <c r="G125" s="29" t="s">
        <v>129</v>
      </c>
    </row>
    <row r="126" customFormat="false" ht="15" hidden="false" customHeight="false" outlineLevel="0" collapsed="false">
      <c r="A126" s="27" t="s">
        <v>378</v>
      </c>
      <c r="B126" s="24" t="s">
        <v>379</v>
      </c>
      <c r="C126" s="14" t="n">
        <v>1000</v>
      </c>
      <c r="D126" s="24" t="s">
        <v>150</v>
      </c>
      <c r="E126" s="23" t="n">
        <v>50</v>
      </c>
      <c r="F126" s="28" t="n">
        <f aca="false">IF(C126=0,0,E126/C126)</f>
        <v>0.05</v>
      </c>
      <c r="G126" s="29" t="s">
        <v>129</v>
      </c>
    </row>
    <row r="127" customFormat="false" ht="15" hidden="false" customHeight="false" outlineLevel="0" collapsed="false">
      <c r="A127" s="27" t="s">
        <v>380</v>
      </c>
      <c r="B127" s="24" t="s">
        <v>381</v>
      </c>
      <c r="C127" s="14" t="n">
        <v>100</v>
      </c>
      <c r="D127" s="24" t="s">
        <v>128</v>
      </c>
      <c r="E127" s="23" t="n">
        <v>120</v>
      </c>
      <c r="F127" s="28" t="n">
        <f aca="false">IF(C127=0,0,E127/C127)</f>
        <v>1.2</v>
      </c>
      <c r="G127" s="29" t="s">
        <v>129</v>
      </c>
    </row>
    <row r="128" customFormat="false" ht="15" hidden="false" customHeight="false" outlineLevel="0" collapsed="false">
      <c r="A128" s="27" t="s">
        <v>382</v>
      </c>
      <c r="B128" s="24" t="s">
        <v>383</v>
      </c>
      <c r="C128" s="14" t="n">
        <v>1000</v>
      </c>
      <c r="D128" s="24" t="s">
        <v>128</v>
      </c>
      <c r="E128" s="23" t="n">
        <v>250</v>
      </c>
      <c r="F128" s="28" t="n">
        <f aca="false">IF(C128=0,0,E128/C128)</f>
        <v>0.25</v>
      </c>
      <c r="G128" s="29" t="s">
        <v>129</v>
      </c>
    </row>
    <row r="129" customFormat="false" ht="15" hidden="false" customHeight="false" outlineLevel="0" collapsed="false">
      <c r="A129" s="27" t="s">
        <v>384</v>
      </c>
      <c r="B129" s="24" t="s">
        <v>385</v>
      </c>
      <c r="C129" s="14" t="n">
        <v>200</v>
      </c>
      <c r="D129" s="24" t="s">
        <v>128</v>
      </c>
      <c r="E129" s="23" t="n">
        <v>90</v>
      </c>
      <c r="F129" s="28" t="n">
        <f aca="false">IF(C129=0,0,E129/C129)</f>
        <v>0.45</v>
      </c>
      <c r="G129" s="29" t="s">
        <v>129</v>
      </c>
    </row>
    <row r="130" customFormat="false" ht="15" hidden="false" customHeight="false" outlineLevel="0" collapsed="false">
      <c r="A130" s="27" t="s">
        <v>386</v>
      </c>
      <c r="B130" s="24" t="s">
        <v>387</v>
      </c>
      <c r="C130" s="14" t="n">
        <v>1000</v>
      </c>
      <c r="D130" s="24" t="s">
        <v>128</v>
      </c>
      <c r="E130" s="23" t="n">
        <v>450</v>
      </c>
      <c r="F130" s="28" t="n">
        <f aca="false">IF(C130=0,0,E130/C130)</f>
        <v>0.45</v>
      </c>
      <c r="G130" s="29" t="s">
        <v>129</v>
      </c>
    </row>
    <row r="131" customFormat="false" ht="15" hidden="false" customHeight="false" outlineLevel="0" collapsed="false">
      <c r="A131" s="27" t="s">
        <v>388</v>
      </c>
      <c r="B131" s="24" t="s">
        <v>389</v>
      </c>
      <c r="C131" s="14" t="n">
        <v>100</v>
      </c>
      <c r="D131" s="24" t="s">
        <v>128</v>
      </c>
      <c r="E131" s="23" t="n">
        <v>150</v>
      </c>
      <c r="F131" s="28" t="n">
        <f aca="false">IF(C131=0,0,E131/C131)</f>
        <v>1.5</v>
      </c>
      <c r="G131" s="29" t="s">
        <v>129</v>
      </c>
    </row>
    <row r="132" customFormat="false" ht="15" hidden="false" customHeight="false" outlineLevel="0" collapsed="false">
      <c r="A132" s="27" t="s">
        <v>390</v>
      </c>
      <c r="B132" s="24" t="s">
        <v>391</v>
      </c>
      <c r="C132" s="14" t="n">
        <v>100</v>
      </c>
      <c r="D132" s="24" t="s">
        <v>128</v>
      </c>
      <c r="E132" s="23" t="n">
        <v>40</v>
      </c>
      <c r="F132" s="28" t="n">
        <f aca="false">IF(C132=0,0,E132/C132)</f>
        <v>0.4</v>
      </c>
      <c r="G132" s="29" t="s">
        <v>129</v>
      </c>
    </row>
    <row r="133" customFormat="false" ht="15" hidden="false" customHeight="false" outlineLevel="0" collapsed="false">
      <c r="A133" s="27" t="s">
        <v>392</v>
      </c>
      <c r="B133" s="24" t="s">
        <v>393</v>
      </c>
      <c r="C133" s="14" t="n">
        <v>50</v>
      </c>
      <c r="D133" s="24" t="s">
        <v>128</v>
      </c>
      <c r="E133" s="23" t="n">
        <v>60</v>
      </c>
      <c r="F133" s="28" t="n">
        <f aca="false">IF(C133=0,0,E133/C133)</f>
        <v>1.2</v>
      </c>
      <c r="G133" s="29" t="s">
        <v>129</v>
      </c>
    </row>
    <row r="134" customFormat="false" ht="15" hidden="false" customHeight="false" outlineLevel="0" collapsed="false">
      <c r="A134" s="27" t="s">
        <v>394</v>
      </c>
      <c r="B134" s="24" t="s">
        <v>395</v>
      </c>
      <c r="C134" s="14" t="n">
        <v>1000</v>
      </c>
      <c r="D134" s="24" t="s">
        <v>128</v>
      </c>
      <c r="E134" s="23" t="n">
        <v>260</v>
      </c>
      <c r="F134" s="28" t="n">
        <f aca="false">IF(C134=0,0,E134/C134)</f>
        <v>0.26</v>
      </c>
      <c r="G134" s="29" t="s">
        <v>129</v>
      </c>
    </row>
    <row r="135" customFormat="false" ht="15" hidden="false" customHeight="false" outlineLevel="0" collapsed="false">
      <c r="A135" s="27" t="s">
        <v>396</v>
      </c>
      <c r="B135" s="24" t="s">
        <v>397</v>
      </c>
      <c r="C135" s="14" t="n">
        <v>1000</v>
      </c>
      <c r="D135" s="24" t="s">
        <v>128</v>
      </c>
      <c r="E135" s="23" t="n">
        <v>200</v>
      </c>
      <c r="F135" s="28" t="n">
        <f aca="false">IF(C135=0,0,E135/C135)</f>
        <v>0.2</v>
      </c>
      <c r="G135" s="29" t="s">
        <v>129</v>
      </c>
    </row>
    <row r="136" customFormat="false" ht="15" hidden="false" customHeight="false" outlineLevel="0" collapsed="false">
      <c r="A136" s="27" t="s">
        <v>398</v>
      </c>
      <c r="B136" s="24" t="s">
        <v>399</v>
      </c>
      <c r="C136" s="14" t="n">
        <v>1000</v>
      </c>
      <c r="D136" s="24" t="s">
        <v>128</v>
      </c>
      <c r="E136" s="23" t="n">
        <v>80</v>
      </c>
      <c r="F136" s="28" t="n">
        <f aca="false">IF(C136=0,0,E136/C136)</f>
        <v>0.08</v>
      </c>
      <c r="G136" s="29" t="s">
        <v>129</v>
      </c>
    </row>
    <row r="137" customFormat="false" ht="15" hidden="false" customHeight="false" outlineLevel="0" collapsed="false">
      <c r="A137" s="27" t="s">
        <v>400</v>
      </c>
      <c r="B137" s="24" t="s">
        <v>401</v>
      </c>
      <c r="C137" s="14" t="n">
        <v>1000</v>
      </c>
      <c r="D137" s="24" t="s">
        <v>128</v>
      </c>
      <c r="E137" s="23" t="n">
        <v>180</v>
      </c>
      <c r="F137" s="28" t="n">
        <f aca="false">IF(C137=0,0,E137/C137)</f>
        <v>0.18</v>
      </c>
      <c r="G137" s="29" t="s">
        <v>129</v>
      </c>
    </row>
    <row r="138" customFormat="false" ht="15" hidden="false" customHeight="false" outlineLevel="0" collapsed="false">
      <c r="A138" s="27" t="s">
        <v>402</v>
      </c>
      <c r="B138" s="24" t="s">
        <v>403</v>
      </c>
      <c r="C138" s="14" t="n">
        <v>500</v>
      </c>
      <c r="D138" s="24" t="s">
        <v>128</v>
      </c>
      <c r="E138" s="23" t="n">
        <v>250</v>
      </c>
      <c r="F138" s="28" t="n">
        <f aca="false">IF(C138=0,0,E138/C138)</f>
        <v>0.5</v>
      </c>
      <c r="G138" s="29" t="s">
        <v>129</v>
      </c>
    </row>
    <row r="139" customFormat="false" ht="15" hidden="false" customHeight="false" outlineLevel="0" collapsed="false">
      <c r="A139" s="27" t="s">
        <v>404</v>
      </c>
      <c r="B139" s="24" t="s">
        <v>405</v>
      </c>
      <c r="C139" s="14" t="n">
        <v>100</v>
      </c>
      <c r="D139" s="24" t="s">
        <v>128</v>
      </c>
      <c r="E139" s="23" t="n">
        <v>40</v>
      </c>
      <c r="F139" s="28" t="n">
        <f aca="false">IF(C139=0,0,E139/C139)</f>
        <v>0.4</v>
      </c>
      <c r="G139" s="29" t="s">
        <v>129</v>
      </c>
    </row>
    <row r="140" customFormat="false" ht="15" hidden="false" customHeight="false" outlineLevel="0" collapsed="false">
      <c r="A140" s="27" t="s">
        <v>406</v>
      </c>
      <c r="B140" s="24" t="s">
        <v>407</v>
      </c>
      <c r="C140" s="14" t="n">
        <v>1</v>
      </c>
      <c r="D140" s="24" t="s">
        <v>128</v>
      </c>
      <c r="E140" s="23" t="n">
        <v>0</v>
      </c>
      <c r="F140" s="28" t="n">
        <f aca="false">IF(C140=0,0,E140/C140)</f>
        <v>0</v>
      </c>
      <c r="G140" s="30" t="s">
        <v>408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26"/>
    <col collapsed="false" customWidth="true" hidden="false" outlineLevel="0" max="4" min="4" style="0" width="62"/>
    <col collapsed="false" customWidth="true" hidden="false" outlineLevel="0" max="5" min="5" style="0" width="13"/>
    <col collapsed="false" customWidth="true" hidden="false" outlineLevel="0" max="6" min="6" style="0" width="10"/>
    <col collapsed="false" customWidth="true" hidden="false" outlineLevel="0" max="7" min="7" style="0" width="8"/>
    <col collapsed="false" customWidth="true" hidden="false" outlineLevel="0" max="8" min="8" style="0" width="12"/>
    <col collapsed="false" customWidth="true" hidden="false" outlineLevel="0" max="9" min="9" style="0" width="13"/>
  </cols>
  <sheetData>
    <row r="1" customFormat="false" ht="31.5" hidden="false" customHeight="true" outlineLevel="0" collapsed="false">
      <c r="A1" s="11" t="s">
        <v>24</v>
      </c>
      <c r="B1" s="11" t="s">
        <v>409</v>
      </c>
      <c r="C1" s="11" t="s">
        <v>410</v>
      </c>
      <c r="D1" s="11" t="s">
        <v>411</v>
      </c>
      <c r="E1" s="11" t="s">
        <v>412</v>
      </c>
      <c r="F1" s="11" t="s">
        <v>413</v>
      </c>
      <c r="G1" s="11" t="s">
        <v>100</v>
      </c>
      <c r="H1" s="11" t="s">
        <v>414</v>
      </c>
      <c r="I1" s="11" t="s">
        <v>415</v>
      </c>
    </row>
    <row r="2" customFormat="false" ht="15" hidden="false" customHeight="false" outlineLevel="0" collapsed="false">
      <c r="A2" s="24" t="n">
        <v>1</v>
      </c>
      <c r="B2" s="13" t="s">
        <v>42</v>
      </c>
      <c r="C2" s="13" t="s">
        <v>416</v>
      </c>
      <c r="D2" s="13" t="s">
        <v>417</v>
      </c>
      <c r="E2" s="27" t="s">
        <v>126</v>
      </c>
      <c r="F2" s="31" t="n">
        <v>150</v>
      </c>
      <c r="G2" s="24" t="s">
        <v>128</v>
      </c>
      <c r="H2" s="32" t="n">
        <f aca="false">IFERROR(INDEX(Catálogo!$F$2:$F$140,MATCH(E2,Catálogo!$A$2:$A$140,0)),0)</f>
        <v>0.11</v>
      </c>
      <c r="I2" s="15" t="n">
        <f aca="false">F2*H2</f>
        <v>16.5</v>
      </c>
    </row>
    <row r="3" customFormat="false" ht="15" hidden="false" customHeight="false" outlineLevel="0" collapsed="false">
      <c r="A3" s="24" t="n">
        <v>1</v>
      </c>
      <c r="B3" s="13" t="s">
        <v>42</v>
      </c>
      <c r="C3" s="13" t="s">
        <v>418</v>
      </c>
      <c r="D3" s="13" t="s">
        <v>419</v>
      </c>
      <c r="E3" s="27" t="s">
        <v>134</v>
      </c>
      <c r="F3" s="31" t="n">
        <v>120</v>
      </c>
      <c r="G3" s="24" t="s">
        <v>128</v>
      </c>
      <c r="H3" s="32" t="n">
        <f aca="false">IFERROR(INDEX(Catálogo!$F$2:$F$140,MATCH(E3,Catálogo!$A$2:$A$140,0)),0)</f>
        <v>0.26</v>
      </c>
      <c r="I3" s="15" t="n">
        <f aca="false">F3*H3</f>
        <v>31.2</v>
      </c>
    </row>
    <row r="4" customFormat="false" ht="15" hidden="false" customHeight="false" outlineLevel="0" collapsed="false">
      <c r="A4" s="24" t="n">
        <v>1</v>
      </c>
      <c r="B4" s="13" t="s">
        <v>42</v>
      </c>
      <c r="C4" s="13" t="s">
        <v>418</v>
      </c>
      <c r="D4" s="13" t="s">
        <v>420</v>
      </c>
      <c r="E4" s="27" t="s">
        <v>142</v>
      </c>
      <c r="F4" s="31" t="n">
        <v>180</v>
      </c>
      <c r="G4" s="24" t="s">
        <v>128</v>
      </c>
      <c r="H4" s="32" t="n">
        <f aca="false">IFERROR(INDEX(Catálogo!$F$2:$F$140,MATCH(E4,Catálogo!$A$2:$A$140,0)),0)</f>
        <v>0.045</v>
      </c>
      <c r="I4" s="15" t="n">
        <f aca="false">F4*H4</f>
        <v>8.1</v>
      </c>
    </row>
    <row r="5" customFormat="false" ht="15" hidden="false" customHeight="false" outlineLevel="0" collapsed="false">
      <c r="A5" s="24" t="n">
        <v>1</v>
      </c>
      <c r="B5" s="13" t="s">
        <v>42</v>
      </c>
      <c r="C5" s="13" t="s">
        <v>418</v>
      </c>
      <c r="D5" s="13" t="s">
        <v>421</v>
      </c>
      <c r="E5" s="27" t="s">
        <v>146</v>
      </c>
      <c r="F5" s="31" t="n">
        <v>60</v>
      </c>
      <c r="G5" s="24" t="s">
        <v>128</v>
      </c>
      <c r="H5" s="32" t="n">
        <f aca="false">IFERROR(INDEX(Catálogo!$F$2:$F$140,MATCH(E5,Catálogo!$A$2:$A$140,0)),0)</f>
        <v>0.07</v>
      </c>
      <c r="I5" s="15" t="n">
        <f aca="false">F5*H5</f>
        <v>4.2</v>
      </c>
    </row>
    <row r="6" customFormat="false" ht="15" hidden="false" customHeight="false" outlineLevel="0" collapsed="false">
      <c r="A6" s="24" t="n">
        <v>1</v>
      </c>
      <c r="B6" s="13" t="s">
        <v>42</v>
      </c>
      <c r="C6" s="13" t="s">
        <v>418</v>
      </c>
      <c r="D6" s="13" t="s">
        <v>422</v>
      </c>
      <c r="E6" s="27" t="s">
        <v>148</v>
      </c>
      <c r="F6" s="31" t="n">
        <v>40</v>
      </c>
      <c r="G6" s="24" t="s">
        <v>150</v>
      </c>
      <c r="H6" s="32" t="n">
        <f aca="false">IFERROR(INDEX(Catálogo!$F$2:$F$140,MATCH(E6,Catálogo!$A$2:$A$140,0)),0)</f>
        <v>0.002</v>
      </c>
      <c r="I6" s="15" t="n">
        <f aca="false">F6*H6</f>
        <v>0.08</v>
      </c>
    </row>
    <row r="7" customFormat="false" ht="15" hidden="false" customHeight="false" outlineLevel="0" collapsed="false">
      <c r="A7" s="24" t="n">
        <v>1</v>
      </c>
      <c r="B7" s="13" t="s">
        <v>42</v>
      </c>
      <c r="C7" s="13" t="s">
        <v>418</v>
      </c>
      <c r="D7" s="13" t="s">
        <v>423</v>
      </c>
      <c r="E7" s="27" t="s">
        <v>151</v>
      </c>
      <c r="F7" s="31" t="n">
        <v>4</v>
      </c>
      <c r="G7" s="24" t="s">
        <v>128</v>
      </c>
      <c r="H7" s="32" t="n">
        <f aca="false">IFERROR(INDEX(Catálogo!$F$2:$F$140,MATCH(E7,Catálogo!$A$2:$A$140,0)),0)</f>
        <v>0.06</v>
      </c>
      <c r="I7" s="15" t="n">
        <f aca="false">F7*H7</f>
        <v>0.24</v>
      </c>
    </row>
    <row r="8" customFormat="false" ht="15" hidden="false" customHeight="false" outlineLevel="0" collapsed="false">
      <c r="A8" s="24" t="n">
        <v>1</v>
      </c>
      <c r="B8" s="13" t="s">
        <v>42</v>
      </c>
      <c r="C8" s="13" t="s">
        <v>418</v>
      </c>
      <c r="D8" s="13" t="s">
        <v>424</v>
      </c>
      <c r="E8" s="27" t="s">
        <v>153</v>
      </c>
      <c r="F8" s="31" t="n">
        <v>3</v>
      </c>
      <c r="G8" s="24" t="s">
        <v>128</v>
      </c>
      <c r="H8" s="32" t="n">
        <f aca="false">IFERROR(INDEX(Catálogo!$F$2:$F$140,MATCH(E8,Catálogo!$A$2:$A$140,0)),0)</f>
        <v>0.025</v>
      </c>
      <c r="I8" s="15" t="n">
        <f aca="false">F8*H8</f>
        <v>0.075</v>
      </c>
    </row>
    <row r="9" customFormat="false" ht="15" hidden="false" customHeight="false" outlineLevel="0" collapsed="false">
      <c r="A9" s="24" t="n">
        <v>1</v>
      </c>
      <c r="B9" s="13" t="s">
        <v>42</v>
      </c>
      <c r="C9" s="13" t="s">
        <v>418</v>
      </c>
      <c r="D9" s="13" t="s">
        <v>425</v>
      </c>
      <c r="E9" s="27" t="s">
        <v>167</v>
      </c>
      <c r="F9" s="31" t="n">
        <v>5</v>
      </c>
      <c r="G9" s="24" t="s">
        <v>150</v>
      </c>
      <c r="H9" s="32" t="n">
        <f aca="false">IFERROR(INDEX(Catálogo!$F$2:$F$140,MATCH(E9,Catálogo!$A$2:$A$140,0)),0)</f>
        <v>1.5</v>
      </c>
      <c r="I9" s="15" t="n">
        <f aca="false">F9*H9</f>
        <v>7.5</v>
      </c>
    </row>
    <row r="10" customFormat="false" ht="15" hidden="false" customHeight="false" outlineLevel="0" collapsed="false">
      <c r="A10" s="24" t="n">
        <v>1</v>
      </c>
      <c r="B10" s="13" t="s">
        <v>42</v>
      </c>
      <c r="C10" s="13" t="s">
        <v>426</v>
      </c>
      <c r="D10" s="13" t="s">
        <v>427</v>
      </c>
      <c r="E10" s="27" t="s">
        <v>155</v>
      </c>
      <c r="F10" s="31" t="n">
        <v>6</v>
      </c>
      <c r="G10" s="24" t="s">
        <v>128</v>
      </c>
      <c r="H10" s="32" t="n">
        <f aca="false">IFERROR(INDEX(Catálogo!$F$2:$F$140,MATCH(E10,Catálogo!$A$2:$A$140,0)),0)</f>
        <v>0.24</v>
      </c>
      <c r="I10" s="15" t="n">
        <f aca="false">F10*H10</f>
        <v>1.44</v>
      </c>
    </row>
    <row r="11" customFormat="false" ht="15" hidden="false" customHeight="false" outlineLevel="0" collapsed="false">
      <c r="A11" s="33" t="n">
        <v>2</v>
      </c>
      <c r="B11" s="18" t="s">
        <v>44</v>
      </c>
      <c r="C11" s="18" t="s">
        <v>428</v>
      </c>
      <c r="D11" s="18" t="s">
        <v>429</v>
      </c>
      <c r="E11" s="34" t="s">
        <v>126</v>
      </c>
      <c r="F11" s="35" t="n">
        <v>140</v>
      </c>
      <c r="G11" s="33" t="s">
        <v>128</v>
      </c>
      <c r="H11" s="36" t="n">
        <f aca="false">IFERROR(INDEX(Catálogo!$F$2:$F$140,MATCH(E11,Catálogo!$A$2:$A$140,0)),0)</f>
        <v>0.11</v>
      </c>
      <c r="I11" s="19" t="n">
        <f aca="false">F11*H11</f>
        <v>15.4</v>
      </c>
    </row>
    <row r="12" customFormat="false" ht="15" hidden="false" customHeight="false" outlineLevel="0" collapsed="false">
      <c r="A12" s="33" t="n">
        <v>2</v>
      </c>
      <c r="B12" s="18" t="s">
        <v>44</v>
      </c>
      <c r="C12" s="18" t="s">
        <v>428</v>
      </c>
      <c r="D12" s="18" t="s">
        <v>430</v>
      </c>
      <c r="E12" s="34" t="s">
        <v>180</v>
      </c>
      <c r="F12" s="35" t="n">
        <v>120</v>
      </c>
      <c r="G12" s="33" t="s">
        <v>128</v>
      </c>
      <c r="H12" s="36" t="n">
        <f aca="false">IFERROR(INDEX(Catálogo!$F$2:$F$140,MATCH(E12,Catálogo!$A$2:$A$140,0)),0)</f>
        <v>0.38</v>
      </c>
      <c r="I12" s="19" t="n">
        <f aca="false">F12*H12</f>
        <v>45.6</v>
      </c>
    </row>
    <row r="13" customFormat="false" ht="15" hidden="false" customHeight="false" outlineLevel="0" collapsed="false">
      <c r="A13" s="33" t="n">
        <v>2</v>
      </c>
      <c r="B13" s="18" t="s">
        <v>44</v>
      </c>
      <c r="C13" s="18" t="s">
        <v>431</v>
      </c>
      <c r="D13" s="18" t="s">
        <v>432</v>
      </c>
      <c r="E13" s="34" t="s">
        <v>134</v>
      </c>
      <c r="F13" s="35" t="n">
        <v>110</v>
      </c>
      <c r="G13" s="33" t="s">
        <v>128</v>
      </c>
      <c r="H13" s="36" t="n">
        <f aca="false">IFERROR(INDEX(Catálogo!$F$2:$F$140,MATCH(E13,Catálogo!$A$2:$A$140,0)),0)</f>
        <v>0.26</v>
      </c>
      <c r="I13" s="19" t="n">
        <f aca="false">F13*H13</f>
        <v>28.6</v>
      </c>
    </row>
    <row r="14" customFormat="false" ht="15" hidden="false" customHeight="false" outlineLevel="0" collapsed="false">
      <c r="A14" s="33" t="n">
        <v>2</v>
      </c>
      <c r="B14" s="18" t="s">
        <v>44</v>
      </c>
      <c r="C14" s="18" t="s">
        <v>431</v>
      </c>
      <c r="D14" s="18" t="s">
        <v>433</v>
      </c>
      <c r="E14" s="34" t="s">
        <v>138</v>
      </c>
      <c r="F14" s="35" t="n">
        <v>190</v>
      </c>
      <c r="G14" s="33" t="s">
        <v>128</v>
      </c>
      <c r="H14" s="36" t="n">
        <f aca="false">IFERROR(INDEX(Catálogo!$F$2:$F$140,MATCH(E14,Catálogo!$A$2:$A$140,0)),0)</f>
        <v>0.032</v>
      </c>
      <c r="I14" s="19" t="n">
        <f aca="false">F14*H14</f>
        <v>6.08</v>
      </c>
    </row>
    <row r="15" customFormat="false" ht="15" hidden="false" customHeight="false" outlineLevel="0" collapsed="false">
      <c r="A15" s="33" t="n">
        <v>2</v>
      </c>
      <c r="B15" s="18" t="s">
        <v>44</v>
      </c>
      <c r="C15" s="18" t="s">
        <v>431</v>
      </c>
      <c r="D15" s="18" t="s">
        <v>434</v>
      </c>
      <c r="E15" s="34" t="s">
        <v>146</v>
      </c>
      <c r="F15" s="35" t="n">
        <v>50</v>
      </c>
      <c r="G15" s="33" t="s">
        <v>128</v>
      </c>
      <c r="H15" s="36" t="n">
        <f aca="false">IFERROR(INDEX(Catálogo!$F$2:$F$140,MATCH(E15,Catálogo!$A$2:$A$140,0)),0)</f>
        <v>0.07</v>
      </c>
      <c r="I15" s="19" t="n">
        <f aca="false">F15*H15</f>
        <v>3.5</v>
      </c>
    </row>
    <row r="16" customFormat="false" ht="15" hidden="false" customHeight="false" outlineLevel="0" collapsed="false">
      <c r="A16" s="33" t="n">
        <v>2</v>
      </c>
      <c r="B16" s="18" t="s">
        <v>44</v>
      </c>
      <c r="C16" s="18" t="s">
        <v>431</v>
      </c>
      <c r="D16" s="18" t="s">
        <v>435</v>
      </c>
      <c r="E16" s="34" t="s">
        <v>172</v>
      </c>
      <c r="F16" s="35" t="n">
        <v>35</v>
      </c>
      <c r="G16" s="33" t="s">
        <v>150</v>
      </c>
      <c r="H16" s="36" t="n">
        <f aca="false">IFERROR(INDEX(Catálogo!$F$2:$F$140,MATCH(E16,Catálogo!$A$2:$A$140,0)),0)</f>
        <v>0.8</v>
      </c>
      <c r="I16" s="19" t="n">
        <f aca="false">F16*H16</f>
        <v>28</v>
      </c>
    </row>
    <row r="17" customFormat="false" ht="15" hidden="false" customHeight="false" outlineLevel="0" collapsed="false">
      <c r="A17" s="33" t="n">
        <v>2</v>
      </c>
      <c r="B17" s="18" t="s">
        <v>44</v>
      </c>
      <c r="C17" s="18" t="s">
        <v>431</v>
      </c>
      <c r="D17" s="18" t="s">
        <v>436</v>
      </c>
      <c r="E17" s="34" t="s">
        <v>148</v>
      </c>
      <c r="F17" s="35" t="n">
        <v>20</v>
      </c>
      <c r="G17" s="33" t="s">
        <v>150</v>
      </c>
      <c r="H17" s="36" t="n">
        <f aca="false">IFERROR(INDEX(Catálogo!$F$2:$F$140,MATCH(E17,Catálogo!$A$2:$A$140,0)),0)</f>
        <v>0.002</v>
      </c>
      <c r="I17" s="19" t="n">
        <f aca="false">F17*H17</f>
        <v>0.04</v>
      </c>
    </row>
    <row r="18" customFormat="false" ht="15" hidden="false" customHeight="false" outlineLevel="0" collapsed="false">
      <c r="A18" s="33" t="n">
        <v>2</v>
      </c>
      <c r="B18" s="18" t="s">
        <v>44</v>
      </c>
      <c r="C18" s="18" t="s">
        <v>431</v>
      </c>
      <c r="D18" s="18" t="s">
        <v>437</v>
      </c>
      <c r="E18" s="34" t="s">
        <v>151</v>
      </c>
      <c r="F18" s="35" t="n">
        <v>4</v>
      </c>
      <c r="G18" s="33" t="s">
        <v>128</v>
      </c>
      <c r="H18" s="36" t="n">
        <f aca="false">IFERROR(INDEX(Catálogo!$F$2:$F$140,MATCH(E18,Catálogo!$A$2:$A$140,0)),0)</f>
        <v>0.06</v>
      </c>
      <c r="I18" s="19" t="n">
        <f aca="false">F18*H18</f>
        <v>0.24</v>
      </c>
    </row>
    <row r="19" customFormat="false" ht="15" hidden="false" customHeight="false" outlineLevel="0" collapsed="false">
      <c r="A19" s="33" t="n">
        <v>2</v>
      </c>
      <c r="B19" s="18" t="s">
        <v>44</v>
      </c>
      <c r="C19" s="18" t="s">
        <v>431</v>
      </c>
      <c r="D19" s="18" t="s">
        <v>424</v>
      </c>
      <c r="E19" s="34" t="s">
        <v>153</v>
      </c>
      <c r="F19" s="35" t="n">
        <v>3</v>
      </c>
      <c r="G19" s="33" t="s">
        <v>128</v>
      </c>
      <c r="H19" s="36" t="n">
        <f aca="false">IFERROR(INDEX(Catálogo!$F$2:$F$140,MATCH(E19,Catálogo!$A$2:$A$140,0)),0)</f>
        <v>0.025</v>
      </c>
      <c r="I19" s="19" t="n">
        <f aca="false">F19*H19</f>
        <v>0.075</v>
      </c>
    </row>
    <row r="20" customFormat="false" ht="15" hidden="false" customHeight="false" outlineLevel="0" collapsed="false">
      <c r="A20" s="24" t="n">
        <v>3</v>
      </c>
      <c r="B20" s="13" t="s">
        <v>45</v>
      </c>
      <c r="C20" s="13" t="s">
        <v>438</v>
      </c>
      <c r="D20" s="13" t="s">
        <v>439</v>
      </c>
      <c r="E20" s="27" t="s">
        <v>200</v>
      </c>
      <c r="F20" s="31" t="n">
        <v>250</v>
      </c>
      <c r="G20" s="24" t="s">
        <v>128</v>
      </c>
      <c r="H20" s="32" t="n">
        <f aca="false">IFERROR(INDEX(Catálogo!$F$2:$F$140,MATCH(E20,Catálogo!$A$2:$A$140,0)),0)</f>
        <v>0.22</v>
      </c>
      <c r="I20" s="15" t="n">
        <f aca="false">F20*H20</f>
        <v>55</v>
      </c>
    </row>
    <row r="21" customFormat="false" ht="15" hidden="false" customHeight="false" outlineLevel="0" collapsed="false">
      <c r="A21" s="24" t="n">
        <v>3</v>
      </c>
      <c r="B21" s="13" t="s">
        <v>45</v>
      </c>
      <c r="C21" s="13" t="s">
        <v>416</v>
      </c>
      <c r="D21" s="13" t="s">
        <v>440</v>
      </c>
      <c r="E21" s="27" t="s">
        <v>126</v>
      </c>
      <c r="F21" s="31" t="n">
        <v>130</v>
      </c>
      <c r="G21" s="24" t="s">
        <v>128</v>
      </c>
      <c r="H21" s="32" t="n">
        <f aca="false">IFERROR(INDEX(Catálogo!$F$2:$F$140,MATCH(E21,Catálogo!$A$2:$A$140,0)),0)</f>
        <v>0.11</v>
      </c>
      <c r="I21" s="15" t="n">
        <f aca="false">F21*H21</f>
        <v>14.3</v>
      </c>
    </row>
    <row r="22" customFormat="false" ht="15" hidden="false" customHeight="false" outlineLevel="0" collapsed="false">
      <c r="A22" s="24" t="n">
        <v>3</v>
      </c>
      <c r="B22" s="13" t="s">
        <v>45</v>
      </c>
      <c r="C22" s="13" t="s">
        <v>441</v>
      </c>
      <c r="D22" s="13" t="s">
        <v>442</v>
      </c>
      <c r="E22" s="27" t="s">
        <v>134</v>
      </c>
      <c r="F22" s="31" t="n">
        <v>100</v>
      </c>
      <c r="G22" s="24" t="s">
        <v>128</v>
      </c>
      <c r="H22" s="32" t="n">
        <f aca="false">IFERROR(INDEX(Catálogo!$F$2:$F$140,MATCH(E22,Catálogo!$A$2:$A$140,0)),0)</f>
        <v>0.26</v>
      </c>
      <c r="I22" s="15" t="n">
        <f aca="false">F22*H22</f>
        <v>26</v>
      </c>
    </row>
    <row r="23" customFormat="false" ht="15" hidden="false" customHeight="false" outlineLevel="0" collapsed="false">
      <c r="A23" s="24" t="n">
        <v>3</v>
      </c>
      <c r="B23" s="13" t="s">
        <v>45</v>
      </c>
      <c r="C23" s="13" t="s">
        <v>441</v>
      </c>
      <c r="D23" s="13" t="s">
        <v>443</v>
      </c>
      <c r="E23" s="27" t="s">
        <v>202</v>
      </c>
      <c r="F23" s="31" t="n">
        <v>100</v>
      </c>
      <c r="G23" s="24" t="s">
        <v>150</v>
      </c>
      <c r="H23" s="32" t="n">
        <f aca="false">IFERROR(INDEX(Catálogo!$F$2:$F$140,MATCH(E23,Catálogo!$A$2:$A$140,0)),0)</f>
        <v>0.5</v>
      </c>
      <c r="I23" s="15" t="n">
        <f aca="false">F23*H23</f>
        <v>50</v>
      </c>
    </row>
    <row r="24" customFormat="false" ht="15" hidden="false" customHeight="false" outlineLevel="0" collapsed="false">
      <c r="A24" s="24" t="n">
        <v>3</v>
      </c>
      <c r="B24" s="13" t="s">
        <v>45</v>
      </c>
      <c r="C24" s="13" t="s">
        <v>441</v>
      </c>
      <c r="D24" s="13" t="s">
        <v>444</v>
      </c>
      <c r="E24" s="27" t="s">
        <v>142</v>
      </c>
      <c r="F24" s="31" t="n">
        <v>120</v>
      </c>
      <c r="G24" s="24" t="s">
        <v>128</v>
      </c>
      <c r="H24" s="32" t="n">
        <f aca="false">IFERROR(INDEX(Catálogo!$F$2:$F$140,MATCH(E24,Catálogo!$A$2:$A$140,0)),0)</f>
        <v>0.045</v>
      </c>
      <c r="I24" s="15" t="n">
        <f aca="false">F24*H24</f>
        <v>5.4</v>
      </c>
    </row>
    <row r="25" customFormat="false" ht="15" hidden="false" customHeight="false" outlineLevel="0" collapsed="false">
      <c r="A25" s="24" t="n">
        <v>3</v>
      </c>
      <c r="B25" s="13" t="s">
        <v>45</v>
      </c>
      <c r="C25" s="13" t="s">
        <v>441</v>
      </c>
      <c r="D25" s="13" t="s">
        <v>445</v>
      </c>
      <c r="E25" s="27" t="s">
        <v>146</v>
      </c>
      <c r="F25" s="31" t="n">
        <v>40</v>
      </c>
      <c r="G25" s="24" t="s">
        <v>128</v>
      </c>
      <c r="H25" s="32" t="n">
        <f aca="false">IFERROR(INDEX(Catálogo!$F$2:$F$140,MATCH(E25,Catálogo!$A$2:$A$140,0)),0)</f>
        <v>0.07</v>
      </c>
      <c r="I25" s="15" t="n">
        <f aca="false">F25*H25</f>
        <v>2.8</v>
      </c>
    </row>
    <row r="26" customFormat="false" ht="15" hidden="false" customHeight="false" outlineLevel="0" collapsed="false">
      <c r="A26" s="24" t="n">
        <v>3</v>
      </c>
      <c r="B26" s="13" t="s">
        <v>45</v>
      </c>
      <c r="C26" s="13" t="s">
        <v>441</v>
      </c>
      <c r="D26" s="13" t="s">
        <v>437</v>
      </c>
      <c r="E26" s="27" t="s">
        <v>151</v>
      </c>
      <c r="F26" s="31" t="n">
        <v>4</v>
      </c>
      <c r="G26" s="24" t="s">
        <v>128</v>
      </c>
      <c r="H26" s="32" t="n">
        <f aca="false">IFERROR(INDEX(Catálogo!$F$2:$F$140,MATCH(E26,Catálogo!$A$2:$A$140,0)),0)</f>
        <v>0.06</v>
      </c>
      <c r="I26" s="15" t="n">
        <f aca="false">F26*H26</f>
        <v>0.24</v>
      </c>
    </row>
    <row r="27" customFormat="false" ht="15" hidden="false" customHeight="false" outlineLevel="0" collapsed="false">
      <c r="A27" s="24" t="n">
        <v>3</v>
      </c>
      <c r="B27" s="13" t="s">
        <v>45</v>
      </c>
      <c r="C27" s="13" t="s">
        <v>441</v>
      </c>
      <c r="D27" s="13" t="s">
        <v>446</v>
      </c>
      <c r="E27" s="27" t="s">
        <v>161</v>
      </c>
      <c r="F27" s="31" t="n">
        <v>2</v>
      </c>
      <c r="G27" s="24" t="s">
        <v>128</v>
      </c>
      <c r="H27" s="32" t="n">
        <f aca="false">IFERROR(INDEX(Catálogo!$F$2:$F$140,MATCH(E27,Catálogo!$A$2:$A$140,0)),0)</f>
        <v>0.7</v>
      </c>
      <c r="I27" s="15" t="n">
        <f aca="false">F27*H27</f>
        <v>1.4</v>
      </c>
    </row>
    <row r="28" customFormat="false" ht="15" hidden="false" customHeight="false" outlineLevel="0" collapsed="false">
      <c r="A28" s="33" t="n">
        <v>4</v>
      </c>
      <c r="B28" s="18" t="s">
        <v>46</v>
      </c>
      <c r="C28" s="18" t="s">
        <v>416</v>
      </c>
      <c r="D28" s="18" t="s">
        <v>447</v>
      </c>
      <c r="E28" s="34" t="s">
        <v>126</v>
      </c>
      <c r="F28" s="35" t="n">
        <v>150</v>
      </c>
      <c r="G28" s="33" t="s">
        <v>128</v>
      </c>
      <c r="H28" s="36" t="n">
        <f aca="false">IFERROR(INDEX(Catálogo!$F$2:$F$140,MATCH(E28,Catálogo!$A$2:$A$140,0)),0)</f>
        <v>0.11</v>
      </c>
      <c r="I28" s="19" t="n">
        <f aca="false">F28*H28</f>
        <v>16.5</v>
      </c>
    </row>
    <row r="29" customFormat="false" ht="15" hidden="false" customHeight="false" outlineLevel="0" collapsed="false">
      <c r="A29" s="33" t="n">
        <v>4</v>
      </c>
      <c r="B29" s="18" t="s">
        <v>46</v>
      </c>
      <c r="C29" s="18" t="s">
        <v>448</v>
      </c>
      <c r="D29" s="18" t="s">
        <v>449</v>
      </c>
      <c r="E29" s="34" t="s">
        <v>134</v>
      </c>
      <c r="F29" s="35" t="n">
        <v>110</v>
      </c>
      <c r="G29" s="33" t="s">
        <v>128</v>
      </c>
      <c r="H29" s="36" t="n">
        <f aca="false">IFERROR(INDEX(Catálogo!$F$2:$F$140,MATCH(E29,Catálogo!$A$2:$A$140,0)),0)</f>
        <v>0.26</v>
      </c>
      <c r="I29" s="19" t="n">
        <f aca="false">F29*H29</f>
        <v>28.6</v>
      </c>
    </row>
    <row r="30" customFormat="false" ht="15" hidden="false" customHeight="false" outlineLevel="0" collapsed="false">
      <c r="A30" s="33" t="n">
        <v>4</v>
      </c>
      <c r="B30" s="18" t="s">
        <v>46</v>
      </c>
      <c r="C30" s="18" t="s">
        <v>448</v>
      </c>
      <c r="D30" s="18" t="s">
        <v>450</v>
      </c>
      <c r="E30" s="34" t="s">
        <v>138</v>
      </c>
      <c r="F30" s="35" t="n">
        <v>180</v>
      </c>
      <c r="G30" s="33" t="s">
        <v>128</v>
      </c>
      <c r="H30" s="36" t="n">
        <f aca="false">IFERROR(INDEX(Catálogo!$F$2:$F$140,MATCH(E30,Catálogo!$A$2:$A$140,0)),0)</f>
        <v>0.032</v>
      </c>
      <c r="I30" s="19" t="n">
        <f aca="false">F30*H30</f>
        <v>5.76</v>
      </c>
    </row>
    <row r="31" customFormat="false" ht="15" hidden="false" customHeight="false" outlineLevel="0" collapsed="false">
      <c r="A31" s="33" t="n">
        <v>4</v>
      </c>
      <c r="B31" s="18" t="s">
        <v>46</v>
      </c>
      <c r="C31" s="18" t="s">
        <v>448</v>
      </c>
      <c r="D31" s="18" t="s">
        <v>451</v>
      </c>
      <c r="E31" s="34" t="s">
        <v>146</v>
      </c>
      <c r="F31" s="35" t="n">
        <v>50</v>
      </c>
      <c r="G31" s="33" t="s">
        <v>128</v>
      </c>
      <c r="H31" s="36" t="n">
        <f aca="false">IFERROR(INDEX(Catálogo!$F$2:$F$140,MATCH(E31,Catálogo!$A$2:$A$140,0)),0)</f>
        <v>0.07</v>
      </c>
      <c r="I31" s="19" t="n">
        <f aca="false">F31*H31</f>
        <v>3.5</v>
      </c>
    </row>
    <row r="32" customFormat="false" ht="15" hidden="false" customHeight="false" outlineLevel="0" collapsed="false">
      <c r="A32" s="33" t="n">
        <v>4</v>
      </c>
      <c r="B32" s="18" t="s">
        <v>46</v>
      </c>
      <c r="C32" s="18" t="s">
        <v>448</v>
      </c>
      <c r="D32" s="18" t="s">
        <v>452</v>
      </c>
      <c r="E32" s="34" t="s">
        <v>212</v>
      </c>
      <c r="F32" s="35" t="n">
        <v>30</v>
      </c>
      <c r="G32" s="33" t="s">
        <v>150</v>
      </c>
      <c r="H32" s="36" t="n">
        <f aca="false">IFERROR(INDEX(Catálogo!$F$2:$F$140,MATCH(E32,Catálogo!$A$2:$A$140,0)),0)</f>
        <v>0.12</v>
      </c>
      <c r="I32" s="19" t="n">
        <f aca="false">F32*H32</f>
        <v>3.6</v>
      </c>
    </row>
    <row r="33" customFormat="false" ht="15" hidden="false" customHeight="false" outlineLevel="0" collapsed="false">
      <c r="A33" s="33" t="n">
        <v>4</v>
      </c>
      <c r="B33" s="18" t="s">
        <v>46</v>
      </c>
      <c r="C33" s="18" t="s">
        <v>448</v>
      </c>
      <c r="D33" s="18" t="s">
        <v>453</v>
      </c>
      <c r="E33" s="34" t="s">
        <v>218</v>
      </c>
      <c r="F33" s="35" t="n">
        <v>4</v>
      </c>
      <c r="G33" s="33" t="s">
        <v>128</v>
      </c>
      <c r="H33" s="36" t="n">
        <f aca="false">IFERROR(INDEX(Catálogo!$F$2:$F$140,MATCH(E33,Catálogo!$A$2:$A$140,0)),0)</f>
        <v>1.5</v>
      </c>
      <c r="I33" s="19" t="n">
        <f aca="false">F33*H33</f>
        <v>6</v>
      </c>
    </row>
    <row r="34" customFormat="false" ht="15" hidden="false" customHeight="false" outlineLevel="0" collapsed="false">
      <c r="A34" s="33" t="n">
        <v>4</v>
      </c>
      <c r="B34" s="18" t="s">
        <v>46</v>
      </c>
      <c r="C34" s="18" t="s">
        <v>448</v>
      </c>
      <c r="D34" s="18" t="s">
        <v>437</v>
      </c>
      <c r="E34" s="34" t="s">
        <v>151</v>
      </c>
      <c r="F34" s="35" t="n">
        <v>4</v>
      </c>
      <c r="G34" s="33" t="s">
        <v>128</v>
      </c>
      <c r="H34" s="36" t="n">
        <f aca="false">IFERROR(INDEX(Catálogo!$F$2:$F$140,MATCH(E34,Catálogo!$A$2:$A$140,0)),0)</f>
        <v>0.06</v>
      </c>
      <c r="I34" s="19" t="n">
        <f aca="false">F34*H34</f>
        <v>0.24</v>
      </c>
    </row>
    <row r="35" customFormat="false" ht="15" hidden="false" customHeight="false" outlineLevel="0" collapsed="false">
      <c r="A35" s="33" t="n">
        <v>4</v>
      </c>
      <c r="B35" s="18" t="s">
        <v>46</v>
      </c>
      <c r="C35" s="18" t="s">
        <v>448</v>
      </c>
      <c r="D35" s="18" t="s">
        <v>454</v>
      </c>
      <c r="E35" s="34" t="s">
        <v>153</v>
      </c>
      <c r="F35" s="35" t="n">
        <v>2</v>
      </c>
      <c r="G35" s="33" t="s">
        <v>128</v>
      </c>
      <c r="H35" s="36" t="n">
        <f aca="false">IFERROR(INDEX(Catálogo!$F$2:$F$140,MATCH(E35,Catálogo!$A$2:$A$140,0)),0)</f>
        <v>0.025</v>
      </c>
      <c r="I35" s="19" t="n">
        <f aca="false">F35*H35</f>
        <v>0.05</v>
      </c>
    </row>
    <row r="36" customFormat="false" ht="15" hidden="false" customHeight="false" outlineLevel="0" collapsed="false">
      <c r="A36" s="33" t="n">
        <v>4</v>
      </c>
      <c r="B36" s="18" t="s">
        <v>46</v>
      </c>
      <c r="C36" s="18" t="s">
        <v>455</v>
      </c>
      <c r="D36" s="18" t="s">
        <v>456</v>
      </c>
      <c r="E36" s="34" t="s">
        <v>210</v>
      </c>
      <c r="F36" s="35" t="n">
        <v>4</v>
      </c>
      <c r="G36" s="33" t="s">
        <v>128</v>
      </c>
      <c r="H36" s="36" t="n">
        <f aca="false">IFERROR(INDEX(Catálogo!$F$2:$F$140,MATCH(E36,Catálogo!$A$2:$A$140,0)),0)</f>
        <v>0.4</v>
      </c>
      <c r="I36" s="19" t="n">
        <f aca="false">F36*H36</f>
        <v>1.6</v>
      </c>
    </row>
    <row r="37" customFormat="false" ht="15" hidden="false" customHeight="false" outlineLevel="0" collapsed="false">
      <c r="A37" s="24" t="n">
        <v>5</v>
      </c>
      <c r="B37" s="13" t="s">
        <v>47</v>
      </c>
      <c r="C37" s="13" t="s">
        <v>428</v>
      </c>
      <c r="D37" s="13" t="s">
        <v>457</v>
      </c>
      <c r="E37" s="27" t="s">
        <v>126</v>
      </c>
      <c r="F37" s="31" t="n">
        <v>140</v>
      </c>
      <c r="G37" s="24" t="s">
        <v>128</v>
      </c>
      <c r="H37" s="32" t="n">
        <f aca="false">IFERROR(INDEX(Catálogo!$F$2:$F$140,MATCH(E37,Catálogo!$A$2:$A$140,0)),0)</f>
        <v>0.11</v>
      </c>
      <c r="I37" s="15" t="n">
        <f aca="false">F37*H37</f>
        <v>15.4</v>
      </c>
    </row>
    <row r="38" customFormat="false" ht="15" hidden="false" customHeight="false" outlineLevel="0" collapsed="false">
      <c r="A38" s="24" t="n">
        <v>5</v>
      </c>
      <c r="B38" s="13" t="s">
        <v>47</v>
      </c>
      <c r="C38" s="13" t="s">
        <v>428</v>
      </c>
      <c r="D38" s="13" t="s">
        <v>458</v>
      </c>
      <c r="E38" s="27" t="s">
        <v>184</v>
      </c>
      <c r="F38" s="31" t="n">
        <v>80</v>
      </c>
      <c r="G38" s="24" t="s">
        <v>128</v>
      </c>
      <c r="H38" s="32" t="n">
        <f aca="false">IFERROR(INDEX(Catálogo!$F$2:$F$140,MATCH(E38,Catálogo!$A$2:$A$140,0)),0)</f>
        <v>0.33</v>
      </c>
      <c r="I38" s="15" t="n">
        <f aca="false">F38*H38</f>
        <v>26.4</v>
      </c>
    </row>
    <row r="39" customFormat="false" ht="15" hidden="false" customHeight="false" outlineLevel="0" collapsed="false">
      <c r="A39" s="24" t="n">
        <v>5</v>
      </c>
      <c r="B39" s="13" t="s">
        <v>47</v>
      </c>
      <c r="C39" s="13" t="s">
        <v>459</v>
      </c>
      <c r="D39" s="13" t="s">
        <v>460</v>
      </c>
      <c r="E39" s="27" t="s">
        <v>134</v>
      </c>
      <c r="F39" s="31" t="n">
        <v>90</v>
      </c>
      <c r="G39" s="24" t="s">
        <v>128</v>
      </c>
      <c r="H39" s="32" t="n">
        <f aca="false">IFERROR(INDEX(Catálogo!$F$2:$F$140,MATCH(E39,Catálogo!$A$2:$A$140,0)),0)</f>
        <v>0.26</v>
      </c>
      <c r="I39" s="15" t="n">
        <f aca="false">F39*H39</f>
        <v>23.4</v>
      </c>
    </row>
    <row r="40" customFormat="false" ht="15" hidden="false" customHeight="false" outlineLevel="0" collapsed="false">
      <c r="A40" s="24" t="n">
        <v>5</v>
      </c>
      <c r="B40" s="13" t="s">
        <v>47</v>
      </c>
      <c r="C40" s="13" t="s">
        <v>459</v>
      </c>
      <c r="D40" s="13" t="s">
        <v>461</v>
      </c>
      <c r="E40" s="27" t="s">
        <v>246</v>
      </c>
      <c r="F40" s="31" t="n">
        <v>120</v>
      </c>
      <c r="G40" s="24" t="s">
        <v>128</v>
      </c>
      <c r="H40" s="32" t="n">
        <f aca="false">IFERROR(INDEX(Catálogo!$F$2:$F$140,MATCH(E40,Catálogo!$A$2:$A$140,0)),0)</f>
        <v>0.11</v>
      </c>
      <c r="I40" s="15" t="n">
        <f aca="false">F40*H40</f>
        <v>13.2</v>
      </c>
    </row>
    <row r="41" customFormat="false" ht="15" hidden="false" customHeight="false" outlineLevel="0" collapsed="false">
      <c r="A41" s="24" t="n">
        <v>5</v>
      </c>
      <c r="B41" s="13" t="s">
        <v>47</v>
      </c>
      <c r="C41" s="13" t="s">
        <v>459</v>
      </c>
      <c r="D41" s="13" t="s">
        <v>462</v>
      </c>
      <c r="E41" s="27" t="s">
        <v>142</v>
      </c>
      <c r="F41" s="31" t="n">
        <v>140</v>
      </c>
      <c r="G41" s="24" t="s">
        <v>128</v>
      </c>
      <c r="H41" s="32" t="n">
        <f aca="false">IFERROR(INDEX(Catálogo!$F$2:$F$140,MATCH(E41,Catálogo!$A$2:$A$140,0)),0)</f>
        <v>0.045</v>
      </c>
      <c r="I41" s="15" t="n">
        <f aca="false">F41*H41</f>
        <v>6.3</v>
      </c>
    </row>
    <row r="42" customFormat="false" ht="15" hidden="false" customHeight="false" outlineLevel="0" collapsed="false">
      <c r="A42" s="24" t="n">
        <v>5</v>
      </c>
      <c r="B42" s="13" t="s">
        <v>47</v>
      </c>
      <c r="C42" s="13" t="s">
        <v>459</v>
      </c>
      <c r="D42" s="13" t="s">
        <v>463</v>
      </c>
      <c r="E42" s="27" t="s">
        <v>146</v>
      </c>
      <c r="F42" s="31" t="n">
        <v>40</v>
      </c>
      <c r="G42" s="24" t="s">
        <v>128</v>
      </c>
      <c r="H42" s="32" t="n">
        <f aca="false">IFERROR(INDEX(Catálogo!$F$2:$F$140,MATCH(E42,Catálogo!$A$2:$A$140,0)),0)</f>
        <v>0.07</v>
      </c>
      <c r="I42" s="15" t="n">
        <f aca="false">F42*H42</f>
        <v>2.8</v>
      </c>
    </row>
    <row r="43" customFormat="false" ht="15" hidden="false" customHeight="false" outlineLevel="0" collapsed="false">
      <c r="A43" s="24" t="n">
        <v>5</v>
      </c>
      <c r="B43" s="13" t="s">
        <v>47</v>
      </c>
      <c r="C43" s="13" t="s">
        <v>459</v>
      </c>
      <c r="D43" s="13" t="s">
        <v>464</v>
      </c>
      <c r="E43" s="27" t="s">
        <v>148</v>
      </c>
      <c r="F43" s="31" t="n">
        <v>25</v>
      </c>
      <c r="G43" s="24" t="s">
        <v>150</v>
      </c>
      <c r="H43" s="32" t="n">
        <f aca="false">IFERROR(INDEX(Catálogo!$F$2:$F$140,MATCH(E43,Catálogo!$A$2:$A$140,0)),0)</f>
        <v>0.002</v>
      </c>
      <c r="I43" s="15" t="n">
        <f aca="false">F43*H43</f>
        <v>0.05</v>
      </c>
    </row>
    <row r="44" customFormat="false" ht="15" hidden="false" customHeight="false" outlineLevel="0" collapsed="false">
      <c r="A44" s="24" t="n">
        <v>5</v>
      </c>
      <c r="B44" s="13" t="s">
        <v>47</v>
      </c>
      <c r="C44" s="13" t="s">
        <v>459</v>
      </c>
      <c r="D44" s="13" t="s">
        <v>437</v>
      </c>
      <c r="E44" s="27" t="s">
        <v>151</v>
      </c>
      <c r="F44" s="31" t="n">
        <v>4</v>
      </c>
      <c r="G44" s="24" t="s">
        <v>128</v>
      </c>
      <c r="H44" s="32" t="n">
        <f aca="false">IFERROR(INDEX(Catálogo!$F$2:$F$140,MATCH(E44,Catálogo!$A$2:$A$140,0)),0)</f>
        <v>0.06</v>
      </c>
      <c r="I44" s="15" t="n">
        <f aca="false">F44*H44</f>
        <v>0.24</v>
      </c>
    </row>
    <row r="45" customFormat="false" ht="15" hidden="false" customHeight="false" outlineLevel="0" collapsed="false">
      <c r="A45" s="24" t="n">
        <v>5</v>
      </c>
      <c r="B45" s="13" t="s">
        <v>47</v>
      </c>
      <c r="C45" s="13" t="s">
        <v>459</v>
      </c>
      <c r="D45" s="13" t="s">
        <v>465</v>
      </c>
      <c r="E45" s="27" t="s">
        <v>155</v>
      </c>
      <c r="F45" s="31" t="n">
        <v>4</v>
      </c>
      <c r="G45" s="24" t="s">
        <v>128</v>
      </c>
      <c r="H45" s="32" t="n">
        <f aca="false">IFERROR(INDEX(Catálogo!$F$2:$F$140,MATCH(E45,Catálogo!$A$2:$A$140,0)),0)</f>
        <v>0.24</v>
      </c>
      <c r="I45" s="15" t="n">
        <f aca="false">F45*H45</f>
        <v>0.96</v>
      </c>
    </row>
    <row r="46" customFormat="false" ht="15" hidden="false" customHeight="false" outlineLevel="0" collapsed="false">
      <c r="A46" s="33" t="n">
        <v>6</v>
      </c>
      <c r="B46" s="18" t="s">
        <v>48</v>
      </c>
      <c r="C46" s="18" t="s">
        <v>416</v>
      </c>
      <c r="D46" s="18" t="s">
        <v>466</v>
      </c>
      <c r="E46" s="34" t="s">
        <v>130</v>
      </c>
      <c r="F46" s="35" t="n">
        <v>150</v>
      </c>
      <c r="G46" s="33" t="s">
        <v>128</v>
      </c>
      <c r="H46" s="36" t="n">
        <f aca="false">IFERROR(INDEX(Catálogo!$F$2:$F$140,MATCH(E46,Catálogo!$A$2:$A$140,0)),0)</f>
        <v>0.07</v>
      </c>
      <c r="I46" s="19" t="n">
        <f aca="false">F46*H46</f>
        <v>10.5</v>
      </c>
    </row>
    <row r="47" customFormat="false" ht="15" hidden="false" customHeight="false" outlineLevel="0" collapsed="false">
      <c r="A47" s="33" t="n">
        <v>6</v>
      </c>
      <c r="B47" s="18" t="s">
        <v>48</v>
      </c>
      <c r="C47" s="18" t="s">
        <v>467</v>
      </c>
      <c r="D47" s="18" t="s">
        <v>468</v>
      </c>
      <c r="E47" s="34" t="s">
        <v>136</v>
      </c>
      <c r="F47" s="35" t="n">
        <v>50</v>
      </c>
      <c r="G47" s="33" t="s">
        <v>128</v>
      </c>
      <c r="H47" s="36" t="n">
        <f aca="false">IFERROR(INDEX(Catálogo!$F$2:$F$140,MATCH(E47,Catálogo!$A$2:$A$140,0)),0)</f>
        <v>0.42</v>
      </c>
      <c r="I47" s="19" t="n">
        <f aca="false">F47*H47</f>
        <v>21</v>
      </c>
    </row>
    <row r="48" customFormat="false" ht="15" hidden="false" customHeight="false" outlineLevel="0" collapsed="false">
      <c r="A48" s="33" t="n">
        <v>6</v>
      </c>
      <c r="B48" s="18" t="s">
        <v>48</v>
      </c>
      <c r="C48" s="18" t="s">
        <v>467</v>
      </c>
      <c r="D48" s="18" t="s">
        <v>469</v>
      </c>
      <c r="E48" s="34" t="s">
        <v>372</v>
      </c>
      <c r="F48" s="35" t="n">
        <v>15</v>
      </c>
      <c r="G48" s="33" t="s">
        <v>150</v>
      </c>
      <c r="H48" s="36" t="n">
        <f aca="false">IFERROR(INDEX(Catálogo!$F$2:$F$140,MATCH(E48,Catálogo!$A$2:$A$140,0)),0)</f>
        <v>1.4</v>
      </c>
      <c r="I48" s="19" t="n">
        <f aca="false">F48*H48</f>
        <v>21</v>
      </c>
    </row>
    <row r="49" customFormat="false" ht="15" hidden="false" customHeight="false" outlineLevel="0" collapsed="false">
      <c r="A49" s="33" t="n">
        <v>6</v>
      </c>
      <c r="B49" s="18" t="s">
        <v>48</v>
      </c>
      <c r="C49" s="18" t="s">
        <v>470</v>
      </c>
      <c r="D49" s="18" t="s">
        <v>471</v>
      </c>
      <c r="E49" s="34" t="s">
        <v>346</v>
      </c>
      <c r="F49" s="35" t="n">
        <v>50</v>
      </c>
      <c r="G49" s="33" t="s">
        <v>128</v>
      </c>
      <c r="H49" s="36" t="n">
        <f aca="false">IFERROR(INDEX(Catálogo!$F$2:$F$140,MATCH(E49,Catálogo!$A$2:$A$140,0)),0)</f>
        <v>0.9</v>
      </c>
      <c r="I49" s="19" t="n">
        <f aca="false">F49*H49</f>
        <v>45</v>
      </c>
    </row>
    <row r="50" customFormat="false" ht="15" hidden="false" customHeight="false" outlineLevel="0" collapsed="false">
      <c r="A50" s="33" t="n">
        <v>6</v>
      </c>
      <c r="B50" s="18" t="s">
        <v>48</v>
      </c>
      <c r="C50" s="18" t="s">
        <v>470</v>
      </c>
      <c r="D50" s="18" t="s">
        <v>472</v>
      </c>
      <c r="E50" s="34" t="s">
        <v>163</v>
      </c>
      <c r="F50" s="35" t="n">
        <v>5</v>
      </c>
      <c r="G50" s="33" t="s">
        <v>128</v>
      </c>
      <c r="H50" s="36" t="n">
        <f aca="false">IFERROR(INDEX(Catálogo!$F$2:$F$140,MATCH(E50,Catálogo!$A$2:$A$140,0)),0)</f>
        <v>2.5</v>
      </c>
      <c r="I50" s="19" t="n">
        <f aca="false">F50*H50</f>
        <v>12.5</v>
      </c>
    </row>
    <row r="51" customFormat="false" ht="15" hidden="false" customHeight="false" outlineLevel="0" collapsed="false">
      <c r="A51" s="33" t="n">
        <v>6</v>
      </c>
      <c r="B51" s="18" t="s">
        <v>48</v>
      </c>
      <c r="C51" s="18" t="s">
        <v>470</v>
      </c>
      <c r="D51" s="18" t="s">
        <v>473</v>
      </c>
      <c r="E51" s="34" t="s">
        <v>228</v>
      </c>
      <c r="F51" s="35" t="n">
        <v>1</v>
      </c>
      <c r="G51" s="33" t="s">
        <v>128</v>
      </c>
      <c r="H51" s="36" t="n">
        <f aca="false">IFERROR(INDEX(Catálogo!$F$2:$F$140,MATCH(E51,Catálogo!$A$2:$A$140,0)),0)</f>
        <v>0.7</v>
      </c>
      <c r="I51" s="19" t="n">
        <f aca="false">F51*H51</f>
        <v>0.7</v>
      </c>
    </row>
    <row r="52" customFormat="false" ht="15" hidden="false" customHeight="false" outlineLevel="0" collapsed="false">
      <c r="A52" s="24" t="n">
        <v>7</v>
      </c>
      <c r="B52" s="13" t="s">
        <v>50</v>
      </c>
      <c r="C52" s="13" t="s">
        <v>416</v>
      </c>
      <c r="D52" s="13" t="s">
        <v>474</v>
      </c>
      <c r="E52" s="27" t="s">
        <v>130</v>
      </c>
      <c r="F52" s="31" t="n">
        <v>150</v>
      </c>
      <c r="G52" s="24" t="s">
        <v>128</v>
      </c>
      <c r="H52" s="32" t="n">
        <f aca="false">IFERROR(INDEX(Catálogo!$F$2:$F$140,MATCH(E52,Catálogo!$A$2:$A$140,0)),0)</f>
        <v>0.07</v>
      </c>
      <c r="I52" s="15" t="n">
        <f aca="false">F52*H52</f>
        <v>10.5</v>
      </c>
    </row>
    <row r="53" customFormat="false" ht="15" hidden="false" customHeight="false" outlineLevel="0" collapsed="false">
      <c r="A53" s="24" t="n">
        <v>7</v>
      </c>
      <c r="B53" s="13" t="s">
        <v>50</v>
      </c>
      <c r="C53" s="13" t="s">
        <v>475</v>
      </c>
      <c r="D53" s="13" t="s">
        <v>476</v>
      </c>
      <c r="E53" s="27" t="s">
        <v>134</v>
      </c>
      <c r="F53" s="31" t="n">
        <v>100</v>
      </c>
      <c r="G53" s="24" t="s">
        <v>128</v>
      </c>
      <c r="H53" s="32" t="n">
        <f aca="false">IFERROR(INDEX(Catálogo!$F$2:$F$140,MATCH(E53,Catálogo!$A$2:$A$140,0)),0)</f>
        <v>0.26</v>
      </c>
      <c r="I53" s="15" t="n">
        <f aca="false">F53*H53</f>
        <v>26</v>
      </c>
    </row>
    <row r="54" customFormat="false" ht="15" hidden="false" customHeight="false" outlineLevel="0" collapsed="false">
      <c r="A54" s="24" t="n">
        <v>7</v>
      </c>
      <c r="B54" s="13" t="s">
        <v>50</v>
      </c>
      <c r="C54" s="13" t="s">
        <v>475</v>
      </c>
      <c r="D54" s="13" t="s">
        <v>477</v>
      </c>
      <c r="E54" s="27" t="s">
        <v>390</v>
      </c>
      <c r="F54" s="31" t="n">
        <v>15</v>
      </c>
      <c r="G54" s="24" t="s">
        <v>128</v>
      </c>
      <c r="H54" s="32" t="n">
        <f aca="false">IFERROR(INDEX(Catálogo!$F$2:$F$140,MATCH(E54,Catálogo!$A$2:$A$140,0)),0)</f>
        <v>0.4</v>
      </c>
      <c r="I54" s="15" t="n">
        <f aca="false">F54*H54</f>
        <v>6</v>
      </c>
    </row>
    <row r="55" customFormat="false" ht="15" hidden="false" customHeight="false" outlineLevel="0" collapsed="false">
      <c r="A55" s="24" t="n">
        <v>7</v>
      </c>
      <c r="B55" s="13" t="s">
        <v>50</v>
      </c>
      <c r="C55" s="13" t="s">
        <v>475</v>
      </c>
      <c r="D55" s="13" t="s">
        <v>478</v>
      </c>
      <c r="E55" s="27" t="s">
        <v>157</v>
      </c>
      <c r="F55" s="31" t="n">
        <v>6</v>
      </c>
      <c r="G55" s="24" t="s">
        <v>128</v>
      </c>
      <c r="H55" s="32" t="n">
        <f aca="false">IFERROR(INDEX(Catálogo!$F$2:$F$140,MATCH(E55,Catálogo!$A$2:$A$140,0)),0)</f>
        <v>0.76</v>
      </c>
      <c r="I55" s="15" t="n">
        <f aca="false">F55*H55</f>
        <v>4.56</v>
      </c>
    </row>
    <row r="56" customFormat="false" ht="15" hidden="false" customHeight="false" outlineLevel="0" collapsed="false">
      <c r="A56" s="24" t="n">
        <v>7</v>
      </c>
      <c r="B56" s="13" t="s">
        <v>50</v>
      </c>
      <c r="C56" s="13" t="s">
        <v>475</v>
      </c>
      <c r="D56" s="13" t="s">
        <v>479</v>
      </c>
      <c r="E56" s="27" t="s">
        <v>138</v>
      </c>
      <c r="F56" s="31" t="n">
        <v>2</v>
      </c>
      <c r="G56" s="24" t="s">
        <v>128</v>
      </c>
      <c r="H56" s="32" t="n">
        <f aca="false">IFERROR(INDEX(Catálogo!$F$2:$F$140,MATCH(E56,Catálogo!$A$2:$A$140,0)),0)</f>
        <v>0.032</v>
      </c>
      <c r="I56" s="15" t="n">
        <f aca="false">F56*H56</f>
        <v>0.064</v>
      </c>
    </row>
    <row r="57" customFormat="false" ht="15" hidden="false" customHeight="false" outlineLevel="0" collapsed="false">
      <c r="A57" s="33" t="n">
        <v>8</v>
      </c>
      <c r="B57" s="18" t="s">
        <v>51</v>
      </c>
      <c r="C57" s="18" t="s">
        <v>416</v>
      </c>
      <c r="D57" s="18" t="s">
        <v>480</v>
      </c>
      <c r="E57" s="34" t="s">
        <v>126</v>
      </c>
      <c r="F57" s="35" t="n">
        <v>150</v>
      </c>
      <c r="G57" s="33" t="s">
        <v>128</v>
      </c>
      <c r="H57" s="36" t="n">
        <f aca="false">IFERROR(INDEX(Catálogo!$F$2:$F$140,MATCH(E57,Catálogo!$A$2:$A$140,0)),0)</f>
        <v>0.11</v>
      </c>
      <c r="I57" s="19" t="n">
        <f aca="false">F57*H57</f>
        <v>16.5</v>
      </c>
    </row>
    <row r="58" customFormat="false" ht="15" hidden="false" customHeight="false" outlineLevel="0" collapsed="false">
      <c r="A58" s="33" t="n">
        <v>8</v>
      </c>
      <c r="B58" s="18" t="s">
        <v>51</v>
      </c>
      <c r="C58" s="18" t="s">
        <v>481</v>
      </c>
      <c r="D58" s="18" t="s">
        <v>449</v>
      </c>
      <c r="E58" s="34" t="s">
        <v>134</v>
      </c>
      <c r="F58" s="35" t="n">
        <v>110</v>
      </c>
      <c r="G58" s="33" t="s">
        <v>128</v>
      </c>
      <c r="H58" s="36" t="n">
        <f aca="false">IFERROR(INDEX(Catálogo!$F$2:$F$140,MATCH(E58,Catálogo!$A$2:$A$140,0)),0)</f>
        <v>0.26</v>
      </c>
      <c r="I58" s="19" t="n">
        <f aca="false">F58*H58</f>
        <v>28.6</v>
      </c>
    </row>
    <row r="59" customFormat="false" ht="15" hidden="false" customHeight="false" outlineLevel="0" collapsed="false">
      <c r="A59" s="33" t="n">
        <v>8</v>
      </c>
      <c r="B59" s="18" t="s">
        <v>51</v>
      </c>
      <c r="C59" s="18" t="s">
        <v>481</v>
      </c>
      <c r="D59" s="18" t="s">
        <v>420</v>
      </c>
      <c r="E59" s="34" t="s">
        <v>142</v>
      </c>
      <c r="F59" s="35" t="n">
        <v>180</v>
      </c>
      <c r="G59" s="33" t="s">
        <v>128</v>
      </c>
      <c r="H59" s="36" t="n">
        <f aca="false">IFERROR(INDEX(Catálogo!$F$2:$F$140,MATCH(E59,Catálogo!$A$2:$A$140,0)),0)</f>
        <v>0.045</v>
      </c>
      <c r="I59" s="19" t="n">
        <f aca="false">F59*H59</f>
        <v>8.1</v>
      </c>
    </row>
    <row r="60" customFormat="false" ht="15" hidden="false" customHeight="false" outlineLevel="0" collapsed="false">
      <c r="A60" s="33" t="n">
        <v>8</v>
      </c>
      <c r="B60" s="18" t="s">
        <v>51</v>
      </c>
      <c r="C60" s="18" t="s">
        <v>481</v>
      </c>
      <c r="D60" s="18" t="s">
        <v>451</v>
      </c>
      <c r="E60" s="34" t="s">
        <v>146</v>
      </c>
      <c r="F60" s="35" t="n">
        <v>50</v>
      </c>
      <c r="G60" s="33" t="s">
        <v>128</v>
      </c>
      <c r="H60" s="36" t="n">
        <f aca="false">IFERROR(INDEX(Catálogo!$F$2:$F$140,MATCH(E60,Catálogo!$A$2:$A$140,0)),0)</f>
        <v>0.07</v>
      </c>
      <c r="I60" s="19" t="n">
        <f aca="false">F60*H60</f>
        <v>3.5</v>
      </c>
    </row>
    <row r="61" customFormat="false" ht="15" hidden="false" customHeight="false" outlineLevel="0" collapsed="false">
      <c r="A61" s="33" t="n">
        <v>8</v>
      </c>
      <c r="B61" s="18" t="s">
        <v>51</v>
      </c>
      <c r="C61" s="18" t="s">
        <v>481</v>
      </c>
      <c r="D61" s="18" t="s">
        <v>482</v>
      </c>
      <c r="E61" s="34" t="s">
        <v>214</v>
      </c>
      <c r="F61" s="35" t="n">
        <v>35</v>
      </c>
      <c r="G61" s="33" t="s">
        <v>150</v>
      </c>
      <c r="H61" s="36" t="n">
        <f aca="false">IFERROR(INDEX(Catálogo!$F$2:$F$140,MATCH(E61,Catálogo!$A$2:$A$140,0)),0)</f>
        <v>0.16</v>
      </c>
      <c r="I61" s="19" t="n">
        <f aca="false">F61*H61</f>
        <v>5.6</v>
      </c>
    </row>
    <row r="62" customFormat="false" ht="15" hidden="false" customHeight="false" outlineLevel="0" collapsed="false">
      <c r="A62" s="33" t="n">
        <v>8</v>
      </c>
      <c r="B62" s="18" t="s">
        <v>51</v>
      </c>
      <c r="C62" s="18" t="s">
        <v>481</v>
      </c>
      <c r="D62" s="18" t="s">
        <v>483</v>
      </c>
      <c r="E62" s="34" t="s">
        <v>169</v>
      </c>
      <c r="F62" s="35" t="n">
        <v>1</v>
      </c>
      <c r="G62" s="33" t="s">
        <v>171</v>
      </c>
      <c r="H62" s="36" t="n">
        <f aca="false">IFERROR(INDEX(Catálogo!$F$2:$F$140,MATCH(E62,Catálogo!$A$2:$A$140,0)),0)</f>
        <v>45</v>
      </c>
      <c r="I62" s="19" t="n">
        <f aca="false">F62*H62</f>
        <v>45</v>
      </c>
    </row>
    <row r="63" customFormat="false" ht="15" hidden="false" customHeight="false" outlineLevel="0" collapsed="false">
      <c r="A63" s="33" t="n">
        <v>8</v>
      </c>
      <c r="B63" s="18" t="s">
        <v>51</v>
      </c>
      <c r="C63" s="18" t="s">
        <v>481</v>
      </c>
      <c r="D63" s="18" t="s">
        <v>484</v>
      </c>
      <c r="E63" s="34" t="s">
        <v>151</v>
      </c>
      <c r="F63" s="35" t="n">
        <v>4</v>
      </c>
      <c r="G63" s="33" t="s">
        <v>128</v>
      </c>
      <c r="H63" s="36" t="n">
        <f aca="false">IFERROR(INDEX(Catálogo!$F$2:$F$140,MATCH(E63,Catálogo!$A$2:$A$140,0)),0)</f>
        <v>0.06</v>
      </c>
      <c r="I63" s="19" t="n">
        <f aca="false">F63*H63</f>
        <v>0.24</v>
      </c>
    </row>
    <row r="64" customFormat="false" ht="15" hidden="false" customHeight="false" outlineLevel="0" collapsed="false">
      <c r="A64" s="33" t="n">
        <v>8</v>
      </c>
      <c r="B64" s="18" t="s">
        <v>51</v>
      </c>
      <c r="C64" s="18" t="s">
        <v>481</v>
      </c>
      <c r="D64" s="18" t="s">
        <v>424</v>
      </c>
      <c r="E64" s="34" t="s">
        <v>153</v>
      </c>
      <c r="F64" s="35" t="n">
        <v>3</v>
      </c>
      <c r="G64" s="33" t="s">
        <v>128</v>
      </c>
      <c r="H64" s="36" t="n">
        <f aca="false">IFERROR(INDEX(Catálogo!$F$2:$F$140,MATCH(E64,Catálogo!$A$2:$A$140,0)),0)</f>
        <v>0.025</v>
      </c>
      <c r="I64" s="19" t="n">
        <f aca="false">F64*H64</f>
        <v>0.075</v>
      </c>
    </row>
    <row r="65" customFormat="false" ht="15" hidden="false" customHeight="false" outlineLevel="0" collapsed="false">
      <c r="A65" s="33" t="n">
        <v>8</v>
      </c>
      <c r="B65" s="18" t="s">
        <v>51</v>
      </c>
      <c r="C65" s="18" t="s">
        <v>485</v>
      </c>
      <c r="D65" s="18" t="s">
        <v>486</v>
      </c>
      <c r="E65" s="34" t="s">
        <v>220</v>
      </c>
      <c r="F65" s="35" t="n">
        <v>3</v>
      </c>
      <c r="G65" s="33" t="s">
        <v>128</v>
      </c>
      <c r="H65" s="36" t="n">
        <f aca="false">IFERROR(INDEX(Catálogo!$F$2:$F$140,MATCH(E65,Catálogo!$A$2:$A$140,0)),0)</f>
        <v>0.6</v>
      </c>
      <c r="I65" s="19" t="n">
        <f aca="false">F65*H65</f>
        <v>1.8</v>
      </c>
    </row>
    <row r="66" customFormat="false" ht="15" hidden="false" customHeight="false" outlineLevel="0" collapsed="false">
      <c r="A66" s="33" t="n">
        <v>8</v>
      </c>
      <c r="B66" s="18" t="s">
        <v>51</v>
      </c>
      <c r="C66" s="18" t="s">
        <v>485</v>
      </c>
      <c r="D66" s="18" t="s">
        <v>487</v>
      </c>
      <c r="E66" s="34" t="s">
        <v>222</v>
      </c>
      <c r="F66" s="35" t="n">
        <v>2</v>
      </c>
      <c r="G66" s="33" t="s">
        <v>128</v>
      </c>
      <c r="H66" s="36" t="n">
        <f aca="false">IFERROR(INDEX(Catálogo!$F$2:$F$140,MATCH(E66,Catálogo!$A$2:$A$140,0)),0)</f>
        <v>0.35</v>
      </c>
      <c r="I66" s="19" t="n">
        <f aca="false">F66*H66</f>
        <v>0.7</v>
      </c>
    </row>
    <row r="67" customFormat="false" ht="15" hidden="false" customHeight="false" outlineLevel="0" collapsed="false">
      <c r="A67" s="33" t="n">
        <v>8</v>
      </c>
      <c r="B67" s="18" t="s">
        <v>51</v>
      </c>
      <c r="C67" s="18" t="s">
        <v>485</v>
      </c>
      <c r="D67" s="18" t="s">
        <v>488</v>
      </c>
      <c r="E67" s="34" t="s">
        <v>218</v>
      </c>
      <c r="F67" s="35" t="n">
        <v>1</v>
      </c>
      <c r="G67" s="33" t="s">
        <v>128</v>
      </c>
      <c r="H67" s="36" t="n">
        <f aca="false">IFERROR(INDEX(Catálogo!$F$2:$F$140,MATCH(E67,Catálogo!$A$2:$A$140,0)),0)</f>
        <v>1.5</v>
      </c>
      <c r="I67" s="19" t="n">
        <f aca="false">F67*H67</f>
        <v>1.5</v>
      </c>
    </row>
    <row r="68" customFormat="false" ht="15" hidden="false" customHeight="false" outlineLevel="0" collapsed="false">
      <c r="A68" s="33" t="n">
        <v>8</v>
      </c>
      <c r="B68" s="18" t="s">
        <v>51</v>
      </c>
      <c r="C68" s="18" t="s">
        <v>485</v>
      </c>
      <c r="D68" s="18" t="s">
        <v>489</v>
      </c>
      <c r="E68" s="34" t="s">
        <v>224</v>
      </c>
      <c r="F68" s="35" t="n">
        <v>0.5</v>
      </c>
      <c r="G68" s="33" t="s">
        <v>128</v>
      </c>
      <c r="H68" s="36" t="n">
        <f aca="false">IFERROR(INDEX(Catálogo!$F$2:$F$140,MATCH(E68,Catálogo!$A$2:$A$140,0)),0)</f>
        <v>0.7</v>
      </c>
      <c r="I68" s="19" t="n">
        <f aca="false">F68*H68</f>
        <v>0.35</v>
      </c>
    </row>
    <row r="69" customFormat="false" ht="15" hidden="false" customHeight="false" outlineLevel="0" collapsed="false">
      <c r="A69" s="33" t="n">
        <v>8</v>
      </c>
      <c r="B69" s="18" t="s">
        <v>51</v>
      </c>
      <c r="C69" s="18" t="s">
        <v>485</v>
      </c>
      <c r="D69" s="18" t="s">
        <v>490</v>
      </c>
      <c r="E69" s="34" t="s">
        <v>226</v>
      </c>
      <c r="F69" s="35" t="n">
        <v>0.5</v>
      </c>
      <c r="G69" s="33" t="s">
        <v>128</v>
      </c>
      <c r="H69" s="36" t="n">
        <f aca="false">IFERROR(INDEX(Catálogo!$F$2:$F$140,MATCH(E69,Catálogo!$A$2:$A$140,0)),0)</f>
        <v>0.45</v>
      </c>
      <c r="I69" s="19" t="n">
        <f aca="false">F69*H69</f>
        <v>0.225</v>
      </c>
    </row>
    <row r="70" customFormat="false" ht="15" hidden="false" customHeight="false" outlineLevel="0" collapsed="false">
      <c r="A70" s="24" t="n">
        <v>9</v>
      </c>
      <c r="B70" s="13" t="s">
        <v>52</v>
      </c>
      <c r="C70" s="13" t="s">
        <v>428</v>
      </c>
      <c r="D70" s="13" t="s">
        <v>429</v>
      </c>
      <c r="E70" s="27" t="s">
        <v>126</v>
      </c>
      <c r="F70" s="31" t="n">
        <v>140</v>
      </c>
      <c r="G70" s="24" t="s">
        <v>128</v>
      </c>
      <c r="H70" s="32" t="n">
        <f aca="false">IFERROR(INDEX(Catálogo!$F$2:$F$140,MATCH(E70,Catálogo!$A$2:$A$140,0)),0)</f>
        <v>0.11</v>
      </c>
      <c r="I70" s="15" t="n">
        <f aca="false">F70*H70</f>
        <v>15.4</v>
      </c>
    </row>
    <row r="71" customFormat="false" ht="15" hidden="false" customHeight="false" outlineLevel="0" collapsed="false">
      <c r="A71" s="24" t="n">
        <v>9</v>
      </c>
      <c r="B71" s="13" t="s">
        <v>52</v>
      </c>
      <c r="C71" s="13" t="s">
        <v>428</v>
      </c>
      <c r="D71" s="13" t="s">
        <v>491</v>
      </c>
      <c r="E71" s="27" t="s">
        <v>194</v>
      </c>
      <c r="F71" s="31" t="n">
        <v>60</v>
      </c>
      <c r="G71" s="24" t="s">
        <v>128</v>
      </c>
      <c r="H71" s="32" t="n">
        <f aca="false">IFERROR(INDEX(Catálogo!$F$2:$F$140,MATCH(E71,Catálogo!$A$2:$A$140,0)),0)</f>
        <v>0.09</v>
      </c>
      <c r="I71" s="15" t="n">
        <f aca="false">F71*H71</f>
        <v>5.4</v>
      </c>
    </row>
    <row r="72" customFormat="false" ht="15" hidden="false" customHeight="false" outlineLevel="0" collapsed="false">
      <c r="A72" s="24" t="n">
        <v>9</v>
      </c>
      <c r="B72" s="13" t="s">
        <v>52</v>
      </c>
      <c r="C72" s="13" t="s">
        <v>492</v>
      </c>
      <c r="D72" s="13" t="s">
        <v>493</v>
      </c>
      <c r="E72" s="27" t="s">
        <v>144</v>
      </c>
      <c r="F72" s="31" t="n">
        <v>180</v>
      </c>
      <c r="G72" s="24" t="s">
        <v>128</v>
      </c>
      <c r="H72" s="32" t="n">
        <f aca="false">IFERROR(INDEX(Catálogo!$F$2:$F$140,MATCH(E72,Catálogo!$A$2:$A$140,0)),0)</f>
        <v>0.045</v>
      </c>
      <c r="I72" s="15" t="n">
        <f aca="false">F72*H72</f>
        <v>8.1</v>
      </c>
    </row>
    <row r="73" customFormat="false" ht="15" hidden="false" customHeight="false" outlineLevel="0" collapsed="false">
      <c r="A73" s="24" t="n">
        <v>9</v>
      </c>
      <c r="B73" s="13" t="s">
        <v>52</v>
      </c>
      <c r="C73" s="13" t="s">
        <v>492</v>
      </c>
      <c r="D73" s="13" t="s">
        <v>442</v>
      </c>
      <c r="E73" s="27" t="s">
        <v>134</v>
      </c>
      <c r="F73" s="31" t="n">
        <v>100</v>
      </c>
      <c r="G73" s="24" t="s">
        <v>128</v>
      </c>
      <c r="H73" s="32" t="n">
        <f aca="false">IFERROR(INDEX(Catálogo!$F$2:$F$140,MATCH(E73,Catálogo!$A$2:$A$140,0)),0)</f>
        <v>0.26</v>
      </c>
      <c r="I73" s="15" t="n">
        <f aca="false">F73*H73</f>
        <v>26</v>
      </c>
    </row>
    <row r="74" customFormat="false" ht="15" hidden="false" customHeight="false" outlineLevel="0" collapsed="false">
      <c r="A74" s="24" t="n">
        <v>9</v>
      </c>
      <c r="B74" s="13" t="s">
        <v>52</v>
      </c>
      <c r="C74" s="13" t="s">
        <v>492</v>
      </c>
      <c r="D74" s="13" t="s">
        <v>494</v>
      </c>
      <c r="E74" s="27" t="s">
        <v>146</v>
      </c>
      <c r="F74" s="31" t="n">
        <v>40</v>
      </c>
      <c r="G74" s="24" t="s">
        <v>128</v>
      </c>
      <c r="H74" s="32" t="n">
        <f aca="false">IFERROR(INDEX(Catálogo!$F$2:$F$140,MATCH(E74,Catálogo!$A$2:$A$140,0)),0)</f>
        <v>0.07</v>
      </c>
      <c r="I74" s="15" t="n">
        <f aca="false">F74*H74</f>
        <v>2.8</v>
      </c>
    </row>
    <row r="75" customFormat="false" ht="15" hidden="false" customHeight="false" outlineLevel="0" collapsed="false">
      <c r="A75" s="24" t="n">
        <v>9</v>
      </c>
      <c r="B75" s="13" t="s">
        <v>52</v>
      </c>
      <c r="C75" s="13" t="s">
        <v>492</v>
      </c>
      <c r="D75" s="13" t="s">
        <v>422</v>
      </c>
      <c r="E75" s="27" t="s">
        <v>148</v>
      </c>
      <c r="F75" s="31" t="n">
        <v>40</v>
      </c>
      <c r="G75" s="24" t="s">
        <v>150</v>
      </c>
      <c r="H75" s="32" t="n">
        <f aca="false">IFERROR(INDEX(Catálogo!$F$2:$F$140,MATCH(E75,Catálogo!$A$2:$A$140,0)),0)</f>
        <v>0.002</v>
      </c>
      <c r="I75" s="15" t="n">
        <f aca="false">F75*H75</f>
        <v>0.08</v>
      </c>
    </row>
    <row r="76" customFormat="false" ht="15" hidden="false" customHeight="false" outlineLevel="0" collapsed="false">
      <c r="A76" s="24" t="n">
        <v>9</v>
      </c>
      <c r="B76" s="13" t="s">
        <v>52</v>
      </c>
      <c r="C76" s="13" t="s">
        <v>492</v>
      </c>
      <c r="D76" s="13" t="s">
        <v>437</v>
      </c>
      <c r="E76" s="27" t="s">
        <v>151</v>
      </c>
      <c r="F76" s="31" t="n">
        <v>4</v>
      </c>
      <c r="G76" s="24" t="s">
        <v>128</v>
      </c>
      <c r="H76" s="32" t="n">
        <f aca="false">IFERROR(INDEX(Catálogo!$F$2:$F$140,MATCH(E76,Catálogo!$A$2:$A$140,0)),0)</f>
        <v>0.06</v>
      </c>
      <c r="I76" s="15" t="n">
        <f aca="false">F76*H76</f>
        <v>0.24</v>
      </c>
    </row>
    <row r="77" customFormat="false" ht="15" hidden="false" customHeight="false" outlineLevel="0" collapsed="false">
      <c r="A77" s="24" t="n">
        <v>9</v>
      </c>
      <c r="B77" s="13" t="s">
        <v>52</v>
      </c>
      <c r="C77" s="13" t="s">
        <v>492</v>
      </c>
      <c r="D77" s="13" t="s">
        <v>495</v>
      </c>
      <c r="E77" s="27" t="s">
        <v>155</v>
      </c>
      <c r="F77" s="31" t="n">
        <v>3</v>
      </c>
      <c r="G77" s="24" t="s">
        <v>128</v>
      </c>
      <c r="H77" s="32" t="n">
        <f aca="false">IFERROR(INDEX(Catálogo!$F$2:$F$140,MATCH(E77,Catálogo!$A$2:$A$140,0)),0)</f>
        <v>0.24</v>
      </c>
      <c r="I77" s="15" t="n">
        <f aca="false">F77*H77</f>
        <v>0.72</v>
      </c>
    </row>
    <row r="78" customFormat="false" ht="15" hidden="false" customHeight="false" outlineLevel="0" collapsed="false">
      <c r="A78" s="24" t="n">
        <v>9</v>
      </c>
      <c r="B78" s="13" t="s">
        <v>52</v>
      </c>
      <c r="C78" s="13" t="s">
        <v>492</v>
      </c>
      <c r="D78" s="13" t="s">
        <v>496</v>
      </c>
      <c r="E78" s="27" t="s">
        <v>220</v>
      </c>
      <c r="F78" s="31" t="n">
        <v>2</v>
      </c>
      <c r="G78" s="24" t="s">
        <v>128</v>
      </c>
      <c r="H78" s="32" t="n">
        <f aca="false">IFERROR(INDEX(Catálogo!$F$2:$F$140,MATCH(E78,Catálogo!$A$2:$A$140,0)),0)</f>
        <v>0.6</v>
      </c>
      <c r="I78" s="15" t="n">
        <f aca="false">F78*H78</f>
        <v>1.2</v>
      </c>
    </row>
    <row r="79" customFormat="false" ht="15" hidden="false" customHeight="false" outlineLevel="0" collapsed="false">
      <c r="A79" s="33" t="n">
        <v>10</v>
      </c>
      <c r="B79" s="18" t="s">
        <v>53</v>
      </c>
      <c r="C79" s="18" t="s">
        <v>416</v>
      </c>
      <c r="D79" s="18" t="s">
        <v>497</v>
      </c>
      <c r="E79" s="34" t="s">
        <v>126</v>
      </c>
      <c r="F79" s="35" t="n">
        <v>150</v>
      </c>
      <c r="G79" s="33" t="s">
        <v>128</v>
      </c>
      <c r="H79" s="36" t="n">
        <f aca="false">IFERROR(INDEX(Catálogo!$F$2:$F$140,MATCH(E79,Catálogo!$A$2:$A$140,0)),0)</f>
        <v>0.11</v>
      </c>
      <c r="I79" s="19" t="n">
        <f aca="false">F79*H79</f>
        <v>16.5</v>
      </c>
    </row>
    <row r="80" customFormat="false" ht="15" hidden="false" customHeight="false" outlineLevel="0" collapsed="false">
      <c r="A80" s="33" t="n">
        <v>10</v>
      </c>
      <c r="B80" s="18" t="s">
        <v>53</v>
      </c>
      <c r="C80" s="18" t="s">
        <v>498</v>
      </c>
      <c r="D80" s="18" t="s">
        <v>499</v>
      </c>
      <c r="E80" s="34" t="s">
        <v>250</v>
      </c>
      <c r="F80" s="35" t="n">
        <v>100</v>
      </c>
      <c r="G80" s="33" t="s">
        <v>150</v>
      </c>
      <c r="H80" s="36" t="n">
        <f aca="false">IFERROR(INDEX(Catálogo!$F$2:$F$140,MATCH(E80,Catálogo!$A$2:$A$140,0)),0)</f>
        <v>0.08</v>
      </c>
      <c r="I80" s="19" t="n">
        <f aca="false">F80*H80</f>
        <v>8</v>
      </c>
    </row>
    <row r="81" customFormat="false" ht="15" hidden="false" customHeight="false" outlineLevel="0" collapsed="false">
      <c r="A81" s="33" t="n">
        <v>10</v>
      </c>
      <c r="B81" s="18" t="s">
        <v>53</v>
      </c>
      <c r="C81" s="18" t="s">
        <v>500</v>
      </c>
      <c r="D81" s="18" t="s">
        <v>449</v>
      </c>
      <c r="E81" s="34" t="s">
        <v>134</v>
      </c>
      <c r="F81" s="35" t="n">
        <v>110</v>
      </c>
      <c r="G81" s="33" t="s">
        <v>128</v>
      </c>
      <c r="H81" s="36" t="n">
        <f aca="false">IFERROR(INDEX(Catálogo!$F$2:$F$140,MATCH(E81,Catálogo!$A$2:$A$140,0)),0)</f>
        <v>0.26</v>
      </c>
      <c r="I81" s="19" t="n">
        <f aca="false">F81*H81</f>
        <v>28.6</v>
      </c>
    </row>
    <row r="82" customFormat="false" ht="15" hidden="false" customHeight="false" outlineLevel="0" collapsed="false">
      <c r="A82" s="33" t="n">
        <v>10</v>
      </c>
      <c r="B82" s="18" t="s">
        <v>53</v>
      </c>
      <c r="C82" s="18" t="s">
        <v>500</v>
      </c>
      <c r="D82" s="18" t="s">
        <v>501</v>
      </c>
      <c r="E82" s="34" t="s">
        <v>138</v>
      </c>
      <c r="F82" s="35" t="n">
        <v>190</v>
      </c>
      <c r="G82" s="33" t="s">
        <v>128</v>
      </c>
      <c r="H82" s="36" t="n">
        <f aca="false">IFERROR(INDEX(Catálogo!$F$2:$F$140,MATCH(E82,Catálogo!$A$2:$A$140,0)),0)</f>
        <v>0.032</v>
      </c>
      <c r="I82" s="19" t="n">
        <f aca="false">F82*H82</f>
        <v>6.08</v>
      </c>
    </row>
    <row r="83" customFormat="false" ht="15" hidden="false" customHeight="false" outlineLevel="0" collapsed="false">
      <c r="A83" s="33" t="n">
        <v>10</v>
      </c>
      <c r="B83" s="18" t="s">
        <v>53</v>
      </c>
      <c r="C83" s="18" t="s">
        <v>500</v>
      </c>
      <c r="D83" s="18" t="s">
        <v>463</v>
      </c>
      <c r="E83" s="34" t="s">
        <v>146</v>
      </c>
      <c r="F83" s="35" t="n">
        <v>40</v>
      </c>
      <c r="G83" s="33" t="s">
        <v>128</v>
      </c>
      <c r="H83" s="36" t="n">
        <f aca="false">IFERROR(INDEX(Catálogo!$F$2:$F$140,MATCH(E83,Catálogo!$A$2:$A$140,0)),0)</f>
        <v>0.07</v>
      </c>
      <c r="I83" s="19" t="n">
        <f aca="false">F83*H83</f>
        <v>2.8</v>
      </c>
    </row>
    <row r="84" customFormat="false" ht="15" hidden="false" customHeight="false" outlineLevel="0" collapsed="false">
      <c r="A84" s="33" t="n">
        <v>10</v>
      </c>
      <c r="B84" s="18" t="s">
        <v>53</v>
      </c>
      <c r="C84" s="18" t="s">
        <v>500</v>
      </c>
      <c r="D84" s="18" t="s">
        <v>502</v>
      </c>
      <c r="E84" s="34" t="s">
        <v>406</v>
      </c>
      <c r="F84" s="35" t="n">
        <v>40</v>
      </c>
      <c r="G84" s="33" t="s">
        <v>150</v>
      </c>
      <c r="H84" s="36" t="n">
        <f aca="false">IFERROR(INDEX(Catálogo!$F$2:$F$140,MATCH(E84,Catálogo!$A$2:$A$140,0)),0)</f>
        <v>0</v>
      </c>
      <c r="I84" s="19" t="n">
        <f aca="false">F84*H84</f>
        <v>0</v>
      </c>
    </row>
    <row r="85" customFormat="false" ht="15" hidden="false" customHeight="false" outlineLevel="0" collapsed="false">
      <c r="A85" s="33" t="n">
        <v>10</v>
      </c>
      <c r="B85" s="18" t="s">
        <v>53</v>
      </c>
      <c r="C85" s="18" t="s">
        <v>500</v>
      </c>
      <c r="D85" s="18" t="s">
        <v>503</v>
      </c>
      <c r="E85" s="34" t="s">
        <v>398</v>
      </c>
      <c r="F85" s="35" t="n">
        <v>3</v>
      </c>
      <c r="G85" s="33" t="s">
        <v>128</v>
      </c>
      <c r="H85" s="36" t="n">
        <f aca="false">IFERROR(INDEX(Catálogo!$F$2:$F$140,MATCH(E85,Catálogo!$A$2:$A$140,0)),0)</f>
        <v>0.08</v>
      </c>
      <c r="I85" s="19" t="n">
        <f aca="false">F85*H85</f>
        <v>0.24</v>
      </c>
    </row>
    <row r="86" customFormat="false" ht="15" hidden="false" customHeight="false" outlineLevel="0" collapsed="false">
      <c r="A86" s="33" t="n">
        <v>10</v>
      </c>
      <c r="B86" s="18" t="s">
        <v>53</v>
      </c>
      <c r="C86" s="18" t="s">
        <v>500</v>
      </c>
      <c r="D86" s="18" t="s">
        <v>437</v>
      </c>
      <c r="E86" s="34" t="s">
        <v>151</v>
      </c>
      <c r="F86" s="35" t="n">
        <v>4</v>
      </c>
      <c r="G86" s="33" t="s">
        <v>128</v>
      </c>
      <c r="H86" s="36" t="n">
        <f aca="false">IFERROR(INDEX(Catálogo!$F$2:$F$140,MATCH(E86,Catálogo!$A$2:$A$140,0)),0)</f>
        <v>0.06</v>
      </c>
      <c r="I86" s="19" t="n">
        <f aca="false">F86*H86</f>
        <v>0.24</v>
      </c>
    </row>
    <row r="87" customFormat="false" ht="15" hidden="false" customHeight="false" outlineLevel="0" collapsed="false">
      <c r="A87" s="33" t="n">
        <v>10</v>
      </c>
      <c r="B87" s="18" t="s">
        <v>53</v>
      </c>
      <c r="C87" s="18" t="s">
        <v>500</v>
      </c>
      <c r="D87" s="18" t="s">
        <v>454</v>
      </c>
      <c r="E87" s="34" t="s">
        <v>153</v>
      </c>
      <c r="F87" s="35" t="n">
        <v>2</v>
      </c>
      <c r="G87" s="33" t="s">
        <v>128</v>
      </c>
      <c r="H87" s="36" t="n">
        <f aca="false">IFERROR(INDEX(Catálogo!$F$2:$F$140,MATCH(E87,Catálogo!$A$2:$A$140,0)),0)</f>
        <v>0.025</v>
      </c>
      <c r="I87" s="19" t="n">
        <f aca="false">F87*H87</f>
        <v>0.05</v>
      </c>
    </row>
    <row r="88" customFormat="false" ht="15" hidden="false" customHeight="false" outlineLevel="0" collapsed="false">
      <c r="A88" s="33" t="n">
        <v>10</v>
      </c>
      <c r="B88" s="18" t="s">
        <v>53</v>
      </c>
      <c r="C88" s="18" t="s">
        <v>426</v>
      </c>
      <c r="D88" s="18" t="s">
        <v>504</v>
      </c>
      <c r="E88" s="34" t="s">
        <v>159</v>
      </c>
      <c r="F88" s="35" t="n">
        <v>5</v>
      </c>
      <c r="G88" s="33" t="s">
        <v>128</v>
      </c>
      <c r="H88" s="36" t="n">
        <f aca="false">IFERROR(INDEX(Catálogo!$F$2:$F$140,MATCH(E88,Catálogo!$A$2:$A$140,0)),0)</f>
        <v>0.16</v>
      </c>
      <c r="I88" s="19" t="n">
        <f aca="false">F88*H88</f>
        <v>0.8</v>
      </c>
    </row>
    <row r="89" customFormat="false" ht="15" hidden="false" customHeight="false" outlineLevel="0" collapsed="false">
      <c r="A89" s="24" t="n">
        <v>11</v>
      </c>
      <c r="B89" s="13" t="s">
        <v>54</v>
      </c>
      <c r="C89" s="13" t="s">
        <v>505</v>
      </c>
      <c r="D89" s="13" t="s">
        <v>506</v>
      </c>
      <c r="E89" s="27" t="s">
        <v>126</v>
      </c>
      <c r="F89" s="31" t="n">
        <v>140</v>
      </c>
      <c r="G89" s="24" t="s">
        <v>128</v>
      </c>
      <c r="H89" s="32" t="n">
        <f aca="false">IFERROR(INDEX(Catálogo!$F$2:$F$140,MATCH(E89,Catálogo!$A$2:$A$140,0)),0)</f>
        <v>0.11</v>
      </c>
      <c r="I89" s="15" t="n">
        <f aca="false">F89*H89</f>
        <v>15.4</v>
      </c>
    </row>
    <row r="90" customFormat="false" ht="15" hidden="false" customHeight="false" outlineLevel="0" collapsed="false">
      <c r="A90" s="24" t="n">
        <v>11</v>
      </c>
      <c r="B90" s="13" t="s">
        <v>54</v>
      </c>
      <c r="C90" s="13" t="s">
        <v>505</v>
      </c>
      <c r="D90" s="13" t="s">
        <v>507</v>
      </c>
      <c r="E90" s="27" t="s">
        <v>138</v>
      </c>
      <c r="F90" s="31" t="n">
        <v>90</v>
      </c>
      <c r="G90" s="24" t="s">
        <v>128</v>
      </c>
      <c r="H90" s="32" t="n">
        <f aca="false">IFERROR(INDEX(Catálogo!$F$2:$F$140,MATCH(E90,Catálogo!$A$2:$A$140,0)),0)</f>
        <v>0.032</v>
      </c>
      <c r="I90" s="15" t="n">
        <f aca="false">F90*H90</f>
        <v>2.88</v>
      </c>
    </row>
    <row r="91" customFormat="false" ht="15" hidden="false" customHeight="false" outlineLevel="0" collapsed="false">
      <c r="A91" s="24" t="n">
        <v>11</v>
      </c>
      <c r="B91" s="13" t="s">
        <v>54</v>
      </c>
      <c r="C91" s="13" t="s">
        <v>505</v>
      </c>
      <c r="D91" s="13" t="s">
        <v>508</v>
      </c>
      <c r="E91" s="27" t="s">
        <v>134</v>
      </c>
      <c r="F91" s="31" t="n">
        <v>25</v>
      </c>
      <c r="G91" s="24" t="s">
        <v>128</v>
      </c>
      <c r="H91" s="32" t="n">
        <f aca="false">IFERROR(INDEX(Catálogo!$F$2:$F$140,MATCH(E91,Catálogo!$A$2:$A$140,0)),0)</f>
        <v>0.26</v>
      </c>
      <c r="I91" s="15" t="n">
        <f aca="false">F91*H91</f>
        <v>6.5</v>
      </c>
    </row>
    <row r="92" customFormat="false" ht="15" hidden="false" customHeight="false" outlineLevel="0" collapsed="false">
      <c r="A92" s="24" t="n">
        <v>11</v>
      </c>
      <c r="B92" s="13" t="s">
        <v>54</v>
      </c>
      <c r="C92" s="13" t="s">
        <v>505</v>
      </c>
      <c r="D92" s="13" t="s">
        <v>464</v>
      </c>
      <c r="E92" s="27" t="s">
        <v>148</v>
      </c>
      <c r="F92" s="31" t="n">
        <v>25</v>
      </c>
      <c r="G92" s="24" t="s">
        <v>150</v>
      </c>
      <c r="H92" s="32" t="n">
        <f aca="false">IFERROR(INDEX(Catálogo!$F$2:$F$140,MATCH(E92,Catálogo!$A$2:$A$140,0)),0)</f>
        <v>0.002</v>
      </c>
      <c r="I92" s="15" t="n">
        <f aca="false">F92*H92</f>
        <v>0.05</v>
      </c>
    </row>
    <row r="93" customFormat="false" ht="15" hidden="false" customHeight="false" outlineLevel="0" collapsed="false">
      <c r="A93" s="24" t="n">
        <v>11</v>
      </c>
      <c r="B93" s="13" t="s">
        <v>54</v>
      </c>
      <c r="C93" s="13" t="s">
        <v>505</v>
      </c>
      <c r="D93" s="13" t="s">
        <v>509</v>
      </c>
      <c r="E93" s="27" t="s">
        <v>151</v>
      </c>
      <c r="F93" s="31" t="n">
        <v>2</v>
      </c>
      <c r="G93" s="24" t="s">
        <v>128</v>
      </c>
      <c r="H93" s="32" t="n">
        <f aca="false">IFERROR(INDEX(Catálogo!$F$2:$F$140,MATCH(E93,Catálogo!$A$2:$A$140,0)),0)</f>
        <v>0.06</v>
      </c>
      <c r="I93" s="15" t="n">
        <f aca="false">F93*H93</f>
        <v>0.12</v>
      </c>
    </row>
    <row r="94" customFormat="false" ht="15" hidden="false" customHeight="false" outlineLevel="0" collapsed="false">
      <c r="A94" s="24" t="n">
        <v>11</v>
      </c>
      <c r="B94" s="13" t="s">
        <v>54</v>
      </c>
      <c r="C94" s="13" t="s">
        <v>510</v>
      </c>
      <c r="D94" s="13" t="s">
        <v>511</v>
      </c>
      <c r="E94" s="27" t="s">
        <v>280</v>
      </c>
      <c r="F94" s="31" t="n">
        <v>240</v>
      </c>
      <c r="G94" s="24" t="s">
        <v>128</v>
      </c>
      <c r="H94" s="32" t="n">
        <f aca="false">IFERROR(INDEX(Catálogo!$F$2:$F$140,MATCH(E94,Catálogo!$A$2:$A$140,0)),0)</f>
        <v>0.45</v>
      </c>
      <c r="I94" s="15" t="n">
        <f aca="false">F94*H94</f>
        <v>108</v>
      </c>
    </row>
    <row r="95" customFormat="false" ht="15" hidden="false" customHeight="false" outlineLevel="0" collapsed="false">
      <c r="A95" s="24" t="n">
        <v>11</v>
      </c>
      <c r="B95" s="13" t="s">
        <v>54</v>
      </c>
      <c r="C95" s="13" t="s">
        <v>510</v>
      </c>
      <c r="D95" s="13" t="s">
        <v>512</v>
      </c>
      <c r="E95" s="27" t="s">
        <v>294</v>
      </c>
      <c r="F95" s="31" t="n">
        <v>60</v>
      </c>
      <c r="G95" s="24" t="s">
        <v>128</v>
      </c>
      <c r="H95" s="32" t="n">
        <f aca="false">IFERROR(INDEX(Catálogo!$F$2:$F$140,MATCH(E95,Catálogo!$A$2:$A$140,0)),0)</f>
        <v>0.4</v>
      </c>
      <c r="I95" s="15" t="n">
        <f aca="false">F95*H95</f>
        <v>24</v>
      </c>
    </row>
    <row r="96" customFormat="false" ht="15" hidden="false" customHeight="false" outlineLevel="0" collapsed="false">
      <c r="A96" s="24" t="n">
        <v>11</v>
      </c>
      <c r="B96" s="13" t="s">
        <v>54</v>
      </c>
      <c r="C96" s="13" t="s">
        <v>510</v>
      </c>
      <c r="D96" s="13" t="s">
        <v>513</v>
      </c>
      <c r="E96" s="27" t="s">
        <v>157</v>
      </c>
      <c r="F96" s="31" t="n">
        <v>6</v>
      </c>
      <c r="G96" s="24" t="s">
        <v>128</v>
      </c>
      <c r="H96" s="32" t="n">
        <f aca="false">IFERROR(INDEX(Catálogo!$F$2:$F$140,MATCH(E96,Catálogo!$A$2:$A$140,0)),0)</f>
        <v>0.76</v>
      </c>
      <c r="I96" s="15" t="n">
        <f aca="false">F96*H96</f>
        <v>4.56</v>
      </c>
    </row>
    <row r="97" customFormat="false" ht="15" hidden="false" customHeight="false" outlineLevel="0" collapsed="false">
      <c r="A97" s="33" t="n">
        <v>12</v>
      </c>
      <c r="B97" s="18" t="s">
        <v>56</v>
      </c>
      <c r="C97" s="18" t="s">
        <v>416</v>
      </c>
      <c r="D97" s="18" t="s">
        <v>514</v>
      </c>
      <c r="E97" s="34" t="s">
        <v>132</v>
      </c>
      <c r="F97" s="35" t="n">
        <v>250</v>
      </c>
      <c r="G97" s="33" t="s">
        <v>128</v>
      </c>
      <c r="H97" s="36" t="n">
        <f aca="false">IFERROR(INDEX(Catálogo!$F$2:$F$140,MATCH(E97,Catálogo!$A$2:$A$140,0)),0)</f>
        <v>0.15</v>
      </c>
      <c r="I97" s="19" t="n">
        <f aca="false">F97*H97</f>
        <v>37.5</v>
      </c>
    </row>
    <row r="98" customFormat="false" ht="15" hidden="false" customHeight="false" outlineLevel="0" collapsed="false">
      <c r="A98" s="33" t="n">
        <v>12</v>
      </c>
      <c r="B98" s="18" t="s">
        <v>56</v>
      </c>
      <c r="C98" s="18" t="s">
        <v>416</v>
      </c>
      <c r="D98" s="18" t="s">
        <v>515</v>
      </c>
      <c r="E98" s="34" t="s">
        <v>186</v>
      </c>
      <c r="F98" s="35" t="n">
        <v>80</v>
      </c>
      <c r="G98" s="33" t="s">
        <v>128</v>
      </c>
      <c r="H98" s="36" t="n">
        <f aca="false">IFERROR(INDEX(Catálogo!$F$2:$F$140,MATCH(E98,Catálogo!$A$2:$A$140,0)),0)</f>
        <v>0.7</v>
      </c>
      <c r="I98" s="19" t="n">
        <f aca="false">F98*H98</f>
        <v>56</v>
      </c>
    </row>
    <row r="99" customFormat="false" ht="15" hidden="false" customHeight="false" outlineLevel="0" collapsed="false">
      <c r="A99" s="33" t="n">
        <v>12</v>
      </c>
      <c r="B99" s="18" t="s">
        <v>56</v>
      </c>
      <c r="C99" s="18" t="s">
        <v>516</v>
      </c>
      <c r="D99" s="18" t="s">
        <v>517</v>
      </c>
      <c r="E99" s="34" t="s">
        <v>286</v>
      </c>
      <c r="F99" s="35" t="n">
        <v>230</v>
      </c>
      <c r="G99" s="33" t="s">
        <v>128</v>
      </c>
      <c r="H99" s="36" t="n">
        <f aca="false">IFERROR(INDEX(Catálogo!$F$2:$F$140,MATCH(E99,Catálogo!$A$2:$A$140,0)),0)</f>
        <v>0.4</v>
      </c>
      <c r="I99" s="19" t="n">
        <f aca="false">F99*H99</f>
        <v>92</v>
      </c>
    </row>
    <row r="100" customFormat="false" ht="15" hidden="false" customHeight="false" outlineLevel="0" collapsed="false">
      <c r="A100" s="33" t="n">
        <v>12</v>
      </c>
      <c r="B100" s="18" t="s">
        <v>56</v>
      </c>
      <c r="C100" s="18" t="s">
        <v>516</v>
      </c>
      <c r="D100" s="18" t="s">
        <v>518</v>
      </c>
      <c r="E100" s="34" t="s">
        <v>306</v>
      </c>
      <c r="F100" s="35" t="n">
        <v>30</v>
      </c>
      <c r="G100" s="33" t="s">
        <v>128</v>
      </c>
      <c r="H100" s="36" t="n">
        <f aca="false">IFERROR(INDEX(Catálogo!$F$2:$F$140,MATCH(E100,Catálogo!$A$2:$A$140,0)),0)</f>
        <v>1.8</v>
      </c>
      <c r="I100" s="19" t="n">
        <f aca="false">F100*H100</f>
        <v>54</v>
      </c>
    </row>
    <row r="101" customFormat="false" ht="15" hidden="false" customHeight="false" outlineLevel="0" collapsed="false">
      <c r="A101" s="33" t="n">
        <v>12</v>
      </c>
      <c r="B101" s="18" t="s">
        <v>56</v>
      </c>
      <c r="C101" s="18" t="s">
        <v>516</v>
      </c>
      <c r="D101" s="18" t="s">
        <v>519</v>
      </c>
      <c r="E101" s="34" t="s">
        <v>155</v>
      </c>
      <c r="F101" s="35" t="n">
        <v>2</v>
      </c>
      <c r="G101" s="33" t="s">
        <v>128</v>
      </c>
      <c r="H101" s="36" t="n">
        <f aca="false">IFERROR(INDEX(Catálogo!$F$2:$F$140,MATCH(E101,Catálogo!$A$2:$A$140,0)),0)</f>
        <v>0.24</v>
      </c>
      <c r="I101" s="19" t="n">
        <f aca="false">F101*H101</f>
        <v>0.48</v>
      </c>
    </row>
    <row r="102" customFormat="false" ht="15" hidden="false" customHeight="false" outlineLevel="0" collapsed="false">
      <c r="A102" s="24" t="n">
        <v>13</v>
      </c>
      <c r="B102" s="13" t="s">
        <v>57</v>
      </c>
      <c r="C102" s="13" t="s">
        <v>520</v>
      </c>
      <c r="D102" s="13" t="s">
        <v>521</v>
      </c>
      <c r="E102" s="27" t="s">
        <v>284</v>
      </c>
      <c r="F102" s="31" t="n">
        <v>160</v>
      </c>
      <c r="G102" s="24" t="s">
        <v>128</v>
      </c>
      <c r="H102" s="32" t="n">
        <f aca="false">IFERROR(INDEX(Catálogo!$F$2:$F$140,MATCH(E102,Catálogo!$A$2:$A$140,0)),0)</f>
        <v>0.38</v>
      </c>
      <c r="I102" s="15" t="n">
        <f aca="false">F102*H102</f>
        <v>60.8</v>
      </c>
    </row>
    <row r="103" customFormat="false" ht="15" hidden="false" customHeight="false" outlineLevel="0" collapsed="false">
      <c r="A103" s="24" t="n">
        <v>13</v>
      </c>
      <c r="B103" s="13" t="s">
        <v>57</v>
      </c>
      <c r="C103" s="13" t="s">
        <v>520</v>
      </c>
      <c r="D103" s="13" t="s">
        <v>522</v>
      </c>
      <c r="E103" s="27" t="s">
        <v>298</v>
      </c>
      <c r="F103" s="31" t="n">
        <v>100</v>
      </c>
      <c r="G103" s="24" t="s">
        <v>128</v>
      </c>
      <c r="H103" s="32" t="n">
        <f aca="false">IFERROR(INDEX(Catálogo!$F$2:$F$140,MATCH(E103,Catálogo!$A$2:$A$140,0)),0)</f>
        <v>0.7</v>
      </c>
      <c r="I103" s="15" t="n">
        <f aca="false">F103*H103</f>
        <v>70</v>
      </c>
    </row>
    <row r="104" customFormat="false" ht="15" hidden="false" customHeight="false" outlineLevel="0" collapsed="false">
      <c r="A104" s="24" t="n">
        <v>13</v>
      </c>
      <c r="B104" s="13" t="s">
        <v>57</v>
      </c>
      <c r="C104" s="13" t="s">
        <v>520</v>
      </c>
      <c r="D104" s="13" t="s">
        <v>523</v>
      </c>
      <c r="E104" s="27" t="s">
        <v>292</v>
      </c>
      <c r="F104" s="31" t="n">
        <v>15</v>
      </c>
      <c r="G104" s="24" t="s">
        <v>128</v>
      </c>
      <c r="H104" s="32" t="n">
        <f aca="false">IFERROR(INDEX(Catálogo!$F$2:$F$140,MATCH(E104,Catálogo!$A$2:$A$140,0)),0)</f>
        <v>0.65</v>
      </c>
      <c r="I104" s="15" t="n">
        <f aca="false">F104*H104</f>
        <v>9.75</v>
      </c>
    </row>
    <row r="105" customFormat="false" ht="15" hidden="false" customHeight="false" outlineLevel="0" collapsed="false">
      <c r="A105" s="24" t="n">
        <v>13</v>
      </c>
      <c r="B105" s="13" t="s">
        <v>57</v>
      </c>
      <c r="C105" s="13" t="s">
        <v>520</v>
      </c>
      <c r="D105" s="13" t="s">
        <v>524</v>
      </c>
      <c r="E105" s="27" t="s">
        <v>153</v>
      </c>
      <c r="F105" s="31" t="n">
        <v>2</v>
      </c>
      <c r="G105" s="24" t="s">
        <v>128</v>
      </c>
      <c r="H105" s="32" t="n">
        <f aca="false">IFERROR(INDEX(Catálogo!$F$2:$F$140,MATCH(E105,Catálogo!$A$2:$A$140,0)),0)</f>
        <v>0.025</v>
      </c>
      <c r="I105" s="15" t="n">
        <f aca="false">F105*H105</f>
        <v>0.05</v>
      </c>
    </row>
    <row r="106" customFormat="false" ht="15" hidden="false" customHeight="false" outlineLevel="0" collapsed="false">
      <c r="A106" s="24" t="n">
        <v>13</v>
      </c>
      <c r="B106" s="13" t="s">
        <v>57</v>
      </c>
      <c r="C106" s="13" t="s">
        <v>428</v>
      </c>
      <c r="D106" s="13" t="s">
        <v>525</v>
      </c>
      <c r="E106" s="27" t="s">
        <v>132</v>
      </c>
      <c r="F106" s="31" t="n">
        <v>240</v>
      </c>
      <c r="G106" s="24" t="s">
        <v>128</v>
      </c>
      <c r="H106" s="32" t="n">
        <f aca="false">IFERROR(INDEX(Catálogo!$F$2:$F$140,MATCH(E106,Catálogo!$A$2:$A$140,0)),0)</f>
        <v>0.15</v>
      </c>
      <c r="I106" s="15" t="n">
        <f aca="false">F106*H106</f>
        <v>36</v>
      </c>
    </row>
    <row r="107" customFormat="false" ht="15" hidden="false" customHeight="false" outlineLevel="0" collapsed="false">
      <c r="A107" s="24" t="n">
        <v>13</v>
      </c>
      <c r="B107" s="13" t="s">
        <v>57</v>
      </c>
      <c r="C107" s="13" t="s">
        <v>428</v>
      </c>
      <c r="D107" s="13" t="s">
        <v>526</v>
      </c>
      <c r="E107" s="27" t="s">
        <v>188</v>
      </c>
      <c r="F107" s="31" t="n">
        <v>100</v>
      </c>
      <c r="G107" s="24" t="s">
        <v>128</v>
      </c>
      <c r="H107" s="32" t="n">
        <f aca="false">IFERROR(INDEX(Catálogo!$F$2:$F$140,MATCH(E107,Catálogo!$A$2:$A$140,0)),0)</f>
        <v>0.55</v>
      </c>
      <c r="I107" s="15" t="n">
        <f aca="false">F107*H107</f>
        <v>55</v>
      </c>
    </row>
    <row r="108" customFormat="false" ht="15" hidden="false" customHeight="false" outlineLevel="0" collapsed="false">
      <c r="A108" s="33" t="n">
        <v>14</v>
      </c>
      <c r="B108" s="18" t="s">
        <v>58</v>
      </c>
      <c r="C108" s="18" t="s">
        <v>527</v>
      </c>
      <c r="D108" s="18" t="s">
        <v>457</v>
      </c>
      <c r="E108" s="34" t="s">
        <v>126</v>
      </c>
      <c r="F108" s="35" t="n">
        <v>140</v>
      </c>
      <c r="G108" s="33" t="s">
        <v>128</v>
      </c>
      <c r="H108" s="36" t="n">
        <f aca="false">IFERROR(INDEX(Catálogo!$F$2:$F$140,MATCH(E108,Catálogo!$A$2:$A$140,0)),0)</f>
        <v>0.11</v>
      </c>
      <c r="I108" s="19" t="n">
        <f aca="false">F108*H108</f>
        <v>15.4</v>
      </c>
    </row>
    <row r="109" customFormat="false" ht="15" hidden="false" customHeight="false" outlineLevel="0" collapsed="false">
      <c r="A109" s="33" t="n">
        <v>14</v>
      </c>
      <c r="B109" s="18" t="s">
        <v>58</v>
      </c>
      <c r="C109" s="18" t="s">
        <v>527</v>
      </c>
      <c r="D109" s="18" t="s">
        <v>528</v>
      </c>
      <c r="E109" s="34" t="s">
        <v>138</v>
      </c>
      <c r="F109" s="35" t="n">
        <v>80</v>
      </c>
      <c r="G109" s="33" t="s">
        <v>128</v>
      </c>
      <c r="H109" s="36" t="n">
        <f aca="false">IFERROR(INDEX(Catálogo!$F$2:$F$140,MATCH(E109,Catálogo!$A$2:$A$140,0)),0)</f>
        <v>0.032</v>
      </c>
      <c r="I109" s="19" t="n">
        <f aca="false">F109*H109</f>
        <v>2.56</v>
      </c>
    </row>
    <row r="110" customFormat="false" ht="15" hidden="false" customHeight="false" outlineLevel="0" collapsed="false">
      <c r="A110" s="33" t="n">
        <v>14</v>
      </c>
      <c r="B110" s="18" t="s">
        <v>58</v>
      </c>
      <c r="C110" s="18" t="s">
        <v>527</v>
      </c>
      <c r="D110" s="18" t="s">
        <v>529</v>
      </c>
      <c r="E110" s="34" t="s">
        <v>174</v>
      </c>
      <c r="F110" s="35" t="n">
        <v>20</v>
      </c>
      <c r="G110" s="33" t="s">
        <v>150</v>
      </c>
      <c r="H110" s="36" t="n">
        <f aca="false">IFERROR(INDEX(Catálogo!$F$2:$F$140,MATCH(E110,Catálogo!$A$2:$A$140,0)),0)</f>
        <v>1</v>
      </c>
      <c r="I110" s="19" t="n">
        <f aca="false">F110*H110</f>
        <v>20</v>
      </c>
    </row>
    <row r="111" customFormat="false" ht="15" hidden="false" customHeight="false" outlineLevel="0" collapsed="false">
      <c r="A111" s="33" t="n">
        <v>14</v>
      </c>
      <c r="B111" s="18" t="s">
        <v>58</v>
      </c>
      <c r="C111" s="18" t="s">
        <v>527</v>
      </c>
      <c r="D111" s="18" t="s">
        <v>530</v>
      </c>
      <c r="E111" s="34" t="s">
        <v>148</v>
      </c>
      <c r="F111" s="35" t="n">
        <v>15</v>
      </c>
      <c r="G111" s="33" t="s">
        <v>150</v>
      </c>
      <c r="H111" s="36" t="n">
        <f aca="false">IFERROR(INDEX(Catálogo!$F$2:$F$140,MATCH(E111,Catálogo!$A$2:$A$140,0)),0)</f>
        <v>0.002</v>
      </c>
      <c r="I111" s="19" t="n">
        <f aca="false">F111*H111</f>
        <v>0.03</v>
      </c>
    </row>
    <row r="112" customFormat="false" ht="15" hidden="false" customHeight="false" outlineLevel="0" collapsed="false">
      <c r="A112" s="33" t="n">
        <v>14</v>
      </c>
      <c r="B112" s="18" t="s">
        <v>58</v>
      </c>
      <c r="C112" s="18" t="s">
        <v>527</v>
      </c>
      <c r="D112" s="18" t="s">
        <v>531</v>
      </c>
      <c r="E112" s="34" t="s">
        <v>134</v>
      </c>
      <c r="F112" s="35" t="n">
        <v>20</v>
      </c>
      <c r="G112" s="33" t="s">
        <v>128</v>
      </c>
      <c r="H112" s="36" t="n">
        <f aca="false">IFERROR(INDEX(Catálogo!$F$2:$F$140,MATCH(E112,Catálogo!$A$2:$A$140,0)),0)</f>
        <v>0.26</v>
      </c>
      <c r="I112" s="19" t="n">
        <f aca="false">F112*H112</f>
        <v>5.2</v>
      </c>
    </row>
    <row r="113" customFormat="false" ht="15" hidden="false" customHeight="false" outlineLevel="0" collapsed="false">
      <c r="A113" s="33" t="n">
        <v>14</v>
      </c>
      <c r="B113" s="18" t="s">
        <v>58</v>
      </c>
      <c r="C113" s="18" t="s">
        <v>527</v>
      </c>
      <c r="D113" s="18" t="s">
        <v>509</v>
      </c>
      <c r="E113" s="34" t="s">
        <v>151</v>
      </c>
      <c r="F113" s="35" t="n">
        <v>2</v>
      </c>
      <c r="G113" s="33" t="s">
        <v>128</v>
      </c>
      <c r="H113" s="36" t="n">
        <f aca="false">IFERROR(INDEX(Catálogo!$F$2:$F$140,MATCH(E113,Catálogo!$A$2:$A$140,0)),0)</f>
        <v>0.06</v>
      </c>
      <c r="I113" s="19" t="n">
        <f aca="false">F113*H113</f>
        <v>0.12</v>
      </c>
    </row>
    <row r="114" customFormat="false" ht="15" hidden="false" customHeight="false" outlineLevel="0" collapsed="false">
      <c r="A114" s="33" t="n">
        <v>14</v>
      </c>
      <c r="B114" s="18" t="s">
        <v>58</v>
      </c>
      <c r="C114" s="18" t="s">
        <v>532</v>
      </c>
      <c r="D114" s="18" t="s">
        <v>533</v>
      </c>
      <c r="E114" s="34" t="s">
        <v>280</v>
      </c>
      <c r="F114" s="35" t="n">
        <v>220</v>
      </c>
      <c r="G114" s="33" t="s">
        <v>128</v>
      </c>
      <c r="H114" s="36" t="n">
        <f aca="false">IFERROR(INDEX(Catálogo!$F$2:$F$140,MATCH(E114,Catálogo!$A$2:$A$140,0)),0)</f>
        <v>0.45</v>
      </c>
      <c r="I114" s="19" t="n">
        <f aca="false">F114*H114</f>
        <v>99</v>
      </c>
    </row>
    <row r="115" customFormat="false" ht="15" hidden="false" customHeight="false" outlineLevel="0" collapsed="false">
      <c r="A115" s="33" t="n">
        <v>14</v>
      </c>
      <c r="B115" s="18" t="s">
        <v>58</v>
      </c>
      <c r="C115" s="18" t="s">
        <v>532</v>
      </c>
      <c r="D115" s="18" t="s">
        <v>534</v>
      </c>
      <c r="E115" s="34" t="s">
        <v>310</v>
      </c>
      <c r="F115" s="35" t="n">
        <v>35</v>
      </c>
      <c r="G115" s="33" t="s">
        <v>128</v>
      </c>
      <c r="H115" s="36" t="n">
        <f aca="false">IFERROR(INDEX(Catálogo!$F$2:$F$140,MATCH(E115,Catálogo!$A$2:$A$140,0)),0)</f>
        <v>2.2</v>
      </c>
      <c r="I115" s="19" t="n">
        <f aca="false">F115*H115</f>
        <v>77</v>
      </c>
    </row>
    <row r="116" customFormat="false" ht="15" hidden="false" customHeight="false" outlineLevel="0" collapsed="false">
      <c r="A116" s="33" t="n">
        <v>14</v>
      </c>
      <c r="B116" s="18" t="s">
        <v>58</v>
      </c>
      <c r="C116" s="18" t="s">
        <v>532</v>
      </c>
      <c r="D116" s="18" t="s">
        <v>535</v>
      </c>
      <c r="E116" s="34" t="s">
        <v>280</v>
      </c>
      <c r="F116" s="35" t="n">
        <v>50</v>
      </c>
      <c r="G116" s="33" t="s">
        <v>128</v>
      </c>
      <c r="H116" s="36" t="n">
        <f aca="false">IFERROR(INDEX(Catálogo!$F$2:$F$140,MATCH(E116,Catálogo!$A$2:$A$140,0)),0)</f>
        <v>0.45</v>
      </c>
      <c r="I116" s="19" t="n">
        <f aca="false">F116*H116</f>
        <v>22.5</v>
      </c>
    </row>
    <row r="117" customFormat="false" ht="15" hidden="false" customHeight="false" outlineLevel="0" collapsed="false">
      <c r="A117" s="33" t="n">
        <v>14</v>
      </c>
      <c r="B117" s="18" t="s">
        <v>58</v>
      </c>
      <c r="C117" s="18" t="s">
        <v>532</v>
      </c>
      <c r="D117" s="18" t="s">
        <v>536</v>
      </c>
      <c r="E117" s="34" t="s">
        <v>155</v>
      </c>
      <c r="F117" s="35" t="n">
        <v>2</v>
      </c>
      <c r="G117" s="33" t="s">
        <v>128</v>
      </c>
      <c r="H117" s="36" t="n">
        <f aca="false">IFERROR(INDEX(Catálogo!$F$2:$F$140,MATCH(E117,Catálogo!$A$2:$A$140,0)),0)</f>
        <v>0.24</v>
      </c>
      <c r="I117" s="19" t="n">
        <f aca="false">F117*H117</f>
        <v>0.48</v>
      </c>
    </row>
    <row r="118" customFormat="false" ht="15" hidden="false" customHeight="false" outlineLevel="0" collapsed="false">
      <c r="A118" s="24" t="n">
        <v>15</v>
      </c>
      <c r="B118" s="13" t="s">
        <v>59</v>
      </c>
      <c r="C118" s="13" t="s">
        <v>416</v>
      </c>
      <c r="D118" s="13" t="s">
        <v>537</v>
      </c>
      <c r="E118" s="27" t="s">
        <v>132</v>
      </c>
      <c r="F118" s="31" t="n">
        <v>240</v>
      </c>
      <c r="G118" s="24" t="s">
        <v>128</v>
      </c>
      <c r="H118" s="32" t="n">
        <f aca="false">IFERROR(INDEX(Catálogo!$F$2:$F$140,MATCH(E118,Catálogo!$A$2:$A$140,0)),0)</f>
        <v>0.15</v>
      </c>
      <c r="I118" s="15" t="n">
        <f aca="false">F118*H118</f>
        <v>36</v>
      </c>
    </row>
    <row r="119" customFormat="false" ht="15" hidden="false" customHeight="false" outlineLevel="0" collapsed="false">
      <c r="A119" s="24" t="n">
        <v>15</v>
      </c>
      <c r="B119" s="13" t="s">
        <v>59</v>
      </c>
      <c r="C119" s="13" t="s">
        <v>538</v>
      </c>
      <c r="D119" s="13" t="s">
        <v>539</v>
      </c>
      <c r="E119" s="27" t="s">
        <v>286</v>
      </c>
      <c r="F119" s="31" t="n">
        <v>240</v>
      </c>
      <c r="G119" s="24" t="s">
        <v>128</v>
      </c>
      <c r="H119" s="32" t="n">
        <f aca="false">IFERROR(INDEX(Catálogo!$F$2:$F$140,MATCH(E119,Catálogo!$A$2:$A$140,0)),0)</f>
        <v>0.4</v>
      </c>
      <c r="I119" s="15" t="n">
        <f aca="false">F119*H119</f>
        <v>96</v>
      </c>
    </row>
    <row r="120" customFormat="false" ht="15" hidden="false" customHeight="false" outlineLevel="0" collapsed="false">
      <c r="A120" s="24" t="n">
        <v>15</v>
      </c>
      <c r="B120" s="13" t="s">
        <v>59</v>
      </c>
      <c r="C120" s="13" t="s">
        <v>538</v>
      </c>
      <c r="D120" s="13" t="s">
        <v>540</v>
      </c>
      <c r="E120" s="27" t="s">
        <v>169</v>
      </c>
      <c r="F120" s="31" t="n">
        <v>1</v>
      </c>
      <c r="G120" s="24" t="s">
        <v>171</v>
      </c>
      <c r="H120" s="32" t="n">
        <f aca="false">IFERROR(INDEX(Catálogo!$F$2:$F$140,MATCH(E120,Catálogo!$A$2:$A$140,0)),0)</f>
        <v>45</v>
      </c>
      <c r="I120" s="15" t="n">
        <f aca="false">F120*H120</f>
        <v>45</v>
      </c>
    </row>
    <row r="121" customFormat="false" ht="15" hidden="false" customHeight="false" outlineLevel="0" collapsed="false">
      <c r="A121" s="24" t="n">
        <v>15</v>
      </c>
      <c r="B121" s="13" t="s">
        <v>59</v>
      </c>
      <c r="C121" s="13" t="s">
        <v>538</v>
      </c>
      <c r="D121" s="13" t="s">
        <v>524</v>
      </c>
      <c r="E121" s="27" t="s">
        <v>153</v>
      </c>
      <c r="F121" s="31" t="n">
        <v>2</v>
      </c>
      <c r="G121" s="24" t="s">
        <v>128</v>
      </c>
      <c r="H121" s="32" t="n">
        <f aca="false">IFERROR(INDEX(Catálogo!$F$2:$F$140,MATCH(E121,Catálogo!$A$2:$A$140,0)),0)</f>
        <v>0.025</v>
      </c>
      <c r="I121" s="15" t="n">
        <f aca="false">F121*H121</f>
        <v>0.05</v>
      </c>
    </row>
    <row r="122" customFormat="false" ht="15" hidden="false" customHeight="false" outlineLevel="0" collapsed="false">
      <c r="A122" s="24" t="n">
        <v>15</v>
      </c>
      <c r="B122" s="13" t="s">
        <v>59</v>
      </c>
      <c r="C122" s="13" t="s">
        <v>541</v>
      </c>
      <c r="D122" s="13" t="s">
        <v>542</v>
      </c>
      <c r="E122" s="27" t="s">
        <v>344</v>
      </c>
      <c r="F122" s="31" t="n">
        <v>100</v>
      </c>
      <c r="G122" s="24" t="s">
        <v>128</v>
      </c>
      <c r="H122" s="32" t="n">
        <f aca="false">IFERROR(INDEX(Catálogo!$F$2:$F$140,MATCH(E122,Catálogo!$A$2:$A$140,0)),0)</f>
        <v>0.2</v>
      </c>
      <c r="I122" s="15" t="n">
        <f aca="false">F122*H122</f>
        <v>20</v>
      </c>
    </row>
    <row r="123" customFormat="false" ht="15" hidden="false" customHeight="false" outlineLevel="0" collapsed="false">
      <c r="A123" s="33" t="n">
        <v>16</v>
      </c>
      <c r="B123" s="18" t="s">
        <v>60</v>
      </c>
      <c r="C123" s="18" t="s">
        <v>543</v>
      </c>
      <c r="D123" s="18" t="s">
        <v>544</v>
      </c>
      <c r="E123" s="34" t="s">
        <v>126</v>
      </c>
      <c r="F123" s="35" t="n">
        <v>140</v>
      </c>
      <c r="G123" s="33" t="s">
        <v>128</v>
      </c>
      <c r="H123" s="36" t="n">
        <f aca="false">IFERROR(INDEX(Catálogo!$F$2:$F$140,MATCH(E123,Catálogo!$A$2:$A$140,0)),0)</f>
        <v>0.11</v>
      </c>
      <c r="I123" s="19" t="n">
        <f aca="false">F123*H123</f>
        <v>15.4</v>
      </c>
    </row>
    <row r="124" customFormat="false" ht="15" hidden="false" customHeight="false" outlineLevel="0" collapsed="false">
      <c r="A124" s="33" t="n">
        <v>16</v>
      </c>
      <c r="B124" s="18" t="s">
        <v>60</v>
      </c>
      <c r="C124" s="18" t="s">
        <v>543</v>
      </c>
      <c r="D124" s="18" t="s">
        <v>545</v>
      </c>
      <c r="E124" s="34" t="s">
        <v>144</v>
      </c>
      <c r="F124" s="35" t="n">
        <v>70</v>
      </c>
      <c r="G124" s="33" t="s">
        <v>128</v>
      </c>
      <c r="H124" s="36" t="n">
        <f aca="false">IFERROR(INDEX(Catálogo!$F$2:$F$140,MATCH(E124,Catálogo!$A$2:$A$140,0)),0)</f>
        <v>0.045</v>
      </c>
      <c r="I124" s="19" t="n">
        <f aca="false">F124*H124</f>
        <v>3.15</v>
      </c>
    </row>
    <row r="125" customFormat="false" ht="15" hidden="false" customHeight="false" outlineLevel="0" collapsed="false">
      <c r="A125" s="33" t="n">
        <v>16</v>
      </c>
      <c r="B125" s="18" t="s">
        <v>60</v>
      </c>
      <c r="C125" s="18" t="s">
        <v>543</v>
      </c>
      <c r="D125" s="18" t="s">
        <v>508</v>
      </c>
      <c r="E125" s="34" t="s">
        <v>134</v>
      </c>
      <c r="F125" s="35" t="n">
        <v>25</v>
      </c>
      <c r="G125" s="33" t="s">
        <v>128</v>
      </c>
      <c r="H125" s="36" t="n">
        <f aca="false">IFERROR(INDEX(Catálogo!$F$2:$F$140,MATCH(E125,Catálogo!$A$2:$A$140,0)),0)</f>
        <v>0.26</v>
      </c>
      <c r="I125" s="19" t="n">
        <f aca="false">F125*H125</f>
        <v>6.5</v>
      </c>
    </row>
    <row r="126" customFormat="false" ht="15" hidden="false" customHeight="false" outlineLevel="0" collapsed="false">
      <c r="A126" s="33" t="n">
        <v>16</v>
      </c>
      <c r="B126" s="18" t="s">
        <v>60</v>
      </c>
      <c r="C126" s="18" t="s">
        <v>543</v>
      </c>
      <c r="D126" s="18" t="s">
        <v>436</v>
      </c>
      <c r="E126" s="34" t="s">
        <v>148</v>
      </c>
      <c r="F126" s="35" t="n">
        <v>20</v>
      </c>
      <c r="G126" s="33" t="s">
        <v>150</v>
      </c>
      <c r="H126" s="36" t="n">
        <f aca="false">IFERROR(INDEX(Catálogo!$F$2:$F$140,MATCH(E126,Catálogo!$A$2:$A$140,0)),0)</f>
        <v>0.002</v>
      </c>
      <c r="I126" s="19" t="n">
        <f aca="false">F126*H126</f>
        <v>0.04</v>
      </c>
    </row>
    <row r="127" customFormat="false" ht="15" hidden="false" customHeight="false" outlineLevel="0" collapsed="false">
      <c r="A127" s="33" t="n">
        <v>16</v>
      </c>
      <c r="B127" s="18" t="s">
        <v>60</v>
      </c>
      <c r="C127" s="18" t="s">
        <v>543</v>
      </c>
      <c r="D127" s="18" t="s">
        <v>509</v>
      </c>
      <c r="E127" s="34" t="s">
        <v>151</v>
      </c>
      <c r="F127" s="35" t="n">
        <v>2</v>
      </c>
      <c r="G127" s="33" t="s">
        <v>128</v>
      </c>
      <c r="H127" s="36" t="n">
        <f aca="false">IFERROR(INDEX(Catálogo!$F$2:$F$140,MATCH(E127,Catálogo!$A$2:$A$140,0)),0)</f>
        <v>0.06</v>
      </c>
      <c r="I127" s="19" t="n">
        <f aca="false">F127*H127</f>
        <v>0.12</v>
      </c>
    </row>
    <row r="128" customFormat="false" ht="15" hidden="false" customHeight="false" outlineLevel="0" collapsed="false">
      <c r="A128" s="33" t="n">
        <v>16</v>
      </c>
      <c r="B128" s="18" t="s">
        <v>60</v>
      </c>
      <c r="C128" s="18" t="s">
        <v>546</v>
      </c>
      <c r="D128" s="18" t="s">
        <v>547</v>
      </c>
      <c r="E128" s="34" t="s">
        <v>290</v>
      </c>
      <c r="F128" s="35" t="n">
        <v>220</v>
      </c>
      <c r="G128" s="33" t="s">
        <v>128</v>
      </c>
      <c r="H128" s="36" t="n">
        <f aca="false">IFERROR(INDEX(Catálogo!$F$2:$F$140,MATCH(E128,Catálogo!$A$2:$A$140,0)),0)</f>
        <v>0.26</v>
      </c>
      <c r="I128" s="19" t="n">
        <f aca="false">F128*H128</f>
        <v>57.2</v>
      </c>
    </row>
    <row r="129" customFormat="false" ht="15" hidden="false" customHeight="false" outlineLevel="0" collapsed="false">
      <c r="A129" s="33" t="n">
        <v>16</v>
      </c>
      <c r="B129" s="18" t="s">
        <v>60</v>
      </c>
      <c r="C129" s="18" t="s">
        <v>546</v>
      </c>
      <c r="D129" s="18" t="s">
        <v>548</v>
      </c>
      <c r="E129" s="34" t="s">
        <v>292</v>
      </c>
      <c r="F129" s="35" t="n">
        <v>30</v>
      </c>
      <c r="G129" s="33" t="s">
        <v>128</v>
      </c>
      <c r="H129" s="36" t="n">
        <f aca="false">IFERROR(INDEX(Catálogo!$F$2:$F$140,MATCH(E129,Catálogo!$A$2:$A$140,0)),0)</f>
        <v>0.65</v>
      </c>
      <c r="I129" s="19" t="n">
        <f aca="false">F129*H129</f>
        <v>19.5</v>
      </c>
    </row>
    <row r="130" customFormat="false" ht="15" hidden="false" customHeight="false" outlineLevel="0" collapsed="false">
      <c r="A130" s="33" t="n">
        <v>16</v>
      </c>
      <c r="B130" s="18" t="s">
        <v>60</v>
      </c>
      <c r="C130" s="18" t="s">
        <v>546</v>
      </c>
      <c r="D130" s="18" t="s">
        <v>549</v>
      </c>
      <c r="E130" s="34" t="s">
        <v>220</v>
      </c>
      <c r="F130" s="35" t="n">
        <v>4</v>
      </c>
      <c r="G130" s="33" t="s">
        <v>128</v>
      </c>
      <c r="H130" s="36" t="n">
        <f aca="false">IFERROR(INDEX(Catálogo!$F$2:$F$140,MATCH(E130,Catálogo!$A$2:$A$140,0)),0)</f>
        <v>0.6</v>
      </c>
      <c r="I130" s="19" t="n">
        <f aca="false">F130*H130</f>
        <v>2.4</v>
      </c>
    </row>
    <row r="131" customFormat="false" ht="15" hidden="false" customHeight="false" outlineLevel="0" collapsed="false">
      <c r="A131" s="33" t="n">
        <v>16</v>
      </c>
      <c r="B131" s="18" t="s">
        <v>60</v>
      </c>
      <c r="C131" s="18" t="s">
        <v>546</v>
      </c>
      <c r="D131" s="18" t="s">
        <v>550</v>
      </c>
      <c r="E131" s="34" t="s">
        <v>234</v>
      </c>
      <c r="F131" s="35" t="n">
        <v>3</v>
      </c>
      <c r="G131" s="33" t="s">
        <v>128</v>
      </c>
      <c r="H131" s="36" t="n">
        <f aca="false">IFERROR(INDEX(Catálogo!$F$2:$F$140,MATCH(E131,Catálogo!$A$2:$A$140,0)),0)</f>
        <v>1.6</v>
      </c>
      <c r="I131" s="19" t="n">
        <f aca="false">F131*H131</f>
        <v>4.8</v>
      </c>
    </row>
    <row r="132" customFormat="false" ht="15" hidden="false" customHeight="false" outlineLevel="0" collapsed="false">
      <c r="A132" s="33" t="n">
        <v>16</v>
      </c>
      <c r="B132" s="18" t="s">
        <v>60</v>
      </c>
      <c r="C132" s="18" t="s">
        <v>546</v>
      </c>
      <c r="D132" s="18" t="s">
        <v>495</v>
      </c>
      <c r="E132" s="34" t="s">
        <v>155</v>
      </c>
      <c r="F132" s="35" t="n">
        <v>3</v>
      </c>
      <c r="G132" s="33" t="s">
        <v>128</v>
      </c>
      <c r="H132" s="36" t="n">
        <f aca="false">IFERROR(INDEX(Catálogo!$F$2:$F$140,MATCH(E132,Catálogo!$A$2:$A$140,0)),0)</f>
        <v>0.24</v>
      </c>
      <c r="I132" s="19" t="n">
        <f aca="false">F132*H132</f>
        <v>0.72</v>
      </c>
    </row>
    <row r="133" customFormat="false" ht="15" hidden="false" customHeight="false" outlineLevel="0" collapsed="false">
      <c r="A133" s="33" t="n">
        <v>16</v>
      </c>
      <c r="B133" s="18" t="s">
        <v>60</v>
      </c>
      <c r="C133" s="18" t="s">
        <v>551</v>
      </c>
      <c r="D133" s="18" t="s">
        <v>552</v>
      </c>
      <c r="E133" s="34" t="s">
        <v>296</v>
      </c>
      <c r="F133" s="35" t="n">
        <v>70</v>
      </c>
      <c r="G133" s="33" t="s">
        <v>128</v>
      </c>
      <c r="H133" s="36" t="n">
        <f aca="false">IFERROR(INDEX(Catálogo!$F$2:$F$140,MATCH(E133,Catálogo!$A$2:$A$140,0)),0)</f>
        <v>0.45</v>
      </c>
      <c r="I133" s="19" t="n">
        <f aca="false">F133*H133</f>
        <v>31.5</v>
      </c>
    </row>
    <row r="134" customFormat="false" ht="15" hidden="false" customHeight="false" outlineLevel="0" collapsed="false">
      <c r="A134" s="24" t="n">
        <v>17</v>
      </c>
      <c r="B134" s="13" t="s">
        <v>61</v>
      </c>
      <c r="C134" s="13" t="s">
        <v>553</v>
      </c>
      <c r="D134" s="13" t="s">
        <v>554</v>
      </c>
      <c r="E134" s="27" t="s">
        <v>286</v>
      </c>
      <c r="F134" s="31" t="n">
        <v>160</v>
      </c>
      <c r="G134" s="24" t="s">
        <v>128</v>
      </c>
      <c r="H134" s="32" t="n">
        <f aca="false">IFERROR(INDEX(Catálogo!$F$2:$F$140,MATCH(E134,Catálogo!$A$2:$A$140,0)),0)</f>
        <v>0.4</v>
      </c>
      <c r="I134" s="15" t="n">
        <f aca="false">F134*H134</f>
        <v>64</v>
      </c>
    </row>
    <row r="135" customFormat="false" ht="15" hidden="false" customHeight="false" outlineLevel="0" collapsed="false">
      <c r="A135" s="24" t="n">
        <v>17</v>
      </c>
      <c r="B135" s="13" t="s">
        <v>61</v>
      </c>
      <c r="C135" s="13" t="s">
        <v>553</v>
      </c>
      <c r="D135" s="13" t="s">
        <v>555</v>
      </c>
      <c r="E135" s="27" t="s">
        <v>300</v>
      </c>
      <c r="F135" s="31" t="n">
        <v>80</v>
      </c>
      <c r="G135" s="24" t="s">
        <v>128</v>
      </c>
      <c r="H135" s="32" t="n">
        <f aca="false">IFERROR(INDEX(Catálogo!$F$2:$F$140,MATCH(E135,Catálogo!$A$2:$A$140,0)),0)</f>
        <v>1.4</v>
      </c>
      <c r="I135" s="15" t="n">
        <f aca="false">F135*H135</f>
        <v>112</v>
      </c>
    </row>
    <row r="136" customFormat="false" ht="15" hidden="false" customHeight="false" outlineLevel="0" collapsed="false">
      <c r="A136" s="24" t="n">
        <v>17</v>
      </c>
      <c r="B136" s="13" t="s">
        <v>61</v>
      </c>
      <c r="C136" s="13" t="s">
        <v>553</v>
      </c>
      <c r="D136" s="13" t="s">
        <v>556</v>
      </c>
      <c r="E136" s="27" t="s">
        <v>292</v>
      </c>
      <c r="F136" s="31" t="n">
        <v>15</v>
      </c>
      <c r="G136" s="24" t="s">
        <v>128</v>
      </c>
      <c r="H136" s="32" t="n">
        <f aca="false">IFERROR(INDEX(Catálogo!$F$2:$F$140,MATCH(E136,Catálogo!$A$2:$A$140,0)),0)</f>
        <v>0.65</v>
      </c>
      <c r="I136" s="15" t="n">
        <f aca="false">F136*H136</f>
        <v>9.75</v>
      </c>
    </row>
    <row r="137" customFormat="false" ht="15" hidden="false" customHeight="false" outlineLevel="0" collapsed="false">
      <c r="A137" s="24" t="n">
        <v>17</v>
      </c>
      <c r="B137" s="13" t="s">
        <v>61</v>
      </c>
      <c r="C137" s="13" t="s">
        <v>553</v>
      </c>
      <c r="D137" s="13" t="s">
        <v>424</v>
      </c>
      <c r="E137" s="27" t="s">
        <v>153</v>
      </c>
      <c r="F137" s="31" t="n">
        <v>3</v>
      </c>
      <c r="G137" s="24" t="s">
        <v>128</v>
      </c>
      <c r="H137" s="32" t="n">
        <f aca="false">IFERROR(INDEX(Catálogo!$F$2:$F$140,MATCH(E137,Catálogo!$A$2:$A$140,0)),0)</f>
        <v>0.025</v>
      </c>
      <c r="I137" s="15" t="n">
        <f aca="false">F137*H137</f>
        <v>0.075</v>
      </c>
    </row>
    <row r="138" customFormat="false" ht="15" hidden="false" customHeight="false" outlineLevel="0" collapsed="false">
      <c r="A138" s="24" t="n">
        <v>17</v>
      </c>
      <c r="B138" s="13" t="s">
        <v>61</v>
      </c>
      <c r="C138" s="13" t="s">
        <v>428</v>
      </c>
      <c r="D138" s="13" t="s">
        <v>557</v>
      </c>
      <c r="E138" s="27" t="s">
        <v>132</v>
      </c>
      <c r="F138" s="31" t="n">
        <v>240</v>
      </c>
      <c r="G138" s="24" t="s">
        <v>128</v>
      </c>
      <c r="H138" s="32" t="n">
        <f aca="false">IFERROR(INDEX(Catálogo!$F$2:$F$140,MATCH(E138,Catálogo!$A$2:$A$140,0)),0)</f>
        <v>0.15</v>
      </c>
      <c r="I138" s="15" t="n">
        <f aca="false">F138*H138</f>
        <v>36</v>
      </c>
    </row>
    <row r="139" customFormat="false" ht="15" hidden="false" customHeight="false" outlineLevel="0" collapsed="false">
      <c r="A139" s="24" t="n">
        <v>17</v>
      </c>
      <c r="B139" s="13" t="s">
        <v>61</v>
      </c>
      <c r="C139" s="13" t="s">
        <v>428</v>
      </c>
      <c r="D139" s="13" t="s">
        <v>558</v>
      </c>
      <c r="E139" s="27" t="s">
        <v>190</v>
      </c>
      <c r="F139" s="31" t="n">
        <v>90</v>
      </c>
      <c r="G139" s="24" t="s">
        <v>128</v>
      </c>
      <c r="H139" s="32" t="n">
        <f aca="false">IFERROR(INDEX(Catálogo!$F$2:$F$140,MATCH(E139,Catálogo!$A$2:$A$140,0)),0)</f>
        <v>0.9</v>
      </c>
      <c r="I139" s="15" t="n">
        <f aca="false">F139*H139</f>
        <v>81</v>
      </c>
    </row>
    <row r="140" customFormat="false" ht="15" hidden="false" customHeight="false" outlineLevel="0" collapsed="false">
      <c r="A140" s="24" t="n">
        <v>17</v>
      </c>
      <c r="B140" s="13" t="s">
        <v>61</v>
      </c>
      <c r="C140" s="13" t="s">
        <v>428</v>
      </c>
      <c r="D140" s="13" t="s">
        <v>559</v>
      </c>
      <c r="E140" s="27" t="s">
        <v>155</v>
      </c>
      <c r="F140" s="31" t="n">
        <v>3</v>
      </c>
      <c r="G140" s="24" t="s">
        <v>128</v>
      </c>
      <c r="H140" s="32" t="n">
        <f aca="false">IFERROR(INDEX(Catálogo!$F$2:$F$140,MATCH(E140,Catálogo!$A$2:$A$140,0)),0)</f>
        <v>0.24</v>
      </c>
      <c r="I140" s="15" t="n">
        <f aca="false">F140*H140</f>
        <v>0.72</v>
      </c>
    </row>
    <row r="141" customFormat="false" ht="15" hidden="false" customHeight="false" outlineLevel="0" collapsed="false">
      <c r="A141" s="33" t="n">
        <v>18</v>
      </c>
      <c r="B141" s="18" t="s">
        <v>62</v>
      </c>
      <c r="C141" s="18" t="s">
        <v>560</v>
      </c>
      <c r="D141" s="18" t="s">
        <v>457</v>
      </c>
      <c r="E141" s="34" t="s">
        <v>126</v>
      </c>
      <c r="F141" s="35" t="n">
        <v>140</v>
      </c>
      <c r="G141" s="33" t="s">
        <v>128</v>
      </c>
      <c r="H141" s="36" t="n">
        <f aca="false">IFERROR(INDEX(Catálogo!$F$2:$F$140,MATCH(E141,Catálogo!$A$2:$A$140,0)),0)</f>
        <v>0.11</v>
      </c>
      <c r="I141" s="19" t="n">
        <f aca="false">F141*H141</f>
        <v>15.4</v>
      </c>
    </row>
    <row r="142" customFormat="false" ht="15" hidden="false" customHeight="false" outlineLevel="0" collapsed="false">
      <c r="A142" s="33" t="n">
        <v>18</v>
      </c>
      <c r="B142" s="18" t="s">
        <v>62</v>
      </c>
      <c r="C142" s="18" t="s">
        <v>560</v>
      </c>
      <c r="D142" s="18" t="s">
        <v>561</v>
      </c>
      <c r="E142" s="34" t="s">
        <v>142</v>
      </c>
      <c r="F142" s="35" t="n">
        <v>100</v>
      </c>
      <c r="G142" s="33" t="s">
        <v>128</v>
      </c>
      <c r="H142" s="36" t="n">
        <f aca="false">IFERROR(INDEX(Catálogo!$F$2:$F$140,MATCH(E142,Catálogo!$A$2:$A$140,0)),0)</f>
        <v>0.045</v>
      </c>
      <c r="I142" s="19" t="n">
        <f aca="false">F142*H142</f>
        <v>4.5</v>
      </c>
    </row>
    <row r="143" customFormat="false" ht="15" hidden="false" customHeight="false" outlineLevel="0" collapsed="false">
      <c r="A143" s="33" t="n">
        <v>18</v>
      </c>
      <c r="B143" s="18" t="s">
        <v>62</v>
      </c>
      <c r="C143" s="18" t="s">
        <v>560</v>
      </c>
      <c r="D143" s="18" t="s">
        <v>562</v>
      </c>
      <c r="E143" s="34" t="s">
        <v>134</v>
      </c>
      <c r="F143" s="35" t="n">
        <v>40</v>
      </c>
      <c r="G143" s="33" t="s">
        <v>128</v>
      </c>
      <c r="H143" s="36" t="n">
        <f aca="false">IFERROR(INDEX(Catálogo!$F$2:$F$140,MATCH(E143,Catálogo!$A$2:$A$140,0)),0)</f>
        <v>0.26</v>
      </c>
      <c r="I143" s="19" t="n">
        <f aca="false">F143*H143</f>
        <v>10.4</v>
      </c>
    </row>
    <row r="144" customFormat="false" ht="15" hidden="false" customHeight="false" outlineLevel="0" collapsed="false">
      <c r="A144" s="33" t="n">
        <v>18</v>
      </c>
      <c r="B144" s="18" t="s">
        <v>62</v>
      </c>
      <c r="C144" s="18" t="s">
        <v>560</v>
      </c>
      <c r="D144" s="18" t="s">
        <v>563</v>
      </c>
      <c r="E144" s="34" t="s">
        <v>212</v>
      </c>
      <c r="F144" s="35" t="n">
        <v>25</v>
      </c>
      <c r="G144" s="33" t="s">
        <v>150</v>
      </c>
      <c r="H144" s="36" t="n">
        <f aca="false">IFERROR(INDEX(Catálogo!$F$2:$F$140,MATCH(E144,Catálogo!$A$2:$A$140,0)),0)</f>
        <v>0.12</v>
      </c>
      <c r="I144" s="19" t="n">
        <f aca="false">F144*H144</f>
        <v>3</v>
      </c>
    </row>
    <row r="145" customFormat="false" ht="15" hidden="false" customHeight="false" outlineLevel="0" collapsed="false">
      <c r="A145" s="33" t="n">
        <v>18</v>
      </c>
      <c r="B145" s="18" t="s">
        <v>62</v>
      </c>
      <c r="C145" s="18" t="s">
        <v>560</v>
      </c>
      <c r="D145" s="18" t="s">
        <v>564</v>
      </c>
      <c r="E145" s="34" t="s">
        <v>146</v>
      </c>
      <c r="F145" s="35" t="n">
        <v>20</v>
      </c>
      <c r="G145" s="33" t="s">
        <v>128</v>
      </c>
      <c r="H145" s="36" t="n">
        <f aca="false">IFERROR(INDEX(Catálogo!$F$2:$F$140,MATCH(E145,Catálogo!$A$2:$A$140,0)),0)</f>
        <v>0.07</v>
      </c>
      <c r="I145" s="19" t="n">
        <f aca="false">F145*H145</f>
        <v>1.4</v>
      </c>
    </row>
    <row r="146" customFormat="false" ht="15" hidden="false" customHeight="false" outlineLevel="0" collapsed="false">
      <c r="A146" s="33" t="n">
        <v>18</v>
      </c>
      <c r="B146" s="18" t="s">
        <v>62</v>
      </c>
      <c r="C146" s="18" t="s">
        <v>560</v>
      </c>
      <c r="D146" s="18" t="s">
        <v>565</v>
      </c>
      <c r="E146" s="34" t="s">
        <v>151</v>
      </c>
      <c r="F146" s="35" t="n">
        <v>3</v>
      </c>
      <c r="G146" s="33" t="s">
        <v>128</v>
      </c>
      <c r="H146" s="36" t="n">
        <f aca="false">IFERROR(INDEX(Catálogo!$F$2:$F$140,MATCH(E146,Catálogo!$A$2:$A$140,0)),0)</f>
        <v>0.06</v>
      </c>
      <c r="I146" s="19" t="n">
        <f aca="false">F146*H146</f>
        <v>0.18</v>
      </c>
    </row>
    <row r="147" customFormat="false" ht="15" hidden="false" customHeight="false" outlineLevel="0" collapsed="false">
      <c r="A147" s="33" t="n">
        <v>18</v>
      </c>
      <c r="B147" s="18" t="s">
        <v>62</v>
      </c>
      <c r="C147" s="18" t="s">
        <v>566</v>
      </c>
      <c r="D147" s="18" t="s">
        <v>567</v>
      </c>
      <c r="E147" s="34" t="s">
        <v>284</v>
      </c>
      <c r="F147" s="35" t="n">
        <v>200</v>
      </c>
      <c r="G147" s="33" t="s">
        <v>128</v>
      </c>
      <c r="H147" s="36" t="n">
        <f aca="false">IFERROR(INDEX(Catálogo!$F$2:$F$140,MATCH(E147,Catálogo!$A$2:$A$140,0)),0)</f>
        <v>0.38</v>
      </c>
      <c r="I147" s="19" t="n">
        <f aca="false">F147*H147</f>
        <v>76</v>
      </c>
    </row>
    <row r="148" customFormat="false" ht="15" hidden="false" customHeight="false" outlineLevel="0" collapsed="false">
      <c r="A148" s="33" t="n">
        <v>18</v>
      </c>
      <c r="B148" s="18" t="s">
        <v>62</v>
      </c>
      <c r="C148" s="18" t="s">
        <v>566</v>
      </c>
      <c r="D148" s="18" t="s">
        <v>568</v>
      </c>
      <c r="E148" s="34" t="s">
        <v>210</v>
      </c>
      <c r="F148" s="35" t="n">
        <v>50</v>
      </c>
      <c r="G148" s="33" t="s">
        <v>128</v>
      </c>
      <c r="H148" s="36" t="n">
        <f aca="false">IFERROR(INDEX(Catálogo!$F$2:$F$140,MATCH(E148,Catálogo!$A$2:$A$140,0)),0)</f>
        <v>0.4</v>
      </c>
      <c r="I148" s="19" t="n">
        <f aca="false">F148*H148</f>
        <v>20</v>
      </c>
    </row>
    <row r="149" customFormat="false" ht="15" hidden="false" customHeight="false" outlineLevel="0" collapsed="false">
      <c r="A149" s="33" t="n">
        <v>18</v>
      </c>
      <c r="B149" s="18" t="s">
        <v>62</v>
      </c>
      <c r="C149" s="18" t="s">
        <v>566</v>
      </c>
      <c r="D149" s="18" t="s">
        <v>569</v>
      </c>
      <c r="E149" s="34" t="s">
        <v>155</v>
      </c>
      <c r="F149" s="35" t="n">
        <v>5</v>
      </c>
      <c r="G149" s="33" t="s">
        <v>128</v>
      </c>
      <c r="H149" s="36" t="n">
        <f aca="false">IFERROR(INDEX(Catálogo!$F$2:$F$140,MATCH(E149,Catálogo!$A$2:$A$140,0)),0)</f>
        <v>0.24</v>
      </c>
      <c r="I149" s="19" t="n">
        <f aca="false">F149*H149</f>
        <v>1.2</v>
      </c>
    </row>
    <row r="150" customFormat="false" ht="15" hidden="false" customHeight="false" outlineLevel="0" collapsed="false">
      <c r="A150" s="24" t="n">
        <v>19</v>
      </c>
      <c r="B150" s="13" t="s">
        <v>63</v>
      </c>
      <c r="C150" s="13" t="s">
        <v>570</v>
      </c>
      <c r="D150" s="13" t="s">
        <v>457</v>
      </c>
      <c r="E150" s="27" t="s">
        <v>126</v>
      </c>
      <c r="F150" s="31" t="n">
        <v>140</v>
      </c>
      <c r="G150" s="24" t="s">
        <v>128</v>
      </c>
      <c r="H150" s="32" t="n">
        <f aca="false">IFERROR(INDEX(Catálogo!$F$2:$F$140,MATCH(E150,Catálogo!$A$2:$A$140,0)),0)</f>
        <v>0.11</v>
      </c>
      <c r="I150" s="15" t="n">
        <f aca="false">F150*H150</f>
        <v>15.4</v>
      </c>
    </row>
    <row r="151" customFormat="false" ht="15" hidden="false" customHeight="false" outlineLevel="0" collapsed="false">
      <c r="A151" s="24" t="n">
        <v>19</v>
      </c>
      <c r="B151" s="13" t="s">
        <v>63</v>
      </c>
      <c r="C151" s="13" t="s">
        <v>570</v>
      </c>
      <c r="D151" s="13" t="s">
        <v>528</v>
      </c>
      <c r="E151" s="27" t="s">
        <v>138</v>
      </c>
      <c r="F151" s="31" t="n">
        <v>80</v>
      </c>
      <c r="G151" s="24" t="s">
        <v>128</v>
      </c>
      <c r="H151" s="32" t="n">
        <f aca="false">IFERROR(INDEX(Catálogo!$F$2:$F$140,MATCH(E151,Catálogo!$A$2:$A$140,0)),0)</f>
        <v>0.032</v>
      </c>
      <c r="I151" s="15" t="n">
        <f aca="false">F151*H151</f>
        <v>2.56</v>
      </c>
    </row>
    <row r="152" customFormat="false" ht="15" hidden="false" customHeight="false" outlineLevel="0" collapsed="false">
      <c r="A152" s="24" t="n">
        <v>19</v>
      </c>
      <c r="B152" s="13" t="s">
        <v>63</v>
      </c>
      <c r="C152" s="13" t="s">
        <v>570</v>
      </c>
      <c r="D152" s="13" t="s">
        <v>464</v>
      </c>
      <c r="E152" s="27" t="s">
        <v>148</v>
      </c>
      <c r="F152" s="31" t="n">
        <v>25</v>
      </c>
      <c r="G152" s="24" t="s">
        <v>150</v>
      </c>
      <c r="H152" s="32" t="n">
        <f aca="false">IFERROR(INDEX(Catálogo!$F$2:$F$140,MATCH(E152,Catálogo!$A$2:$A$140,0)),0)</f>
        <v>0.002</v>
      </c>
      <c r="I152" s="15" t="n">
        <f aca="false">F152*H152</f>
        <v>0.05</v>
      </c>
    </row>
    <row r="153" customFormat="false" ht="15" hidden="false" customHeight="false" outlineLevel="0" collapsed="false">
      <c r="A153" s="24" t="n">
        <v>19</v>
      </c>
      <c r="B153" s="13" t="s">
        <v>63</v>
      </c>
      <c r="C153" s="13" t="s">
        <v>570</v>
      </c>
      <c r="D153" s="13" t="s">
        <v>531</v>
      </c>
      <c r="E153" s="27" t="s">
        <v>134</v>
      </c>
      <c r="F153" s="31" t="n">
        <v>20</v>
      </c>
      <c r="G153" s="24" t="s">
        <v>128</v>
      </c>
      <c r="H153" s="32" t="n">
        <f aca="false">IFERROR(INDEX(Catálogo!$F$2:$F$140,MATCH(E153,Catálogo!$A$2:$A$140,0)),0)</f>
        <v>0.26</v>
      </c>
      <c r="I153" s="15" t="n">
        <f aca="false">F153*H153</f>
        <v>5.2</v>
      </c>
    </row>
    <row r="154" customFormat="false" ht="15" hidden="false" customHeight="false" outlineLevel="0" collapsed="false">
      <c r="A154" s="24" t="n">
        <v>19</v>
      </c>
      <c r="B154" s="13" t="s">
        <v>63</v>
      </c>
      <c r="C154" s="13" t="s">
        <v>570</v>
      </c>
      <c r="D154" s="13" t="s">
        <v>571</v>
      </c>
      <c r="E154" s="27" t="s">
        <v>398</v>
      </c>
      <c r="F154" s="31" t="n">
        <v>1.5</v>
      </c>
      <c r="G154" s="24" t="s">
        <v>128</v>
      </c>
      <c r="H154" s="32" t="n">
        <f aca="false">IFERROR(INDEX(Catálogo!$F$2:$F$140,MATCH(E154,Catálogo!$A$2:$A$140,0)),0)</f>
        <v>0.08</v>
      </c>
      <c r="I154" s="15" t="n">
        <f aca="false">F154*H154</f>
        <v>0.12</v>
      </c>
    </row>
    <row r="155" customFormat="false" ht="15" hidden="false" customHeight="false" outlineLevel="0" collapsed="false">
      <c r="A155" s="24" t="n">
        <v>19</v>
      </c>
      <c r="B155" s="13" t="s">
        <v>63</v>
      </c>
      <c r="C155" s="13" t="s">
        <v>570</v>
      </c>
      <c r="D155" s="13" t="s">
        <v>509</v>
      </c>
      <c r="E155" s="27" t="s">
        <v>151</v>
      </c>
      <c r="F155" s="31" t="n">
        <v>2</v>
      </c>
      <c r="G155" s="24" t="s">
        <v>128</v>
      </c>
      <c r="H155" s="32" t="n">
        <f aca="false">IFERROR(INDEX(Catálogo!$F$2:$F$140,MATCH(E155,Catálogo!$A$2:$A$140,0)),0)</f>
        <v>0.06</v>
      </c>
      <c r="I155" s="15" t="n">
        <f aca="false">F155*H155</f>
        <v>0.12</v>
      </c>
    </row>
    <row r="156" customFormat="false" ht="15" hidden="false" customHeight="false" outlineLevel="0" collapsed="false">
      <c r="A156" s="24" t="n">
        <v>19</v>
      </c>
      <c r="B156" s="13" t="s">
        <v>63</v>
      </c>
      <c r="C156" s="13" t="s">
        <v>572</v>
      </c>
      <c r="D156" s="13" t="s">
        <v>573</v>
      </c>
      <c r="E156" s="27" t="s">
        <v>288</v>
      </c>
      <c r="F156" s="31" t="n">
        <v>230</v>
      </c>
      <c r="G156" s="24" t="s">
        <v>128</v>
      </c>
      <c r="H156" s="32" t="n">
        <f aca="false">IFERROR(INDEX(Catálogo!$F$2:$F$140,MATCH(E156,Catálogo!$A$2:$A$140,0)),0)</f>
        <v>0.7</v>
      </c>
      <c r="I156" s="15" t="n">
        <f aca="false">F156*H156</f>
        <v>161</v>
      </c>
    </row>
    <row r="157" customFormat="false" ht="15" hidden="false" customHeight="false" outlineLevel="0" collapsed="false">
      <c r="A157" s="24" t="n">
        <v>19</v>
      </c>
      <c r="B157" s="13" t="s">
        <v>63</v>
      </c>
      <c r="C157" s="13" t="s">
        <v>572</v>
      </c>
      <c r="D157" s="13" t="s">
        <v>574</v>
      </c>
      <c r="E157" s="27" t="s">
        <v>326</v>
      </c>
      <c r="F157" s="31" t="n">
        <v>60</v>
      </c>
      <c r="G157" s="24" t="s">
        <v>128</v>
      </c>
      <c r="H157" s="32" t="n">
        <f aca="false">IFERROR(INDEX(Catálogo!$F$2:$F$140,MATCH(E157,Catálogo!$A$2:$A$140,0)),0)</f>
        <v>0.25</v>
      </c>
      <c r="I157" s="15" t="n">
        <f aca="false">F157*H157</f>
        <v>15</v>
      </c>
    </row>
    <row r="158" customFormat="false" ht="15" hidden="false" customHeight="false" outlineLevel="0" collapsed="false">
      <c r="A158" s="24" t="n">
        <v>19</v>
      </c>
      <c r="B158" s="13" t="s">
        <v>63</v>
      </c>
      <c r="C158" s="13" t="s">
        <v>572</v>
      </c>
      <c r="D158" s="13" t="s">
        <v>575</v>
      </c>
      <c r="E158" s="27" t="s">
        <v>328</v>
      </c>
      <c r="F158" s="31" t="n">
        <v>15</v>
      </c>
      <c r="G158" s="24" t="s">
        <v>128</v>
      </c>
      <c r="H158" s="32" t="n">
        <f aca="false">IFERROR(INDEX(Catálogo!$F$2:$F$140,MATCH(E158,Catálogo!$A$2:$A$140,0)),0)</f>
        <v>2.4</v>
      </c>
      <c r="I158" s="15" t="n">
        <f aca="false">F158*H158</f>
        <v>36</v>
      </c>
    </row>
    <row r="159" customFormat="false" ht="15" hidden="false" customHeight="false" outlineLevel="0" collapsed="false">
      <c r="A159" s="24" t="n">
        <v>19</v>
      </c>
      <c r="B159" s="13" t="s">
        <v>63</v>
      </c>
      <c r="C159" s="13" t="s">
        <v>572</v>
      </c>
      <c r="D159" s="13" t="s">
        <v>576</v>
      </c>
      <c r="E159" s="27" t="s">
        <v>159</v>
      </c>
      <c r="F159" s="31" t="n">
        <v>2</v>
      </c>
      <c r="G159" s="24" t="s">
        <v>128</v>
      </c>
      <c r="H159" s="32" t="n">
        <f aca="false">IFERROR(INDEX(Catálogo!$F$2:$F$140,MATCH(E159,Catálogo!$A$2:$A$140,0)),0)</f>
        <v>0.16</v>
      </c>
      <c r="I159" s="15" t="n">
        <f aca="false">F159*H159</f>
        <v>0.32</v>
      </c>
    </row>
    <row r="160" customFormat="false" ht="15" hidden="false" customHeight="false" outlineLevel="0" collapsed="false">
      <c r="A160" s="33" t="n">
        <v>20</v>
      </c>
      <c r="B160" s="18" t="s">
        <v>64</v>
      </c>
      <c r="C160" s="18" t="s">
        <v>577</v>
      </c>
      <c r="D160" s="18" t="s">
        <v>457</v>
      </c>
      <c r="E160" s="34" t="s">
        <v>126</v>
      </c>
      <c r="F160" s="35" t="n">
        <v>140</v>
      </c>
      <c r="G160" s="33" t="s">
        <v>128</v>
      </c>
      <c r="H160" s="36" t="n">
        <f aca="false">IFERROR(INDEX(Catálogo!$F$2:$F$140,MATCH(E160,Catálogo!$A$2:$A$140,0)),0)</f>
        <v>0.11</v>
      </c>
      <c r="I160" s="19" t="n">
        <f aca="false">F160*H160</f>
        <v>15.4</v>
      </c>
    </row>
    <row r="161" customFormat="false" ht="15" hidden="false" customHeight="false" outlineLevel="0" collapsed="false">
      <c r="A161" s="33" t="n">
        <v>20</v>
      </c>
      <c r="B161" s="18" t="s">
        <v>64</v>
      </c>
      <c r="C161" s="18" t="s">
        <v>577</v>
      </c>
      <c r="D161" s="18" t="s">
        <v>528</v>
      </c>
      <c r="E161" s="34" t="s">
        <v>138</v>
      </c>
      <c r="F161" s="35" t="n">
        <v>80</v>
      </c>
      <c r="G161" s="33" t="s">
        <v>128</v>
      </c>
      <c r="H161" s="36" t="n">
        <f aca="false">IFERROR(INDEX(Catálogo!$F$2:$F$140,MATCH(E161,Catálogo!$A$2:$A$140,0)),0)</f>
        <v>0.032</v>
      </c>
      <c r="I161" s="19" t="n">
        <f aca="false">F161*H161</f>
        <v>2.56</v>
      </c>
    </row>
    <row r="162" customFormat="false" ht="15" hidden="false" customHeight="false" outlineLevel="0" collapsed="false">
      <c r="A162" s="33" t="n">
        <v>20</v>
      </c>
      <c r="B162" s="18" t="s">
        <v>64</v>
      </c>
      <c r="C162" s="18" t="s">
        <v>577</v>
      </c>
      <c r="D162" s="18" t="s">
        <v>578</v>
      </c>
      <c r="E162" s="34" t="s">
        <v>302</v>
      </c>
      <c r="F162" s="35" t="n">
        <v>40</v>
      </c>
      <c r="G162" s="33" t="s">
        <v>128</v>
      </c>
      <c r="H162" s="36" t="n">
        <f aca="false">IFERROR(INDEX(Catálogo!$F$2:$F$140,MATCH(E162,Catálogo!$A$2:$A$140,0)),0)</f>
        <v>0.18</v>
      </c>
      <c r="I162" s="19" t="n">
        <f aca="false">F162*H162</f>
        <v>7.2</v>
      </c>
    </row>
    <row r="163" customFormat="false" ht="15" hidden="false" customHeight="false" outlineLevel="0" collapsed="false">
      <c r="A163" s="33" t="n">
        <v>20</v>
      </c>
      <c r="B163" s="18" t="s">
        <v>64</v>
      </c>
      <c r="C163" s="18" t="s">
        <v>577</v>
      </c>
      <c r="D163" s="18" t="s">
        <v>579</v>
      </c>
      <c r="E163" s="34" t="s">
        <v>148</v>
      </c>
      <c r="F163" s="35" t="n">
        <v>30</v>
      </c>
      <c r="G163" s="33" t="s">
        <v>150</v>
      </c>
      <c r="H163" s="36" t="n">
        <f aca="false">IFERROR(INDEX(Catálogo!$F$2:$F$140,MATCH(E163,Catálogo!$A$2:$A$140,0)),0)</f>
        <v>0.002</v>
      </c>
      <c r="I163" s="19" t="n">
        <f aca="false">F163*H163</f>
        <v>0.06</v>
      </c>
    </row>
    <row r="164" customFormat="false" ht="15" hidden="false" customHeight="false" outlineLevel="0" collapsed="false">
      <c r="A164" s="33" t="n">
        <v>20</v>
      </c>
      <c r="B164" s="18" t="s">
        <v>64</v>
      </c>
      <c r="C164" s="18" t="s">
        <v>577</v>
      </c>
      <c r="D164" s="18" t="s">
        <v>509</v>
      </c>
      <c r="E164" s="34" t="s">
        <v>151</v>
      </c>
      <c r="F164" s="35" t="n">
        <v>2</v>
      </c>
      <c r="G164" s="33" t="s">
        <v>128</v>
      </c>
      <c r="H164" s="36" t="n">
        <f aca="false">IFERROR(INDEX(Catálogo!$F$2:$F$140,MATCH(E164,Catálogo!$A$2:$A$140,0)),0)</f>
        <v>0.06</v>
      </c>
      <c r="I164" s="19" t="n">
        <f aca="false">F164*H164</f>
        <v>0.12</v>
      </c>
    </row>
    <row r="165" customFormat="false" ht="15" hidden="false" customHeight="false" outlineLevel="0" collapsed="false">
      <c r="A165" s="33" t="n">
        <v>20</v>
      </c>
      <c r="B165" s="18" t="s">
        <v>64</v>
      </c>
      <c r="C165" s="18" t="s">
        <v>577</v>
      </c>
      <c r="D165" s="18" t="s">
        <v>580</v>
      </c>
      <c r="E165" s="34" t="s">
        <v>304</v>
      </c>
      <c r="F165" s="35" t="n">
        <v>100</v>
      </c>
      <c r="G165" s="33" t="s">
        <v>128</v>
      </c>
      <c r="H165" s="36" t="n">
        <f aca="false">IFERROR(INDEX(Catálogo!$F$2:$F$140,MATCH(E165,Catálogo!$A$2:$A$140,0)),0)</f>
        <v>0.15</v>
      </c>
      <c r="I165" s="19" t="n">
        <f aca="false">F165*H165</f>
        <v>15</v>
      </c>
    </row>
    <row r="166" customFormat="false" ht="15" hidden="false" customHeight="false" outlineLevel="0" collapsed="false">
      <c r="A166" s="33" t="n">
        <v>20</v>
      </c>
      <c r="B166" s="18" t="s">
        <v>64</v>
      </c>
      <c r="C166" s="18" t="s">
        <v>581</v>
      </c>
      <c r="D166" s="18" t="s">
        <v>582</v>
      </c>
      <c r="E166" s="34" t="s">
        <v>282</v>
      </c>
      <c r="F166" s="35" t="n">
        <v>230</v>
      </c>
      <c r="G166" s="33" t="s">
        <v>128</v>
      </c>
      <c r="H166" s="36" t="n">
        <f aca="false">IFERROR(INDEX(Catálogo!$F$2:$F$140,MATCH(E166,Catálogo!$A$2:$A$140,0)),0)</f>
        <v>0.38</v>
      </c>
      <c r="I166" s="19" t="n">
        <f aca="false">F166*H166</f>
        <v>87.4</v>
      </c>
    </row>
    <row r="167" customFormat="false" ht="15" hidden="false" customHeight="false" outlineLevel="0" collapsed="false">
      <c r="A167" s="33" t="n">
        <v>20</v>
      </c>
      <c r="B167" s="18" t="s">
        <v>64</v>
      </c>
      <c r="C167" s="18" t="s">
        <v>581</v>
      </c>
      <c r="D167" s="18" t="s">
        <v>583</v>
      </c>
      <c r="E167" s="34" t="s">
        <v>292</v>
      </c>
      <c r="F167" s="35" t="n">
        <v>10</v>
      </c>
      <c r="G167" s="33" t="s">
        <v>128</v>
      </c>
      <c r="H167" s="36" t="n">
        <f aca="false">IFERROR(INDEX(Catálogo!$F$2:$F$140,MATCH(E167,Catálogo!$A$2:$A$140,0)),0)</f>
        <v>0.65</v>
      </c>
      <c r="I167" s="19" t="n">
        <f aca="false">F167*H167</f>
        <v>6.5</v>
      </c>
    </row>
    <row r="168" customFormat="false" ht="15" hidden="false" customHeight="false" outlineLevel="0" collapsed="false">
      <c r="A168" s="33" t="n">
        <v>20</v>
      </c>
      <c r="B168" s="18" t="s">
        <v>64</v>
      </c>
      <c r="C168" s="18" t="s">
        <v>581</v>
      </c>
      <c r="D168" s="18" t="s">
        <v>584</v>
      </c>
      <c r="E168" s="34" t="s">
        <v>155</v>
      </c>
      <c r="F168" s="35" t="n">
        <v>5</v>
      </c>
      <c r="G168" s="33" t="s">
        <v>128</v>
      </c>
      <c r="H168" s="36" t="n">
        <f aca="false">IFERROR(INDEX(Catálogo!$F$2:$F$140,MATCH(E168,Catálogo!$A$2:$A$140,0)),0)</f>
        <v>0.24</v>
      </c>
      <c r="I168" s="19" t="n">
        <f aca="false">F168*H168</f>
        <v>1.2</v>
      </c>
    </row>
    <row r="169" customFormat="false" ht="15" hidden="false" customHeight="false" outlineLevel="0" collapsed="false">
      <c r="A169" s="24" t="n">
        <v>21</v>
      </c>
      <c r="B169" s="13" t="s">
        <v>65</v>
      </c>
      <c r="C169" s="13" t="s">
        <v>416</v>
      </c>
      <c r="D169" s="13" t="s">
        <v>585</v>
      </c>
      <c r="E169" s="27" t="s">
        <v>130</v>
      </c>
      <c r="F169" s="31" t="n">
        <v>150</v>
      </c>
      <c r="G169" s="24" t="s">
        <v>128</v>
      </c>
      <c r="H169" s="32" t="n">
        <f aca="false">IFERROR(INDEX(Catálogo!$F$2:$F$140,MATCH(E169,Catálogo!$A$2:$A$140,0)),0)</f>
        <v>0.07</v>
      </c>
      <c r="I169" s="15" t="n">
        <f aca="false">F169*H169</f>
        <v>10.5</v>
      </c>
    </row>
    <row r="170" customFormat="false" ht="15" hidden="false" customHeight="false" outlineLevel="0" collapsed="false">
      <c r="A170" s="24" t="n">
        <v>21</v>
      </c>
      <c r="B170" s="13" t="s">
        <v>65</v>
      </c>
      <c r="C170" s="13" t="s">
        <v>586</v>
      </c>
      <c r="D170" s="13" t="s">
        <v>587</v>
      </c>
      <c r="E170" s="27" t="s">
        <v>136</v>
      </c>
      <c r="F170" s="31" t="n">
        <v>60</v>
      </c>
      <c r="G170" s="24" t="s">
        <v>128</v>
      </c>
      <c r="H170" s="32" t="n">
        <f aca="false">IFERROR(INDEX(Catálogo!$F$2:$F$140,MATCH(E170,Catálogo!$A$2:$A$140,0)),0)</f>
        <v>0.42</v>
      </c>
      <c r="I170" s="15" t="n">
        <f aca="false">F170*H170</f>
        <v>25.2</v>
      </c>
    </row>
    <row r="171" customFormat="false" ht="15" hidden="false" customHeight="false" outlineLevel="0" collapsed="false">
      <c r="A171" s="24" t="n">
        <v>21</v>
      </c>
      <c r="B171" s="13" t="s">
        <v>65</v>
      </c>
      <c r="C171" s="13" t="s">
        <v>588</v>
      </c>
      <c r="D171" s="13" t="s">
        <v>589</v>
      </c>
      <c r="E171" s="27" t="s">
        <v>350</v>
      </c>
      <c r="F171" s="31" t="n">
        <v>35</v>
      </c>
      <c r="G171" s="24" t="s">
        <v>128</v>
      </c>
      <c r="H171" s="32" t="n">
        <f aca="false">IFERROR(INDEX(Catálogo!$F$2:$F$140,MATCH(E171,Catálogo!$A$2:$A$140,0)),0)</f>
        <v>0.45</v>
      </c>
      <c r="I171" s="15" t="n">
        <f aca="false">F171*H171</f>
        <v>15.75</v>
      </c>
    </row>
    <row r="172" customFormat="false" ht="15" hidden="false" customHeight="false" outlineLevel="0" collapsed="false">
      <c r="A172" s="24" t="n">
        <v>21</v>
      </c>
      <c r="B172" s="13" t="s">
        <v>65</v>
      </c>
      <c r="C172" s="13" t="s">
        <v>588</v>
      </c>
      <c r="D172" s="13" t="s">
        <v>590</v>
      </c>
      <c r="E172" s="27" t="s">
        <v>346</v>
      </c>
      <c r="F172" s="31" t="n">
        <v>25</v>
      </c>
      <c r="G172" s="24" t="s">
        <v>128</v>
      </c>
      <c r="H172" s="32" t="n">
        <f aca="false">IFERROR(INDEX(Catálogo!$F$2:$F$140,MATCH(E172,Catálogo!$A$2:$A$140,0)),0)</f>
        <v>0.9</v>
      </c>
      <c r="I172" s="15" t="n">
        <f aca="false">F172*H172</f>
        <v>22.5</v>
      </c>
    </row>
    <row r="173" customFormat="false" ht="15" hidden="false" customHeight="false" outlineLevel="0" collapsed="false">
      <c r="A173" s="24" t="n">
        <v>21</v>
      </c>
      <c r="B173" s="13" t="s">
        <v>65</v>
      </c>
      <c r="C173" s="13" t="s">
        <v>588</v>
      </c>
      <c r="D173" s="13" t="s">
        <v>591</v>
      </c>
      <c r="E173" s="27" t="s">
        <v>348</v>
      </c>
      <c r="F173" s="31" t="n">
        <v>15</v>
      </c>
      <c r="G173" s="24" t="s">
        <v>128</v>
      </c>
      <c r="H173" s="32" t="n">
        <f aca="false">IFERROR(INDEX(Catálogo!$F$2:$F$140,MATCH(E173,Catálogo!$A$2:$A$140,0)),0)</f>
        <v>0.8</v>
      </c>
      <c r="I173" s="15" t="n">
        <f aca="false">F173*H173</f>
        <v>12</v>
      </c>
    </row>
    <row r="174" customFormat="false" ht="15" hidden="false" customHeight="false" outlineLevel="0" collapsed="false">
      <c r="A174" s="24" t="n">
        <v>21</v>
      </c>
      <c r="B174" s="13" t="s">
        <v>65</v>
      </c>
      <c r="C174" s="13" t="s">
        <v>588</v>
      </c>
      <c r="D174" s="13" t="s">
        <v>592</v>
      </c>
      <c r="E174" s="27" t="s">
        <v>153</v>
      </c>
      <c r="F174" s="31" t="n">
        <v>5</v>
      </c>
      <c r="G174" s="24" t="s">
        <v>128</v>
      </c>
      <c r="H174" s="32" t="n">
        <f aca="false">IFERROR(INDEX(Catálogo!$F$2:$F$140,MATCH(E174,Catálogo!$A$2:$A$140,0)),0)</f>
        <v>0.025</v>
      </c>
      <c r="I174" s="15" t="n">
        <f aca="false">F174*H174</f>
        <v>0.125</v>
      </c>
    </row>
    <row r="175" customFormat="false" ht="15" hidden="false" customHeight="false" outlineLevel="0" collapsed="false">
      <c r="A175" s="24" t="n">
        <v>21</v>
      </c>
      <c r="B175" s="13" t="s">
        <v>65</v>
      </c>
      <c r="C175" s="13" t="s">
        <v>588</v>
      </c>
      <c r="D175" s="13" t="s">
        <v>593</v>
      </c>
      <c r="E175" s="27" t="s">
        <v>402</v>
      </c>
      <c r="F175" s="31" t="n">
        <v>1</v>
      </c>
      <c r="G175" s="24" t="s">
        <v>128</v>
      </c>
      <c r="H175" s="32" t="n">
        <f aca="false">IFERROR(INDEX(Catálogo!$F$2:$F$140,MATCH(E175,Catálogo!$A$2:$A$140,0)),0)</f>
        <v>0.5</v>
      </c>
      <c r="I175" s="15" t="n">
        <f aca="false">F175*H175</f>
        <v>0.5</v>
      </c>
    </row>
    <row r="176" customFormat="false" ht="15" hidden="false" customHeight="false" outlineLevel="0" collapsed="false">
      <c r="A176" s="33" t="n">
        <v>22</v>
      </c>
      <c r="B176" s="18" t="s">
        <v>66</v>
      </c>
      <c r="C176" s="18" t="s">
        <v>416</v>
      </c>
      <c r="D176" s="18" t="s">
        <v>594</v>
      </c>
      <c r="E176" s="34" t="s">
        <v>130</v>
      </c>
      <c r="F176" s="35" t="n">
        <v>150</v>
      </c>
      <c r="G176" s="33" t="s">
        <v>128</v>
      </c>
      <c r="H176" s="36" t="n">
        <f aca="false">IFERROR(INDEX(Catálogo!$F$2:$F$140,MATCH(E176,Catálogo!$A$2:$A$140,0)),0)</f>
        <v>0.07</v>
      </c>
      <c r="I176" s="19" t="n">
        <f aca="false">F176*H176</f>
        <v>10.5</v>
      </c>
    </row>
    <row r="177" customFormat="false" ht="15" hidden="false" customHeight="false" outlineLevel="0" collapsed="false">
      <c r="A177" s="33" t="n">
        <v>22</v>
      </c>
      <c r="B177" s="18" t="s">
        <v>66</v>
      </c>
      <c r="C177" s="18" t="s">
        <v>595</v>
      </c>
      <c r="D177" s="18" t="s">
        <v>596</v>
      </c>
      <c r="E177" s="34" t="s">
        <v>136</v>
      </c>
      <c r="F177" s="35" t="n">
        <v>55</v>
      </c>
      <c r="G177" s="33" t="s">
        <v>128</v>
      </c>
      <c r="H177" s="36" t="n">
        <f aca="false">IFERROR(INDEX(Catálogo!$F$2:$F$140,MATCH(E177,Catálogo!$A$2:$A$140,0)),0)</f>
        <v>0.42</v>
      </c>
      <c r="I177" s="19" t="n">
        <f aca="false">F177*H177</f>
        <v>23.1</v>
      </c>
    </row>
    <row r="178" customFormat="false" ht="15" hidden="false" customHeight="false" outlineLevel="0" collapsed="false">
      <c r="A178" s="33" t="n">
        <v>22</v>
      </c>
      <c r="B178" s="18" t="s">
        <v>66</v>
      </c>
      <c r="C178" s="18" t="s">
        <v>595</v>
      </c>
      <c r="D178" s="18" t="s">
        <v>597</v>
      </c>
      <c r="E178" s="34" t="s">
        <v>374</v>
      </c>
      <c r="F178" s="35" t="n">
        <v>5</v>
      </c>
      <c r="G178" s="33" t="s">
        <v>150</v>
      </c>
      <c r="H178" s="36" t="n">
        <f aca="false">IFERROR(INDEX(Catálogo!$F$2:$F$140,MATCH(E178,Catálogo!$A$2:$A$140,0)),0)</f>
        <v>1</v>
      </c>
      <c r="I178" s="19" t="n">
        <f aca="false">F178*H178</f>
        <v>5</v>
      </c>
    </row>
    <row r="179" customFormat="false" ht="15" hidden="false" customHeight="false" outlineLevel="0" collapsed="false">
      <c r="A179" s="33" t="n">
        <v>22</v>
      </c>
      <c r="B179" s="18" t="s">
        <v>66</v>
      </c>
      <c r="C179" s="18" t="s">
        <v>598</v>
      </c>
      <c r="D179" s="18" t="s">
        <v>599</v>
      </c>
      <c r="E179" s="34" t="s">
        <v>352</v>
      </c>
      <c r="F179" s="35" t="n">
        <v>60</v>
      </c>
      <c r="G179" s="33" t="s">
        <v>128</v>
      </c>
      <c r="H179" s="36" t="n">
        <f aca="false">IFERROR(INDEX(Catálogo!$F$2:$F$140,MATCH(E179,Catálogo!$A$2:$A$140,0)),0)</f>
        <v>0.5</v>
      </c>
      <c r="I179" s="19" t="n">
        <f aca="false">F179*H179</f>
        <v>30</v>
      </c>
    </row>
    <row r="180" customFormat="false" ht="15" hidden="false" customHeight="false" outlineLevel="0" collapsed="false">
      <c r="A180" s="33" t="n">
        <v>22</v>
      </c>
      <c r="B180" s="18" t="s">
        <v>66</v>
      </c>
      <c r="C180" s="18" t="s">
        <v>598</v>
      </c>
      <c r="D180" s="18" t="s">
        <v>600</v>
      </c>
      <c r="E180" s="34" t="s">
        <v>226</v>
      </c>
      <c r="F180" s="35" t="n">
        <v>6</v>
      </c>
      <c r="G180" s="33" t="s">
        <v>128</v>
      </c>
      <c r="H180" s="36" t="n">
        <f aca="false">IFERROR(INDEX(Catálogo!$F$2:$F$140,MATCH(E180,Catálogo!$A$2:$A$140,0)),0)</f>
        <v>0.45</v>
      </c>
      <c r="I180" s="19" t="n">
        <f aca="false">F180*H180</f>
        <v>2.7</v>
      </c>
    </row>
    <row r="181" customFormat="false" ht="15" hidden="false" customHeight="false" outlineLevel="0" collapsed="false">
      <c r="A181" s="33" t="n">
        <v>22</v>
      </c>
      <c r="B181" s="18" t="s">
        <v>66</v>
      </c>
      <c r="C181" s="18" t="s">
        <v>598</v>
      </c>
      <c r="D181" s="18" t="s">
        <v>601</v>
      </c>
      <c r="E181" s="34" t="s">
        <v>155</v>
      </c>
      <c r="F181" s="35" t="n">
        <v>4</v>
      </c>
      <c r="G181" s="33" t="s">
        <v>128</v>
      </c>
      <c r="H181" s="36" t="n">
        <f aca="false">IFERROR(INDEX(Catálogo!$F$2:$F$140,MATCH(E181,Catálogo!$A$2:$A$140,0)),0)</f>
        <v>0.24</v>
      </c>
      <c r="I181" s="19" t="n">
        <f aca="false">F181*H181</f>
        <v>0.96</v>
      </c>
    </row>
    <row r="182" customFormat="false" ht="15" hidden="false" customHeight="false" outlineLevel="0" collapsed="false">
      <c r="A182" s="24" t="n">
        <v>23</v>
      </c>
      <c r="B182" s="13" t="s">
        <v>67</v>
      </c>
      <c r="C182" s="13" t="s">
        <v>428</v>
      </c>
      <c r="D182" s="13" t="s">
        <v>440</v>
      </c>
      <c r="E182" s="27" t="s">
        <v>126</v>
      </c>
      <c r="F182" s="31" t="n">
        <v>130</v>
      </c>
      <c r="G182" s="24" t="s">
        <v>128</v>
      </c>
      <c r="H182" s="32" t="n">
        <f aca="false">IFERROR(INDEX(Catálogo!$F$2:$F$140,MATCH(E182,Catálogo!$A$2:$A$140,0)),0)</f>
        <v>0.11</v>
      </c>
      <c r="I182" s="15" t="n">
        <f aca="false">F182*H182</f>
        <v>14.3</v>
      </c>
    </row>
    <row r="183" customFormat="false" ht="15" hidden="false" customHeight="false" outlineLevel="0" collapsed="false">
      <c r="A183" s="24" t="n">
        <v>23</v>
      </c>
      <c r="B183" s="13" t="s">
        <v>67</v>
      </c>
      <c r="C183" s="13" t="s">
        <v>428</v>
      </c>
      <c r="D183" s="13" t="s">
        <v>602</v>
      </c>
      <c r="E183" s="27" t="s">
        <v>182</v>
      </c>
      <c r="F183" s="31" t="n">
        <v>80</v>
      </c>
      <c r="G183" s="24" t="s">
        <v>128</v>
      </c>
      <c r="H183" s="32" t="n">
        <f aca="false">IFERROR(INDEX(Catálogo!$F$2:$F$140,MATCH(E183,Catálogo!$A$2:$A$140,0)),0)</f>
        <v>0.5</v>
      </c>
      <c r="I183" s="15" t="n">
        <f aca="false">F183*H183</f>
        <v>40</v>
      </c>
    </row>
    <row r="184" customFormat="false" ht="15" hidden="false" customHeight="false" outlineLevel="0" collapsed="false">
      <c r="A184" s="24" t="n">
        <v>23</v>
      </c>
      <c r="B184" s="13" t="s">
        <v>67</v>
      </c>
      <c r="C184" s="13" t="s">
        <v>603</v>
      </c>
      <c r="D184" s="13" t="s">
        <v>604</v>
      </c>
      <c r="E184" s="27" t="s">
        <v>204</v>
      </c>
      <c r="F184" s="31" t="n">
        <v>100</v>
      </c>
      <c r="G184" s="24" t="s">
        <v>128</v>
      </c>
      <c r="H184" s="32" t="n">
        <f aca="false">IFERROR(INDEX(Catálogo!$F$2:$F$140,MATCH(E184,Catálogo!$A$2:$A$140,0)),0)</f>
        <v>0.15</v>
      </c>
      <c r="I184" s="15" t="n">
        <f aca="false">F184*H184</f>
        <v>15</v>
      </c>
    </row>
    <row r="185" customFormat="false" ht="15" hidden="false" customHeight="false" outlineLevel="0" collapsed="false">
      <c r="A185" s="24" t="n">
        <v>23</v>
      </c>
      <c r="B185" s="13" t="s">
        <v>67</v>
      </c>
      <c r="C185" s="13" t="s">
        <v>603</v>
      </c>
      <c r="D185" s="13" t="s">
        <v>605</v>
      </c>
      <c r="E185" s="27" t="s">
        <v>142</v>
      </c>
      <c r="F185" s="31" t="n">
        <v>80</v>
      </c>
      <c r="G185" s="24" t="s">
        <v>128</v>
      </c>
      <c r="H185" s="32" t="n">
        <f aca="false">IFERROR(INDEX(Catálogo!$F$2:$F$140,MATCH(E185,Catálogo!$A$2:$A$140,0)),0)</f>
        <v>0.045</v>
      </c>
      <c r="I185" s="15" t="n">
        <f aca="false">F185*H185</f>
        <v>3.6</v>
      </c>
    </row>
    <row r="186" customFormat="false" ht="15" hidden="false" customHeight="false" outlineLevel="0" collapsed="false">
      <c r="A186" s="24" t="n">
        <v>23</v>
      </c>
      <c r="B186" s="13" t="s">
        <v>67</v>
      </c>
      <c r="C186" s="13" t="s">
        <v>603</v>
      </c>
      <c r="D186" s="13" t="s">
        <v>606</v>
      </c>
      <c r="E186" s="27" t="s">
        <v>134</v>
      </c>
      <c r="F186" s="31" t="n">
        <v>60</v>
      </c>
      <c r="G186" s="24" t="s">
        <v>128</v>
      </c>
      <c r="H186" s="32" t="n">
        <f aca="false">IFERROR(INDEX(Catálogo!$F$2:$F$140,MATCH(E186,Catálogo!$A$2:$A$140,0)),0)</f>
        <v>0.26</v>
      </c>
      <c r="I186" s="15" t="n">
        <f aca="false">F186*H186</f>
        <v>15.6</v>
      </c>
    </row>
    <row r="187" customFormat="false" ht="15" hidden="false" customHeight="false" outlineLevel="0" collapsed="false">
      <c r="A187" s="24" t="n">
        <v>23</v>
      </c>
      <c r="B187" s="13" t="s">
        <v>67</v>
      </c>
      <c r="C187" s="13" t="s">
        <v>603</v>
      </c>
      <c r="D187" s="13" t="s">
        <v>464</v>
      </c>
      <c r="E187" s="27" t="s">
        <v>148</v>
      </c>
      <c r="F187" s="31" t="n">
        <v>25</v>
      </c>
      <c r="G187" s="24" t="s">
        <v>150</v>
      </c>
      <c r="H187" s="32" t="n">
        <f aca="false">IFERROR(INDEX(Catálogo!$F$2:$F$140,MATCH(E187,Catálogo!$A$2:$A$140,0)),0)</f>
        <v>0.002</v>
      </c>
      <c r="I187" s="15" t="n">
        <f aca="false">F187*H187</f>
        <v>0.05</v>
      </c>
    </row>
    <row r="188" customFormat="false" ht="15" hidden="false" customHeight="false" outlineLevel="0" collapsed="false">
      <c r="A188" s="24" t="n">
        <v>23</v>
      </c>
      <c r="B188" s="13" t="s">
        <v>67</v>
      </c>
      <c r="C188" s="13" t="s">
        <v>603</v>
      </c>
      <c r="D188" s="13" t="s">
        <v>607</v>
      </c>
      <c r="E188" s="27" t="s">
        <v>151</v>
      </c>
      <c r="F188" s="31" t="n">
        <v>3</v>
      </c>
      <c r="G188" s="24" t="s">
        <v>128</v>
      </c>
      <c r="H188" s="32" t="n">
        <f aca="false">IFERROR(INDEX(Catálogo!$F$2:$F$140,MATCH(E188,Catálogo!$A$2:$A$140,0)),0)</f>
        <v>0.06</v>
      </c>
      <c r="I188" s="15" t="n">
        <f aca="false">F188*H188</f>
        <v>0.18</v>
      </c>
    </row>
    <row r="189" customFormat="false" ht="15" hidden="false" customHeight="false" outlineLevel="0" collapsed="false">
      <c r="A189" s="24" t="n">
        <v>23</v>
      </c>
      <c r="B189" s="13" t="s">
        <v>67</v>
      </c>
      <c r="C189" s="13" t="s">
        <v>603</v>
      </c>
      <c r="D189" s="13" t="s">
        <v>608</v>
      </c>
      <c r="E189" s="27" t="s">
        <v>153</v>
      </c>
      <c r="F189" s="31" t="n">
        <v>2</v>
      </c>
      <c r="G189" s="24" t="s">
        <v>128</v>
      </c>
      <c r="H189" s="32" t="n">
        <f aca="false">IFERROR(INDEX(Catálogo!$F$2:$F$140,MATCH(E189,Catálogo!$A$2:$A$140,0)),0)</f>
        <v>0.025</v>
      </c>
      <c r="I189" s="15" t="n">
        <f aca="false">F189*H189</f>
        <v>0.05</v>
      </c>
    </row>
    <row r="190" customFormat="false" ht="15" hidden="false" customHeight="false" outlineLevel="0" collapsed="false">
      <c r="A190" s="24" t="n">
        <v>23</v>
      </c>
      <c r="B190" s="13" t="s">
        <v>67</v>
      </c>
      <c r="C190" s="13" t="s">
        <v>609</v>
      </c>
      <c r="D190" s="13" t="s">
        <v>610</v>
      </c>
      <c r="E190" s="27" t="s">
        <v>356</v>
      </c>
      <c r="F190" s="31" t="n">
        <v>60</v>
      </c>
      <c r="G190" s="24" t="s">
        <v>128</v>
      </c>
      <c r="H190" s="32" t="n">
        <f aca="false">IFERROR(INDEX(Catálogo!$F$2:$F$140,MATCH(E190,Catálogo!$A$2:$A$140,0)),0)</f>
        <v>0.6</v>
      </c>
      <c r="I190" s="15" t="n">
        <f aca="false">F190*H190</f>
        <v>36</v>
      </c>
    </row>
    <row r="191" customFormat="false" ht="15" hidden="false" customHeight="false" outlineLevel="0" collapsed="false">
      <c r="A191" s="33" t="n">
        <v>24</v>
      </c>
      <c r="B191" s="18" t="s">
        <v>68</v>
      </c>
      <c r="C191" s="18" t="s">
        <v>416</v>
      </c>
      <c r="D191" s="18" t="s">
        <v>611</v>
      </c>
      <c r="E191" s="34" t="s">
        <v>130</v>
      </c>
      <c r="F191" s="35" t="n">
        <v>150</v>
      </c>
      <c r="G191" s="33" t="s">
        <v>128</v>
      </c>
      <c r="H191" s="36" t="n">
        <f aca="false">IFERROR(INDEX(Catálogo!$F$2:$F$140,MATCH(E191,Catálogo!$A$2:$A$140,0)),0)</f>
        <v>0.07</v>
      </c>
      <c r="I191" s="19" t="n">
        <f aca="false">F191*H191</f>
        <v>10.5</v>
      </c>
    </row>
    <row r="192" customFormat="false" ht="15" hidden="false" customHeight="false" outlineLevel="0" collapsed="false">
      <c r="A192" s="33" t="n">
        <v>24</v>
      </c>
      <c r="B192" s="18" t="s">
        <v>68</v>
      </c>
      <c r="C192" s="18" t="s">
        <v>586</v>
      </c>
      <c r="D192" s="18" t="s">
        <v>612</v>
      </c>
      <c r="E192" s="34" t="s">
        <v>136</v>
      </c>
      <c r="F192" s="35" t="n">
        <v>55</v>
      </c>
      <c r="G192" s="33" t="s">
        <v>128</v>
      </c>
      <c r="H192" s="36" t="n">
        <f aca="false">IFERROR(INDEX(Catálogo!$F$2:$F$140,MATCH(E192,Catálogo!$A$2:$A$140,0)),0)</f>
        <v>0.42</v>
      </c>
      <c r="I192" s="19" t="n">
        <f aca="false">F192*H192</f>
        <v>23.1</v>
      </c>
    </row>
    <row r="193" customFormat="false" ht="15" hidden="false" customHeight="false" outlineLevel="0" collapsed="false">
      <c r="A193" s="33" t="n">
        <v>24</v>
      </c>
      <c r="B193" s="18" t="s">
        <v>68</v>
      </c>
      <c r="C193" s="18" t="s">
        <v>609</v>
      </c>
      <c r="D193" s="18" t="s">
        <v>613</v>
      </c>
      <c r="E193" s="34" t="s">
        <v>350</v>
      </c>
      <c r="F193" s="35" t="n">
        <v>50</v>
      </c>
      <c r="G193" s="33" t="s">
        <v>128</v>
      </c>
      <c r="H193" s="36" t="n">
        <f aca="false">IFERROR(INDEX(Catálogo!$F$2:$F$140,MATCH(E193,Catálogo!$A$2:$A$140,0)),0)</f>
        <v>0.45</v>
      </c>
      <c r="I193" s="19" t="n">
        <f aca="false">F193*H193</f>
        <v>22.5</v>
      </c>
    </row>
    <row r="194" customFormat="false" ht="15" hidden="false" customHeight="false" outlineLevel="0" collapsed="false">
      <c r="A194" s="33" t="n">
        <v>24</v>
      </c>
      <c r="B194" s="18" t="s">
        <v>68</v>
      </c>
      <c r="C194" s="18" t="s">
        <v>609</v>
      </c>
      <c r="D194" s="18" t="s">
        <v>614</v>
      </c>
      <c r="E194" s="34" t="s">
        <v>314</v>
      </c>
      <c r="F194" s="35" t="n">
        <v>10</v>
      </c>
      <c r="G194" s="33" t="s">
        <v>128</v>
      </c>
      <c r="H194" s="36" t="n">
        <f aca="false">IFERROR(INDEX(Catálogo!$F$2:$F$140,MATCH(E194,Catálogo!$A$2:$A$140,0)),0)</f>
        <v>1.5</v>
      </c>
      <c r="I194" s="19" t="n">
        <f aca="false">F194*H194</f>
        <v>15</v>
      </c>
    </row>
    <row r="195" customFormat="false" ht="15" hidden="false" customHeight="false" outlineLevel="0" collapsed="false">
      <c r="A195" s="33" t="n">
        <v>24</v>
      </c>
      <c r="B195" s="18" t="s">
        <v>68</v>
      </c>
      <c r="C195" s="18" t="s">
        <v>609</v>
      </c>
      <c r="D195" s="18" t="s">
        <v>615</v>
      </c>
      <c r="E195" s="34" t="s">
        <v>314</v>
      </c>
      <c r="F195" s="35" t="n">
        <v>5</v>
      </c>
      <c r="G195" s="33" t="s">
        <v>128</v>
      </c>
      <c r="H195" s="36" t="n">
        <f aca="false">IFERROR(INDEX(Catálogo!$F$2:$F$140,MATCH(E195,Catálogo!$A$2:$A$140,0)),0)</f>
        <v>1.5</v>
      </c>
      <c r="I195" s="19" t="n">
        <f aca="false">F195*H195</f>
        <v>7.5</v>
      </c>
    </row>
    <row r="196" customFormat="false" ht="15" hidden="false" customHeight="false" outlineLevel="0" collapsed="false">
      <c r="A196" s="33" t="n">
        <v>24</v>
      </c>
      <c r="B196" s="18" t="s">
        <v>68</v>
      </c>
      <c r="C196" s="18" t="s">
        <v>609</v>
      </c>
      <c r="D196" s="18" t="s">
        <v>616</v>
      </c>
      <c r="E196" s="34" t="s">
        <v>153</v>
      </c>
      <c r="F196" s="35" t="n">
        <v>5</v>
      </c>
      <c r="G196" s="33" t="s">
        <v>128</v>
      </c>
      <c r="H196" s="36" t="n">
        <f aca="false">IFERROR(INDEX(Catálogo!$F$2:$F$140,MATCH(E196,Catálogo!$A$2:$A$140,0)),0)</f>
        <v>0.025</v>
      </c>
      <c r="I196" s="19" t="n">
        <f aca="false">F196*H196</f>
        <v>0.125</v>
      </c>
    </row>
    <row r="197" customFormat="false" ht="15" hidden="false" customHeight="false" outlineLevel="0" collapsed="false">
      <c r="A197" s="33" t="n">
        <v>24</v>
      </c>
      <c r="B197" s="18" t="s">
        <v>68</v>
      </c>
      <c r="C197" s="18" t="s">
        <v>609</v>
      </c>
      <c r="D197" s="18" t="s">
        <v>617</v>
      </c>
      <c r="E197" s="34" t="s">
        <v>320</v>
      </c>
      <c r="F197" s="35" t="n">
        <v>1</v>
      </c>
      <c r="G197" s="33" t="s">
        <v>128</v>
      </c>
      <c r="H197" s="36" t="n">
        <f aca="false">IFERROR(INDEX(Catálogo!$F$2:$F$140,MATCH(E197,Catálogo!$A$2:$A$140,0)),0)</f>
        <v>0.6</v>
      </c>
      <c r="I197" s="19" t="n">
        <f aca="false">F197*H197</f>
        <v>0.6</v>
      </c>
    </row>
    <row r="198" customFormat="false" ht="15" hidden="false" customHeight="false" outlineLevel="0" collapsed="false">
      <c r="A198" s="24" t="n">
        <v>25</v>
      </c>
      <c r="B198" s="13" t="s">
        <v>69</v>
      </c>
      <c r="C198" s="13" t="s">
        <v>416</v>
      </c>
      <c r="D198" s="13" t="s">
        <v>618</v>
      </c>
      <c r="E198" s="27" t="s">
        <v>130</v>
      </c>
      <c r="F198" s="31" t="n">
        <v>150</v>
      </c>
      <c r="G198" s="24" t="s">
        <v>128</v>
      </c>
      <c r="H198" s="32" t="n">
        <f aca="false">IFERROR(INDEX(Catálogo!$F$2:$F$140,MATCH(E198,Catálogo!$A$2:$A$140,0)),0)</f>
        <v>0.07</v>
      </c>
      <c r="I198" s="15" t="n">
        <f aca="false">F198*H198</f>
        <v>10.5</v>
      </c>
    </row>
    <row r="199" customFormat="false" ht="15" hidden="false" customHeight="false" outlineLevel="0" collapsed="false">
      <c r="A199" s="24" t="n">
        <v>25</v>
      </c>
      <c r="B199" s="13" t="s">
        <v>69</v>
      </c>
      <c r="C199" s="13" t="s">
        <v>619</v>
      </c>
      <c r="D199" s="13" t="s">
        <v>620</v>
      </c>
      <c r="E199" s="27" t="s">
        <v>136</v>
      </c>
      <c r="F199" s="31" t="n">
        <v>50</v>
      </c>
      <c r="G199" s="24" t="s">
        <v>128</v>
      </c>
      <c r="H199" s="32" t="n">
        <f aca="false">IFERROR(INDEX(Catálogo!$F$2:$F$140,MATCH(E199,Catálogo!$A$2:$A$140,0)),0)</f>
        <v>0.42</v>
      </c>
      <c r="I199" s="15" t="n">
        <f aca="false">F199*H199</f>
        <v>21</v>
      </c>
    </row>
    <row r="200" customFormat="false" ht="15" hidden="false" customHeight="false" outlineLevel="0" collapsed="false">
      <c r="A200" s="24" t="n">
        <v>25</v>
      </c>
      <c r="B200" s="13" t="s">
        <v>69</v>
      </c>
      <c r="C200" s="13" t="s">
        <v>619</v>
      </c>
      <c r="D200" s="13" t="s">
        <v>621</v>
      </c>
      <c r="E200" s="27" t="s">
        <v>380</v>
      </c>
      <c r="F200" s="31" t="n">
        <v>25</v>
      </c>
      <c r="G200" s="24" t="s">
        <v>128</v>
      </c>
      <c r="H200" s="32" t="n">
        <f aca="false">IFERROR(INDEX(Catálogo!$F$2:$F$140,MATCH(E200,Catálogo!$A$2:$A$140,0)),0)</f>
        <v>1.2</v>
      </c>
      <c r="I200" s="15" t="n">
        <f aca="false">F200*H200</f>
        <v>30</v>
      </c>
    </row>
    <row r="201" customFormat="false" ht="15" hidden="false" customHeight="false" outlineLevel="0" collapsed="false">
      <c r="A201" s="24" t="n">
        <v>25</v>
      </c>
      <c r="B201" s="13" t="s">
        <v>69</v>
      </c>
      <c r="C201" s="13" t="s">
        <v>622</v>
      </c>
      <c r="D201" s="13" t="s">
        <v>623</v>
      </c>
      <c r="E201" s="27" t="s">
        <v>386</v>
      </c>
      <c r="F201" s="31" t="n">
        <v>25</v>
      </c>
      <c r="G201" s="24" t="s">
        <v>128</v>
      </c>
      <c r="H201" s="32" t="n">
        <f aca="false">IFERROR(INDEX(Catálogo!$F$2:$F$140,MATCH(E201,Catálogo!$A$2:$A$140,0)),0)</f>
        <v>0.45</v>
      </c>
      <c r="I201" s="15" t="n">
        <f aca="false">F201*H201</f>
        <v>11.25</v>
      </c>
    </row>
    <row r="202" customFormat="false" ht="15" hidden="false" customHeight="false" outlineLevel="0" collapsed="false">
      <c r="A202" s="24" t="n">
        <v>25</v>
      </c>
      <c r="B202" s="13" t="s">
        <v>69</v>
      </c>
      <c r="C202" s="13" t="s">
        <v>622</v>
      </c>
      <c r="D202" s="13" t="s">
        <v>624</v>
      </c>
      <c r="E202" s="27" t="s">
        <v>392</v>
      </c>
      <c r="F202" s="31" t="n">
        <v>8</v>
      </c>
      <c r="G202" s="24" t="s">
        <v>128</v>
      </c>
      <c r="H202" s="32" t="n">
        <f aca="false">IFERROR(INDEX(Catálogo!$F$2:$F$140,MATCH(E202,Catálogo!$A$2:$A$140,0)),0)</f>
        <v>1.2</v>
      </c>
      <c r="I202" s="15" t="n">
        <f aca="false">F202*H202</f>
        <v>9.6</v>
      </c>
    </row>
    <row r="203" customFormat="false" ht="15" hidden="false" customHeight="false" outlineLevel="0" collapsed="false">
      <c r="A203" s="24" t="n">
        <v>25</v>
      </c>
      <c r="B203" s="13" t="s">
        <v>69</v>
      </c>
      <c r="C203" s="13" t="s">
        <v>622</v>
      </c>
      <c r="D203" s="13" t="s">
        <v>625</v>
      </c>
      <c r="E203" s="27" t="s">
        <v>153</v>
      </c>
      <c r="F203" s="31" t="n">
        <v>6</v>
      </c>
      <c r="G203" s="24" t="s">
        <v>128</v>
      </c>
      <c r="H203" s="32" t="n">
        <f aca="false">IFERROR(INDEX(Catálogo!$F$2:$F$140,MATCH(E203,Catálogo!$A$2:$A$140,0)),0)</f>
        <v>0.025</v>
      </c>
      <c r="I203" s="15" t="n">
        <f aca="false">F203*H203</f>
        <v>0.15</v>
      </c>
    </row>
    <row r="204" customFormat="false" ht="15" hidden="false" customHeight="false" outlineLevel="0" collapsed="false">
      <c r="A204" s="24" t="n">
        <v>25</v>
      </c>
      <c r="B204" s="13" t="s">
        <v>69</v>
      </c>
      <c r="C204" s="13" t="s">
        <v>622</v>
      </c>
      <c r="D204" s="13" t="s">
        <v>626</v>
      </c>
      <c r="E204" s="27" t="s">
        <v>140</v>
      </c>
      <c r="F204" s="31" t="n">
        <v>2</v>
      </c>
      <c r="G204" s="24" t="s">
        <v>128</v>
      </c>
      <c r="H204" s="32" t="n">
        <f aca="false">IFERROR(INDEX(Catálogo!$F$2:$F$140,MATCH(E204,Catálogo!$A$2:$A$140,0)),0)</f>
        <v>0.04</v>
      </c>
      <c r="I204" s="15" t="n">
        <f aca="false">F204*H204</f>
        <v>0.08</v>
      </c>
    </row>
    <row r="205" customFormat="false" ht="15" hidden="false" customHeight="false" outlineLevel="0" collapsed="false">
      <c r="A205" s="33" t="n">
        <v>26</v>
      </c>
      <c r="B205" s="18" t="s">
        <v>70</v>
      </c>
      <c r="C205" s="18" t="s">
        <v>428</v>
      </c>
      <c r="D205" s="18" t="s">
        <v>627</v>
      </c>
      <c r="E205" s="34" t="s">
        <v>126</v>
      </c>
      <c r="F205" s="35" t="n">
        <v>140</v>
      </c>
      <c r="G205" s="33" t="s">
        <v>128</v>
      </c>
      <c r="H205" s="36" t="n">
        <f aca="false">IFERROR(INDEX(Catálogo!$F$2:$F$140,MATCH(E205,Catálogo!$A$2:$A$140,0)),0)</f>
        <v>0.11</v>
      </c>
      <c r="I205" s="19" t="n">
        <f aca="false">F205*H205</f>
        <v>15.4</v>
      </c>
    </row>
    <row r="206" customFormat="false" ht="15" hidden="false" customHeight="false" outlineLevel="0" collapsed="false">
      <c r="A206" s="33" t="n">
        <v>26</v>
      </c>
      <c r="B206" s="18" t="s">
        <v>70</v>
      </c>
      <c r="C206" s="18" t="s">
        <v>428</v>
      </c>
      <c r="D206" s="18" t="s">
        <v>628</v>
      </c>
      <c r="E206" s="34" t="s">
        <v>196</v>
      </c>
      <c r="F206" s="35" t="n">
        <v>45</v>
      </c>
      <c r="G206" s="33" t="s">
        <v>128</v>
      </c>
      <c r="H206" s="36" t="n">
        <f aca="false">IFERROR(INDEX(Catálogo!$F$2:$F$140,MATCH(E206,Catálogo!$A$2:$A$140,0)),0)</f>
        <v>0.14</v>
      </c>
      <c r="I206" s="19" t="n">
        <f aca="false">F206*H206</f>
        <v>6.3</v>
      </c>
    </row>
    <row r="207" customFormat="false" ht="15" hidden="false" customHeight="false" outlineLevel="0" collapsed="false">
      <c r="A207" s="33" t="n">
        <v>26</v>
      </c>
      <c r="B207" s="18" t="s">
        <v>70</v>
      </c>
      <c r="C207" s="18" t="s">
        <v>629</v>
      </c>
      <c r="D207" s="18" t="s">
        <v>449</v>
      </c>
      <c r="E207" s="34" t="s">
        <v>134</v>
      </c>
      <c r="F207" s="35" t="n">
        <v>110</v>
      </c>
      <c r="G207" s="33" t="s">
        <v>128</v>
      </c>
      <c r="H207" s="36" t="n">
        <f aca="false">IFERROR(INDEX(Catálogo!$F$2:$F$140,MATCH(E207,Catálogo!$A$2:$A$140,0)),0)</f>
        <v>0.26</v>
      </c>
      <c r="I207" s="19" t="n">
        <f aca="false">F207*H207</f>
        <v>28.6</v>
      </c>
    </row>
    <row r="208" customFormat="false" ht="15" hidden="false" customHeight="false" outlineLevel="0" collapsed="false">
      <c r="A208" s="33" t="n">
        <v>26</v>
      </c>
      <c r="B208" s="18" t="s">
        <v>70</v>
      </c>
      <c r="C208" s="18" t="s">
        <v>629</v>
      </c>
      <c r="D208" s="18" t="s">
        <v>630</v>
      </c>
      <c r="E208" s="34" t="s">
        <v>142</v>
      </c>
      <c r="F208" s="35" t="n">
        <v>160</v>
      </c>
      <c r="G208" s="33" t="s">
        <v>128</v>
      </c>
      <c r="H208" s="36" t="n">
        <f aca="false">IFERROR(INDEX(Catálogo!$F$2:$F$140,MATCH(E208,Catálogo!$A$2:$A$140,0)),0)</f>
        <v>0.045</v>
      </c>
      <c r="I208" s="19" t="n">
        <f aca="false">F208*H208</f>
        <v>7.2</v>
      </c>
    </row>
    <row r="209" customFormat="false" ht="15" hidden="false" customHeight="false" outlineLevel="0" collapsed="false">
      <c r="A209" s="33" t="n">
        <v>26</v>
      </c>
      <c r="B209" s="18" t="s">
        <v>70</v>
      </c>
      <c r="C209" s="18" t="s">
        <v>629</v>
      </c>
      <c r="D209" s="18" t="s">
        <v>631</v>
      </c>
      <c r="E209" s="34" t="s">
        <v>382</v>
      </c>
      <c r="F209" s="35" t="n">
        <v>45</v>
      </c>
      <c r="G209" s="33" t="s">
        <v>128</v>
      </c>
      <c r="H209" s="36" t="n">
        <f aca="false">IFERROR(INDEX(Catálogo!$F$2:$F$140,MATCH(E209,Catálogo!$A$2:$A$140,0)),0)</f>
        <v>0.25</v>
      </c>
      <c r="I209" s="19" t="n">
        <f aca="false">F209*H209</f>
        <v>11.25</v>
      </c>
    </row>
    <row r="210" customFormat="false" ht="15" hidden="false" customHeight="false" outlineLevel="0" collapsed="false">
      <c r="A210" s="33" t="n">
        <v>26</v>
      </c>
      <c r="B210" s="18" t="s">
        <v>70</v>
      </c>
      <c r="C210" s="18" t="s">
        <v>629</v>
      </c>
      <c r="D210" s="18" t="s">
        <v>463</v>
      </c>
      <c r="E210" s="34" t="s">
        <v>146</v>
      </c>
      <c r="F210" s="35" t="n">
        <v>40</v>
      </c>
      <c r="G210" s="33" t="s">
        <v>128</v>
      </c>
      <c r="H210" s="36" t="n">
        <f aca="false">IFERROR(INDEX(Catálogo!$F$2:$F$140,MATCH(E210,Catálogo!$A$2:$A$140,0)),0)</f>
        <v>0.07</v>
      </c>
      <c r="I210" s="19" t="n">
        <f aca="false">F210*H210</f>
        <v>2.8</v>
      </c>
    </row>
    <row r="211" customFormat="false" ht="15" hidden="false" customHeight="false" outlineLevel="0" collapsed="false">
      <c r="A211" s="33" t="n">
        <v>26</v>
      </c>
      <c r="B211" s="18" t="s">
        <v>70</v>
      </c>
      <c r="C211" s="18" t="s">
        <v>629</v>
      </c>
      <c r="D211" s="18" t="s">
        <v>464</v>
      </c>
      <c r="E211" s="34" t="s">
        <v>148</v>
      </c>
      <c r="F211" s="35" t="n">
        <v>25</v>
      </c>
      <c r="G211" s="33" t="s">
        <v>150</v>
      </c>
      <c r="H211" s="36" t="n">
        <f aca="false">IFERROR(INDEX(Catálogo!$F$2:$F$140,MATCH(E211,Catálogo!$A$2:$A$140,0)),0)</f>
        <v>0.002</v>
      </c>
      <c r="I211" s="19" t="n">
        <f aca="false">F211*H211</f>
        <v>0.05</v>
      </c>
    </row>
    <row r="212" customFormat="false" ht="15" hidden="false" customHeight="false" outlineLevel="0" collapsed="false">
      <c r="A212" s="33" t="n">
        <v>26</v>
      </c>
      <c r="B212" s="18" t="s">
        <v>70</v>
      </c>
      <c r="C212" s="18" t="s">
        <v>629</v>
      </c>
      <c r="D212" s="18" t="s">
        <v>484</v>
      </c>
      <c r="E212" s="34" t="s">
        <v>151</v>
      </c>
      <c r="F212" s="35" t="n">
        <v>4</v>
      </c>
      <c r="G212" s="33" t="s">
        <v>128</v>
      </c>
      <c r="H212" s="36" t="n">
        <f aca="false">IFERROR(INDEX(Catálogo!$F$2:$F$140,MATCH(E212,Catálogo!$A$2:$A$140,0)),0)</f>
        <v>0.06</v>
      </c>
      <c r="I212" s="19" t="n">
        <f aca="false">F212*H212</f>
        <v>0.24</v>
      </c>
    </row>
    <row r="213" customFormat="false" ht="15" hidden="false" customHeight="false" outlineLevel="0" collapsed="false">
      <c r="A213" s="33" t="n">
        <v>26</v>
      </c>
      <c r="B213" s="18" t="s">
        <v>70</v>
      </c>
      <c r="C213" s="18" t="s">
        <v>629</v>
      </c>
      <c r="D213" s="18" t="s">
        <v>495</v>
      </c>
      <c r="E213" s="34" t="s">
        <v>155</v>
      </c>
      <c r="F213" s="35" t="n">
        <v>3</v>
      </c>
      <c r="G213" s="33" t="s">
        <v>128</v>
      </c>
      <c r="H213" s="36" t="n">
        <f aca="false">IFERROR(INDEX(Catálogo!$F$2:$F$140,MATCH(E213,Catálogo!$A$2:$A$140,0)),0)</f>
        <v>0.24</v>
      </c>
      <c r="I213" s="19" t="n">
        <f aca="false">F213*H213</f>
        <v>0.72</v>
      </c>
    </row>
    <row r="214" customFormat="false" ht="15" hidden="false" customHeight="false" outlineLevel="0" collapsed="false">
      <c r="A214" s="24" t="n">
        <v>27</v>
      </c>
      <c r="B214" s="13" t="s">
        <v>71</v>
      </c>
      <c r="C214" s="13" t="s">
        <v>416</v>
      </c>
      <c r="D214" s="13" t="s">
        <v>632</v>
      </c>
      <c r="E214" s="27" t="s">
        <v>130</v>
      </c>
      <c r="F214" s="31" t="n">
        <v>150</v>
      </c>
      <c r="G214" s="24" t="s">
        <v>128</v>
      </c>
      <c r="H214" s="32" t="n">
        <f aca="false">IFERROR(INDEX(Catálogo!$F$2:$F$140,MATCH(E214,Catálogo!$A$2:$A$140,0)),0)</f>
        <v>0.07</v>
      </c>
      <c r="I214" s="15" t="n">
        <f aca="false">F214*H214</f>
        <v>10.5</v>
      </c>
    </row>
    <row r="215" customFormat="false" ht="15" hidden="false" customHeight="false" outlineLevel="0" collapsed="false">
      <c r="A215" s="24" t="n">
        <v>27</v>
      </c>
      <c r="B215" s="13" t="s">
        <v>71</v>
      </c>
      <c r="C215" s="13" t="s">
        <v>586</v>
      </c>
      <c r="D215" s="13" t="s">
        <v>633</v>
      </c>
      <c r="E215" s="27" t="s">
        <v>136</v>
      </c>
      <c r="F215" s="31" t="n">
        <v>55</v>
      </c>
      <c r="G215" s="24" t="s">
        <v>128</v>
      </c>
      <c r="H215" s="32" t="n">
        <f aca="false">IFERROR(INDEX(Catálogo!$F$2:$F$140,MATCH(E215,Catálogo!$A$2:$A$140,0)),0)</f>
        <v>0.42</v>
      </c>
      <c r="I215" s="15" t="n">
        <f aca="false">F215*H215</f>
        <v>23.1</v>
      </c>
    </row>
    <row r="216" customFormat="false" ht="15" hidden="false" customHeight="false" outlineLevel="0" collapsed="false">
      <c r="A216" s="24" t="n">
        <v>27</v>
      </c>
      <c r="B216" s="13" t="s">
        <v>71</v>
      </c>
      <c r="C216" s="13" t="s">
        <v>634</v>
      </c>
      <c r="D216" s="13" t="s">
        <v>635</v>
      </c>
      <c r="E216" s="27" t="s">
        <v>360</v>
      </c>
      <c r="F216" s="31" t="n">
        <v>30</v>
      </c>
      <c r="G216" s="24" t="s">
        <v>128</v>
      </c>
      <c r="H216" s="32" t="n">
        <f aca="false">IFERROR(INDEX(Catálogo!$F$2:$F$140,MATCH(E216,Catálogo!$A$2:$A$140,0)),0)</f>
        <v>0.35</v>
      </c>
      <c r="I216" s="15" t="n">
        <f aca="false">F216*H216</f>
        <v>10.5</v>
      </c>
    </row>
    <row r="217" customFormat="false" ht="15" hidden="false" customHeight="false" outlineLevel="0" collapsed="false">
      <c r="A217" s="24" t="n">
        <v>27</v>
      </c>
      <c r="B217" s="13" t="s">
        <v>71</v>
      </c>
      <c r="C217" s="13" t="s">
        <v>634</v>
      </c>
      <c r="D217" s="13" t="s">
        <v>636</v>
      </c>
      <c r="E217" s="27" t="s">
        <v>320</v>
      </c>
      <c r="F217" s="31" t="n">
        <v>20</v>
      </c>
      <c r="G217" s="24" t="s">
        <v>128</v>
      </c>
      <c r="H217" s="32" t="n">
        <f aca="false">IFERROR(INDEX(Catálogo!$F$2:$F$140,MATCH(E217,Catálogo!$A$2:$A$140,0)),0)</f>
        <v>0.6</v>
      </c>
      <c r="I217" s="15" t="n">
        <f aca="false">F217*H217</f>
        <v>12</v>
      </c>
    </row>
    <row r="218" customFormat="false" ht="15" hidden="false" customHeight="false" outlineLevel="0" collapsed="false">
      <c r="A218" s="24" t="n">
        <v>27</v>
      </c>
      <c r="B218" s="13" t="s">
        <v>71</v>
      </c>
      <c r="C218" s="13" t="s">
        <v>634</v>
      </c>
      <c r="D218" s="13" t="s">
        <v>637</v>
      </c>
      <c r="E218" s="27" t="s">
        <v>362</v>
      </c>
      <c r="F218" s="31" t="n">
        <v>8</v>
      </c>
      <c r="G218" s="24" t="s">
        <v>128</v>
      </c>
      <c r="H218" s="32" t="n">
        <f aca="false">IFERROR(INDEX(Catálogo!$F$2:$F$140,MATCH(E218,Catálogo!$A$2:$A$140,0)),0)</f>
        <v>0.3</v>
      </c>
      <c r="I218" s="15" t="n">
        <f aca="false">F218*H218</f>
        <v>2.4</v>
      </c>
    </row>
    <row r="219" customFormat="false" ht="15" hidden="false" customHeight="false" outlineLevel="0" collapsed="false">
      <c r="A219" s="24" t="n">
        <v>27</v>
      </c>
      <c r="B219" s="13" t="s">
        <v>71</v>
      </c>
      <c r="C219" s="13" t="s">
        <v>634</v>
      </c>
      <c r="D219" s="13" t="s">
        <v>638</v>
      </c>
      <c r="E219" s="27" t="s">
        <v>318</v>
      </c>
      <c r="F219" s="31" t="n">
        <v>5</v>
      </c>
      <c r="G219" s="24" t="s">
        <v>128</v>
      </c>
      <c r="H219" s="32" t="n">
        <f aca="false">IFERROR(INDEX(Catálogo!$F$2:$F$140,MATCH(E219,Catálogo!$A$2:$A$140,0)),0)</f>
        <v>2.4</v>
      </c>
      <c r="I219" s="15" t="n">
        <f aca="false">F219*H219</f>
        <v>12</v>
      </c>
    </row>
    <row r="220" customFormat="false" ht="15" hidden="false" customHeight="false" outlineLevel="0" collapsed="false">
      <c r="A220" s="24" t="n">
        <v>27</v>
      </c>
      <c r="B220" s="13" t="s">
        <v>71</v>
      </c>
      <c r="C220" s="13" t="s">
        <v>634</v>
      </c>
      <c r="D220" s="13" t="s">
        <v>639</v>
      </c>
      <c r="E220" s="27" t="s">
        <v>153</v>
      </c>
      <c r="F220" s="31" t="n">
        <v>5</v>
      </c>
      <c r="G220" s="24" t="s">
        <v>128</v>
      </c>
      <c r="H220" s="32" t="n">
        <f aca="false">IFERROR(INDEX(Catálogo!$F$2:$F$140,MATCH(E220,Catálogo!$A$2:$A$140,0)),0)</f>
        <v>0.025</v>
      </c>
      <c r="I220" s="15" t="n">
        <f aca="false">F220*H220</f>
        <v>0.125</v>
      </c>
    </row>
    <row r="221" customFormat="false" ht="15" hidden="false" customHeight="false" outlineLevel="0" collapsed="false">
      <c r="A221" s="24" t="n">
        <v>27</v>
      </c>
      <c r="B221" s="13" t="s">
        <v>71</v>
      </c>
      <c r="C221" s="13" t="s">
        <v>634</v>
      </c>
      <c r="D221" s="13" t="s">
        <v>640</v>
      </c>
      <c r="E221" s="27" t="s">
        <v>402</v>
      </c>
      <c r="F221" s="31" t="n">
        <v>2</v>
      </c>
      <c r="G221" s="24" t="s">
        <v>128</v>
      </c>
      <c r="H221" s="32" t="n">
        <f aca="false">IFERROR(INDEX(Catálogo!$F$2:$F$140,MATCH(E221,Catálogo!$A$2:$A$140,0)),0)</f>
        <v>0.5</v>
      </c>
      <c r="I221" s="15" t="n">
        <f aca="false">F221*H221</f>
        <v>1</v>
      </c>
    </row>
    <row r="222" customFormat="false" ht="15" hidden="false" customHeight="false" outlineLevel="0" collapsed="false">
      <c r="A222" s="33" t="n">
        <v>28</v>
      </c>
      <c r="B222" s="18" t="s">
        <v>72</v>
      </c>
      <c r="C222" s="18" t="s">
        <v>416</v>
      </c>
      <c r="D222" s="18" t="s">
        <v>641</v>
      </c>
      <c r="E222" s="34" t="s">
        <v>130</v>
      </c>
      <c r="F222" s="35" t="n">
        <v>150</v>
      </c>
      <c r="G222" s="33" t="s">
        <v>128</v>
      </c>
      <c r="H222" s="36" t="n">
        <f aca="false">IFERROR(INDEX(Catálogo!$F$2:$F$140,MATCH(E222,Catálogo!$A$2:$A$140,0)),0)</f>
        <v>0.07</v>
      </c>
      <c r="I222" s="19" t="n">
        <f aca="false">F222*H222</f>
        <v>10.5</v>
      </c>
    </row>
    <row r="223" customFormat="false" ht="15" hidden="false" customHeight="false" outlineLevel="0" collapsed="false">
      <c r="A223" s="33" t="n">
        <v>28</v>
      </c>
      <c r="B223" s="18" t="s">
        <v>72</v>
      </c>
      <c r="C223" s="18" t="s">
        <v>586</v>
      </c>
      <c r="D223" s="18" t="s">
        <v>642</v>
      </c>
      <c r="E223" s="34" t="s">
        <v>136</v>
      </c>
      <c r="F223" s="35" t="n">
        <v>55</v>
      </c>
      <c r="G223" s="33" t="s">
        <v>128</v>
      </c>
      <c r="H223" s="36" t="n">
        <f aca="false">IFERROR(INDEX(Catálogo!$F$2:$F$140,MATCH(E223,Catálogo!$A$2:$A$140,0)),0)</f>
        <v>0.42</v>
      </c>
      <c r="I223" s="19" t="n">
        <f aca="false">F223*H223</f>
        <v>23.1</v>
      </c>
    </row>
    <row r="224" customFormat="false" ht="15" hidden="false" customHeight="false" outlineLevel="0" collapsed="false">
      <c r="A224" s="33" t="n">
        <v>28</v>
      </c>
      <c r="B224" s="18" t="s">
        <v>72</v>
      </c>
      <c r="C224" s="18" t="s">
        <v>609</v>
      </c>
      <c r="D224" s="18" t="s">
        <v>643</v>
      </c>
      <c r="E224" s="34" t="s">
        <v>354</v>
      </c>
      <c r="F224" s="35" t="n">
        <v>50</v>
      </c>
      <c r="G224" s="33" t="s">
        <v>128</v>
      </c>
      <c r="H224" s="36" t="n">
        <f aca="false">IFERROR(INDEX(Catálogo!$F$2:$F$140,MATCH(E224,Catálogo!$A$2:$A$140,0)),0)</f>
        <v>0.9</v>
      </c>
      <c r="I224" s="19" t="n">
        <f aca="false">F224*H224</f>
        <v>45</v>
      </c>
    </row>
    <row r="225" customFormat="false" ht="15" hidden="false" customHeight="false" outlineLevel="0" collapsed="false">
      <c r="A225" s="33" t="n">
        <v>28</v>
      </c>
      <c r="B225" s="18" t="s">
        <v>72</v>
      </c>
      <c r="C225" s="18" t="s">
        <v>609</v>
      </c>
      <c r="D225" s="18" t="s">
        <v>644</v>
      </c>
      <c r="E225" s="34" t="s">
        <v>234</v>
      </c>
      <c r="F225" s="35" t="n">
        <v>12</v>
      </c>
      <c r="G225" s="33" t="s">
        <v>128</v>
      </c>
      <c r="H225" s="36" t="n">
        <f aca="false">IFERROR(INDEX(Catálogo!$F$2:$F$140,MATCH(E225,Catálogo!$A$2:$A$140,0)),0)</f>
        <v>1.6</v>
      </c>
      <c r="I225" s="19" t="n">
        <f aca="false">F225*H225</f>
        <v>19.2</v>
      </c>
    </row>
    <row r="226" customFormat="false" ht="15" hidden="false" customHeight="false" outlineLevel="0" collapsed="false">
      <c r="A226" s="33" t="n">
        <v>28</v>
      </c>
      <c r="B226" s="18" t="s">
        <v>72</v>
      </c>
      <c r="C226" s="18" t="s">
        <v>609</v>
      </c>
      <c r="D226" s="18" t="s">
        <v>645</v>
      </c>
      <c r="E226" s="34" t="s">
        <v>155</v>
      </c>
      <c r="F226" s="35" t="n">
        <v>5</v>
      </c>
      <c r="G226" s="33" t="s">
        <v>128</v>
      </c>
      <c r="H226" s="36" t="n">
        <f aca="false">IFERROR(INDEX(Catálogo!$F$2:$F$140,MATCH(E226,Catálogo!$A$2:$A$140,0)),0)</f>
        <v>0.24</v>
      </c>
      <c r="I226" s="19" t="n">
        <f aca="false">F226*H226</f>
        <v>1.2</v>
      </c>
    </row>
    <row r="227" customFormat="false" ht="15" hidden="false" customHeight="false" outlineLevel="0" collapsed="false">
      <c r="A227" s="33" t="n">
        <v>28</v>
      </c>
      <c r="B227" s="18" t="s">
        <v>72</v>
      </c>
      <c r="C227" s="18" t="s">
        <v>609</v>
      </c>
      <c r="D227" s="18" t="s">
        <v>646</v>
      </c>
      <c r="E227" s="34" t="s">
        <v>140</v>
      </c>
      <c r="F227" s="35" t="n">
        <v>3</v>
      </c>
      <c r="G227" s="33" t="s">
        <v>128</v>
      </c>
      <c r="H227" s="36" t="n">
        <f aca="false">IFERROR(INDEX(Catálogo!$F$2:$F$140,MATCH(E227,Catálogo!$A$2:$A$140,0)),0)</f>
        <v>0.04</v>
      </c>
      <c r="I227" s="19" t="n">
        <f aca="false">F227*H227</f>
        <v>0.12</v>
      </c>
    </row>
    <row r="228" customFormat="false" ht="15" hidden="false" customHeight="false" outlineLevel="0" collapsed="false">
      <c r="A228" s="24" t="n">
        <v>29</v>
      </c>
      <c r="B228" s="13" t="s">
        <v>73</v>
      </c>
      <c r="C228" s="13" t="s">
        <v>416</v>
      </c>
      <c r="D228" s="13" t="s">
        <v>647</v>
      </c>
      <c r="E228" s="27" t="s">
        <v>126</v>
      </c>
      <c r="F228" s="31" t="n">
        <v>140</v>
      </c>
      <c r="G228" s="24" t="s">
        <v>128</v>
      </c>
      <c r="H228" s="32" t="n">
        <f aca="false">IFERROR(INDEX(Catálogo!$F$2:$F$140,MATCH(E228,Catálogo!$A$2:$A$140,0)),0)</f>
        <v>0.11</v>
      </c>
      <c r="I228" s="15" t="n">
        <f aca="false">F228*H228</f>
        <v>15.4</v>
      </c>
    </row>
    <row r="229" customFormat="false" ht="15" hidden="false" customHeight="false" outlineLevel="0" collapsed="false">
      <c r="A229" s="24" t="n">
        <v>29</v>
      </c>
      <c r="B229" s="13" t="s">
        <v>73</v>
      </c>
      <c r="C229" s="13" t="s">
        <v>648</v>
      </c>
      <c r="D229" s="13" t="s">
        <v>649</v>
      </c>
      <c r="E229" s="27" t="s">
        <v>178</v>
      </c>
      <c r="F229" s="31" t="n">
        <v>250</v>
      </c>
      <c r="G229" s="24" t="s">
        <v>150</v>
      </c>
      <c r="H229" s="32" t="n">
        <f aca="false">IFERROR(INDEX(Catálogo!$F$2:$F$140,MATCH(E229,Catálogo!$A$2:$A$140,0)),0)</f>
        <v>0.154929577464789</v>
      </c>
      <c r="I229" s="15" t="n">
        <f aca="false">F229*H229</f>
        <v>38.7323943661972</v>
      </c>
    </row>
    <row r="230" customFormat="false" ht="15" hidden="false" customHeight="false" outlineLevel="0" collapsed="false">
      <c r="A230" s="24" t="n">
        <v>29</v>
      </c>
      <c r="B230" s="13" t="s">
        <v>73</v>
      </c>
      <c r="C230" s="13" t="s">
        <v>650</v>
      </c>
      <c r="D230" s="13" t="s">
        <v>442</v>
      </c>
      <c r="E230" s="27" t="s">
        <v>134</v>
      </c>
      <c r="F230" s="31" t="n">
        <v>100</v>
      </c>
      <c r="G230" s="24" t="s">
        <v>128</v>
      </c>
      <c r="H230" s="32" t="n">
        <f aca="false">IFERROR(INDEX(Catálogo!$F$2:$F$140,MATCH(E230,Catálogo!$A$2:$A$140,0)),0)</f>
        <v>0.26</v>
      </c>
      <c r="I230" s="15" t="n">
        <f aca="false">F230*H230</f>
        <v>26</v>
      </c>
    </row>
    <row r="231" customFormat="false" ht="15" hidden="false" customHeight="false" outlineLevel="0" collapsed="false">
      <c r="A231" s="24" t="n">
        <v>29</v>
      </c>
      <c r="B231" s="13" t="s">
        <v>73</v>
      </c>
      <c r="C231" s="13" t="s">
        <v>650</v>
      </c>
      <c r="D231" s="13" t="s">
        <v>651</v>
      </c>
      <c r="E231" s="27" t="s">
        <v>142</v>
      </c>
      <c r="F231" s="31" t="n">
        <v>150</v>
      </c>
      <c r="G231" s="24" t="s">
        <v>128</v>
      </c>
      <c r="H231" s="32" t="n">
        <f aca="false">IFERROR(INDEX(Catálogo!$F$2:$F$140,MATCH(E231,Catálogo!$A$2:$A$140,0)),0)</f>
        <v>0.045</v>
      </c>
      <c r="I231" s="15" t="n">
        <f aca="false">F231*H231</f>
        <v>6.75</v>
      </c>
    </row>
    <row r="232" customFormat="false" ht="15" hidden="false" customHeight="false" outlineLevel="0" collapsed="false">
      <c r="A232" s="24" t="n">
        <v>29</v>
      </c>
      <c r="B232" s="13" t="s">
        <v>73</v>
      </c>
      <c r="C232" s="13" t="s">
        <v>650</v>
      </c>
      <c r="D232" s="13" t="s">
        <v>463</v>
      </c>
      <c r="E232" s="27" t="s">
        <v>146</v>
      </c>
      <c r="F232" s="31" t="n">
        <v>40</v>
      </c>
      <c r="G232" s="24" t="s">
        <v>128</v>
      </c>
      <c r="H232" s="32" t="n">
        <f aca="false">IFERROR(INDEX(Catálogo!$F$2:$F$140,MATCH(E232,Catálogo!$A$2:$A$140,0)),0)</f>
        <v>0.07</v>
      </c>
      <c r="I232" s="15" t="n">
        <f aca="false">F232*H232</f>
        <v>2.8</v>
      </c>
    </row>
    <row r="233" customFormat="false" ht="15" hidden="false" customHeight="false" outlineLevel="0" collapsed="false">
      <c r="A233" s="24" t="n">
        <v>29</v>
      </c>
      <c r="B233" s="13" t="s">
        <v>73</v>
      </c>
      <c r="C233" s="13" t="s">
        <v>650</v>
      </c>
      <c r="D233" s="13" t="s">
        <v>652</v>
      </c>
      <c r="E233" s="27" t="s">
        <v>406</v>
      </c>
      <c r="F233" s="31" t="n">
        <v>40</v>
      </c>
      <c r="G233" s="24" t="s">
        <v>150</v>
      </c>
      <c r="H233" s="32" t="n">
        <f aca="false">IFERROR(INDEX(Catálogo!$F$2:$F$140,MATCH(E233,Catálogo!$A$2:$A$140,0)),0)</f>
        <v>0</v>
      </c>
      <c r="I233" s="15" t="n">
        <f aca="false">F233*H233</f>
        <v>0</v>
      </c>
    </row>
    <row r="234" customFormat="false" ht="15" hidden="false" customHeight="false" outlineLevel="0" collapsed="false">
      <c r="A234" s="24" t="n">
        <v>29</v>
      </c>
      <c r="B234" s="13" t="s">
        <v>73</v>
      </c>
      <c r="C234" s="13" t="s">
        <v>650</v>
      </c>
      <c r="D234" s="13" t="s">
        <v>653</v>
      </c>
      <c r="E234" s="27" t="s">
        <v>384</v>
      </c>
      <c r="F234" s="31" t="n">
        <v>15</v>
      </c>
      <c r="G234" s="24" t="s">
        <v>128</v>
      </c>
      <c r="H234" s="32" t="n">
        <f aca="false">IFERROR(INDEX(Catálogo!$F$2:$F$140,MATCH(E234,Catálogo!$A$2:$A$140,0)),0)</f>
        <v>0.45</v>
      </c>
      <c r="I234" s="15" t="n">
        <f aca="false">F234*H234</f>
        <v>6.75</v>
      </c>
    </row>
    <row r="235" customFormat="false" ht="15" hidden="false" customHeight="false" outlineLevel="0" collapsed="false">
      <c r="A235" s="24" t="n">
        <v>29</v>
      </c>
      <c r="B235" s="13" t="s">
        <v>73</v>
      </c>
      <c r="C235" s="13" t="s">
        <v>650</v>
      </c>
      <c r="D235" s="13" t="s">
        <v>437</v>
      </c>
      <c r="E235" s="27" t="s">
        <v>151</v>
      </c>
      <c r="F235" s="31" t="n">
        <v>4</v>
      </c>
      <c r="G235" s="24" t="s">
        <v>128</v>
      </c>
      <c r="H235" s="32" t="n">
        <f aca="false">IFERROR(INDEX(Catálogo!$F$2:$F$140,MATCH(E235,Catálogo!$A$2:$A$140,0)),0)</f>
        <v>0.06</v>
      </c>
      <c r="I235" s="15" t="n">
        <f aca="false">F235*H235</f>
        <v>0.24</v>
      </c>
    </row>
    <row r="236" customFormat="false" ht="15" hidden="false" customHeight="false" outlineLevel="0" collapsed="false">
      <c r="A236" s="24" t="n">
        <v>29</v>
      </c>
      <c r="B236" s="13" t="s">
        <v>73</v>
      </c>
      <c r="C236" s="13" t="s">
        <v>650</v>
      </c>
      <c r="D236" s="13" t="s">
        <v>424</v>
      </c>
      <c r="E236" s="27" t="s">
        <v>153</v>
      </c>
      <c r="F236" s="31" t="n">
        <v>3</v>
      </c>
      <c r="G236" s="24" t="s">
        <v>128</v>
      </c>
      <c r="H236" s="32" t="n">
        <f aca="false">IFERROR(INDEX(Catálogo!$F$2:$F$140,MATCH(E236,Catálogo!$A$2:$A$140,0)),0)</f>
        <v>0.025</v>
      </c>
      <c r="I236" s="15" t="n">
        <f aca="false">F236*H236</f>
        <v>0.075</v>
      </c>
    </row>
    <row r="237" customFormat="false" ht="15" hidden="false" customHeight="false" outlineLevel="0" collapsed="false">
      <c r="A237" s="24" t="n">
        <v>29</v>
      </c>
      <c r="B237" s="13" t="s">
        <v>73</v>
      </c>
      <c r="C237" s="13" t="s">
        <v>654</v>
      </c>
      <c r="D237" s="13" t="s">
        <v>655</v>
      </c>
      <c r="E237" s="27" t="s">
        <v>350</v>
      </c>
      <c r="F237" s="31" t="n">
        <v>70</v>
      </c>
      <c r="G237" s="24" t="s">
        <v>128</v>
      </c>
      <c r="H237" s="32" t="n">
        <f aca="false">IFERROR(INDEX(Catálogo!$F$2:$F$140,MATCH(E237,Catálogo!$A$2:$A$140,0)),0)</f>
        <v>0.45</v>
      </c>
      <c r="I237" s="15" t="n">
        <f aca="false">F237*H237</f>
        <v>31.5</v>
      </c>
    </row>
    <row r="238" customFormat="false" ht="15" hidden="false" customHeight="false" outlineLevel="0" collapsed="false">
      <c r="A238" s="33" t="n">
        <v>30</v>
      </c>
      <c r="B238" s="18" t="s">
        <v>74</v>
      </c>
      <c r="C238" s="18" t="s">
        <v>416</v>
      </c>
      <c r="D238" s="18" t="s">
        <v>618</v>
      </c>
      <c r="E238" s="34" t="s">
        <v>130</v>
      </c>
      <c r="F238" s="35" t="n">
        <v>150</v>
      </c>
      <c r="G238" s="33" t="s">
        <v>128</v>
      </c>
      <c r="H238" s="36" t="n">
        <f aca="false">IFERROR(INDEX(Catálogo!$F$2:$F$140,MATCH(E238,Catálogo!$A$2:$A$140,0)),0)</f>
        <v>0.07</v>
      </c>
      <c r="I238" s="19" t="n">
        <f aca="false">F238*H238</f>
        <v>10.5</v>
      </c>
    </row>
    <row r="239" customFormat="false" ht="15" hidden="false" customHeight="false" outlineLevel="0" collapsed="false">
      <c r="A239" s="33" t="n">
        <v>30</v>
      </c>
      <c r="B239" s="18" t="s">
        <v>74</v>
      </c>
      <c r="C239" s="18" t="s">
        <v>656</v>
      </c>
      <c r="D239" s="18" t="s">
        <v>657</v>
      </c>
      <c r="E239" s="34" t="s">
        <v>378</v>
      </c>
      <c r="F239" s="35" t="n">
        <v>35</v>
      </c>
      <c r="G239" s="33" t="s">
        <v>150</v>
      </c>
      <c r="H239" s="36" t="n">
        <f aca="false">IFERROR(INDEX(Catálogo!$F$2:$F$140,MATCH(E239,Catálogo!$A$2:$A$140,0)),0)</f>
        <v>0.05</v>
      </c>
      <c r="I239" s="19" t="n">
        <f aca="false">F239*H239</f>
        <v>1.75</v>
      </c>
    </row>
    <row r="240" customFormat="false" ht="15" hidden="false" customHeight="false" outlineLevel="0" collapsed="false">
      <c r="A240" s="33" t="n">
        <v>30</v>
      </c>
      <c r="B240" s="18" t="s">
        <v>74</v>
      </c>
      <c r="C240" s="18" t="s">
        <v>656</v>
      </c>
      <c r="D240" s="18" t="s">
        <v>658</v>
      </c>
      <c r="E240" s="34" t="s">
        <v>376</v>
      </c>
      <c r="F240" s="35" t="n">
        <v>15</v>
      </c>
      <c r="G240" s="33" t="s">
        <v>150</v>
      </c>
      <c r="H240" s="36" t="n">
        <f aca="false">IFERROR(INDEX(Catálogo!$F$2:$F$140,MATCH(E240,Catálogo!$A$2:$A$140,0)),0)</f>
        <v>0.36</v>
      </c>
      <c r="I240" s="19" t="n">
        <f aca="false">F240*H240</f>
        <v>5.4</v>
      </c>
    </row>
    <row r="241" customFormat="false" ht="15" hidden="false" customHeight="false" outlineLevel="0" collapsed="false">
      <c r="A241" s="33" t="n">
        <v>30</v>
      </c>
      <c r="B241" s="18" t="s">
        <v>74</v>
      </c>
      <c r="C241" s="18" t="s">
        <v>659</v>
      </c>
      <c r="D241" s="18" t="s">
        <v>660</v>
      </c>
      <c r="E241" s="34" t="s">
        <v>386</v>
      </c>
      <c r="F241" s="35" t="n">
        <v>25</v>
      </c>
      <c r="G241" s="33" t="s">
        <v>128</v>
      </c>
      <c r="H241" s="36" t="n">
        <f aca="false">IFERROR(INDEX(Catálogo!$F$2:$F$140,MATCH(E241,Catálogo!$A$2:$A$140,0)),0)</f>
        <v>0.45</v>
      </c>
      <c r="I241" s="19" t="n">
        <f aca="false">F241*H241</f>
        <v>11.25</v>
      </c>
    </row>
    <row r="242" customFormat="false" ht="15" hidden="false" customHeight="false" outlineLevel="0" collapsed="false">
      <c r="A242" s="33" t="n">
        <v>30</v>
      </c>
      <c r="B242" s="18" t="s">
        <v>74</v>
      </c>
      <c r="C242" s="18" t="s">
        <v>659</v>
      </c>
      <c r="D242" s="18" t="s">
        <v>661</v>
      </c>
      <c r="E242" s="34" t="s">
        <v>388</v>
      </c>
      <c r="F242" s="35" t="n">
        <v>20</v>
      </c>
      <c r="G242" s="33" t="s">
        <v>128</v>
      </c>
      <c r="H242" s="36" t="n">
        <f aca="false">IFERROR(INDEX(Catálogo!$F$2:$F$140,MATCH(E242,Catálogo!$A$2:$A$140,0)),0)</f>
        <v>1.5</v>
      </c>
      <c r="I242" s="19" t="n">
        <f aca="false">F242*H242</f>
        <v>30</v>
      </c>
    </row>
    <row r="243" customFormat="false" ht="15" hidden="false" customHeight="false" outlineLevel="0" collapsed="false">
      <c r="A243" s="33" t="n">
        <v>30</v>
      </c>
      <c r="B243" s="18" t="s">
        <v>74</v>
      </c>
      <c r="C243" s="18" t="s">
        <v>659</v>
      </c>
      <c r="D243" s="18" t="s">
        <v>662</v>
      </c>
      <c r="E243" s="34" t="s">
        <v>157</v>
      </c>
      <c r="F243" s="35" t="n">
        <v>5</v>
      </c>
      <c r="G243" s="33" t="s">
        <v>128</v>
      </c>
      <c r="H243" s="36" t="n">
        <f aca="false">IFERROR(INDEX(Catálogo!$F$2:$F$140,MATCH(E243,Catálogo!$A$2:$A$140,0)),0)</f>
        <v>0.76</v>
      </c>
      <c r="I243" s="19" t="n">
        <f aca="false">F243*H243</f>
        <v>3.8</v>
      </c>
    </row>
    <row r="244" customFormat="false" ht="15" hidden="false" customHeight="false" outlineLevel="0" collapsed="false">
      <c r="A244" s="33" t="n">
        <v>30</v>
      </c>
      <c r="B244" s="18" t="s">
        <v>74</v>
      </c>
      <c r="C244" s="18" t="s">
        <v>659</v>
      </c>
      <c r="D244" s="18" t="s">
        <v>663</v>
      </c>
      <c r="E244" s="34" t="s">
        <v>140</v>
      </c>
      <c r="F244" s="35" t="n">
        <v>3</v>
      </c>
      <c r="G244" s="33" t="s">
        <v>128</v>
      </c>
      <c r="H244" s="36" t="n">
        <f aca="false">IFERROR(INDEX(Catálogo!$F$2:$F$140,MATCH(E244,Catálogo!$A$2:$A$140,0)),0)</f>
        <v>0.04</v>
      </c>
      <c r="I244" s="19" t="n">
        <f aca="false">F244*H244</f>
        <v>0.12</v>
      </c>
    </row>
    <row r="245" customFormat="false" ht="15" hidden="false" customHeight="false" outlineLevel="0" collapsed="false">
      <c r="A245" s="33" t="n">
        <v>30</v>
      </c>
      <c r="B245" s="18" t="s">
        <v>74</v>
      </c>
      <c r="C245" s="18" t="s">
        <v>659</v>
      </c>
      <c r="D245" s="18" t="s">
        <v>664</v>
      </c>
      <c r="E245" s="34" t="s">
        <v>194</v>
      </c>
      <c r="F245" s="35" t="n">
        <v>2</v>
      </c>
      <c r="G245" s="33" t="s">
        <v>128</v>
      </c>
      <c r="H245" s="36" t="n">
        <f aca="false">IFERROR(INDEX(Catálogo!$F$2:$F$140,MATCH(E245,Catálogo!$A$2:$A$140,0)),0)</f>
        <v>0.09</v>
      </c>
      <c r="I245" s="19" t="n">
        <f aca="false">F245*H245</f>
        <v>0.18</v>
      </c>
    </row>
    <row r="246" customFormat="false" ht="15" hidden="false" customHeight="false" outlineLevel="0" collapsed="false">
      <c r="A246" s="24" t="n">
        <v>31</v>
      </c>
      <c r="B246" s="13" t="s">
        <v>75</v>
      </c>
      <c r="C246" s="13" t="s">
        <v>428</v>
      </c>
      <c r="D246" s="13" t="s">
        <v>665</v>
      </c>
      <c r="E246" s="27" t="s">
        <v>126</v>
      </c>
      <c r="F246" s="31" t="n">
        <v>150</v>
      </c>
      <c r="G246" s="24" t="s">
        <v>128</v>
      </c>
      <c r="H246" s="32" t="n">
        <f aca="false">IFERROR(INDEX(Catálogo!$F$2:$F$140,MATCH(E246,Catálogo!$A$2:$A$140,0)),0)</f>
        <v>0.11</v>
      </c>
      <c r="I246" s="15" t="n">
        <f aca="false">F246*H246</f>
        <v>16.5</v>
      </c>
    </row>
    <row r="247" customFormat="false" ht="15" hidden="false" customHeight="false" outlineLevel="0" collapsed="false">
      <c r="A247" s="24" t="n">
        <v>31</v>
      </c>
      <c r="B247" s="13" t="s">
        <v>75</v>
      </c>
      <c r="C247" s="13" t="s">
        <v>428</v>
      </c>
      <c r="D247" s="13" t="s">
        <v>666</v>
      </c>
      <c r="E247" s="27" t="s">
        <v>198</v>
      </c>
      <c r="F247" s="31" t="n">
        <v>35</v>
      </c>
      <c r="G247" s="24" t="s">
        <v>128</v>
      </c>
      <c r="H247" s="32" t="n">
        <f aca="false">IFERROR(INDEX(Catálogo!$F$2:$F$140,MATCH(E247,Catálogo!$A$2:$A$140,0)),0)</f>
        <v>0.3</v>
      </c>
      <c r="I247" s="15" t="n">
        <f aca="false">F247*H247</f>
        <v>10.5</v>
      </c>
    </row>
    <row r="248" customFormat="false" ht="15" hidden="false" customHeight="false" outlineLevel="0" collapsed="false">
      <c r="A248" s="24" t="n">
        <v>31</v>
      </c>
      <c r="B248" s="13" t="s">
        <v>75</v>
      </c>
      <c r="C248" s="13" t="s">
        <v>667</v>
      </c>
      <c r="D248" s="13" t="s">
        <v>449</v>
      </c>
      <c r="E248" s="27" t="s">
        <v>134</v>
      </c>
      <c r="F248" s="31" t="n">
        <v>110</v>
      </c>
      <c r="G248" s="24" t="s">
        <v>128</v>
      </c>
      <c r="H248" s="32" t="n">
        <f aca="false">IFERROR(INDEX(Catálogo!$F$2:$F$140,MATCH(E248,Catálogo!$A$2:$A$140,0)),0)</f>
        <v>0.26</v>
      </c>
      <c r="I248" s="15" t="n">
        <f aca="false">F248*H248</f>
        <v>28.6</v>
      </c>
    </row>
    <row r="249" customFormat="false" ht="15" hidden="false" customHeight="false" outlineLevel="0" collapsed="false">
      <c r="A249" s="24" t="n">
        <v>31</v>
      </c>
      <c r="B249" s="13" t="s">
        <v>75</v>
      </c>
      <c r="C249" s="13" t="s">
        <v>667</v>
      </c>
      <c r="D249" s="13" t="s">
        <v>668</v>
      </c>
      <c r="E249" s="27" t="s">
        <v>138</v>
      </c>
      <c r="F249" s="31" t="n">
        <v>180</v>
      </c>
      <c r="G249" s="24" t="s">
        <v>128</v>
      </c>
      <c r="H249" s="32" t="n">
        <f aca="false">IFERROR(INDEX(Catálogo!$F$2:$F$140,MATCH(E249,Catálogo!$A$2:$A$140,0)),0)</f>
        <v>0.032</v>
      </c>
      <c r="I249" s="15" t="n">
        <f aca="false">F249*H249</f>
        <v>5.76</v>
      </c>
    </row>
    <row r="250" customFormat="false" ht="15" hidden="false" customHeight="false" outlineLevel="0" collapsed="false">
      <c r="A250" s="24" t="n">
        <v>31</v>
      </c>
      <c r="B250" s="13" t="s">
        <v>75</v>
      </c>
      <c r="C250" s="13" t="s">
        <v>667</v>
      </c>
      <c r="D250" s="13" t="s">
        <v>669</v>
      </c>
      <c r="E250" s="27" t="s">
        <v>146</v>
      </c>
      <c r="F250" s="31" t="n">
        <v>40</v>
      </c>
      <c r="G250" s="24" t="s">
        <v>128</v>
      </c>
      <c r="H250" s="32" t="n">
        <f aca="false">IFERROR(INDEX(Catálogo!$F$2:$F$140,MATCH(E250,Catálogo!$A$2:$A$140,0)),0)</f>
        <v>0.07</v>
      </c>
      <c r="I250" s="15" t="n">
        <f aca="false">F250*H250</f>
        <v>2.8</v>
      </c>
    </row>
    <row r="251" customFormat="false" ht="15" hidden="false" customHeight="false" outlineLevel="0" collapsed="false">
      <c r="A251" s="24" t="n">
        <v>31</v>
      </c>
      <c r="B251" s="13" t="s">
        <v>75</v>
      </c>
      <c r="C251" s="13" t="s">
        <v>667</v>
      </c>
      <c r="D251" s="13" t="s">
        <v>670</v>
      </c>
      <c r="E251" s="27" t="s">
        <v>260</v>
      </c>
      <c r="F251" s="31" t="n">
        <v>3</v>
      </c>
      <c r="G251" s="24" t="s">
        <v>171</v>
      </c>
      <c r="H251" s="32" t="n">
        <f aca="false">IFERROR(INDEX(Catálogo!$F$2:$F$140,MATCH(E251,Catálogo!$A$2:$A$140,0)),0)</f>
        <v>4</v>
      </c>
      <c r="I251" s="15" t="n">
        <f aca="false">F251*H251</f>
        <v>12</v>
      </c>
    </row>
    <row r="252" customFormat="false" ht="15" hidden="false" customHeight="false" outlineLevel="0" collapsed="false">
      <c r="A252" s="24" t="n">
        <v>31</v>
      </c>
      <c r="B252" s="13" t="s">
        <v>75</v>
      </c>
      <c r="C252" s="13" t="s">
        <v>667</v>
      </c>
      <c r="D252" s="13" t="s">
        <v>671</v>
      </c>
      <c r="E252" s="27" t="s">
        <v>258</v>
      </c>
      <c r="F252" s="31" t="n">
        <v>35</v>
      </c>
      <c r="G252" s="24" t="s">
        <v>150</v>
      </c>
      <c r="H252" s="32" t="n">
        <f aca="false">IFERROR(INDEX(Catálogo!$F$2:$F$140,MATCH(E252,Catálogo!$A$2:$A$140,0)),0)</f>
        <v>0.04</v>
      </c>
      <c r="I252" s="15" t="n">
        <f aca="false">F252*H252</f>
        <v>1.4</v>
      </c>
    </row>
    <row r="253" customFormat="false" ht="15" hidden="false" customHeight="false" outlineLevel="0" collapsed="false">
      <c r="A253" s="24" t="n">
        <v>31</v>
      </c>
      <c r="B253" s="13" t="s">
        <v>75</v>
      </c>
      <c r="C253" s="13" t="s">
        <v>667</v>
      </c>
      <c r="D253" s="13" t="s">
        <v>672</v>
      </c>
      <c r="E253" s="27" t="s">
        <v>398</v>
      </c>
      <c r="F253" s="31" t="n">
        <v>3</v>
      </c>
      <c r="G253" s="24" t="s">
        <v>128</v>
      </c>
      <c r="H253" s="32" t="n">
        <f aca="false">IFERROR(INDEX(Catálogo!$F$2:$F$140,MATCH(E253,Catálogo!$A$2:$A$140,0)),0)</f>
        <v>0.08</v>
      </c>
      <c r="I253" s="15" t="n">
        <f aca="false">F253*H253</f>
        <v>0.24</v>
      </c>
    </row>
    <row r="254" customFormat="false" ht="15" hidden="false" customHeight="false" outlineLevel="0" collapsed="false">
      <c r="A254" s="24" t="n">
        <v>31</v>
      </c>
      <c r="B254" s="13" t="s">
        <v>75</v>
      </c>
      <c r="C254" s="13" t="s">
        <v>667</v>
      </c>
      <c r="D254" s="13" t="s">
        <v>484</v>
      </c>
      <c r="E254" s="27" t="s">
        <v>151</v>
      </c>
      <c r="F254" s="31" t="n">
        <v>4</v>
      </c>
      <c r="G254" s="24" t="s">
        <v>128</v>
      </c>
      <c r="H254" s="32" t="n">
        <f aca="false">IFERROR(INDEX(Catálogo!$F$2:$F$140,MATCH(E254,Catálogo!$A$2:$A$140,0)),0)</f>
        <v>0.06</v>
      </c>
      <c r="I254" s="15" t="n">
        <f aca="false">F254*H254</f>
        <v>0.24</v>
      </c>
    </row>
    <row r="255" customFormat="false" ht="15" hidden="false" customHeight="false" outlineLevel="0" collapsed="false">
      <c r="A255" s="24" t="n">
        <v>31</v>
      </c>
      <c r="B255" s="13" t="s">
        <v>75</v>
      </c>
      <c r="C255" s="13" t="s">
        <v>667</v>
      </c>
      <c r="D255" s="13" t="s">
        <v>424</v>
      </c>
      <c r="E255" s="27" t="s">
        <v>153</v>
      </c>
      <c r="F255" s="31" t="n">
        <v>3</v>
      </c>
      <c r="G255" s="24" t="s">
        <v>128</v>
      </c>
      <c r="H255" s="32" t="n">
        <f aca="false">IFERROR(INDEX(Catálogo!$F$2:$F$140,MATCH(E255,Catálogo!$A$2:$A$140,0)),0)</f>
        <v>0.025</v>
      </c>
      <c r="I255" s="15" t="n">
        <f aca="false">F255*H255</f>
        <v>0.075</v>
      </c>
    </row>
    <row r="256" customFormat="false" ht="15" hidden="false" customHeight="false" outlineLevel="0" collapsed="false">
      <c r="A256" s="33" t="n">
        <v>32</v>
      </c>
      <c r="B256" s="18" t="s">
        <v>76</v>
      </c>
      <c r="C256" s="18" t="s">
        <v>673</v>
      </c>
      <c r="D256" s="18" t="s">
        <v>457</v>
      </c>
      <c r="E256" s="34" t="s">
        <v>126</v>
      </c>
      <c r="F256" s="35" t="n">
        <v>140</v>
      </c>
      <c r="G256" s="33" t="s">
        <v>128</v>
      </c>
      <c r="H256" s="36" t="n">
        <f aca="false">IFERROR(INDEX(Catálogo!$F$2:$F$140,MATCH(E256,Catálogo!$A$2:$A$140,0)),0)</f>
        <v>0.11</v>
      </c>
      <c r="I256" s="19" t="n">
        <f aca="false">F256*H256</f>
        <v>15.4</v>
      </c>
    </row>
    <row r="257" customFormat="false" ht="15" hidden="false" customHeight="false" outlineLevel="0" collapsed="false">
      <c r="A257" s="33" t="n">
        <v>32</v>
      </c>
      <c r="B257" s="18" t="s">
        <v>76</v>
      </c>
      <c r="C257" s="18" t="s">
        <v>673</v>
      </c>
      <c r="D257" s="18" t="s">
        <v>528</v>
      </c>
      <c r="E257" s="34" t="s">
        <v>138</v>
      </c>
      <c r="F257" s="35" t="n">
        <v>80</v>
      </c>
      <c r="G257" s="33" t="s">
        <v>128</v>
      </c>
      <c r="H257" s="36" t="n">
        <f aca="false">IFERROR(INDEX(Catálogo!$F$2:$F$140,MATCH(E257,Catálogo!$A$2:$A$140,0)),0)</f>
        <v>0.032</v>
      </c>
      <c r="I257" s="19" t="n">
        <f aca="false">F257*H257</f>
        <v>2.56</v>
      </c>
    </row>
    <row r="258" customFormat="false" ht="15" hidden="false" customHeight="false" outlineLevel="0" collapsed="false">
      <c r="A258" s="33" t="n">
        <v>32</v>
      </c>
      <c r="B258" s="18" t="s">
        <v>76</v>
      </c>
      <c r="C258" s="18" t="s">
        <v>673</v>
      </c>
      <c r="D258" s="18" t="s">
        <v>674</v>
      </c>
      <c r="E258" s="34" t="s">
        <v>266</v>
      </c>
      <c r="F258" s="35" t="n">
        <v>25</v>
      </c>
      <c r="G258" s="33" t="s">
        <v>150</v>
      </c>
      <c r="H258" s="36" t="n">
        <f aca="false">IFERROR(INDEX(Catálogo!$F$2:$F$140,MATCH(E258,Catálogo!$A$2:$A$140,0)),0)</f>
        <v>2.5</v>
      </c>
      <c r="I258" s="19" t="n">
        <f aca="false">F258*H258</f>
        <v>62.5</v>
      </c>
    </row>
    <row r="259" customFormat="false" ht="15" hidden="false" customHeight="false" outlineLevel="0" collapsed="false">
      <c r="A259" s="33" t="n">
        <v>32</v>
      </c>
      <c r="B259" s="18" t="s">
        <v>76</v>
      </c>
      <c r="C259" s="18" t="s">
        <v>673</v>
      </c>
      <c r="D259" s="18" t="s">
        <v>531</v>
      </c>
      <c r="E259" s="34" t="s">
        <v>134</v>
      </c>
      <c r="F259" s="35" t="n">
        <v>20</v>
      </c>
      <c r="G259" s="33" t="s">
        <v>128</v>
      </c>
      <c r="H259" s="36" t="n">
        <f aca="false">IFERROR(INDEX(Catálogo!$F$2:$F$140,MATCH(E259,Catálogo!$A$2:$A$140,0)),0)</f>
        <v>0.26</v>
      </c>
      <c r="I259" s="19" t="n">
        <f aca="false">F259*H259</f>
        <v>5.2</v>
      </c>
    </row>
    <row r="260" customFormat="false" ht="15" hidden="false" customHeight="false" outlineLevel="0" collapsed="false">
      <c r="A260" s="33" t="n">
        <v>32</v>
      </c>
      <c r="B260" s="18" t="s">
        <v>76</v>
      </c>
      <c r="C260" s="18" t="s">
        <v>673</v>
      </c>
      <c r="D260" s="18" t="s">
        <v>509</v>
      </c>
      <c r="E260" s="34" t="s">
        <v>151</v>
      </c>
      <c r="F260" s="35" t="n">
        <v>2</v>
      </c>
      <c r="G260" s="33" t="s">
        <v>128</v>
      </c>
      <c r="H260" s="36" t="n">
        <f aca="false">IFERROR(INDEX(Catálogo!$F$2:$F$140,MATCH(E260,Catálogo!$A$2:$A$140,0)),0)</f>
        <v>0.06</v>
      </c>
      <c r="I260" s="19" t="n">
        <f aca="false">F260*H260</f>
        <v>0.12</v>
      </c>
    </row>
    <row r="261" customFormat="false" ht="15" hidden="false" customHeight="false" outlineLevel="0" collapsed="false">
      <c r="A261" s="33" t="n">
        <v>32</v>
      </c>
      <c r="B261" s="18" t="s">
        <v>76</v>
      </c>
      <c r="C261" s="18" t="s">
        <v>675</v>
      </c>
      <c r="D261" s="18" t="s">
        <v>676</v>
      </c>
      <c r="E261" s="34" t="s">
        <v>286</v>
      </c>
      <c r="F261" s="35" t="n">
        <v>240</v>
      </c>
      <c r="G261" s="33" t="s">
        <v>128</v>
      </c>
      <c r="H261" s="36" t="n">
        <f aca="false">IFERROR(INDEX(Catálogo!$F$2:$F$140,MATCH(E261,Catálogo!$A$2:$A$140,0)),0)</f>
        <v>0.4</v>
      </c>
      <c r="I261" s="19" t="n">
        <f aca="false">F261*H261</f>
        <v>96</v>
      </c>
    </row>
    <row r="262" customFormat="false" ht="15" hidden="false" customHeight="false" outlineLevel="0" collapsed="false">
      <c r="A262" s="33" t="n">
        <v>32</v>
      </c>
      <c r="B262" s="18" t="s">
        <v>76</v>
      </c>
      <c r="C262" s="18" t="s">
        <v>675</v>
      </c>
      <c r="D262" s="18" t="s">
        <v>677</v>
      </c>
      <c r="E262" s="34" t="s">
        <v>216</v>
      </c>
      <c r="F262" s="35" t="n">
        <v>15</v>
      </c>
      <c r="G262" s="33" t="s">
        <v>128</v>
      </c>
      <c r="H262" s="36" t="n">
        <f aca="false">IFERROR(INDEX(Catálogo!$F$2:$F$140,MATCH(E262,Catálogo!$A$2:$A$140,0)),0)</f>
        <v>6</v>
      </c>
      <c r="I262" s="19" t="n">
        <f aca="false">F262*H262</f>
        <v>90</v>
      </c>
    </row>
    <row r="263" customFormat="false" ht="15" hidden="false" customHeight="false" outlineLevel="0" collapsed="false">
      <c r="A263" s="33" t="n">
        <v>32</v>
      </c>
      <c r="B263" s="18" t="s">
        <v>76</v>
      </c>
      <c r="C263" s="18" t="s">
        <v>675</v>
      </c>
      <c r="D263" s="18" t="s">
        <v>678</v>
      </c>
      <c r="E263" s="34" t="s">
        <v>292</v>
      </c>
      <c r="F263" s="35" t="n">
        <v>15</v>
      </c>
      <c r="G263" s="33" t="s">
        <v>128</v>
      </c>
      <c r="H263" s="36" t="n">
        <f aca="false">IFERROR(INDEX(Catálogo!$F$2:$F$140,MATCH(E263,Catálogo!$A$2:$A$140,0)),0)</f>
        <v>0.65</v>
      </c>
      <c r="I263" s="19" t="n">
        <f aca="false">F263*H263</f>
        <v>9.75</v>
      </c>
    </row>
    <row r="264" customFormat="false" ht="15" hidden="false" customHeight="false" outlineLevel="0" collapsed="false">
      <c r="A264" s="33" t="n">
        <v>32</v>
      </c>
      <c r="B264" s="18" t="s">
        <v>76</v>
      </c>
      <c r="C264" s="18" t="s">
        <v>675</v>
      </c>
      <c r="D264" s="18" t="s">
        <v>679</v>
      </c>
      <c r="E264" s="34" t="s">
        <v>155</v>
      </c>
      <c r="F264" s="35" t="n">
        <v>4</v>
      </c>
      <c r="G264" s="33" t="s">
        <v>128</v>
      </c>
      <c r="H264" s="36" t="n">
        <f aca="false">IFERROR(INDEX(Catálogo!$F$2:$F$140,MATCH(E264,Catálogo!$A$2:$A$140,0)),0)</f>
        <v>0.24</v>
      </c>
      <c r="I264" s="19" t="n">
        <f aca="false">F264*H264</f>
        <v>0.96</v>
      </c>
    </row>
    <row r="265" customFormat="false" ht="15" hidden="false" customHeight="false" outlineLevel="0" collapsed="false">
      <c r="A265" s="33" t="n">
        <v>32</v>
      </c>
      <c r="B265" s="18" t="s">
        <v>76</v>
      </c>
      <c r="C265" s="18" t="s">
        <v>455</v>
      </c>
      <c r="D265" s="18" t="s">
        <v>680</v>
      </c>
      <c r="E265" s="34" t="s">
        <v>216</v>
      </c>
      <c r="F265" s="35" t="n">
        <v>10</v>
      </c>
      <c r="G265" s="33" t="s">
        <v>128</v>
      </c>
      <c r="H265" s="36" t="n">
        <f aca="false">IFERROR(INDEX(Catálogo!$F$2:$F$140,MATCH(E265,Catálogo!$A$2:$A$140,0)),0)</f>
        <v>6</v>
      </c>
      <c r="I265" s="19" t="n">
        <f aca="false">F265*H265</f>
        <v>60</v>
      </c>
    </row>
    <row r="266" customFormat="false" ht="15" hidden="false" customHeight="false" outlineLevel="0" collapsed="false">
      <c r="A266" s="24" t="n">
        <v>33</v>
      </c>
      <c r="B266" s="13" t="s">
        <v>77</v>
      </c>
      <c r="C266" s="13" t="s">
        <v>416</v>
      </c>
      <c r="D266" s="13" t="s">
        <v>681</v>
      </c>
      <c r="E266" s="27" t="s">
        <v>126</v>
      </c>
      <c r="F266" s="31" t="n">
        <v>140</v>
      </c>
      <c r="G266" s="24" t="s">
        <v>128</v>
      </c>
      <c r="H266" s="32" t="n">
        <f aca="false">IFERROR(INDEX(Catálogo!$F$2:$F$140,MATCH(E266,Catálogo!$A$2:$A$140,0)),0)</f>
        <v>0.11</v>
      </c>
      <c r="I266" s="15" t="n">
        <f aca="false">F266*H266</f>
        <v>15.4</v>
      </c>
    </row>
    <row r="267" customFormat="false" ht="15" hidden="false" customHeight="false" outlineLevel="0" collapsed="false">
      <c r="A267" s="24" t="n">
        <v>33</v>
      </c>
      <c r="B267" s="13" t="s">
        <v>77</v>
      </c>
      <c r="C267" s="13" t="s">
        <v>682</v>
      </c>
      <c r="D267" s="13" t="s">
        <v>683</v>
      </c>
      <c r="E267" s="27" t="s">
        <v>278</v>
      </c>
      <c r="F267" s="31" t="n">
        <v>100</v>
      </c>
      <c r="G267" s="24" t="s">
        <v>150</v>
      </c>
      <c r="H267" s="32" t="n">
        <f aca="false">IFERROR(INDEX(Catálogo!$F$2:$F$140,MATCH(E267,Catálogo!$A$2:$A$140,0)),0)</f>
        <v>0.36</v>
      </c>
      <c r="I267" s="15" t="n">
        <f aca="false">F267*H267</f>
        <v>36</v>
      </c>
    </row>
    <row r="268" customFormat="false" ht="15" hidden="false" customHeight="false" outlineLevel="0" collapsed="false">
      <c r="A268" s="24" t="n">
        <v>33</v>
      </c>
      <c r="B268" s="13" t="s">
        <v>77</v>
      </c>
      <c r="C268" s="13" t="s">
        <v>500</v>
      </c>
      <c r="D268" s="13" t="s">
        <v>449</v>
      </c>
      <c r="E268" s="27" t="s">
        <v>134</v>
      </c>
      <c r="F268" s="31" t="n">
        <v>110</v>
      </c>
      <c r="G268" s="24" t="s">
        <v>128</v>
      </c>
      <c r="H268" s="32" t="n">
        <f aca="false">IFERROR(INDEX(Catálogo!$F$2:$F$140,MATCH(E268,Catálogo!$A$2:$A$140,0)),0)</f>
        <v>0.26</v>
      </c>
      <c r="I268" s="15" t="n">
        <f aca="false">F268*H268</f>
        <v>28.6</v>
      </c>
    </row>
    <row r="269" customFormat="false" ht="15" hidden="false" customHeight="false" outlineLevel="0" collapsed="false">
      <c r="A269" s="24" t="n">
        <v>33</v>
      </c>
      <c r="B269" s="13" t="s">
        <v>77</v>
      </c>
      <c r="C269" s="13" t="s">
        <v>500</v>
      </c>
      <c r="D269" s="13" t="s">
        <v>684</v>
      </c>
      <c r="E269" s="27" t="s">
        <v>142</v>
      </c>
      <c r="F269" s="31" t="n">
        <v>170</v>
      </c>
      <c r="G269" s="24" t="s">
        <v>128</v>
      </c>
      <c r="H269" s="32" t="n">
        <f aca="false">IFERROR(INDEX(Catálogo!$F$2:$F$140,MATCH(E269,Catálogo!$A$2:$A$140,0)),0)</f>
        <v>0.045</v>
      </c>
      <c r="I269" s="15" t="n">
        <f aca="false">F269*H269</f>
        <v>7.65</v>
      </c>
    </row>
    <row r="270" customFormat="false" ht="15" hidden="false" customHeight="false" outlineLevel="0" collapsed="false">
      <c r="A270" s="24" t="n">
        <v>33</v>
      </c>
      <c r="B270" s="13" t="s">
        <v>77</v>
      </c>
      <c r="C270" s="13" t="s">
        <v>500</v>
      </c>
      <c r="D270" s="13" t="s">
        <v>463</v>
      </c>
      <c r="E270" s="27" t="s">
        <v>146</v>
      </c>
      <c r="F270" s="31" t="n">
        <v>40</v>
      </c>
      <c r="G270" s="24" t="s">
        <v>128</v>
      </c>
      <c r="H270" s="32" t="n">
        <f aca="false">IFERROR(INDEX(Catálogo!$F$2:$F$140,MATCH(E270,Catálogo!$A$2:$A$140,0)),0)</f>
        <v>0.07</v>
      </c>
      <c r="I270" s="15" t="n">
        <f aca="false">F270*H270</f>
        <v>2.8</v>
      </c>
    </row>
    <row r="271" customFormat="false" ht="15" hidden="false" customHeight="false" outlineLevel="0" collapsed="false">
      <c r="A271" s="24" t="n">
        <v>33</v>
      </c>
      <c r="B271" s="13" t="s">
        <v>77</v>
      </c>
      <c r="C271" s="13" t="s">
        <v>500</v>
      </c>
      <c r="D271" s="13" t="s">
        <v>685</v>
      </c>
      <c r="E271" s="27" t="s">
        <v>406</v>
      </c>
      <c r="F271" s="31" t="n">
        <v>35</v>
      </c>
      <c r="G271" s="24" t="s">
        <v>150</v>
      </c>
      <c r="H271" s="32" t="n">
        <f aca="false">IFERROR(INDEX(Catálogo!$F$2:$F$140,MATCH(E271,Catálogo!$A$2:$A$140,0)),0)</f>
        <v>0</v>
      </c>
      <c r="I271" s="15" t="n">
        <f aca="false">F271*H271</f>
        <v>0</v>
      </c>
    </row>
    <row r="272" customFormat="false" ht="15" hidden="false" customHeight="false" outlineLevel="0" collapsed="false">
      <c r="A272" s="24" t="n">
        <v>33</v>
      </c>
      <c r="B272" s="13" t="s">
        <v>77</v>
      </c>
      <c r="C272" s="13" t="s">
        <v>500</v>
      </c>
      <c r="D272" s="13" t="s">
        <v>484</v>
      </c>
      <c r="E272" s="27" t="s">
        <v>151</v>
      </c>
      <c r="F272" s="31" t="n">
        <v>4</v>
      </c>
      <c r="G272" s="24" t="s">
        <v>128</v>
      </c>
      <c r="H272" s="32" t="n">
        <f aca="false">IFERROR(INDEX(Catálogo!$F$2:$F$140,MATCH(E272,Catálogo!$A$2:$A$140,0)),0)</f>
        <v>0.06</v>
      </c>
      <c r="I272" s="15" t="n">
        <f aca="false">F272*H272</f>
        <v>0.24</v>
      </c>
    </row>
    <row r="273" customFormat="false" ht="15" hidden="false" customHeight="false" outlineLevel="0" collapsed="false">
      <c r="A273" s="24" t="n">
        <v>33</v>
      </c>
      <c r="B273" s="13" t="s">
        <v>77</v>
      </c>
      <c r="C273" s="13" t="s">
        <v>500</v>
      </c>
      <c r="D273" s="13" t="s">
        <v>424</v>
      </c>
      <c r="E273" s="27" t="s">
        <v>153</v>
      </c>
      <c r="F273" s="31" t="n">
        <v>3</v>
      </c>
      <c r="G273" s="24" t="s">
        <v>128</v>
      </c>
      <c r="H273" s="32" t="n">
        <f aca="false">IFERROR(INDEX(Catálogo!$F$2:$F$140,MATCH(E273,Catálogo!$A$2:$A$140,0)),0)</f>
        <v>0.025</v>
      </c>
      <c r="I273" s="15" t="n">
        <f aca="false">F273*H273</f>
        <v>0.075</v>
      </c>
    </row>
    <row r="274" customFormat="false" ht="15" hidden="false" customHeight="false" outlineLevel="0" collapsed="false">
      <c r="A274" s="24" t="n">
        <v>33</v>
      </c>
      <c r="B274" s="13" t="s">
        <v>77</v>
      </c>
      <c r="C274" s="13" t="s">
        <v>686</v>
      </c>
      <c r="D274" s="13" t="s">
        <v>687</v>
      </c>
      <c r="E274" s="27" t="s">
        <v>308</v>
      </c>
      <c r="F274" s="31" t="n">
        <v>30</v>
      </c>
      <c r="G274" s="24" t="s">
        <v>128</v>
      </c>
      <c r="H274" s="32" t="n">
        <f aca="false">IFERROR(INDEX(Catálogo!$F$2:$F$140,MATCH(E274,Catálogo!$A$2:$A$140,0)),0)</f>
        <v>1.5</v>
      </c>
      <c r="I274" s="15" t="n">
        <f aca="false">F274*H274</f>
        <v>45</v>
      </c>
    </row>
    <row r="275" customFormat="false" ht="15" hidden="false" customHeight="false" outlineLevel="0" collapsed="false">
      <c r="A275" s="24" t="n">
        <v>33</v>
      </c>
      <c r="B275" s="13" t="s">
        <v>77</v>
      </c>
      <c r="C275" s="13" t="s">
        <v>686</v>
      </c>
      <c r="D275" s="13" t="s">
        <v>688</v>
      </c>
      <c r="E275" s="27" t="s">
        <v>308</v>
      </c>
      <c r="F275" s="31" t="n">
        <v>15</v>
      </c>
      <c r="G275" s="24" t="s">
        <v>128</v>
      </c>
      <c r="H275" s="32" t="n">
        <f aca="false">IFERROR(INDEX(Catálogo!$F$2:$F$140,MATCH(E275,Catálogo!$A$2:$A$140,0)),0)</f>
        <v>1.5</v>
      </c>
      <c r="I275" s="15" t="n">
        <f aca="false">F275*H275</f>
        <v>22.5</v>
      </c>
    </row>
    <row r="276" customFormat="false" ht="15" hidden="false" customHeight="false" outlineLevel="0" collapsed="false">
      <c r="A276" s="24" t="n">
        <v>33</v>
      </c>
      <c r="B276" s="13" t="s">
        <v>77</v>
      </c>
      <c r="C276" s="13" t="s">
        <v>686</v>
      </c>
      <c r="D276" s="13" t="s">
        <v>569</v>
      </c>
      <c r="E276" s="27" t="s">
        <v>155</v>
      </c>
      <c r="F276" s="31" t="n">
        <v>5</v>
      </c>
      <c r="G276" s="24" t="s">
        <v>128</v>
      </c>
      <c r="H276" s="32" t="n">
        <f aca="false">IFERROR(INDEX(Catálogo!$F$2:$F$140,MATCH(E276,Catálogo!$A$2:$A$140,0)),0)</f>
        <v>0.24</v>
      </c>
      <c r="I276" s="15" t="n">
        <f aca="false">F276*H276</f>
        <v>1.2</v>
      </c>
    </row>
    <row r="277" customFormat="false" ht="15" hidden="false" customHeight="false" outlineLevel="0" collapsed="false">
      <c r="A277" s="33" t="n">
        <v>34</v>
      </c>
      <c r="B277" s="18" t="s">
        <v>78</v>
      </c>
      <c r="C277" s="18" t="s">
        <v>428</v>
      </c>
      <c r="D277" s="18" t="s">
        <v>429</v>
      </c>
      <c r="E277" s="34" t="s">
        <v>126</v>
      </c>
      <c r="F277" s="35" t="n">
        <v>140</v>
      </c>
      <c r="G277" s="33" t="s">
        <v>128</v>
      </c>
      <c r="H277" s="36" t="n">
        <f aca="false">IFERROR(INDEX(Catálogo!$F$2:$F$140,MATCH(E277,Catálogo!$A$2:$A$140,0)),0)</f>
        <v>0.11</v>
      </c>
      <c r="I277" s="19" t="n">
        <f aca="false">F277*H277</f>
        <v>15.4</v>
      </c>
    </row>
    <row r="278" customFormat="false" ht="15" hidden="false" customHeight="false" outlineLevel="0" collapsed="false">
      <c r="A278" s="33" t="n">
        <v>34</v>
      </c>
      <c r="B278" s="18" t="s">
        <v>78</v>
      </c>
      <c r="C278" s="18" t="s">
        <v>428</v>
      </c>
      <c r="D278" s="18" t="s">
        <v>689</v>
      </c>
      <c r="E278" s="34" t="s">
        <v>340</v>
      </c>
      <c r="F278" s="35" t="n">
        <v>75</v>
      </c>
      <c r="G278" s="33" t="s">
        <v>128</v>
      </c>
      <c r="H278" s="36" t="n">
        <f aca="false">IFERROR(INDEX(Catálogo!$F$2:$F$140,MATCH(E278,Catálogo!$A$2:$A$140,0)),0)</f>
        <v>0.2</v>
      </c>
      <c r="I278" s="19" t="n">
        <f aca="false">F278*H278</f>
        <v>15</v>
      </c>
    </row>
    <row r="279" customFormat="false" ht="15" hidden="false" customHeight="false" outlineLevel="0" collapsed="false">
      <c r="A279" s="33" t="n">
        <v>34</v>
      </c>
      <c r="B279" s="18" t="s">
        <v>78</v>
      </c>
      <c r="C279" s="18" t="s">
        <v>690</v>
      </c>
      <c r="D279" s="18" t="s">
        <v>442</v>
      </c>
      <c r="E279" s="34" t="s">
        <v>134</v>
      </c>
      <c r="F279" s="35" t="n">
        <v>100</v>
      </c>
      <c r="G279" s="33" t="s">
        <v>128</v>
      </c>
      <c r="H279" s="36" t="n">
        <f aca="false">IFERROR(INDEX(Catálogo!$F$2:$F$140,MATCH(E279,Catálogo!$A$2:$A$140,0)),0)</f>
        <v>0.26</v>
      </c>
      <c r="I279" s="19" t="n">
        <f aca="false">F279*H279</f>
        <v>26</v>
      </c>
    </row>
    <row r="280" customFormat="false" ht="15" hidden="false" customHeight="false" outlineLevel="0" collapsed="false">
      <c r="A280" s="33" t="n">
        <v>34</v>
      </c>
      <c r="B280" s="18" t="s">
        <v>78</v>
      </c>
      <c r="C280" s="18" t="s">
        <v>690</v>
      </c>
      <c r="D280" s="18" t="s">
        <v>691</v>
      </c>
      <c r="E280" s="34" t="s">
        <v>138</v>
      </c>
      <c r="F280" s="35" t="n">
        <v>140</v>
      </c>
      <c r="G280" s="33" t="s">
        <v>128</v>
      </c>
      <c r="H280" s="36" t="n">
        <f aca="false">IFERROR(INDEX(Catálogo!$F$2:$F$140,MATCH(E280,Catálogo!$A$2:$A$140,0)),0)</f>
        <v>0.032</v>
      </c>
      <c r="I280" s="19" t="n">
        <f aca="false">F280*H280</f>
        <v>4.48</v>
      </c>
    </row>
    <row r="281" customFormat="false" ht="15" hidden="false" customHeight="false" outlineLevel="0" collapsed="false">
      <c r="A281" s="33" t="n">
        <v>34</v>
      </c>
      <c r="B281" s="18" t="s">
        <v>78</v>
      </c>
      <c r="C281" s="18" t="s">
        <v>690</v>
      </c>
      <c r="D281" s="18" t="s">
        <v>692</v>
      </c>
      <c r="E281" s="34" t="s">
        <v>206</v>
      </c>
      <c r="F281" s="35" t="n">
        <v>50</v>
      </c>
      <c r="G281" s="33" t="s">
        <v>128</v>
      </c>
      <c r="H281" s="36" t="n">
        <f aca="false">IFERROR(INDEX(Catálogo!$F$2:$F$140,MATCH(E281,Catálogo!$A$2:$A$140,0)),0)</f>
        <v>0.36</v>
      </c>
      <c r="I281" s="19" t="n">
        <f aca="false">F281*H281</f>
        <v>18</v>
      </c>
    </row>
    <row r="282" customFormat="false" ht="15" hidden="false" customHeight="false" outlineLevel="0" collapsed="false">
      <c r="A282" s="33" t="n">
        <v>34</v>
      </c>
      <c r="B282" s="18" t="s">
        <v>78</v>
      </c>
      <c r="C282" s="18" t="s">
        <v>690</v>
      </c>
      <c r="D282" s="18" t="s">
        <v>463</v>
      </c>
      <c r="E282" s="34" t="s">
        <v>146</v>
      </c>
      <c r="F282" s="35" t="n">
        <v>40</v>
      </c>
      <c r="G282" s="33" t="s">
        <v>128</v>
      </c>
      <c r="H282" s="36" t="n">
        <f aca="false">IFERROR(INDEX(Catálogo!$F$2:$F$140,MATCH(E282,Catálogo!$A$2:$A$140,0)),0)</f>
        <v>0.07</v>
      </c>
      <c r="I282" s="19" t="n">
        <f aca="false">F282*H282</f>
        <v>2.8</v>
      </c>
    </row>
    <row r="283" customFormat="false" ht="15" hidden="false" customHeight="false" outlineLevel="0" collapsed="false">
      <c r="A283" s="33" t="n">
        <v>34</v>
      </c>
      <c r="B283" s="18" t="s">
        <v>78</v>
      </c>
      <c r="C283" s="18" t="s">
        <v>690</v>
      </c>
      <c r="D283" s="18" t="s">
        <v>464</v>
      </c>
      <c r="E283" s="34" t="s">
        <v>148</v>
      </c>
      <c r="F283" s="35" t="n">
        <v>25</v>
      </c>
      <c r="G283" s="33" t="s">
        <v>150</v>
      </c>
      <c r="H283" s="36" t="n">
        <f aca="false">IFERROR(INDEX(Catálogo!$F$2:$F$140,MATCH(E283,Catálogo!$A$2:$A$140,0)),0)</f>
        <v>0.002</v>
      </c>
      <c r="I283" s="19" t="n">
        <f aca="false">F283*H283</f>
        <v>0.05</v>
      </c>
    </row>
    <row r="284" customFormat="false" ht="15" hidden="false" customHeight="false" outlineLevel="0" collapsed="false">
      <c r="A284" s="33" t="n">
        <v>34</v>
      </c>
      <c r="B284" s="18" t="s">
        <v>78</v>
      </c>
      <c r="C284" s="18" t="s">
        <v>690</v>
      </c>
      <c r="D284" s="18" t="s">
        <v>693</v>
      </c>
      <c r="E284" s="34" t="s">
        <v>236</v>
      </c>
      <c r="F284" s="35" t="n">
        <v>6</v>
      </c>
      <c r="G284" s="33" t="s">
        <v>128</v>
      </c>
      <c r="H284" s="36" t="n">
        <f aca="false">IFERROR(INDEX(Catálogo!$F$2:$F$140,MATCH(E284,Catálogo!$A$2:$A$140,0)),0)</f>
        <v>0.6</v>
      </c>
      <c r="I284" s="19" t="n">
        <f aca="false">F284*H284</f>
        <v>3.6</v>
      </c>
    </row>
    <row r="285" customFormat="false" ht="15" hidden="false" customHeight="false" outlineLevel="0" collapsed="false">
      <c r="A285" s="33" t="n">
        <v>34</v>
      </c>
      <c r="B285" s="18" t="s">
        <v>78</v>
      </c>
      <c r="C285" s="18" t="s">
        <v>690</v>
      </c>
      <c r="D285" s="18" t="s">
        <v>437</v>
      </c>
      <c r="E285" s="34" t="s">
        <v>151</v>
      </c>
      <c r="F285" s="35" t="n">
        <v>4</v>
      </c>
      <c r="G285" s="33" t="s">
        <v>128</v>
      </c>
      <c r="H285" s="36" t="n">
        <f aca="false">IFERROR(INDEX(Catálogo!$F$2:$F$140,MATCH(E285,Catálogo!$A$2:$A$140,0)),0)</f>
        <v>0.06</v>
      </c>
      <c r="I285" s="19" t="n">
        <f aca="false">F285*H285</f>
        <v>0.24</v>
      </c>
    </row>
    <row r="286" customFormat="false" ht="15" hidden="false" customHeight="false" outlineLevel="0" collapsed="false">
      <c r="A286" s="33" t="n">
        <v>34</v>
      </c>
      <c r="B286" s="18" t="s">
        <v>78</v>
      </c>
      <c r="C286" s="18" t="s">
        <v>690</v>
      </c>
      <c r="D286" s="18" t="s">
        <v>465</v>
      </c>
      <c r="E286" s="34" t="s">
        <v>155</v>
      </c>
      <c r="F286" s="35" t="n">
        <v>4</v>
      </c>
      <c r="G286" s="33" t="s">
        <v>128</v>
      </c>
      <c r="H286" s="36" t="n">
        <f aca="false">IFERROR(INDEX(Catálogo!$F$2:$F$140,MATCH(E286,Catálogo!$A$2:$A$140,0)),0)</f>
        <v>0.24</v>
      </c>
      <c r="I286" s="19" t="n">
        <f aca="false">F286*H286</f>
        <v>0.96</v>
      </c>
    </row>
    <row r="287" customFormat="false" ht="15" hidden="false" customHeight="false" outlineLevel="0" collapsed="false">
      <c r="A287" s="24" t="n">
        <v>35</v>
      </c>
      <c r="B287" s="13" t="s">
        <v>79</v>
      </c>
      <c r="C287" s="13" t="s">
        <v>416</v>
      </c>
      <c r="D287" s="13" t="s">
        <v>694</v>
      </c>
      <c r="E287" s="27" t="s">
        <v>126</v>
      </c>
      <c r="F287" s="31" t="n">
        <v>150</v>
      </c>
      <c r="G287" s="24" t="s">
        <v>128</v>
      </c>
      <c r="H287" s="32" t="n">
        <f aca="false">IFERROR(INDEX(Catálogo!$F$2:$F$140,MATCH(E287,Catálogo!$A$2:$A$140,0)),0)</f>
        <v>0.11</v>
      </c>
      <c r="I287" s="15" t="n">
        <f aca="false">F287*H287</f>
        <v>16.5</v>
      </c>
    </row>
    <row r="288" customFormat="false" ht="15" hidden="false" customHeight="false" outlineLevel="0" collapsed="false">
      <c r="A288" s="24" t="n">
        <v>35</v>
      </c>
      <c r="B288" s="13" t="s">
        <v>79</v>
      </c>
      <c r="C288" s="13" t="s">
        <v>695</v>
      </c>
      <c r="D288" s="13" t="s">
        <v>696</v>
      </c>
      <c r="E288" s="27" t="s">
        <v>148</v>
      </c>
      <c r="F288" s="31" t="n">
        <v>50</v>
      </c>
      <c r="G288" s="24" t="s">
        <v>150</v>
      </c>
      <c r="H288" s="32" t="n">
        <f aca="false">IFERROR(INDEX(Catálogo!$F$2:$F$140,MATCH(E288,Catálogo!$A$2:$A$140,0)),0)</f>
        <v>0.002</v>
      </c>
      <c r="I288" s="15" t="n">
        <f aca="false">F288*H288</f>
        <v>0.1</v>
      </c>
    </row>
    <row r="289" customFormat="false" ht="15" hidden="false" customHeight="false" outlineLevel="0" collapsed="false">
      <c r="A289" s="24" t="n">
        <v>35</v>
      </c>
      <c r="B289" s="13" t="s">
        <v>79</v>
      </c>
      <c r="C289" s="13" t="s">
        <v>695</v>
      </c>
      <c r="D289" s="13" t="s">
        <v>697</v>
      </c>
      <c r="E289" s="27" t="s">
        <v>330</v>
      </c>
      <c r="F289" s="31" t="n">
        <v>4</v>
      </c>
      <c r="G289" s="24" t="s">
        <v>128</v>
      </c>
      <c r="H289" s="32" t="n">
        <f aca="false">IFERROR(INDEX(Catálogo!$F$2:$F$140,MATCH(E289,Catálogo!$A$2:$A$140,0)),0)</f>
        <v>1.6</v>
      </c>
      <c r="I289" s="15" t="n">
        <f aca="false">F289*H289</f>
        <v>6.4</v>
      </c>
    </row>
    <row r="290" customFormat="false" ht="15" hidden="false" customHeight="false" outlineLevel="0" collapsed="false">
      <c r="A290" s="24" t="n">
        <v>35</v>
      </c>
      <c r="B290" s="13" t="s">
        <v>79</v>
      </c>
      <c r="C290" s="13" t="s">
        <v>698</v>
      </c>
      <c r="D290" s="13" t="s">
        <v>449</v>
      </c>
      <c r="E290" s="27" t="s">
        <v>134</v>
      </c>
      <c r="F290" s="31" t="n">
        <v>110</v>
      </c>
      <c r="G290" s="24" t="s">
        <v>128</v>
      </c>
      <c r="H290" s="32" t="n">
        <f aca="false">IFERROR(INDEX(Catálogo!$F$2:$F$140,MATCH(E290,Catálogo!$A$2:$A$140,0)),0)</f>
        <v>0.26</v>
      </c>
      <c r="I290" s="15" t="n">
        <f aca="false">F290*H290</f>
        <v>28.6</v>
      </c>
    </row>
    <row r="291" customFormat="false" ht="15" hidden="false" customHeight="false" outlineLevel="0" collapsed="false">
      <c r="A291" s="24" t="n">
        <v>35</v>
      </c>
      <c r="B291" s="13" t="s">
        <v>79</v>
      </c>
      <c r="C291" s="13" t="s">
        <v>698</v>
      </c>
      <c r="D291" s="13" t="s">
        <v>450</v>
      </c>
      <c r="E291" s="27" t="s">
        <v>138</v>
      </c>
      <c r="F291" s="31" t="n">
        <v>180</v>
      </c>
      <c r="G291" s="24" t="s">
        <v>128</v>
      </c>
      <c r="H291" s="32" t="n">
        <f aca="false">IFERROR(INDEX(Catálogo!$F$2:$F$140,MATCH(E291,Catálogo!$A$2:$A$140,0)),0)</f>
        <v>0.032</v>
      </c>
      <c r="I291" s="15" t="n">
        <f aca="false">F291*H291</f>
        <v>5.76</v>
      </c>
    </row>
    <row r="292" customFormat="false" ht="15" hidden="false" customHeight="false" outlineLevel="0" collapsed="false">
      <c r="A292" s="24" t="n">
        <v>35</v>
      </c>
      <c r="B292" s="13" t="s">
        <v>79</v>
      </c>
      <c r="C292" s="13" t="s">
        <v>698</v>
      </c>
      <c r="D292" s="13" t="s">
        <v>463</v>
      </c>
      <c r="E292" s="27" t="s">
        <v>146</v>
      </c>
      <c r="F292" s="31" t="n">
        <v>40</v>
      </c>
      <c r="G292" s="24" t="s">
        <v>128</v>
      </c>
      <c r="H292" s="32" t="n">
        <f aca="false">IFERROR(INDEX(Catálogo!$F$2:$F$140,MATCH(E292,Catálogo!$A$2:$A$140,0)),0)</f>
        <v>0.07</v>
      </c>
      <c r="I292" s="15" t="n">
        <f aca="false">F292*H292</f>
        <v>2.8</v>
      </c>
    </row>
    <row r="293" customFormat="false" ht="15" hidden="false" customHeight="false" outlineLevel="0" collapsed="false">
      <c r="A293" s="24" t="n">
        <v>35</v>
      </c>
      <c r="B293" s="13" t="s">
        <v>79</v>
      </c>
      <c r="C293" s="13" t="s">
        <v>698</v>
      </c>
      <c r="D293" s="13" t="s">
        <v>699</v>
      </c>
      <c r="E293" s="27" t="s">
        <v>406</v>
      </c>
      <c r="F293" s="31" t="n">
        <v>30</v>
      </c>
      <c r="G293" s="24" t="s">
        <v>150</v>
      </c>
      <c r="H293" s="32" t="n">
        <f aca="false">IFERROR(INDEX(Catálogo!$F$2:$F$140,MATCH(E293,Catálogo!$A$2:$A$140,0)),0)</f>
        <v>0</v>
      </c>
      <c r="I293" s="15" t="n">
        <f aca="false">F293*H293</f>
        <v>0</v>
      </c>
    </row>
    <row r="294" customFormat="false" ht="15" hidden="false" customHeight="false" outlineLevel="0" collapsed="false">
      <c r="A294" s="24" t="n">
        <v>35</v>
      </c>
      <c r="B294" s="13" t="s">
        <v>79</v>
      </c>
      <c r="C294" s="13" t="s">
        <v>698</v>
      </c>
      <c r="D294" s="13" t="s">
        <v>484</v>
      </c>
      <c r="E294" s="27" t="s">
        <v>151</v>
      </c>
      <c r="F294" s="31" t="n">
        <v>4</v>
      </c>
      <c r="G294" s="24" t="s">
        <v>128</v>
      </c>
      <c r="H294" s="32" t="n">
        <f aca="false">IFERROR(INDEX(Catálogo!$F$2:$F$140,MATCH(E294,Catálogo!$A$2:$A$140,0)),0)</f>
        <v>0.06</v>
      </c>
      <c r="I294" s="15" t="n">
        <f aca="false">F294*H294</f>
        <v>0.24</v>
      </c>
    </row>
    <row r="295" customFormat="false" ht="15" hidden="false" customHeight="false" outlineLevel="0" collapsed="false">
      <c r="A295" s="24" t="n">
        <v>35</v>
      </c>
      <c r="B295" s="13" t="s">
        <v>79</v>
      </c>
      <c r="C295" s="13" t="s">
        <v>698</v>
      </c>
      <c r="D295" s="13" t="s">
        <v>424</v>
      </c>
      <c r="E295" s="27" t="s">
        <v>153</v>
      </c>
      <c r="F295" s="31" t="n">
        <v>3</v>
      </c>
      <c r="G295" s="24" t="s">
        <v>128</v>
      </c>
      <c r="H295" s="32" t="n">
        <f aca="false">IFERROR(INDEX(Catálogo!$F$2:$F$140,MATCH(E295,Catálogo!$A$2:$A$140,0)),0)</f>
        <v>0.025</v>
      </c>
      <c r="I295" s="15" t="n">
        <f aca="false">F295*H295</f>
        <v>0.075</v>
      </c>
    </row>
    <row r="296" customFormat="false" ht="15" hidden="false" customHeight="false" outlineLevel="0" collapsed="false">
      <c r="A296" s="24" t="n">
        <v>35</v>
      </c>
      <c r="B296" s="13" t="s">
        <v>79</v>
      </c>
      <c r="C296" s="13" t="s">
        <v>700</v>
      </c>
      <c r="D296" s="13" t="s">
        <v>701</v>
      </c>
      <c r="E296" s="27" t="s">
        <v>312</v>
      </c>
      <c r="F296" s="31" t="n">
        <v>25</v>
      </c>
      <c r="G296" s="24" t="s">
        <v>128</v>
      </c>
      <c r="H296" s="32" t="n">
        <f aca="false">IFERROR(INDEX(Catálogo!$F$2:$F$140,MATCH(E296,Catálogo!$A$2:$A$140,0)),0)</f>
        <v>2</v>
      </c>
      <c r="I296" s="15" t="n">
        <f aca="false">F296*H296</f>
        <v>50</v>
      </c>
    </row>
    <row r="297" customFormat="false" ht="15" hidden="false" customHeight="false" outlineLevel="0" collapsed="false">
      <c r="A297" s="24" t="n">
        <v>35</v>
      </c>
      <c r="B297" s="13" t="s">
        <v>79</v>
      </c>
      <c r="C297" s="13" t="s">
        <v>700</v>
      </c>
      <c r="D297" s="13" t="s">
        <v>702</v>
      </c>
      <c r="E297" s="27" t="s">
        <v>312</v>
      </c>
      <c r="F297" s="31" t="n">
        <v>10</v>
      </c>
      <c r="G297" s="24" t="s">
        <v>128</v>
      </c>
      <c r="H297" s="32" t="n">
        <f aca="false">IFERROR(INDEX(Catálogo!$F$2:$F$140,MATCH(E297,Catálogo!$A$2:$A$140,0)),0)</f>
        <v>2</v>
      </c>
      <c r="I297" s="15" t="n">
        <f aca="false">F297*H297</f>
        <v>20</v>
      </c>
    </row>
    <row r="298" customFormat="false" ht="15" hidden="false" customHeight="false" outlineLevel="0" collapsed="false">
      <c r="A298" s="24" t="n">
        <v>35</v>
      </c>
      <c r="B298" s="13" t="s">
        <v>79</v>
      </c>
      <c r="C298" s="13" t="s">
        <v>700</v>
      </c>
      <c r="D298" s="13" t="s">
        <v>703</v>
      </c>
      <c r="E298" s="27" t="s">
        <v>330</v>
      </c>
      <c r="F298" s="31" t="n">
        <v>1</v>
      </c>
      <c r="G298" s="24" t="s">
        <v>128</v>
      </c>
      <c r="H298" s="32" t="n">
        <f aca="false">IFERROR(INDEX(Catálogo!$F$2:$F$140,MATCH(E298,Catálogo!$A$2:$A$140,0)),0)</f>
        <v>1.6</v>
      </c>
      <c r="I298" s="15" t="n">
        <f aca="false">F298*H298</f>
        <v>1.6</v>
      </c>
    </row>
    <row r="299" customFormat="false" ht="15" hidden="false" customHeight="false" outlineLevel="0" collapsed="false">
      <c r="A299" s="33" t="n">
        <v>36</v>
      </c>
      <c r="B299" s="18" t="s">
        <v>80</v>
      </c>
      <c r="C299" s="18" t="s">
        <v>416</v>
      </c>
      <c r="D299" s="18" t="s">
        <v>704</v>
      </c>
      <c r="E299" s="34" t="s">
        <v>126</v>
      </c>
      <c r="F299" s="35" t="n">
        <v>150</v>
      </c>
      <c r="G299" s="33" t="s">
        <v>128</v>
      </c>
      <c r="H299" s="36" t="n">
        <f aca="false">IFERROR(INDEX(Catálogo!$F$2:$F$140,MATCH(E299,Catálogo!$A$2:$A$140,0)),0)</f>
        <v>0.11</v>
      </c>
      <c r="I299" s="19" t="n">
        <f aca="false">F299*H299</f>
        <v>16.5</v>
      </c>
    </row>
    <row r="300" customFormat="false" ht="15" hidden="false" customHeight="false" outlineLevel="0" collapsed="false">
      <c r="A300" s="33" t="n">
        <v>36</v>
      </c>
      <c r="B300" s="18" t="s">
        <v>80</v>
      </c>
      <c r="C300" s="18" t="s">
        <v>705</v>
      </c>
      <c r="D300" s="18" t="s">
        <v>706</v>
      </c>
      <c r="E300" s="34" t="s">
        <v>134</v>
      </c>
      <c r="F300" s="35" t="n">
        <v>110</v>
      </c>
      <c r="G300" s="33" t="s">
        <v>128</v>
      </c>
      <c r="H300" s="36" t="n">
        <f aca="false">IFERROR(INDEX(Catálogo!$F$2:$F$140,MATCH(E300,Catálogo!$A$2:$A$140,0)),0)</f>
        <v>0.26</v>
      </c>
      <c r="I300" s="19" t="n">
        <f aca="false">F300*H300</f>
        <v>28.6</v>
      </c>
    </row>
    <row r="301" customFormat="false" ht="15" hidden="false" customHeight="false" outlineLevel="0" collapsed="false">
      <c r="A301" s="33" t="n">
        <v>36</v>
      </c>
      <c r="B301" s="18" t="s">
        <v>80</v>
      </c>
      <c r="C301" s="18" t="s">
        <v>705</v>
      </c>
      <c r="D301" s="18" t="s">
        <v>684</v>
      </c>
      <c r="E301" s="34" t="s">
        <v>142</v>
      </c>
      <c r="F301" s="35" t="n">
        <v>170</v>
      </c>
      <c r="G301" s="33" t="s">
        <v>128</v>
      </c>
      <c r="H301" s="36" t="n">
        <f aca="false">IFERROR(INDEX(Catálogo!$F$2:$F$140,MATCH(E301,Catálogo!$A$2:$A$140,0)),0)</f>
        <v>0.045</v>
      </c>
      <c r="I301" s="19" t="n">
        <f aca="false">F301*H301</f>
        <v>7.65</v>
      </c>
    </row>
    <row r="302" customFormat="false" ht="15" hidden="false" customHeight="false" outlineLevel="0" collapsed="false">
      <c r="A302" s="33" t="n">
        <v>36</v>
      </c>
      <c r="B302" s="18" t="s">
        <v>80</v>
      </c>
      <c r="C302" s="18" t="s">
        <v>705</v>
      </c>
      <c r="D302" s="18" t="s">
        <v>494</v>
      </c>
      <c r="E302" s="34" t="s">
        <v>146</v>
      </c>
      <c r="F302" s="35" t="n">
        <v>40</v>
      </c>
      <c r="G302" s="33" t="s">
        <v>128</v>
      </c>
      <c r="H302" s="36" t="n">
        <f aca="false">IFERROR(INDEX(Catálogo!$F$2:$F$140,MATCH(E302,Catálogo!$A$2:$A$140,0)),0)</f>
        <v>0.07</v>
      </c>
      <c r="I302" s="19" t="n">
        <f aca="false">F302*H302</f>
        <v>2.8</v>
      </c>
    </row>
    <row r="303" customFormat="false" ht="15" hidden="false" customHeight="false" outlineLevel="0" collapsed="false">
      <c r="A303" s="33" t="n">
        <v>36</v>
      </c>
      <c r="B303" s="18" t="s">
        <v>80</v>
      </c>
      <c r="C303" s="18" t="s">
        <v>705</v>
      </c>
      <c r="D303" s="18" t="s">
        <v>707</v>
      </c>
      <c r="E303" s="34" t="s">
        <v>264</v>
      </c>
      <c r="F303" s="35" t="n">
        <v>4</v>
      </c>
      <c r="G303" s="33" t="s">
        <v>171</v>
      </c>
      <c r="H303" s="36" t="n">
        <f aca="false">IFERROR(INDEX(Catálogo!$F$2:$F$140,MATCH(E303,Catálogo!$A$2:$A$140,0)),0)</f>
        <v>4</v>
      </c>
      <c r="I303" s="19" t="n">
        <f aca="false">F303*H303</f>
        <v>16</v>
      </c>
    </row>
    <row r="304" customFormat="false" ht="15" hidden="false" customHeight="false" outlineLevel="0" collapsed="false">
      <c r="A304" s="33" t="n">
        <v>36</v>
      </c>
      <c r="B304" s="18" t="s">
        <v>80</v>
      </c>
      <c r="C304" s="18" t="s">
        <v>705</v>
      </c>
      <c r="D304" s="18" t="s">
        <v>708</v>
      </c>
      <c r="E304" s="34" t="s">
        <v>262</v>
      </c>
      <c r="F304" s="35" t="n">
        <v>35</v>
      </c>
      <c r="G304" s="33" t="s">
        <v>150</v>
      </c>
      <c r="H304" s="36" t="n">
        <f aca="false">IFERROR(INDEX(Catálogo!$F$2:$F$140,MATCH(E304,Catálogo!$A$2:$A$140,0)),0)</f>
        <v>0.04</v>
      </c>
      <c r="I304" s="19" t="n">
        <f aca="false">F304*H304</f>
        <v>1.4</v>
      </c>
    </row>
    <row r="305" customFormat="false" ht="15" hidden="false" customHeight="false" outlineLevel="0" collapsed="false">
      <c r="A305" s="33" t="n">
        <v>36</v>
      </c>
      <c r="B305" s="18" t="s">
        <v>80</v>
      </c>
      <c r="C305" s="18" t="s">
        <v>705</v>
      </c>
      <c r="D305" s="18" t="s">
        <v>709</v>
      </c>
      <c r="E305" s="34" t="s">
        <v>390</v>
      </c>
      <c r="F305" s="35" t="n">
        <v>4</v>
      </c>
      <c r="G305" s="33" t="s">
        <v>128</v>
      </c>
      <c r="H305" s="36" t="n">
        <f aca="false">IFERROR(INDEX(Catálogo!$F$2:$F$140,MATCH(E305,Catálogo!$A$2:$A$140,0)),0)</f>
        <v>0.4</v>
      </c>
      <c r="I305" s="19" t="n">
        <f aca="false">F305*H305</f>
        <v>1.6</v>
      </c>
    </row>
    <row r="306" customFormat="false" ht="15" hidden="false" customHeight="false" outlineLevel="0" collapsed="false">
      <c r="A306" s="33" t="n">
        <v>36</v>
      </c>
      <c r="B306" s="18" t="s">
        <v>80</v>
      </c>
      <c r="C306" s="18" t="s">
        <v>705</v>
      </c>
      <c r="D306" s="18" t="s">
        <v>484</v>
      </c>
      <c r="E306" s="34" t="s">
        <v>151</v>
      </c>
      <c r="F306" s="35" t="n">
        <v>4</v>
      </c>
      <c r="G306" s="33" t="s">
        <v>128</v>
      </c>
      <c r="H306" s="36" t="n">
        <f aca="false">IFERROR(INDEX(Catálogo!$F$2:$F$140,MATCH(E306,Catálogo!$A$2:$A$140,0)),0)</f>
        <v>0.06</v>
      </c>
      <c r="I306" s="19" t="n">
        <f aca="false">F306*H306</f>
        <v>0.24</v>
      </c>
    </row>
    <row r="307" customFormat="false" ht="15" hidden="false" customHeight="false" outlineLevel="0" collapsed="false">
      <c r="A307" s="33" t="n">
        <v>36</v>
      </c>
      <c r="B307" s="18" t="s">
        <v>80</v>
      </c>
      <c r="C307" s="18" t="s">
        <v>705</v>
      </c>
      <c r="D307" s="18" t="s">
        <v>424</v>
      </c>
      <c r="E307" s="34" t="s">
        <v>153</v>
      </c>
      <c r="F307" s="35" t="n">
        <v>3</v>
      </c>
      <c r="G307" s="33" t="s">
        <v>128</v>
      </c>
      <c r="H307" s="36" t="n">
        <f aca="false">IFERROR(INDEX(Catálogo!$F$2:$F$140,MATCH(E307,Catálogo!$A$2:$A$140,0)),0)</f>
        <v>0.025</v>
      </c>
      <c r="I307" s="19" t="n">
        <f aca="false">F307*H307</f>
        <v>0.075</v>
      </c>
    </row>
    <row r="308" customFormat="false" ht="15" hidden="false" customHeight="false" outlineLevel="0" collapsed="false">
      <c r="A308" s="33" t="n">
        <v>36</v>
      </c>
      <c r="B308" s="18" t="s">
        <v>80</v>
      </c>
      <c r="C308" s="18" t="s">
        <v>455</v>
      </c>
      <c r="D308" s="18" t="s">
        <v>710</v>
      </c>
      <c r="E308" s="34" t="s">
        <v>392</v>
      </c>
      <c r="F308" s="35" t="n">
        <v>4</v>
      </c>
      <c r="G308" s="33" t="s">
        <v>128</v>
      </c>
      <c r="H308" s="36" t="n">
        <f aca="false">IFERROR(INDEX(Catálogo!$F$2:$F$140,MATCH(E308,Catálogo!$A$2:$A$140,0)),0)</f>
        <v>1.2</v>
      </c>
      <c r="I308" s="19" t="n">
        <f aca="false">F308*H308</f>
        <v>4.8</v>
      </c>
    </row>
    <row r="309" customFormat="false" ht="15" hidden="false" customHeight="false" outlineLevel="0" collapsed="false">
      <c r="A309" s="33" t="n">
        <v>36</v>
      </c>
      <c r="B309" s="18" t="s">
        <v>80</v>
      </c>
      <c r="C309" s="18" t="s">
        <v>455</v>
      </c>
      <c r="D309" s="18" t="s">
        <v>711</v>
      </c>
      <c r="E309" s="34" t="s">
        <v>155</v>
      </c>
      <c r="F309" s="35" t="n">
        <v>5</v>
      </c>
      <c r="G309" s="33" t="s">
        <v>128</v>
      </c>
      <c r="H309" s="36" t="n">
        <f aca="false">IFERROR(INDEX(Catálogo!$F$2:$F$140,MATCH(E309,Catálogo!$A$2:$A$140,0)),0)</f>
        <v>0.24</v>
      </c>
      <c r="I309" s="19" t="n">
        <f aca="false">F309*H309</f>
        <v>1.2</v>
      </c>
    </row>
    <row r="310" customFormat="false" ht="15" hidden="false" customHeight="false" outlineLevel="0" collapsed="false">
      <c r="A310" s="24" t="n">
        <v>37</v>
      </c>
      <c r="B310" s="13" t="s">
        <v>81</v>
      </c>
      <c r="C310" s="13" t="s">
        <v>428</v>
      </c>
      <c r="D310" s="13" t="s">
        <v>429</v>
      </c>
      <c r="E310" s="27" t="s">
        <v>126</v>
      </c>
      <c r="F310" s="31" t="n">
        <v>140</v>
      </c>
      <c r="G310" s="24" t="s">
        <v>128</v>
      </c>
      <c r="H310" s="32" t="n">
        <f aca="false">IFERROR(INDEX(Catálogo!$F$2:$F$140,MATCH(E310,Catálogo!$A$2:$A$140,0)),0)</f>
        <v>0.11</v>
      </c>
      <c r="I310" s="15" t="n">
        <f aca="false">F310*H310</f>
        <v>15.4</v>
      </c>
    </row>
    <row r="311" customFormat="false" ht="15" hidden="false" customHeight="false" outlineLevel="0" collapsed="false">
      <c r="A311" s="24" t="n">
        <v>37</v>
      </c>
      <c r="B311" s="13" t="s">
        <v>81</v>
      </c>
      <c r="C311" s="13" t="s">
        <v>428</v>
      </c>
      <c r="D311" s="13" t="s">
        <v>712</v>
      </c>
      <c r="E311" s="27" t="s">
        <v>338</v>
      </c>
      <c r="F311" s="31" t="n">
        <v>50</v>
      </c>
      <c r="G311" s="24" t="s">
        <v>128</v>
      </c>
      <c r="H311" s="32" t="n">
        <f aca="false">IFERROR(INDEX(Catálogo!$F$2:$F$140,MATCH(E311,Catálogo!$A$2:$A$140,0)),0)</f>
        <v>0.35</v>
      </c>
      <c r="I311" s="15" t="n">
        <f aca="false">F311*H311</f>
        <v>17.5</v>
      </c>
    </row>
    <row r="312" customFormat="false" ht="15" hidden="false" customHeight="false" outlineLevel="0" collapsed="false">
      <c r="A312" s="24" t="n">
        <v>37</v>
      </c>
      <c r="B312" s="13" t="s">
        <v>81</v>
      </c>
      <c r="C312" s="13" t="s">
        <v>713</v>
      </c>
      <c r="D312" s="13" t="s">
        <v>449</v>
      </c>
      <c r="E312" s="27" t="s">
        <v>134</v>
      </c>
      <c r="F312" s="31" t="n">
        <v>110</v>
      </c>
      <c r="G312" s="24" t="s">
        <v>128</v>
      </c>
      <c r="H312" s="32" t="n">
        <f aca="false">IFERROR(INDEX(Catálogo!$F$2:$F$140,MATCH(E312,Catálogo!$A$2:$A$140,0)),0)</f>
        <v>0.26</v>
      </c>
      <c r="I312" s="15" t="n">
        <f aca="false">F312*H312</f>
        <v>28.6</v>
      </c>
    </row>
    <row r="313" customFormat="false" ht="15" hidden="false" customHeight="false" outlineLevel="0" collapsed="false">
      <c r="A313" s="24" t="n">
        <v>37</v>
      </c>
      <c r="B313" s="13" t="s">
        <v>81</v>
      </c>
      <c r="C313" s="13" t="s">
        <v>713</v>
      </c>
      <c r="D313" s="13" t="s">
        <v>450</v>
      </c>
      <c r="E313" s="27" t="s">
        <v>138</v>
      </c>
      <c r="F313" s="31" t="n">
        <v>180</v>
      </c>
      <c r="G313" s="24" t="s">
        <v>128</v>
      </c>
      <c r="H313" s="32" t="n">
        <f aca="false">IFERROR(INDEX(Catálogo!$F$2:$F$140,MATCH(E313,Catálogo!$A$2:$A$140,0)),0)</f>
        <v>0.032</v>
      </c>
      <c r="I313" s="15" t="n">
        <f aca="false">F313*H313</f>
        <v>5.76</v>
      </c>
    </row>
    <row r="314" customFormat="false" ht="15" hidden="false" customHeight="false" outlineLevel="0" collapsed="false">
      <c r="A314" s="24" t="n">
        <v>37</v>
      </c>
      <c r="B314" s="13" t="s">
        <v>81</v>
      </c>
      <c r="C314" s="13" t="s">
        <v>713</v>
      </c>
      <c r="D314" s="13" t="s">
        <v>463</v>
      </c>
      <c r="E314" s="27" t="s">
        <v>146</v>
      </c>
      <c r="F314" s="31" t="n">
        <v>40</v>
      </c>
      <c r="G314" s="24" t="s">
        <v>128</v>
      </c>
      <c r="H314" s="32" t="n">
        <f aca="false">IFERROR(INDEX(Catálogo!$F$2:$F$140,MATCH(E314,Catálogo!$A$2:$A$140,0)),0)</f>
        <v>0.07</v>
      </c>
      <c r="I314" s="15" t="n">
        <f aca="false">F314*H314</f>
        <v>2.8</v>
      </c>
    </row>
    <row r="315" customFormat="false" ht="15" hidden="false" customHeight="false" outlineLevel="0" collapsed="false">
      <c r="A315" s="24" t="n">
        <v>37</v>
      </c>
      <c r="B315" s="13" t="s">
        <v>81</v>
      </c>
      <c r="C315" s="13" t="s">
        <v>713</v>
      </c>
      <c r="D315" s="13" t="s">
        <v>714</v>
      </c>
      <c r="E315" s="27" t="s">
        <v>256</v>
      </c>
      <c r="F315" s="31" t="n">
        <v>35</v>
      </c>
      <c r="G315" s="24" t="s">
        <v>150</v>
      </c>
      <c r="H315" s="32" t="n">
        <f aca="false">IFERROR(INDEX(Catálogo!$F$2:$F$140,MATCH(E315,Catálogo!$A$2:$A$140,0)),0)</f>
        <v>0.05</v>
      </c>
      <c r="I315" s="15" t="n">
        <f aca="false">F315*H315</f>
        <v>1.75</v>
      </c>
    </row>
    <row r="316" customFormat="false" ht="15" hidden="false" customHeight="false" outlineLevel="0" collapsed="false">
      <c r="A316" s="24" t="n">
        <v>37</v>
      </c>
      <c r="B316" s="13" t="s">
        <v>81</v>
      </c>
      <c r="C316" s="13" t="s">
        <v>713</v>
      </c>
      <c r="D316" s="13" t="s">
        <v>715</v>
      </c>
      <c r="E316" s="27" t="s">
        <v>400</v>
      </c>
      <c r="F316" s="31" t="n">
        <v>4</v>
      </c>
      <c r="G316" s="24" t="s">
        <v>128</v>
      </c>
      <c r="H316" s="32" t="n">
        <f aca="false">IFERROR(INDEX(Catálogo!$F$2:$F$140,MATCH(E316,Catálogo!$A$2:$A$140,0)),0)</f>
        <v>0.18</v>
      </c>
      <c r="I316" s="15" t="n">
        <f aca="false">F316*H316</f>
        <v>0.72</v>
      </c>
    </row>
    <row r="317" customFormat="false" ht="15" hidden="false" customHeight="false" outlineLevel="0" collapsed="false">
      <c r="A317" s="24" t="n">
        <v>37</v>
      </c>
      <c r="B317" s="13" t="s">
        <v>81</v>
      </c>
      <c r="C317" s="13" t="s">
        <v>713</v>
      </c>
      <c r="D317" s="13" t="s">
        <v>549</v>
      </c>
      <c r="E317" s="27" t="s">
        <v>220</v>
      </c>
      <c r="F317" s="31" t="n">
        <v>4</v>
      </c>
      <c r="G317" s="24" t="s">
        <v>128</v>
      </c>
      <c r="H317" s="32" t="n">
        <f aca="false">IFERROR(INDEX(Catálogo!$F$2:$F$140,MATCH(E317,Catálogo!$A$2:$A$140,0)),0)</f>
        <v>0.6</v>
      </c>
      <c r="I317" s="15" t="n">
        <f aca="false">F317*H317</f>
        <v>2.4</v>
      </c>
    </row>
    <row r="318" customFormat="false" ht="15" hidden="false" customHeight="false" outlineLevel="0" collapsed="false">
      <c r="A318" s="24" t="n">
        <v>37</v>
      </c>
      <c r="B318" s="13" t="s">
        <v>81</v>
      </c>
      <c r="C318" s="13" t="s">
        <v>713</v>
      </c>
      <c r="D318" s="13" t="s">
        <v>484</v>
      </c>
      <c r="E318" s="27" t="s">
        <v>151</v>
      </c>
      <c r="F318" s="31" t="n">
        <v>4</v>
      </c>
      <c r="G318" s="24" t="s">
        <v>128</v>
      </c>
      <c r="H318" s="32" t="n">
        <f aca="false">IFERROR(INDEX(Catálogo!$F$2:$F$140,MATCH(E318,Catálogo!$A$2:$A$140,0)),0)</f>
        <v>0.06</v>
      </c>
      <c r="I318" s="15" t="n">
        <f aca="false">F318*H318</f>
        <v>0.24</v>
      </c>
    </row>
    <row r="319" customFormat="false" ht="15" hidden="false" customHeight="false" outlineLevel="0" collapsed="false">
      <c r="A319" s="24" t="n">
        <v>37</v>
      </c>
      <c r="B319" s="13" t="s">
        <v>81</v>
      </c>
      <c r="C319" s="13" t="s">
        <v>713</v>
      </c>
      <c r="D319" s="13" t="s">
        <v>424</v>
      </c>
      <c r="E319" s="27" t="s">
        <v>153</v>
      </c>
      <c r="F319" s="31" t="n">
        <v>3</v>
      </c>
      <c r="G319" s="24" t="s">
        <v>128</v>
      </c>
      <c r="H319" s="32" t="n">
        <f aca="false">IFERROR(INDEX(Catálogo!$F$2:$F$140,MATCH(E319,Catálogo!$A$2:$A$140,0)),0)</f>
        <v>0.025</v>
      </c>
      <c r="I319" s="15" t="n">
        <f aca="false">F319*H319</f>
        <v>0.075</v>
      </c>
    </row>
    <row r="320" customFormat="false" ht="15" hidden="false" customHeight="false" outlineLevel="0" collapsed="false">
      <c r="A320" s="24" t="n">
        <v>37</v>
      </c>
      <c r="B320" s="13" t="s">
        <v>81</v>
      </c>
      <c r="C320" s="13" t="s">
        <v>716</v>
      </c>
      <c r="D320" s="13" t="s">
        <v>717</v>
      </c>
      <c r="E320" s="27" t="s">
        <v>220</v>
      </c>
      <c r="F320" s="31" t="n">
        <v>3</v>
      </c>
      <c r="G320" s="24" t="s">
        <v>128</v>
      </c>
      <c r="H320" s="32" t="n">
        <f aca="false">IFERROR(INDEX(Catálogo!$F$2:$F$140,MATCH(E320,Catálogo!$A$2:$A$140,0)),0)</f>
        <v>0.6</v>
      </c>
      <c r="I320" s="15" t="n">
        <f aca="false">F320*H320</f>
        <v>1.8</v>
      </c>
    </row>
    <row r="321" customFormat="false" ht="15" hidden="false" customHeight="false" outlineLevel="0" collapsed="false">
      <c r="A321" s="33" t="n">
        <v>38</v>
      </c>
      <c r="B321" s="18" t="s">
        <v>82</v>
      </c>
      <c r="C321" s="18" t="s">
        <v>428</v>
      </c>
      <c r="D321" s="18" t="s">
        <v>627</v>
      </c>
      <c r="E321" s="34" t="s">
        <v>126</v>
      </c>
      <c r="F321" s="35" t="n">
        <v>140</v>
      </c>
      <c r="G321" s="33" t="s">
        <v>128</v>
      </c>
      <c r="H321" s="36" t="n">
        <f aca="false">IFERROR(INDEX(Catálogo!$F$2:$F$140,MATCH(E321,Catálogo!$A$2:$A$140,0)),0)</f>
        <v>0.11</v>
      </c>
      <c r="I321" s="19" t="n">
        <f aca="false">F321*H321</f>
        <v>15.4</v>
      </c>
    </row>
    <row r="322" customFormat="false" ht="15" hidden="false" customHeight="false" outlineLevel="0" collapsed="false">
      <c r="A322" s="33" t="n">
        <v>38</v>
      </c>
      <c r="B322" s="18" t="s">
        <v>82</v>
      </c>
      <c r="C322" s="18" t="s">
        <v>428</v>
      </c>
      <c r="D322" s="18" t="s">
        <v>718</v>
      </c>
      <c r="E322" s="34" t="s">
        <v>334</v>
      </c>
      <c r="F322" s="35" t="n">
        <v>50</v>
      </c>
      <c r="G322" s="33" t="s">
        <v>128</v>
      </c>
      <c r="H322" s="36" t="n">
        <f aca="false">IFERROR(INDEX(Catálogo!$F$2:$F$140,MATCH(E322,Catálogo!$A$2:$A$140,0)),0)</f>
        <v>0.4</v>
      </c>
      <c r="I322" s="19" t="n">
        <f aca="false">F322*H322</f>
        <v>20</v>
      </c>
    </row>
    <row r="323" customFormat="false" ht="15" hidden="false" customHeight="false" outlineLevel="0" collapsed="false">
      <c r="A323" s="33" t="n">
        <v>38</v>
      </c>
      <c r="B323" s="18" t="s">
        <v>82</v>
      </c>
      <c r="C323" s="18" t="s">
        <v>719</v>
      </c>
      <c r="D323" s="18" t="s">
        <v>449</v>
      </c>
      <c r="E323" s="34" t="s">
        <v>134</v>
      </c>
      <c r="F323" s="35" t="n">
        <v>110</v>
      </c>
      <c r="G323" s="33" t="s">
        <v>128</v>
      </c>
      <c r="H323" s="36" t="n">
        <f aca="false">IFERROR(INDEX(Catálogo!$F$2:$F$140,MATCH(E323,Catálogo!$A$2:$A$140,0)),0)</f>
        <v>0.26</v>
      </c>
      <c r="I323" s="19" t="n">
        <f aca="false">F323*H323</f>
        <v>28.6</v>
      </c>
    </row>
    <row r="324" customFormat="false" ht="15" hidden="false" customHeight="false" outlineLevel="0" collapsed="false">
      <c r="A324" s="33" t="n">
        <v>38</v>
      </c>
      <c r="B324" s="18" t="s">
        <v>82</v>
      </c>
      <c r="C324" s="18" t="s">
        <v>719</v>
      </c>
      <c r="D324" s="18" t="s">
        <v>720</v>
      </c>
      <c r="E324" s="34" t="s">
        <v>138</v>
      </c>
      <c r="F324" s="35" t="n">
        <v>170</v>
      </c>
      <c r="G324" s="33" t="s">
        <v>128</v>
      </c>
      <c r="H324" s="36" t="n">
        <f aca="false">IFERROR(INDEX(Catálogo!$F$2:$F$140,MATCH(E324,Catálogo!$A$2:$A$140,0)),0)</f>
        <v>0.032</v>
      </c>
      <c r="I324" s="19" t="n">
        <f aca="false">F324*H324</f>
        <v>5.44</v>
      </c>
    </row>
    <row r="325" customFormat="false" ht="15" hidden="false" customHeight="false" outlineLevel="0" collapsed="false">
      <c r="A325" s="33" t="n">
        <v>38</v>
      </c>
      <c r="B325" s="18" t="s">
        <v>82</v>
      </c>
      <c r="C325" s="18" t="s">
        <v>719</v>
      </c>
      <c r="D325" s="18" t="s">
        <v>463</v>
      </c>
      <c r="E325" s="34" t="s">
        <v>146</v>
      </c>
      <c r="F325" s="35" t="n">
        <v>40</v>
      </c>
      <c r="G325" s="33" t="s">
        <v>128</v>
      </c>
      <c r="H325" s="36" t="n">
        <f aca="false">IFERROR(INDEX(Catálogo!$F$2:$F$140,MATCH(E325,Catálogo!$A$2:$A$140,0)),0)</f>
        <v>0.07</v>
      </c>
      <c r="I325" s="19" t="n">
        <f aca="false">F325*H325</f>
        <v>2.8</v>
      </c>
    </row>
    <row r="326" customFormat="false" ht="15" hidden="false" customHeight="false" outlineLevel="0" collapsed="false">
      <c r="A326" s="33" t="n">
        <v>38</v>
      </c>
      <c r="B326" s="18" t="s">
        <v>82</v>
      </c>
      <c r="C326" s="18" t="s">
        <v>719</v>
      </c>
      <c r="D326" s="18" t="s">
        <v>721</v>
      </c>
      <c r="E326" s="34" t="s">
        <v>254</v>
      </c>
      <c r="F326" s="35" t="n">
        <v>35</v>
      </c>
      <c r="G326" s="33" t="s">
        <v>150</v>
      </c>
      <c r="H326" s="36" t="n">
        <f aca="false">IFERROR(INDEX(Catálogo!$F$2:$F$140,MATCH(E326,Catálogo!$A$2:$A$140,0)),0)</f>
        <v>0.06</v>
      </c>
      <c r="I326" s="19" t="n">
        <f aca="false">F326*H326</f>
        <v>2.1</v>
      </c>
    </row>
    <row r="327" customFormat="false" ht="15" hidden="false" customHeight="false" outlineLevel="0" collapsed="false">
      <c r="A327" s="33" t="n">
        <v>38</v>
      </c>
      <c r="B327" s="18" t="s">
        <v>82</v>
      </c>
      <c r="C327" s="18" t="s">
        <v>719</v>
      </c>
      <c r="D327" s="18" t="s">
        <v>722</v>
      </c>
      <c r="E327" s="34" t="s">
        <v>218</v>
      </c>
      <c r="F327" s="35" t="n">
        <v>3</v>
      </c>
      <c r="G327" s="33" t="s">
        <v>128</v>
      </c>
      <c r="H327" s="36" t="n">
        <f aca="false">IFERROR(INDEX(Catálogo!$F$2:$F$140,MATCH(E327,Catálogo!$A$2:$A$140,0)),0)</f>
        <v>1.5</v>
      </c>
      <c r="I327" s="19" t="n">
        <f aca="false">F327*H327</f>
        <v>4.5</v>
      </c>
    </row>
    <row r="328" customFormat="false" ht="15" hidden="false" customHeight="false" outlineLevel="0" collapsed="false">
      <c r="A328" s="33" t="n">
        <v>38</v>
      </c>
      <c r="B328" s="18" t="s">
        <v>82</v>
      </c>
      <c r="C328" s="18" t="s">
        <v>719</v>
      </c>
      <c r="D328" s="18" t="s">
        <v>437</v>
      </c>
      <c r="E328" s="34" t="s">
        <v>151</v>
      </c>
      <c r="F328" s="35" t="n">
        <v>4</v>
      </c>
      <c r="G328" s="33" t="s">
        <v>128</v>
      </c>
      <c r="H328" s="36" t="n">
        <f aca="false">IFERROR(INDEX(Catálogo!$F$2:$F$140,MATCH(E328,Catálogo!$A$2:$A$140,0)),0)</f>
        <v>0.06</v>
      </c>
      <c r="I328" s="19" t="n">
        <f aca="false">F328*H328</f>
        <v>0.24</v>
      </c>
    </row>
    <row r="329" customFormat="false" ht="15" hidden="false" customHeight="false" outlineLevel="0" collapsed="false">
      <c r="A329" s="33" t="n">
        <v>38</v>
      </c>
      <c r="B329" s="18" t="s">
        <v>82</v>
      </c>
      <c r="C329" s="18" t="s">
        <v>719</v>
      </c>
      <c r="D329" s="18" t="s">
        <v>424</v>
      </c>
      <c r="E329" s="34" t="s">
        <v>153</v>
      </c>
      <c r="F329" s="35" t="n">
        <v>3</v>
      </c>
      <c r="G329" s="33" t="s">
        <v>128</v>
      </c>
      <c r="H329" s="36" t="n">
        <f aca="false">IFERROR(INDEX(Catálogo!$F$2:$F$140,MATCH(E329,Catálogo!$A$2:$A$140,0)),0)</f>
        <v>0.025</v>
      </c>
      <c r="I329" s="19" t="n">
        <f aca="false">F329*H329</f>
        <v>0.075</v>
      </c>
    </row>
    <row r="330" customFormat="false" ht="15" hidden="false" customHeight="false" outlineLevel="0" collapsed="false">
      <c r="A330" s="33" t="n">
        <v>38</v>
      </c>
      <c r="B330" s="18" t="s">
        <v>82</v>
      </c>
      <c r="C330" s="18" t="s">
        <v>609</v>
      </c>
      <c r="D330" s="18" t="s">
        <v>723</v>
      </c>
      <c r="E330" s="34" t="s">
        <v>238</v>
      </c>
      <c r="F330" s="35" t="n">
        <v>12</v>
      </c>
      <c r="G330" s="33" t="s">
        <v>128</v>
      </c>
      <c r="H330" s="36" t="n">
        <f aca="false">IFERROR(INDEX(Catálogo!$F$2:$F$140,MATCH(E330,Catálogo!$A$2:$A$140,0)),0)</f>
        <v>0.5</v>
      </c>
      <c r="I330" s="19" t="n">
        <f aca="false">F330*H330</f>
        <v>6</v>
      </c>
    </row>
    <row r="331" customFormat="false" ht="15" hidden="false" customHeight="false" outlineLevel="0" collapsed="false">
      <c r="A331" s="33" t="n">
        <v>38</v>
      </c>
      <c r="B331" s="18" t="s">
        <v>82</v>
      </c>
      <c r="C331" s="18" t="s">
        <v>609</v>
      </c>
      <c r="D331" s="18" t="s">
        <v>724</v>
      </c>
      <c r="E331" s="34" t="s">
        <v>155</v>
      </c>
      <c r="F331" s="35" t="n">
        <v>5</v>
      </c>
      <c r="G331" s="33" t="s">
        <v>128</v>
      </c>
      <c r="H331" s="36" t="n">
        <f aca="false">IFERROR(INDEX(Catálogo!$F$2:$F$140,MATCH(E331,Catálogo!$A$2:$A$140,0)),0)</f>
        <v>0.24</v>
      </c>
      <c r="I331" s="19" t="n">
        <f aca="false">F331*H331</f>
        <v>1.2</v>
      </c>
    </row>
    <row r="332" customFormat="false" ht="15" hidden="false" customHeight="false" outlineLevel="0" collapsed="false">
      <c r="A332" s="33" t="n">
        <v>38</v>
      </c>
      <c r="B332" s="18" t="s">
        <v>82</v>
      </c>
      <c r="C332" s="18" t="s">
        <v>609</v>
      </c>
      <c r="D332" s="18" t="s">
        <v>725</v>
      </c>
      <c r="E332" s="34" t="s">
        <v>140</v>
      </c>
      <c r="F332" s="35" t="n">
        <v>3</v>
      </c>
      <c r="G332" s="33" t="s">
        <v>128</v>
      </c>
      <c r="H332" s="36" t="n">
        <f aca="false">IFERROR(INDEX(Catálogo!$F$2:$F$140,MATCH(E332,Catálogo!$A$2:$A$140,0)),0)</f>
        <v>0.04</v>
      </c>
      <c r="I332" s="19" t="n">
        <f aca="false">F332*H332</f>
        <v>0.12</v>
      </c>
    </row>
    <row r="333" customFormat="false" ht="15" hidden="false" customHeight="false" outlineLevel="0" collapsed="false">
      <c r="A333" s="24" t="n">
        <v>39</v>
      </c>
      <c r="B333" s="13" t="s">
        <v>83</v>
      </c>
      <c r="C333" s="13" t="s">
        <v>726</v>
      </c>
      <c r="D333" s="13" t="s">
        <v>457</v>
      </c>
      <c r="E333" s="27" t="s">
        <v>126</v>
      </c>
      <c r="F333" s="31" t="n">
        <v>140</v>
      </c>
      <c r="G333" s="24" t="s">
        <v>128</v>
      </c>
      <c r="H333" s="32" t="n">
        <f aca="false">IFERROR(INDEX(Catálogo!$F$2:$F$140,MATCH(E333,Catálogo!$A$2:$A$140,0)),0)</f>
        <v>0.11</v>
      </c>
      <c r="I333" s="15" t="n">
        <f aca="false">F333*H333</f>
        <v>15.4</v>
      </c>
    </row>
    <row r="334" customFormat="false" ht="15" hidden="false" customHeight="false" outlineLevel="0" collapsed="false">
      <c r="A334" s="24" t="n">
        <v>39</v>
      </c>
      <c r="B334" s="13" t="s">
        <v>83</v>
      </c>
      <c r="C334" s="13" t="s">
        <v>726</v>
      </c>
      <c r="D334" s="13" t="s">
        <v>528</v>
      </c>
      <c r="E334" s="27" t="s">
        <v>138</v>
      </c>
      <c r="F334" s="31" t="n">
        <v>80</v>
      </c>
      <c r="G334" s="24" t="s">
        <v>128</v>
      </c>
      <c r="H334" s="32" t="n">
        <f aca="false">IFERROR(INDEX(Catálogo!$F$2:$F$140,MATCH(E334,Catálogo!$A$2:$A$140,0)),0)</f>
        <v>0.032</v>
      </c>
      <c r="I334" s="15" t="n">
        <f aca="false">F334*H334</f>
        <v>2.56</v>
      </c>
    </row>
    <row r="335" customFormat="false" ht="15" hidden="false" customHeight="false" outlineLevel="0" collapsed="false">
      <c r="A335" s="24" t="n">
        <v>39</v>
      </c>
      <c r="B335" s="13" t="s">
        <v>83</v>
      </c>
      <c r="C335" s="13" t="s">
        <v>726</v>
      </c>
      <c r="D335" s="13" t="s">
        <v>727</v>
      </c>
      <c r="E335" s="27" t="s">
        <v>268</v>
      </c>
      <c r="F335" s="31" t="n">
        <v>25</v>
      </c>
      <c r="G335" s="24" t="s">
        <v>150</v>
      </c>
      <c r="H335" s="32" t="n">
        <f aca="false">IFERROR(INDEX(Catálogo!$F$2:$F$140,MATCH(E335,Catálogo!$A$2:$A$140,0)),0)</f>
        <v>0.12</v>
      </c>
      <c r="I335" s="15" t="n">
        <f aca="false">F335*H335</f>
        <v>3</v>
      </c>
    </row>
    <row r="336" customFormat="false" ht="15" hidden="false" customHeight="false" outlineLevel="0" collapsed="false">
      <c r="A336" s="24" t="n">
        <v>39</v>
      </c>
      <c r="B336" s="13" t="s">
        <v>83</v>
      </c>
      <c r="C336" s="13" t="s">
        <v>726</v>
      </c>
      <c r="D336" s="13" t="s">
        <v>531</v>
      </c>
      <c r="E336" s="27" t="s">
        <v>134</v>
      </c>
      <c r="F336" s="31" t="n">
        <v>20</v>
      </c>
      <c r="G336" s="24" t="s">
        <v>128</v>
      </c>
      <c r="H336" s="32" t="n">
        <f aca="false">IFERROR(INDEX(Catálogo!$F$2:$F$140,MATCH(E336,Catálogo!$A$2:$A$140,0)),0)</f>
        <v>0.26</v>
      </c>
      <c r="I336" s="15" t="n">
        <f aca="false">F336*H336</f>
        <v>5.2</v>
      </c>
    </row>
    <row r="337" customFormat="false" ht="15" hidden="false" customHeight="false" outlineLevel="0" collapsed="false">
      <c r="A337" s="24" t="n">
        <v>39</v>
      </c>
      <c r="B337" s="13" t="s">
        <v>83</v>
      </c>
      <c r="C337" s="13" t="s">
        <v>726</v>
      </c>
      <c r="D337" s="13" t="s">
        <v>509</v>
      </c>
      <c r="E337" s="27" t="s">
        <v>151</v>
      </c>
      <c r="F337" s="31" t="n">
        <v>2</v>
      </c>
      <c r="G337" s="24" t="s">
        <v>128</v>
      </c>
      <c r="H337" s="32" t="n">
        <f aca="false">IFERROR(INDEX(Catálogo!$F$2:$F$140,MATCH(E337,Catálogo!$A$2:$A$140,0)),0)</f>
        <v>0.06</v>
      </c>
      <c r="I337" s="15" t="n">
        <f aca="false">F337*H337</f>
        <v>0.12</v>
      </c>
    </row>
    <row r="338" customFormat="false" ht="15" hidden="false" customHeight="false" outlineLevel="0" collapsed="false">
      <c r="A338" s="24" t="n">
        <v>39</v>
      </c>
      <c r="B338" s="13" t="s">
        <v>83</v>
      </c>
      <c r="C338" s="13" t="s">
        <v>728</v>
      </c>
      <c r="D338" s="13" t="s">
        <v>517</v>
      </c>
      <c r="E338" s="27" t="s">
        <v>286</v>
      </c>
      <c r="F338" s="31" t="n">
        <v>230</v>
      </c>
      <c r="G338" s="24" t="s">
        <v>128</v>
      </c>
      <c r="H338" s="32" t="n">
        <f aca="false">IFERROR(INDEX(Catálogo!$F$2:$F$140,MATCH(E338,Catálogo!$A$2:$A$140,0)),0)</f>
        <v>0.4</v>
      </c>
      <c r="I338" s="15" t="n">
        <f aca="false">F338*H338</f>
        <v>92</v>
      </c>
    </row>
    <row r="339" customFormat="false" ht="15" hidden="false" customHeight="false" outlineLevel="0" collapsed="false">
      <c r="A339" s="24" t="n">
        <v>39</v>
      </c>
      <c r="B339" s="13" t="s">
        <v>83</v>
      </c>
      <c r="C339" s="13" t="s">
        <v>728</v>
      </c>
      <c r="D339" s="13" t="s">
        <v>583</v>
      </c>
      <c r="E339" s="27" t="s">
        <v>292</v>
      </c>
      <c r="F339" s="31" t="n">
        <v>10</v>
      </c>
      <c r="G339" s="24" t="s">
        <v>128</v>
      </c>
      <c r="H339" s="32" t="n">
        <f aca="false">IFERROR(INDEX(Catálogo!$F$2:$F$140,MATCH(E339,Catálogo!$A$2:$A$140,0)),0)</f>
        <v>0.65</v>
      </c>
      <c r="I339" s="15" t="n">
        <f aca="false">F339*H339</f>
        <v>6.5</v>
      </c>
    </row>
    <row r="340" customFormat="false" ht="15" hidden="false" customHeight="false" outlineLevel="0" collapsed="false">
      <c r="A340" s="24" t="n">
        <v>39</v>
      </c>
      <c r="B340" s="13" t="s">
        <v>83</v>
      </c>
      <c r="C340" s="13" t="s">
        <v>728</v>
      </c>
      <c r="D340" s="13" t="s">
        <v>729</v>
      </c>
      <c r="E340" s="27" t="s">
        <v>332</v>
      </c>
      <c r="F340" s="31" t="n">
        <v>70</v>
      </c>
      <c r="G340" s="24" t="s">
        <v>128</v>
      </c>
      <c r="H340" s="32" t="n">
        <f aca="false">IFERROR(INDEX(Catálogo!$F$2:$F$140,MATCH(E340,Catálogo!$A$2:$A$140,0)),0)</f>
        <v>0.35</v>
      </c>
      <c r="I340" s="15" t="n">
        <f aca="false">F340*H340</f>
        <v>24.5</v>
      </c>
    </row>
    <row r="341" customFormat="false" ht="15" hidden="false" customHeight="false" outlineLevel="0" collapsed="false">
      <c r="A341" s="24" t="n">
        <v>39</v>
      </c>
      <c r="B341" s="13" t="s">
        <v>83</v>
      </c>
      <c r="C341" s="13" t="s">
        <v>728</v>
      </c>
      <c r="D341" s="13" t="s">
        <v>730</v>
      </c>
      <c r="E341" s="27" t="s">
        <v>230</v>
      </c>
      <c r="F341" s="31" t="n">
        <v>6</v>
      </c>
      <c r="G341" s="24" t="s">
        <v>128</v>
      </c>
      <c r="H341" s="32" t="n">
        <f aca="false">IFERROR(INDEX(Catálogo!$F$2:$F$140,MATCH(E341,Catálogo!$A$2:$A$140,0)),0)</f>
        <v>1.8</v>
      </c>
      <c r="I341" s="15" t="n">
        <f aca="false">F341*H341</f>
        <v>10.8</v>
      </c>
    </row>
    <row r="342" customFormat="false" ht="15" hidden="false" customHeight="false" outlineLevel="0" collapsed="false">
      <c r="A342" s="24" t="n">
        <v>39</v>
      </c>
      <c r="B342" s="13" t="s">
        <v>83</v>
      </c>
      <c r="C342" s="13" t="s">
        <v>728</v>
      </c>
      <c r="D342" s="13" t="s">
        <v>731</v>
      </c>
      <c r="E342" s="27" t="s">
        <v>155</v>
      </c>
      <c r="F342" s="31" t="n">
        <v>4</v>
      </c>
      <c r="G342" s="24" t="s">
        <v>128</v>
      </c>
      <c r="H342" s="32" t="n">
        <f aca="false">IFERROR(INDEX(Catálogo!$F$2:$F$140,MATCH(E342,Catálogo!$A$2:$A$140,0)),0)</f>
        <v>0.24</v>
      </c>
      <c r="I342" s="15" t="n">
        <f aca="false">F342*H342</f>
        <v>0.96</v>
      </c>
    </row>
    <row r="343" customFormat="false" ht="15" hidden="false" customHeight="false" outlineLevel="0" collapsed="false">
      <c r="A343" s="33" t="n">
        <v>40</v>
      </c>
      <c r="B343" s="18" t="s">
        <v>84</v>
      </c>
      <c r="C343" s="18" t="s">
        <v>416</v>
      </c>
      <c r="D343" s="18" t="s">
        <v>647</v>
      </c>
      <c r="E343" s="34" t="s">
        <v>126</v>
      </c>
      <c r="F343" s="35" t="n">
        <v>140</v>
      </c>
      <c r="G343" s="33" t="s">
        <v>128</v>
      </c>
      <c r="H343" s="36" t="n">
        <f aca="false">IFERROR(INDEX(Catálogo!$F$2:$F$140,MATCH(E343,Catálogo!$A$2:$A$140,0)),0)</f>
        <v>0.11</v>
      </c>
      <c r="I343" s="19" t="n">
        <f aca="false">F343*H343</f>
        <v>15.4</v>
      </c>
    </row>
    <row r="344" customFormat="false" ht="15" hidden="false" customHeight="false" outlineLevel="0" collapsed="false">
      <c r="A344" s="33" t="n">
        <v>40</v>
      </c>
      <c r="B344" s="18" t="s">
        <v>84</v>
      </c>
      <c r="C344" s="18" t="s">
        <v>732</v>
      </c>
      <c r="D344" s="18" t="s">
        <v>733</v>
      </c>
      <c r="E344" s="34" t="s">
        <v>252</v>
      </c>
      <c r="F344" s="35" t="n">
        <v>120</v>
      </c>
      <c r="G344" s="33" t="s">
        <v>150</v>
      </c>
      <c r="H344" s="36" t="n">
        <f aca="false">IFERROR(INDEX(Catálogo!$F$2:$F$140,MATCH(E344,Catálogo!$A$2:$A$140,0)),0)</f>
        <v>0.05</v>
      </c>
      <c r="I344" s="19" t="n">
        <f aca="false">F344*H344</f>
        <v>6</v>
      </c>
    </row>
    <row r="345" customFormat="false" ht="15" hidden="false" customHeight="false" outlineLevel="0" collapsed="false">
      <c r="A345" s="33" t="n">
        <v>40</v>
      </c>
      <c r="B345" s="18" t="s">
        <v>84</v>
      </c>
      <c r="C345" s="18" t="s">
        <v>500</v>
      </c>
      <c r="D345" s="18" t="s">
        <v>449</v>
      </c>
      <c r="E345" s="34" t="s">
        <v>134</v>
      </c>
      <c r="F345" s="35" t="n">
        <v>110</v>
      </c>
      <c r="G345" s="33" t="s">
        <v>128</v>
      </c>
      <c r="H345" s="36" t="n">
        <f aca="false">IFERROR(INDEX(Catálogo!$F$2:$F$140,MATCH(E345,Catálogo!$A$2:$A$140,0)),0)</f>
        <v>0.26</v>
      </c>
      <c r="I345" s="19" t="n">
        <f aca="false">F345*H345</f>
        <v>28.6</v>
      </c>
    </row>
    <row r="346" customFormat="false" ht="15" hidden="false" customHeight="false" outlineLevel="0" collapsed="false">
      <c r="A346" s="33" t="n">
        <v>40</v>
      </c>
      <c r="B346" s="18" t="s">
        <v>84</v>
      </c>
      <c r="C346" s="18" t="s">
        <v>500</v>
      </c>
      <c r="D346" s="18" t="s">
        <v>684</v>
      </c>
      <c r="E346" s="34" t="s">
        <v>142</v>
      </c>
      <c r="F346" s="35" t="n">
        <v>170</v>
      </c>
      <c r="G346" s="33" t="s">
        <v>128</v>
      </c>
      <c r="H346" s="36" t="n">
        <f aca="false">IFERROR(INDEX(Catálogo!$F$2:$F$140,MATCH(E346,Catálogo!$A$2:$A$140,0)),0)</f>
        <v>0.045</v>
      </c>
      <c r="I346" s="19" t="n">
        <f aca="false">F346*H346</f>
        <v>7.65</v>
      </c>
    </row>
    <row r="347" customFormat="false" ht="15" hidden="false" customHeight="false" outlineLevel="0" collapsed="false">
      <c r="A347" s="33" t="n">
        <v>40</v>
      </c>
      <c r="B347" s="18" t="s">
        <v>84</v>
      </c>
      <c r="C347" s="18" t="s">
        <v>500</v>
      </c>
      <c r="D347" s="18" t="s">
        <v>463</v>
      </c>
      <c r="E347" s="34" t="s">
        <v>146</v>
      </c>
      <c r="F347" s="35" t="n">
        <v>40</v>
      </c>
      <c r="G347" s="33" t="s">
        <v>128</v>
      </c>
      <c r="H347" s="36" t="n">
        <f aca="false">IFERROR(INDEX(Catálogo!$F$2:$F$140,MATCH(E347,Catálogo!$A$2:$A$140,0)),0)</f>
        <v>0.07</v>
      </c>
      <c r="I347" s="19" t="n">
        <f aca="false">F347*H347</f>
        <v>2.8</v>
      </c>
    </row>
    <row r="348" customFormat="false" ht="15" hidden="false" customHeight="false" outlineLevel="0" collapsed="false">
      <c r="A348" s="33" t="n">
        <v>40</v>
      </c>
      <c r="B348" s="18" t="s">
        <v>84</v>
      </c>
      <c r="C348" s="18" t="s">
        <v>500</v>
      </c>
      <c r="D348" s="18" t="s">
        <v>734</v>
      </c>
      <c r="E348" s="34" t="s">
        <v>406</v>
      </c>
      <c r="F348" s="35" t="n">
        <v>35</v>
      </c>
      <c r="G348" s="33" t="s">
        <v>150</v>
      </c>
      <c r="H348" s="36" t="n">
        <f aca="false">IFERROR(INDEX(Catálogo!$F$2:$F$140,MATCH(E348,Catálogo!$A$2:$A$140,0)),0)</f>
        <v>0</v>
      </c>
      <c r="I348" s="19" t="n">
        <f aca="false">F348*H348</f>
        <v>0</v>
      </c>
    </row>
    <row r="349" customFormat="false" ht="15" hidden="false" customHeight="false" outlineLevel="0" collapsed="false">
      <c r="A349" s="33" t="n">
        <v>40</v>
      </c>
      <c r="B349" s="18" t="s">
        <v>84</v>
      </c>
      <c r="C349" s="18" t="s">
        <v>500</v>
      </c>
      <c r="D349" s="18" t="s">
        <v>484</v>
      </c>
      <c r="E349" s="34" t="s">
        <v>151</v>
      </c>
      <c r="F349" s="35" t="n">
        <v>4</v>
      </c>
      <c r="G349" s="33" t="s">
        <v>128</v>
      </c>
      <c r="H349" s="36" t="n">
        <f aca="false">IFERROR(INDEX(Catálogo!$F$2:$F$140,MATCH(E349,Catálogo!$A$2:$A$140,0)),0)</f>
        <v>0.06</v>
      </c>
      <c r="I349" s="19" t="n">
        <f aca="false">F349*H349</f>
        <v>0.24</v>
      </c>
    </row>
    <row r="350" customFormat="false" ht="15" hidden="false" customHeight="false" outlineLevel="0" collapsed="false">
      <c r="A350" s="33" t="n">
        <v>40</v>
      </c>
      <c r="B350" s="18" t="s">
        <v>84</v>
      </c>
      <c r="C350" s="18" t="s">
        <v>500</v>
      </c>
      <c r="D350" s="18" t="s">
        <v>424</v>
      </c>
      <c r="E350" s="34" t="s">
        <v>153</v>
      </c>
      <c r="F350" s="35" t="n">
        <v>3</v>
      </c>
      <c r="G350" s="33" t="s">
        <v>128</v>
      </c>
      <c r="H350" s="36" t="n">
        <f aca="false">IFERROR(INDEX(Catálogo!$F$2:$F$140,MATCH(E350,Catálogo!$A$2:$A$140,0)),0)</f>
        <v>0.025</v>
      </c>
      <c r="I350" s="19" t="n">
        <f aca="false">F350*H350</f>
        <v>0.075</v>
      </c>
    </row>
    <row r="351" customFormat="false" ht="15" hidden="false" customHeight="false" outlineLevel="0" collapsed="false">
      <c r="A351" s="33" t="n">
        <v>40</v>
      </c>
      <c r="B351" s="18" t="s">
        <v>84</v>
      </c>
      <c r="C351" s="18" t="s">
        <v>735</v>
      </c>
      <c r="D351" s="18" t="s">
        <v>736</v>
      </c>
      <c r="E351" s="34" t="s">
        <v>358</v>
      </c>
      <c r="F351" s="35" t="n">
        <v>65</v>
      </c>
      <c r="G351" s="33" t="s">
        <v>128</v>
      </c>
      <c r="H351" s="36" t="n">
        <f aca="false">IFERROR(INDEX(Catálogo!$F$2:$F$140,MATCH(E351,Catálogo!$A$2:$A$140,0)),0)</f>
        <v>0.25</v>
      </c>
      <c r="I351" s="19" t="n">
        <f aca="false">F351*H351</f>
        <v>16.25</v>
      </c>
    </row>
    <row r="352" customFormat="false" ht="15" hidden="false" customHeight="false" outlineLevel="0" collapsed="false">
      <c r="A352" s="33" t="n">
        <v>40</v>
      </c>
      <c r="B352" s="18" t="s">
        <v>84</v>
      </c>
      <c r="C352" s="18" t="s">
        <v>735</v>
      </c>
      <c r="D352" s="18" t="s">
        <v>569</v>
      </c>
      <c r="E352" s="34" t="s">
        <v>155</v>
      </c>
      <c r="F352" s="35" t="n">
        <v>5</v>
      </c>
      <c r="G352" s="33" t="s">
        <v>128</v>
      </c>
      <c r="H352" s="36" t="n">
        <f aca="false">IFERROR(INDEX(Catálogo!$F$2:$F$140,MATCH(E352,Catálogo!$A$2:$A$140,0)),0)</f>
        <v>0.24</v>
      </c>
      <c r="I352" s="19" t="n">
        <f aca="false">F352*H352</f>
        <v>1.2</v>
      </c>
    </row>
    <row r="353" customFormat="false" ht="15" hidden="false" customHeight="false" outlineLevel="0" collapsed="false">
      <c r="A353" s="24" t="n">
        <v>41</v>
      </c>
      <c r="B353" s="13" t="s">
        <v>85</v>
      </c>
      <c r="C353" s="13" t="s">
        <v>428</v>
      </c>
      <c r="D353" s="13" t="s">
        <v>737</v>
      </c>
      <c r="E353" s="27" t="s">
        <v>126</v>
      </c>
      <c r="F353" s="31" t="n">
        <v>140</v>
      </c>
      <c r="G353" s="24" t="s">
        <v>128</v>
      </c>
      <c r="H353" s="32" t="n">
        <f aca="false">IFERROR(INDEX(Catálogo!$F$2:$F$140,MATCH(E353,Catálogo!$A$2:$A$140,0)),0)</f>
        <v>0.11</v>
      </c>
      <c r="I353" s="15" t="n">
        <f aca="false">F353*H353</f>
        <v>15.4</v>
      </c>
    </row>
    <row r="354" customFormat="false" ht="15" hidden="false" customHeight="false" outlineLevel="0" collapsed="false">
      <c r="A354" s="24" t="n">
        <v>41</v>
      </c>
      <c r="B354" s="13" t="s">
        <v>85</v>
      </c>
      <c r="C354" s="13" t="s">
        <v>428</v>
      </c>
      <c r="D354" s="13" t="s">
        <v>738</v>
      </c>
      <c r="E354" s="27" t="s">
        <v>194</v>
      </c>
      <c r="F354" s="31" t="n">
        <v>40</v>
      </c>
      <c r="G354" s="24" t="s">
        <v>128</v>
      </c>
      <c r="H354" s="32" t="n">
        <f aca="false">IFERROR(INDEX(Catálogo!$F$2:$F$140,MATCH(E354,Catálogo!$A$2:$A$140,0)),0)</f>
        <v>0.09</v>
      </c>
      <c r="I354" s="15" t="n">
        <f aca="false">F354*H354</f>
        <v>3.6</v>
      </c>
    </row>
    <row r="355" customFormat="false" ht="15" hidden="false" customHeight="false" outlineLevel="0" collapsed="false">
      <c r="A355" s="24" t="n">
        <v>41</v>
      </c>
      <c r="B355" s="13" t="s">
        <v>85</v>
      </c>
      <c r="C355" s="13" t="s">
        <v>428</v>
      </c>
      <c r="D355" s="13" t="s">
        <v>739</v>
      </c>
      <c r="E355" s="27" t="s">
        <v>294</v>
      </c>
      <c r="F355" s="31" t="n">
        <v>30</v>
      </c>
      <c r="G355" s="24" t="s">
        <v>128</v>
      </c>
      <c r="H355" s="32" t="n">
        <f aca="false">IFERROR(INDEX(Catálogo!$F$2:$F$140,MATCH(E355,Catálogo!$A$2:$A$140,0)),0)</f>
        <v>0.4</v>
      </c>
      <c r="I355" s="15" t="n">
        <f aca="false">F355*H355</f>
        <v>12</v>
      </c>
    </row>
    <row r="356" customFormat="false" ht="15" hidden="false" customHeight="false" outlineLevel="0" collapsed="false">
      <c r="A356" s="24" t="n">
        <v>41</v>
      </c>
      <c r="B356" s="13" t="s">
        <v>85</v>
      </c>
      <c r="C356" s="13" t="s">
        <v>740</v>
      </c>
      <c r="D356" s="13" t="s">
        <v>449</v>
      </c>
      <c r="E356" s="27" t="s">
        <v>134</v>
      </c>
      <c r="F356" s="31" t="n">
        <v>110</v>
      </c>
      <c r="G356" s="24" t="s">
        <v>128</v>
      </c>
      <c r="H356" s="32" t="n">
        <f aca="false">IFERROR(INDEX(Catálogo!$F$2:$F$140,MATCH(E356,Catálogo!$A$2:$A$140,0)),0)</f>
        <v>0.26</v>
      </c>
      <c r="I356" s="15" t="n">
        <f aca="false">F356*H356</f>
        <v>28.6</v>
      </c>
    </row>
    <row r="357" customFormat="false" ht="15" hidden="false" customHeight="false" outlineLevel="0" collapsed="false">
      <c r="A357" s="24" t="n">
        <v>41</v>
      </c>
      <c r="B357" s="13" t="s">
        <v>85</v>
      </c>
      <c r="C357" s="13" t="s">
        <v>740</v>
      </c>
      <c r="D357" s="13" t="s">
        <v>741</v>
      </c>
      <c r="E357" s="27" t="s">
        <v>142</v>
      </c>
      <c r="F357" s="31" t="n">
        <v>160</v>
      </c>
      <c r="G357" s="24" t="s">
        <v>128</v>
      </c>
      <c r="H357" s="32" t="n">
        <f aca="false">IFERROR(INDEX(Catálogo!$F$2:$F$140,MATCH(E357,Catálogo!$A$2:$A$140,0)),0)</f>
        <v>0.045</v>
      </c>
      <c r="I357" s="15" t="n">
        <f aca="false">F357*H357</f>
        <v>7.2</v>
      </c>
    </row>
    <row r="358" customFormat="false" ht="15" hidden="false" customHeight="false" outlineLevel="0" collapsed="false">
      <c r="A358" s="24" t="n">
        <v>41</v>
      </c>
      <c r="B358" s="13" t="s">
        <v>85</v>
      </c>
      <c r="C358" s="13" t="s">
        <v>740</v>
      </c>
      <c r="D358" s="13" t="s">
        <v>742</v>
      </c>
      <c r="E358" s="27" t="s">
        <v>394</v>
      </c>
      <c r="F358" s="31" t="n">
        <v>40</v>
      </c>
      <c r="G358" s="24" t="s">
        <v>128</v>
      </c>
      <c r="H358" s="32" t="n">
        <f aca="false">IFERROR(INDEX(Catálogo!$F$2:$F$140,MATCH(E358,Catálogo!$A$2:$A$140,0)),0)</f>
        <v>0.26</v>
      </c>
      <c r="I358" s="15" t="n">
        <f aca="false">F358*H358</f>
        <v>10.4</v>
      </c>
    </row>
    <row r="359" customFormat="false" ht="15" hidden="false" customHeight="false" outlineLevel="0" collapsed="false">
      <c r="A359" s="24" t="n">
        <v>41</v>
      </c>
      <c r="B359" s="13" t="s">
        <v>85</v>
      </c>
      <c r="C359" s="13" t="s">
        <v>740</v>
      </c>
      <c r="D359" s="13" t="s">
        <v>463</v>
      </c>
      <c r="E359" s="27" t="s">
        <v>146</v>
      </c>
      <c r="F359" s="31" t="n">
        <v>40</v>
      </c>
      <c r="G359" s="24" t="s">
        <v>128</v>
      </c>
      <c r="H359" s="32" t="n">
        <f aca="false">IFERROR(INDEX(Catálogo!$F$2:$F$140,MATCH(E359,Catálogo!$A$2:$A$140,0)),0)</f>
        <v>0.07</v>
      </c>
      <c r="I359" s="15" t="n">
        <f aca="false">F359*H359</f>
        <v>2.8</v>
      </c>
    </row>
    <row r="360" customFormat="false" ht="15" hidden="false" customHeight="false" outlineLevel="0" collapsed="false">
      <c r="A360" s="24" t="n">
        <v>41</v>
      </c>
      <c r="B360" s="13" t="s">
        <v>85</v>
      </c>
      <c r="C360" s="13" t="s">
        <v>740</v>
      </c>
      <c r="D360" s="13" t="s">
        <v>464</v>
      </c>
      <c r="E360" s="27" t="s">
        <v>148</v>
      </c>
      <c r="F360" s="31" t="n">
        <v>25</v>
      </c>
      <c r="G360" s="24" t="s">
        <v>150</v>
      </c>
      <c r="H360" s="32" t="n">
        <f aca="false">IFERROR(INDEX(Catálogo!$F$2:$F$140,MATCH(E360,Catálogo!$A$2:$A$140,0)),0)</f>
        <v>0.002</v>
      </c>
      <c r="I360" s="15" t="n">
        <f aca="false">F360*H360</f>
        <v>0.05</v>
      </c>
    </row>
    <row r="361" customFormat="false" ht="15" hidden="false" customHeight="false" outlineLevel="0" collapsed="false">
      <c r="A361" s="24" t="n">
        <v>41</v>
      </c>
      <c r="B361" s="13" t="s">
        <v>85</v>
      </c>
      <c r="C361" s="13" t="s">
        <v>740</v>
      </c>
      <c r="D361" s="13" t="s">
        <v>484</v>
      </c>
      <c r="E361" s="27" t="s">
        <v>151</v>
      </c>
      <c r="F361" s="31" t="n">
        <v>4</v>
      </c>
      <c r="G361" s="24" t="s">
        <v>128</v>
      </c>
      <c r="H361" s="32" t="n">
        <f aca="false">IFERROR(INDEX(Catálogo!$F$2:$F$140,MATCH(E361,Catálogo!$A$2:$A$140,0)),0)</f>
        <v>0.06</v>
      </c>
      <c r="I361" s="15" t="n">
        <f aca="false">F361*H361</f>
        <v>0.24</v>
      </c>
    </row>
    <row r="362" customFormat="false" ht="15" hidden="false" customHeight="false" outlineLevel="0" collapsed="false">
      <c r="A362" s="24" t="n">
        <v>41</v>
      </c>
      <c r="B362" s="13" t="s">
        <v>85</v>
      </c>
      <c r="C362" s="13" t="s">
        <v>740</v>
      </c>
      <c r="D362" s="13" t="s">
        <v>743</v>
      </c>
      <c r="E362" s="27" t="s">
        <v>155</v>
      </c>
      <c r="F362" s="31" t="n">
        <v>3</v>
      </c>
      <c r="G362" s="24" t="s">
        <v>128</v>
      </c>
      <c r="H362" s="32" t="n">
        <f aca="false">IFERROR(INDEX(Catálogo!$F$2:$F$140,MATCH(E362,Catálogo!$A$2:$A$140,0)),0)</f>
        <v>0.24</v>
      </c>
      <c r="I362" s="15" t="n">
        <f aca="false">F362*H362</f>
        <v>0.72</v>
      </c>
    </row>
    <row r="363" customFormat="false" ht="15" hidden="false" customHeight="false" outlineLevel="0" collapsed="false">
      <c r="A363" s="33" t="n">
        <v>42</v>
      </c>
      <c r="B363" s="18" t="s">
        <v>86</v>
      </c>
      <c r="C363" s="18" t="s">
        <v>416</v>
      </c>
      <c r="D363" s="18" t="s">
        <v>611</v>
      </c>
      <c r="E363" s="34" t="s">
        <v>130</v>
      </c>
      <c r="F363" s="35" t="n">
        <v>150</v>
      </c>
      <c r="G363" s="33" t="s">
        <v>128</v>
      </c>
      <c r="H363" s="36" t="n">
        <f aca="false">IFERROR(INDEX(Catálogo!$F$2:$F$140,MATCH(E363,Catálogo!$A$2:$A$140,0)),0)</f>
        <v>0.07</v>
      </c>
      <c r="I363" s="19" t="n">
        <f aca="false">F363*H363</f>
        <v>10.5</v>
      </c>
    </row>
    <row r="364" customFormat="false" ht="15" hidden="false" customHeight="false" outlineLevel="0" collapsed="false">
      <c r="A364" s="33" t="n">
        <v>42</v>
      </c>
      <c r="B364" s="18" t="s">
        <v>86</v>
      </c>
      <c r="C364" s="18" t="s">
        <v>744</v>
      </c>
      <c r="D364" s="18" t="s">
        <v>745</v>
      </c>
      <c r="E364" s="34" t="s">
        <v>136</v>
      </c>
      <c r="F364" s="35" t="n">
        <v>55</v>
      </c>
      <c r="G364" s="33" t="s">
        <v>128</v>
      </c>
      <c r="H364" s="36" t="n">
        <f aca="false">IFERROR(INDEX(Catálogo!$F$2:$F$140,MATCH(E364,Catálogo!$A$2:$A$140,0)),0)</f>
        <v>0.42</v>
      </c>
      <c r="I364" s="19" t="n">
        <f aca="false">F364*H364</f>
        <v>23.1</v>
      </c>
    </row>
    <row r="365" customFormat="false" ht="15" hidden="false" customHeight="false" outlineLevel="0" collapsed="false">
      <c r="A365" s="33" t="n">
        <v>42</v>
      </c>
      <c r="B365" s="18" t="s">
        <v>86</v>
      </c>
      <c r="C365" s="18" t="s">
        <v>744</v>
      </c>
      <c r="D365" s="18" t="s">
        <v>746</v>
      </c>
      <c r="E365" s="34" t="s">
        <v>390</v>
      </c>
      <c r="F365" s="35" t="n">
        <v>10</v>
      </c>
      <c r="G365" s="33" t="s">
        <v>128</v>
      </c>
      <c r="H365" s="36" t="n">
        <f aca="false">IFERROR(INDEX(Catálogo!$F$2:$F$140,MATCH(E365,Catálogo!$A$2:$A$140,0)),0)</f>
        <v>0.4</v>
      </c>
      <c r="I365" s="19" t="n">
        <f aca="false">F365*H365</f>
        <v>4</v>
      </c>
    </row>
    <row r="366" customFormat="false" ht="15" hidden="false" customHeight="false" outlineLevel="0" collapsed="false">
      <c r="A366" s="33" t="n">
        <v>42</v>
      </c>
      <c r="B366" s="18" t="s">
        <v>86</v>
      </c>
      <c r="C366" s="18" t="s">
        <v>747</v>
      </c>
      <c r="D366" s="18" t="s">
        <v>748</v>
      </c>
      <c r="E366" s="34" t="s">
        <v>358</v>
      </c>
      <c r="F366" s="35" t="n">
        <v>50</v>
      </c>
      <c r="G366" s="33" t="s">
        <v>128</v>
      </c>
      <c r="H366" s="36" t="n">
        <f aca="false">IFERROR(INDEX(Catálogo!$F$2:$F$140,MATCH(E366,Catálogo!$A$2:$A$140,0)),0)</f>
        <v>0.25</v>
      </c>
      <c r="I366" s="19" t="n">
        <f aca="false">F366*H366</f>
        <v>12.5</v>
      </c>
    </row>
    <row r="367" customFormat="false" ht="15" hidden="false" customHeight="false" outlineLevel="0" collapsed="false">
      <c r="A367" s="33" t="n">
        <v>42</v>
      </c>
      <c r="B367" s="18" t="s">
        <v>86</v>
      </c>
      <c r="C367" s="18" t="s">
        <v>747</v>
      </c>
      <c r="D367" s="18" t="s">
        <v>749</v>
      </c>
      <c r="E367" s="34" t="s">
        <v>240</v>
      </c>
      <c r="F367" s="35" t="n">
        <v>8</v>
      </c>
      <c r="G367" s="33" t="s">
        <v>128</v>
      </c>
      <c r="H367" s="36" t="n">
        <f aca="false">IFERROR(INDEX(Catálogo!$F$2:$F$140,MATCH(E367,Catálogo!$A$2:$A$140,0)),0)</f>
        <v>0.35</v>
      </c>
      <c r="I367" s="19" t="n">
        <f aca="false">F367*H367</f>
        <v>2.8</v>
      </c>
    </row>
    <row r="368" customFormat="false" ht="15" hidden="false" customHeight="false" outlineLevel="0" collapsed="false">
      <c r="A368" s="33" t="n">
        <v>42</v>
      </c>
      <c r="B368" s="18" t="s">
        <v>86</v>
      </c>
      <c r="C368" s="18" t="s">
        <v>747</v>
      </c>
      <c r="D368" s="18" t="s">
        <v>750</v>
      </c>
      <c r="E368" s="34" t="s">
        <v>316</v>
      </c>
      <c r="F368" s="35" t="n">
        <v>5</v>
      </c>
      <c r="G368" s="33" t="s">
        <v>128</v>
      </c>
      <c r="H368" s="36" t="n">
        <f aca="false">IFERROR(INDEX(Catálogo!$F$2:$F$140,MATCH(E368,Catálogo!$A$2:$A$140,0)),0)</f>
        <v>1.5</v>
      </c>
      <c r="I368" s="19" t="n">
        <f aca="false">F368*H368</f>
        <v>7.5</v>
      </c>
    </row>
    <row r="369" customFormat="false" ht="15" hidden="false" customHeight="false" outlineLevel="0" collapsed="false">
      <c r="A369" s="33" t="n">
        <v>42</v>
      </c>
      <c r="B369" s="18" t="s">
        <v>86</v>
      </c>
      <c r="C369" s="18" t="s">
        <v>747</v>
      </c>
      <c r="D369" s="18" t="s">
        <v>751</v>
      </c>
      <c r="E369" s="34" t="s">
        <v>155</v>
      </c>
      <c r="F369" s="35" t="n">
        <v>4</v>
      </c>
      <c r="G369" s="33" t="s">
        <v>128</v>
      </c>
      <c r="H369" s="36" t="n">
        <f aca="false">IFERROR(INDEX(Catálogo!$F$2:$F$140,MATCH(E369,Catálogo!$A$2:$A$140,0)),0)</f>
        <v>0.24</v>
      </c>
      <c r="I369" s="19" t="n">
        <f aca="false">F369*H369</f>
        <v>0.96</v>
      </c>
    </row>
    <row r="370" customFormat="false" ht="15" hidden="false" customHeight="false" outlineLevel="0" collapsed="false">
      <c r="A370" s="33" t="n">
        <v>42</v>
      </c>
      <c r="B370" s="18" t="s">
        <v>86</v>
      </c>
      <c r="C370" s="18" t="s">
        <v>747</v>
      </c>
      <c r="D370" s="18" t="s">
        <v>752</v>
      </c>
      <c r="E370" s="34" t="s">
        <v>390</v>
      </c>
      <c r="F370" s="35" t="n">
        <v>3</v>
      </c>
      <c r="G370" s="33" t="s">
        <v>128</v>
      </c>
      <c r="H370" s="36" t="n">
        <f aca="false">IFERROR(INDEX(Catálogo!$F$2:$F$140,MATCH(E370,Catálogo!$A$2:$A$140,0)),0)</f>
        <v>0.4</v>
      </c>
      <c r="I370" s="19" t="n">
        <f aca="false">F370*H370</f>
        <v>1.2</v>
      </c>
    </row>
    <row r="371" customFormat="false" ht="15" hidden="false" customHeight="false" outlineLevel="0" collapsed="false">
      <c r="A371" s="24" t="n">
        <v>43</v>
      </c>
      <c r="B371" s="13" t="s">
        <v>87</v>
      </c>
      <c r="C371" s="13" t="s">
        <v>416</v>
      </c>
      <c r="D371" s="13" t="s">
        <v>647</v>
      </c>
      <c r="E371" s="27" t="s">
        <v>126</v>
      </c>
      <c r="F371" s="31" t="n">
        <v>140</v>
      </c>
      <c r="G371" s="24" t="s">
        <v>128</v>
      </c>
      <c r="H371" s="32" t="n">
        <f aca="false">IFERROR(INDEX(Catálogo!$F$2:$F$140,MATCH(E371,Catálogo!$A$2:$A$140,0)),0)</f>
        <v>0.11</v>
      </c>
      <c r="I371" s="15" t="n">
        <f aca="false">F371*H371</f>
        <v>15.4</v>
      </c>
    </row>
    <row r="372" customFormat="false" ht="15" hidden="false" customHeight="false" outlineLevel="0" collapsed="false">
      <c r="A372" s="24" t="n">
        <v>43</v>
      </c>
      <c r="B372" s="13" t="s">
        <v>87</v>
      </c>
      <c r="C372" s="13" t="s">
        <v>753</v>
      </c>
      <c r="D372" s="13" t="s">
        <v>754</v>
      </c>
      <c r="E372" s="27" t="s">
        <v>272</v>
      </c>
      <c r="F372" s="31" t="n">
        <v>100</v>
      </c>
      <c r="G372" s="24" t="s">
        <v>150</v>
      </c>
      <c r="H372" s="32" t="n">
        <f aca="false">IFERROR(INDEX(Catálogo!$F$2:$F$140,MATCH(E372,Catálogo!$A$2:$A$140,0)),0)</f>
        <v>0.06</v>
      </c>
      <c r="I372" s="15" t="n">
        <f aca="false">F372*H372</f>
        <v>6</v>
      </c>
    </row>
    <row r="373" customFormat="false" ht="15" hidden="false" customHeight="false" outlineLevel="0" collapsed="false">
      <c r="A373" s="24" t="n">
        <v>43</v>
      </c>
      <c r="B373" s="13" t="s">
        <v>87</v>
      </c>
      <c r="C373" s="13" t="s">
        <v>755</v>
      </c>
      <c r="D373" s="13" t="s">
        <v>442</v>
      </c>
      <c r="E373" s="27" t="s">
        <v>134</v>
      </c>
      <c r="F373" s="31" t="n">
        <v>100</v>
      </c>
      <c r="G373" s="24" t="s">
        <v>128</v>
      </c>
      <c r="H373" s="32" t="n">
        <f aca="false">IFERROR(INDEX(Catálogo!$F$2:$F$140,MATCH(E373,Catálogo!$A$2:$A$140,0)),0)</f>
        <v>0.26</v>
      </c>
      <c r="I373" s="15" t="n">
        <f aca="false">F373*H373</f>
        <v>26</v>
      </c>
    </row>
    <row r="374" customFormat="false" ht="15" hidden="false" customHeight="false" outlineLevel="0" collapsed="false">
      <c r="A374" s="24" t="n">
        <v>43</v>
      </c>
      <c r="B374" s="13" t="s">
        <v>87</v>
      </c>
      <c r="C374" s="13" t="s">
        <v>755</v>
      </c>
      <c r="D374" s="13" t="s">
        <v>630</v>
      </c>
      <c r="E374" s="27" t="s">
        <v>142</v>
      </c>
      <c r="F374" s="31" t="n">
        <v>160</v>
      </c>
      <c r="G374" s="24" t="s">
        <v>128</v>
      </c>
      <c r="H374" s="32" t="n">
        <f aca="false">IFERROR(INDEX(Catálogo!$F$2:$F$140,MATCH(E374,Catálogo!$A$2:$A$140,0)),0)</f>
        <v>0.045</v>
      </c>
      <c r="I374" s="15" t="n">
        <f aca="false">F374*H374</f>
        <v>7.2</v>
      </c>
    </row>
    <row r="375" customFormat="false" ht="15" hidden="false" customHeight="false" outlineLevel="0" collapsed="false">
      <c r="A375" s="24" t="n">
        <v>43</v>
      </c>
      <c r="B375" s="13" t="s">
        <v>87</v>
      </c>
      <c r="C375" s="13" t="s">
        <v>755</v>
      </c>
      <c r="D375" s="13" t="s">
        <v>463</v>
      </c>
      <c r="E375" s="27" t="s">
        <v>146</v>
      </c>
      <c r="F375" s="31" t="n">
        <v>40</v>
      </c>
      <c r="G375" s="24" t="s">
        <v>128</v>
      </c>
      <c r="H375" s="32" t="n">
        <f aca="false">IFERROR(INDEX(Catálogo!$F$2:$F$140,MATCH(E375,Catálogo!$A$2:$A$140,0)),0)</f>
        <v>0.07</v>
      </c>
      <c r="I375" s="15" t="n">
        <f aca="false">F375*H375</f>
        <v>2.8</v>
      </c>
    </row>
    <row r="376" customFormat="false" ht="15" hidden="false" customHeight="false" outlineLevel="0" collapsed="false">
      <c r="A376" s="24" t="n">
        <v>43</v>
      </c>
      <c r="B376" s="13" t="s">
        <v>87</v>
      </c>
      <c r="C376" s="13" t="s">
        <v>755</v>
      </c>
      <c r="D376" s="13" t="s">
        <v>756</v>
      </c>
      <c r="E376" s="27" t="s">
        <v>406</v>
      </c>
      <c r="F376" s="31" t="n">
        <v>35</v>
      </c>
      <c r="G376" s="24" t="s">
        <v>150</v>
      </c>
      <c r="H376" s="32" t="n">
        <f aca="false">IFERROR(INDEX(Catálogo!$F$2:$F$140,MATCH(E376,Catálogo!$A$2:$A$140,0)),0)</f>
        <v>0</v>
      </c>
      <c r="I376" s="15" t="n">
        <f aca="false">F376*H376</f>
        <v>0</v>
      </c>
    </row>
    <row r="377" customFormat="false" ht="15" hidden="false" customHeight="false" outlineLevel="0" collapsed="false">
      <c r="A377" s="24" t="n">
        <v>43</v>
      </c>
      <c r="B377" s="13" t="s">
        <v>87</v>
      </c>
      <c r="C377" s="13" t="s">
        <v>755</v>
      </c>
      <c r="D377" s="13" t="s">
        <v>672</v>
      </c>
      <c r="E377" s="27" t="s">
        <v>398</v>
      </c>
      <c r="F377" s="31" t="n">
        <v>3</v>
      </c>
      <c r="G377" s="24" t="s">
        <v>128</v>
      </c>
      <c r="H377" s="32" t="n">
        <f aca="false">IFERROR(INDEX(Catálogo!$F$2:$F$140,MATCH(E377,Catálogo!$A$2:$A$140,0)),0)</f>
        <v>0.08</v>
      </c>
      <c r="I377" s="15" t="n">
        <f aca="false">F377*H377</f>
        <v>0.24</v>
      </c>
    </row>
    <row r="378" customFormat="false" ht="15" hidden="false" customHeight="false" outlineLevel="0" collapsed="false">
      <c r="A378" s="24" t="n">
        <v>43</v>
      </c>
      <c r="B378" s="13" t="s">
        <v>87</v>
      </c>
      <c r="C378" s="13" t="s">
        <v>755</v>
      </c>
      <c r="D378" s="13" t="s">
        <v>484</v>
      </c>
      <c r="E378" s="27" t="s">
        <v>151</v>
      </c>
      <c r="F378" s="31" t="n">
        <v>4</v>
      </c>
      <c r="G378" s="24" t="s">
        <v>128</v>
      </c>
      <c r="H378" s="32" t="n">
        <f aca="false">IFERROR(INDEX(Catálogo!$F$2:$F$140,MATCH(E378,Catálogo!$A$2:$A$140,0)),0)</f>
        <v>0.06</v>
      </c>
      <c r="I378" s="15" t="n">
        <f aca="false">F378*H378</f>
        <v>0.24</v>
      </c>
    </row>
    <row r="379" customFormat="false" ht="15" hidden="false" customHeight="false" outlineLevel="0" collapsed="false">
      <c r="A379" s="24" t="n">
        <v>43</v>
      </c>
      <c r="B379" s="13" t="s">
        <v>87</v>
      </c>
      <c r="C379" s="13" t="s">
        <v>755</v>
      </c>
      <c r="D379" s="13" t="s">
        <v>424</v>
      </c>
      <c r="E379" s="27" t="s">
        <v>153</v>
      </c>
      <c r="F379" s="31" t="n">
        <v>3</v>
      </c>
      <c r="G379" s="24" t="s">
        <v>128</v>
      </c>
      <c r="H379" s="32" t="n">
        <f aca="false">IFERROR(INDEX(Catálogo!$F$2:$F$140,MATCH(E379,Catálogo!$A$2:$A$140,0)),0)</f>
        <v>0.025</v>
      </c>
      <c r="I379" s="15" t="n">
        <f aca="false">F379*H379</f>
        <v>0.075</v>
      </c>
    </row>
    <row r="380" customFormat="false" ht="15" hidden="false" customHeight="false" outlineLevel="0" collapsed="false">
      <c r="A380" s="24" t="n">
        <v>43</v>
      </c>
      <c r="B380" s="13" t="s">
        <v>87</v>
      </c>
      <c r="C380" s="13" t="s">
        <v>757</v>
      </c>
      <c r="D380" s="13" t="s">
        <v>758</v>
      </c>
      <c r="E380" s="27" t="s">
        <v>238</v>
      </c>
      <c r="F380" s="31" t="n">
        <v>25</v>
      </c>
      <c r="G380" s="24" t="s">
        <v>128</v>
      </c>
      <c r="H380" s="32" t="n">
        <f aca="false">IFERROR(INDEX(Catálogo!$F$2:$F$140,MATCH(E380,Catálogo!$A$2:$A$140,0)),0)</f>
        <v>0.5</v>
      </c>
      <c r="I380" s="15" t="n">
        <f aca="false">F380*H380</f>
        <v>12.5</v>
      </c>
    </row>
    <row r="381" customFormat="false" ht="15" hidden="false" customHeight="false" outlineLevel="0" collapsed="false">
      <c r="A381" s="24" t="n">
        <v>43</v>
      </c>
      <c r="B381" s="13" t="s">
        <v>87</v>
      </c>
      <c r="C381" s="13" t="s">
        <v>757</v>
      </c>
      <c r="D381" s="13" t="s">
        <v>759</v>
      </c>
      <c r="E381" s="27" t="s">
        <v>140</v>
      </c>
      <c r="F381" s="31" t="n">
        <v>15</v>
      </c>
      <c r="G381" s="24" t="s">
        <v>128</v>
      </c>
      <c r="H381" s="32" t="n">
        <f aca="false">IFERROR(INDEX(Catálogo!$F$2:$F$140,MATCH(E381,Catálogo!$A$2:$A$140,0)),0)</f>
        <v>0.04</v>
      </c>
      <c r="I381" s="15" t="n">
        <f aca="false">F381*H381</f>
        <v>0.6</v>
      </c>
    </row>
    <row r="382" customFormat="false" ht="15" hidden="false" customHeight="false" outlineLevel="0" collapsed="false">
      <c r="A382" s="24" t="n">
        <v>43</v>
      </c>
      <c r="B382" s="13" t="s">
        <v>87</v>
      </c>
      <c r="C382" s="13" t="s">
        <v>757</v>
      </c>
      <c r="D382" s="13" t="s">
        <v>760</v>
      </c>
      <c r="E382" s="27" t="s">
        <v>155</v>
      </c>
      <c r="F382" s="31" t="n">
        <v>7</v>
      </c>
      <c r="G382" s="24" t="s">
        <v>128</v>
      </c>
      <c r="H382" s="32" t="n">
        <f aca="false">IFERROR(INDEX(Catálogo!$F$2:$F$140,MATCH(E382,Catálogo!$A$2:$A$140,0)),0)</f>
        <v>0.24</v>
      </c>
      <c r="I382" s="15" t="n">
        <f aca="false">F382*H382</f>
        <v>1.68</v>
      </c>
    </row>
    <row r="383" customFormat="false" ht="15" hidden="false" customHeight="false" outlineLevel="0" collapsed="false">
      <c r="A383" s="24" t="n">
        <v>43</v>
      </c>
      <c r="B383" s="13" t="s">
        <v>87</v>
      </c>
      <c r="C383" s="13" t="s">
        <v>757</v>
      </c>
      <c r="D383" s="13" t="s">
        <v>761</v>
      </c>
      <c r="E383" s="27" t="s">
        <v>398</v>
      </c>
      <c r="F383" s="31" t="n">
        <v>3</v>
      </c>
      <c r="G383" s="24" t="s">
        <v>128</v>
      </c>
      <c r="H383" s="32" t="n">
        <f aca="false">IFERROR(INDEX(Catálogo!$F$2:$F$140,MATCH(E383,Catálogo!$A$2:$A$140,0)),0)</f>
        <v>0.08</v>
      </c>
      <c r="I383" s="15" t="n">
        <f aca="false">F383*H383</f>
        <v>0.24</v>
      </c>
    </row>
    <row r="384" customFormat="false" ht="15" hidden="false" customHeight="false" outlineLevel="0" collapsed="false">
      <c r="A384" s="33" t="n">
        <v>44</v>
      </c>
      <c r="B384" s="18" t="s">
        <v>88</v>
      </c>
      <c r="C384" s="18" t="s">
        <v>428</v>
      </c>
      <c r="D384" s="18" t="s">
        <v>429</v>
      </c>
      <c r="E384" s="34" t="s">
        <v>126</v>
      </c>
      <c r="F384" s="35" t="n">
        <v>140</v>
      </c>
      <c r="G384" s="33" t="s">
        <v>128</v>
      </c>
      <c r="H384" s="36" t="n">
        <f aca="false">IFERROR(INDEX(Catálogo!$F$2:$F$140,MATCH(E384,Catálogo!$A$2:$A$140,0)),0)</f>
        <v>0.11</v>
      </c>
      <c r="I384" s="19" t="n">
        <f aca="false">F384*H384</f>
        <v>15.4</v>
      </c>
    </row>
    <row r="385" customFormat="false" ht="15" hidden="false" customHeight="false" outlineLevel="0" collapsed="false">
      <c r="A385" s="33" t="n">
        <v>44</v>
      </c>
      <c r="B385" s="18" t="s">
        <v>88</v>
      </c>
      <c r="C385" s="18" t="s">
        <v>428</v>
      </c>
      <c r="D385" s="18" t="s">
        <v>762</v>
      </c>
      <c r="E385" s="34" t="s">
        <v>336</v>
      </c>
      <c r="F385" s="35" t="n">
        <v>40</v>
      </c>
      <c r="G385" s="33" t="s">
        <v>128</v>
      </c>
      <c r="H385" s="36" t="n">
        <f aca="false">IFERROR(INDEX(Catálogo!$F$2:$F$140,MATCH(E385,Catálogo!$A$2:$A$140,0)),0)</f>
        <v>0.35</v>
      </c>
      <c r="I385" s="19" t="n">
        <f aca="false">F385*H385</f>
        <v>14</v>
      </c>
    </row>
    <row r="386" customFormat="false" ht="15" hidden="false" customHeight="false" outlineLevel="0" collapsed="false">
      <c r="A386" s="33" t="n">
        <v>44</v>
      </c>
      <c r="B386" s="18" t="s">
        <v>88</v>
      </c>
      <c r="C386" s="18" t="s">
        <v>763</v>
      </c>
      <c r="D386" s="18" t="s">
        <v>449</v>
      </c>
      <c r="E386" s="34" t="s">
        <v>134</v>
      </c>
      <c r="F386" s="35" t="n">
        <v>110</v>
      </c>
      <c r="G386" s="33" t="s">
        <v>128</v>
      </c>
      <c r="H386" s="36" t="n">
        <f aca="false">IFERROR(INDEX(Catálogo!$F$2:$F$140,MATCH(E386,Catálogo!$A$2:$A$140,0)),0)</f>
        <v>0.26</v>
      </c>
      <c r="I386" s="19" t="n">
        <f aca="false">F386*H386</f>
        <v>28.6</v>
      </c>
    </row>
    <row r="387" customFormat="false" ht="15" hidden="false" customHeight="false" outlineLevel="0" collapsed="false">
      <c r="A387" s="33" t="n">
        <v>44</v>
      </c>
      <c r="B387" s="18" t="s">
        <v>88</v>
      </c>
      <c r="C387" s="18" t="s">
        <v>763</v>
      </c>
      <c r="D387" s="18" t="s">
        <v>720</v>
      </c>
      <c r="E387" s="34" t="s">
        <v>138</v>
      </c>
      <c r="F387" s="35" t="n">
        <v>170</v>
      </c>
      <c r="G387" s="33" t="s">
        <v>128</v>
      </c>
      <c r="H387" s="36" t="n">
        <f aca="false">IFERROR(INDEX(Catálogo!$F$2:$F$140,MATCH(E387,Catálogo!$A$2:$A$140,0)),0)</f>
        <v>0.032</v>
      </c>
      <c r="I387" s="19" t="n">
        <f aca="false">F387*H387</f>
        <v>5.44</v>
      </c>
    </row>
    <row r="388" customFormat="false" ht="15" hidden="false" customHeight="false" outlineLevel="0" collapsed="false">
      <c r="A388" s="33" t="n">
        <v>44</v>
      </c>
      <c r="B388" s="18" t="s">
        <v>88</v>
      </c>
      <c r="C388" s="18" t="s">
        <v>763</v>
      </c>
      <c r="D388" s="18" t="s">
        <v>463</v>
      </c>
      <c r="E388" s="34" t="s">
        <v>146</v>
      </c>
      <c r="F388" s="35" t="n">
        <v>40</v>
      </c>
      <c r="G388" s="33" t="s">
        <v>128</v>
      </c>
      <c r="H388" s="36" t="n">
        <f aca="false">IFERROR(INDEX(Catálogo!$F$2:$F$140,MATCH(E388,Catálogo!$A$2:$A$140,0)),0)</f>
        <v>0.07</v>
      </c>
      <c r="I388" s="19" t="n">
        <f aca="false">F388*H388</f>
        <v>2.8</v>
      </c>
    </row>
    <row r="389" customFormat="false" ht="15" hidden="false" customHeight="false" outlineLevel="0" collapsed="false">
      <c r="A389" s="33" t="n">
        <v>44</v>
      </c>
      <c r="B389" s="18" t="s">
        <v>88</v>
      </c>
      <c r="C389" s="18" t="s">
        <v>763</v>
      </c>
      <c r="D389" s="18" t="s">
        <v>764</v>
      </c>
      <c r="E389" s="34" t="s">
        <v>270</v>
      </c>
      <c r="F389" s="35" t="n">
        <v>35</v>
      </c>
      <c r="G389" s="33" t="s">
        <v>150</v>
      </c>
      <c r="H389" s="36" t="n">
        <f aca="false">IFERROR(INDEX(Catálogo!$F$2:$F$140,MATCH(E389,Catálogo!$A$2:$A$140,0)),0)</f>
        <v>0.05</v>
      </c>
      <c r="I389" s="19" t="n">
        <f aca="false">F389*H389</f>
        <v>1.75</v>
      </c>
    </row>
    <row r="390" customFormat="false" ht="15" hidden="false" customHeight="false" outlineLevel="0" collapsed="false">
      <c r="A390" s="33" t="n">
        <v>44</v>
      </c>
      <c r="B390" s="18" t="s">
        <v>88</v>
      </c>
      <c r="C390" s="18" t="s">
        <v>763</v>
      </c>
      <c r="D390" s="18" t="s">
        <v>765</v>
      </c>
      <c r="E390" s="34" t="s">
        <v>244</v>
      </c>
      <c r="F390" s="35" t="n">
        <v>2</v>
      </c>
      <c r="G390" s="33" t="s">
        <v>128</v>
      </c>
      <c r="H390" s="36" t="n">
        <f aca="false">IFERROR(INDEX(Catálogo!$F$2:$F$140,MATCH(E390,Catálogo!$A$2:$A$140,0)),0)</f>
        <v>0.15</v>
      </c>
      <c r="I390" s="19" t="n">
        <f aca="false">F390*H390</f>
        <v>0.3</v>
      </c>
    </row>
    <row r="391" customFormat="false" ht="15" hidden="false" customHeight="false" outlineLevel="0" collapsed="false">
      <c r="A391" s="33" t="n">
        <v>44</v>
      </c>
      <c r="B391" s="18" t="s">
        <v>88</v>
      </c>
      <c r="C391" s="18" t="s">
        <v>763</v>
      </c>
      <c r="D391" s="18" t="s">
        <v>437</v>
      </c>
      <c r="E391" s="34" t="s">
        <v>151</v>
      </c>
      <c r="F391" s="35" t="n">
        <v>4</v>
      </c>
      <c r="G391" s="33" t="s">
        <v>128</v>
      </c>
      <c r="H391" s="36" t="n">
        <f aca="false">IFERROR(INDEX(Catálogo!$F$2:$F$140,MATCH(E391,Catálogo!$A$2:$A$140,0)),0)</f>
        <v>0.06</v>
      </c>
      <c r="I391" s="19" t="n">
        <f aca="false">F391*H391</f>
        <v>0.24</v>
      </c>
    </row>
    <row r="392" customFormat="false" ht="15" hidden="false" customHeight="false" outlineLevel="0" collapsed="false">
      <c r="A392" s="33" t="n">
        <v>44</v>
      </c>
      <c r="B392" s="18" t="s">
        <v>88</v>
      </c>
      <c r="C392" s="18" t="s">
        <v>763</v>
      </c>
      <c r="D392" s="18" t="s">
        <v>424</v>
      </c>
      <c r="E392" s="34" t="s">
        <v>153</v>
      </c>
      <c r="F392" s="35" t="n">
        <v>3</v>
      </c>
      <c r="G392" s="33" t="s">
        <v>128</v>
      </c>
      <c r="H392" s="36" t="n">
        <f aca="false">IFERROR(INDEX(Catálogo!$F$2:$F$140,MATCH(E392,Catálogo!$A$2:$A$140,0)),0)</f>
        <v>0.025</v>
      </c>
      <c r="I392" s="19" t="n">
        <f aca="false">F392*H392</f>
        <v>0.075</v>
      </c>
    </row>
    <row r="393" customFormat="false" ht="15" hidden="false" customHeight="false" outlineLevel="0" collapsed="false">
      <c r="A393" s="33" t="n">
        <v>44</v>
      </c>
      <c r="B393" s="18" t="s">
        <v>88</v>
      </c>
      <c r="C393" s="18" t="s">
        <v>766</v>
      </c>
      <c r="D393" s="18" t="s">
        <v>767</v>
      </c>
      <c r="E393" s="34" t="s">
        <v>155</v>
      </c>
      <c r="F393" s="35" t="n">
        <v>6</v>
      </c>
      <c r="G393" s="33" t="s">
        <v>128</v>
      </c>
      <c r="H393" s="36" t="n">
        <f aca="false">IFERROR(INDEX(Catálogo!$F$2:$F$140,MATCH(E393,Catálogo!$A$2:$A$140,0)),0)</f>
        <v>0.24</v>
      </c>
      <c r="I393" s="19" t="n">
        <f aca="false">F393*H393</f>
        <v>1.44</v>
      </c>
    </row>
    <row r="394" customFormat="false" ht="15" hidden="false" customHeight="false" outlineLevel="0" collapsed="false">
      <c r="A394" s="33" t="n">
        <v>44</v>
      </c>
      <c r="B394" s="18" t="s">
        <v>88</v>
      </c>
      <c r="C394" s="18" t="s">
        <v>766</v>
      </c>
      <c r="D394" s="18" t="s">
        <v>768</v>
      </c>
      <c r="E394" s="34" t="s">
        <v>244</v>
      </c>
      <c r="F394" s="35" t="n">
        <v>4</v>
      </c>
      <c r="G394" s="33" t="s">
        <v>128</v>
      </c>
      <c r="H394" s="36" t="n">
        <f aca="false">IFERROR(INDEX(Catálogo!$F$2:$F$140,MATCH(E394,Catálogo!$A$2:$A$140,0)),0)</f>
        <v>0.15</v>
      </c>
      <c r="I394" s="19" t="n">
        <f aca="false">F394*H394</f>
        <v>0.6</v>
      </c>
    </row>
    <row r="395" customFormat="false" ht="15" hidden="false" customHeight="false" outlineLevel="0" collapsed="false">
      <c r="A395" s="24" t="n">
        <v>45</v>
      </c>
      <c r="B395" s="13" t="s">
        <v>89</v>
      </c>
      <c r="C395" s="13" t="s">
        <v>416</v>
      </c>
      <c r="D395" s="13" t="s">
        <v>704</v>
      </c>
      <c r="E395" s="27" t="s">
        <v>126</v>
      </c>
      <c r="F395" s="31" t="n">
        <v>150</v>
      </c>
      <c r="G395" s="24" t="s">
        <v>128</v>
      </c>
      <c r="H395" s="32" t="n">
        <f aca="false">IFERROR(INDEX(Catálogo!$F$2:$F$140,MATCH(E395,Catálogo!$A$2:$A$140,0)),0)</f>
        <v>0.11</v>
      </c>
      <c r="I395" s="15" t="n">
        <f aca="false">F395*H395</f>
        <v>16.5</v>
      </c>
    </row>
    <row r="396" customFormat="false" ht="15" hidden="false" customHeight="false" outlineLevel="0" collapsed="false">
      <c r="A396" s="24" t="n">
        <v>45</v>
      </c>
      <c r="B396" s="13" t="s">
        <v>89</v>
      </c>
      <c r="C396" s="13" t="s">
        <v>769</v>
      </c>
      <c r="D396" s="13" t="s">
        <v>770</v>
      </c>
      <c r="E396" s="27" t="s">
        <v>134</v>
      </c>
      <c r="F396" s="31" t="n">
        <v>120</v>
      </c>
      <c r="G396" s="24" t="s">
        <v>128</v>
      </c>
      <c r="H396" s="32" t="n">
        <f aca="false">IFERROR(INDEX(Catálogo!$F$2:$F$140,MATCH(E396,Catálogo!$A$2:$A$140,0)),0)</f>
        <v>0.26</v>
      </c>
      <c r="I396" s="15" t="n">
        <f aca="false">F396*H396</f>
        <v>31.2</v>
      </c>
    </row>
    <row r="397" customFormat="false" ht="15" hidden="false" customHeight="false" outlineLevel="0" collapsed="false">
      <c r="A397" s="24" t="n">
        <v>45</v>
      </c>
      <c r="B397" s="13" t="s">
        <v>89</v>
      </c>
      <c r="C397" s="13" t="s">
        <v>769</v>
      </c>
      <c r="D397" s="13" t="s">
        <v>630</v>
      </c>
      <c r="E397" s="27" t="s">
        <v>142</v>
      </c>
      <c r="F397" s="31" t="n">
        <v>160</v>
      </c>
      <c r="G397" s="24" t="s">
        <v>128</v>
      </c>
      <c r="H397" s="32" t="n">
        <f aca="false">IFERROR(INDEX(Catálogo!$F$2:$F$140,MATCH(E397,Catálogo!$A$2:$A$140,0)),0)</f>
        <v>0.045</v>
      </c>
      <c r="I397" s="15" t="n">
        <f aca="false">F397*H397</f>
        <v>7.2</v>
      </c>
    </row>
    <row r="398" customFormat="false" ht="15" hidden="false" customHeight="false" outlineLevel="0" collapsed="false">
      <c r="A398" s="24" t="n">
        <v>45</v>
      </c>
      <c r="B398" s="13" t="s">
        <v>89</v>
      </c>
      <c r="C398" s="13" t="s">
        <v>769</v>
      </c>
      <c r="D398" s="13" t="s">
        <v>463</v>
      </c>
      <c r="E398" s="27" t="s">
        <v>146</v>
      </c>
      <c r="F398" s="31" t="n">
        <v>40</v>
      </c>
      <c r="G398" s="24" t="s">
        <v>128</v>
      </c>
      <c r="H398" s="32" t="n">
        <f aca="false">IFERROR(INDEX(Catálogo!$F$2:$F$140,MATCH(E398,Catálogo!$A$2:$A$140,0)),0)</f>
        <v>0.07</v>
      </c>
      <c r="I398" s="15" t="n">
        <f aca="false">F398*H398</f>
        <v>2.8</v>
      </c>
    </row>
    <row r="399" customFormat="false" ht="15" hidden="false" customHeight="false" outlineLevel="0" collapsed="false">
      <c r="A399" s="24" t="n">
        <v>45</v>
      </c>
      <c r="B399" s="13" t="s">
        <v>89</v>
      </c>
      <c r="C399" s="13" t="s">
        <v>769</v>
      </c>
      <c r="D399" s="13" t="s">
        <v>579</v>
      </c>
      <c r="E399" s="27" t="s">
        <v>148</v>
      </c>
      <c r="F399" s="31" t="n">
        <v>30</v>
      </c>
      <c r="G399" s="24" t="s">
        <v>150</v>
      </c>
      <c r="H399" s="32" t="n">
        <f aca="false">IFERROR(INDEX(Catálogo!$F$2:$F$140,MATCH(E399,Catálogo!$A$2:$A$140,0)),0)</f>
        <v>0.002</v>
      </c>
      <c r="I399" s="15" t="n">
        <f aca="false">F399*H399</f>
        <v>0.06</v>
      </c>
    </row>
    <row r="400" customFormat="false" ht="15" hidden="false" customHeight="false" outlineLevel="0" collapsed="false">
      <c r="A400" s="24" t="n">
        <v>45</v>
      </c>
      <c r="B400" s="13" t="s">
        <v>89</v>
      </c>
      <c r="C400" s="13" t="s">
        <v>769</v>
      </c>
      <c r="D400" s="13" t="s">
        <v>771</v>
      </c>
      <c r="E400" s="27" t="s">
        <v>220</v>
      </c>
      <c r="F400" s="31" t="n">
        <v>6</v>
      </c>
      <c r="G400" s="24" t="s">
        <v>128</v>
      </c>
      <c r="H400" s="32" t="n">
        <f aca="false">IFERROR(INDEX(Catálogo!$F$2:$F$140,MATCH(E400,Catálogo!$A$2:$A$140,0)),0)</f>
        <v>0.6</v>
      </c>
      <c r="I400" s="15" t="n">
        <f aca="false">F400*H400</f>
        <v>3.6</v>
      </c>
    </row>
    <row r="401" customFormat="false" ht="15" hidden="false" customHeight="false" outlineLevel="0" collapsed="false">
      <c r="A401" s="24" t="n">
        <v>45</v>
      </c>
      <c r="B401" s="13" t="s">
        <v>89</v>
      </c>
      <c r="C401" s="13" t="s">
        <v>769</v>
      </c>
      <c r="D401" s="13" t="s">
        <v>484</v>
      </c>
      <c r="E401" s="27" t="s">
        <v>151</v>
      </c>
      <c r="F401" s="31" t="n">
        <v>4</v>
      </c>
      <c r="G401" s="24" t="s">
        <v>128</v>
      </c>
      <c r="H401" s="32" t="n">
        <f aca="false">IFERROR(INDEX(Catálogo!$F$2:$F$140,MATCH(E401,Catálogo!$A$2:$A$140,0)),0)</f>
        <v>0.06</v>
      </c>
      <c r="I401" s="15" t="n">
        <f aca="false">F401*H401</f>
        <v>0.24</v>
      </c>
    </row>
    <row r="402" customFormat="false" ht="15" hidden="false" customHeight="false" outlineLevel="0" collapsed="false">
      <c r="A402" s="24" t="n">
        <v>45</v>
      </c>
      <c r="B402" s="13" t="s">
        <v>89</v>
      </c>
      <c r="C402" s="13" t="s">
        <v>769</v>
      </c>
      <c r="D402" s="13" t="s">
        <v>424</v>
      </c>
      <c r="E402" s="27" t="s">
        <v>153</v>
      </c>
      <c r="F402" s="31" t="n">
        <v>3</v>
      </c>
      <c r="G402" s="24" t="s">
        <v>128</v>
      </c>
      <c r="H402" s="32" t="n">
        <f aca="false">IFERROR(INDEX(Catálogo!$F$2:$F$140,MATCH(E402,Catálogo!$A$2:$A$140,0)),0)</f>
        <v>0.025</v>
      </c>
      <c r="I402" s="15" t="n">
        <f aca="false">F402*H402</f>
        <v>0.075</v>
      </c>
    </row>
    <row r="403" customFormat="false" ht="15" hidden="false" customHeight="false" outlineLevel="0" collapsed="false">
      <c r="A403" s="24" t="n">
        <v>45</v>
      </c>
      <c r="B403" s="13" t="s">
        <v>89</v>
      </c>
      <c r="C403" s="13" t="s">
        <v>769</v>
      </c>
      <c r="D403" s="13" t="s">
        <v>772</v>
      </c>
      <c r="E403" s="27" t="s">
        <v>167</v>
      </c>
      <c r="F403" s="31" t="n">
        <v>5</v>
      </c>
      <c r="G403" s="24" t="s">
        <v>150</v>
      </c>
      <c r="H403" s="32" t="n">
        <f aca="false">IFERROR(INDEX(Catálogo!$F$2:$F$140,MATCH(E403,Catálogo!$A$2:$A$140,0)),0)</f>
        <v>1.5</v>
      </c>
      <c r="I403" s="15" t="n">
        <f aca="false">F403*H403</f>
        <v>7.5</v>
      </c>
    </row>
    <row r="404" customFormat="false" ht="15" hidden="false" customHeight="false" outlineLevel="0" collapsed="false">
      <c r="A404" s="24" t="n">
        <v>45</v>
      </c>
      <c r="B404" s="13" t="s">
        <v>89</v>
      </c>
      <c r="C404" s="13" t="s">
        <v>773</v>
      </c>
      <c r="D404" s="13" t="s">
        <v>774</v>
      </c>
      <c r="E404" s="27" t="s">
        <v>138</v>
      </c>
      <c r="F404" s="31" t="n">
        <v>35</v>
      </c>
      <c r="G404" s="24" t="s">
        <v>128</v>
      </c>
      <c r="H404" s="32" t="n">
        <f aca="false">IFERROR(INDEX(Catálogo!$F$2:$F$140,MATCH(E404,Catálogo!$A$2:$A$140,0)),0)</f>
        <v>0.032</v>
      </c>
      <c r="I404" s="15" t="n">
        <f aca="false">F404*H404</f>
        <v>1.12</v>
      </c>
    </row>
    <row r="405" customFormat="false" ht="15" hidden="false" customHeight="false" outlineLevel="0" collapsed="false">
      <c r="A405" s="24" t="n">
        <v>45</v>
      </c>
      <c r="B405" s="13" t="s">
        <v>89</v>
      </c>
      <c r="C405" s="13" t="s">
        <v>773</v>
      </c>
      <c r="D405" s="13" t="s">
        <v>775</v>
      </c>
      <c r="E405" s="27" t="s">
        <v>220</v>
      </c>
      <c r="F405" s="31" t="n">
        <v>12</v>
      </c>
      <c r="G405" s="24" t="s">
        <v>128</v>
      </c>
      <c r="H405" s="32" t="n">
        <f aca="false">IFERROR(INDEX(Catálogo!$F$2:$F$140,MATCH(E405,Catálogo!$A$2:$A$140,0)),0)</f>
        <v>0.6</v>
      </c>
      <c r="I405" s="15" t="n">
        <f aca="false">F405*H405</f>
        <v>7.2</v>
      </c>
    </row>
    <row r="406" customFormat="false" ht="15" hidden="false" customHeight="false" outlineLevel="0" collapsed="false">
      <c r="A406" s="24" t="n">
        <v>45</v>
      </c>
      <c r="B406" s="13" t="s">
        <v>89</v>
      </c>
      <c r="C406" s="13" t="s">
        <v>773</v>
      </c>
      <c r="D406" s="13" t="s">
        <v>743</v>
      </c>
      <c r="E406" s="27" t="s">
        <v>155</v>
      </c>
      <c r="F406" s="31" t="n">
        <v>3</v>
      </c>
      <c r="G406" s="24" t="s">
        <v>128</v>
      </c>
      <c r="H406" s="32" t="n">
        <f aca="false">IFERROR(INDEX(Catálogo!$F$2:$F$140,MATCH(E406,Catálogo!$A$2:$A$140,0)),0)</f>
        <v>0.24</v>
      </c>
      <c r="I406" s="15" t="n">
        <f aca="false">F406*H406</f>
        <v>0.72</v>
      </c>
    </row>
    <row r="407" customFormat="false" ht="15" hidden="false" customHeight="false" outlineLevel="0" collapsed="false">
      <c r="A407" s="33" t="n">
        <v>46</v>
      </c>
      <c r="B407" s="18" t="s">
        <v>90</v>
      </c>
      <c r="C407" s="18" t="s">
        <v>416</v>
      </c>
      <c r="D407" s="18" t="s">
        <v>737</v>
      </c>
      <c r="E407" s="34" t="s">
        <v>126</v>
      </c>
      <c r="F407" s="35" t="n">
        <v>140</v>
      </c>
      <c r="G407" s="33" t="s">
        <v>128</v>
      </c>
      <c r="H407" s="36" t="n">
        <f aca="false">IFERROR(INDEX(Catálogo!$F$2:$F$140,MATCH(E407,Catálogo!$A$2:$A$140,0)),0)</f>
        <v>0.11</v>
      </c>
      <c r="I407" s="19" t="n">
        <f aca="false">F407*H407</f>
        <v>15.4</v>
      </c>
    </row>
    <row r="408" customFormat="false" ht="15" hidden="false" customHeight="false" outlineLevel="0" collapsed="false">
      <c r="A408" s="33" t="n">
        <v>46</v>
      </c>
      <c r="B408" s="18" t="s">
        <v>90</v>
      </c>
      <c r="C408" s="18" t="s">
        <v>776</v>
      </c>
      <c r="D408" s="18" t="s">
        <v>442</v>
      </c>
      <c r="E408" s="34" t="s">
        <v>134</v>
      </c>
      <c r="F408" s="35" t="n">
        <v>100</v>
      </c>
      <c r="G408" s="33" t="s">
        <v>128</v>
      </c>
      <c r="H408" s="36" t="n">
        <f aca="false">IFERROR(INDEX(Catálogo!$F$2:$F$140,MATCH(E408,Catálogo!$A$2:$A$140,0)),0)</f>
        <v>0.26</v>
      </c>
      <c r="I408" s="19" t="n">
        <f aca="false">F408*H408</f>
        <v>26</v>
      </c>
    </row>
    <row r="409" customFormat="false" ht="15" hidden="false" customHeight="false" outlineLevel="0" collapsed="false">
      <c r="A409" s="33" t="n">
        <v>46</v>
      </c>
      <c r="B409" s="18" t="s">
        <v>90</v>
      </c>
      <c r="C409" s="18" t="s">
        <v>776</v>
      </c>
      <c r="D409" s="18" t="s">
        <v>651</v>
      </c>
      <c r="E409" s="34" t="s">
        <v>142</v>
      </c>
      <c r="F409" s="35" t="n">
        <v>150</v>
      </c>
      <c r="G409" s="33" t="s">
        <v>128</v>
      </c>
      <c r="H409" s="36" t="n">
        <f aca="false">IFERROR(INDEX(Catálogo!$F$2:$F$140,MATCH(E409,Catálogo!$A$2:$A$140,0)),0)</f>
        <v>0.045</v>
      </c>
      <c r="I409" s="19" t="n">
        <f aca="false">F409*H409</f>
        <v>6.75</v>
      </c>
    </row>
    <row r="410" customFormat="false" ht="15" hidden="false" customHeight="false" outlineLevel="0" collapsed="false">
      <c r="A410" s="33" t="n">
        <v>46</v>
      </c>
      <c r="B410" s="18" t="s">
        <v>90</v>
      </c>
      <c r="C410" s="18" t="s">
        <v>776</v>
      </c>
      <c r="D410" s="18" t="s">
        <v>777</v>
      </c>
      <c r="E410" s="34" t="s">
        <v>208</v>
      </c>
      <c r="F410" s="35" t="n">
        <v>35</v>
      </c>
      <c r="G410" s="33" t="s">
        <v>128</v>
      </c>
      <c r="H410" s="36" t="n">
        <f aca="false">IFERROR(INDEX(Catálogo!$F$2:$F$140,MATCH(E410,Catálogo!$A$2:$A$140,0)),0)</f>
        <v>0.12</v>
      </c>
      <c r="I410" s="19" t="n">
        <f aca="false">F410*H410</f>
        <v>4.2</v>
      </c>
    </row>
    <row r="411" customFormat="false" ht="15" hidden="false" customHeight="false" outlineLevel="0" collapsed="false">
      <c r="A411" s="33" t="n">
        <v>46</v>
      </c>
      <c r="B411" s="18" t="s">
        <v>90</v>
      </c>
      <c r="C411" s="18" t="s">
        <v>776</v>
      </c>
      <c r="D411" s="18" t="s">
        <v>778</v>
      </c>
      <c r="E411" s="34" t="s">
        <v>176</v>
      </c>
      <c r="F411" s="35" t="n">
        <v>35</v>
      </c>
      <c r="G411" s="33" t="s">
        <v>150</v>
      </c>
      <c r="H411" s="36" t="n">
        <f aca="false">IFERROR(INDEX(Catálogo!$F$2:$F$140,MATCH(E411,Catálogo!$A$2:$A$140,0)),0)</f>
        <v>0.666666666666667</v>
      </c>
      <c r="I411" s="19" t="n">
        <f aca="false">F411*H411</f>
        <v>23.3333333333333</v>
      </c>
    </row>
    <row r="412" customFormat="false" ht="15" hidden="false" customHeight="false" outlineLevel="0" collapsed="false">
      <c r="A412" s="33" t="n">
        <v>46</v>
      </c>
      <c r="B412" s="18" t="s">
        <v>90</v>
      </c>
      <c r="C412" s="18" t="s">
        <v>776</v>
      </c>
      <c r="D412" s="18" t="s">
        <v>530</v>
      </c>
      <c r="E412" s="34" t="s">
        <v>148</v>
      </c>
      <c r="F412" s="35" t="n">
        <v>15</v>
      </c>
      <c r="G412" s="33" t="s">
        <v>150</v>
      </c>
      <c r="H412" s="36" t="n">
        <f aca="false">IFERROR(INDEX(Catálogo!$F$2:$F$140,MATCH(E412,Catálogo!$A$2:$A$140,0)),0)</f>
        <v>0.002</v>
      </c>
      <c r="I412" s="19" t="n">
        <f aca="false">F412*H412</f>
        <v>0.03</v>
      </c>
    </row>
    <row r="413" customFormat="false" ht="15" hidden="false" customHeight="false" outlineLevel="0" collapsed="false">
      <c r="A413" s="33" t="n">
        <v>46</v>
      </c>
      <c r="B413" s="18" t="s">
        <v>90</v>
      </c>
      <c r="C413" s="18" t="s">
        <v>776</v>
      </c>
      <c r="D413" s="18" t="s">
        <v>484</v>
      </c>
      <c r="E413" s="34" t="s">
        <v>151</v>
      </c>
      <c r="F413" s="35" t="n">
        <v>4</v>
      </c>
      <c r="G413" s="33" t="s">
        <v>128</v>
      </c>
      <c r="H413" s="36" t="n">
        <f aca="false">IFERROR(INDEX(Catálogo!$F$2:$F$140,MATCH(E413,Catálogo!$A$2:$A$140,0)),0)</f>
        <v>0.06</v>
      </c>
      <c r="I413" s="19" t="n">
        <f aca="false">F413*H413</f>
        <v>0.24</v>
      </c>
    </row>
    <row r="414" customFormat="false" ht="15" hidden="false" customHeight="false" outlineLevel="0" collapsed="false">
      <c r="A414" s="33" t="n">
        <v>46</v>
      </c>
      <c r="B414" s="18" t="s">
        <v>90</v>
      </c>
      <c r="C414" s="18" t="s">
        <v>776</v>
      </c>
      <c r="D414" s="18" t="s">
        <v>424</v>
      </c>
      <c r="E414" s="34" t="s">
        <v>153</v>
      </c>
      <c r="F414" s="35" t="n">
        <v>3</v>
      </c>
      <c r="G414" s="33" t="s">
        <v>128</v>
      </c>
      <c r="H414" s="36" t="n">
        <f aca="false">IFERROR(INDEX(Catálogo!$F$2:$F$140,MATCH(E414,Catálogo!$A$2:$A$140,0)),0)</f>
        <v>0.025</v>
      </c>
      <c r="I414" s="19" t="n">
        <f aca="false">F414*H414</f>
        <v>0.075</v>
      </c>
    </row>
    <row r="415" customFormat="false" ht="15" hidden="false" customHeight="false" outlineLevel="0" collapsed="false">
      <c r="A415" s="33" t="n">
        <v>46</v>
      </c>
      <c r="B415" s="18" t="s">
        <v>90</v>
      </c>
      <c r="C415" s="18" t="s">
        <v>779</v>
      </c>
      <c r="D415" s="18" t="s">
        <v>780</v>
      </c>
      <c r="E415" s="34" t="s">
        <v>165</v>
      </c>
      <c r="F415" s="35" t="n">
        <v>8</v>
      </c>
      <c r="G415" s="33" t="s">
        <v>128</v>
      </c>
      <c r="H415" s="36" t="n">
        <f aca="false">IFERROR(INDEX(Catálogo!$F$2:$F$140,MATCH(E415,Catálogo!$A$2:$A$140,0)),0)</f>
        <v>1.2</v>
      </c>
      <c r="I415" s="19" t="n">
        <f aca="false">F415*H415</f>
        <v>9.6</v>
      </c>
    </row>
    <row r="416" customFormat="false" ht="15" hidden="false" customHeight="false" outlineLevel="0" collapsed="false">
      <c r="A416" s="33" t="n">
        <v>46</v>
      </c>
      <c r="B416" s="18" t="s">
        <v>90</v>
      </c>
      <c r="C416" s="18" t="s">
        <v>779</v>
      </c>
      <c r="D416" s="18" t="s">
        <v>781</v>
      </c>
      <c r="E416" s="34" t="s">
        <v>404</v>
      </c>
      <c r="F416" s="35" t="n">
        <v>8</v>
      </c>
      <c r="G416" s="33" t="s">
        <v>128</v>
      </c>
      <c r="H416" s="36" t="n">
        <f aca="false">IFERROR(INDEX(Catálogo!$F$2:$F$140,MATCH(E416,Catálogo!$A$2:$A$140,0)),0)</f>
        <v>0.4</v>
      </c>
      <c r="I416" s="19" t="n">
        <f aca="false">F416*H416</f>
        <v>3.2</v>
      </c>
    </row>
    <row r="417" customFormat="false" ht="15" hidden="false" customHeight="false" outlineLevel="0" collapsed="false">
      <c r="A417" s="24" t="n">
        <v>47</v>
      </c>
      <c r="B417" s="13" t="s">
        <v>91</v>
      </c>
      <c r="C417" s="13" t="s">
        <v>416</v>
      </c>
      <c r="D417" s="13" t="s">
        <v>611</v>
      </c>
      <c r="E417" s="27" t="s">
        <v>130</v>
      </c>
      <c r="F417" s="31" t="n">
        <v>150</v>
      </c>
      <c r="G417" s="24" t="s">
        <v>128</v>
      </c>
      <c r="H417" s="32" t="n">
        <f aca="false">IFERROR(INDEX(Catálogo!$F$2:$F$140,MATCH(E417,Catálogo!$A$2:$A$140,0)),0)</f>
        <v>0.07</v>
      </c>
      <c r="I417" s="15" t="n">
        <f aca="false">F417*H417</f>
        <v>10.5</v>
      </c>
    </row>
    <row r="418" customFormat="false" ht="15" hidden="false" customHeight="false" outlineLevel="0" collapsed="false">
      <c r="A418" s="24" t="n">
        <v>47</v>
      </c>
      <c r="B418" s="13" t="s">
        <v>91</v>
      </c>
      <c r="C418" s="13" t="s">
        <v>586</v>
      </c>
      <c r="D418" s="13" t="s">
        <v>782</v>
      </c>
      <c r="E418" s="27" t="s">
        <v>136</v>
      </c>
      <c r="F418" s="31" t="n">
        <v>55</v>
      </c>
      <c r="G418" s="24" t="s">
        <v>128</v>
      </c>
      <c r="H418" s="32" t="n">
        <f aca="false">IFERROR(INDEX(Catálogo!$F$2:$F$140,MATCH(E418,Catálogo!$A$2:$A$140,0)),0)</f>
        <v>0.42</v>
      </c>
      <c r="I418" s="15" t="n">
        <f aca="false">F418*H418</f>
        <v>23.1</v>
      </c>
    </row>
    <row r="419" customFormat="false" ht="15" hidden="false" customHeight="false" outlineLevel="0" collapsed="false">
      <c r="A419" s="24" t="n">
        <v>47</v>
      </c>
      <c r="B419" s="13" t="s">
        <v>91</v>
      </c>
      <c r="C419" s="13" t="s">
        <v>783</v>
      </c>
      <c r="D419" s="13" t="s">
        <v>784</v>
      </c>
      <c r="E419" s="27" t="s">
        <v>322</v>
      </c>
      <c r="F419" s="31" t="n">
        <v>30</v>
      </c>
      <c r="G419" s="24" t="s">
        <v>128</v>
      </c>
      <c r="H419" s="32" t="n">
        <f aca="false">IFERROR(INDEX(Catálogo!$F$2:$F$140,MATCH(E419,Catálogo!$A$2:$A$140,0)),0)</f>
        <v>0.9</v>
      </c>
      <c r="I419" s="15" t="n">
        <f aca="false">F419*H419</f>
        <v>27</v>
      </c>
    </row>
    <row r="420" customFormat="false" ht="15" hidden="false" customHeight="false" outlineLevel="0" collapsed="false">
      <c r="A420" s="24" t="n">
        <v>47</v>
      </c>
      <c r="B420" s="13" t="s">
        <v>91</v>
      </c>
      <c r="C420" s="13" t="s">
        <v>783</v>
      </c>
      <c r="D420" s="13" t="s">
        <v>785</v>
      </c>
      <c r="E420" s="27" t="s">
        <v>324</v>
      </c>
      <c r="F420" s="31" t="n">
        <v>20</v>
      </c>
      <c r="G420" s="24" t="s">
        <v>128</v>
      </c>
      <c r="H420" s="32" t="n">
        <f aca="false">IFERROR(INDEX(Catálogo!$F$2:$F$140,MATCH(E420,Catálogo!$A$2:$A$140,0)),0)</f>
        <v>0.8</v>
      </c>
      <c r="I420" s="15" t="n">
        <f aca="false">F420*H420</f>
        <v>16</v>
      </c>
    </row>
    <row r="421" customFormat="false" ht="15" hidden="false" customHeight="false" outlineLevel="0" collapsed="false">
      <c r="A421" s="24" t="n">
        <v>47</v>
      </c>
      <c r="B421" s="13" t="s">
        <v>91</v>
      </c>
      <c r="C421" s="13" t="s">
        <v>783</v>
      </c>
      <c r="D421" s="13" t="s">
        <v>786</v>
      </c>
      <c r="E421" s="27" t="s">
        <v>360</v>
      </c>
      <c r="F421" s="31" t="n">
        <v>15</v>
      </c>
      <c r="G421" s="24" t="s">
        <v>128</v>
      </c>
      <c r="H421" s="32" t="n">
        <f aca="false">IFERROR(INDEX(Catálogo!$F$2:$F$140,MATCH(E421,Catálogo!$A$2:$A$140,0)),0)</f>
        <v>0.35</v>
      </c>
      <c r="I421" s="15" t="n">
        <f aca="false">F421*H421</f>
        <v>5.25</v>
      </c>
    </row>
    <row r="422" customFormat="false" ht="15" hidden="false" customHeight="false" outlineLevel="0" collapsed="false">
      <c r="A422" s="24" t="n">
        <v>47</v>
      </c>
      <c r="B422" s="13" t="s">
        <v>91</v>
      </c>
      <c r="C422" s="13" t="s">
        <v>783</v>
      </c>
      <c r="D422" s="13" t="s">
        <v>787</v>
      </c>
      <c r="E422" s="27" t="s">
        <v>155</v>
      </c>
      <c r="F422" s="31" t="n">
        <v>5</v>
      </c>
      <c r="G422" s="24" t="s">
        <v>128</v>
      </c>
      <c r="H422" s="32" t="n">
        <f aca="false">IFERROR(INDEX(Catálogo!$F$2:$F$140,MATCH(E422,Catálogo!$A$2:$A$140,0)),0)</f>
        <v>0.24</v>
      </c>
      <c r="I422" s="15" t="n">
        <f aca="false">F422*H422</f>
        <v>1.2</v>
      </c>
    </row>
    <row r="423" customFormat="false" ht="15" hidden="false" customHeight="false" outlineLevel="0" collapsed="false">
      <c r="A423" s="24" t="n">
        <v>47</v>
      </c>
      <c r="B423" s="13" t="s">
        <v>91</v>
      </c>
      <c r="C423" s="13" t="s">
        <v>783</v>
      </c>
      <c r="D423" s="13" t="s">
        <v>788</v>
      </c>
      <c r="E423" s="27" t="s">
        <v>320</v>
      </c>
      <c r="F423" s="31" t="n">
        <v>2</v>
      </c>
      <c r="G423" s="24" t="s">
        <v>128</v>
      </c>
      <c r="H423" s="32" t="n">
        <f aca="false">IFERROR(INDEX(Catálogo!$F$2:$F$140,MATCH(E423,Catálogo!$A$2:$A$140,0)),0)</f>
        <v>0.6</v>
      </c>
      <c r="I423" s="15" t="n">
        <f aca="false">F423*H423</f>
        <v>1.2</v>
      </c>
    </row>
    <row r="424" customFormat="false" ht="15" hidden="false" customHeight="false" outlineLevel="0" collapsed="false">
      <c r="A424" s="33" t="n">
        <v>48</v>
      </c>
      <c r="B424" s="18" t="s">
        <v>92</v>
      </c>
      <c r="C424" s="18" t="s">
        <v>428</v>
      </c>
      <c r="D424" s="18" t="s">
        <v>440</v>
      </c>
      <c r="E424" s="34" t="s">
        <v>126</v>
      </c>
      <c r="F424" s="35" t="n">
        <v>130</v>
      </c>
      <c r="G424" s="33" t="s">
        <v>128</v>
      </c>
      <c r="H424" s="36" t="n">
        <f aca="false">IFERROR(INDEX(Catálogo!$F$2:$F$140,MATCH(E424,Catálogo!$A$2:$A$140,0)),0)</f>
        <v>0.11</v>
      </c>
      <c r="I424" s="19" t="n">
        <f aca="false">F424*H424</f>
        <v>14.3</v>
      </c>
    </row>
    <row r="425" customFormat="false" ht="15" hidden="false" customHeight="false" outlineLevel="0" collapsed="false">
      <c r="A425" s="33" t="n">
        <v>48</v>
      </c>
      <c r="B425" s="18" t="s">
        <v>92</v>
      </c>
      <c r="C425" s="18" t="s">
        <v>428</v>
      </c>
      <c r="D425" s="18" t="s">
        <v>789</v>
      </c>
      <c r="E425" s="34" t="s">
        <v>180</v>
      </c>
      <c r="F425" s="35" t="n">
        <v>80</v>
      </c>
      <c r="G425" s="33" t="s">
        <v>128</v>
      </c>
      <c r="H425" s="36" t="n">
        <f aca="false">IFERROR(INDEX(Catálogo!$F$2:$F$140,MATCH(E425,Catálogo!$A$2:$A$140,0)),0)</f>
        <v>0.38</v>
      </c>
      <c r="I425" s="19" t="n">
        <f aca="false">F425*H425</f>
        <v>30.4</v>
      </c>
    </row>
    <row r="426" customFormat="false" ht="15" hidden="false" customHeight="false" outlineLevel="0" collapsed="false">
      <c r="A426" s="33" t="n">
        <v>48</v>
      </c>
      <c r="B426" s="18" t="s">
        <v>92</v>
      </c>
      <c r="C426" s="18" t="s">
        <v>790</v>
      </c>
      <c r="D426" s="18" t="s">
        <v>791</v>
      </c>
      <c r="E426" s="34" t="s">
        <v>248</v>
      </c>
      <c r="F426" s="35" t="n">
        <v>140</v>
      </c>
      <c r="G426" s="33" t="s">
        <v>128</v>
      </c>
      <c r="H426" s="36" t="n">
        <f aca="false">IFERROR(INDEX(Catálogo!$F$2:$F$140,MATCH(E426,Catálogo!$A$2:$A$140,0)),0)</f>
        <v>0.18</v>
      </c>
      <c r="I426" s="19" t="n">
        <f aca="false">F426*H426</f>
        <v>25.2</v>
      </c>
    </row>
    <row r="427" customFormat="false" ht="15" hidden="false" customHeight="false" outlineLevel="0" collapsed="false">
      <c r="A427" s="33" t="n">
        <v>48</v>
      </c>
      <c r="B427" s="18" t="s">
        <v>92</v>
      </c>
      <c r="C427" s="18" t="s">
        <v>790</v>
      </c>
      <c r="D427" s="18" t="s">
        <v>460</v>
      </c>
      <c r="E427" s="34" t="s">
        <v>134</v>
      </c>
      <c r="F427" s="35" t="n">
        <v>90</v>
      </c>
      <c r="G427" s="33" t="s">
        <v>128</v>
      </c>
      <c r="H427" s="36" t="n">
        <f aca="false">IFERROR(INDEX(Catálogo!$F$2:$F$140,MATCH(E427,Catálogo!$A$2:$A$140,0)),0)</f>
        <v>0.26</v>
      </c>
      <c r="I427" s="19" t="n">
        <f aca="false">F427*H427</f>
        <v>23.4</v>
      </c>
    </row>
    <row r="428" customFormat="false" ht="15" hidden="false" customHeight="false" outlineLevel="0" collapsed="false">
      <c r="A428" s="33" t="n">
        <v>48</v>
      </c>
      <c r="B428" s="18" t="s">
        <v>92</v>
      </c>
      <c r="C428" s="18" t="s">
        <v>790</v>
      </c>
      <c r="D428" s="18" t="s">
        <v>792</v>
      </c>
      <c r="E428" s="34" t="s">
        <v>142</v>
      </c>
      <c r="F428" s="35" t="n">
        <v>130</v>
      </c>
      <c r="G428" s="33" t="s">
        <v>128</v>
      </c>
      <c r="H428" s="36" t="n">
        <f aca="false">IFERROR(INDEX(Catálogo!$F$2:$F$140,MATCH(E428,Catálogo!$A$2:$A$140,0)),0)</f>
        <v>0.045</v>
      </c>
      <c r="I428" s="19" t="n">
        <f aca="false">F428*H428</f>
        <v>5.85</v>
      </c>
    </row>
    <row r="429" customFormat="false" ht="15" hidden="false" customHeight="false" outlineLevel="0" collapsed="false">
      <c r="A429" s="33" t="n">
        <v>48</v>
      </c>
      <c r="B429" s="18" t="s">
        <v>92</v>
      </c>
      <c r="C429" s="18" t="s">
        <v>790</v>
      </c>
      <c r="D429" s="18" t="s">
        <v>793</v>
      </c>
      <c r="E429" s="34" t="s">
        <v>146</v>
      </c>
      <c r="F429" s="35" t="n">
        <v>35</v>
      </c>
      <c r="G429" s="33" t="s">
        <v>128</v>
      </c>
      <c r="H429" s="36" t="n">
        <f aca="false">IFERROR(INDEX(Catálogo!$F$2:$F$140,MATCH(E429,Catálogo!$A$2:$A$140,0)),0)</f>
        <v>0.07</v>
      </c>
      <c r="I429" s="19" t="n">
        <f aca="false">F429*H429</f>
        <v>2.45</v>
      </c>
    </row>
    <row r="430" customFormat="false" ht="15" hidden="false" customHeight="false" outlineLevel="0" collapsed="false">
      <c r="A430" s="33" t="n">
        <v>48</v>
      </c>
      <c r="B430" s="18" t="s">
        <v>92</v>
      </c>
      <c r="C430" s="18" t="s">
        <v>790</v>
      </c>
      <c r="D430" s="18" t="s">
        <v>464</v>
      </c>
      <c r="E430" s="34" t="s">
        <v>148</v>
      </c>
      <c r="F430" s="35" t="n">
        <v>25</v>
      </c>
      <c r="G430" s="33" t="s">
        <v>150</v>
      </c>
      <c r="H430" s="36" t="n">
        <f aca="false">IFERROR(INDEX(Catálogo!$F$2:$F$140,MATCH(E430,Catálogo!$A$2:$A$140,0)),0)</f>
        <v>0.002</v>
      </c>
      <c r="I430" s="19" t="n">
        <f aca="false">F430*H430</f>
        <v>0.05</v>
      </c>
    </row>
    <row r="431" customFormat="false" ht="15" hidden="false" customHeight="false" outlineLevel="0" collapsed="false">
      <c r="A431" s="33" t="n">
        <v>48</v>
      </c>
      <c r="B431" s="18" t="s">
        <v>92</v>
      </c>
      <c r="C431" s="18" t="s">
        <v>790</v>
      </c>
      <c r="D431" s="18" t="s">
        <v>484</v>
      </c>
      <c r="E431" s="34" t="s">
        <v>151</v>
      </c>
      <c r="F431" s="35" t="n">
        <v>4</v>
      </c>
      <c r="G431" s="33" t="s">
        <v>128</v>
      </c>
      <c r="H431" s="36" t="n">
        <f aca="false">IFERROR(INDEX(Catálogo!$F$2:$F$140,MATCH(E431,Catálogo!$A$2:$A$140,0)),0)</f>
        <v>0.06</v>
      </c>
      <c r="I431" s="19" t="n">
        <f aca="false">F431*H431</f>
        <v>0.24</v>
      </c>
    </row>
    <row r="432" customFormat="false" ht="15" hidden="false" customHeight="false" outlineLevel="0" collapsed="false">
      <c r="A432" s="33" t="n">
        <v>48</v>
      </c>
      <c r="B432" s="18" t="s">
        <v>92</v>
      </c>
      <c r="C432" s="18" t="s">
        <v>790</v>
      </c>
      <c r="D432" s="18" t="s">
        <v>743</v>
      </c>
      <c r="E432" s="34" t="s">
        <v>155</v>
      </c>
      <c r="F432" s="35" t="n">
        <v>3</v>
      </c>
      <c r="G432" s="33" t="s">
        <v>128</v>
      </c>
      <c r="H432" s="36" t="n">
        <f aca="false">IFERROR(INDEX(Catálogo!$F$2:$F$140,MATCH(E432,Catálogo!$A$2:$A$140,0)),0)</f>
        <v>0.24</v>
      </c>
      <c r="I432" s="19" t="n">
        <f aca="false">F432*H432</f>
        <v>0.72</v>
      </c>
    </row>
    <row r="433" customFormat="false" ht="15" hidden="false" customHeight="false" outlineLevel="0" collapsed="false">
      <c r="A433" s="24" t="n">
        <v>49</v>
      </c>
      <c r="B433" s="13" t="s">
        <v>93</v>
      </c>
      <c r="C433" s="13" t="s">
        <v>428</v>
      </c>
      <c r="D433" s="13" t="s">
        <v>429</v>
      </c>
      <c r="E433" s="27" t="s">
        <v>126</v>
      </c>
      <c r="F433" s="31" t="n">
        <v>140</v>
      </c>
      <c r="G433" s="24" t="s">
        <v>128</v>
      </c>
      <c r="H433" s="32" t="n">
        <f aca="false">IFERROR(INDEX(Catálogo!$F$2:$F$140,MATCH(E433,Catálogo!$A$2:$A$140,0)),0)</f>
        <v>0.11</v>
      </c>
      <c r="I433" s="15" t="n">
        <f aca="false">F433*H433</f>
        <v>15.4</v>
      </c>
    </row>
    <row r="434" customFormat="false" ht="15" hidden="false" customHeight="false" outlineLevel="0" collapsed="false">
      <c r="A434" s="24" t="n">
        <v>49</v>
      </c>
      <c r="B434" s="13" t="s">
        <v>93</v>
      </c>
      <c r="C434" s="13" t="s">
        <v>428</v>
      </c>
      <c r="D434" s="13" t="s">
        <v>794</v>
      </c>
      <c r="E434" s="27" t="s">
        <v>342</v>
      </c>
      <c r="F434" s="31" t="n">
        <v>30</v>
      </c>
      <c r="G434" s="24" t="s">
        <v>128</v>
      </c>
      <c r="H434" s="32" t="n">
        <f aca="false">IFERROR(INDEX(Catálogo!$F$2:$F$140,MATCH(E434,Catálogo!$A$2:$A$140,0)),0)</f>
        <v>0.25</v>
      </c>
      <c r="I434" s="15" t="n">
        <f aca="false">F434*H434</f>
        <v>7.5</v>
      </c>
    </row>
    <row r="435" customFormat="false" ht="15" hidden="false" customHeight="false" outlineLevel="0" collapsed="false">
      <c r="A435" s="24" t="n">
        <v>49</v>
      </c>
      <c r="B435" s="13" t="s">
        <v>93</v>
      </c>
      <c r="C435" s="13" t="s">
        <v>795</v>
      </c>
      <c r="D435" s="13" t="s">
        <v>442</v>
      </c>
      <c r="E435" s="27" t="s">
        <v>134</v>
      </c>
      <c r="F435" s="31" t="n">
        <v>100</v>
      </c>
      <c r="G435" s="24" t="s">
        <v>128</v>
      </c>
      <c r="H435" s="32" t="n">
        <f aca="false">IFERROR(INDEX(Catálogo!$F$2:$F$140,MATCH(E435,Catálogo!$A$2:$A$140,0)),0)</f>
        <v>0.26</v>
      </c>
      <c r="I435" s="15" t="n">
        <f aca="false">F435*H435</f>
        <v>26</v>
      </c>
    </row>
    <row r="436" customFormat="false" ht="15" hidden="false" customHeight="false" outlineLevel="0" collapsed="false">
      <c r="A436" s="24" t="n">
        <v>49</v>
      </c>
      <c r="B436" s="13" t="s">
        <v>93</v>
      </c>
      <c r="C436" s="13" t="s">
        <v>795</v>
      </c>
      <c r="D436" s="13" t="s">
        <v>796</v>
      </c>
      <c r="E436" s="27" t="s">
        <v>144</v>
      </c>
      <c r="F436" s="31" t="n">
        <v>160</v>
      </c>
      <c r="G436" s="24" t="s">
        <v>128</v>
      </c>
      <c r="H436" s="32" t="n">
        <f aca="false">IFERROR(INDEX(Catálogo!$F$2:$F$140,MATCH(E436,Catálogo!$A$2:$A$140,0)),0)</f>
        <v>0.045</v>
      </c>
      <c r="I436" s="15" t="n">
        <f aca="false">F436*H436</f>
        <v>7.2</v>
      </c>
    </row>
    <row r="437" customFormat="false" ht="15" hidden="false" customHeight="false" outlineLevel="0" collapsed="false">
      <c r="A437" s="24" t="n">
        <v>49</v>
      </c>
      <c r="B437" s="13" t="s">
        <v>93</v>
      </c>
      <c r="C437" s="13" t="s">
        <v>795</v>
      </c>
      <c r="D437" s="13" t="s">
        <v>463</v>
      </c>
      <c r="E437" s="27" t="s">
        <v>146</v>
      </c>
      <c r="F437" s="31" t="n">
        <v>40</v>
      </c>
      <c r="G437" s="24" t="s">
        <v>128</v>
      </c>
      <c r="H437" s="32" t="n">
        <f aca="false">IFERROR(INDEX(Catálogo!$F$2:$F$140,MATCH(E437,Catálogo!$A$2:$A$140,0)),0)</f>
        <v>0.07</v>
      </c>
      <c r="I437" s="15" t="n">
        <f aca="false">F437*H437</f>
        <v>2.8</v>
      </c>
    </row>
    <row r="438" customFormat="false" ht="15" hidden="false" customHeight="false" outlineLevel="0" collapsed="false">
      <c r="A438" s="24" t="n">
        <v>49</v>
      </c>
      <c r="B438" s="13" t="s">
        <v>93</v>
      </c>
      <c r="C438" s="13" t="s">
        <v>795</v>
      </c>
      <c r="D438" s="13" t="s">
        <v>797</v>
      </c>
      <c r="E438" s="27" t="s">
        <v>274</v>
      </c>
      <c r="F438" s="31" t="n">
        <v>35</v>
      </c>
      <c r="G438" s="24" t="s">
        <v>150</v>
      </c>
      <c r="H438" s="32" t="n">
        <f aca="false">IFERROR(INDEX(Catálogo!$F$2:$F$140,MATCH(E438,Catálogo!$A$2:$A$140,0)),0)</f>
        <v>0.04</v>
      </c>
      <c r="I438" s="15" t="n">
        <f aca="false">F438*H438</f>
        <v>1.4</v>
      </c>
    </row>
    <row r="439" customFormat="false" ht="15" hidden="false" customHeight="false" outlineLevel="0" collapsed="false">
      <c r="A439" s="24" t="n">
        <v>49</v>
      </c>
      <c r="B439" s="13" t="s">
        <v>93</v>
      </c>
      <c r="C439" s="13" t="s">
        <v>795</v>
      </c>
      <c r="D439" s="13" t="s">
        <v>798</v>
      </c>
      <c r="E439" s="27" t="s">
        <v>242</v>
      </c>
      <c r="F439" s="31" t="n">
        <v>4</v>
      </c>
      <c r="G439" s="24" t="s">
        <v>128</v>
      </c>
      <c r="H439" s="32" t="n">
        <f aca="false">IFERROR(INDEX(Catálogo!$F$2:$F$140,MATCH(E439,Catálogo!$A$2:$A$140,0)),0)</f>
        <v>0.5</v>
      </c>
      <c r="I439" s="15" t="n">
        <f aca="false">F439*H439</f>
        <v>2</v>
      </c>
    </row>
    <row r="440" customFormat="false" ht="15" hidden="false" customHeight="false" outlineLevel="0" collapsed="false">
      <c r="A440" s="24" t="n">
        <v>49</v>
      </c>
      <c r="B440" s="13" t="s">
        <v>93</v>
      </c>
      <c r="C440" s="13" t="s">
        <v>795</v>
      </c>
      <c r="D440" s="13" t="s">
        <v>484</v>
      </c>
      <c r="E440" s="27" t="s">
        <v>151</v>
      </c>
      <c r="F440" s="31" t="n">
        <v>4</v>
      </c>
      <c r="G440" s="24" t="s">
        <v>128</v>
      </c>
      <c r="H440" s="32" t="n">
        <f aca="false">IFERROR(INDEX(Catálogo!$F$2:$F$140,MATCH(E440,Catálogo!$A$2:$A$140,0)),0)</f>
        <v>0.06</v>
      </c>
      <c r="I440" s="15" t="n">
        <f aca="false">F440*H440</f>
        <v>0.24</v>
      </c>
    </row>
    <row r="441" customFormat="false" ht="15" hidden="false" customHeight="false" outlineLevel="0" collapsed="false">
      <c r="A441" s="24" t="n">
        <v>49</v>
      </c>
      <c r="B441" s="13" t="s">
        <v>93</v>
      </c>
      <c r="C441" s="13" t="s">
        <v>795</v>
      </c>
      <c r="D441" s="13" t="s">
        <v>424</v>
      </c>
      <c r="E441" s="27" t="s">
        <v>153</v>
      </c>
      <c r="F441" s="31" t="n">
        <v>3</v>
      </c>
      <c r="G441" s="24" t="s">
        <v>128</v>
      </c>
      <c r="H441" s="32" t="n">
        <f aca="false">IFERROR(INDEX(Catálogo!$F$2:$F$140,MATCH(E441,Catálogo!$A$2:$A$140,0)),0)</f>
        <v>0.025</v>
      </c>
      <c r="I441" s="15" t="n">
        <f aca="false">F441*H441</f>
        <v>0.075</v>
      </c>
    </row>
    <row r="442" customFormat="false" ht="15" hidden="false" customHeight="false" outlineLevel="0" collapsed="false">
      <c r="A442" s="24" t="n">
        <v>49</v>
      </c>
      <c r="B442" s="13" t="s">
        <v>93</v>
      </c>
      <c r="C442" s="13" t="s">
        <v>716</v>
      </c>
      <c r="D442" s="13" t="s">
        <v>799</v>
      </c>
      <c r="E442" s="27" t="s">
        <v>242</v>
      </c>
      <c r="F442" s="31" t="n">
        <v>11</v>
      </c>
      <c r="G442" s="24" t="s">
        <v>128</v>
      </c>
      <c r="H442" s="32" t="n">
        <f aca="false">IFERROR(INDEX(Catálogo!$F$2:$F$140,MATCH(E442,Catálogo!$A$2:$A$140,0)),0)</f>
        <v>0.5</v>
      </c>
      <c r="I442" s="15" t="n">
        <f aca="false">F442*H442</f>
        <v>5.5</v>
      </c>
    </row>
    <row r="443" customFormat="false" ht="15" hidden="false" customHeight="false" outlineLevel="0" collapsed="false">
      <c r="A443" s="33" t="n">
        <v>50</v>
      </c>
      <c r="B443" s="18" t="s">
        <v>94</v>
      </c>
      <c r="C443" s="18" t="s">
        <v>428</v>
      </c>
      <c r="D443" s="18" t="s">
        <v>429</v>
      </c>
      <c r="E443" s="34" t="s">
        <v>126</v>
      </c>
      <c r="F443" s="35" t="n">
        <v>140</v>
      </c>
      <c r="G443" s="33" t="s">
        <v>128</v>
      </c>
      <c r="H443" s="36" t="n">
        <f aca="false">IFERROR(INDEX(Catálogo!$F$2:$F$140,MATCH(E443,Catálogo!$A$2:$A$140,0)),0)</f>
        <v>0.11</v>
      </c>
      <c r="I443" s="19" t="n">
        <f aca="false">F443*H443</f>
        <v>15.4</v>
      </c>
    </row>
    <row r="444" customFormat="false" ht="15" hidden="false" customHeight="false" outlineLevel="0" collapsed="false">
      <c r="A444" s="33" t="n">
        <v>50</v>
      </c>
      <c r="B444" s="18" t="s">
        <v>94</v>
      </c>
      <c r="C444" s="18" t="s">
        <v>428</v>
      </c>
      <c r="D444" s="18" t="s">
        <v>800</v>
      </c>
      <c r="E444" s="34" t="s">
        <v>192</v>
      </c>
      <c r="F444" s="35" t="n">
        <v>60</v>
      </c>
      <c r="G444" s="33" t="s">
        <v>128</v>
      </c>
      <c r="H444" s="36" t="n">
        <f aca="false">IFERROR(INDEX(Catálogo!$F$2:$F$140,MATCH(E444,Catálogo!$A$2:$A$140,0)),0)</f>
        <v>0.18</v>
      </c>
      <c r="I444" s="19" t="n">
        <f aca="false">F444*H444</f>
        <v>10.8</v>
      </c>
    </row>
    <row r="445" customFormat="false" ht="15" hidden="false" customHeight="false" outlineLevel="0" collapsed="false">
      <c r="A445" s="33" t="n">
        <v>50</v>
      </c>
      <c r="B445" s="18" t="s">
        <v>94</v>
      </c>
      <c r="C445" s="18" t="s">
        <v>801</v>
      </c>
      <c r="D445" s="18" t="s">
        <v>449</v>
      </c>
      <c r="E445" s="34" t="s">
        <v>134</v>
      </c>
      <c r="F445" s="35" t="n">
        <v>110</v>
      </c>
      <c r="G445" s="33" t="s">
        <v>128</v>
      </c>
      <c r="H445" s="36" t="n">
        <f aca="false">IFERROR(INDEX(Catálogo!$F$2:$F$140,MATCH(E445,Catálogo!$A$2:$A$140,0)),0)</f>
        <v>0.26</v>
      </c>
      <c r="I445" s="19" t="n">
        <f aca="false">F445*H445</f>
        <v>28.6</v>
      </c>
    </row>
    <row r="446" customFormat="false" ht="15" hidden="false" customHeight="false" outlineLevel="0" collapsed="false">
      <c r="A446" s="33" t="n">
        <v>50</v>
      </c>
      <c r="B446" s="18" t="s">
        <v>94</v>
      </c>
      <c r="C446" s="18" t="s">
        <v>801</v>
      </c>
      <c r="D446" s="18" t="s">
        <v>630</v>
      </c>
      <c r="E446" s="34" t="s">
        <v>142</v>
      </c>
      <c r="F446" s="35" t="n">
        <v>160</v>
      </c>
      <c r="G446" s="33" t="s">
        <v>128</v>
      </c>
      <c r="H446" s="36" t="n">
        <f aca="false">IFERROR(INDEX(Catálogo!$F$2:$F$140,MATCH(E446,Catálogo!$A$2:$A$140,0)),0)</f>
        <v>0.045</v>
      </c>
      <c r="I446" s="19" t="n">
        <f aca="false">F446*H446</f>
        <v>7.2</v>
      </c>
    </row>
    <row r="447" customFormat="false" ht="15" hidden="false" customHeight="false" outlineLevel="0" collapsed="false">
      <c r="A447" s="33" t="n">
        <v>50</v>
      </c>
      <c r="B447" s="18" t="s">
        <v>94</v>
      </c>
      <c r="C447" s="18" t="s">
        <v>801</v>
      </c>
      <c r="D447" s="18" t="s">
        <v>463</v>
      </c>
      <c r="E447" s="34" t="s">
        <v>146</v>
      </c>
      <c r="F447" s="35" t="n">
        <v>40</v>
      </c>
      <c r="G447" s="33" t="s">
        <v>128</v>
      </c>
      <c r="H447" s="36" t="n">
        <f aca="false">IFERROR(INDEX(Catálogo!$F$2:$F$140,MATCH(E447,Catálogo!$A$2:$A$140,0)),0)</f>
        <v>0.07</v>
      </c>
      <c r="I447" s="19" t="n">
        <f aca="false">F447*H447</f>
        <v>2.8</v>
      </c>
    </row>
    <row r="448" customFormat="false" ht="15" hidden="false" customHeight="false" outlineLevel="0" collapsed="false">
      <c r="A448" s="33" t="n">
        <v>50</v>
      </c>
      <c r="B448" s="18" t="s">
        <v>94</v>
      </c>
      <c r="C448" s="18" t="s">
        <v>801</v>
      </c>
      <c r="D448" s="18" t="s">
        <v>802</v>
      </c>
      <c r="E448" s="34" t="s">
        <v>396</v>
      </c>
      <c r="F448" s="35" t="n">
        <v>35</v>
      </c>
      <c r="G448" s="33" t="s">
        <v>128</v>
      </c>
      <c r="H448" s="36" t="n">
        <f aca="false">IFERROR(INDEX(Catálogo!$F$2:$F$140,MATCH(E448,Catálogo!$A$2:$A$140,0)),0)</f>
        <v>0.2</v>
      </c>
      <c r="I448" s="19" t="n">
        <f aca="false">F448*H448</f>
        <v>7</v>
      </c>
    </row>
    <row r="449" customFormat="false" ht="15" hidden="false" customHeight="false" outlineLevel="0" collapsed="false">
      <c r="A449" s="33" t="n">
        <v>50</v>
      </c>
      <c r="B449" s="18" t="s">
        <v>94</v>
      </c>
      <c r="C449" s="18" t="s">
        <v>801</v>
      </c>
      <c r="D449" s="18" t="s">
        <v>464</v>
      </c>
      <c r="E449" s="34" t="s">
        <v>148</v>
      </c>
      <c r="F449" s="35" t="n">
        <v>25</v>
      </c>
      <c r="G449" s="33" t="s">
        <v>150</v>
      </c>
      <c r="H449" s="36" t="n">
        <f aca="false">IFERROR(INDEX(Catálogo!$F$2:$F$140,MATCH(E449,Catálogo!$A$2:$A$140,0)),0)</f>
        <v>0.002</v>
      </c>
      <c r="I449" s="19" t="n">
        <f aca="false">F449*H449</f>
        <v>0.05</v>
      </c>
    </row>
    <row r="450" customFormat="false" ht="15" hidden="false" customHeight="false" outlineLevel="0" collapsed="false">
      <c r="A450" s="33" t="n">
        <v>50</v>
      </c>
      <c r="B450" s="18" t="s">
        <v>94</v>
      </c>
      <c r="C450" s="18" t="s">
        <v>801</v>
      </c>
      <c r="D450" s="18" t="s">
        <v>803</v>
      </c>
      <c r="E450" s="34" t="s">
        <v>232</v>
      </c>
      <c r="F450" s="35" t="n">
        <v>2</v>
      </c>
      <c r="G450" s="33" t="s">
        <v>128</v>
      </c>
      <c r="H450" s="36" t="n">
        <f aca="false">IFERROR(INDEX(Catálogo!$F$2:$F$140,MATCH(E450,Catálogo!$A$2:$A$140,0)),0)</f>
        <v>0.35</v>
      </c>
      <c r="I450" s="19" t="n">
        <f aca="false">F450*H450</f>
        <v>0.7</v>
      </c>
    </row>
    <row r="451" customFormat="false" ht="15" hidden="false" customHeight="false" outlineLevel="0" collapsed="false">
      <c r="A451" s="33" t="n">
        <v>50</v>
      </c>
      <c r="B451" s="18" t="s">
        <v>94</v>
      </c>
      <c r="C451" s="18" t="s">
        <v>801</v>
      </c>
      <c r="D451" s="18" t="s">
        <v>484</v>
      </c>
      <c r="E451" s="34" t="s">
        <v>151</v>
      </c>
      <c r="F451" s="35" t="n">
        <v>4</v>
      </c>
      <c r="G451" s="33" t="s">
        <v>128</v>
      </c>
      <c r="H451" s="36" t="n">
        <f aca="false">IFERROR(INDEX(Catálogo!$F$2:$F$140,MATCH(E451,Catálogo!$A$2:$A$140,0)),0)</f>
        <v>0.06</v>
      </c>
      <c r="I451" s="19" t="n">
        <f aca="false">F451*H451</f>
        <v>0.24</v>
      </c>
    </row>
    <row r="452" customFormat="false" ht="15" hidden="false" customHeight="false" outlineLevel="0" collapsed="false">
      <c r="A452" s="33" t="n">
        <v>50</v>
      </c>
      <c r="B452" s="18" t="s">
        <v>94</v>
      </c>
      <c r="C452" s="18" t="s">
        <v>801</v>
      </c>
      <c r="D452" s="18" t="s">
        <v>424</v>
      </c>
      <c r="E452" s="34" t="s">
        <v>153</v>
      </c>
      <c r="F452" s="35" t="n">
        <v>3</v>
      </c>
      <c r="G452" s="33" t="s">
        <v>128</v>
      </c>
      <c r="H452" s="36" t="n">
        <f aca="false">IFERROR(INDEX(Catálogo!$F$2:$F$140,MATCH(E452,Catálogo!$A$2:$A$140,0)),0)</f>
        <v>0.025</v>
      </c>
      <c r="I452" s="19" t="n">
        <f aca="false">F452*H452</f>
        <v>0.075</v>
      </c>
    </row>
    <row r="453" customFormat="false" ht="15" hidden="false" customHeight="false" outlineLevel="0" collapsed="false">
      <c r="A453" s="33" t="n">
        <v>50</v>
      </c>
      <c r="B453" s="18" t="s">
        <v>94</v>
      </c>
      <c r="C453" s="18" t="s">
        <v>426</v>
      </c>
      <c r="D453" s="18" t="s">
        <v>767</v>
      </c>
      <c r="E453" s="34" t="s">
        <v>155</v>
      </c>
      <c r="F453" s="35" t="n">
        <v>6</v>
      </c>
      <c r="G453" s="33" t="s">
        <v>128</v>
      </c>
      <c r="H453" s="36" t="n">
        <f aca="false">IFERROR(INDEX(Catálogo!$F$2:$F$140,MATCH(E453,Catálogo!$A$2:$A$140,0)),0)</f>
        <v>0.24</v>
      </c>
      <c r="I453" s="19" t="n">
        <f aca="false">F453*H453</f>
        <v>1.44</v>
      </c>
    </row>
    <row r="454" customFormat="false" ht="15" hidden="false" customHeight="false" outlineLevel="0" collapsed="false">
      <c r="A454" s="33" t="n">
        <v>50</v>
      </c>
      <c r="B454" s="18" t="s">
        <v>94</v>
      </c>
      <c r="C454" s="18" t="s">
        <v>426</v>
      </c>
      <c r="D454" s="18" t="s">
        <v>804</v>
      </c>
      <c r="E454" s="34" t="s">
        <v>192</v>
      </c>
      <c r="F454" s="35" t="n">
        <v>4</v>
      </c>
      <c r="G454" s="33" t="s">
        <v>128</v>
      </c>
      <c r="H454" s="36" t="n">
        <f aca="false">IFERROR(INDEX(Catálogo!$F$2:$F$140,MATCH(E454,Catálogo!$A$2:$A$140,0)),0)</f>
        <v>0.18</v>
      </c>
      <c r="I454" s="19" t="n">
        <f aca="false">F454*H454</f>
        <v>0.72</v>
      </c>
    </row>
    <row r="455" customFormat="false" ht="15" hidden="false" customHeight="false" outlineLevel="0" collapsed="false">
      <c r="A455" s="24" t="n">
        <v>51</v>
      </c>
      <c r="B455" s="13" t="s">
        <v>95</v>
      </c>
      <c r="C455" s="13" t="s">
        <v>416</v>
      </c>
      <c r="D455" s="13" t="s">
        <v>647</v>
      </c>
      <c r="E455" s="27" t="s">
        <v>126</v>
      </c>
      <c r="F455" s="31" t="n">
        <v>140</v>
      </c>
      <c r="G455" s="24" t="s">
        <v>128</v>
      </c>
      <c r="H455" s="32" t="n">
        <f aca="false">IFERROR(INDEX(Catálogo!$F$2:$F$140,MATCH(E455,Catálogo!$A$2:$A$140,0)),0)</f>
        <v>0.11</v>
      </c>
      <c r="I455" s="15" t="n">
        <f aca="false">F455*H455</f>
        <v>15.4</v>
      </c>
    </row>
    <row r="456" customFormat="false" ht="15" hidden="false" customHeight="false" outlineLevel="0" collapsed="false">
      <c r="A456" s="24" t="n">
        <v>51</v>
      </c>
      <c r="B456" s="13" t="s">
        <v>95</v>
      </c>
      <c r="C456" s="13" t="s">
        <v>805</v>
      </c>
      <c r="D456" s="13" t="s">
        <v>442</v>
      </c>
      <c r="E456" s="27" t="s">
        <v>134</v>
      </c>
      <c r="F456" s="31" t="n">
        <v>100</v>
      </c>
      <c r="G456" s="24" t="s">
        <v>128</v>
      </c>
      <c r="H456" s="32" t="n">
        <f aca="false">IFERROR(INDEX(Catálogo!$F$2:$F$140,MATCH(E456,Catálogo!$A$2:$A$140,0)),0)</f>
        <v>0.26</v>
      </c>
      <c r="I456" s="15" t="n">
        <f aca="false">F456*H456</f>
        <v>26</v>
      </c>
    </row>
    <row r="457" customFormat="false" ht="15" hidden="false" customHeight="false" outlineLevel="0" collapsed="false">
      <c r="A457" s="24" t="n">
        <v>51</v>
      </c>
      <c r="B457" s="13" t="s">
        <v>95</v>
      </c>
      <c r="C457" s="13" t="s">
        <v>805</v>
      </c>
      <c r="D457" s="13" t="s">
        <v>806</v>
      </c>
      <c r="E457" s="27" t="s">
        <v>366</v>
      </c>
      <c r="F457" s="31" t="n">
        <v>60</v>
      </c>
      <c r="G457" s="24" t="s">
        <v>128</v>
      </c>
      <c r="H457" s="32" t="n">
        <f aca="false">IFERROR(INDEX(Catálogo!$F$2:$F$140,MATCH(E457,Catálogo!$A$2:$A$140,0)),0)</f>
        <v>0.082687338501292</v>
      </c>
      <c r="I457" s="15" t="n">
        <f aca="false">F457*H457</f>
        <v>4.96124031007752</v>
      </c>
    </row>
    <row r="458" customFormat="false" ht="15" hidden="false" customHeight="false" outlineLevel="0" collapsed="false">
      <c r="A458" s="24" t="n">
        <v>51</v>
      </c>
      <c r="B458" s="13" t="s">
        <v>95</v>
      </c>
      <c r="C458" s="13" t="s">
        <v>805</v>
      </c>
      <c r="D458" s="13" t="s">
        <v>807</v>
      </c>
      <c r="E458" s="27" t="s">
        <v>368</v>
      </c>
      <c r="F458" s="31" t="n">
        <v>40</v>
      </c>
      <c r="G458" s="24" t="s">
        <v>128</v>
      </c>
      <c r="H458" s="32" t="n">
        <f aca="false">IFERROR(INDEX(Catálogo!$F$2:$F$140,MATCH(E458,Catálogo!$A$2:$A$140,0)),0)</f>
        <v>0.0666666666666667</v>
      </c>
      <c r="I458" s="15" t="n">
        <f aca="false">F458*H458</f>
        <v>2.66666666666667</v>
      </c>
    </row>
    <row r="459" customFormat="false" ht="15" hidden="false" customHeight="false" outlineLevel="0" collapsed="false">
      <c r="A459" s="24" t="n">
        <v>51</v>
      </c>
      <c r="B459" s="13" t="s">
        <v>95</v>
      </c>
      <c r="C459" s="13" t="s">
        <v>805</v>
      </c>
      <c r="D459" s="13" t="s">
        <v>808</v>
      </c>
      <c r="E459" s="27" t="s">
        <v>370</v>
      </c>
      <c r="F459" s="31" t="n">
        <v>20</v>
      </c>
      <c r="G459" s="24" t="s">
        <v>128</v>
      </c>
      <c r="H459" s="32" t="n">
        <f aca="false">IFERROR(INDEX(Catálogo!$F$2:$F$140,MATCH(E459,Catálogo!$A$2:$A$140,0)),0)</f>
        <v>0.09</v>
      </c>
      <c r="I459" s="15" t="n">
        <f aca="false">F459*H459</f>
        <v>1.8</v>
      </c>
    </row>
    <row r="460" customFormat="false" ht="15" hidden="false" customHeight="false" outlineLevel="0" collapsed="false">
      <c r="A460" s="24" t="n">
        <v>51</v>
      </c>
      <c r="B460" s="13" t="s">
        <v>95</v>
      </c>
      <c r="C460" s="13" t="s">
        <v>805</v>
      </c>
      <c r="D460" s="13" t="s">
        <v>809</v>
      </c>
      <c r="E460" s="27" t="s">
        <v>138</v>
      </c>
      <c r="F460" s="31" t="n">
        <v>130</v>
      </c>
      <c r="G460" s="24" t="s">
        <v>128</v>
      </c>
      <c r="H460" s="32" t="n">
        <f aca="false">IFERROR(INDEX(Catálogo!$F$2:$F$140,MATCH(E460,Catálogo!$A$2:$A$140,0)),0)</f>
        <v>0.032</v>
      </c>
      <c r="I460" s="15" t="n">
        <f aca="false">F460*H460</f>
        <v>4.16</v>
      </c>
    </row>
    <row r="461" customFormat="false" ht="15" hidden="false" customHeight="false" outlineLevel="0" collapsed="false">
      <c r="A461" s="24" t="n">
        <v>51</v>
      </c>
      <c r="B461" s="13" t="s">
        <v>95</v>
      </c>
      <c r="C461" s="13" t="s">
        <v>805</v>
      </c>
      <c r="D461" s="13" t="s">
        <v>793</v>
      </c>
      <c r="E461" s="27" t="s">
        <v>146</v>
      </c>
      <c r="F461" s="31" t="n">
        <v>35</v>
      </c>
      <c r="G461" s="24" t="s">
        <v>128</v>
      </c>
      <c r="H461" s="32" t="n">
        <f aca="false">IFERROR(INDEX(Catálogo!$F$2:$F$140,MATCH(E461,Catálogo!$A$2:$A$140,0)),0)</f>
        <v>0.07</v>
      </c>
      <c r="I461" s="15" t="n">
        <f aca="false">F461*H461</f>
        <v>2.45</v>
      </c>
    </row>
    <row r="462" customFormat="false" ht="15" hidden="false" customHeight="false" outlineLevel="0" collapsed="false">
      <c r="A462" s="24" t="n">
        <v>51</v>
      </c>
      <c r="B462" s="13" t="s">
        <v>95</v>
      </c>
      <c r="C462" s="13" t="s">
        <v>805</v>
      </c>
      <c r="D462" s="13" t="s">
        <v>810</v>
      </c>
      <c r="E462" s="27" t="s">
        <v>276</v>
      </c>
      <c r="F462" s="31" t="n">
        <v>30</v>
      </c>
      <c r="G462" s="24" t="s">
        <v>150</v>
      </c>
      <c r="H462" s="32" t="n">
        <f aca="false">IFERROR(INDEX(Catálogo!$F$2:$F$140,MATCH(E462,Catálogo!$A$2:$A$140,0)),0)</f>
        <v>0.06</v>
      </c>
      <c r="I462" s="15" t="n">
        <f aca="false">F462*H462</f>
        <v>1.8</v>
      </c>
    </row>
    <row r="463" customFormat="false" ht="15" hidden="false" customHeight="false" outlineLevel="0" collapsed="false">
      <c r="A463" s="24" t="n">
        <v>51</v>
      </c>
      <c r="B463" s="13" t="s">
        <v>95</v>
      </c>
      <c r="C463" s="13" t="s">
        <v>805</v>
      </c>
      <c r="D463" s="13" t="s">
        <v>484</v>
      </c>
      <c r="E463" s="27" t="s">
        <v>151</v>
      </c>
      <c r="F463" s="31" t="n">
        <v>4</v>
      </c>
      <c r="G463" s="24" t="s">
        <v>128</v>
      </c>
      <c r="H463" s="32" t="n">
        <f aca="false">IFERROR(INDEX(Catálogo!$F$2:$F$140,MATCH(E463,Catálogo!$A$2:$A$140,0)),0)</f>
        <v>0.06</v>
      </c>
      <c r="I463" s="15" t="n">
        <f aca="false">F463*H463</f>
        <v>0.24</v>
      </c>
    </row>
    <row r="464" customFormat="false" ht="15" hidden="false" customHeight="false" outlineLevel="0" collapsed="false">
      <c r="A464" s="24" t="n">
        <v>51</v>
      </c>
      <c r="B464" s="13" t="s">
        <v>95</v>
      </c>
      <c r="C464" s="13" t="s">
        <v>805</v>
      </c>
      <c r="D464" s="13" t="s">
        <v>424</v>
      </c>
      <c r="E464" s="27" t="s">
        <v>153</v>
      </c>
      <c r="F464" s="31" t="n">
        <v>3</v>
      </c>
      <c r="G464" s="24" t="s">
        <v>128</v>
      </c>
      <c r="H464" s="32" t="n">
        <f aca="false">IFERROR(INDEX(Catálogo!$F$2:$F$140,MATCH(E464,Catálogo!$A$2:$A$140,0)),0)</f>
        <v>0.025</v>
      </c>
      <c r="I464" s="15" t="n">
        <f aca="false">F464*H464</f>
        <v>0.075</v>
      </c>
    </row>
    <row r="465" customFormat="false" ht="15" hidden="false" customHeight="false" outlineLevel="0" collapsed="false">
      <c r="A465" s="24" t="n">
        <v>51</v>
      </c>
      <c r="B465" s="13" t="s">
        <v>95</v>
      </c>
      <c r="C465" s="13" t="s">
        <v>811</v>
      </c>
      <c r="D465" s="13" t="s">
        <v>812</v>
      </c>
      <c r="E465" s="27" t="s">
        <v>364</v>
      </c>
      <c r="F465" s="31" t="n">
        <v>30</v>
      </c>
      <c r="G465" s="24" t="s">
        <v>128</v>
      </c>
      <c r="H465" s="32" t="n">
        <f aca="false">IFERROR(INDEX(Catálogo!$F$2:$F$140,MATCH(E465,Catálogo!$A$2:$A$140,0)),0)</f>
        <v>0.2</v>
      </c>
      <c r="I465" s="15" t="n">
        <f aca="false">F465*H465</f>
        <v>6</v>
      </c>
    </row>
    <row r="466" customFormat="false" ht="15" hidden="false" customHeight="false" outlineLevel="0" collapsed="false">
      <c r="A466" s="24" t="n">
        <v>51</v>
      </c>
      <c r="B466" s="13" t="s">
        <v>95</v>
      </c>
      <c r="C466" s="13" t="s">
        <v>811</v>
      </c>
      <c r="D466" s="13" t="s">
        <v>813</v>
      </c>
      <c r="E466" s="27" t="s">
        <v>140</v>
      </c>
      <c r="F466" s="31" t="n">
        <v>15</v>
      </c>
      <c r="G466" s="24" t="s">
        <v>128</v>
      </c>
      <c r="H466" s="32" t="n">
        <f aca="false">IFERROR(INDEX(Catálogo!$F$2:$F$140,MATCH(E466,Catálogo!$A$2:$A$140,0)),0)</f>
        <v>0.04</v>
      </c>
      <c r="I466" s="15" t="n">
        <f aca="false">F466*H466</f>
        <v>0.6</v>
      </c>
    </row>
    <row r="467" customFormat="false" ht="15" hidden="false" customHeight="false" outlineLevel="0" collapsed="false">
      <c r="A467" s="24" t="n">
        <v>51</v>
      </c>
      <c r="B467" s="13" t="s">
        <v>95</v>
      </c>
      <c r="C467" s="13" t="s">
        <v>811</v>
      </c>
      <c r="D467" s="13" t="s">
        <v>814</v>
      </c>
      <c r="E467" s="27" t="s">
        <v>220</v>
      </c>
      <c r="F467" s="31" t="n">
        <v>8</v>
      </c>
      <c r="G467" s="24" t="s">
        <v>128</v>
      </c>
      <c r="H467" s="32" t="n">
        <f aca="false">IFERROR(INDEX(Catálogo!$F$2:$F$140,MATCH(E467,Catálogo!$A$2:$A$140,0)),0)</f>
        <v>0.6</v>
      </c>
      <c r="I467" s="15" t="n">
        <f aca="false">F467*H467</f>
        <v>4.8</v>
      </c>
    </row>
    <row r="468" customFormat="false" ht="15" hidden="false" customHeight="false" outlineLevel="0" collapsed="false">
      <c r="A468" s="24" t="n">
        <v>51</v>
      </c>
      <c r="B468" s="13" t="s">
        <v>95</v>
      </c>
      <c r="C468" s="13" t="s">
        <v>811</v>
      </c>
      <c r="D468" s="13" t="s">
        <v>815</v>
      </c>
      <c r="E468" s="27" t="s">
        <v>155</v>
      </c>
      <c r="F468" s="31" t="n">
        <v>2</v>
      </c>
      <c r="G468" s="24" t="s">
        <v>128</v>
      </c>
      <c r="H468" s="32" t="n">
        <f aca="false">IFERROR(INDEX(Catálogo!$F$2:$F$140,MATCH(E468,Catálogo!$A$2:$A$140,0)),0)</f>
        <v>0.24</v>
      </c>
      <c r="I468" s="15" t="n">
        <f aca="false">F468*H468</f>
        <v>0.48</v>
      </c>
    </row>
  </sheetData>
  <autoFilter ref="A1:I4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2026-09-10T20:45:34Z</dcterms:created>
  <dc:creator>openpyxl</dc:creator>
  <dc:description/>
  <dc:language>en-US</dc:language>
  <cp:lastModifiedBy/>
  <dcterms:modified xsi:type="dcterms:W3CDTF">2026-09-10T20:45:34Z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