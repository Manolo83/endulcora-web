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Insumos" sheetId="2" state="visible" r:id="rId2"/>
    <sheet xmlns:r="http://schemas.openxmlformats.org/officeDocument/2006/relationships" name="Cultivos" sheetId="3" state="visible" r:id="rId3"/>
    <sheet xmlns:r="http://schemas.openxmlformats.org/officeDocument/2006/relationships" name="Ingredientes" sheetId="4" state="visible" r:id="rId4"/>
    <sheet xmlns:r="http://schemas.openxmlformats.org/officeDocument/2006/relationships" name="Mi negocio" sheetId="5" state="visible" r:id="rId5"/>
    <sheet xmlns:r="http://schemas.openxmlformats.org/officeDocument/2006/relationships" name="Recetas y precios" sheetId="6" state="visible" r:id="rId6"/>
    <sheet xmlns:r="http://schemas.openxmlformats.org/officeDocument/2006/relationships" name="Producción" sheetId="7" state="visible" r:id="rId7"/>
    <sheet xmlns:r="http://schemas.openxmlformats.org/officeDocument/2006/relationships" name="Ventas" sheetId="8" state="visible" r:id="rId8"/>
    <sheet xmlns:r="http://schemas.openxmlformats.org/officeDocument/2006/relationships" name="Tablero" sheetId="9" state="visible" r:id="rId9"/>
  </sheets>
  <definedNames>
    <definedName name="_xlnm._FilterDatabase" localSheetId="1" hidden="1">'Insumos'!$A$4:$I$64</definedName>
    <definedName name="_xlnm._FilterDatabase" localSheetId="3" hidden="1">'Ingredientes'!$A$4:$I$397</definedName>
    <definedName name="_xlnm._FilterDatabase" localSheetId="5" hidden="1">'Recetas y precios'!$A$4:$X$54</definedName>
  </definedNames>
  <calcPr calcId="124519" fullCalcOnLoad="1"/>
</workbook>
</file>

<file path=xl/styles.xml><?xml version="1.0" encoding="utf-8"?>
<styleSheet xmlns="http://schemas.openxmlformats.org/spreadsheetml/2006/main">
  <numFmts count="6">
    <numFmt numFmtId="164" formatCode="#,##0.##"/>
    <numFmt numFmtId="165" formatCode="&quot;$&quot;#,##0.00"/>
    <numFmt numFmtId="166" formatCode="&quot;$&quot;#,##0.0000"/>
    <numFmt numFmtId="167" formatCode="&quot;$&quot;#,##0"/>
    <numFmt numFmtId="168" formatCode="0.0%"/>
    <numFmt numFmtId="169" formatCode="dd/mm/yyyy"/>
  </numFmts>
  <fonts count="19">
    <font>
      <name val="Calibri"/>
      <family val="2"/>
      <color theme="1"/>
      <sz val="11"/>
      <scheme val="minor"/>
    </font>
    <font>
      <name val="Arial"/>
      <b val="1"/>
      <color rgb="004E1454"/>
      <sz val="16"/>
    </font>
    <font>
      <name val="Arial"/>
      <i val="1"/>
      <color rgb="006B5470"/>
      <sz val="9"/>
    </font>
    <font>
      <name val="Arial"/>
      <i val="1"/>
      <color rgb="00D85A30"/>
      <sz val="10"/>
    </font>
    <font>
      <name val="Arial"/>
      <b val="1"/>
      <color rgb="007A2E7E"/>
      <sz val="10"/>
    </font>
    <font>
      <name val="Arial"/>
      <color rgb="002A1330"/>
      <sz val="10"/>
    </font>
    <font>
      <name val="Arial"/>
      <i val="1"/>
      <color rgb="002A1330"/>
      <sz val="10"/>
    </font>
    <font>
      <name val="Arial"/>
      <b val="1"/>
      <color rgb="00FFFFFF"/>
      <sz val="9"/>
    </font>
    <font>
      <name val="Arial"/>
      <i val="1"/>
      <color rgb="007A2E7E"/>
      <sz val="10"/>
    </font>
    <font>
      <name val="Arial"/>
      <b val="1"/>
      <color rgb="004E1454"/>
      <sz val="12"/>
    </font>
    <font>
      <name val="Arial"/>
      <b val="1"/>
      <color rgb="002A1330"/>
      <sz val="10"/>
    </font>
    <font>
      <name val="Arial"/>
      <color rgb="002A1330"/>
      <sz val="9"/>
    </font>
    <font>
      <name val="Arial"/>
      <color rgb="006B5470"/>
      <sz val="8"/>
    </font>
    <font>
      <name val="Arial"/>
      <b val="1"/>
      <color rgb="004E1454"/>
      <sz val="10"/>
    </font>
    <font>
      <name val="Arial"/>
      <b val="1"/>
      <color rgb="004E1454"/>
      <sz val="11"/>
    </font>
    <font>
      <name val="Arial"/>
      <b val="1"/>
      <color rgb="007A2E7E"/>
      <sz val="13"/>
    </font>
    <font>
      <name val="Arial"/>
      <color rgb="007A2E7E"/>
      <sz val="10"/>
    </font>
    <font>
      <name val="Arial"/>
      <b val="1"/>
      <color rgb="00FFFFFF"/>
      <sz val="10"/>
    </font>
    <font>
      <name val="Arial"/>
      <b val="1"/>
      <color rgb="00D85A30"/>
      <sz val="9"/>
    </font>
  </fonts>
  <fills count="5">
    <fill>
      <patternFill/>
    </fill>
    <fill>
      <patternFill patternType="gray125"/>
    </fill>
    <fill>
      <patternFill patternType="solid">
        <fgColor rgb="00FFF2C4"/>
      </patternFill>
    </fill>
    <fill>
      <patternFill patternType="solid">
        <fgColor rgb="004E1454"/>
      </patternFill>
    </fill>
    <fill>
      <patternFill patternType="solid">
        <fgColor rgb="00FBF4E9"/>
      </patternFill>
    </fill>
  </fills>
  <borders count="2">
    <border>
      <left/>
      <right/>
      <top/>
      <bottom/>
      <diagonal/>
    </border>
    <border>
      <bottom style="thin">
        <color rgb="00E3D2E4"/>
      </bottom>
    </border>
  </borders>
  <cellStyleXfs count="1">
    <xf numFmtId="0" fontId="0" fillId="0" borderId="0"/>
  </cellStyleXfs>
  <cellXfs count="42">
    <xf numFmtId="0" fontId="0"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0" fillId="2" borderId="0" pivotButton="0" quotePrefix="0" xfId="0"/>
    <xf numFmtId="0" fontId="2" fillId="0" borderId="0" pivotButton="0" quotePrefix="0" xfId="0"/>
    <xf numFmtId="0" fontId="7" fillId="3" borderId="0" applyAlignment="1" pivotButton="0" quotePrefix="0" xfId="0">
      <alignment vertical="center" wrapText="1"/>
    </xf>
    <xf numFmtId="0" fontId="5" fillId="0" borderId="0" pivotButton="0" quotePrefix="0" xfId="0"/>
    <xf numFmtId="164" fontId="5" fillId="2" borderId="0" pivotButton="0" quotePrefix="0" xfId="0"/>
    <xf numFmtId="165" fontId="0" fillId="2" borderId="0" pivotButton="0" quotePrefix="0" xfId="0"/>
    <xf numFmtId="166" fontId="0" fillId="0" borderId="0" pivotButton="0" quotePrefix="0" xfId="0"/>
    <xf numFmtId="164" fontId="5" fillId="0" borderId="0" pivotButton="0" quotePrefix="0" xfId="0"/>
    <xf numFmtId="165" fontId="8" fillId="0" borderId="0" pivotButton="0" quotePrefix="0" xfId="0"/>
    <xf numFmtId="0" fontId="0" fillId="0" borderId="0" applyAlignment="1" pivotButton="0" quotePrefix="0" xfId="0">
      <alignment wrapText="1"/>
    </xf>
    <xf numFmtId="164" fontId="0" fillId="2" borderId="0" pivotButton="0" quotePrefix="0" xfId="0"/>
    <xf numFmtId="165" fontId="0" fillId="0" borderId="0" pivotButton="0" quotePrefix="0" xfId="0"/>
    <xf numFmtId="0" fontId="9" fillId="0" borderId="0" pivotButton="0" quotePrefix="0" xfId="0"/>
    <xf numFmtId="0" fontId="10" fillId="0" borderId="0" pivotButton="0" quotePrefix="0" xfId="0"/>
    <xf numFmtId="0" fontId="11" fillId="0" borderId="0" applyAlignment="1" pivotButton="0" quotePrefix="0" xfId="0">
      <alignment wrapText="1"/>
    </xf>
    <xf numFmtId="0" fontId="11" fillId="0" borderId="0" pivotButton="0" quotePrefix="0" xfId="0"/>
    <xf numFmtId="0" fontId="12" fillId="0" borderId="0" pivotButton="0" quotePrefix="0" xfId="0"/>
    <xf numFmtId="167" fontId="0" fillId="2" borderId="0" pivotButton="0" quotePrefix="0" xfId="0"/>
    <xf numFmtId="167" fontId="10" fillId="0" borderId="0" pivotButton="0" quotePrefix="0" xfId="0"/>
    <xf numFmtId="3" fontId="0" fillId="2" borderId="0" pivotButton="0" quotePrefix="0" xfId="0"/>
    <xf numFmtId="165" fontId="4" fillId="0" borderId="0" pivotButton="0" quotePrefix="0" xfId="0"/>
    <xf numFmtId="168" fontId="0" fillId="2" borderId="0" pivotButton="0" quotePrefix="0" xfId="0"/>
    <xf numFmtId="0" fontId="13" fillId="0" borderId="0" pivotButton="0" quotePrefix="0" xfId="0"/>
    <xf numFmtId="168" fontId="0" fillId="0" borderId="0" pivotButton="0" quotePrefix="0" xfId="0"/>
    <xf numFmtId="165" fontId="13" fillId="0" borderId="0" pivotButton="0" quotePrefix="0" xfId="0"/>
    <xf numFmtId="167" fontId="0" fillId="0" borderId="0" pivotButton="0" quotePrefix="0" xfId="0"/>
    <xf numFmtId="169" fontId="0" fillId="2" borderId="0" pivotButton="0" quotePrefix="0" xfId="0"/>
    <xf numFmtId="0" fontId="17" fillId="3" borderId="0" pivotButton="0" quotePrefix="0" xfId="0"/>
    <xf numFmtId="167" fontId="14" fillId="4" borderId="1" pivotButton="0" quotePrefix="0" xfId="0"/>
    <xf numFmtId="3" fontId="0" fillId="0" borderId="0" pivotButton="0" quotePrefix="0" xfId="0"/>
    <xf numFmtId="3" fontId="14" fillId="4" borderId="1" pivotButton="0" quotePrefix="0" xfId="0"/>
    <xf numFmtId="168" fontId="14" fillId="4" borderId="1" pivotButton="0" quotePrefix="0" xfId="0"/>
    <xf numFmtId="165" fontId="14" fillId="4" borderId="1" pivotButton="0" quotePrefix="0" xfId="0"/>
    <xf numFmtId="0" fontId="16" fillId="0" borderId="0" pivotButton="0" quotePrefix="0" xfId="0"/>
    <xf numFmtId="3" fontId="15" fillId="4" borderId="1" pivotButton="0" quotePrefix="0" xfId="0"/>
    <xf numFmtId="0" fontId="18" fillId="0" borderId="0" pivotButton="0" quotePrefix="0" xfId="0"/>
  </cellXfs>
  <cellStyles count="1">
    <cellStyle name="Normal" xfId="0" builtinId="0" hidden="0"/>
  </cellStyles>
  <dxfs count="3">
    <dxf>
      <fill>
        <patternFill patternType="solid">
          <fgColor rgb="00F9D3C7"/>
        </patternFill>
      </fill>
    </dxf>
    <dxf>
      <font>
        <name val="Arial"/>
        <b val="1"/>
        <color rgb="00C0392B"/>
      </font>
    </dxf>
    <dxf>
      <font>
        <name val="Arial"/>
        <b val="1"/>
        <color rgb="00E4572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Endulcora</author>
  </authors>
  <commentList>
    <comment ref="C19" authorId="0" shapeId="0">
      <text>
        <t>Piezas producidas al mes. Los gastos fijos se reparten entre ellas.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8B818"/>
    <outlinePr summaryBelow="1" summaryRight="1"/>
    <pageSetUpPr/>
  </sheetPr>
  <dimension ref="A1:C14"/>
  <sheetViews>
    <sheetView showGridLines="0" workbookViewId="0">
      <selection activeCell="A1" sqref="A1"/>
    </sheetView>
  </sheetViews>
  <sheetFormatPr baseColWidth="8" defaultRowHeight="15"/>
  <cols>
    <col width="4" customWidth="1" min="1" max="1"/>
    <col width="112" customWidth="1" min="2" max="2"/>
  </cols>
  <sheetData>
    <row r="1">
      <c r="A1" s="1" t="inlineStr">
        <is>
          <t>Masa Madre · Fermentaciones Salvajes, Reología y 50 Formulaciones Técnicas</t>
        </is>
      </c>
    </row>
    <row r="2">
      <c r="A2" s="2" t="inlineStr">
        <is>
          <t>Anexo 1 · Costeo, merma y precios · Endulcora · Estudio Gastronómico · En colaboración con Levent</t>
        </is>
      </c>
    </row>
    <row r="4" ht="30" customHeight="1">
      <c r="A4" s="3" t="inlineStr">
        <is>
          <t>•</t>
        </is>
      </c>
      <c r="B4" s="4" t="inlineStr">
        <is>
          <t>Qué es: Hoja de costeo del eBook «Masa Madre». Calcula el costo real de las 50 formulaciones y su precio por canal con tus propios precios de compra.</t>
        </is>
      </c>
    </row>
    <row r="5" ht="60" customHeight="1">
      <c r="A5" s="3" t="inlineStr">
        <is>
          <t>•</t>
        </is>
      </c>
      <c r="B5" s="4" t="inlineStr">
        <is>
          <t>Cómo se usa: 1) Insumos: captura presentación y precio que tú pagas. 2) Cultivos: revisa las preparaciones base; su costo alimenta a las recetas que las usan. 3) Mi negocio: gastos fijos, sueldo, horas, merma y márgenes. 4) Recetas y precios: revisa costos y precios. 5) Registra lotes en Producción y ventas en Ventas. 6) Revisa el Tablero cada semana.</t>
        </is>
      </c>
    </row>
    <row r="6" ht="15" customHeight="1">
      <c r="A6" s="3" t="inlineStr">
        <is>
          <t>•</t>
        </is>
      </c>
      <c r="B6" s="4" t="inlineStr">
        <is>
          <t>Celdas amarillas: Son las únicas que debes editar. Todo lo demás es fórmula: si la borras, se rompe el cálculo.</t>
        </is>
      </c>
    </row>
    <row r="7" ht="90" customHeight="1">
      <c r="A7" s="3" t="inlineStr">
        <is>
          <t>•</t>
        </is>
      </c>
      <c r="B7" s="4" t="inlineStr">
        <is>
          <t>Modelo de costeo: Costo por unidad = Precio ÷ Presentación · Los tres cultivos toman su costo de su fórmula de refresco (hoja «Cultivos») · Insumos por pieza = Σ(cantidad × costo unitario) ÷ piezas que rinde la fórmula · Minutos por pieza = minutos de amasado y manejo ÷ piezas por tanda + minutos de formado · Costo base = insumos + empaque + energía + mano de obra + gastos fijos · Costo total = Costo base ÷ (1 − merma) (se DIVIDE, no se suma) · Precio = Costo total ÷ (1 − margen), redondeado a $5.</t>
        </is>
      </c>
    </row>
    <row r="8" ht="45" customHeight="1">
      <c r="A8" s="3" t="inlineStr">
        <is>
          <t>•</t>
        </is>
      </c>
      <c r="B8" s="4" t="inlineStr">
        <is>
          <t>Cultivos: La hoja «Cultivos» costea las tres masas madre del libro desde su propia fórmula de refresco. Es la hoja que hace que este anexo sea distinto a los demás: cuando cambies el precio de la harina, los tres cultivos y las 50 recetas se recalculan solos.</t>
        </is>
      </c>
    </row>
    <row r="9" ht="45" customHeight="1">
      <c r="A9" s="3" t="inlineStr">
        <is>
          <t>•</t>
        </is>
      </c>
      <c r="B9" s="4" t="inlineStr">
        <is>
          <t>Hojas: Insumos (catálogo editable) · Cultivos (las preparaciones base) · Ingredientes (cada línea del recetario normalizada, con el texto original) · Mi negocio (supuestos) · Recetas y precios (hoja principal) · Producción (bitácora de lotes y merma) · Ventas (bitácora) · Tablero (resumen).</t>
        </is>
      </c>
    </row>
    <row r="10" ht="45" customHeight="1">
      <c r="A10" s="3" t="inlineStr">
        <is>
          <t>•</t>
        </is>
      </c>
      <c r="B10" s="4" t="inlineStr">
        <is>
          <t>Unidades: Las 50 recetas se costean por pieza. La columna «Piezas que rinde» es la de la fórmula del chef (500 g de harina); la escala real de producción se ajusta con «Piezas por tanda real de obrador» en Mi negocio.</t>
        </is>
      </c>
    </row>
    <row r="11" ht="30" customHeight="1">
      <c r="A11" s="3" t="inlineStr">
        <is>
          <t>•</t>
        </is>
      </c>
      <c r="B11" s="4" t="inlineStr">
        <is>
          <t>Advertencia: Los precios cargados son de referencia (mercado CDMX 2026), no cotizaciones. Los resultados son ilustrativos hasta que captures tus precios reales. No se promete ningún ingreso.</t>
        </is>
      </c>
    </row>
    <row r="12" ht="45" customHeight="1">
      <c r="A12" s="3" t="inlineStr">
        <is>
          <t>•</t>
        </is>
      </c>
      <c r="B12" s="4" t="inlineStr">
        <is>
          <t>Créditos: Contenido y recetas: Chef Luis Alfonso Jiménez Cárdenas · Edición y costeo: Manuel Ramiro Justo Guzmán · Endulcora · Estudio Gastronómico, en colaboración con Levent · WhatsApp 56 6527 1901. Uso personal del comprador; prohibida su reventa o redistribución.</t>
        </is>
      </c>
    </row>
    <row r="14">
      <c r="B14" s="5" t="inlineStr">
        <is>
          <t>Celda de ejemplo que sí puedes editar →</t>
        </is>
      </c>
      <c r="C14" s="6" t="n">
        <v>100</v>
      </c>
    </row>
  </sheetData>
  <pageMargins left="0.75" right="0.75" top="1" bottom="1" header="0.5" footer="0.5"/>
</worksheet>
</file>

<file path=xl/worksheets/sheet2.xml><?xml version="1.0" encoding="utf-8"?>
<worksheet xmlns="http://schemas.openxmlformats.org/spreadsheetml/2006/main">
  <sheetPr>
    <tabColor rgb="00C98BCB"/>
    <outlinePr summaryBelow="1" summaryRight="1"/>
    <pageSetUpPr/>
  </sheetPr>
  <dimension ref="A1:I6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52" customWidth="1" min="3" max="3"/>
    <col width="8" customWidth="1" min="4" max="4"/>
    <col width="13" customWidth="1" min="5" max="5"/>
    <col width="15" customWidth="1" min="6" max="6"/>
    <col width="14" customWidth="1" min="7" max="7"/>
    <col width="8" customWidth="1" min="8" max="8"/>
    <col width="22" customWidth="1" min="9" max="9"/>
  </cols>
  <sheetData>
    <row r="1">
      <c r="A1" s="1" t="inlineStr">
        <is>
          <t>Insumos</t>
        </is>
      </c>
    </row>
    <row r="2">
      <c r="A2" s="7" t="inlineStr">
        <is>
          <t>Captura la presentación que compras y lo que pagas. Precios de referencia CDMX 2026 (no son cotizaciones).</t>
        </is>
      </c>
    </row>
    <row r="4" ht="30" customHeight="1">
      <c r="A4" s="8" t="inlineStr">
        <is>
          <t>ID</t>
        </is>
      </c>
      <c r="B4" s="8" t="inlineStr">
        <is>
          <t>Categoría</t>
        </is>
      </c>
      <c r="C4" s="8" t="inlineStr">
        <is>
          <t>Insumo</t>
        </is>
      </c>
      <c r="D4" s="8" t="inlineStr">
        <is>
          <t>Unidad</t>
        </is>
      </c>
      <c r="E4" s="8" t="inlineStr">
        <is>
          <t>Presentación</t>
        </is>
      </c>
      <c r="F4" s="8" t="inlineStr">
        <is>
          <t>Precio pagado</t>
        </is>
      </c>
      <c r="G4" s="8" t="inlineStr">
        <is>
          <t>Costo por unidad</t>
        </is>
      </c>
      <c r="H4" s="8" t="inlineStr">
        <is>
          <t>Usos</t>
        </is>
      </c>
      <c r="I4" s="8" t="inlineStr">
        <is>
          <t>Proveedor</t>
        </is>
      </c>
    </row>
    <row r="5">
      <c r="A5" s="9" t="inlineStr">
        <is>
          <t>I-001</t>
        </is>
      </c>
      <c r="B5" s="9" t="inlineStr">
        <is>
          <t>Harinas de trigo</t>
        </is>
      </c>
      <c r="C5" s="9" t="inlineStr">
        <is>
          <t>Harina panificable de fuerza (W 280-300)</t>
        </is>
      </c>
      <c r="D5" s="9" t="inlineStr">
        <is>
          <t>g</t>
        </is>
      </c>
      <c r="E5" s="10" t="n">
        <v>1000</v>
      </c>
      <c r="F5" s="11" t="n">
        <v>32</v>
      </c>
      <c r="G5" s="12">
        <f>IFERROR(F5/E5,0)</f>
        <v/>
      </c>
      <c r="H5">
        <f>COUNTIF(Ingredientes!$E:$E,C5)</f>
        <v/>
      </c>
      <c r="I5" s="6" t="n"/>
    </row>
    <row r="6">
      <c r="A6" s="9" t="inlineStr">
        <is>
          <t>I-002</t>
        </is>
      </c>
      <c r="B6" s="9" t="inlineStr">
        <is>
          <t>Harinas de trigo</t>
        </is>
      </c>
      <c r="C6" s="9" t="inlineStr">
        <is>
          <t>Harina de gran fuerza (W 350+) o de panettone</t>
        </is>
      </c>
      <c r="D6" s="9" t="inlineStr">
        <is>
          <t>g</t>
        </is>
      </c>
      <c r="E6" s="10" t="n">
        <v>1000</v>
      </c>
      <c r="F6" s="11" t="n">
        <v>48</v>
      </c>
      <c r="G6" s="12">
        <f>IFERROR(F6/E6,0)</f>
        <v/>
      </c>
      <c r="H6">
        <f>COUNTIF(Ingredientes!$E:$E,C6)</f>
        <v/>
      </c>
      <c r="I6" s="6" t="n"/>
    </row>
    <row r="7">
      <c r="A7" s="9" t="inlineStr">
        <is>
          <t>I-003</t>
        </is>
      </c>
      <c r="B7" s="9" t="inlineStr">
        <is>
          <t>Harinas de trigo</t>
        </is>
      </c>
      <c r="C7" s="9" t="inlineStr">
        <is>
          <t>Harina francesa T65 o tipo 00</t>
        </is>
      </c>
      <c r="D7" s="9" t="inlineStr">
        <is>
          <t>g</t>
        </is>
      </c>
      <c r="E7" s="10" t="n">
        <v>1000</v>
      </c>
      <c r="F7" s="11" t="n">
        <v>42</v>
      </c>
      <c r="G7" s="12">
        <f>IFERROR(F7/E7,0)</f>
        <v/>
      </c>
      <c r="H7">
        <f>COUNTIF(Ingredientes!$E:$E,C7)</f>
        <v/>
      </c>
      <c r="I7" s="6" t="n"/>
    </row>
    <row r="8">
      <c r="A8" s="9" t="inlineStr">
        <is>
          <t>I-004</t>
        </is>
      </c>
      <c r="B8" s="9" t="inlineStr">
        <is>
          <t>Harinas de trigo</t>
        </is>
      </c>
      <c r="C8" s="9" t="inlineStr">
        <is>
          <t>Harina de trigo integral de molienda a la piedra</t>
        </is>
      </c>
      <c r="D8" s="9" t="inlineStr">
        <is>
          <t>g</t>
        </is>
      </c>
      <c r="E8" s="10" t="n">
        <v>1000</v>
      </c>
      <c r="F8" s="11" t="n">
        <v>38</v>
      </c>
      <c r="G8" s="12">
        <f>IFERROR(F8/E8,0)</f>
        <v/>
      </c>
      <c r="H8">
        <f>COUNTIF(Ingredientes!$E:$E,C8)</f>
        <v/>
      </c>
      <c r="I8" s="6" t="n"/>
    </row>
    <row r="9">
      <c r="A9" s="9" t="inlineStr">
        <is>
          <t>I-005</t>
        </is>
      </c>
      <c r="B9" s="9" t="inlineStr">
        <is>
          <t>Harinas de trigo</t>
        </is>
      </c>
      <c r="C9" s="9" t="inlineStr">
        <is>
          <t>Harina semi-integral T80 o T110</t>
        </is>
      </c>
      <c r="D9" s="9" t="inlineStr">
        <is>
          <t>g</t>
        </is>
      </c>
      <c r="E9" s="10" t="n">
        <v>1000</v>
      </c>
      <c r="F9" s="11" t="n">
        <v>40</v>
      </c>
      <c r="G9" s="12">
        <f>IFERROR(F9/E9,0)</f>
        <v/>
      </c>
      <c r="H9">
        <f>COUNTIF(Ingredientes!$E:$E,C9)</f>
        <v/>
      </c>
      <c r="I9" s="6" t="n"/>
    </row>
    <row r="10">
      <c r="A10" s="9" t="inlineStr">
        <is>
          <t>I-006</t>
        </is>
      </c>
      <c r="B10" s="9" t="inlineStr">
        <is>
          <t>Harinas de trigo</t>
        </is>
      </c>
      <c r="C10" s="9" t="inlineStr">
        <is>
          <t>Sémola rimacinata de trigo duro</t>
        </is>
      </c>
      <c r="D10" s="9" t="inlineStr">
        <is>
          <t>g</t>
        </is>
      </c>
      <c r="E10" s="10" t="n">
        <v>1000</v>
      </c>
      <c r="F10" s="11" t="n">
        <v>55</v>
      </c>
      <c r="G10" s="12">
        <f>IFERROR(F10/E10,0)</f>
        <v/>
      </c>
      <c r="H10">
        <f>COUNTIF(Ingredientes!$E:$E,C10)</f>
        <v/>
      </c>
      <c r="I10" s="6" t="n"/>
    </row>
    <row r="11">
      <c r="A11" s="9" t="inlineStr">
        <is>
          <t>I-007</t>
        </is>
      </c>
      <c r="B11" s="9" t="inlineStr">
        <is>
          <t>Harinas de trigo</t>
        </is>
      </c>
      <c r="C11" s="9" t="inlineStr">
        <is>
          <t>Germen de trigo</t>
        </is>
      </c>
      <c r="D11" s="9" t="inlineStr">
        <is>
          <t>g</t>
        </is>
      </c>
      <c r="E11" s="10" t="n">
        <v>500</v>
      </c>
      <c r="F11" s="11" t="n">
        <v>60</v>
      </c>
      <c r="G11" s="12">
        <f>IFERROR(F11/E11,0)</f>
        <v/>
      </c>
      <c r="H11">
        <f>COUNTIF(Ingredientes!$E:$E,C11)</f>
        <v/>
      </c>
      <c r="I11" s="6" t="n"/>
    </row>
    <row r="12">
      <c r="A12" s="9" t="inlineStr">
        <is>
          <t>I-008</t>
        </is>
      </c>
      <c r="B12" s="9" t="inlineStr">
        <is>
          <t>Harinas de trigo</t>
        </is>
      </c>
      <c r="C12" s="9" t="inlineStr">
        <is>
          <t>Leche en polvo entera</t>
        </is>
      </c>
      <c r="D12" s="9" t="inlineStr">
        <is>
          <t>g</t>
        </is>
      </c>
      <c r="E12" s="10" t="n">
        <v>500</v>
      </c>
      <c r="F12" s="11" t="n">
        <v>95</v>
      </c>
      <c r="G12" s="12">
        <f>IFERROR(F12/E12,0)</f>
        <v/>
      </c>
      <c r="H12">
        <f>COUNTIF(Ingredientes!$E:$E,C12)</f>
        <v/>
      </c>
      <c r="I12" s="6" t="n"/>
    </row>
    <row r="13">
      <c r="A13" s="9" t="inlineStr">
        <is>
          <t>I-009</t>
        </is>
      </c>
      <c r="B13" s="9" t="inlineStr">
        <is>
          <t>Granos antiguos</t>
        </is>
      </c>
      <c r="C13" s="9" t="inlineStr">
        <is>
          <t>Harina de centeno integral o T130</t>
        </is>
      </c>
      <c r="D13" s="9" t="inlineStr">
        <is>
          <t>g</t>
        </is>
      </c>
      <c r="E13" s="10" t="n">
        <v>1000</v>
      </c>
      <c r="F13" s="11" t="n">
        <v>52</v>
      </c>
      <c r="G13" s="12">
        <f>IFERROR(F13/E13,0)</f>
        <v/>
      </c>
      <c r="H13">
        <f>COUNTIF(Ingredientes!$E:$E,C13)</f>
        <v/>
      </c>
      <c r="I13" s="6" t="n"/>
    </row>
    <row r="14">
      <c r="A14" s="9" t="inlineStr">
        <is>
          <t>I-010</t>
        </is>
      </c>
      <c r="B14" s="9" t="inlineStr">
        <is>
          <t>Granos antiguos</t>
        </is>
      </c>
      <c r="C14" s="9" t="inlineStr">
        <is>
          <t>Harina de centeno blanca T70</t>
        </is>
      </c>
      <c r="D14" s="9" t="inlineStr">
        <is>
          <t>g</t>
        </is>
      </c>
      <c r="E14" s="10" t="n">
        <v>1000</v>
      </c>
      <c r="F14" s="11" t="n">
        <v>48</v>
      </c>
      <c r="G14" s="12">
        <f>IFERROR(F14/E14,0)</f>
        <v/>
      </c>
      <c r="H14">
        <f>COUNTIF(Ingredientes!$E:$E,C14)</f>
        <v/>
      </c>
      <c r="I14" s="6" t="n"/>
    </row>
    <row r="15">
      <c r="A15" s="9" t="inlineStr">
        <is>
          <t>I-011</t>
        </is>
      </c>
      <c r="B15" s="9" t="inlineStr">
        <is>
          <t>Granos antiguos</t>
        </is>
      </c>
      <c r="C15" s="9" t="inlineStr">
        <is>
          <t>Harina de espelta integral</t>
        </is>
      </c>
      <c r="D15" s="9" t="inlineStr">
        <is>
          <t>g</t>
        </is>
      </c>
      <c r="E15" s="10" t="n">
        <v>1000</v>
      </c>
      <c r="F15" s="11" t="n">
        <v>78</v>
      </c>
      <c r="G15" s="12">
        <f>IFERROR(F15/E15,0)</f>
        <v/>
      </c>
      <c r="H15">
        <f>COUNTIF(Ingredientes!$E:$E,C15)</f>
        <v/>
      </c>
      <c r="I15" s="6" t="n"/>
    </row>
    <row r="16">
      <c r="A16" s="9" t="inlineStr">
        <is>
          <t>I-012</t>
        </is>
      </c>
      <c r="B16" s="9" t="inlineStr">
        <is>
          <t>Granos antiguos</t>
        </is>
      </c>
      <c r="C16" s="9" t="inlineStr">
        <is>
          <t>Harina de kamut o khorasan</t>
        </is>
      </c>
      <c r="D16" s="9" t="inlineStr">
        <is>
          <t>g</t>
        </is>
      </c>
      <c r="E16" s="10" t="n">
        <v>1000</v>
      </c>
      <c r="F16" s="11" t="n">
        <v>95</v>
      </c>
      <c r="G16" s="12">
        <f>IFERROR(F16/E16,0)</f>
        <v/>
      </c>
      <c r="H16">
        <f>COUNTIF(Ingredientes!$E:$E,C16)</f>
        <v/>
      </c>
      <c r="I16" s="6" t="n"/>
    </row>
    <row r="17">
      <c r="A17" s="9" t="inlineStr">
        <is>
          <t>I-013</t>
        </is>
      </c>
      <c r="B17" s="9" t="inlineStr">
        <is>
          <t>Granos antiguos</t>
        </is>
      </c>
      <c r="C17" s="9" t="inlineStr">
        <is>
          <t>Harina de emmer, escanda o tritordeum</t>
        </is>
      </c>
      <c r="D17" s="9" t="inlineStr">
        <is>
          <t>g</t>
        </is>
      </c>
      <c r="E17" s="10" t="n">
        <v>1000</v>
      </c>
      <c r="F17" s="11" t="n">
        <v>88</v>
      </c>
      <c r="G17" s="12">
        <f>IFERROR(F17/E17,0)</f>
        <v/>
      </c>
      <c r="H17">
        <f>COUNTIF(Ingredientes!$E:$E,C17)</f>
        <v/>
      </c>
      <c r="I17" s="6" t="n"/>
    </row>
    <row r="18">
      <c r="A18" s="9" t="inlineStr">
        <is>
          <t>I-014</t>
        </is>
      </c>
      <c r="B18" s="9" t="inlineStr">
        <is>
          <t>Granos antiguos</t>
        </is>
      </c>
      <c r="C18" s="9" t="inlineStr">
        <is>
          <t>Harina de trigo sarraceno (alforfón)</t>
        </is>
      </c>
      <c r="D18" s="9" t="inlineStr">
        <is>
          <t>g</t>
        </is>
      </c>
      <c r="E18" s="10" t="n">
        <v>1000</v>
      </c>
      <c r="F18" s="11" t="n">
        <v>85</v>
      </c>
      <c r="G18" s="12">
        <f>IFERROR(F18/E18,0)</f>
        <v/>
      </c>
      <c r="H18">
        <f>COUNTIF(Ingredientes!$E:$E,C18)</f>
        <v/>
      </c>
      <c r="I18" s="6" t="n"/>
    </row>
    <row r="19">
      <c r="A19" s="9" t="inlineStr">
        <is>
          <t>I-015</t>
        </is>
      </c>
      <c r="B19" s="9" t="inlineStr">
        <is>
          <t>Granos antiguos</t>
        </is>
      </c>
      <c r="C19" s="9" t="inlineStr">
        <is>
          <t>Grano quebrado o copos de centeno</t>
        </is>
      </c>
      <c r="D19" s="9" t="inlineStr">
        <is>
          <t>g</t>
        </is>
      </c>
      <c r="E19" s="10" t="n">
        <v>1000</v>
      </c>
      <c r="F19" s="11" t="n">
        <v>45</v>
      </c>
      <c r="G19" s="12">
        <f>IFERROR(F19/E19,0)</f>
        <v/>
      </c>
      <c r="H19">
        <f>COUNTIF(Ingredientes!$E:$E,C19)</f>
        <v/>
      </c>
      <c r="I19" s="6" t="n"/>
    </row>
    <row r="20">
      <c r="A20" s="9" t="inlineStr">
        <is>
          <t>I-016</t>
        </is>
      </c>
      <c r="B20" s="9" t="inlineStr">
        <is>
          <t>Granos antiguos</t>
        </is>
      </c>
      <c r="C20" s="9" t="inlineStr">
        <is>
          <t>Copos de avena</t>
        </is>
      </c>
      <c r="D20" s="9" t="inlineStr">
        <is>
          <t>g</t>
        </is>
      </c>
      <c r="E20" s="10" t="n">
        <v>1000</v>
      </c>
      <c r="F20" s="11" t="n">
        <v>55</v>
      </c>
      <c r="G20" s="12">
        <f>IFERROR(F20/E20,0)</f>
        <v/>
      </c>
      <c r="H20">
        <f>COUNTIF(Ingredientes!$E:$E,C20)</f>
        <v/>
      </c>
      <c r="I20" s="6" t="n"/>
    </row>
    <row r="21">
      <c r="A21" s="9" t="inlineStr">
        <is>
          <t>I-017</t>
        </is>
      </c>
      <c r="B21" s="9" t="inlineStr">
        <is>
          <t>Granos antiguos</t>
        </is>
      </c>
      <c r="C21" s="9" t="inlineStr">
        <is>
          <t>Sémola de maíz</t>
        </is>
      </c>
      <c r="D21" s="9" t="inlineStr">
        <is>
          <t>g</t>
        </is>
      </c>
      <c r="E21" s="10" t="n">
        <v>1000</v>
      </c>
      <c r="F21" s="11" t="n">
        <v>32</v>
      </c>
      <c r="G21" s="12">
        <f>IFERROR(F21/E21,0)</f>
        <v/>
      </c>
      <c r="H21">
        <f>COUNTIF(Ingredientes!$E:$E,C21)</f>
        <v/>
      </c>
      <c r="I21" s="6" t="n"/>
    </row>
    <row r="22">
      <c r="A22" s="9" t="inlineStr">
        <is>
          <t>I-018</t>
        </is>
      </c>
      <c r="B22" s="9" t="inlineStr">
        <is>
          <t>Cultivos vivos</t>
        </is>
      </c>
      <c r="C22" s="9" t="inlineStr">
        <is>
          <t>Masa madre blanca activa 100% (cultivada)</t>
        </is>
      </c>
      <c r="D22" s="9" t="inlineStr">
        <is>
          <t>g</t>
        </is>
      </c>
      <c r="E22" s="13">
        <f>'Cultivos'!D5</f>
        <v/>
      </c>
      <c r="F22" s="14">
        <f>'Cultivos'!F5</f>
        <v/>
      </c>
      <c r="G22" s="12">
        <f>IFERROR(F22/E22,0)</f>
        <v/>
      </c>
      <c r="H22">
        <f>COUNTIF(Ingredientes!$E:$E,C22)</f>
        <v/>
      </c>
      <c r="I22" s="6" t="n"/>
    </row>
    <row r="23">
      <c r="A23" s="9" t="inlineStr">
        <is>
          <t>I-019</t>
        </is>
      </c>
      <c r="B23" s="9" t="inlineStr">
        <is>
          <t>Cultivos vivos</t>
        </is>
      </c>
      <c r="C23" s="9" t="inlineStr">
        <is>
          <t>Masa madre de centeno o integral 100% (cultivada)</t>
        </is>
      </c>
      <c r="D23" s="9" t="inlineStr">
        <is>
          <t>g</t>
        </is>
      </c>
      <c r="E23" s="13">
        <f>'Cultivos'!D6</f>
        <v/>
      </c>
      <c r="F23" s="14">
        <f>'Cultivos'!F6</f>
        <v/>
      </c>
      <c r="G23" s="12">
        <f>IFERROR(F23/E23,0)</f>
        <v/>
      </c>
      <c r="H23">
        <f>COUNTIF(Ingredientes!$E:$E,C23)</f>
        <v/>
      </c>
      <c r="I23" s="6" t="n"/>
    </row>
    <row r="24">
      <c r="A24" s="9" t="inlineStr">
        <is>
          <t>I-020</t>
        </is>
      </c>
      <c r="B24" s="9" t="inlineStr">
        <is>
          <t>Cultivos vivos</t>
        </is>
      </c>
      <c r="C24" s="9" t="inlineStr">
        <is>
          <t>Pasta madre sólida 50% (cultivada)</t>
        </is>
      </c>
      <c r="D24" s="9" t="inlineStr">
        <is>
          <t>g</t>
        </is>
      </c>
      <c r="E24" s="13">
        <f>'Cultivos'!D7</f>
        <v/>
      </c>
      <c r="F24" s="14">
        <f>'Cultivos'!F7</f>
        <v/>
      </c>
      <c r="G24" s="12">
        <f>IFERROR(F24/E24,0)</f>
        <v/>
      </c>
      <c r="H24">
        <f>COUNTIF(Ingredientes!$E:$E,C24)</f>
        <v/>
      </c>
      <c r="I24" s="6" t="n"/>
    </row>
    <row r="25">
      <c r="A25" s="9" t="inlineStr">
        <is>
          <t>I-021</t>
        </is>
      </c>
      <c r="B25" s="9" t="inlineStr">
        <is>
          <t>Líquidos y grasas</t>
        </is>
      </c>
      <c r="C25" s="9" t="inlineStr">
        <is>
          <t>Agua purificada</t>
        </is>
      </c>
      <c r="D25" s="9" t="inlineStr">
        <is>
          <t>ml</t>
        </is>
      </c>
      <c r="E25" s="10" t="n">
        <v>20000</v>
      </c>
      <c r="F25" s="11" t="n">
        <v>40</v>
      </c>
      <c r="G25" s="12">
        <f>IFERROR(F25/E25,0)</f>
        <v/>
      </c>
      <c r="H25">
        <f>COUNTIF(Ingredientes!$E:$E,C25)</f>
        <v/>
      </c>
      <c r="I25" s="6" t="n"/>
    </row>
    <row r="26">
      <c r="A26" s="9" t="inlineStr">
        <is>
          <t>I-022</t>
        </is>
      </c>
      <c r="B26" s="9" t="inlineStr">
        <is>
          <t>Líquidos y grasas</t>
        </is>
      </c>
      <c r="C26" s="9" t="inlineStr">
        <is>
          <t>Leche entera pasteurizada</t>
        </is>
      </c>
      <c r="D26" s="9" t="inlineStr">
        <is>
          <t>ml</t>
        </is>
      </c>
      <c r="E26" s="10" t="n">
        <v>1000</v>
      </c>
      <c r="F26" s="11" t="n">
        <v>28</v>
      </c>
      <c r="G26" s="12">
        <f>IFERROR(F26/E26,0)</f>
        <v/>
      </c>
      <c r="H26">
        <f>COUNTIF(Ingredientes!$E:$E,C26)</f>
        <v/>
      </c>
      <c r="I26" s="6" t="n"/>
    </row>
    <row r="27">
      <c r="A27" s="9" t="inlineStr">
        <is>
          <t>I-023</t>
        </is>
      </c>
      <c r="B27" s="9" t="inlineStr">
        <is>
          <t>Líquidos y grasas</t>
        </is>
      </c>
      <c r="C27" s="9" t="inlineStr">
        <is>
          <t>Yogur natural entero</t>
        </is>
      </c>
      <c r="D27" s="9" t="inlineStr">
        <is>
          <t>g</t>
        </is>
      </c>
      <c r="E27" s="10" t="n">
        <v>1000</v>
      </c>
      <c r="F27" s="11" t="n">
        <v>65</v>
      </c>
      <c r="G27" s="12">
        <f>IFERROR(F27/E27,0)</f>
        <v/>
      </c>
      <c r="H27">
        <f>COUNTIF(Ingredientes!$E:$E,C27)</f>
        <v/>
      </c>
      <c r="I27" s="6" t="n"/>
    </row>
    <row r="28">
      <c r="A28" s="9" t="inlineStr">
        <is>
          <t>I-024</t>
        </is>
      </c>
      <c r="B28" s="9" t="inlineStr">
        <is>
          <t>Líquidos y grasas</t>
        </is>
      </c>
      <c r="C28" s="9" t="inlineStr">
        <is>
          <t>Pulque blanco fresco</t>
        </is>
      </c>
      <c r="D28" s="9" t="inlineStr">
        <is>
          <t>ml</t>
        </is>
      </c>
      <c r="E28" s="10" t="n">
        <v>1000</v>
      </c>
      <c r="F28" s="11" t="n">
        <v>60</v>
      </c>
      <c r="G28" s="12">
        <f>IFERROR(F28/E28,0)</f>
        <v/>
      </c>
      <c r="H28">
        <f>COUNTIF(Ingredientes!$E:$E,C28)</f>
        <v/>
      </c>
      <c r="I28" s="6" t="n"/>
    </row>
    <row r="29">
      <c r="A29" s="9" t="inlineStr">
        <is>
          <t>I-025</t>
        </is>
      </c>
      <c r="B29" s="9" t="inlineStr">
        <is>
          <t>Líquidos y grasas</t>
        </is>
      </c>
      <c r="C29" s="9" t="inlineStr">
        <is>
          <t>Aceite de oliva virgen extra</t>
        </is>
      </c>
      <c r="D29" s="9" t="inlineStr">
        <is>
          <t>ml</t>
        </is>
      </c>
      <c r="E29" s="10" t="n">
        <v>1000</v>
      </c>
      <c r="F29" s="11" t="n">
        <v>230</v>
      </c>
      <c r="G29" s="12">
        <f>IFERROR(F29/E29,0)</f>
        <v/>
      </c>
      <c r="H29">
        <f>COUNTIF(Ingredientes!$E:$E,C29)</f>
        <v/>
      </c>
      <c r="I29" s="6" t="n"/>
    </row>
    <row r="30">
      <c r="A30" s="9" t="inlineStr">
        <is>
          <t>I-026</t>
        </is>
      </c>
      <c r="B30" s="9" t="inlineStr">
        <is>
          <t>Líquidos y grasas</t>
        </is>
      </c>
      <c r="C30" s="9" t="inlineStr">
        <is>
          <t>Aceite vegetal neutro</t>
        </is>
      </c>
      <c r="D30" s="9" t="inlineStr">
        <is>
          <t>ml</t>
        </is>
      </c>
      <c r="E30" s="10" t="n">
        <v>1000</v>
      </c>
      <c r="F30" s="11" t="n">
        <v>45</v>
      </c>
      <c r="G30" s="12">
        <f>IFERROR(F30/E30,0)</f>
        <v/>
      </c>
      <c r="H30">
        <f>COUNTIF(Ingredientes!$E:$E,C30)</f>
        <v/>
      </c>
      <c r="I30" s="6" t="n"/>
    </row>
    <row r="31">
      <c r="A31" s="9" t="inlineStr">
        <is>
          <t>I-027</t>
        </is>
      </c>
      <c r="B31" s="9" t="inlineStr">
        <is>
          <t>Líquidos y grasas</t>
        </is>
      </c>
      <c r="C31" s="9" t="inlineStr">
        <is>
          <t>Mantequilla sin sal 82% M.G.</t>
        </is>
      </c>
      <c r="D31" s="9" t="inlineStr">
        <is>
          <t>g</t>
        </is>
      </c>
      <c r="E31" s="10" t="n">
        <v>1000</v>
      </c>
      <c r="F31" s="11" t="n">
        <v>330</v>
      </c>
      <c r="G31" s="12">
        <f>IFERROR(F31/E31,0)</f>
        <v/>
      </c>
      <c r="H31">
        <f>COUNTIF(Ingredientes!$E:$E,C31)</f>
        <v/>
      </c>
      <c r="I31" s="6" t="n"/>
    </row>
    <row r="32">
      <c r="A32" s="9" t="inlineStr">
        <is>
          <t>I-028</t>
        </is>
      </c>
      <c r="B32" s="9" t="inlineStr">
        <is>
          <t>Líquidos y grasas</t>
        </is>
      </c>
      <c r="C32" s="9" t="inlineStr">
        <is>
          <t>Mantequilla clarificada o manteca de cerdo</t>
        </is>
      </c>
      <c r="D32" s="9" t="inlineStr">
        <is>
          <t>g</t>
        </is>
      </c>
      <c r="E32" s="10" t="n">
        <v>1000</v>
      </c>
      <c r="F32" s="11" t="n">
        <v>190</v>
      </c>
      <c r="G32" s="12">
        <f>IFERROR(F32/E32,0)</f>
        <v/>
      </c>
      <c r="H32">
        <f>COUNTIF(Ingredientes!$E:$E,C32)</f>
        <v/>
      </c>
      <c r="I32" s="6" t="n"/>
    </row>
    <row r="33">
      <c r="A33" s="9" t="inlineStr">
        <is>
          <t>I-029</t>
        </is>
      </c>
      <c r="B33" s="9" t="inlineStr">
        <is>
          <t>Huevo, azúcares y sal</t>
        </is>
      </c>
      <c r="C33" s="9" t="inlineStr">
        <is>
          <t>Huevo campero</t>
        </is>
      </c>
      <c r="D33" s="9" t="inlineStr">
        <is>
          <t>pz</t>
        </is>
      </c>
      <c r="E33" s="10" t="n">
        <v>1</v>
      </c>
      <c r="F33" s="11" t="n">
        <v>6</v>
      </c>
      <c r="G33" s="12">
        <f>IFERROR(F33/E33,0)</f>
        <v/>
      </c>
      <c r="H33">
        <f>COUNTIF(Ingredientes!$E:$E,C33)</f>
        <v/>
      </c>
      <c r="I33" s="6" t="n"/>
    </row>
    <row r="34">
      <c r="A34" s="9" t="inlineStr">
        <is>
          <t>I-030</t>
        </is>
      </c>
      <c r="B34" s="9" t="inlineStr">
        <is>
          <t>Huevo, azúcares y sal</t>
        </is>
      </c>
      <c r="C34" s="9" t="inlineStr">
        <is>
          <t>Yema de huevo</t>
        </is>
      </c>
      <c r="D34" s="9" t="inlineStr">
        <is>
          <t>g</t>
        </is>
      </c>
      <c r="E34" s="10" t="n">
        <v>1000</v>
      </c>
      <c r="F34" s="11" t="n">
        <v>130</v>
      </c>
      <c r="G34" s="12">
        <f>IFERROR(F34/E34,0)</f>
        <v/>
      </c>
      <c r="H34">
        <f>COUNTIF(Ingredientes!$E:$E,C34)</f>
        <v/>
      </c>
      <c r="I34" s="6" t="n"/>
    </row>
    <row r="35">
      <c r="A35" s="9" t="inlineStr">
        <is>
          <t>I-031</t>
        </is>
      </c>
      <c r="B35" s="9" t="inlineStr">
        <is>
          <t>Huevo, azúcares y sal</t>
        </is>
      </c>
      <c r="C35" s="9" t="inlineStr">
        <is>
          <t>Azúcar blanco refinado</t>
        </is>
      </c>
      <c r="D35" s="9" t="inlineStr">
        <is>
          <t>g</t>
        </is>
      </c>
      <c r="E35" s="10" t="n">
        <v>1000</v>
      </c>
      <c r="F35" s="11" t="n">
        <v>28</v>
      </c>
      <c r="G35" s="12">
        <f>IFERROR(F35/E35,0)</f>
        <v/>
      </c>
      <c r="H35">
        <f>COUNTIF(Ingredientes!$E:$E,C35)</f>
        <v/>
      </c>
      <c r="I35" s="6" t="n"/>
    </row>
    <row r="36">
      <c r="A36" s="9" t="inlineStr">
        <is>
          <t>I-032</t>
        </is>
      </c>
      <c r="B36" s="9" t="inlineStr">
        <is>
          <t>Huevo, azúcares y sal</t>
        </is>
      </c>
      <c r="C36" s="9" t="inlineStr">
        <is>
          <t>Miel de abeja</t>
        </is>
      </c>
      <c r="D36" s="9" t="inlineStr">
        <is>
          <t>g</t>
        </is>
      </c>
      <c r="E36" s="10" t="n">
        <v>500</v>
      </c>
      <c r="F36" s="11" t="n">
        <v>130</v>
      </c>
      <c r="G36" s="12">
        <f>IFERROR(F36/E36,0)</f>
        <v/>
      </c>
      <c r="H36">
        <f>COUNTIF(Ingredientes!$E:$E,C36)</f>
        <v/>
      </c>
      <c r="I36" s="6" t="n"/>
    </row>
    <row r="37">
      <c r="A37" s="9" t="inlineStr">
        <is>
          <t>I-033</t>
        </is>
      </c>
      <c r="B37" s="9" t="inlineStr">
        <is>
          <t>Huevo, azúcares y sal</t>
        </is>
      </c>
      <c r="C37" s="9" t="inlineStr">
        <is>
          <t>Piloncillo o azúcar mascabado</t>
        </is>
      </c>
      <c r="D37" s="9" t="inlineStr">
        <is>
          <t>g</t>
        </is>
      </c>
      <c r="E37" s="10" t="n">
        <v>1000</v>
      </c>
      <c r="F37" s="11" t="n">
        <v>55</v>
      </c>
      <c r="G37" s="12">
        <f>IFERROR(F37/E37,0)</f>
        <v/>
      </c>
      <c r="H37">
        <f>COUNTIF(Ingredientes!$E:$E,C37)</f>
        <v/>
      </c>
      <c r="I37" s="6" t="n"/>
    </row>
    <row r="38">
      <c r="A38" s="9" t="inlineStr">
        <is>
          <t>I-034</t>
        </is>
      </c>
      <c r="B38" s="9" t="inlineStr">
        <is>
          <t>Huevo, azúcares y sal</t>
        </is>
      </c>
      <c r="C38" s="9" t="inlineStr">
        <is>
          <t>Malta tostada o melaza</t>
        </is>
      </c>
      <c r="D38" s="9" t="inlineStr">
        <is>
          <t>ml</t>
        </is>
      </c>
      <c r="E38" s="10" t="n">
        <v>500</v>
      </c>
      <c r="F38" s="11" t="n">
        <v>95</v>
      </c>
      <c r="G38" s="12">
        <f>IFERROR(F38/E38,0)</f>
        <v/>
      </c>
      <c r="H38">
        <f>COUNTIF(Ingredientes!$E:$E,C38)</f>
        <v/>
      </c>
      <c r="I38" s="6" t="n"/>
    </row>
    <row r="39">
      <c r="A39" s="9" t="inlineStr">
        <is>
          <t>I-035</t>
        </is>
      </c>
      <c r="B39" s="9" t="inlineStr">
        <is>
          <t>Huevo, azúcares y sal</t>
        </is>
      </c>
      <c r="C39" s="9" t="inlineStr">
        <is>
          <t>Sal marina fina no refinada</t>
        </is>
      </c>
      <c r="D39" s="9" t="inlineStr">
        <is>
          <t>g</t>
        </is>
      </c>
      <c r="E39" s="10" t="n">
        <v>1000</v>
      </c>
      <c r="F39" s="11" t="n">
        <v>42</v>
      </c>
      <c r="G39" s="12">
        <f>IFERROR(F39/E39,0)</f>
        <v/>
      </c>
      <c r="H39">
        <f>COUNTIF(Ingredientes!$E:$E,C39)</f>
        <v/>
      </c>
      <c r="I39" s="6" t="n"/>
    </row>
    <row r="40">
      <c r="A40" s="9" t="inlineStr">
        <is>
          <t>I-036</t>
        </is>
      </c>
      <c r="B40" s="9" t="inlineStr">
        <is>
          <t>Huevo, azúcares y sal</t>
        </is>
      </c>
      <c r="C40" s="9" t="inlineStr">
        <is>
          <t>Flor de sal en escamas</t>
        </is>
      </c>
      <c r="D40" s="9" t="inlineStr">
        <is>
          <t>g</t>
        </is>
      </c>
      <c r="E40" s="10" t="n">
        <v>250</v>
      </c>
      <c r="F40" s="11" t="n">
        <v>150</v>
      </c>
      <c r="G40" s="12">
        <f>IFERROR(F40/E40,0)</f>
        <v/>
      </c>
      <c r="H40">
        <f>COUNTIF(Ingredientes!$E:$E,C40)</f>
        <v/>
      </c>
      <c r="I40" s="6" t="n"/>
    </row>
    <row r="41">
      <c r="A41" s="9" t="inlineStr">
        <is>
          <t>I-037</t>
        </is>
      </c>
      <c r="B41" s="9" t="inlineStr">
        <is>
          <t>Huevo, azúcares y sal</t>
        </is>
      </c>
      <c r="C41" s="9" t="inlineStr">
        <is>
          <t>Bicarbonato de sodio</t>
        </is>
      </c>
      <c r="D41" s="9" t="inlineStr">
        <is>
          <t>g</t>
        </is>
      </c>
      <c r="E41" s="10" t="n">
        <v>500</v>
      </c>
      <c r="F41" s="11" t="n">
        <v>40</v>
      </c>
      <c r="G41" s="12">
        <f>IFERROR(F41/E41,0)</f>
        <v/>
      </c>
      <c r="H41">
        <f>COUNTIF(Ingredientes!$E:$E,C41)</f>
        <v/>
      </c>
      <c r="I41" s="6" t="n"/>
    </row>
    <row r="42">
      <c r="A42" s="9" t="inlineStr">
        <is>
          <t>I-038</t>
        </is>
      </c>
      <c r="B42" s="9" t="inlineStr">
        <is>
          <t>Semillas y frutos secos</t>
        </is>
      </c>
      <c r="C42" s="9" t="inlineStr">
        <is>
          <t>Semilla de sésamo o ajonjolí</t>
        </is>
      </c>
      <c r="D42" s="9" t="inlineStr">
        <is>
          <t>g</t>
        </is>
      </c>
      <c r="E42" s="10" t="n">
        <v>500</v>
      </c>
      <c r="F42" s="11" t="n">
        <v>90</v>
      </c>
      <c r="G42" s="12">
        <f>IFERROR(F42/E42,0)</f>
        <v/>
      </c>
      <c r="H42">
        <f>COUNTIF(Ingredientes!$E:$E,C42)</f>
        <v/>
      </c>
      <c r="I42" s="6" t="n"/>
    </row>
    <row r="43">
      <c r="A43" s="9" t="inlineStr">
        <is>
          <t>I-039</t>
        </is>
      </c>
      <c r="B43" s="9" t="inlineStr">
        <is>
          <t>Semillas y frutos secos</t>
        </is>
      </c>
      <c r="C43" s="9" t="inlineStr">
        <is>
          <t>Semilla de girasol</t>
        </is>
      </c>
      <c r="D43" s="9" t="inlineStr">
        <is>
          <t>g</t>
        </is>
      </c>
      <c r="E43" s="10" t="n">
        <v>500</v>
      </c>
      <c r="F43" s="11" t="n">
        <v>55</v>
      </c>
      <c r="G43" s="12">
        <f>IFERROR(F43/E43,0)</f>
        <v/>
      </c>
      <c r="H43">
        <f>COUNTIF(Ingredientes!$E:$E,C43)</f>
        <v/>
      </c>
      <c r="I43" s="6" t="n"/>
    </row>
    <row r="44">
      <c r="A44" s="9" t="inlineStr">
        <is>
          <t>I-040</t>
        </is>
      </c>
      <c r="B44" s="9" t="inlineStr">
        <is>
          <t>Semillas y frutos secos</t>
        </is>
      </c>
      <c r="C44" s="9" t="inlineStr">
        <is>
          <t>Semilla de calabaza</t>
        </is>
      </c>
      <c r="D44" s="9" t="inlineStr">
        <is>
          <t>g</t>
        </is>
      </c>
      <c r="E44" s="10" t="n">
        <v>500</v>
      </c>
      <c r="F44" s="11" t="n">
        <v>95</v>
      </c>
      <c r="G44" s="12">
        <f>IFERROR(F44/E44,0)</f>
        <v/>
      </c>
      <c r="H44">
        <f>COUNTIF(Ingredientes!$E:$E,C44)</f>
        <v/>
      </c>
      <c r="I44" s="6" t="n"/>
    </row>
    <row r="45">
      <c r="A45" s="9" t="inlineStr">
        <is>
          <t>I-041</t>
        </is>
      </c>
      <c r="B45" s="9" t="inlineStr">
        <is>
          <t>Semillas y frutos secos</t>
        </is>
      </c>
      <c r="C45" s="9" t="inlineStr">
        <is>
          <t>Semilla de lino</t>
        </is>
      </c>
      <c r="D45" s="9" t="inlineStr">
        <is>
          <t>g</t>
        </is>
      </c>
      <c r="E45" s="10" t="n">
        <v>500</v>
      </c>
      <c r="F45" s="11" t="n">
        <v>60</v>
      </c>
      <c r="G45" s="12">
        <f>IFERROR(F45/E45,0)</f>
        <v/>
      </c>
      <c r="H45">
        <f>COUNTIF(Ingredientes!$E:$E,C45)</f>
        <v/>
      </c>
      <c r="I45" s="6" t="n"/>
    </row>
    <row r="46">
      <c r="A46" s="9" t="inlineStr">
        <is>
          <t>I-042</t>
        </is>
      </c>
      <c r="B46" s="9" t="inlineStr">
        <is>
          <t>Semillas y frutos secos</t>
        </is>
      </c>
      <c r="C46" s="9" t="inlineStr">
        <is>
          <t>Semilla de amapola</t>
        </is>
      </c>
      <c r="D46" s="9" t="inlineStr">
        <is>
          <t>g</t>
        </is>
      </c>
      <c r="E46" s="10" t="n">
        <v>250</v>
      </c>
      <c r="F46" s="11" t="n">
        <v>120</v>
      </c>
      <c r="G46" s="12">
        <f>IFERROR(F46/E46,0)</f>
        <v/>
      </c>
      <c r="H46">
        <f>COUNTIF(Ingredientes!$E:$E,C46)</f>
        <v/>
      </c>
      <c r="I46" s="6" t="n"/>
    </row>
    <row r="47">
      <c r="A47" s="9" t="inlineStr">
        <is>
          <t>I-043</t>
        </is>
      </c>
      <c r="B47" s="9" t="inlineStr">
        <is>
          <t>Semillas y frutos secos</t>
        </is>
      </c>
      <c r="C47" s="9" t="inlineStr">
        <is>
          <t>Semilla de alcaravea o anís</t>
        </is>
      </c>
      <c r="D47" s="9" t="inlineStr">
        <is>
          <t>g</t>
        </is>
      </c>
      <c r="E47" s="10" t="n">
        <v>250</v>
      </c>
      <c r="F47" s="11" t="n">
        <v>95</v>
      </c>
      <c r="G47" s="12">
        <f>IFERROR(F47/E47,0)</f>
        <v/>
      </c>
      <c r="H47">
        <f>COUNTIF(Ingredientes!$E:$E,C47)</f>
        <v/>
      </c>
      <c r="I47" s="6" t="n"/>
    </row>
    <row r="48">
      <c r="A48" s="9" t="inlineStr">
        <is>
          <t>I-044</t>
        </is>
      </c>
      <c r="B48" s="9" t="inlineStr">
        <is>
          <t>Semillas y frutos secos</t>
        </is>
      </c>
      <c r="C48" s="9" t="inlineStr">
        <is>
          <t>Nuez de Castilla</t>
        </is>
      </c>
      <c r="D48" s="9" t="inlineStr">
        <is>
          <t>g</t>
        </is>
      </c>
      <c r="E48" s="10" t="n">
        <v>500</v>
      </c>
      <c r="F48" s="11" t="n">
        <v>230</v>
      </c>
      <c r="G48" s="12">
        <f>IFERROR(F48/E48,0)</f>
        <v/>
      </c>
      <c r="H48">
        <f>COUNTIF(Ingredientes!$E:$E,C48)</f>
        <v/>
      </c>
      <c r="I48" s="6" t="n"/>
    </row>
    <row r="49">
      <c r="A49" s="9" t="inlineStr">
        <is>
          <t>I-045</t>
        </is>
      </c>
      <c r="B49" s="9" t="inlineStr">
        <is>
          <t>Inclusiones y aromáticos</t>
        </is>
      </c>
      <c r="C49" s="9" t="inlineStr">
        <is>
          <t>Aceituna Kalamata deshuesada</t>
        </is>
      </c>
      <c r="D49" s="9" t="inlineStr">
        <is>
          <t>g</t>
        </is>
      </c>
      <c r="E49" s="10" t="n">
        <v>500</v>
      </c>
      <c r="F49" s="11" t="n">
        <v>160</v>
      </c>
      <c r="G49" s="12">
        <f>IFERROR(F49/E49,0)</f>
        <v/>
      </c>
      <c r="H49">
        <f>COUNTIF(Ingredientes!$E:$E,C49)</f>
        <v/>
      </c>
      <c r="I49" s="6" t="n"/>
    </row>
    <row r="50">
      <c r="A50" s="9" t="inlineStr">
        <is>
          <t>I-046</t>
        </is>
      </c>
      <c r="B50" s="9" t="inlineStr">
        <is>
          <t>Inclusiones y aromáticos</t>
        </is>
      </c>
      <c r="C50" s="9" t="inlineStr">
        <is>
          <t>Tomate deshidratado en aceite</t>
        </is>
      </c>
      <c r="D50" s="9" t="inlineStr">
        <is>
          <t>g</t>
        </is>
      </c>
      <c r="E50" s="10" t="n">
        <v>250</v>
      </c>
      <c r="F50" s="11" t="n">
        <v>120</v>
      </c>
      <c r="G50" s="12">
        <f>IFERROR(F50/E50,0)</f>
        <v/>
      </c>
      <c r="H50">
        <f>COUNTIF(Ingredientes!$E:$E,C50)</f>
        <v/>
      </c>
      <c r="I50" s="6" t="n"/>
    </row>
    <row r="51">
      <c r="A51" s="9" t="inlineStr">
        <is>
          <t>I-047</t>
        </is>
      </c>
      <c r="B51" s="9" t="inlineStr">
        <is>
          <t>Inclusiones y aromáticos</t>
        </is>
      </c>
      <c r="C51" s="9" t="inlineStr">
        <is>
          <t>Queso Parmigiano Reggiano D.O.P.</t>
        </is>
      </c>
      <c r="D51" s="9" t="inlineStr">
        <is>
          <t>g</t>
        </is>
      </c>
      <c r="E51" s="10" t="n">
        <v>500</v>
      </c>
      <c r="F51" s="11" t="n">
        <v>420</v>
      </c>
      <c r="G51" s="12">
        <f>IFERROR(F51/E51,0)</f>
        <v/>
      </c>
      <c r="H51">
        <f>COUNTIF(Ingredientes!$E:$E,C51)</f>
        <v/>
      </c>
      <c r="I51" s="6" t="n"/>
    </row>
    <row r="52">
      <c r="A52" s="9" t="inlineStr">
        <is>
          <t>I-048</t>
        </is>
      </c>
      <c r="B52" s="9" t="inlineStr">
        <is>
          <t>Inclusiones y aromáticos</t>
        </is>
      </c>
      <c r="C52" s="9" t="inlineStr">
        <is>
          <t>Ajo</t>
        </is>
      </c>
      <c r="D52" s="9" t="inlineStr">
        <is>
          <t>g</t>
        </is>
      </c>
      <c r="E52" s="10" t="n">
        <v>1000</v>
      </c>
      <c r="F52" s="11" t="n">
        <v>140</v>
      </c>
      <c r="G52" s="12">
        <f>IFERROR(F52/E52,0)</f>
        <v/>
      </c>
      <c r="H52">
        <f>COUNTIF(Ingredientes!$E:$E,C52)</f>
        <v/>
      </c>
      <c r="I52" s="6" t="n"/>
    </row>
    <row r="53">
      <c r="A53" s="9" t="inlineStr">
        <is>
          <t>I-049</t>
        </is>
      </c>
      <c r="B53" s="9" t="inlineStr">
        <is>
          <t>Inclusiones y aromáticos</t>
        </is>
      </c>
      <c r="C53" s="9" t="inlineStr">
        <is>
          <t>Hierbas frescas (romero, tomillo, albahaca, cilantro)</t>
        </is>
      </c>
      <c r="D53" s="9" t="inlineStr">
        <is>
          <t>g</t>
        </is>
      </c>
      <c r="E53" s="10" t="n">
        <v>250</v>
      </c>
      <c r="F53" s="11" t="n">
        <v>60</v>
      </c>
      <c r="G53" s="12">
        <f>IFERROR(F53/E53,0)</f>
        <v/>
      </c>
      <c r="H53">
        <f>COUNTIF(Ingredientes!$E:$E,C53)</f>
        <v/>
      </c>
      <c r="I53" s="6" t="n"/>
    </row>
    <row r="54">
      <c r="A54" s="9" t="inlineStr">
        <is>
          <t>I-050</t>
        </is>
      </c>
      <c r="B54" s="9" t="inlineStr">
        <is>
          <t>Inclusiones y aromáticos</t>
        </is>
      </c>
      <c r="C54" s="9" t="inlineStr">
        <is>
          <t>Hierbas secas de Provenza</t>
        </is>
      </c>
      <c r="D54" s="9" t="inlineStr">
        <is>
          <t>g</t>
        </is>
      </c>
      <c r="E54" s="10" t="n">
        <v>100</v>
      </c>
      <c r="F54" s="11" t="n">
        <v>70</v>
      </c>
      <c r="G54" s="12">
        <f>IFERROR(F54/E54,0)</f>
        <v/>
      </c>
      <c r="H54">
        <f>COUNTIF(Ingredientes!$E:$E,C54)</f>
        <v/>
      </c>
      <c r="I54" s="6" t="n"/>
    </row>
    <row r="55">
      <c r="A55" s="9" t="inlineStr">
        <is>
          <t>I-051</t>
        </is>
      </c>
      <c r="B55" s="9" t="inlineStr">
        <is>
          <t>Inclusiones y aromáticos</t>
        </is>
      </c>
      <c r="C55" s="9" t="inlineStr">
        <is>
          <t>Pimienta negra en grano</t>
        </is>
      </c>
      <c r="D55" s="9" t="inlineStr">
        <is>
          <t>g</t>
        </is>
      </c>
      <c r="E55" s="10" t="n">
        <v>500</v>
      </c>
      <c r="F55" s="11" t="n">
        <v>230</v>
      </c>
      <c r="G55" s="12">
        <f>IFERROR(F55/E55,0)</f>
        <v/>
      </c>
      <c r="H55">
        <f>COUNTIF(Ingredientes!$E:$E,C55)</f>
        <v/>
      </c>
      <c r="I55" s="6" t="n"/>
    </row>
    <row r="56">
      <c r="A56" s="9" t="inlineStr">
        <is>
          <t>I-052</t>
        </is>
      </c>
      <c r="B56" s="9" t="inlineStr">
        <is>
          <t>Inclusiones y aromáticos</t>
        </is>
      </c>
      <c r="C56" s="9" t="inlineStr">
        <is>
          <t>Cúrcuma y jengibre en polvo</t>
        </is>
      </c>
      <c r="D56" s="9" t="inlineStr">
        <is>
          <t>g</t>
        </is>
      </c>
      <c r="E56" s="10" t="n">
        <v>100</v>
      </c>
      <c r="F56" s="11" t="n">
        <v>80</v>
      </c>
      <c r="G56" s="12">
        <f>IFERROR(F56/E56,0)</f>
        <v/>
      </c>
      <c r="H56">
        <f>COUNTIF(Ingredientes!$E:$E,C56)</f>
        <v/>
      </c>
      <c r="I56" s="6" t="n"/>
    </row>
    <row r="57">
      <c r="A57" s="9" t="inlineStr">
        <is>
          <t>I-053</t>
        </is>
      </c>
      <c r="B57" s="9" t="inlineStr">
        <is>
          <t>Inclusiones y aromáticos</t>
        </is>
      </c>
      <c r="C57" s="9" t="inlineStr">
        <is>
          <t>Cacao en polvo alcalinizado</t>
        </is>
      </c>
      <c r="D57" s="9" t="inlineStr">
        <is>
          <t>g</t>
        </is>
      </c>
      <c r="E57" s="10" t="n">
        <v>1000</v>
      </c>
      <c r="F57" s="11" t="n">
        <v>320</v>
      </c>
      <c r="G57" s="12">
        <f>IFERROR(F57/E57,0)</f>
        <v/>
      </c>
      <c r="H57">
        <f>COUNTIF(Ingredientes!$E:$E,C57)</f>
        <v/>
      </c>
      <c r="I57" s="6" t="n"/>
    </row>
    <row r="58">
      <c r="A58" s="9" t="inlineStr">
        <is>
          <t>I-054</t>
        </is>
      </c>
      <c r="B58" s="9" t="inlineStr">
        <is>
          <t>Inclusiones y aromáticos</t>
        </is>
      </c>
      <c r="C58" s="9" t="inlineStr">
        <is>
          <t>Nibs de cacao</t>
        </is>
      </c>
      <c r="D58" s="9" t="inlineStr">
        <is>
          <t>g</t>
        </is>
      </c>
      <c r="E58" s="10" t="n">
        <v>500</v>
      </c>
      <c r="F58" s="11" t="n">
        <v>220</v>
      </c>
      <c r="G58" s="12">
        <f>IFERROR(F58/E58,0)</f>
        <v/>
      </c>
      <c r="H58">
        <f>COUNTIF(Ingredientes!$E:$E,C58)</f>
        <v/>
      </c>
      <c r="I58" s="6" t="n"/>
    </row>
    <row r="59">
      <c r="A59" s="9" t="inlineStr">
        <is>
          <t>I-055</t>
        </is>
      </c>
      <c r="B59" s="9" t="inlineStr">
        <is>
          <t>Inclusiones y aromáticos</t>
        </is>
      </c>
      <c r="C59" s="9" t="inlineStr">
        <is>
          <t>Chocolate negro 60–70% en gotas</t>
        </is>
      </c>
      <c r="D59" s="9" t="inlineStr">
        <is>
          <t>g</t>
        </is>
      </c>
      <c r="E59" s="10" t="n">
        <v>1000</v>
      </c>
      <c r="F59" s="11" t="n">
        <v>440</v>
      </c>
      <c r="G59" s="12">
        <f>IFERROR(F59/E59,0)</f>
        <v/>
      </c>
      <c r="H59">
        <f>COUNTIF(Ingredientes!$E:$E,C59)</f>
        <v/>
      </c>
      <c r="I59" s="6" t="n"/>
    </row>
    <row r="60">
      <c r="A60" s="9" t="inlineStr">
        <is>
          <t>I-056</t>
        </is>
      </c>
      <c r="B60" s="9" t="inlineStr">
        <is>
          <t>Inclusiones y aromáticos</t>
        </is>
      </c>
      <c r="C60" s="9" t="inlineStr">
        <is>
          <t>Naranja confitada en cubos</t>
        </is>
      </c>
      <c r="D60" s="9" t="inlineStr">
        <is>
          <t>g</t>
        </is>
      </c>
      <c r="E60" s="10" t="n">
        <v>500</v>
      </c>
      <c r="F60" s="11" t="n">
        <v>220</v>
      </c>
      <c r="G60" s="12">
        <f>IFERROR(F60/E60,0)</f>
        <v/>
      </c>
      <c r="H60">
        <f>COUNTIF(Ingredientes!$E:$E,C60)</f>
        <v/>
      </c>
      <c r="I60" s="6" t="n"/>
    </row>
    <row r="61">
      <c r="A61" s="9" t="inlineStr">
        <is>
          <t>I-057</t>
        </is>
      </c>
      <c r="B61" s="9" t="inlineStr">
        <is>
          <t>Inclusiones y aromáticos</t>
        </is>
      </c>
      <c r="C61" s="9" t="inlineStr">
        <is>
          <t>Pasas sultanas</t>
        </is>
      </c>
      <c r="D61" s="9" t="inlineStr">
        <is>
          <t>g</t>
        </is>
      </c>
      <c r="E61" s="10" t="n">
        <v>500</v>
      </c>
      <c r="F61" s="11" t="n">
        <v>85</v>
      </c>
      <c r="G61" s="12">
        <f>IFERROR(F61/E61,0)</f>
        <v/>
      </c>
      <c r="H61">
        <f>COUNTIF(Ingredientes!$E:$E,C61)</f>
        <v/>
      </c>
      <c r="I61" s="6" t="n"/>
    </row>
    <row r="62">
      <c r="A62" s="9" t="inlineStr">
        <is>
          <t>I-058</t>
        </is>
      </c>
      <c r="B62" s="9" t="inlineStr">
        <is>
          <t>Inclusiones y aromáticos</t>
        </is>
      </c>
      <c r="C62" s="9" t="inlineStr">
        <is>
          <t>Vaina de vainilla Bourbon</t>
        </is>
      </c>
      <c r="D62" s="9" t="inlineStr">
        <is>
          <t>pz</t>
        </is>
      </c>
      <c r="E62" s="10" t="n">
        <v>1</v>
      </c>
      <c r="F62" s="11" t="n">
        <v>95</v>
      </c>
      <c r="G62" s="12">
        <f>IFERROR(F62/E62,0)</f>
        <v/>
      </c>
      <c r="H62">
        <f>COUNTIF(Ingredientes!$E:$E,C62)</f>
        <v/>
      </c>
      <c r="I62" s="6" t="n"/>
    </row>
    <row r="63">
      <c r="A63" s="9" t="inlineStr">
        <is>
          <t>I-059</t>
        </is>
      </c>
      <c r="B63" s="9" t="inlineStr">
        <is>
          <t>Inclusiones y aromáticos</t>
        </is>
      </c>
      <c r="C63" s="9" t="inlineStr">
        <is>
          <t>Extracto puro de vainilla</t>
        </is>
      </c>
      <c r="D63" s="9" t="inlineStr">
        <is>
          <t>ml</t>
        </is>
      </c>
      <c r="E63" s="10" t="n">
        <v>250</v>
      </c>
      <c r="F63" s="11" t="n">
        <v>320</v>
      </c>
      <c r="G63" s="12">
        <f>IFERROR(F63/E63,0)</f>
        <v/>
      </c>
      <c r="H63">
        <f>COUNTIF(Ingredientes!$E:$E,C63)</f>
        <v/>
      </c>
      <c r="I63" s="6" t="n"/>
    </row>
    <row r="64">
      <c r="A64" s="9" t="inlineStr">
        <is>
          <t>I-060</t>
        </is>
      </c>
      <c r="B64" s="9" t="inlineStr">
        <is>
          <t>Inclusiones y aromáticos</t>
        </is>
      </c>
      <c r="C64" s="9" t="inlineStr">
        <is>
          <t>Naranja o limón</t>
        </is>
      </c>
      <c r="D64" s="9" t="inlineStr">
        <is>
          <t>g</t>
        </is>
      </c>
      <c r="E64" s="10" t="n">
        <v>1000</v>
      </c>
      <c r="F64" s="11" t="n">
        <v>30</v>
      </c>
      <c r="G64" s="12">
        <f>IFERROR(F64/E64,0)</f>
        <v/>
      </c>
      <c r="H64">
        <f>COUNTIF(Ingredientes!$E:$E,C64)</f>
        <v/>
      </c>
      <c r="I64" s="6" t="n"/>
    </row>
    <row r="66">
      <c r="C66" s="7" t="inlineStr">
        <is>
          <t>Las preparaciones del recetario toman su precio de la hoja «Cultivos»: no se capturan a mano.</t>
        </is>
      </c>
    </row>
  </sheetData>
  <autoFilter ref="A4:I64"/>
  <pageMargins left="0.75" right="0.75" top="1" bottom="1" header="0.5" footer="0.5"/>
</worksheet>
</file>

<file path=xl/worksheets/sheet3.xml><?xml version="1.0" encoding="utf-8"?>
<worksheet xmlns="http://schemas.openxmlformats.org/spreadsheetml/2006/main">
  <sheetPr>
    <tabColor rgb="00C98BCB"/>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46" customWidth="1" min="3" max="3"/>
    <col width="12" customWidth="1" min="4" max="4"/>
    <col width="11" customWidth="1" min="5" max="5"/>
    <col width="15" customWidth="1" min="6" max="6"/>
    <col width="14" customWidth="1" min="7" max="7"/>
    <col width="40" customWidth="1" min="8" max="8"/>
  </cols>
  <sheetData>
    <row r="1">
      <c r="A1" s="1" t="inlineStr">
        <is>
          <t>Los tres cultivos vivos</t>
        </is>
      </c>
    </row>
    <row r="2">
      <c r="A2" s="7" t="inlineStr">
        <is>
          <t>Un cultivo no se compra: se refresca. Su costo sale de su propia fórmula de refresco y alimenta a las 50 recetas. Cambia el precio de la harina en «Insumos» y esta hoja se recalcula sola.</t>
        </is>
      </c>
    </row>
    <row r="4" ht="30" customHeight="1">
      <c r="A4" s="8" t="inlineStr">
        <is>
          <t>Código</t>
        </is>
      </c>
      <c r="B4" s="8" t="inlineStr">
        <is>
          <t>Preparación base</t>
        </is>
      </c>
      <c r="C4" s="8" t="inlineStr">
        <is>
          <t>Para qué sirve</t>
        </is>
      </c>
      <c r="D4" s="8" t="inlineStr">
        <is>
          <t>Rendimiento</t>
        </is>
      </c>
      <c r="E4" s="8" t="inlineStr">
        <is>
          <t>Unidad</t>
        </is>
      </c>
      <c r="F4" s="8" t="inlineStr">
        <is>
          <t>Costo de insumos del lote</t>
        </is>
      </c>
      <c r="G4" s="8" t="inlineStr">
        <is>
          <t>Costo unitario</t>
        </is>
      </c>
      <c r="H4" s="8" t="inlineStr">
        <is>
          <t>Entra en las recetas</t>
        </is>
      </c>
    </row>
    <row r="5" ht="30" customHeight="1">
      <c r="A5" s="3" t="inlineStr">
        <is>
          <t>C-1</t>
        </is>
      </c>
      <c r="B5" t="inlineStr">
        <is>
          <t>Masa madre blanca activa 100%</t>
        </is>
      </c>
      <c r="C5" s="15" t="inlineStr">
        <is>
          <t>El cultivo de casi todo el recetario. Refresco cada 12 h a 26 °C o cada 24 h a 4 °C.</t>
        </is>
      </c>
      <c r="D5" s="16" t="n">
        <v>300</v>
      </c>
      <c r="E5" t="inlineStr">
        <is>
          <t>g</t>
        </is>
      </c>
      <c r="F5" s="17">
        <f>SUMIF(Ingredientes!$A:$A,101,Ingredientes!$I:$I)</f>
        <v/>
      </c>
      <c r="G5" s="12">
        <f>IFERROR(F5/D5,0)</f>
        <v/>
      </c>
      <c r="H5" t="inlineStr">
        <is>
          <t>42 de las 50 recetas · Refresco 1:1:1 · 100 g de madre + 100 g de harina + 100 ml de agua</t>
        </is>
      </c>
    </row>
    <row r="6" ht="30" customHeight="1">
      <c r="A6" s="3" t="inlineStr">
        <is>
          <t>C-2</t>
        </is>
      </c>
      <c r="B6" t="inlineStr">
        <is>
          <t>Masa madre de centeno o integral 100%</t>
        </is>
      </c>
      <c r="C6" s="15" t="inlineStr">
        <is>
          <t>Cultivo más ácido y activo para los panes de centeno y los integrales puros.</t>
        </is>
      </c>
      <c r="D6" s="16" t="n">
        <v>300</v>
      </c>
      <c r="E6" t="inlineStr">
        <is>
          <t>g</t>
        </is>
      </c>
      <c r="F6" s="17">
        <f>SUMIF(Ingredientes!$A:$A,102,Ingredientes!$I:$I)</f>
        <v/>
      </c>
      <c r="G6" s="12">
        <f>IFERROR(F6/D6,0)</f>
        <v/>
      </c>
      <c r="H6" t="inlineStr">
        <is>
          <t>6 de las 50 recetas · Refresco 1:1:1 con harina de centeno integral</t>
        </is>
      </c>
    </row>
    <row r="7" ht="30" customHeight="1">
      <c r="A7" s="3" t="inlineStr">
        <is>
          <t>C-3</t>
        </is>
      </c>
      <c r="B7" t="inlineStr">
        <is>
          <t>Pasta madre sólida 50%</t>
        </is>
      </c>
      <c r="C7" s="15" t="inlineStr">
        <is>
          <t>El lievito madre del panettone: sólido, atado en tela y con tres refrescos el día del amasado.</t>
        </is>
      </c>
      <c r="D7" s="16" t="n">
        <v>250</v>
      </c>
      <c r="E7" t="inlineStr">
        <is>
          <t>g</t>
        </is>
      </c>
      <c r="F7" s="17">
        <f>SUMIF(Ingredientes!$A:$A,103,Ingredientes!$I:$I)</f>
        <v/>
      </c>
      <c r="G7" s="12">
        <f>IFERROR(F7/D7,0)</f>
        <v/>
      </c>
      <c r="H7" t="inlineStr">
        <is>
          <t>2 de las 50 recetas · Refresco 1:1:0.5 · 100 g de madre + 100 g de harina de gran fuerza + 50 ml de agua</t>
        </is>
      </c>
    </row>
    <row r="9">
      <c r="B9" s="7" t="inlineStr">
        <is>
          <t>El «Costo de insumos del lote» suma la harina y el agua que se AÑADEN en cada refresco (no la madre que ya tenías). El rendimiento es el cultivo listo que sale de ese refresco. La harina del descarte no entra aquí: es gasto fijo, y está en «Mi negocio».</t>
        </is>
      </c>
    </row>
    <row r="11">
      <c r="A11" s="18" t="inlineStr">
        <is>
          <t>Notas técnicas</t>
        </is>
      </c>
    </row>
    <row r="12">
      <c r="B12" s="19" t="inlineStr">
        <is>
          <t>Punto pico</t>
        </is>
      </c>
      <c r="C12" s="20" t="inlineStr">
        <is>
          <t>Usa el cultivo cuando la cúpula está alta y los bordes empiezan a ceder. Antes hay poca población activa; después, demasiado ácido.</t>
        </is>
      </c>
    </row>
    <row r="13">
      <c r="B13" s="19" t="inlineStr">
        <is>
          <t>Láctico contra acético</t>
        </is>
      </c>
      <c r="C13" s="20" t="inlineStr">
        <is>
          <t>Más calor y más agua dan acidez suave tipo yogur; más frío, menos agua y más hambre dan la punta avinagrada. El sabor es una decisión, no un accidente.</t>
        </is>
      </c>
    </row>
    <row r="14">
      <c r="B14" s="19" t="inlineStr">
        <is>
          <t>Mantenimiento</t>
        </is>
      </c>
      <c r="C14" s="20" t="inlineStr">
        <is>
          <t>La harina de los refrescos que nunca llega a una pieza vendida es gasto fijo: está como línea propia en «Mi negocio». Si vendes crackers o pizza de descarte, ese gasto deja de serlo.</t>
        </is>
      </c>
    </row>
  </sheetData>
  <pageMargins left="0.75" right="0.75" top="1" bottom="1" header="0.5" footer="0.5"/>
</worksheet>
</file>

<file path=xl/worksheets/sheet4.xml><?xml version="1.0" encoding="utf-8"?>
<worksheet xmlns="http://schemas.openxmlformats.org/spreadsheetml/2006/main">
  <sheetPr>
    <tabColor rgb="00C98BCB"/>
    <outlinePr summaryBelow="1" summaryRight="1"/>
    <pageSetUpPr/>
  </sheetPr>
  <dimension ref="A1:I397"/>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2" customWidth="1" min="3" max="3"/>
    <col width="60" customWidth="1" min="4" max="4"/>
    <col width="46" customWidth="1" min="5" max="5"/>
    <col width="11" customWidth="1" min="6" max="6"/>
    <col width="8" customWidth="1" min="7" max="7"/>
    <col width="13" customWidth="1" min="8" max="8"/>
    <col width="12" customWidth="1" min="9" max="9"/>
  </cols>
  <sheetData>
    <row r="1">
      <c r="A1" s="1" t="inlineStr">
        <is>
          <t>Ingredientes</t>
        </is>
      </c>
    </row>
    <row r="2">
      <c r="A2" s="7" t="inlineStr">
        <is>
          <t>Cada línea del recetario normalizada a un insumo del catálogo, con el texto original del chef al lado para auditarla.</t>
        </is>
      </c>
    </row>
    <row r="4" ht="30" customHeight="1">
      <c r="A4" s="8" t="inlineStr">
        <is>
          <t>Nº</t>
        </is>
      </c>
      <c r="B4" s="8" t="inlineStr">
        <is>
          <t>Receta</t>
        </is>
      </c>
      <c r="C4" s="8" t="inlineStr">
        <is>
          <t>Bloque</t>
        </is>
      </c>
      <c r="D4" s="8" t="inlineStr">
        <is>
          <t>Texto original del chef</t>
        </is>
      </c>
      <c r="E4" s="8" t="inlineStr">
        <is>
          <t>Insumo</t>
        </is>
      </c>
      <c r="F4" s="8" t="inlineStr">
        <is>
          <t>Cantidad</t>
        </is>
      </c>
      <c r="G4" s="8" t="inlineStr">
        <is>
          <t>Unidad</t>
        </is>
      </c>
      <c r="H4" s="8" t="inlineStr">
        <is>
          <t>Costo unitario</t>
        </is>
      </c>
      <c r="I4" s="8" t="inlineStr">
        <is>
          <t>Costo</t>
        </is>
      </c>
    </row>
    <row r="5">
      <c r="A5" t="n">
        <v>1</v>
      </c>
      <c r="B5" s="21" t="inlineStr">
        <is>
          <t>Hogaza Rústica Blanca Campestre (Country Loaf 75% Hidratación)</t>
        </is>
      </c>
      <c r="C5" t="inlineStr">
        <is>
          <t>masa</t>
        </is>
      </c>
      <c r="D5" s="22" t="inlineStr">
        <is>
          <t>450 g Harina de trigo panificable de fuerza (W 280-300, 12.5% proteína, P/L 0.5-0.6) (90%)</t>
        </is>
      </c>
      <c r="E5" s="6" t="inlineStr">
        <is>
          <t>Harina panificable de fuerza (W 280-300)</t>
        </is>
      </c>
      <c r="F5" s="16" t="n">
        <v>450</v>
      </c>
      <c r="G5" t="inlineStr">
        <is>
          <t>g</t>
        </is>
      </c>
      <c r="H5" s="12">
        <f>IFERROR(VLOOKUP(E5,Insumos!$C$5:$G$64,5,FALSE),0)</f>
        <v/>
      </c>
      <c r="I5" s="17">
        <f>F5*H5</f>
        <v/>
      </c>
    </row>
    <row r="6">
      <c r="A6" t="n">
        <v>1</v>
      </c>
      <c r="B6" s="21" t="inlineStr">
        <is>
          <t>Hogaza Rústica Blanca Campestre (Country Loaf 75% Hidratación)</t>
        </is>
      </c>
      <c r="C6" t="inlineStr">
        <is>
          <t>masa</t>
        </is>
      </c>
      <c r="D6" s="22" t="inlineStr">
        <is>
          <t>50 g Harina de trigo integral de molienda gruesa a la piedra (10%)</t>
        </is>
      </c>
      <c r="E6" s="6" t="inlineStr">
        <is>
          <t>Harina de trigo integral de molienda a la piedra</t>
        </is>
      </c>
      <c r="F6" s="16" t="n">
        <v>50</v>
      </c>
      <c r="G6" t="inlineStr">
        <is>
          <t>g</t>
        </is>
      </c>
      <c r="H6" s="12">
        <f>IFERROR(VLOOKUP(E6,Insumos!$C$5:$G$64,5,FALSE),0)</f>
        <v/>
      </c>
      <c r="I6" s="17">
        <f>F6*H6</f>
        <v/>
      </c>
    </row>
    <row r="7">
      <c r="A7" t="n">
        <v>1</v>
      </c>
      <c r="B7" s="21" t="inlineStr">
        <is>
          <t>Hogaza Rústica Blanca Campestre (Country Loaf 75% Hidratación)</t>
        </is>
      </c>
      <c r="C7" t="inlineStr">
        <is>
          <t>masa</t>
        </is>
      </c>
      <c r="D7" s="22" t="inlineStr">
        <is>
          <t>355 ml Agua purificada limpia (330 ml iniciales para autólisis + 25 ml para bassinage) (71% de agua añadida; 75% hidratación total sumando la masa madre)</t>
        </is>
      </c>
      <c r="E7" s="6" t="inlineStr">
        <is>
          <t>Agua purificada</t>
        </is>
      </c>
      <c r="F7" s="16" t="n">
        <v>355</v>
      </c>
      <c r="G7" t="inlineStr">
        <is>
          <t>ml</t>
        </is>
      </c>
      <c r="H7" s="12">
        <f>IFERROR(VLOOKUP(E7,Insumos!$C$5:$G$64,5,FALSE),0)</f>
        <v/>
      </c>
      <c r="I7" s="17">
        <f>F7*H7</f>
        <v/>
      </c>
    </row>
    <row r="8">
      <c r="A8" t="n">
        <v>1</v>
      </c>
      <c r="B8" s="21" t="inlineStr">
        <is>
          <t>Hogaza Rústica Blanca Campestre (Country Loaf 75% Hidratación)</t>
        </is>
      </c>
      <c r="C8" t="inlineStr">
        <is>
          <t>masa</t>
        </is>
      </c>
      <c r="D8" s="22" t="inlineStr">
        <is>
          <t>100 g Masa madre activa al 100% de hidratación refrescada 4 h antes (20%)</t>
        </is>
      </c>
      <c r="E8" s="6" t="inlineStr">
        <is>
          <t>Masa madre blanca activa 100% (cultivada)</t>
        </is>
      </c>
      <c r="F8" s="16" t="n">
        <v>100</v>
      </c>
      <c r="G8" t="inlineStr">
        <is>
          <t>g</t>
        </is>
      </c>
      <c r="H8" s="12">
        <f>IFERROR(VLOOKUP(E8,Insumos!$C$5:$G$64,5,FALSE),0)</f>
        <v/>
      </c>
      <c r="I8" s="17">
        <f>F8*H8</f>
        <v/>
      </c>
    </row>
    <row r="9">
      <c r="A9" t="n">
        <v>1</v>
      </c>
      <c r="B9" s="21" t="inlineStr">
        <is>
          <t>Hogaza Rústica Blanca Campestre (Country Loaf 75% Hidratación)</t>
        </is>
      </c>
      <c r="C9" t="inlineStr">
        <is>
          <t>masa</t>
        </is>
      </c>
      <c r="D9" s="22" t="inlineStr">
        <is>
          <t>10 g Sal marina fina no refinada (2%)</t>
        </is>
      </c>
      <c r="E9" s="6" t="inlineStr">
        <is>
          <t>Sal marina fina no refinada</t>
        </is>
      </c>
      <c r="F9" s="16" t="n">
        <v>10</v>
      </c>
      <c r="G9" t="inlineStr">
        <is>
          <t>g</t>
        </is>
      </c>
      <c r="H9" s="12">
        <f>IFERROR(VLOOKUP(E9,Insumos!$C$5:$G$64,5,FALSE),0)</f>
        <v/>
      </c>
      <c r="I9" s="17">
        <f>F9*H9</f>
        <v/>
      </c>
    </row>
    <row r="10">
      <c r="A10" t="n">
        <v>2</v>
      </c>
      <c r="B10" s="21" t="inlineStr">
        <is>
          <t>Pan Campesino Tradicional con Centeno y Trigo Integral (Pain de Campagne)</t>
        </is>
      </c>
      <c r="C10" t="inlineStr">
        <is>
          <t>masa</t>
        </is>
      </c>
      <c r="D10" s="22" t="inlineStr">
        <is>
          <t>375 g Harina de trigo panificable blanca (W 260-280, 12% proteína) (75%)</t>
        </is>
      </c>
      <c r="E10" s="6" t="inlineStr">
        <is>
          <t>Harina panificable de fuerza (W 280-300)</t>
        </is>
      </c>
      <c r="F10" s="16" t="n">
        <v>375</v>
      </c>
      <c r="G10" t="inlineStr">
        <is>
          <t>g</t>
        </is>
      </c>
      <c r="H10" s="12">
        <f>IFERROR(VLOOKUP(E10,Insumos!$C$5:$G$64,5,FALSE),0)</f>
        <v/>
      </c>
      <c r="I10" s="17">
        <f>F10*H10</f>
        <v/>
      </c>
    </row>
    <row r="11">
      <c r="A11" t="n">
        <v>2</v>
      </c>
      <c r="B11" s="21" t="inlineStr">
        <is>
          <t>Pan Campesino Tradicional con Centeno y Trigo Integral (Pain de Campagne)</t>
        </is>
      </c>
      <c r="C11" t="inlineStr">
        <is>
          <t>masa</t>
        </is>
      </c>
      <c r="D11" s="22" t="inlineStr">
        <is>
          <t>75 g Harina de trigo integral de molienda a la piedra (15%)</t>
        </is>
      </c>
      <c r="E11" s="6" t="inlineStr">
        <is>
          <t>Harina de trigo integral de molienda a la piedra</t>
        </is>
      </c>
      <c r="F11" s="16" t="n">
        <v>75</v>
      </c>
      <c r="G11" t="inlineStr">
        <is>
          <t>g</t>
        </is>
      </c>
      <c r="H11" s="12">
        <f>IFERROR(VLOOKUP(E11,Insumos!$C$5:$G$64,5,FALSE),0)</f>
        <v/>
      </c>
      <c r="I11" s="17">
        <f>F11*H11</f>
        <v/>
      </c>
    </row>
    <row r="12">
      <c r="A12" t="n">
        <v>2</v>
      </c>
      <c r="B12" s="21" t="inlineStr">
        <is>
          <t>Pan Campesino Tradicional con Centeno y Trigo Integral (Pain de Campagne)</t>
        </is>
      </c>
      <c r="C12" t="inlineStr">
        <is>
          <t>masa</t>
        </is>
      </c>
      <c r="D12" s="22" t="inlineStr">
        <is>
          <t>50 g Harina de centeno integral pura (10%)</t>
        </is>
      </c>
      <c r="E12" s="6" t="inlineStr">
        <is>
          <t>Harina de centeno integral o T130</t>
        </is>
      </c>
      <c r="F12" s="16" t="n">
        <v>50</v>
      </c>
      <c r="G12" t="inlineStr">
        <is>
          <t>g</t>
        </is>
      </c>
      <c r="H12" s="12">
        <f>IFERROR(VLOOKUP(E12,Insumos!$C$5:$G$64,5,FALSE),0)</f>
        <v/>
      </c>
      <c r="I12" s="17">
        <f>F12*H12</f>
        <v/>
      </c>
    </row>
    <row r="13">
      <c r="A13" t="n">
        <v>2</v>
      </c>
      <c r="B13" s="21" t="inlineStr">
        <is>
          <t>Pan Campesino Tradicional con Centeno y Trigo Integral (Pain de Campagne)</t>
        </is>
      </c>
      <c r="C13" t="inlineStr">
        <is>
          <t>masa</t>
        </is>
      </c>
      <c r="D13" s="22" t="inlineStr">
        <is>
          <t>340 ml Agua purificada limpia (320 ml para autólisis + 20 ml para disolver la sal) (68% agua añadida; 72% hidratación total)</t>
        </is>
      </c>
      <c r="E13" s="6" t="inlineStr">
        <is>
          <t>Agua purificada</t>
        </is>
      </c>
      <c r="F13" s="16" t="n">
        <v>340</v>
      </c>
      <c r="G13" t="inlineStr">
        <is>
          <t>ml</t>
        </is>
      </c>
      <c r="H13" s="12">
        <f>IFERROR(VLOOKUP(E13,Insumos!$C$5:$G$64,5,FALSE),0)</f>
        <v/>
      </c>
      <c r="I13" s="17">
        <f>F13*H13</f>
        <v/>
      </c>
    </row>
    <row r="14">
      <c r="A14" t="n">
        <v>2</v>
      </c>
      <c r="B14" s="21" t="inlineStr">
        <is>
          <t>Pan Campesino Tradicional con Centeno y Trigo Integral (Pain de Campagne)</t>
        </is>
      </c>
      <c r="C14" t="inlineStr">
        <is>
          <t>masa</t>
        </is>
      </c>
      <c r="D14" s="22" t="inlineStr">
        <is>
          <t>100 g Masa madre activa (alimentada con harina blanca y centeno integral al 100% de hidratación) (20%)</t>
        </is>
      </c>
      <c r="E14" s="6" t="inlineStr">
        <is>
          <t>Masa madre blanca activa 100% (cultivada)</t>
        </is>
      </c>
      <c r="F14" s="16" t="n">
        <v>100</v>
      </c>
      <c r="G14" t="inlineStr">
        <is>
          <t>g</t>
        </is>
      </c>
      <c r="H14" s="12">
        <f>IFERROR(VLOOKUP(E14,Insumos!$C$5:$G$64,5,FALSE),0)</f>
        <v/>
      </c>
      <c r="I14" s="17">
        <f>F14*H14</f>
        <v/>
      </c>
    </row>
    <row r="15">
      <c r="A15" t="n">
        <v>2</v>
      </c>
      <c r="B15" s="21" t="inlineStr">
        <is>
          <t>Pan Campesino Tradicional con Centeno y Trigo Integral (Pain de Campagne)</t>
        </is>
      </c>
      <c r="C15" t="inlineStr">
        <is>
          <t>masa</t>
        </is>
      </c>
      <c r="D15" s="22" t="inlineStr">
        <is>
          <t>10 g Sal marina fina (2%)</t>
        </is>
      </c>
      <c r="E15" s="6" t="inlineStr">
        <is>
          <t>Sal marina fina no refinada</t>
        </is>
      </c>
      <c r="F15" s="16" t="n">
        <v>10</v>
      </c>
      <c r="G15" t="inlineStr">
        <is>
          <t>g</t>
        </is>
      </c>
      <c r="H15" s="12">
        <f>IFERROR(VLOOKUP(E15,Insumos!$C$5:$G$64,5,FALSE),0)</f>
        <v/>
      </c>
      <c r="I15" s="17">
        <f>F15*H15</f>
        <v/>
      </c>
    </row>
    <row r="16">
      <c r="A16" t="n">
        <v>3</v>
      </c>
      <c r="B16" s="21" t="inlineStr">
        <is>
          <t>Barra Tradicional Rústica de Masa Madre (Formato Batard)</t>
        </is>
      </c>
      <c r="C16" t="inlineStr">
        <is>
          <t>masa</t>
        </is>
      </c>
      <c r="D16" s="22" t="inlineStr">
        <is>
          <t>450 g Harina de trigo panificable (W 260, 12% proteína) (90%)</t>
        </is>
      </c>
      <c r="E16" s="6" t="inlineStr">
        <is>
          <t>Harina panificable de fuerza (W 280-300)</t>
        </is>
      </c>
      <c r="F16" s="16" t="n">
        <v>450</v>
      </c>
      <c r="G16" t="inlineStr">
        <is>
          <t>g</t>
        </is>
      </c>
      <c r="H16" s="12">
        <f>IFERROR(VLOOKUP(E16,Insumos!$C$5:$G$64,5,FALSE),0)</f>
        <v/>
      </c>
      <c r="I16" s="17">
        <f>F16*H16</f>
        <v/>
      </c>
    </row>
    <row r="17">
      <c r="A17" t="n">
        <v>3</v>
      </c>
      <c r="B17" s="21" t="inlineStr">
        <is>
          <t>Barra Tradicional Rústica de Masa Madre (Formato Batard)</t>
        </is>
      </c>
      <c r="C17" t="inlineStr">
        <is>
          <t>masa</t>
        </is>
      </c>
      <c r="D17" s="22" t="inlineStr">
        <is>
          <t>50 g Harina de trigo integral blanca o semi-integral T80 (10%)</t>
        </is>
      </c>
      <c r="E17" s="6" t="inlineStr">
        <is>
          <t>Harina semi-integral T80 o T110</t>
        </is>
      </c>
      <c r="F17" s="16" t="n">
        <v>50</v>
      </c>
      <c r="G17" t="inlineStr">
        <is>
          <t>g</t>
        </is>
      </c>
      <c r="H17" s="12">
        <f>IFERROR(VLOOKUP(E17,Insumos!$C$5:$G$64,5,FALSE),0)</f>
        <v/>
      </c>
      <c r="I17" s="17">
        <f>F17*H17</f>
        <v/>
      </c>
    </row>
    <row r="18">
      <c r="A18" t="n">
        <v>3</v>
      </c>
      <c r="B18" s="21" t="inlineStr">
        <is>
          <t>Barra Tradicional Rústica de Masa Madre (Formato Batard)</t>
        </is>
      </c>
      <c r="C18" t="inlineStr">
        <is>
          <t>masa</t>
        </is>
      </c>
      <c r="D18" s="22" t="inlineStr">
        <is>
          <t>330 ml Agua purificada limpia (310 ml iniciales + 20 ml para la sal) (66% agua añadida; 70% hidratación total)</t>
        </is>
      </c>
      <c r="E18" s="6" t="inlineStr">
        <is>
          <t>Agua purificada</t>
        </is>
      </c>
      <c r="F18" s="16" t="n">
        <v>330</v>
      </c>
      <c r="G18" t="inlineStr">
        <is>
          <t>ml</t>
        </is>
      </c>
      <c r="H18" s="12">
        <f>IFERROR(VLOOKUP(E18,Insumos!$C$5:$G$64,5,FALSE),0)</f>
        <v/>
      </c>
      <c r="I18" s="17">
        <f>F18*H18</f>
        <v/>
      </c>
    </row>
    <row r="19">
      <c r="A19" t="n">
        <v>3</v>
      </c>
      <c r="B19" s="21" t="inlineStr">
        <is>
          <t>Barra Tradicional Rústica de Masa Madre (Formato Batard)</t>
        </is>
      </c>
      <c r="C19" t="inlineStr">
        <is>
          <t>masa</t>
        </is>
      </c>
      <c r="D19" s="22" t="inlineStr">
        <is>
          <t>100 g Masa madre activa al 100% de hidratación (20%)</t>
        </is>
      </c>
      <c r="E19" s="6" t="inlineStr">
        <is>
          <t>Masa madre blanca activa 100% (cultivada)</t>
        </is>
      </c>
      <c r="F19" s="16" t="n">
        <v>100</v>
      </c>
      <c r="G19" t="inlineStr">
        <is>
          <t>g</t>
        </is>
      </c>
      <c r="H19" s="12">
        <f>IFERROR(VLOOKUP(E19,Insumos!$C$5:$G$64,5,FALSE),0)</f>
        <v/>
      </c>
      <c r="I19" s="17">
        <f>F19*H19</f>
        <v/>
      </c>
    </row>
    <row r="20">
      <c r="A20" t="n">
        <v>3</v>
      </c>
      <c r="B20" s="21" t="inlineStr">
        <is>
          <t>Barra Tradicional Rústica de Masa Madre (Formato Batard)</t>
        </is>
      </c>
      <c r="C20" t="inlineStr">
        <is>
          <t>masa</t>
        </is>
      </c>
      <c r="D20" s="22" t="inlineStr">
        <is>
          <t>10 g Sal marina fina (2%)</t>
        </is>
      </c>
      <c r="E20" s="6" t="inlineStr">
        <is>
          <t>Sal marina fina no refinada</t>
        </is>
      </c>
      <c r="F20" s="16" t="n">
        <v>10</v>
      </c>
      <c r="G20" t="inlineStr">
        <is>
          <t>g</t>
        </is>
      </c>
      <c r="H20" s="12">
        <f>IFERROR(VLOOKUP(E20,Insumos!$C$5:$G$64,5,FALSE),0)</f>
        <v/>
      </c>
      <c r="I20" s="17">
        <f>F20*H20</f>
        <v/>
      </c>
    </row>
    <row r="21">
      <c r="A21" t="n">
        <v>4</v>
      </c>
      <c r="B21" s="21" t="inlineStr">
        <is>
          <t>Baguetín Clásico de Fermentación Lenta en Frío</t>
        </is>
      </c>
      <c r="C21" t="inlineStr">
        <is>
          <t>masa</t>
        </is>
      </c>
      <c r="D21" s="22" t="inlineStr">
        <is>
          <t>475 g Harina de trigo francesa tradicional T65 o harina de fuerza panificable (W 240, 11.8% proteína, P/L 0.5) (95%)</t>
        </is>
      </c>
      <c r="E21" s="6" t="inlineStr">
        <is>
          <t>Harina francesa T65 o tipo 00</t>
        </is>
      </c>
      <c r="F21" s="16" t="n">
        <v>475</v>
      </c>
      <c r="G21" t="inlineStr">
        <is>
          <t>g</t>
        </is>
      </c>
      <c r="H21" s="12">
        <f>IFERROR(VLOOKUP(E21,Insumos!$C$5:$G$64,5,FALSE),0)</f>
        <v/>
      </c>
      <c r="I21" s="17">
        <f>F21*H21</f>
        <v/>
      </c>
    </row>
    <row r="22">
      <c r="A22" t="n">
        <v>4</v>
      </c>
      <c r="B22" s="21" t="inlineStr">
        <is>
          <t>Baguetín Clásico de Fermentación Lenta en Frío</t>
        </is>
      </c>
      <c r="C22" t="inlineStr">
        <is>
          <t>masa</t>
        </is>
      </c>
      <c r="D22" s="22" t="inlineStr">
        <is>
          <t>25 g Harina de centeno blanca o T70 (5%, mejora la fermentación y color de corteza)</t>
        </is>
      </c>
      <c r="E22" s="6" t="inlineStr">
        <is>
          <t>Harina de centeno blanca T70</t>
        </is>
      </c>
      <c r="F22" s="16" t="n">
        <v>25</v>
      </c>
      <c r="G22" t="inlineStr">
        <is>
          <t>g</t>
        </is>
      </c>
      <c r="H22" s="12">
        <f>IFERROR(VLOOKUP(E22,Insumos!$C$5:$G$64,5,FALSE),0)</f>
        <v/>
      </c>
      <c r="I22" s="17">
        <f>F22*H22</f>
        <v/>
      </c>
    </row>
    <row r="23">
      <c r="A23" t="n">
        <v>4</v>
      </c>
      <c r="B23" s="21" t="inlineStr">
        <is>
          <t>Baguetín Clásico de Fermentación Lenta en Frío</t>
        </is>
      </c>
      <c r="C23" t="inlineStr">
        <is>
          <t>masa</t>
        </is>
      </c>
      <c r="D23" s="22" t="inlineStr">
        <is>
          <t>325 ml Agua purificada fría a 15 °C (310 ml para autólisis + 15 ml para la sal) (65% agua añadida; 68% hidratación total)</t>
        </is>
      </c>
      <c r="E23" s="6" t="inlineStr">
        <is>
          <t>Agua purificada</t>
        </is>
      </c>
      <c r="F23" s="16" t="n">
        <v>325</v>
      </c>
      <c r="G23" t="inlineStr">
        <is>
          <t>ml</t>
        </is>
      </c>
      <c r="H23" s="12">
        <f>IFERROR(VLOOKUP(E23,Insumos!$C$5:$G$64,5,FALSE),0)</f>
        <v/>
      </c>
      <c r="I23" s="17">
        <f>F23*H23</f>
        <v/>
      </c>
    </row>
    <row r="24">
      <c r="A24" t="n">
        <v>4</v>
      </c>
      <c r="B24" s="21" t="inlineStr">
        <is>
          <t>Baguetín Clásico de Fermentación Lenta en Frío</t>
        </is>
      </c>
      <c r="C24" t="inlineStr">
        <is>
          <t>masa</t>
        </is>
      </c>
      <c r="D24" s="22" t="inlineStr">
        <is>
          <t>75 g Masa madre activa al 100% de hidratación (15%)</t>
        </is>
      </c>
      <c r="E24" s="6" t="inlineStr">
        <is>
          <t>Masa madre blanca activa 100% (cultivada)</t>
        </is>
      </c>
      <c r="F24" s="16" t="n">
        <v>75</v>
      </c>
      <c r="G24" t="inlineStr">
        <is>
          <t>g</t>
        </is>
      </c>
      <c r="H24" s="12">
        <f>IFERROR(VLOOKUP(E24,Insumos!$C$5:$G$64,5,FALSE),0)</f>
        <v/>
      </c>
      <c r="I24" s="17">
        <f>F24*H24</f>
        <v/>
      </c>
    </row>
    <row r="25">
      <c r="A25" t="n">
        <v>4</v>
      </c>
      <c r="B25" s="21" t="inlineStr">
        <is>
          <t>Baguetín Clásico de Fermentación Lenta en Frío</t>
        </is>
      </c>
      <c r="C25" t="inlineStr">
        <is>
          <t>masa</t>
        </is>
      </c>
      <c r="D25" s="22" t="inlineStr">
        <is>
          <t>10 g Sal marina fina (2%)</t>
        </is>
      </c>
      <c r="E25" s="6" t="inlineStr">
        <is>
          <t>Sal marina fina no refinada</t>
        </is>
      </c>
      <c r="F25" s="16" t="n">
        <v>10</v>
      </c>
      <c r="G25" t="inlineStr">
        <is>
          <t>g</t>
        </is>
      </c>
      <c r="H25" s="12">
        <f>IFERROR(VLOOKUP(E25,Insumos!$C$5:$G$64,5,FALSE),0)</f>
        <v/>
      </c>
      <c r="I25" s="17">
        <f>F25*H25</f>
        <v/>
      </c>
    </row>
    <row r="26">
      <c r="A26" t="n">
        <v>5</v>
      </c>
      <c r="B26" s="21" t="inlineStr">
        <is>
          <t>Chapatas Tradicionales de Alta Hidratación al 85% con Masa Madre (Ciabatta)</t>
        </is>
      </c>
      <c r="C26" t="inlineStr">
        <is>
          <t>masa</t>
        </is>
      </c>
      <c r="D26" s="22" t="inlineStr">
        <is>
          <t>475 g Harina de trigo de alta fuerza (W 320-350, 13.5% proteína, P/L 0.5-0.6) (95%)</t>
        </is>
      </c>
      <c r="E26" s="6" t="inlineStr">
        <is>
          <t>Harina de gran fuerza (W 350+) o de panettone</t>
        </is>
      </c>
      <c r="F26" s="16" t="n">
        <v>475</v>
      </c>
      <c r="G26" t="inlineStr">
        <is>
          <t>g</t>
        </is>
      </c>
      <c r="H26" s="12">
        <f>IFERROR(VLOOKUP(E26,Insumos!$C$5:$G$64,5,FALSE),0)</f>
        <v/>
      </c>
      <c r="I26" s="17">
        <f>F26*H26</f>
        <v/>
      </c>
    </row>
    <row r="27">
      <c r="A27" t="n">
        <v>5</v>
      </c>
      <c r="B27" s="21" t="inlineStr">
        <is>
          <t>Chapatas Tradicionales de Alta Hidratación al 85% con Masa Madre (Ciabatta)</t>
        </is>
      </c>
      <c r="C27" t="inlineStr">
        <is>
          <t>masa</t>
        </is>
      </c>
      <c r="D27" s="22" t="inlineStr">
        <is>
          <t>25 g Harina de trigo integral o harina de malta diastásica (5%)</t>
        </is>
      </c>
      <c r="E27" s="6" t="inlineStr">
        <is>
          <t>Harina de trigo integral de molienda a la piedra</t>
        </is>
      </c>
      <c r="F27" s="16" t="n">
        <v>25</v>
      </c>
      <c r="G27" t="inlineStr">
        <is>
          <t>g</t>
        </is>
      </c>
      <c r="H27" s="12">
        <f>IFERROR(VLOOKUP(E27,Insumos!$C$5:$G$64,5,FALSE),0)</f>
        <v/>
      </c>
      <c r="I27" s="17">
        <f>F27*H27</f>
        <v/>
      </c>
    </row>
    <row r="28">
      <c r="A28" t="n">
        <v>5</v>
      </c>
      <c r="B28" s="21" t="inlineStr">
        <is>
          <t>Chapatas Tradicionales de Alta Hidratación al 85% con Masa Madre (Ciabatta)</t>
        </is>
      </c>
      <c r="C28" t="inlineStr">
        <is>
          <t>masa</t>
        </is>
      </c>
      <c r="D28" s="22" t="inlineStr">
        <is>
          <t>410 ml Agua purificada fría (340 ml para autólisis + 70 ml para bassinage) (82% agua añadida; 85% hidratación total)</t>
        </is>
      </c>
      <c r="E28" s="6" t="inlineStr">
        <is>
          <t>Agua purificada</t>
        </is>
      </c>
      <c r="F28" s="16" t="n">
        <v>410</v>
      </c>
      <c r="G28" t="inlineStr">
        <is>
          <t>ml</t>
        </is>
      </c>
      <c r="H28" s="12">
        <f>IFERROR(VLOOKUP(E28,Insumos!$C$5:$G$64,5,FALSE),0)</f>
        <v/>
      </c>
      <c r="I28" s="17">
        <f>F28*H28</f>
        <v/>
      </c>
    </row>
    <row r="29">
      <c r="A29" t="n">
        <v>5</v>
      </c>
      <c r="B29" s="21" t="inlineStr">
        <is>
          <t>Chapatas Tradicionales de Alta Hidratación al 85% con Masa Madre (Ciabatta)</t>
        </is>
      </c>
      <c r="C29" t="inlineStr">
        <is>
          <t>masa</t>
        </is>
      </c>
      <c r="D29" s="22" t="inlineStr">
        <is>
          <t>100 g Masa madre activa al 100% de hidratación (20%)</t>
        </is>
      </c>
      <c r="E29" s="6" t="inlineStr">
        <is>
          <t>Masa madre blanca activa 100% (cultivada)</t>
        </is>
      </c>
      <c r="F29" s="16" t="n">
        <v>100</v>
      </c>
      <c r="G29" t="inlineStr">
        <is>
          <t>g</t>
        </is>
      </c>
      <c r="H29" s="12">
        <f>IFERROR(VLOOKUP(E29,Insumos!$C$5:$G$64,5,FALSE),0)</f>
        <v/>
      </c>
      <c r="I29" s="17">
        <f>F29*H29</f>
        <v/>
      </c>
    </row>
    <row r="30">
      <c r="A30" t="n">
        <v>5</v>
      </c>
      <c r="B30" s="21" t="inlineStr">
        <is>
          <t>Chapatas Tradicionales de Alta Hidratación al 85% con Masa Madre (Ciabatta)</t>
        </is>
      </c>
      <c r="C30" t="inlineStr">
        <is>
          <t>masa</t>
        </is>
      </c>
      <c r="D30" s="22" t="inlineStr">
        <is>
          <t>11 g Sal marina fina (2.2%)</t>
        </is>
      </c>
      <c r="E30" s="6" t="inlineStr">
        <is>
          <t>Sal marina fina no refinada</t>
        </is>
      </c>
      <c r="F30" s="16" t="n">
        <v>11</v>
      </c>
      <c r="G30" t="inlineStr">
        <is>
          <t>g</t>
        </is>
      </c>
      <c r="H30" s="12">
        <f>IFERROR(VLOOKUP(E30,Insumos!$C$5:$G$64,5,FALSE),0)</f>
        <v/>
      </c>
      <c r="I30" s="17">
        <f>F30*H30</f>
        <v/>
      </c>
    </row>
    <row r="31">
      <c r="A31" t="n">
        <v>5</v>
      </c>
      <c r="B31" s="21" t="inlineStr">
        <is>
          <t>Chapatas Tradicionales de Alta Hidratación al 85% con Masa Madre (Ciabatta)</t>
        </is>
      </c>
      <c r="C31" t="inlineStr">
        <is>
          <t>masa</t>
        </is>
      </c>
      <c r="D31" s="22" t="inlineStr">
        <is>
          <t>15 ml Aceite de oliva virgen extra (3%, para la cubeta y flexibilidad de miga)</t>
        </is>
      </c>
      <c r="E31" s="6" t="inlineStr">
        <is>
          <t>Aceite de oliva virgen extra</t>
        </is>
      </c>
      <c r="F31" s="16" t="n">
        <v>15</v>
      </c>
      <c r="G31" t="inlineStr">
        <is>
          <t>ml</t>
        </is>
      </c>
      <c r="H31" s="12">
        <f>IFERROR(VLOOKUP(E31,Insumos!$C$5:$G$64,5,FALSE),0)</f>
        <v/>
      </c>
      <c r="I31" s="17">
        <f>F31*H31</f>
        <v/>
      </c>
    </row>
    <row r="32">
      <c r="A32" t="n">
        <v>6</v>
      </c>
      <c r="B32" s="21" t="inlineStr">
        <is>
          <t>Góndolas Venecianas de Corteza Crujiente (Pan de Formato Naval Alargado)</t>
        </is>
      </c>
      <c r="C32" t="inlineStr">
        <is>
          <t>masa</t>
        </is>
      </c>
      <c r="D32" s="22" t="inlineStr">
        <is>
          <t>450 g Harina de trigo panificable (W 260, 12% proteína, P/L 0.5) (90%)</t>
        </is>
      </c>
      <c r="E32" s="6" t="inlineStr">
        <is>
          <t>Harina panificable de fuerza (W 280-300)</t>
        </is>
      </c>
      <c r="F32" s="16" t="n">
        <v>450</v>
      </c>
      <c r="G32" t="inlineStr">
        <is>
          <t>g</t>
        </is>
      </c>
      <c r="H32" s="12">
        <f>IFERROR(VLOOKUP(E32,Insumos!$C$5:$G$64,5,FALSE),0)</f>
        <v/>
      </c>
      <c r="I32" s="17">
        <f>F32*H32</f>
        <v/>
      </c>
    </row>
    <row r="33">
      <c r="A33" t="n">
        <v>6</v>
      </c>
      <c r="B33" s="21" t="inlineStr">
        <is>
          <t>Góndolas Venecianas de Corteza Crujiente (Pan de Formato Naval Alargado)</t>
        </is>
      </c>
      <c r="C33" t="inlineStr">
        <is>
          <t>masa</t>
        </is>
      </c>
      <c r="D33" s="22" t="inlineStr">
        <is>
          <t>50 g Sémola rimacinata de trigo duro (10%, aporta crujido vítreo y tono dorado)</t>
        </is>
      </c>
      <c r="E33" s="6" t="inlineStr">
        <is>
          <t>Sémola rimacinata de trigo duro</t>
        </is>
      </c>
      <c r="F33" s="16" t="n">
        <v>50</v>
      </c>
      <c r="G33" t="inlineStr">
        <is>
          <t>g</t>
        </is>
      </c>
      <c r="H33" s="12">
        <f>IFERROR(VLOOKUP(E33,Insumos!$C$5:$G$64,5,FALSE),0)</f>
        <v/>
      </c>
      <c r="I33" s="17">
        <f>F33*H33</f>
        <v/>
      </c>
    </row>
    <row r="34">
      <c r="A34" t="n">
        <v>6</v>
      </c>
      <c r="B34" s="21" t="inlineStr">
        <is>
          <t>Góndolas Venecianas de Corteza Crujiente (Pan de Formato Naval Alargado)</t>
        </is>
      </c>
      <c r="C34" t="inlineStr">
        <is>
          <t>masa</t>
        </is>
      </c>
      <c r="D34" s="22" t="inlineStr">
        <is>
          <t>310 ml Agua purificada limpia (290 ml iniciales + 20 ml para la sal) (62% agua añadida; 66% hidratación total)</t>
        </is>
      </c>
      <c r="E34" s="6" t="inlineStr">
        <is>
          <t>Agua purificada</t>
        </is>
      </c>
      <c r="F34" s="16" t="n">
        <v>310</v>
      </c>
      <c r="G34" t="inlineStr">
        <is>
          <t>ml</t>
        </is>
      </c>
      <c r="H34" s="12">
        <f>IFERROR(VLOOKUP(E34,Insumos!$C$5:$G$64,5,FALSE),0)</f>
        <v/>
      </c>
      <c r="I34" s="17">
        <f>F34*H34</f>
        <v/>
      </c>
    </row>
    <row r="35">
      <c r="A35" t="n">
        <v>6</v>
      </c>
      <c r="B35" s="21" t="inlineStr">
        <is>
          <t>Góndolas Venecianas de Corteza Crujiente (Pan de Formato Naval Alargado)</t>
        </is>
      </c>
      <c r="C35" t="inlineStr">
        <is>
          <t>masa</t>
        </is>
      </c>
      <c r="D35" s="22" t="inlineStr">
        <is>
          <t>100 g Masa madre activa al 100% de hidratación (20%)</t>
        </is>
      </c>
      <c r="E35" s="6" t="inlineStr">
        <is>
          <t>Masa madre blanca activa 100% (cultivada)</t>
        </is>
      </c>
      <c r="F35" s="16" t="n">
        <v>100</v>
      </c>
      <c r="G35" t="inlineStr">
        <is>
          <t>g</t>
        </is>
      </c>
      <c r="H35" s="12">
        <f>IFERROR(VLOOKUP(E35,Insumos!$C$5:$G$64,5,FALSE),0)</f>
        <v/>
      </c>
      <c r="I35" s="17">
        <f>F35*H35</f>
        <v/>
      </c>
    </row>
    <row r="36">
      <c r="A36" t="n">
        <v>6</v>
      </c>
      <c r="B36" s="21" t="inlineStr">
        <is>
          <t>Góndolas Venecianas de Corteza Crujiente (Pan de Formato Naval Alargado)</t>
        </is>
      </c>
      <c r="C36" t="inlineStr">
        <is>
          <t>masa</t>
        </is>
      </c>
      <c r="D36" s="22" t="inlineStr">
        <is>
          <t>10 g Sal marina fina (2%)</t>
        </is>
      </c>
      <c r="E36" s="6" t="inlineStr">
        <is>
          <t>Sal marina fina no refinada</t>
        </is>
      </c>
      <c r="F36" s="16" t="n">
        <v>10</v>
      </c>
      <c r="G36" t="inlineStr">
        <is>
          <t>g</t>
        </is>
      </c>
      <c r="H36" s="12">
        <f>IFERROR(VLOOKUP(E36,Insumos!$C$5:$G$64,5,FALSE),0)</f>
        <v/>
      </c>
      <c r="I36" s="17">
        <f>F36*H36</f>
        <v/>
      </c>
    </row>
    <row r="37">
      <c r="A37" t="n">
        <v>6</v>
      </c>
      <c r="B37" s="21" t="inlineStr">
        <is>
          <t>Góndolas Venecianas de Corteza Crujiente (Pan de Formato Naval Alargado)</t>
        </is>
      </c>
      <c r="C37" t="inlineStr">
        <is>
          <t>masa</t>
        </is>
      </c>
      <c r="D37" s="22" t="inlineStr">
        <is>
          <t>10 ml Aceite de oliva virgen extra (2%)</t>
        </is>
      </c>
      <c r="E37" s="6" t="inlineStr">
        <is>
          <t>Aceite de oliva virgen extra</t>
        </is>
      </c>
      <c r="F37" s="16" t="n">
        <v>10</v>
      </c>
      <c r="G37" t="inlineStr">
        <is>
          <t>ml</t>
        </is>
      </c>
      <c r="H37" s="12">
        <f>IFERROR(VLOOKUP(E37,Insumos!$C$5:$G$64,5,FALSE),0)</f>
        <v/>
      </c>
      <c r="I37" s="17">
        <f>F37*H37</f>
        <v/>
      </c>
    </row>
    <row r="38">
      <c r="A38" t="n">
        <v>6</v>
      </c>
      <c r="B38" s="21" t="inlineStr">
        <is>
          <t>Góndolas Venecianas de Corteza Crujiente (Pan de Formato Naval Alargado)</t>
        </is>
      </c>
      <c r="C38" t="inlineStr">
        <is>
          <t>masa</t>
        </is>
      </c>
      <c r="D38" s="22" t="inlineStr">
        <is>
          <t>40 g Sémola de trigo duro extra para el espolvoreado y formado</t>
        </is>
      </c>
      <c r="E38" s="6" t="inlineStr">
        <is>
          <t>Sémola rimacinata de trigo duro</t>
        </is>
      </c>
      <c r="F38" s="16" t="n">
        <v>40</v>
      </c>
      <c r="G38" t="inlineStr">
        <is>
          <t>g</t>
        </is>
      </c>
      <c r="H38" s="12">
        <f>IFERROR(VLOOKUP(E38,Insumos!$C$5:$G$64,5,FALSE),0)</f>
        <v/>
      </c>
      <c r="I38" s="17">
        <f>F38*H38</f>
        <v/>
      </c>
    </row>
    <row r="39">
      <c r="A39" t="n">
        <v>7</v>
      </c>
      <c r="B39" s="21" t="inlineStr">
        <is>
          <t>Trenza Rústica de Tres Cabos de Masa Madre con Semillas Tostadas</t>
        </is>
      </c>
      <c r="C39" t="inlineStr">
        <is>
          <t>masa</t>
        </is>
      </c>
      <c r="D39" s="22" t="inlineStr">
        <is>
          <t>450 g Harina de trigo panificable (W 260-280, 12.2% proteína) (90%)</t>
        </is>
      </c>
      <c r="E39" s="6" t="inlineStr">
        <is>
          <t>Harina panificable de fuerza (W 280-300)</t>
        </is>
      </c>
      <c r="F39" s="16" t="n">
        <v>450</v>
      </c>
      <c r="G39" t="inlineStr">
        <is>
          <t>g</t>
        </is>
      </c>
      <c r="H39" s="12">
        <f>IFERROR(VLOOKUP(E39,Insumos!$C$5:$G$64,5,FALSE),0)</f>
        <v/>
      </c>
      <c r="I39" s="17">
        <f>F39*H39</f>
        <v/>
      </c>
    </row>
    <row r="40">
      <c r="A40" t="n">
        <v>7</v>
      </c>
      <c r="B40" s="21" t="inlineStr">
        <is>
          <t>Trenza Rústica de Tres Cabos de Masa Madre con Semillas Tostadas</t>
        </is>
      </c>
      <c r="C40" t="inlineStr">
        <is>
          <t>masa</t>
        </is>
      </c>
      <c r="D40" s="22" t="inlineStr">
        <is>
          <t>50 g Harina de trigo integral de molienda fina (10%)</t>
        </is>
      </c>
      <c r="E40" s="6" t="inlineStr">
        <is>
          <t>Harina de trigo integral de molienda a la piedra</t>
        </is>
      </c>
      <c r="F40" s="16" t="n">
        <v>50</v>
      </c>
      <c r="G40" t="inlineStr">
        <is>
          <t>g</t>
        </is>
      </c>
      <c r="H40" s="12">
        <f>IFERROR(VLOOKUP(E40,Insumos!$C$5:$G$64,5,FALSE),0)</f>
        <v/>
      </c>
      <c r="I40" s="17">
        <f>F40*H40</f>
        <v/>
      </c>
    </row>
    <row r="41">
      <c r="A41" t="n">
        <v>7</v>
      </c>
      <c r="B41" s="21" t="inlineStr">
        <is>
          <t>Trenza Rústica de Tres Cabos de Masa Madre con Semillas Tostadas</t>
        </is>
      </c>
      <c r="C41" t="inlineStr">
        <is>
          <t>masa</t>
        </is>
      </c>
      <c r="D41" s="22" t="inlineStr">
        <is>
          <t>305 ml Agua purificada limpia (285 ml iniciales + 20 ml para la sal) (61% agua añadida; 65% hidratación total)</t>
        </is>
      </c>
      <c r="E41" s="6" t="inlineStr">
        <is>
          <t>Agua purificada</t>
        </is>
      </c>
      <c r="F41" s="16" t="n">
        <v>305</v>
      </c>
      <c r="G41" t="inlineStr">
        <is>
          <t>ml</t>
        </is>
      </c>
      <c r="H41" s="12">
        <f>IFERROR(VLOOKUP(E41,Insumos!$C$5:$G$64,5,FALSE),0)</f>
        <v/>
      </c>
      <c r="I41" s="17">
        <f>F41*H41</f>
        <v/>
      </c>
    </row>
    <row r="42">
      <c r="A42" t="n">
        <v>7</v>
      </c>
      <c r="B42" s="21" t="inlineStr">
        <is>
          <t>Trenza Rústica de Tres Cabos de Masa Madre con Semillas Tostadas</t>
        </is>
      </c>
      <c r="C42" t="inlineStr">
        <is>
          <t>masa</t>
        </is>
      </c>
      <c r="D42" s="22" t="inlineStr">
        <is>
          <t>100 g Masa madre activa al 100% de hidratación (20%)</t>
        </is>
      </c>
      <c r="E42" s="6" t="inlineStr">
        <is>
          <t>Masa madre blanca activa 100% (cultivada)</t>
        </is>
      </c>
      <c r="F42" s="16" t="n">
        <v>100</v>
      </c>
      <c r="G42" t="inlineStr">
        <is>
          <t>g</t>
        </is>
      </c>
      <c r="H42" s="12">
        <f>IFERROR(VLOOKUP(E42,Insumos!$C$5:$G$64,5,FALSE),0)</f>
        <v/>
      </c>
      <c r="I42" s="17">
        <f>F42*H42</f>
        <v/>
      </c>
    </row>
    <row r="43">
      <c r="A43" t="n">
        <v>7</v>
      </c>
      <c r="B43" s="21" t="inlineStr">
        <is>
          <t>Trenza Rústica de Tres Cabos de Masa Madre con Semillas Tostadas</t>
        </is>
      </c>
      <c r="C43" t="inlineStr">
        <is>
          <t>masa</t>
        </is>
      </c>
      <c r="D43" s="22" t="inlineStr">
        <is>
          <t>10 g Sal marina fina (2%)</t>
        </is>
      </c>
      <c r="E43" s="6" t="inlineStr">
        <is>
          <t>Sal marina fina no refinada</t>
        </is>
      </c>
      <c r="F43" s="16" t="n">
        <v>10</v>
      </c>
      <c r="G43" t="inlineStr">
        <is>
          <t>g</t>
        </is>
      </c>
      <c r="H43" s="12">
        <f>IFERROR(VLOOKUP(E43,Insumos!$C$5:$G$64,5,FALSE),0)</f>
        <v/>
      </c>
      <c r="I43" s="17">
        <f>F43*H43</f>
        <v/>
      </c>
    </row>
    <row r="44">
      <c r="A44" t="n">
        <v>7</v>
      </c>
      <c r="B44" s="21" t="inlineStr">
        <is>
          <t>Trenza Rústica de Tres Cabos de Masa Madre con Semillas Tostadas</t>
        </is>
      </c>
      <c r="C44" t="inlineStr">
        <is>
          <t>masa</t>
        </is>
      </c>
      <c r="D44" s="22" t="inlineStr">
        <is>
          <t>15 g Miel de abeja pura (3%, favorece el dorado y elasticidad del cordón)</t>
        </is>
      </c>
      <c r="E44" s="6" t="inlineStr">
        <is>
          <t>Miel de abeja</t>
        </is>
      </c>
      <c r="F44" s="16" t="n">
        <v>15</v>
      </c>
      <c r="G44" t="inlineStr">
        <is>
          <t>g</t>
        </is>
      </c>
      <c r="H44" s="12">
        <f>IFERROR(VLOOKUP(E44,Insumos!$C$5:$G$64,5,FALSE),0)</f>
        <v/>
      </c>
      <c r="I44" s="17">
        <f>F44*H44</f>
        <v/>
      </c>
    </row>
    <row r="45">
      <c r="A45" t="n">
        <v>7</v>
      </c>
      <c r="B45" s="21" t="inlineStr">
        <is>
          <t>Trenza Rústica de Tres Cabos de Masa Madre con Semillas Tostadas</t>
        </is>
      </c>
      <c r="C45" t="inlineStr">
        <is>
          <t>acabado</t>
        </is>
      </c>
      <c r="D45" s="22" t="inlineStr">
        <is>
          <t>30 g Semillas de sésamo tostado</t>
        </is>
      </c>
      <c r="E45" s="6" t="inlineStr">
        <is>
          <t>Semilla de sésamo o ajonjolí</t>
        </is>
      </c>
      <c r="F45" s="16" t="n">
        <v>30</v>
      </c>
      <c r="G45" t="inlineStr">
        <is>
          <t>g</t>
        </is>
      </c>
      <c r="H45" s="12">
        <f>IFERROR(VLOOKUP(E45,Insumos!$C$5:$G$64,5,FALSE),0)</f>
        <v/>
      </c>
      <c r="I45" s="17">
        <f>F45*H45</f>
        <v/>
      </c>
    </row>
    <row r="46">
      <c r="A46" t="n">
        <v>7</v>
      </c>
      <c r="B46" s="21" t="inlineStr">
        <is>
          <t>Trenza Rústica de Tres Cabos de Masa Madre con Semillas Tostadas</t>
        </is>
      </c>
      <c r="C46" t="inlineStr">
        <is>
          <t>acabado</t>
        </is>
      </c>
      <c r="D46" s="22" t="inlineStr">
        <is>
          <t>20 g Semillas de amapola</t>
        </is>
      </c>
      <c r="E46" s="6" t="inlineStr">
        <is>
          <t>Semilla de amapola</t>
        </is>
      </c>
      <c r="F46" s="16" t="n">
        <v>20</v>
      </c>
      <c r="G46" t="inlineStr">
        <is>
          <t>g</t>
        </is>
      </c>
      <c r="H46" s="12">
        <f>IFERROR(VLOOKUP(E46,Insumos!$C$5:$G$64,5,FALSE),0)</f>
        <v/>
      </c>
      <c r="I46" s="17">
        <f>F46*H46</f>
        <v/>
      </c>
    </row>
    <row r="47">
      <c r="A47" t="n">
        <v>7</v>
      </c>
      <c r="B47" s="21" t="inlineStr">
        <is>
          <t>Trenza Rústica de Tres Cabos de Masa Madre con Semillas Tostadas</t>
        </is>
      </c>
      <c r="C47" t="inlineStr">
        <is>
          <t>acabado</t>
        </is>
      </c>
      <c r="D47" s="22" t="inlineStr">
        <is>
          <t>20 g Semillas de lino dorado</t>
        </is>
      </c>
      <c r="E47" s="6" t="inlineStr">
        <is>
          <t>Semilla de lino</t>
        </is>
      </c>
      <c r="F47" s="16" t="n">
        <v>20</v>
      </c>
      <c r="G47" t="inlineStr">
        <is>
          <t>g</t>
        </is>
      </c>
      <c r="H47" s="12">
        <f>IFERROR(VLOOKUP(E47,Insumos!$C$5:$G$64,5,FALSE),0)</f>
        <v/>
      </c>
      <c r="I47" s="17">
        <f>F47*H47</f>
        <v/>
      </c>
    </row>
    <row r="48">
      <c r="A48" t="n">
        <v>8</v>
      </c>
      <c r="B48" s="21" t="inlineStr">
        <is>
          <t>Baguette Tradicional Francesa 100% Levain (Sin Levadura Comercial)</t>
        </is>
      </c>
      <c r="C48" t="inlineStr">
        <is>
          <t>masa</t>
        </is>
      </c>
      <c r="D48" s="22" t="inlineStr">
        <is>
          <t>475 g Harina de trigo francesa T65 tradicional o harina panificable pura (W 230-250, 11.5% proteína, P/L 0.5) (95%)</t>
        </is>
      </c>
      <c r="E48" s="6" t="inlineStr">
        <is>
          <t>Harina francesa T65 o tipo 00</t>
        </is>
      </c>
      <c r="F48" s="16" t="n">
        <v>475</v>
      </c>
      <c r="G48" t="inlineStr">
        <is>
          <t>g</t>
        </is>
      </c>
      <c r="H48" s="12">
        <f>IFERROR(VLOOKUP(E48,Insumos!$C$5:$G$64,5,FALSE),0)</f>
        <v/>
      </c>
      <c r="I48" s="17">
        <f>F48*H48</f>
        <v/>
      </c>
    </row>
    <row r="49">
      <c r="A49" t="n">
        <v>8</v>
      </c>
      <c r="B49" s="21" t="inlineStr">
        <is>
          <t>Baguette Tradicional Francesa 100% Levain (Sin Levadura Comercial)</t>
        </is>
      </c>
      <c r="C49" t="inlineStr">
        <is>
          <t>masa</t>
        </is>
      </c>
      <c r="D49" s="22" t="inlineStr">
        <is>
          <t>25 g Harina de trigo integral T150 o centeno blanco (5%)</t>
        </is>
      </c>
      <c r="E49" s="6" t="inlineStr">
        <is>
          <t>Harina semi-integral T80 o T110</t>
        </is>
      </c>
      <c r="F49" s="16" t="n">
        <v>25</v>
      </c>
      <c r="G49" t="inlineStr">
        <is>
          <t>g</t>
        </is>
      </c>
      <c r="H49" s="12">
        <f>IFERROR(VLOOKUP(E49,Insumos!$C$5:$G$64,5,FALSE),0)</f>
        <v/>
      </c>
      <c r="I49" s="17">
        <f>F49*H49</f>
        <v/>
      </c>
    </row>
    <row r="50">
      <c r="A50" t="n">
        <v>8</v>
      </c>
      <c r="B50" s="21" t="inlineStr">
        <is>
          <t>Baguette Tradicional Francesa 100% Levain (Sin Levadura Comercial)</t>
        </is>
      </c>
      <c r="C50" t="inlineStr">
        <is>
          <t>masa</t>
        </is>
      </c>
      <c r="D50" s="22" t="inlineStr">
        <is>
          <t>335 ml Agua purificada fría a 14 °C (315 ml para autólisis + 20 ml para la sal) (67% agua añadida; 70% hidratación total)</t>
        </is>
      </c>
      <c r="E50" s="6" t="inlineStr">
        <is>
          <t>Agua purificada</t>
        </is>
      </c>
      <c r="F50" s="16" t="n">
        <v>335</v>
      </c>
      <c r="G50" t="inlineStr">
        <is>
          <t>ml</t>
        </is>
      </c>
      <c r="H50" s="12">
        <f>IFERROR(VLOOKUP(E50,Insumos!$C$5:$G$64,5,FALSE),0)</f>
        <v/>
      </c>
      <c r="I50" s="17">
        <f>F50*H50</f>
        <v/>
      </c>
    </row>
    <row r="51">
      <c r="A51" t="n">
        <v>8</v>
      </c>
      <c r="B51" s="21" t="inlineStr">
        <is>
          <t>Baguette Tradicional Francesa 100% Levain (Sin Levadura Comercial)</t>
        </is>
      </c>
      <c r="C51" t="inlineStr">
        <is>
          <t>masa</t>
        </is>
      </c>
      <c r="D51" s="22" t="inlineStr">
        <is>
          <t>75 g Masa madre activa de harina blanca al 100% de hidratación (15%)</t>
        </is>
      </c>
      <c r="E51" s="6" t="inlineStr">
        <is>
          <t>Masa madre blanca activa 100% (cultivada)</t>
        </is>
      </c>
      <c r="F51" s="16" t="n">
        <v>75</v>
      </c>
      <c r="G51" t="inlineStr">
        <is>
          <t>g</t>
        </is>
      </c>
      <c r="H51" s="12">
        <f>IFERROR(VLOOKUP(E51,Insumos!$C$5:$G$64,5,FALSE),0)</f>
        <v/>
      </c>
      <c r="I51" s="17">
        <f>F51*H51</f>
        <v/>
      </c>
    </row>
    <row r="52">
      <c r="A52" t="n">
        <v>8</v>
      </c>
      <c r="B52" s="21" t="inlineStr">
        <is>
          <t>Baguette Tradicional Francesa 100% Levain (Sin Levadura Comercial)</t>
        </is>
      </c>
      <c r="C52" t="inlineStr">
        <is>
          <t>masa</t>
        </is>
      </c>
      <c r="D52" s="22" t="inlineStr">
        <is>
          <t>10 g Sal marina fina (2%)</t>
        </is>
      </c>
      <c r="E52" s="6" t="inlineStr">
        <is>
          <t>Sal marina fina no refinada</t>
        </is>
      </c>
      <c r="F52" s="16" t="n">
        <v>10</v>
      </c>
      <c r="G52" t="inlineStr">
        <is>
          <t>g</t>
        </is>
      </c>
      <c r="H52" s="12">
        <f>IFERROR(VLOOKUP(E52,Insumos!$C$5:$G$64,5,FALSE),0)</f>
        <v/>
      </c>
      <c r="I52" s="17">
        <f>F52*H52</f>
        <v/>
      </c>
    </row>
    <row r="53">
      <c r="A53" t="n">
        <v>9</v>
      </c>
      <c r="B53" s="21" t="inlineStr">
        <is>
          <t>Hogaza Miche Tradicional de Molienda a la Piedra (Pain de Seigle et Blé)</t>
        </is>
      </c>
      <c r="C53" t="inlineStr">
        <is>
          <t>masa</t>
        </is>
      </c>
      <c r="D53" s="22" t="inlineStr">
        <is>
          <t>540 g Harina de trigo semi-integral T80 o T110 de molienda a la piedra (60%)</t>
        </is>
      </c>
      <c r="E53" s="6" t="inlineStr">
        <is>
          <t>Harina semi-integral T80 o T110</t>
        </is>
      </c>
      <c r="F53" s="16" t="n">
        <v>540</v>
      </c>
      <c r="G53" t="inlineStr">
        <is>
          <t>g</t>
        </is>
      </c>
      <c r="H53" s="12">
        <f>IFERROR(VLOOKUP(E53,Insumos!$C$5:$G$64,5,FALSE),0)</f>
        <v/>
      </c>
      <c r="I53" s="17">
        <f>F53*H53</f>
        <v/>
      </c>
    </row>
    <row r="54">
      <c r="A54" t="n">
        <v>9</v>
      </c>
      <c r="B54" s="21" t="inlineStr">
        <is>
          <t>Hogaza Miche Tradicional de Molienda a la Piedra (Pain de Seigle et Blé)</t>
        </is>
      </c>
      <c r="C54" t="inlineStr">
        <is>
          <t>masa</t>
        </is>
      </c>
      <c r="D54" s="22" t="inlineStr">
        <is>
          <t>225 g Harina de trigo panificable blanca de fuerza (W 280) (25%)</t>
        </is>
      </c>
      <c r="E54" s="6" t="inlineStr">
        <is>
          <t>Harina panificable de fuerza (W 280-300)</t>
        </is>
      </c>
      <c r="F54" s="16" t="n">
        <v>225</v>
      </c>
      <c r="G54" t="inlineStr">
        <is>
          <t>g</t>
        </is>
      </c>
      <c r="H54" s="12">
        <f>IFERROR(VLOOKUP(E54,Insumos!$C$5:$G$64,5,FALSE),0)</f>
        <v/>
      </c>
      <c r="I54" s="17">
        <f>F54*H54</f>
        <v/>
      </c>
    </row>
    <row r="55">
      <c r="A55" t="n">
        <v>9</v>
      </c>
      <c r="B55" s="21" t="inlineStr">
        <is>
          <t>Hogaza Miche Tradicional de Molienda a la Piedra (Pain de Seigle et Blé)</t>
        </is>
      </c>
      <c r="C55" t="inlineStr">
        <is>
          <t>masa</t>
        </is>
      </c>
      <c r="D55" s="22" t="inlineStr">
        <is>
          <t>135 g Harina de centeno integral pura T130 (15%)</t>
        </is>
      </c>
      <c r="E55" s="6" t="inlineStr">
        <is>
          <t>Harina de centeno integral o T130</t>
        </is>
      </c>
      <c r="F55" s="16" t="n">
        <v>135</v>
      </c>
      <c r="G55" t="inlineStr">
        <is>
          <t>g</t>
        </is>
      </c>
      <c r="H55" s="12">
        <f>IFERROR(VLOOKUP(E55,Insumos!$C$5:$G$64,5,FALSE),0)</f>
        <v/>
      </c>
      <c r="I55" s="17">
        <f>F55*H55</f>
        <v/>
      </c>
    </row>
    <row r="56">
      <c r="A56" t="n">
        <v>9</v>
      </c>
      <c r="B56" s="21" t="inlineStr">
        <is>
          <t>Hogaza Miche Tradicional de Molienda a la Piedra (Pain de Seigle et Blé)</t>
        </is>
      </c>
      <c r="C56" t="inlineStr">
        <is>
          <t>masa</t>
        </is>
      </c>
      <c r="D56" s="22" t="inlineStr">
        <is>
          <t>660 ml Agua purificada tibia a 28 °C (620 ml para autólisis + 40 ml para la sal) (69% agua añadida; 78% hidratación total)</t>
        </is>
      </c>
      <c r="E56" s="6" t="inlineStr">
        <is>
          <t>Agua purificada</t>
        </is>
      </c>
      <c r="F56" s="16" t="n">
        <v>660</v>
      </c>
      <c r="G56" t="inlineStr">
        <is>
          <t>ml</t>
        </is>
      </c>
      <c r="H56" s="12">
        <f>IFERROR(VLOOKUP(E56,Insumos!$C$5:$G$64,5,FALSE),0)</f>
        <v/>
      </c>
      <c r="I56" s="17">
        <f>F56*H56</f>
        <v/>
      </c>
    </row>
    <row r="57">
      <c r="A57" t="n">
        <v>9</v>
      </c>
      <c r="B57" s="21" t="inlineStr">
        <is>
          <t>Hogaza Miche Tradicional de Molienda a la Piedra (Pain de Seigle et Blé)</t>
        </is>
      </c>
      <c r="C57" t="inlineStr">
        <is>
          <t>masa</t>
        </is>
      </c>
      <c r="D57" s="22" t="inlineStr">
        <is>
          <t>225 g Masa madre activa al 100% de hidratación (25%)</t>
        </is>
      </c>
      <c r="E57" s="6" t="inlineStr">
        <is>
          <t>Masa madre blanca activa 100% (cultivada)</t>
        </is>
      </c>
      <c r="F57" s="16" t="n">
        <v>225</v>
      </c>
      <c r="G57" t="inlineStr">
        <is>
          <t>g</t>
        </is>
      </c>
      <c r="H57" s="12">
        <f>IFERROR(VLOOKUP(E57,Insumos!$C$5:$G$64,5,FALSE),0)</f>
        <v/>
      </c>
      <c r="I57" s="17">
        <f>F57*H57</f>
        <v/>
      </c>
    </row>
    <row r="58">
      <c r="A58" t="n">
        <v>9</v>
      </c>
      <c r="B58" s="21" t="inlineStr">
        <is>
          <t>Hogaza Miche Tradicional de Molienda a la Piedra (Pain de Seigle et Blé)</t>
        </is>
      </c>
      <c r="C58" t="inlineStr">
        <is>
          <t>masa</t>
        </is>
      </c>
      <c r="D58" s="22" t="inlineStr">
        <is>
          <t>18 g Sal marina fina (2%)</t>
        </is>
      </c>
      <c r="E58" s="6" t="inlineStr">
        <is>
          <t>Sal marina fina no refinada</t>
        </is>
      </c>
      <c r="F58" s="16" t="n">
        <v>18</v>
      </c>
      <c r="G58" t="inlineStr">
        <is>
          <t>g</t>
        </is>
      </c>
      <c r="H58" s="12">
        <f>IFERROR(VLOOKUP(E58,Insumos!$C$5:$G$64,5,FALSE),0)</f>
        <v/>
      </c>
      <c r="I58" s="17">
        <f>F58*H58</f>
        <v/>
      </c>
    </row>
    <row r="59">
      <c r="A59" t="n">
        <v>10</v>
      </c>
      <c r="B59" s="21" t="inlineStr">
        <is>
          <t>Fougasse Provenzal de Masa Madre con Aceite de Oliva y Hierbas</t>
        </is>
      </c>
      <c r="C59" t="inlineStr">
        <is>
          <t>masa</t>
        </is>
      </c>
      <c r="D59" s="22" t="inlineStr">
        <is>
          <t>450 g Harina de trigo panificable (W 260, 12% proteína) (90%)</t>
        </is>
      </c>
      <c r="E59" s="6" t="inlineStr">
        <is>
          <t>Harina panificable de fuerza (W 280-300)</t>
        </is>
      </c>
      <c r="F59" s="16" t="n">
        <v>450</v>
      </c>
      <c r="G59" t="inlineStr">
        <is>
          <t>g</t>
        </is>
      </c>
      <c r="H59" s="12">
        <f>IFERROR(VLOOKUP(E59,Insumos!$C$5:$G$64,5,FALSE),0)</f>
        <v/>
      </c>
      <c r="I59" s="17">
        <f>F59*H59</f>
        <v/>
      </c>
    </row>
    <row r="60">
      <c r="A60" t="n">
        <v>10</v>
      </c>
      <c r="B60" s="21" t="inlineStr">
        <is>
          <t>Fougasse Provenzal de Masa Madre con Aceite de Oliva y Hierbas</t>
        </is>
      </c>
      <c r="C60" t="inlineStr">
        <is>
          <t>masa</t>
        </is>
      </c>
      <c r="D60" s="22" t="inlineStr">
        <is>
          <t>50 g Harina de trigo integral de molienda fina (10%)</t>
        </is>
      </c>
      <c r="E60" s="6" t="inlineStr">
        <is>
          <t>Harina de trigo integral de molienda a la piedra</t>
        </is>
      </c>
      <c r="F60" s="16" t="n">
        <v>50</v>
      </c>
      <c r="G60" t="inlineStr">
        <is>
          <t>g</t>
        </is>
      </c>
      <c r="H60" s="12">
        <f>IFERROR(VLOOKUP(E60,Insumos!$C$5:$G$64,5,FALSE),0)</f>
        <v/>
      </c>
      <c r="I60" s="17">
        <f>F60*H60</f>
        <v/>
      </c>
    </row>
    <row r="61">
      <c r="A61" t="n">
        <v>10</v>
      </c>
      <c r="B61" s="21" t="inlineStr">
        <is>
          <t>Fougasse Provenzal de Masa Madre con Aceite de Oliva y Hierbas</t>
        </is>
      </c>
      <c r="C61" t="inlineStr">
        <is>
          <t>masa</t>
        </is>
      </c>
      <c r="D61" s="22" t="inlineStr">
        <is>
          <t>340 ml Agua purificada limpia (320 ml para autólisis + 20 ml para la sal) (68% agua añadida; 75% hidratación total)</t>
        </is>
      </c>
      <c r="E61" s="6" t="inlineStr">
        <is>
          <t>Agua purificada</t>
        </is>
      </c>
      <c r="F61" s="16" t="n">
        <v>340</v>
      </c>
      <c r="G61" t="inlineStr">
        <is>
          <t>ml</t>
        </is>
      </c>
      <c r="H61" s="12">
        <f>IFERROR(VLOOKUP(E61,Insumos!$C$5:$G$64,5,FALSE),0)</f>
        <v/>
      </c>
      <c r="I61" s="17">
        <f>F61*H61</f>
        <v/>
      </c>
    </row>
    <row r="62">
      <c r="A62" t="n">
        <v>10</v>
      </c>
      <c r="B62" s="21" t="inlineStr">
        <is>
          <t>Fougasse Provenzal de Masa Madre con Aceite de Oliva y Hierbas</t>
        </is>
      </c>
      <c r="C62" t="inlineStr">
        <is>
          <t>masa</t>
        </is>
      </c>
      <c r="D62" s="22" t="inlineStr">
        <is>
          <t>100 g Masa madre activa al 100% de hidratación (20%)</t>
        </is>
      </c>
      <c r="E62" s="6" t="inlineStr">
        <is>
          <t>Masa madre blanca activa 100% (cultivada)</t>
        </is>
      </c>
      <c r="F62" s="16" t="n">
        <v>100</v>
      </c>
      <c r="G62" t="inlineStr">
        <is>
          <t>g</t>
        </is>
      </c>
      <c r="H62" s="12">
        <f>IFERROR(VLOOKUP(E62,Insumos!$C$5:$G$64,5,FALSE),0)</f>
        <v/>
      </c>
      <c r="I62" s="17">
        <f>F62*H62</f>
        <v/>
      </c>
    </row>
    <row r="63">
      <c r="A63" t="n">
        <v>10</v>
      </c>
      <c r="B63" s="21" t="inlineStr">
        <is>
          <t>Fougasse Provenzal de Masa Madre con Aceite de Oliva y Hierbas</t>
        </is>
      </c>
      <c r="C63" t="inlineStr">
        <is>
          <t>masa</t>
        </is>
      </c>
      <c r="D63" s="22" t="inlineStr">
        <is>
          <t>10 g Sal marina fina (2%)</t>
        </is>
      </c>
      <c r="E63" s="6" t="inlineStr">
        <is>
          <t>Sal marina fina no refinada</t>
        </is>
      </c>
      <c r="F63" s="16" t="n">
        <v>10</v>
      </c>
      <c r="G63" t="inlineStr">
        <is>
          <t>g</t>
        </is>
      </c>
      <c r="H63" s="12">
        <f>IFERROR(VLOOKUP(E63,Insumos!$C$5:$G$64,5,FALSE),0)</f>
        <v/>
      </c>
      <c r="I63" s="17">
        <f>F63*H63</f>
        <v/>
      </c>
    </row>
    <row r="64">
      <c r="A64" t="n">
        <v>10</v>
      </c>
      <c r="B64" s="21" t="inlineStr">
        <is>
          <t>Fougasse Provenzal de Masa Madre con Aceite de Oliva y Hierbas</t>
        </is>
      </c>
      <c r="C64" t="inlineStr">
        <is>
          <t>masa</t>
        </is>
      </c>
      <c r="D64" s="22" t="inlineStr">
        <is>
          <t>25 ml Aceite de oliva virgen extra (5%, integrado en la masa)</t>
        </is>
      </c>
      <c r="E64" s="6" t="inlineStr">
        <is>
          <t>Aceite de oliva virgen extra</t>
        </is>
      </c>
      <c r="F64" s="16" t="n">
        <v>25</v>
      </c>
      <c r="G64" t="inlineStr">
        <is>
          <t>ml</t>
        </is>
      </c>
      <c r="H64" s="12">
        <f>IFERROR(VLOOKUP(E64,Insumos!$C$5:$G$64,5,FALSE),0)</f>
        <v/>
      </c>
      <c r="I64" s="17">
        <f>F64*H64</f>
        <v/>
      </c>
    </row>
    <row r="65">
      <c r="A65" t="n">
        <v>10</v>
      </c>
      <c r="B65" s="21" t="inlineStr">
        <is>
          <t>Fougasse Provenzal de Masa Madre con Aceite de Oliva y Hierbas</t>
        </is>
      </c>
      <c r="C65" t="inlineStr">
        <is>
          <t>masa</t>
        </is>
      </c>
      <c r="D65" s="22" t="inlineStr">
        <is>
          <t>6 g Hierbas de Provenza secas (romero, tomillo, orégano y ajedrea picados fino)</t>
        </is>
      </c>
      <c r="E65" s="6" t="inlineStr">
        <is>
          <t>Hierbas secas de Provenza</t>
        </is>
      </c>
      <c r="F65" s="16" t="n">
        <v>6</v>
      </c>
      <c r="G65" t="inlineStr">
        <is>
          <t>g</t>
        </is>
      </c>
      <c r="H65" s="12">
        <f>IFERROR(VLOOKUP(E65,Insumos!$C$5:$G$64,5,FALSE),0)</f>
        <v/>
      </c>
      <c r="I65" s="17">
        <f>F65*H65</f>
        <v/>
      </c>
    </row>
    <row r="66">
      <c r="A66" t="n">
        <v>10</v>
      </c>
      <c r="B66" s="21" t="inlineStr">
        <is>
          <t>Fougasse Provenzal de Masa Madre con Aceite de Oliva y Hierbas</t>
        </is>
      </c>
      <c r="C66" t="inlineStr">
        <is>
          <t>acabado</t>
        </is>
      </c>
      <c r="D66" s="22" t="inlineStr">
        <is>
          <t>30 ml Aceite de oliva virgen extra para barnizar al salir del horno</t>
        </is>
      </c>
      <c r="E66" s="6" t="inlineStr">
        <is>
          <t>Aceite de oliva virgen extra</t>
        </is>
      </c>
      <c r="F66" s="16" t="n">
        <v>30</v>
      </c>
      <c r="G66" t="inlineStr">
        <is>
          <t>ml</t>
        </is>
      </c>
      <c r="H66" s="12">
        <f>IFERROR(VLOOKUP(E66,Insumos!$C$5:$G$64,5,FALSE),0)</f>
        <v/>
      </c>
      <c r="I66" s="17">
        <f>F66*H66</f>
        <v/>
      </c>
    </row>
    <row r="67">
      <c r="A67" t="n">
        <v>10</v>
      </c>
      <c r="B67" s="21" t="inlineStr">
        <is>
          <t>Fougasse Provenzal de Masa Madre con Aceite de Oliva y Hierbas</t>
        </is>
      </c>
      <c r="C67" t="inlineStr">
        <is>
          <t>acabado</t>
        </is>
      </c>
      <c r="D67" s="22" t="inlineStr">
        <is>
          <t>Flor de sal marina en escamas para espolvorear</t>
        </is>
      </c>
      <c r="E67" s="6" t="inlineStr">
        <is>
          <t>Flor de sal en escamas</t>
        </is>
      </c>
      <c r="F67" s="16" t="n">
        <v>1</v>
      </c>
      <c r="G67" t="inlineStr">
        <is>
          <t>g</t>
        </is>
      </c>
      <c r="H67" s="12">
        <f>IFERROR(VLOOKUP(E67,Insumos!$C$5:$G$64,5,FALSE),0)</f>
        <v/>
      </c>
      <c r="I67" s="17">
        <f>F67*H67</f>
        <v/>
      </c>
    </row>
    <row r="68">
      <c r="A68" t="n">
        <v>11</v>
      </c>
      <c r="B68" s="21" t="inlineStr">
        <is>
          <t>Hogaza de Trigo Espelta 100% Integral de Molienda Fina (Triticum spelta)</t>
        </is>
      </c>
      <c r="C68" t="inlineStr">
        <is>
          <t>masa</t>
        </is>
      </c>
      <c r="D68" s="22" t="inlineStr">
        <is>
          <t>500 g Harina de trigo espelta 100% integral de molienda biológica a la piedra (100%)</t>
        </is>
      </c>
      <c r="E68" s="6" t="inlineStr">
        <is>
          <t>Harina de espelta integral</t>
        </is>
      </c>
      <c r="F68" s="16" t="n">
        <v>500</v>
      </c>
      <c r="G68" t="inlineStr">
        <is>
          <t>g</t>
        </is>
      </c>
      <c r="H68" s="12">
        <f>IFERROR(VLOOKUP(E68,Insumos!$C$5:$G$64,5,FALSE),0)</f>
        <v/>
      </c>
      <c r="I68" s="17">
        <f>F68*H68</f>
        <v/>
      </c>
    </row>
    <row r="69">
      <c r="A69" t="n">
        <v>11</v>
      </c>
      <c r="B69" s="21" t="inlineStr">
        <is>
          <t>Hogaza de Trigo Espelta 100% Integral de Molienda Fina (Triticum spelta)</t>
        </is>
      </c>
      <c r="C69" t="inlineStr">
        <is>
          <t>masa</t>
        </is>
      </c>
      <c r="D69" s="22" t="inlineStr">
        <is>
          <t>315 ml Agua purificada fría a 16 °C (295 ml para autólisis + 20 ml para la sal) (63% agua añadida; 68% hidratación total)</t>
        </is>
      </c>
      <c r="E69" s="6" t="inlineStr">
        <is>
          <t>Agua purificada</t>
        </is>
      </c>
      <c r="F69" s="16" t="n">
        <v>315</v>
      </c>
      <c r="G69" t="inlineStr">
        <is>
          <t>ml</t>
        </is>
      </c>
      <c r="H69" s="12">
        <f>IFERROR(VLOOKUP(E69,Insumos!$C$5:$G$64,5,FALSE),0)</f>
        <v/>
      </c>
      <c r="I69" s="17">
        <f>F69*H69</f>
        <v/>
      </c>
    </row>
    <row r="70">
      <c r="A70" t="n">
        <v>11</v>
      </c>
      <c r="B70" s="21" t="inlineStr">
        <is>
          <t>Hogaza de Trigo Espelta 100% Integral de Molienda Fina (Triticum spelta)</t>
        </is>
      </c>
      <c r="C70" t="inlineStr">
        <is>
          <t>masa</t>
        </is>
      </c>
      <c r="D70" s="22" t="inlineStr">
        <is>
          <t>100 g Masa madre de espelta integral activa al 100% de hidratación (20%)</t>
        </is>
      </c>
      <c r="E70" s="6" t="inlineStr">
        <is>
          <t>Masa madre de centeno o integral 100% (cultivada)</t>
        </is>
      </c>
      <c r="F70" s="16" t="n">
        <v>100</v>
      </c>
      <c r="G70" t="inlineStr">
        <is>
          <t>g</t>
        </is>
      </c>
      <c r="H70" s="12">
        <f>IFERROR(VLOOKUP(E70,Insumos!$C$5:$G$64,5,FALSE),0)</f>
        <v/>
      </c>
      <c r="I70" s="17">
        <f>F70*H70</f>
        <v/>
      </c>
    </row>
    <row r="71">
      <c r="A71" t="n">
        <v>11</v>
      </c>
      <c r="B71" s="21" t="inlineStr">
        <is>
          <t>Hogaza de Trigo Espelta 100% Integral de Molienda Fina (Triticum spelta)</t>
        </is>
      </c>
      <c r="C71" t="inlineStr">
        <is>
          <t>masa</t>
        </is>
      </c>
      <c r="D71" s="22" t="inlineStr">
        <is>
          <t>10 g Sal marina fina (2%)</t>
        </is>
      </c>
      <c r="E71" s="6" t="inlineStr">
        <is>
          <t>Sal marina fina no refinada</t>
        </is>
      </c>
      <c r="F71" s="16" t="n">
        <v>10</v>
      </c>
      <c r="G71" t="inlineStr">
        <is>
          <t>g</t>
        </is>
      </c>
      <c r="H71" s="12">
        <f>IFERROR(VLOOKUP(E71,Insumos!$C$5:$G$64,5,FALSE),0)</f>
        <v/>
      </c>
      <c r="I71" s="17">
        <f>F71*H71</f>
        <v/>
      </c>
    </row>
    <row r="72">
      <c r="A72" t="n">
        <v>12</v>
      </c>
      <c r="B72" s="21" t="inlineStr">
        <is>
          <t>Pan de Centeno Puro Tradicional del Norte (Rugbrød / Vollkornbrot 100% Centeno)</t>
        </is>
      </c>
      <c r="C72" t="inlineStr">
        <is>
          <t>masa</t>
        </is>
      </c>
      <c r="D72" s="22" t="inlineStr">
        <is>
          <t>500 g Harina de centeno 100% integral pura de grano entero (Roggenvollkornmehl) (100%)</t>
        </is>
      </c>
      <c r="E72" s="6" t="inlineStr">
        <is>
          <t>Harina de centeno integral o T130</t>
        </is>
      </c>
      <c r="F72" s="16" t="n">
        <v>500</v>
      </c>
      <c r="G72" t="inlineStr">
        <is>
          <t>g</t>
        </is>
      </c>
      <c r="H72" s="12">
        <f>IFERROR(VLOOKUP(E72,Insumos!$C$5:$G$64,5,FALSE),0)</f>
        <v/>
      </c>
      <c r="I72" s="17">
        <f>F72*H72</f>
        <v/>
      </c>
    </row>
    <row r="73">
      <c r="A73" t="n">
        <v>12</v>
      </c>
      <c r="B73" s="21" t="inlineStr">
        <is>
          <t>Pan de Centeno Puro Tradicional del Norte (Rugbrød / Vollkornbrot 100% Centeno)</t>
        </is>
      </c>
      <c r="C73" t="inlineStr">
        <is>
          <t>masa</t>
        </is>
      </c>
      <c r="D73" s="22" t="inlineStr">
        <is>
          <t>375 ml Agua purificada caliente a 45 °C (para alcanzar DDT de 27 °C con el centeno frío) (75% agua añadida; 85% hidratación total)</t>
        </is>
      </c>
      <c r="E73" s="6" t="inlineStr">
        <is>
          <t>Agua purificada</t>
        </is>
      </c>
      <c r="F73" s="16" t="n">
        <v>375</v>
      </c>
      <c r="G73" t="inlineStr">
        <is>
          <t>ml</t>
        </is>
      </c>
      <c r="H73" s="12">
        <f>IFERROR(VLOOKUP(E73,Insumos!$C$5:$G$64,5,FALSE),0)</f>
        <v/>
      </c>
      <c r="I73" s="17">
        <f>F73*H73</f>
        <v/>
      </c>
    </row>
    <row r="74">
      <c r="A74" t="n">
        <v>12</v>
      </c>
      <c r="B74" s="21" t="inlineStr">
        <is>
          <t>Pan de Centeno Puro Tradicional del Norte (Rugbrød / Vollkornbrot 100% Centeno)</t>
        </is>
      </c>
      <c r="C74" t="inlineStr">
        <is>
          <t>masa</t>
        </is>
      </c>
      <c r="D74" s="22" t="inlineStr">
        <is>
          <t>200 g Masa madre de centeno activa al 100% de hidratación (madurada 8 h, acidez potente) (40%)</t>
        </is>
      </c>
      <c r="E74" s="6" t="inlineStr">
        <is>
          <t>Masa madre de centeno o integral 100% (cultivada)</t>
        </is>
      </c>
      <c r="F74" s="16" t="n">
        <v>200</v>
      </c>
      <c r="G74" t="inlineStr">
        <is>
          <t>g</t>
        </is>
      </c>
      <c r="H74" s="12">
        <f>IFERROR(VLOOKUP(E74,Insumos!$C$5:$G$64,5,FALSE),0)</f>
        <v/>
      </c>
      <c r="I74" s="17">
        <f>F74*H74</f>
        <v/>
      </c>
    </row>
    <row r="75">
      <c r="A75" t="n">
        <v>12</v>
      </c>
      <c r="B75" s="21" t="inlineStr">
        <is>
          <t>Pan de Centeno Puro Tradicional del Norte (Rugbrød / Vollkornbrot 100% Centeno)</t>
        </is>
      </c>
      <c r="C75" t="inlineStr">
        <is>
          <t>masa</t>
        </is>
      </c>
      <c r="D75" s="22" t="inlineStr">
        <is>
          <t>11 g Sal marina fina (2.2%)</t>
        </is>
      </c>
      <c r="E75" s="6" t="inlineStr">
        <is>
          <t>Sal marina fina no refinada</t>
        </is>
      </c>
      <c r="F75" s="16" t="n">
        <v>11</v>
      </c>
      <c r="G75" t="inlineStr">
        <is>
          <t>g</t>
        </is>
      </c>
      <c r="H75" s="12">
        <f>IFERROR(VLOOKUP(E75,Insumos!$C$5:$G$64,5,FALSE),0)</f>
        <v/>
      </c>
      <c r="I75" s="17">
        <f>F75*H75</f>
        <v/>
      </c>
    </row>
    <row r="76">
      <c r="A76" t="n">
        <v>12</v>
      </c>
      <c r="B76" s="21" t="inlineStr">
        <is>
          <t>Pan de Centeno Puro Tradicional del Norte (Rugbrød / Vollkornbrot 100% Centeno)</t>
        </is>
      </c>
      <c r="C76" t="inlineStr">
        <is>
          <t>masa</t>
        </is>
      </c>
      <c r="D76" s="22" t="inlineStr">
        <is>
          <t>25 g Miel de melaza oscura o malta tostada líquida (5%, color y alimento de fermentación)</t>
        </is>
      </c>
      <c r="E76" s="6" t="inlineStr">
        <is>
          <t>Malta tostada o melaza</t>
        </is>
      </c>
      <c r="F76" s="16" t="n">
        <v>25</v>
      </c>
      <c r="G76" t="inlineStr">
        <is>
          <t>ml</t>
        </is>
      </c>
      <c r="H76" s="12">
        <f>IFERROR(VLOOKUP(E76,Insumos!$C$5:$G$64,5,FALSE),0)</f>
        <v/>
      </c>
      <c r="I76" s="17">
        <f>F76*H76</f>
        <v/>
      </c>
    </row>
    <row r="77">
      <c r="A77" t="n">
        <v>12</v>
      </c>
      <c r="B77" s="21" t="inlineStr">
        <is>
          <t>Pan de Centeno Puro Tradicional del Norte (Rugbrød / Vollkornbrot 100% Centeno)</t>
        </is>
      </c>
      <c r="C77" t="inlineStr">
        <is>
          <t>masa</t>
        </is>
      </c>
      <c r="D77" s="22" t="inlineStr">
        <is>
          <t>60 g Semillas de girasol tostadas (incorporadas en masa)</t>
        </is>
      </c>
      <c r="E77" s="6" t="inlineStr">
        <is>
          <t>Semilla de girasol</t>
        </is>
      </c>
      <c r="F77" s="16" t="n">
        <v>60</v>
      </c>
      <c r="G77" t="inlineStr">
        <is>
          <t>g</t>
        </is>
      </c>
      <c r="H77" s="12">
        <f>IFERROR(VLOOKUP(E77,Insumos!$C$5:$G$64,5,FALSE),0)</f>
        <v/>
      </c>
      <c r="I77" s="17">
        <f>F77*H77</f>
        <v/>
      </c>
    </row>
    <row r="78">
      <c r="A78" t="n">
        <v>12</v>
      </c>
      <c r="B78" s="21" t="inlineStr">
        <is>
          <t>Pan de Centeno Puro Tradicional del Norte (Rugbrød / Vollkornbrot 100% Centeno)</t>
        </is>
      </c>
      <c r="C78" t="inlineStr">
        <is>
          <t>masa</t>
        </is>
      </c>
      <c r="D78" s="22" t="inlineStr">
        <is>
          <t>40 g Semillas de calabaza tostadas (incorporadas en masa)</t>
        </is>
      </c>
      <c r="E78" s="6" t="inlineStr">
        <is>
          <t>Semilla de calabaza</t>
        </is>
      </c>
      <c r="F78" s="16" t="n">
        <v>40</v>
      </c>
      <c r="G78" t="inlineStr">
        <is>
          <t>g</t>
        </is>
      </c>
      <c r="H78" s="12">
        <f>IFERROR(VLOOKUP(E78,Insumos!$C$5:$G$64,5,FALSE),0)</f>
        <v/>
      </c>
      <c r="I78" s="17">
        <f>F78*H78</f>
        <v/>
      </c>
    </row>
    <row r="79">
      <c r="A79" t="n">
        <v>12</v>
      </c>
      <c r="B79" s="21" t="inlineStr">
        <is>
          <t>Pan de Centeno Puro Tradicional del Norte (Rugbrød / Vollkornbrot 100% Centeno)</t>
        </is>
      </c>
      <c r="C79" t="inlineStr">
        <is>
          <t>masa</t>
        </is>
      </c>
      <c r="D79" s="22" t="inlineStr">
        <is>
          <t>Copos de centeno o semillas extra para decorar la superficie</t>
        </is>
      </c>
      <c r="E79" s="6" t="inlineStr">
        <is>
          <t>Grano quebrado o copos de centeno</t>
        </is>
      </c>
      <c r="F79" s="16" t="n">
        <v>1</v>
      </c>
      <c r="G79" t="inlineStr">
        <is>
          <t>g</t>
        </is>
      </c>
      <c r="H79" s="12">
        <f>IFERROR(VLOOKUP(E79,Insumos!$C$5:$G$64,5,FALSE),0)</f>
        <v/>
      </c>
      <c r="I79" s="17">
        <f>F79*H79</f>
        <v/>
      </c>
    </row>
    <row r="80">
      <c r="A80" t="n">
        <v>13</v>
      </c>
      <c r="B80" s="21" t="inlineStr">
        <is>
          <t>Hogaza de Trigo Kamut / Khorasan de Tono Dorado (Triticum turgidum)</t>
        </is>
      </c>
      <c r="C80" t="inlineStr">
        <is>
          <t>masa</t>
        </is>
      </c>
      <c r="D80" s="22" t="inlineStr">
        <is>
          <t>350 g Harina de trigo Kamut / Khorasan biológica de molienda a la piedra (70%)</t>
        </is>
      </c>
      <c r="E80" s="6" t="inlineStr">
        <is>
          <t>Harina de kamut o khorasan</t>
        </is>
      </c>
      <c r="F80" s="16" t="n">
        <v>350</v>
      </c>
      <c r="G80" t="inlineStr">
        <is>
          <t>g</t>
        </is>
      </c>
      <c r="H80" s="12">
        <f>IFERROR(VLOOKUP(E80,Insumos!$C$5:$G$64,5,FALSE),0)</f>
        <v/>
      </c>
      <c r="I80" s="17">
        <f>F80*H80</f>
        <v/>
      </c>
    </row>
    <row r="81">
      <c r="A81" t="n">
        <v>13</v>
      </c>
      <c r="B81" s="21" t="inlineStr">
        <is>
          <t>Hogaza de Trigo Kamut / Khorasan de Tono Dorado (Triticum turgidum)</t>
        </is>
      </c>
      <c r="C81" t="inlineStr">
        <is>
          <t>masa</t>
        </is>
      </c>
      <c r="D81" s="22" t="inlineStr">
        <is>
          <t>150 g Harina de trigo panificable blanca de fuerza (W 280) (30%, refuerzo estructural)</t>
        </is>
      </c>
      <c r="E81" s="6" t="inlineStr">
        <is>
          <t>Harina panificable de fuerza (W 280-300)</t>
        </is>
      </c>
      <c r="F81" s="16" t="n">
        <v>150</v>
      </c>
      <c r="G81" t="inlineStr">
        <is>
          <t>g</t>
        </is>
      </c>
      <c r="H81" s="12">
        <f>IFERROR(VLOOKUP(E81,Insumos!$C$5:$G$64,5,FALSE),0)</f>
        <v/>
      </c>
      <c r="I81" s="17">
        <f>F81*H81</f>
        <v/>
      </c>
    </row>
    <row r="82">
      <c r="A82" t="n">
        <v>13</v>
      </c>
      <c r="B82" s="21" t="inlineStr">
        <is>
          <t>Hogaza de Trigo Kamut / Khorasan de Tono Dorado (Triticum turgidum)</t>
        </is>
      </c>
      <c r="C82" t="inlineStr">
        <is>
          <t>masa</t>
        </is>
      </c>
      <c r="D82" s="22" t="inlineStr">
        <is>
          <t>335 ml Agua purificada limpia (315 ml para autólisis + 20 ml para la sal) (67% agua añadida; 72% hidratación total)</t>
        </is>
      </c>
      <c r="E82" s="6" t="inlineStr">
        <is>
          <t>Agua purificada</t>
        </is>
      </c>
      <c r="F82" s="16" t="n">
        <v>335</v>
      </c>
      <c r="G82" t="inlineStr">
        <is>
          <t>ml</t>
        </is>
      </c>
      <c r="H82" s="12">
        <f>IFERROR(VLOOKUP(E82,Insumos!$C$5:$G$64,5,FALSE),0)</f>
        <v/>
      </c>
      <c r="I82" s="17">
        <f>F82*H82</f>
        <v/>
      </c>
    </row>
    <row r="83">
      <c r="A83" t="n">
        <v>13</v>
      </c>
      <c r="B83" s="21" t="inlineStr">
        <is>
          <t>Hogaza de Trigo Kamut / Khorasan de Tono Dorado (Triticum turgidum)</t>
        </is>
      </c>
      <c r="C83" t="inlineStr">
        <is>
          <t>masa</t>
        </is>
      </c>
      <c r="D83" s="22" t="inlineStr">
        <is>
          <t>100 g Masa madre activa al 100% de hidratación (20%)</t>
        </is>
      </c>
      <c r="E83" s="6" t="inlineStr">
        <is>
          <t>Masa madre blanca activa 100% (cultivada)</t>
        </is>
      </c>
      <c r="F83" s="16" t="n">
        <v>100</v>
      </c>
      <c r="G83" t="inlineStr">
        <is>
          <t>g</t>
        </is>
      </c>
      <c r="H83" s="12">
        <f>IFERROR(VLOOKUP(E83,Insumos!$C$5:$G$64,5,FALSE),0)</f>
        <v/>
      </c>
      <c r="I83" s="17">
        <f>F83*H83</f>
        <v/>
      </c>
    </row>
    <row r="84">
      <c r="A84" t="n">
        <v>13</v>
      </c>
      <c r="B84" s="21" t="inlineStr">
        <is>
          <t>Hogaza de Trigo Kamut / Khorasan de Tono Dorado (Triticum turgidum)</t>
        </is>
      </c>
      <c r="C84" t="inlineStr">
        <is>
          <t>masa</t>
        </is>
      </c>
      <c r="D84" s="22" t="inlineStr">
        <is>
          <t>10 g Sal marina fina (2%)</t>
        </is>
      </c>
      <c r="E84" s="6" t="inlineStr">
        <is>
          <t>Sal marina fina no refinada</t>
        </is>
      </c>
      <c r="F84" s="16" t="n">
        <v>10</v>
      </c>
      <c r="G84" t="inlineStr">
        <is>
          <t>g</t>
        </is>
      </c>
      <c r="H84" s="12">
        <f>IFERROR(VLOOKUP(E84,Insumos!$C$5:$G$64,5,FALSE),0)</f>
        <v/>
      </c>
      <c r="I84" s="17">
        <f>F84*H84</f>
        <v/>
      </c>
    </row>
    <row r="85">
      <c r="A85" t="n">
        <v>14</v>
      </c>
      <c r="B85" s="21" t="inlineStr">
        <is>
          <t>Pan Campesino de Trigo Sarraceno (Alforfón) y Trigo Blanco (Pain au Sarrasin)</t>
        </is>
      </c>
      <c r="C85" t="inlineStr">
        <is>
          <t>masa</t>
        </is>
      </c>
      <c r="D85" s="22" t="inlineStr">
        <is>
          <t>400 g Harina de trigo panificable de fuerza (W 280-300, 12.5% proteína) (80%)</t>
        </is>
      </c>
      <c r="E85" s="6" t="inlineStr">
        <is>
          <t>Harina panificable de fuerza (W 280-300)</t>
        </is>
      </c>
      <c r="F85" s="16" t="n">
        <v>400</v>
      </c>
      <c r="G85" t="inlineStr">
        <is>
          <t>g</t>
        </is>
      </c>
      <c r="H85" s="12">
        <f>IFERROR(VLOOKUP(E85,Insumos!$C$5:$G$64,5,FALSE),0)</f>
        <v/>
      </c>
      <c r="I85" s="17">
        <f>F85*H85</f>
        <v/>
      </c>
    </row>
    <row r="86">
      <c r="A86" t="n">
        <v>14</v>
      </c>
      <c r="B86" s="21" t="inlineStr">
        <is>
          <t>Pan Campesino de Trigo Sarraceno (Alforfón) y Trigo Blanco (Pain au Sarrasin)</t>
        </is>
      </c>
      <c r="C86" t="inlineStr">
        <is>
          <t>masa</t>
        </is>
      </c>
      <c r="D86" s="22" t="inlineStr">
        <is>
          <t>100 g Harina de trigo sarraceno / alforfón 100% pura molida a la piedra (20%)</t>
        </is>
      </c>
      <c r="E86" s="6" t="inlineStr">
        <is>
          <t>Harina de trigo sarraceno (alforfón)</t>
        </is>
      </c>
      <c r="F86" s="16" t="n">
        <v>100</v>
      </c>
      <c r="G86" t="inlineStr">
        <is>
          <t>g</t>
        </is>
      </c>
      <c r="H86" s="12">
        <f>IFERROR(VLOOKUP(E86,Insumos!$C$5:$G$64,5,FALSE),0)</f>
        <v/>
      </c>
      <c r="I86" s="17">
        <f>F86*H86</f>
        <v/>
      </c>
    </row>
    <row r="87">
      <c r="A87" t="n">
        <v>14</v>
      </c>
      <c r="B87" s="21" t="inlineStr">
        <is>
          <t>Pan Campesino de Trigo Sarraceno (Alforfón) y Trigo Blanco (Pain au Sarrasin)</t>
        </is>
      </c>
      <c r="C87" t="inlineStr">
        <is>
          <t>masa</t>
        </is>
      </c>
      <c r="D87" s="22" t="inlineStr">
        <is>
          <t>345 ml Agua purificada limpia (325 ml para autólisis + 20 ml para la sal) (69% agua añadida; 74% hidratación total)</t>
        </is>
      </c>
      <c r="E87" s="6" t="inlineStr">
        <is>
          <t>Agua purificada</t>
        </is>
      </c>
      <c r="F87" s="16" t="n">
        <v>345</v>
      </c>
      <c r="G87" t="inlineStr">
        <is>
          <t>ml</t>
        </is>
      </c>
      <c r="H87" s="12">
        <f>IFERROR(VLOOKUP(E87,Insumos!$C$5:$G$64,5,FALSE),0)</f>
        <v/>
      </c>
      <c r="I87" s="17">
        <f>F87*H87</f>
        <v/>
      </c>
    </row>
    <row r="88">
      <c r="A88" t="n">
        <v>14</v>
      </c>
      <c r="B88" s="21" t="inlineStr">
        <is>
          <t>Pan Campesino de Trigo Sarraceno (Alforfón) y Trigo Blanco (Pain au Sarrasin)</t>
        </is>
      </c>
      <c r="C88" t="inlineStr">
        <is>
          <t>masa</t>
        </is>
      </c>
      <c r="D88" s="22" t="inlineStr">
        <is>
          <t>100 g Masa madre activa al 100% de hidratación (20%)</t>
        </is>
      </c>
      <c r="E88" s="6" t="inlineStr">
        <is>
          <t>Masa madre blanca activa 100% (cultivada)</t>
        </is>
      </c>
      <c r="F88" s="16" t="n">
        <v>100</v>
      </c>
      <c r="G88" t="inlineStr">
        <is>
          <t>g</t>
        </is>
      </c>
      <c r="H88" s="12">
        <f>IFERROR(VLOOKUP(E88,Insumos!$C$5:$G$64,5,FALSE),0)</f>
        <v/>
      </c>
      <c r="I88" s="17">
        <f>F88*H88</f>
        <v/>
      </c>
    </row>
    <row r="89">
      <c r="A89" t="n">
        <v>14</v>
      </c>
      <c r="B89" s="21" t="inlineStr">
        <is>
          <t>Pan Campesino de Trigo Sarraceno (Alforfón) y Trigo Blanco (Pain au Sarrasin)</t>
        </is>
      </c>
      <c r="C89" t="inlineStr">
        <is>
          <t>masa</t>
        </is>
      </c>
      <c r="D89" s="22" t="inlineStr">
        <is>
          <t>10 g Sal marina fina (2%)</t>
        </is>
      </c>
      <c r="E89" s="6" t="inlineStr">
        <is>
          <t>Sal marina fina no refinada</t>
        </is>
      </c>
      <c r="F89" s="16" t="n">
        <v>10</v>
      </c>
      <c r="G89" t="inlineStr">
        <is>
          <t>g</t>
        </is>
      </c>
      <c r="H89" s="12">
        <f>IFERROR(VLOOKUP(E89,Insumos!$C$5:$G$64,5,FALSE),0)</f>
        <v/>
      </c>
      <c r="I89" s="17">
        <f>F89*H89</f>
        <v/>
      </c>
    </row>
    <row r="90">
      <c r="A90" t="n">
        <v>15</v>
      </c>
      <c r="B90" s="21" t="inlineStr">
        <is>
          <t>Hogaza de Harina de Trigo Tritordeum con Semillas de Lino Dorado</t>
        </is>
      </c>
      <c r="C90" t="inlineStr">
        <is>
          <t>masa</t>
        </is>
      </c>
      <c r="D90" s="22" t="inlineStr">
        <is>
          <t>350 g Harina de Tritordeum panificable (cereal híbrido de trigo duro y cebada silvestre) (70%)</t>
        </is>
      </c>
      <c r="E90" s="6" t="inlineStr">
        <is>
          <t>Harina de emmer, escanda o tritordeum</t>
        </is>
      </c>
      <c r="F90" s="16" t="n">
        <v>350</v>
      </c>
      <c r="G90" t="inlineStr">
        <is>
          <t>g</t>
        </is>
      </c>
      <c r="H90" s="12">
        <f>IFERROR(VLOOKUP(E90,Insumos!$C$5:$G$64,5,FALSE),0)</f>
        <v/>
      </c>
      <c r="I90" s="17">
        <f>F90*H90</f>
        <v/>
      </c>
    </row>
    <row r="91">
      <c r="A91" t="n">
        <v>15</v>
      </c>
      <c r="B91" s="21" t="inlineStr">
        <is>
          <t>Hogaza de Harina de Trigo Tritordeum con Semillas de Lino Dorado</t>
        </is>
      </c>
      <c r="C91" t="inlineStr">
        <is>
          <t>masa</t>
        </is>
      </c>
      <c r="D91" s="22" t="inlineStr">
        <is>
          <t>150 g Harina de trigo panificable de fuerza blanca (W 280) (30%, soporte estructural)</t>
        </is>
      </c>
      <c r="E91" s="6" t="inlineStr">
        <is>
          <t>Harina panificable de fuerza (W 280-300)</t>
        </is>
      </c>
      <c r="F91" s="16" t="n">
        <v>150</v>
      </c>
      <c r="G91" t="inlineStr">
        <is>
          <t>g</t>
        </is>
      </c>
      <c r="H91" s="12">
        <f>IFERROR(VLOOKUP(E91,Insumos!$C$5:$G$64,5,FALSE),0)</f>
        <v/>
      </c>
      <c r="I91" s="17">
        <f>F91*H91</f>
        <v/>
      </c>
    </row>
    <row r="92">
      <c r="A92" t="n">
        <v>15</v>
      </c>
      <c r="B92" s="21" t="inlineStr">
        <is>
          <t>Hogaza de Harina de Trigo Tritordeum con Semillas de Lino Dorado</t>
        </is>
      </c>
      <c r="C92" t="inlineStr">
        <is>
          <t>masa</t>
        </is>
      </c>
      <c r="D92" s="22" t="inlineStr">
        <is>
          <t>325 ml Agua purificada limpia (305 ml para autólisis + 20 ml para la sal) (65% agua añadida; 70% hidratación total)</t>
        </is>
      </c>
      <c r="E92" s="6" t="inlineStr">
        <is>
          <t>Agua purificada</t>
        </is>
      </c>
      <c r="F92" s="16" t="n">
        <v>325</v>
      </c>
      <c r="G92" t="inlineStr">
        <is>
          <t>ml</t>
        </is>
      </c>
      <c r="H92" s="12">
        <f>IFERROR(VLOOKUP(E92,Insumos!$C$5:$G$64,5,FALSE),0)</f>
        <v/>
      </c>
      <c r="I92" s="17">
        <f>F92*H92</f>
        <v/>
      </c>
    </row>
    <row r="93">
      <c r="A93" t="n">
        <v>15</v>
      </c>
      <c r="B93" s="21" t="inlineStr">
        <is>
          <t>Hogaza de Harina de Trigo Tritordeum con Semillas de Lino Dorado</t>
        </is>
      </c>
      <c r="C93" t="inlineStr">
        <is>
          <t>masa</t>
        </is>
      </c>
      <c r="D93" s="22" t="inlineStr">
        <is>
          <t>100 g Masa madre activa al 100% de hidratación (20%)</t>
        </is>
      </c>
      <c r="E93" s="6" t="inlineStr">
        <is>
          <t>Masa madre blanca activa 100% (cultivada)</t>
        </is>
      </c>
      <c r="F93" s="16" t="n">
        <v>100</v>
      </c>
      <c r="G93" t="inlineStr">
        <is>
          <t>g</t>
        </is>
      </c>
      <c r="H93" s="12">
        <f>IFERROR(VLOOKUP(E93,Insumos!$C$5:$G$64,5,FALSE),0)</f>
        <v/>
      </c>
      <c r="I93" s="17">
        <f>F93*H93</f>
        <v/>
      </c>
    </row>
    <row r="94">
      <c r="A94" t="n">
        <v>15</v>
      </c>
      <c r="B94" s="21" t="inlineStr">
        <is>
          <t>Hogaza de Harina de Trigo Tritordeum con Semillas de Lino Dorado</t>
        </is>
      </c>
      <c r="C94" t="inlineStr">
        <is>
          <t>masa</t>
        </is>
      </c>
      <c r="D94" s="22" t="inlineStr">
        <is>
          <t>10 g Sal marina fina (2%)</t>
        </is>
      </c>
      <c r="E94" s="6" t="inlineStr">
        <is>
          <t>Sal marina fina no refinada</t>
        </is>
      </c>
      <c r="F94" s="16" t="n">
        <v>10</v>
      </c>
      <c r="G94" t="inlineStr">
        <is>
          <t>g</t>
        </is>
      </c>
      <c r="H94" s="12">
        <f>IFERROR(VLOOKUP(E94,Insumos!$C$5:$G$64,5,FALSE),0)</f>
        <v/>
      </c>
      <c r="I94" s="17">
        <f>F94*H94</f>
        <v/>
      </c>
    </row>
    <row r="95">
      <c r="A95" t="n">
        <v>15</v>
      </c>
      <c r="B95" s="21" t="inlineStr">
        <is>
          <t>Hogaza de Harina de Trigo Tritordeum con Semillas de Lino Dorado</t>
        </is>
      </c>
      <c r="C95" t="inlineStr">
        <is>
          <t>masa</t>
        </is>
      </c>
      <c r="D95" s="22" t="inlineStr">
        <is>
          <t>40 g Semillas de lino dorado hidratadas previamente en 40 ml de agua durante 2 horas (gel de linaza)</t>
        </is>
      </c>
      <c r="E95" s="6" t="inlineStr">
        <is>
          <t>Semilla de lino</t>
        </is>
      </c>
      <c r="F95" s="16" t="n">
        <v>40</v>
      </c>
      <c r="G95" t="inlineStr">
        <is>
          <t>g</t>
        </is>
      </c>
      <c r="H95" s="12">
        <f>IFERROR(VLOOKUP(E95,Insumos!$C$5:$G$64,5,FALSE),0)</f>
        <v/>
      </c>
      <c r="I95" s="17">
        <f>F95*H95</f>
        <v/>
      </c>
    </row>
    <row r="96">
      <c r="A96" t="n">
        <v>16</v>
      </c>
      <c r="B96" s="21" t="inlineStr">
        <is>
          <t>Pan Rústico de Trigo Emmer (Triticum dicoccum / Farro Medio Ancestral)</t>
        </is>
      </c>
      <c r="C96" t="inlineStr">
        <is>
          <t>masa</t>
        </is>
      </c>
      <c r="D96" s="22" t="inlineStr">
        <is>
          <t>350 g Harina de trigo Emmer / Farro medio integral de molienda a la piedra (70%)</t>
        </is>
      </c>
      <c r="E96" s="6" t="inlineStr">
        <is>
          <t>Harina de emmer, escanda o tritordeum</t>
        </is>
      </c>
      <c r="F96" s="16" t="n">
        <v>350</v>
      </c>
      <c r="G96" t="inlineStr">
        <is>
          <t>g</t>
        </is>
      </c>
      <c r="H96" s="12">
        <f>IFERROR(VLOOKUP(E96,Insumos!$C$5:$G$64,5,FALSE),0)</f>
        <v/>
      </c>
      <c r="I96" s="17">
        <f>F96*H96</f>
        <v/>
      </c>
    </row>
    <row r="97">
      <c r="A97" t="n">
        <v>16</v>
      </c>
      <c r="B97" s="21" t="inlineStr">
        <is>
          <t>Pan Rústico de Trigo Emmer (Triticum dicoccum / Farro Medio Ancestral)</t>
        </is>
      </c>
      <c r="C97" t="inlineStr">
        <is>
          <t>masa</t>
        </is>
      </c>
      <c r="D97" s="22" t="inlineStr">
        <is>
          <t>150 g Harina de trigo panificable blanca de fuerza (W 280-300) (30%, soporte estructural)</t>
        </is>
      </c>
      <c r="E97" s="6" t="inlineStr">
        <is>
          <t>Harina panificable de fuerza (W 280-300)</t>
        </is>
      </c>
      <c r="F97" s="16" t="n">
        <v>150</v>
      </c>
      <c r="G97" t="inlineStr">
        <is>
          <t>g</t>
        </is>
      </c>
      <c r="H97" s="12">
        <f>IFERROR(VLOOKUP(E97,Insumos!$C$5:$G$64,5,FALSE),0)</f>
        <v/>
      </c>
      <c r="I97" s="17">
        <f>F97*H97</f>
        <v/>
      </c>
    </row>
    <row r="98">
      <c r="A98" t="n">
        <v>16</v>
      </c>
      <c r="B98" s="21" t="inlineStr">
        <is>
          <t>Pan Rústico de Trigo Emmer (Triticum dicoccum / Farro Medio Ancestral)</t>
        </is>
      </c>
      <c r="C98" t="inlineStr">
        <is>
          <t>masa</t>
        </is>
      </c>
      <c r="D98" s="22" t="inlineStr">
        <is>
          <t>315 ml Agua purificada fría a 15 °C (295 ml para autólisis + 20 ml para la sal) (63% agua añadida; 68% hidratación total)</t>
        </is>
      </c>
      <c r="E98" s="6" t="inlineStr">
        <is>
          <t>Agua purificada</t>
        </is>
      </c>
      <c r="F98" s="16" t="n">
        <v>315</v>
      </c>
      <c r="G98" t="inlineStr">
        <is>
          <t>ml</t>
        </is>
      </c>
      <c r="H98" s="12">
        <f>IFERROR(VLOOKUP(E98,Insumos!$C$5:$G$64,5,FALSE),0)</f>
        <v/>
      </c>
      <c r="I98" s="17">
        <f>F98*H98</f>
        <v/>
      </c>
    </row>
    <row r="99">
      <c r="A99" t="n">
        <v>16</v>
      </c>
      <c r="B99" s="21" t="inlineStr">
        <is>
          <t>Pan Rústico de Trigo Emmer (Triticum dicoccum / Farro Medio Ancestral)</t>
        </is>
      </c>
      <c r="C99" t="inlineStr">
        <is>
          <t>masa</t>
        </is>
      </c>
      <c r="D99" s="22" t="inlineStr">
        <is>
          <t>100 g Masa madre activa al 100% de hidratación (20%)</t>
        </is>
      </c>
      <c r="E99" s="6" t="inlineStr">
        <is>
          <t>Masa madre blanca activa 100% (cultivada)</t>
        </is>
      </c>
      <c r="F99" s="16" t="n">
        <v>100</v>
      </c>
      <c r="G99" t="inlineStr">
        <is>
          <t>g</t>
        </is>
      </c>
      <c r="H99" s="12">
        <f>IFERROR(VLOOKUP(E99,Insumos!$C$5:$G$64,5,FALSE),0)</f>
        <v/>
      </c>
      <c r="I99" s="17">
        <f>F99*H99</f>
        <v/>
      </c>
    </row>
    <row r="100">
      <c r="A100" t="n">
        <v>16</v>
      </c>
      <c r="B100" s="21" t="inlineStr">
        <is>
          <t>Pan Rústico de Trigo Emmer (Triticum dicoccum / Farro Medio Ancestral)</t>
        </is>
      </c>
      <c r="C100" t="inlineStr">
        <is>
          <t>masa</t>
        </is>
      </c>
      <c r="D100" s="22" t="inlineStr">
        <is>
          <t>10 g Sal marina fina (2%)</t>
        </is>
      </c>
      <c r="E100" s="6" t="inlineStr">
        <is>
          <t>Sal marina fina no refinada</t>
        </is>
      </c>
      <c r="F100" s="16" t="n">
        <v>10</v>
      </c>
      <c r="G100" t="inlineStr">
        <is>
          <t>g</t>
        </is>
      </c>
      <c r="H100" s="12">
        <f>IFERROR(VLOOKUP(E100,Insumos!$C$5:$G$64,5,FALSE),0)</f>
        <v/>
      </c>
      <c r="I100" s="17">
        <f>F100*H100</f>
        <v/>
      </c>
    </row>
    <row r="101">
      <c r="A101" t="n">
        <v>17</v>
      </c>
      <c r="B101" s="21" t="inlineStr">
        <is>
          <t>Barra de Escanda Asturiana y Centeno con Masa Madre Ácida</t>
        </is>
      </c>
      <c r="C101" t="inlineStr">
        <is>
          <t>masa</t>
        </is>
      </c>
      <c r="D101" s="22" t="inlineStr">
        <is>
          <t>350 g Harina de escanda asturiana tradicional (variedad autóctona de espelta de montaña) (70%)</t>
        </is>
      </c>
      <c r="E101" s="6" t="inlineStr">
        <is>
          <t>Harina de emmer, escanda o tritordeum</t>
        </is>
      </c>
      <c r="F101" s="16" t="n">
        <v>350</v>
      </c>
      <c r="G101" t="inlineStr">
        <is>
          <t>g</t>
        </is>
      </c>
      <c r="H101" s="12">
        <f>IFERROR(VLOOKUP(E101,Insumos!$C$5:$G$64,5,FALSE),0)</f>
        <v/>
      </c>
      <c r="I101" s="17">
        <f>F101*H101</f>
        <v/>
      </c>
    </row>
    <row r="102">
      <c r="A102" t="n">
        <v>17</v>
      </c>
      <c r="B102" s="21" t="inlineStr">
        <is>
          <t>Barra de Escanda Asturiana y Centeno con Masa Madre Ácida</t>
        </is>
      </c>
      <c r="C102" t="inlineStr">
        <is>
          <t>masa</t>
        </is>
      </c>
      <c r="D102" s="22" t="inlineStr">
        <is>
          <t>100 g Harina de trigo panificable blanca (W 260) (20%, refuerzo estructural)</t>
        </is>
      </c>
      <c r="E102" s="6" t="inlineStr">
        <is>
          <t>Harina panificable de fuerza (W 280-300)</t>
        </is>
      </c>
      <c r="F102" s="16" t="n">
        <v>100</v>
      </c>
      <c r="G102" t="inlineStr">
        <is>
          <t>g</t>
        </is>
      </c>
      <c r="H102" s="12">
        <f>IFERROR(VLOOKUP(E102,Insumos!$C$5:$G$64,5,FALSE),0)</f>
        <v/>
      </c>
      <c r="I102" s="17">
        <f>F102*H102</f>
        <v/>
      </c>
    </row>
    <row r="103">
      <c r="A103" t="n">
        <v>17</v>
      </c>
      <c r="B103" s="21" t="inlineStr">
        <is>
          <t>Barra de Escanda Asturiana y Centeno con Masa Madre Ácida</t>
        </is>
      </c>
      <c r="C103" t="inlineStr">
        <is>
          <t>masa</t>
        </is>
      </c>
      <c r="D103" s="22" t="inlineStr">
        <is>
          <t>50 g Harina de centeno integral pura de grano entero (10%)</t>
        </is>
      </c>
      <c r="E103" s="6" t="inlineStr">
        <is>
          <t>Harina de centeno integral o T130</t>
        </is>
      </c>
      <c r="F103" s="16" t="n">
        <v>50</v>
      </c>
      <c r="G103" t="inlineStr">
        <is>
          <t>g</t>
        </is>
      </c>
      <c r="H103" s="12">
        <f>IFERROR(VLOOKUP(E103,Insumos!$C$5:$G$64,5,FALSE),0)</f>
        <v/>
      </c>
      <c r="I103" s="17">
        <f>F103*H103</f>
        <v/>
      </c>
    </row>
    <row r="104">
      <c r="A104" t="n">
        <v>17</v>
      </c>
      <c r="B104" s="21" t="inlineStr">
        <is>
          <t>Barra de Escanda Asturiana y Centeno con Masa Madre Ácida</t>
        </is>
      </c>
      <c r="C104" t="inlineStr">
        <is>
          <t>masa</t>
        </is>
      </c>
      <c r="D104" s="22" t="inlineStr">
        <is>
          <t>320 ml Agua purificada limpia (300 ml iniciales + 20 ml para la sal) (64% agua añadida; 69% hidratación total)</t>
        </is>
      </c>
      <c r="E104" s="6" t="inlineStr">
        <is>
          <t>Agua purificada</t>
        </is>
      </c>
      <c r="F104" s="16" t="n">
        <v>320</v>
      </c>
      <c r="G104" t="inlineStr">
        <is>
          <t>ml</t>
        </is>
      </c>
      <c r="H104" s="12">
        <f>IFERROR(VLOOKUP(E104,Insumos!$C$5:$G$64,5,FALSE),0)</f>
        <v/>
      </c>
      <c r="I104" s="17">
        <f>F104*H104</f>
        <v/>
      </c>
    </row>
    <row r="105">
      <c r="A105" t="n">
        <v>17</v>
      </c>
      <c r="B105" s="21" t="inlineStr">
        <is>
          <t>Barra de Escanda Asturiana y Centeno con Masa Madre Ácida</t>
        </is>
      </c>
      <c r="C105" t="inlineStr">
        <is>
          <t>masa</t>
        </is>
      </c>
      <c r="D105" s="22" t="inlineStr">
        <is>
          <t>100 g Masa madre ácida activa (20%)</t>
        </is>
      </c>
      <c r="E105" s="6" t="inlineStr">
        <is>
          <t>Masa madre de centeno o integral 100% (cultivada)</t>
        </is>
      </c>
      <c r="F105" s="16" t="n">
        <v>100</v>
      </c>
      <c r="G105" t="inlineStr">
        <is>
          <t>g</t>
        </is>
      </c>
      <c r="H105" s="12">
        <f>IFERROR(VLOOKUP(E105,Insumos!$C$5:$G$64,5,FALSE),0)</f>
        <v/>
      </c>
      <c r="I105" s="17">
        <f>F105*H105</f>
        <v/>
      </c>
    </row>
    <row r="106">
      <c r="A106" t="n">
        <v>17</v>
      </c>
      <c r="B106" s="21" t="inlineStr">
        <is>
          <t>Barra de Escanda Asturiana y Centeno con Masa Madre Ácida</t>
        </is>
      </c>
      <c r="C106" t="inlineStr">
        <is>
          <t>masa</t>
        </is>
      </c>
      <c r="D106" s="22" t="inlineStr">
        <is>
          <t>10 g Sal marina fina (2%)</t>
        </is>
      </c>
      <c r="E106" s="6" t="inlineStr">
        <is>
          <t>Sal marina fina no refinada</t>
        </is>
      </c>
      <c r="F106" s="16" t="n">
        <v>10</v>
      </c>
      <c r="G106" t="inlineStr">
        <is>
          <t>g</t>
        </is>
      </c>
      <c r="H106" s="12">
        <f>IFERROR(VLOOKUP(E106,Insumos!$C$5:$G$64,5,FALSE),0)</f>
        <v/>
      </c>
      <c r="I106" s="17">
        <f>F106*H106</f>
        <v/>
      </c>
    </row>
    <row r="107">
      <c r="A107" t="n">
        <v>18</v>
      </c>
      <c r="B107" s="21" t="inlineStr">
        <is>
          <t>Hogaza Multicereales con Grano Entero Escaldado (Soaker de 5 Granos)</t>
        </is>
      </c>
      <c r="C107" t="inlineStr">
        <is>
          <t>masa</t>
        </is>
      </c>
      <c r="D107" s="22" t="inlineStr">
        <is>
          <t>400 g Harina de trigo panificable de fuerza (W 280-300, 12.5% proteína) (80%)</t>
        </is>
      </c>
      <c r="E107" s="6" t="inlineStr">
        <is>
          <t>Harina panificable de fuerza (W 280-300)</t>
        </is>
      </c>
      <c r="F107" s="16" t="n">
        <v>400</v>
      </c>
      <c r="G107" t="inlineStr">
        <is>
          <t>g</t>
        </is>
      </c>
      <c r="H107" s="12">
        <f>IFERROR(VLOOKUP(E107,Insumos!$C$5:$G$64,5,FALSE),0)</f>
        <v/>
      </c>
      <c r="I107" s="17">
        <f>F107*H107</f>
        <v/>
      </c>
    </row>
    <row r="108">
      <c r="A108" t="n">
        <v>18</v>
      </c>
      <c r="B108" s="21" t="inlineStr">
        <is>
          <t>Hogaza Multicereales con Grano Entero Escaldado (Soaker de 5 Granos)</t>
        </is>
      </c>
      <c r="C108" t="inlineStr">
        <is>
          <t>masa</t>
        </is>
      </c>
      <c r="D108" s="22" t="inlineStr">
        <is>
          <t>100 g Harina de trigo integral de molienda a la piedra (20%)</t>
        </is>
      </c>
      <c r="E108" s="6" t="inlineStr">
        <is>
          <t>Harina de trigo integral de molienda a la piedra</t>
        </is>
      </c>
      <c r="F108" s="16" t="n">
        <v>100</v>
      </c>
      <c r="G108" t="inlineStr">
        <is>
          <t>g</t>
        </is>
      </c>
      <c r="H108" s="12">
        <f>IFERROR(VLOOKUP(E108,Insumos!$C$5:$G$64,5,FALSE),0)</f>
        <v/>
      </c>
      <c r="I108" s="17">
        <f>F108*H108</f>
        <v/>
      </c>
    </row>
    <row r="109">
      <c r="A109" t="n">
        <v>18</v>
      </c>
      <c r="B109" s="21" t="inlineStr">
        <is>
          <t>Hogaza Multicereales con Grano Entero Escaldado (Soaker de 5 Granos)</t>
        </is>
      </c>
      <c r="C109" t="inlineStr">
        <is>
          <t>masa</t>
        </is>
      </c>
      <c r="D109" s="22" t="inlineStr">
        <is>
          <t>330 ml Agua purificada limpia (310 ml iniciales + 20 ml para la sal)</t>
        </is>
      </c>
      <c r="E109" s="6" t="inlineStr">
        <is>
          <t>Agua purificada</t>
        </is>
      </c>
      <c r="F109" s="16" t="n">
        <v>330</v>
      </c>
      <c r="G109" t="inlineStr">
        <is>
          <t>ml</t>
        </is>
      </c>
      <c r="H109" s="12">
        <f>IFERROR(VLOOKUP(E109,Insumos!$C$5:$G$64,5,FALSE),0)</f>
        <v/>
      </c>
      <c r="I109" s="17">
        <f>F109*H109</f>
        <v/>
      </c>
    </row>
    <row r="110">
      <c r="A110" t="n">
        <v>18</v>
      </c>
      <c r="B110" s="21" t="inlineStr">
        <is>
          <t>Hogaza Multicereales con Grano Entero Escaldado (Soaker de 5 Granos)</t>
        </is>
      </c>
      <c r="C110" t="inlineStr">
        <is>
          <t>masa</t>
        </is>
      </c>
      <c r="D110" s="22" t="inlineStr">
        <is>
          <t>100 g Masa madre activa al 100% de hidratación (20%)</t>
        </is>
      </c>
      <c r="E110" s="6" t="inlineStr">
        <is>
          <t>Masa madre blanca activa 100% (cultivada)</t>
        </is>
      </c>
      <c r="F110" s="16" t="n">
        <v>100</v>
      </c>
      <c r="G110" t="inlineStr">
        <is>
          <t>g</t>
        </is>
      </c>
      <c r="H110" s="12">
        <f>IFERROR(VLOOKUP(E110,Insumos!$C$5:$G$64,5,FALSE),0)</f>
        <v/>
      </c>
      <c r="I110" s="17">
        <f>F110*H110</f>
        <v/>
      </c>
    </row>
    <row r="111">
      <c r="A111" t="n">
        <v>18</v>
      </c>
      <c r="B111" s="21" t="inlineStr">
        <is>
          <t>Hogaza Multicereales con Grano Entero Escaldado (Soaker de 5 Granos)</t>
        </is>
      </c>
      <c r="C111" t="inlineStr">
        <is>
          <t>masa</t>
        </is>
      </c>
      <c r="D111" s="22" t="inlineStr">
        <is>
          <t>11 g Sal marina fina (2.2%)</t>
        </is>
      </c>
      <c r="E111" s="6" t="inlineStr">
        <is>
          <t>Sal marina fina no refinada</t>
        </is>
      </c>
      <c r="F111" s="16" t="n">
        <v>11</v>
      </c>
      <c r="G111" t="inlineStr">
        <is>
          <t>g</t>
        </is>
      </c>
      <c r="H111" s="12">
        <f>IFERROR(VLOOKUP(E111,Insumos!$C$5:$G$64,5,FALSE),0)</f>
        <v/>
      </c>
      <c r="I111" s="17">
        <f>F111*H111</f>
        <v/>
      </c>
    </row>
    <row r="112">
      <c r="A112" t="n">
        <v>18</v>
      </c>
      <c r="B112" s="21" t="inlineStr">
        <is>
          <t>Hogaza Multicereales con Grano Entero Escaldado (Soaker de 5 Granos)</t>
        </is>
      </c>
      <c r="C112" t="inlineStr">
        <is>
          <t>previa</t>
        </is>
      </c>
      <c r="D112" s="22" t="inlineStr">
        <is>
          <t>25 g Granos de centeno quebrados</t>
        </is>
      </c>
      <c r="E112" s="6" t="inlineStr">
        <is>
          <t>Grano quebrado o copos de centeno</t>
        </is>
      </c>
      <c r="F112" s="16" t="n">
        <v>25</v>
      </c>
      <c r="G112" t="inlineStr">
        <is>
          <t>g</t>
        </is>
      </c>
      <c r="H112" s="12">
        <f>IFERROR(VLOOKUP(E112,Insumos!$C$5:$G$64,5,FALSE),0)</f>
        <v/>
      </c>
      <c r="I112" s="17">
        <f>F112*H112</f>
        <v/>
      </c>
    </row>
    <row r="113">
      <c r="A113" t="n">
        <v>18</v>
      </c>
      <c r="B113" s="21" t="inlineStr">
        <is>
          <t>Hogaza Multicereales con Grano Entero Escaldado (Soaker de 5 Granos)</t>
        </is>
      </c>
      <c r="C113" t="inlineStr">
        <is>
          <t>previa</t>
        </is>
      </c>
      <c r="D113" s="22" t="inlineStr">
        <is>
          <t>25 g Copos de avena tradicionales enteros</t>
        </is>
      </c>
      <c r="E113" s="6" t="inlineStr">
        <is>
          <t>Copos de avena</t>
        </is>
      </c>
      <c r="F113" s="16" t="n">
        <v>25</v>
      </c>
      <c r="G113" t="inlineStr">
        <is>
          <t>g</t>
        </is>
      </c>
      <c r="H113" s="12">
        <f>IFERROR(VLOOKUP(E113,Insumos!$C$5:$G$64,5,FALSE),0)</f>
        <v/>
      </c>
      <c r="I113" s="17">
        <f>F113*H113</f>
        <v/>
      </c>
    </row>
    <row r="114">
      <c r="A114" t="n">
        <v>18</v>
      </c>
      <c r="B114" s="21" t="inlineStr">
        <is>
          <t>Hogaza Multicereales con Grano Entero Escaldado (Soaker de 5 Granos)</t>
        </is>
      </c>
      <c r="C114" t="inlineStr">
        <is>
          <t>previa</t>
        </is>
      </c>
      <c r="D114" s="22" t="inlineStr">
        <is>
          <t>20 g Semillas de lino marrón</t>
        </is>
      </c>
      <c r="E114" s="6" t="inlineStr">
        <is>
          <t>Semilla de lino</t>
        </is>
      </c>
      <c r="F114" s="16" t="n">
        <v>20</v>
      </c>
      <c r="G114" t="inlineStr">
        <is>
          <t>g</t>
        </is>
      </c>
      <c r="H114" s="12">
        <f>IFERROR(VLOOKUP(E114,Insumos!$C$5:$G$64,5,FALSE),0)</f>
        <v/>
      </c>
      <c r="I114" s="17">
        <f>F114*H114</f>
        <v/>
      </c>
    </row>
    <row r="115">
      <c r="A115" t="n">
        <v>18</v>
      </c>
      <c r="B115" s="21" t="inlineStr">
        <is>
          <t>Hogaza Multicereales con Grano Entero Escaldado (Soaker de 5 Granos)</t>
        </is>
      </c>
      <c r="C115" t="inlineStr">
        <is>
          <t>previa</t>
        </is>
      </c>
      <c r="D115" s="22" t="inlineStr">
        <is>
          <t>20 g Semillas de girasol tostadas</t>
        </is>
      </c>
      <c r="E115" s="6" t="inlineStr">
        <is>
          <t>Semilla de girasol</t>
        </is>
      </c>
      <c r="F115" s="16" t="n">
        <v>20</v>
      </c>
      <c r="G115" t="inlineStr">
        <is>
          <t>g</t>
        </is>
      </c>
      <c r="H115" s="12">
        <f>IFERROR(VLOOKUP(E115,Insumos!$C$5:$G$64,5,FALSE),0)</f>
        <v/>
      </c>
      <c r="I115" s="17">
        <f>F115*H115</f>
        <v/>
      </c>
    </row>
    <row r="116">
      <c r="A116" t="n">
        <v>18</v>
      </c>
      <c r="B116" s="21" t="inlineStr">
        <is>
          <t>Hogaza Multicereales con Grano Entero Escaldado (Soaker de 5 Granos)</t>
        </is>
      </c>
      <c r="C116" t="inlineStr">
        <is>
          <t>previa</t>
        </is>
      </c>
      <c r="D116" s="22" t="inlineStr">
        <is>
          <t>20 g Semillas de sésamo tostado</t>
        </is>
      </c>
      <c r="E116" s="6" t="inlineStr">
        <is>
          <t>Semilla de sésamo o ajonjolí</t>
        </is>
      </c>
      <c r="F116" s="16" t="n">
        <v>20</v>
      </c>
      <c r="G116" t="inlineStr">
        <is>
          <t>g</t>
        </is>
      </c>
      <c r="H116" s="12">
        <f>IFERROR(VLOOKUP(E116,Insumos!$C$5:$G$64,5,FALSE),0)</f>
        <v/>
      </c>
      <c r="I116" s="17">
        <f>F116*H116</f>
        <v/>
      </c>
    </row>
    <row r="117">
      <c r="A117" t="n">
        <v>18</v>
      </c>
      <c r="B117" s="21" t="inlineStr">
        <is>
          <t>Hogaza Multicereales con Grano Entero Escaldado (Soaker de 5 Granos)</t>
        </is>
      </c>
      <c r="C117" t="inlineStr">
        <is>
          <t>previa</t>
        </is>
      </c>
      <c r="D117" s="22" t="inlineStr">
        <is>
          <t>110 ml Agua purificada hirviendo a 100 °C (para escaldar)</t>
        </is>
      </c>
      <c r="E117" s="6" t="inlineStr">
        <is>
          <t>Agua purificada</t>
        </is>
      </c>
      <c r="F117" s="16" t="n">
        <v>110</v>
      </c>
      <c r="G117" t="inlineStr">
        <is>
          <t>ml</t>
        </is>
      </c>
      <c r="H117" s="12">
        <f>IFERROR(VLOOKUP(E117,Insumos!$C$5:$G$64,5,FALSE),0)</f>
        <v/>
      </c>
      <c r="I117" s="17">
        <f>F117*H117</f>
        <v/>
      </c>
    </row>
    <row r="118">
      <c r="A118" t="n">
        <v>19</v>
      </c>
      <c r="B118" s="21" t="inlineStr">
        <is>
          <t>Pan de Centeno Alemán Tradicional de Tres Fases (Roggenmischbrot 70/30)</t>
        </is>
      </c>
      <c r="C118" t="inlineStr">
        <is>
          <t>masa</t>
        </is>
      </c>
      <c r="D118" s="22" t="inlineStr">
        <is>
          <t>350 g Harina de centeno semi-integral T997 o T1150 (70%)</t>
        </is>
      </c>
      <c r="E118" s="6" t="inlineStr">
        <is>
          <t>Harina de centeno integral o T130</t>
        </is>
      </c>
      <c r="F118" s="16" t="n">
        <v>350</v>
      </c>
      <c r="G118" t="inlineStr">
        <is>
          <t>g</t>
        </is>
      </c>
      <c r="H118" s="12">
        <f>IFERROR(VLOOKUP(E118,Insumos!$C$5:$G$64,5,FALSE),0)</f>
        <v/>
      </c>
      <c r="I118" s="17">
        <f>F118*H118</f>
        <v/>
      </c>
    </row>
    <row r="119">
      <c r="A119" t="n">
        <v>19</v>
      </c>
      <c r="B119" s="21" t="inlineStr">
        <is>
          <t>Pan de Centeno Alemán Tradicional de Tres Fases (Roggenmischbrot 70/30)</t>
        </is>
      </c>
      <c r="C119" t="inlineStr">
        <is>
          <t>masa</t>
        </is>
      </c>
      <c r="D119" s="22" t="inlineStr">
        <is>
          <t>150 g Harina de trigo panificable blanca de fuerza (W 280) (30%)</t>
        </is>
      </c>
      <c r="E119" s="6" t="inlineStr">
        <is>
          <t>Harina panificable de fuerza (W 280-300)</t>
        </is>
      </c>
      <c r="F119" s="16" t="n">
        <v>150</v>
      </c>
      <c r="G119" t="inlineStr">
        <is>
          <t>g</t>
        </is>
      </c>
      <c r="H119" s="12">
        <f>IFERROR(VLOOKUP(E119,Insumos!$C$5:$G$64,5,FALSE),0)</f>
        <v/>
      </c>
      <c r="I119" s="17">
        <f>F119*H119</f>
        <v/>
      </c>
    </row>
    <row r="120">
      <c r="A120" t="n">
        <v>19</v>
      </c>
      <c r="B120" s="21" t="inlineStr">
        <is>
          <t>Pan de Centeno Alemán Tradicional de Tres Fases (Roggenmischbrot 70/30)</t>
        </is>
      </c>
      <c r="C120" t="inlineStr">
        <is>
          <t>masa</t>
        </is>
      </c>
      <c r="D120" s="22" t="inlineStr">
        <is>
          <t>330 ml Agua purificada caliente a 38 °C (310 ml iniciales + 20 ml para la sal) (66% agua añadida; 76% hidratación total)</t>
        </is>
      </c>
      <c r="E120" s="6" t="inlineStr">
        <is>
          <t>Agua purificada</t>
        </is>
      </c>
      <c r="F120" s="16" t="n">
        <v>330</v>
      </c>
      <c r="G120" t="inlineStr">
        <is>
          <t>ml</t>
        </is>
      </c>
      <c r="H120" s="12">
        <f>IFERROR(VLOOKUP(E120,Insumos!$C$5:$G$64,5,FALSE),0)</f>
        <v/>
      </c>
      <c r="I120" s="17">
        <f>F120*H120</f>
        <v/>
      </c>
    </row>
    <row r="121">
      <c r="A121" t="n">
        <v>19</v>
      </c>
      <c r="B121" s="21" t="inlineStr">
        <is>
          <t>Pan de Centeno Alemán Tradicional de Tres Fases (Roggenmischbrot 70/30)</t>
        </is>
      </c>
      <c r="C121" t="inlineStr">
        <is>
          <t>masa</t>
        </is>
      </c>
      <c r="D121" s="22" t="inlineStr">
        <is>
          <t>175 g Masa madre de centeno activa al 100% de hidratación (35%)</t>
        </is>
      </c>
      <c r="E121" s="6" t="inlineStr">
        <is>
          <t>Masa madre de centeno o integral 100% (cultivada)</t>
        </is>
      </c>
      <c r="F121" s="16" t="n">
        <v>175</v>
      </c>
      <c r="G121" t="inlineStr">
        <is>
          <t>g</t>
        </is>
      </c>
      <c r="H121" s="12">
        <f>IFERROR(VLOOKUP(E121,Insumos!$C$5:$G$64,5,FALSE),0)</f>
        <v/>
      </c>
      <c r="I121" s="17">
        <f>F121*H121</f>
        <v/>
      </c>
    </row>
    <row r="122">
      <c r="A122" t="n">
        <v>19</v>
      </c>
      <c r="B122" s="21" t="inlineStr">
        <is>
          <t>Pan de Centeno Alemán Tradicional de Tres Fases (Roggenmischbrot 70/30)</t>
        </is>
      </c>
      <c r="C122" t="inlineStr">
        <is>
          <t>masa</t>
        </is>
      </c>
      <c r="D122" s="22" t="inlineStr">
        <is>
          <t>11 g Sal marina fina (2.2%)</t>
        </is>
      </c>
      <c r="E122" s="6" t="inlineStr">
        <is>
          <t>Sal marina fina no refinada</t>
        </is>
      </c>
      <c r="F122" s="16" t="n">
        <v>11</v>
      </c>
      <c r="G122" t="inlineStr">
        <is>
          <t>g</t>
        </is>
      </c>
      <c r="H122" s="12">
        <f>IFERROR(VLOOKUP(E122,Insumos!$C$5:$G$64,5,FALSE),0)</f>
        <v/>
      </c>
      <c r="I122" s="17">
        <f>F122*H122</f>
        <v/>
      </c>
    </row>
    <row r="123">
      <c r="A123" t="n">
        <v>19</v>
      </c>
      <c r="B123" s="21" t="inlineStr">
        <is>
          <t>Pan de Centeno Alemán Tradicional de Tres Fases (Roggenmischbrot 70/30)</t>
        </is>
      </c>
      <c r="C123" t="inlineStr">
        <is>
          <t>masa</t>
        </is>
      </c>
      <c r="D123" s="22" t="inlineStr">
        <is>
          <t>3 g Semillas de alcaravea (Carum carvi) o comino alemán machacadas toscas en mortero (0.6%, especia tradicional)</t>
        </is>
      </c>
      <c r="E123" s="6" t="inlineStr">
        <is>
          <t>Semilla de alcaravea o anís</t>
        </is>
      </c>
      <c r="F123" s="16" t="n">
        <v>3</v>
      </c>
      <c r="G123" t="inlineStr">
        <is>
          <t>g</t>
        </is>
      </c>
      <c r="H123" s="12">
        <f>IFERROR(VLOOKUP(E123,Insumos!$C$5:$G$64,5,FALSE),0)</f>
        <v/>
      </c>
      <c r="I123" s="17">
        <f>F123*H123</f>
        <v/>
      </c>
    </row>
    <row r="124">
      <c r="A124" t="n">
        <v>20</v>
      </c>
      <c r="B124" s="21" t="inlineStr">
        <is>
          <t>Hogaza Integral Rústica 100% con Germen de Trigo Tostado</t>
        </is>
      </c>
      <c r="C124" t="inlineStr">
        <is>
          <t>masa</t>
        </is>
      </c>
      <c r="D124" s="22" t="inlineStr">
        <is>
          <t>475 g Harina de trigo 100% integral de molienda gruesa a la piedra (T150, con todo su salvado) (95%)</t>
        </is>
      </c>
      <c r="E124" s="6" t="inlineStr">
        <is>
          <t>Harina de trigo integral de molienda a la piedra</t>
        </is>
      </c>
      <c r="F124" s="16" t="n">
        <v>475</v>
      </c>
      <c r="G124" t="inlineStr">
        <is>
          <t>g</t>
        </is>
      </c>
      <c r="H124" s="12">
        <f>IFERROR(VLOOKUP(E124,Insumos!$C$5:$G$64,5,FALSE),0)</f>
        <v/>
      </c>
      <c r="I124" s="17">
        <f>F124*H124</f>
        <v/>
      </c>
    </row>
    <row r="125">
      <c r="A125" t="n">
        <v>20</v>
      </c>
      <c r="B125" s="21" t="inlineStr">
        <is>
          <t>Hogaza Integral Rústica 100% con Germen de Trigo Tostado</t>
        </is>
      </c>
      <c r="C125" t="inlineStr">
        <is>
          <t>masa</t>
        </is>
      </c>
      <c r="D125" s="22" t="inlineStr">
        <is>
          <t>25 g Germen de trigo puro tostado en horno a 140 °C durante 8 minutos (5%, aroma a nuez y grasas nobles)</t>
        </is>
      </c>
      <c r="E125" s="6" t="inlineStr">
        <is>
          <t>Germen de trigo</t>
        </is>
      </c>
      <c r="F125" s="16" t="n">
        <v>25</v>
      </c>
      <c r="G125" t="inlineStr">
        <is>
          <t>g</t>
        </is>
      </c>
      <c r="H125" s="12">
        <f>IFERROR(VLOOKUP(E125,Insumos!$C$5:$G$64,5,FALSE),0)</f>
        <v/>
      </c>
      <c r="I125" s="17">
        <f>F125*H125</f>
        <v/>
      </c>
    </row>
    <row r="126">
      <c r="A126" t="n">
        <v>20</v>
      </c>
      <c r="B126" s="21" t="inlineStr">
        <is>
          <t>Hogaza Integral Rústica 100% con Germen de Trigo Tostado</t>
        </is>
      </c>
      <c r="C126" t="inlineStr">
        <is>
          <t>masa</t>
        </is>
      </c>
      <c r="D126" s="22" t="inlineStr">
        <is>
          <t>370 ml Agua purificada tibia a 28 °C (345 ml para autólisis + 25 ml para la sal) (74% agua añadida; 80% hidratación total)</t>
        </is>
      </c>
      <c r="E126" s="6" t="inlineStr">
        <is>
          <t>Agua purificada</t>
        </is>
      </c>
      <c r="F126" s="16" t="n">
        <v>370</v>
      </c>
      <c r="G126" t="inlineStr">
        <is>
          <t>ml</t>
        </is>
      </c>
      <c r="H126" s="12">
        <f>IFERROR(VLOOKUP(E126,Insumos!$C$5:$G$64,5,FALSE),0)</f>
        <v/>
      </c>
      <c r="I126" s="17">
        <f>F126*H126</f>
        <v/>
      </c>
    </row>
    <row r="127">
      <c r="A127" t="n">
        <v>20</v>
      </c>
      <c r="B127" s="21" t="inlineStr">
        <is>
          <t>Hogaza Integral Rústica 100% con Germen de Trigo Tostado</t>
        </is>
      </c>
      <c r="C127" t="inlineStr">
        <is>
          <t>masa</t>
        </is>
      </c>
      <c r="D127" s="22" t="inlineStr">
        <is>
          <t>100 g Masa madre activa 100% integral (20%)</t>
        </is>
      </c>
      <c r="E127" s="6" t="inlineStr">
        <is>
          <t>Masa madre de centeno o integral 100% (cultivada)</t>
        </is>
      </c>
      <c r="F127" s="16" t="n">
        <v>100</v>
      </c>
      <c r="G127" t="inlineStr">
        <is>
          <t>g</t>
        </is>
      </c>
      <c r="H127" s="12">
        <f>IFERROR(VLOOKUP(E127,Insumos!$C$5:$G$64,5,FALSE),0)</f>
        <v/>
      </c>
      <c r="I127" s="17">
        <f>F127*H127</f>
        <v/>
      </c>
    </row>
    <row r="128">
      <c r="A128" t="n">
        <v>20</v>
      </c>
      <c r="B128" s="21" t="inlineStr">
        <is>
          <t>Hogaza Integral Rústica 100% con Germen de Trigo Tostado</t>
        </is>
      </c>
      <c r="C128" t="inlineStr">
        <is>
          <t>masa</t>
        </is>
      </c>
      <c r="D128" s="22" t="inlineStr">
        <is>
          <t>10 g Sal marina fina (2%)</t>
        </is>
      </c>
      <c r="E128" s="6" t="inlineStr">
        <is>
          <t>Sal marina fina no refinada</t>
        </is>
      </c>
      <c r="F128" s="16" t="n">
        <v>10</v>
      </c>
      <c r="G128" t="inlineStr">
        <is>
          <t>g</t>
        </is>
      </c>
      <c r="H128" s="12">
        <f>IFERROR(VLOOKUP(E128,Insumos!$C$5:$G$64,5,FALSE),0)</f>
        <v/>
      </c>
      <c r="I128" s="17">
        <f>F128*H128</f>
        <v/>
      </c>
    </row>
    <row r="129">
      <c r="A129" t="n">
        <v>21</v>
      </c>
      <c r="B129" s="21" t="inlineStr">
        <is>
          <t>Focaccia Genovesa Tradicional de Masa Madre con Salmuera y Romero</t>
        </is>
      </c>
      <c r="C129" t="inlineStr">
        <is>
          <t>masa</t>
        </is>
      </c>
      <c r="D129" s="22" t="inlineStr">
        <is>
          <t>450 g Harina de trigo panificable de fuerza (W 280-300, 12.5% proteína) (90%)</t>
        </is>
      </c>
      <c r="E129" s="6" t="inlineStr">
        <is>
          <t>Harina panificable de fuerza (W 280-300)</t>
        </is>
      </c>
      <c r="F129" s="16" t="n">
        <v>450</v>
      </c>
      <c r="G129" t="inlineStr">
        <is>
          <t>g</t>
        </is>
      </c>
      <c r="H129" s="12">
        <f>IFERROR(VLOOKUP(E129,Insumos!$C$5:$G$64,5,FALSE),0)</f>
        <v/>
      </c>
      <c r="I129" s="17">
        <f>F129*H129</f>
        <v/>
      </c>
    </row>
    <row r="130">
      <c r="A130" t="n">
        <v>21</v>
      </c>
      <c r="B130" s="21" t="inlineStr">
        <is>
          <t>Focaccia Genovesa Tradicional de Masa Madre con Salmuera y Romero</t>
        </is>
      </c>
      <c r="C130" t="inlineStr">
        <is>
          <t>masa</t>
        </is>
      </c>
      <c r="D130" s="22" t="inlineStr">
        <is>
          <t>50 g Harina de trigo integral o sémola rimacinata (10%)</t>
        </is>
      </c>
      <c r="E130" s="6" t="inlineStr">
        <is>
          <t>Harina de trigo integral de molienda a la piedra</t>
        </is>
      </c>
      <c r="F130" s="16" t="n">
        <v>50</v>
      </c>
      <c r="G130" t="inlineStr">
        <is>
          <t>g</t>
        </is>
      </c>
      <c r="H130" s="12">
        <f>IFERROR(VLOOKUP(E130,Insumos!$C$5:$G$64,5,FALSE),0)</f>
        <v/>
      </c>
      <c r="I130" s="17">
        <f>F130*H130</f>
        <v/>
      </c>
    </row>
    <row r="131">
      <c r="A131" t="n">
        <v>21</v>
      </c>
      <c r="B131" s="21" t="inlineStr">
        <is>
          <t>Focaccia Genovesa Tradicional de Masa Madre con Salmuera y Romero</t>
        </is>
      </c>
      <c r="C131" t="inlineStr">
        <is>
          <t>masa</t>
        </is>
      </c>
      <c r="D131" s="22" t="inlineStr">
        <is>
          <t>375 ml Agua purificada limpia (340 ml para autólisis + 35 ml para bassinage) (75% agua añadida; 80% hidratación total)</t>
        </is>
      </c>
      <c r="E131" s="6" t="inlineStr">
        <is>
          <t>Agua purificada</t>
        </is>
      </c>
      <c r="F131" s="16" t="n">
        <v>375</v>
      </c>
      <c r="G131" t="inlineStr">
        <is>
          <t>ml</t>
        </is>
      </c>
      <c r="H131" s="12">
        <f>IFERROR(VLOOKUP(E131,Insumos!$C$5:$G$64,5,FALSE),0)</f>
        <v/>
      </c>
      <c r="I131" s="17">
        <f>F131*H131</f>
        <v/>
      </c>
    </row>
    <row r="132">
      <c r="A132" t="n">
        <v>21</v>
      </c>
      <c r="B132" s="21" t="inlineStr">
        <is>
          <t>Focaccia Genovesa Tradicional de Masa Madre con Salmuera y Romero</t>
        </is>
      </c>
      <c r="C132" t="inlineStr">
        <is>
          <t>masa</t>
        </is>
      </c>
      <c r="D132" s="22" t="inlineStr">
        <is>
          <t>100 g Masa madre activa al 100% de hidratación (20%)</t>
        </is>
      </c>
      <c r="E132" s="6" t="inlineStr">
        <is>
          <t>Masa madre blanca activa 100% (cultivada)</t>
        </is>
      </c>
      <c r="F132" s="16" t="n">
        <v>100</v>
      </c>
      <c r="G132" t="inlineStr">
        <is>
          <t>g</t>
        </is>
      </c>
      <c r="H132" s="12">
        <f>IFERROR(VLOOKUP(E132,Insumos!$C$5:$G$64,5,FALSE),0)</f>
        <v/>
      </c>
      <c r="I132" s="17">
        <f>F132*H132</f>
        <v/>
      </c>
    </row>
    <row r="133">
      <c r="A133" t="n">
        <v>21</v>
      </c>
      <c r="B133" s="21" t="inlineStr">
        <is>
          <t>Focaccia Genovesa Tradicional de Masa Madre con Salmuera y Romero</t>
        </is>
      </c>
      <c r="C133" t="inlineStr">
        <is>
          <t>masa</t>
        </is>
      </c>
      <c r="D133" s="22" t="inlineStr">
        <is>
          <t>11 g Sal marina fina (2.2%)</t>
        </is>
      </c>
      <c r="E133" s="6" t="inlineStr">
        <is>
          <t>Sal marina fina no refinada</t>
        </is>
      </c>
      <c r="F133" s="16" t="n">
        <v>11</v>
      </c>
      <c r="G133" t="inlineStr">
        <is>
          <t>g</t>
        </is>
      </c>
      <c r="H133" s="12">
        <f>IFERROR(VLOOKUP(E133,Insumos!$C$5:$G$64,5,FALSE),0)</f>
        <v/>
      </c>
      <c r="I133" s="17">
        <f>F133*H133</f>
        <v/>
      </c>
    </row>
    <row r="134">
      <c r="A134" t="n">
        <v>21</v>
      </c>
      <c r="B134" s="21" t="inlineStr">
        <is>
          <t>Focaccia Genovesa Tradicional de Masa Madre con Salmuera y Romero</t>
        </is>
      </c>
      <c r="C134" t="inlineStr">
        <is>
          <t>masa</t>
        </is>
      </c>
      <c r="D134" s="22" t="inlineStr">
        <is>
          <t>35 ml Aceite de oliva virgen extra de calidad (7%, 20 ml en masa + 15 ml para la bandeja)</t>
        </is>
      </c>
      <c r="E134" s="6" t="inlineStr">
        <is>
          <t>Aceite de oliva virgen extra</t>
        </is>
      </c>
      <c r="F134" s="16" t="n">
        <v>35</v>
      </c>
      <c r="G134" t="inlineStr">
        <is>
          <t>ml</t>
        </is>
      </c>
      <c r="H134" s="12">
        <f>IFERROR(VLOOKUP(E134,Insumos!$C$5:$G$64,5,FALSE),0)</f>
        <v/>
      </c>
      <c r="I134" s="17">
        <f>F134*H134</f>
        <v/>
      </c>
    </row>
    <row r="135">
      <c r="A135" t="n">
        <v>21</v>
      </c>
      <c r="B135" s="21" t="inlineStr">
        <is>
          <t>Focaccia Genovesa Tradicional de Masa Madre con Salmuera y Romero</t>
        </is>
      </c>
      <c r="C135" t="inlineStr">
        <is>
          <t>acabado</t>
        </is>
      </c>
      <c r="D135" s="22" t="inlineStr">
        <is>
          <t>40 ml Agua purificada tibia</t>
        </is>
      </c>
      <c r="E135" s="6" t="inlineStr">
        <is>
          <t>Agua purificada</t>
        </is>
      </c>
      <c r="F135" s="16" t="n">
        <v>40</v>
      </c>
      <c r="G135" t="inlineStr">
        <is>
          <t>ml</t>
        </is>
      </c>
      <c r="H135" s="12">
        <f>IFERROR(VLOOKUP(E135,Insumos!$C$5:$G$64,5,FALSE),0)</f>
        <v/>
      </c>
      <c r="I135" s="17">
        <f>F135*H135</f>
        <v/>
      </c>
    </row>
    <row r="136">
      <c r="A136" t="n">
        <v>21</v>
      </c>
      <c r="B136" s="21" t="inlineStr">
        <is>
          <t>Focaccia Genovesa Tradicional de Masa Madre con Salmuera y Romero</t>
        </is>
      </c>
      <c r="C136" t="inlineStr">
        <is>
          <t>acabado</t>
        </is>
      </c>
      <c r="D136" s="22" t="inlineStr">
        <is>
          <t>30 ml Aceite de oliva virgen extra</t>
        </is>
      </c>
      <c r="E136" s="6" t="inlineStr">
        <is>
          <t>Aceite de oliva virgen extra</t>
        </is>
      </c>
      <c r="F136" s="16" t="n">
        <v>30</v>
      </c>
      <c r="G136" t="inlineStr">
        <is>
          <t>ml</t>
        </is>
      </c>
      <c r="H136" s="12">
        <f>IFERROR(VLOOKUP(E136,Insumos!$C$5:$G$64,5,FALSE),0)</f>
        <v/>
      </c>
      <c r="I136" s="17">
        <f>F136*H136</f>
        <v/>
      </c>
    </row>
    <row r="137">
      <c r="A137" t="n">
        <v>21</v>
      </c>
      <c r="B137" s="21" t="inlineStr">
        <is>
          <t>Focaccia Genovesa Tradicional de Masa Madre con Salmuera y Romero</t>
        </is>
      </c>
      <c r="C137" t="inlineStr">
        <is>
          <t>acabado</t>
        </is>
      </c>
      <c r="D137" s="22" t="inlineStr">
        <is>
          <t>4 g Sal marina fina (batidos enérgicamente en emulsión)</t>
        </is>
      </c>
      <c r="E137" s="6" t="inlineStr">
        <is>
          <t>Sal marina fina no refinada</t>
        </is>
      </c>
      <c r="F137" s="16" t="n">
        <v>4</v>
      </c>
      <c r="G137" t="inlineStr">
        <is>
          <t>g</t>
        </is>
      </c>
      <c r="H137" s="12">
        <f>IFERROR(VLOOKUP(E137,Insumos!$C$5:$G$64,5,FALSE),0)</f>
        <v/>
      </c>
      <c r="I137" s="17">
        <f>F137*H137</f>
        <v/>
      </c>
    </row>
    <row r="138">
      <c r="A138" t="n">
        <v>21</v>
      </c>
      <c r="B138" s="21" t="inlineStr">
        <is>
          <t>Focaccia Genovesa Tradicional de Masa Madre con Salmuera y Romero</t>
        </is>
      </c>
      <c r="C138" t="inlineStr">
        <is>
          <t>acabado</t>
        </is>
      </c>
      <c r="D138" s="22" t="inlineStr">
        <is>
          <t>Ramitas de romero fresco limpio</t>
        </is>
      </c>
      <c r="E138" s="6" t="inlineStr">
        <is>
          <t>Hierbas frescas (romero, tomillo, albahaca, cilantro)</t>
        </is>
      </c>
      <c r="F138" s="16" t="n">
        <v>3</v>
      </c>
      <c r="G138" t="inlineStr">
        <is>
          <t>g</t>
        </is>
      </c>
      <c r="H138" s="12">
        <f>IFERROR(VLOOKUP(E138,Insumos!$C$5:$G$64,5,FALSE),0)</f>
        <v/>
      </c>
      <c r="I138" s="17">
        <f>F138*H138</f>
        <v/>
      </c>
    </row>
    <row r="139">
      <c r="A139" t="n">
        <v>21</v>
      </c>
      <c r="B139" s="21" t="inlineStr">
        <is>
          <t>Focaccia Genovesa Tradicional de Masa Madre con Salmuera y Romero</t>
        </is>
      </c>
      <c r="C139" t="inlineStr">
        <is>
          <t>acabado</t>
        </is>
      </c>
      <c r="D139" s="22" t="inlineStr">
        <is>
          <t>Escamas de flor de sal marina</t>
        </is>
      </c>
      <c r="E139" s="6" t="inlineStr">
        <is>
          <t>Flor de sal en escamas</t>
        </is>
      </c>
      <c r="F139" s="16" t="n">
        <v>1</v>
      </c>
      <c r="G139" t="inlineStr">
        <is>
          <t>g</t>
        </is>
      </c>
      <c r="H139" s="12">
        <f>IFERROR(VLOOKUP(E139,Insumos!$C$5:$G$64,5,FALSE),0)</f>
        <v/>
      </c>
      <c r="I139" s="17">
        <f>F139*H139</f>
        <v/>
      </c>
    </row>
    <row r="140">
      <c r="A140" t="n">
        <v>22</v>
      </c>
      <c r="B140" s="21" t="inlineStr">
        <is>
          <t>Chapatas Rústicas de Aceituna Kalamata y Tomillo Silvestre</t>
        </is>
      </c>
      <c r="C140" t="inlineStr">
        <is>
          <t>masa</t>
        </is>
      </c>
      <c r="D140" s="22" t="inlineStr">
        <is>
          <t>475 g Harina de trigo de alta fuerza (W 320-340, 13.5% proteína) (95%)</t>
        </is>
      </c>
      <c r="E140" s="6" t="inlineStr">
        <is>
          <t>Harina de gran fuerza (W 350+) o de panettone</t>
        </is>
      </c>
      <c r="F140" s="16" t="n">
        <v>475</v>
      </c>
      <c r="G140" t="inlineStr">
        <is>
          <t>g</t>
        </is>
      </c>
      <c r="H140" s="12">
        <f>IFERROR(VLOOKUP(E140,Insumos!$C$5:$G$64,5,FALSE),0)</f>
        <v/>
      </c>
      <c r="I140" s="17">
        <f>F140*H140</f>
        <v/>
      </c>
    </row>
    <row r="141">
      <c r="A141" t="n">
        <v>22</v>
      </c>
      <c r="B141" s="21" t="inlineStr">
        <is>
          <t>Chapatas Rústicas de Aceituna Kalamata y Tomillo Silvestre</t>
        </is>
      </c>
      <c r="C141" t="inlineStr">
        <is>
          <t>masa</t>
        </is>
      </c>
      <c r="D141" s="22" t="inlineStr">
        <is>
          <t>25 g Harina de trigo integral (5%)</t>
        </is>
      </c>
      <c r="E141" s="6" t="inlineStr">
        <is>
          <t>Harina de trigo integral de molienda a la piedra</t>
        </is>
      </c>
      <c r="F141" s="16" t="n">
        <v>25</v>
      </c>
      <c r="G141" t="inlineStr">
        <is>
          <t>g</t>
        </is>
      </c>
      <c r="H141" s="12">
        <f>IFERROR(VLOOKUP(E141,Insumos!$C$5:$G$64,5,FALSE),0)</f>
        <v/>
      </c>
      <c r="I141" s="17">
        <f>F141*H141</f>
        <v/>
      </c>
    </row>
    <row r="142">
      <c r="A142" t="n">
        <v>22</v>
      </c>
      <c r="B142" s="21" t="inlineStr">
        <is>
          <t>Chapatas Rústicas de Aceituna Kalamata y Tomillo Silvestre</t>
        </is>
      </c>
      <c r="C142" t="inlineStr">
        <is>
          <t>masa</t>
        </is>
      </c>
      <c r="D142" s="22" t="inlineStr">
        <is>
          <t>395 ml Agua purificada limpia (335 ml iniciales + 60 ml para bassinage) (79% agua añadida; 82% hidratación total)</t>
        </is>
      </c>
      <c r="E142" s="6" t="inlineStr">
        <is>
          <t>Agua purificada</t>
        </is>
      </c>
      <c r="F142" s="16" t="n">
        <v>395</v>
      </c>
      <c r="G142" t="inlineStr">
        <is>
          <t>ml</t>
        </is>
      </c>
      <c r="H142" s="12">
        <f>IFERROR(VLOOKUP(E142,Insumos!$C$5:$G$64,5,FALSE),0)</f>
        <v/>
      </c>
      <c r="I142" s="17">
        <f>F142*H142</f>
        <v/>
      </c>
    </row>
    <row r="143">
      <c r="A143" t="n">
        <v>22</v>
      </c>
      <c r="B143" s="21" t="inlineStr">
        <is>
          <t>Chapatas Rústicas de Aceituna Kalamata y Tomillo Silvestre</t>
        </is>
      </c>
      <c r="C143" t="inlineStr">
        <is>
          <t>masa</t>
        </is>
      </c>
      <c r="D143" s="22" t="inlineStr">
        <is>
          <t>100 g Masa madre activa al 100% de hidratación (20%)</t>
        </is>
      </c>
      <c r="E143" s="6" t="inlineStr">
        <is>
          <t>Masa madre blanca activa 100% (cultivada)</t>
        </is>
      </c>
      <c r="F143" s="16" t="n">
        <v>100</v>
      </c>
      <c r="G143" t="inlineStr">
        <is>
          <t>g</t>
        </is>
      </c>
      <c r="H143" s="12">
        <f>IFERROR(VLOOKUP(E143,Insumos!$C$5:$G$64,5,FALSE),0)</f>
        <v/>
      </c>
      <c r="I143" s="17">
        <f>F143*H143</f>
        <v/>
      </c>
    </row>
    <row r="144">
      <c r="A144" t="n">
        <v>22</v>
      </c>
      <c r="B144" s="21" t="inlineStr">
        <is>
          <t>Chapatas Rústicas de Aceituna Kalamata y Tomillo Silvestre</t>
        </is>
      </c>
      <c r="C144" t="inlineStr">
        <is>
          <t>masa</t>
        </is>
      </c>
      <c r="D144" s="22" t="inlineStr">
        <is>
          <t>10 g Sal marina fina (2%, ajustada por la salinidad de las aceitunas)</t>
        </is>
      </c>
      <c r="E144" s="6" t="inlineStr">
        <is>
          <t>Sal marina fina no refinada</t>
        </is>
      </c>
      <c r="F144" s="16" t="n">
        <v>10</v>
      </c>
      <c r="G144" t="inlineStr">
        <is>
          <t>g</t>
        </is>
      </c>
      <c r="H144" s="12">
        <f>IFERROR(VLOOKUP(E144,Insumos!$C$5:$G$64,5,FALSE),0)</f>
        <v/>
      </c>
      <c r="I144" s="17">
        <f>F144*H144</f>
        <v/>
      </c>
    </row>
    <row r="145">
      <c r="A145" t="n">
        <v>22</v>
      </c>
      <c r="B145" s="21" t="inlineStr">
        <is>
          <t>Chapatas Rústicas de Aceituna Kalamata y Tomillo Silvestre</t>
        </is>
      </c>
      <c r="C145" t="inlineStr">
        <is>
          <t>masa</t>
        </is>
      </c>
      <c r="D145" s="22" t="inlineStr">
        <is>
          <t>120 g Aceitunas Kalamata deshuesadas, escurridas, secadas sobre papel y picadas en mitades (24%)</t>
        </is>
      </c>
      <c r="E145" s="6" t="inlineStr">
        <is>
          <t>Aceituna Kalamata deshuesada</t>
        </is>
      </c>
      <c r="F145" s="16" t="n">
        <v>120</v>
      </c>
      <c r="G145" t="inlineStr">
        <is>
          <t>g</t>
        </is>
      </c>
      <c r="H145" s="12">
        <f>IFERROR(VLOOKUP(E145,Insumos!$C$5:$G$64,5,FALSE),0)</f>
        <v/>
      </c>
      <c r="I145" s="17">
        <f>F145*H145</f>
        <v/>
      </c>
    </row>
    <row r="146">
      <c r="A146" t="n">
        <v>22</v>
      </c>
      <c r="B146" s="21" t="inlineStr">
        <is>
          <t>Chapatas Rústicas de Aceituna Kalamata y Tomillo Silvestre</t>
        </is>
      </c>
      <c r="C146" t="inlineStr">
        <is>
          <t>masa</t>
        </is>
      </c>
      <c r="D146" s="22" t="inlineStr">
        <is>
          <t>4 g Hojas de tomillo fresco limpio picado fino</t>
        </is>
      </c>
      <c r="E146" s="6" t="inlineStr">
        <is>
          <t>Hierbas frescas (romero, tomillo, albahaca, cilantro)</t>
        </is>
      </c>
      <c r="F146" s="16" t="n">
        <v>4</v>
      </c>
      <c r="G146" t="inlineStr">
        <is>
          <t>g</t>
        </is>
      </c>
      <c r="H146" s="12">
        <f>IFERROR(VLOOKUP(E146,Insumos!$C$5:$G$64,5,FALSE),0)</f>
        <v/>
      </c>
      <c r="I146" s="17">
        <f>F146*H146</f>
        <v/>
      </c>
    </row>
    <row r="147">
      <c r="A147" t="n">
        <v>22</v>
      </c>
      <c r="B147" s="21" t="inlineStr">
        <is>
          <t>Chapatas Rústicas de Aceituna Kalamata y Tomillo Silvestre</t>
        </is>
      </c>
      <c r="C147" t="inlineStr">
        <is>
          <t>masa</t>
        </is>
      </c>
      <c r="D147" s="22" t="inlineStr">
        <is>
          <t>15 ml Aceite de oliva virgen extra (para aceitar la cubeta)</t>
        </is>
      </c>
      <c r="E147" s="6" t="inlineStr">
        <is>
          <t>Aceite de oliva virgen extra</t>
        </is>
      </c>
      <c r="F147" s="16" t="n">
        <v>15</v>
      </c>
      <c r="G147" t="inlineStr">
        <is>
          <t>ml</t>
        </is>
      </c>
      <c r="H147" s="12">
        <f>IFERROR(VLOOKUP(E147,Insumos!$C$5:$G$64,5,FALSE),0)</f>
        <v/>
      </c>
      <c r="I147" s="17">
        <f>F147*H147</f>
        <v/>
      </c>
    </row>
    <row r="148">
      <c r="A148" t="n">
        <v>22</v>
      </c>
      <c r="B148" s="21" t="inlineStr">
        <is>
          <t>Chapatas Rústicas de Aceituna Kalamata y Tomillo Silvestre</t>
        </is>
      </c>
      <c r="C148" t="inlineStr">
        <is>
          <t>masa</t>
        </is>
      </c>
      <c r="D148" s="22" t="inlineStr">
        <is>
          <t>Sémola de trigo duro para la mesa de corte</t>
        </is>
      </c>
      <c r="E148" s="6" t="inlineStr">
        <is>
          <t>Sémola rimacinata de trigo duro</t>
        </is>
      </c>
      <c r="F148" s="16" t="n">
        <v>1</v>
      </c>
      <c r="G148" t="inlineStr">
        <is>
          <t>g</t>
        </is>
      </c>
      <c r="H148" s="12">
        <f>IFERROR(VLOOKUP(E148,Insumos!$C$5:$G$64,5,FALSE),0)</f>
        <v/>
      </c>
      <c r="I148" s="17">
        <f>F148*H148</f>
        <v/>
      </c>
    </row>
    <row r="149">
      <c r="A149" t="n">
        <v>23</v>
      </c>
      <c r="B149" s="21" t="inlineStr">
        <is>
          <t>Hogaza de Nueces de Castilla Tostadas y Miel de Bosque</t>
        </is>
      </c>
      <c r="C149" t="inlineStr">
        <is>
          <t>masa</t>
        </is>
      </c>
      <c r="D149" s="22" t="inlineStr">
        <is>
          <t>400 g Harina de trigo panificable de fuerza (W 280, 12.5% proteína) (80%)</t>
        </is>
      </c>
      <c r="E149" s="6" t="inlineStr">
        <is>
          <t>Harina panificable de fuerza (W 280-300)</t>
        </is>
      </c>
      <c r="F149" s="16" t="n">
        <v>400</v>
      </c>
      <c r="G149" t="inlineStr">
        <is>
          <t>g</t>
        </is>
      </c>
      <c r="H149" s="12">
        <f>IFERROR(VLOOKUP(E149,Insumos!$C$5:$G$64,5,FALSE),0)</f>
        <v/>
      </c>
      <c r="I149" s="17">
        <f>F149*H149</f>
        <v/>
      </c>
    </row>
    <row r="150">
      <c r="A150" t="n">
        <v>23</v>
      </c>
      <c r="B150" s="21" t="inlineStr">
        <is>
          <t>Hogaza de Nueces de Castilla Tostadas y Miel de Bosque</t>
        </is>
      </c>
      <c r="C150" t="inlineStr">
        <is>
          <t>masa</t>
        </is>
      </c>
      <c r="D150" s="22" t="inlineStr">
        <is>
          <t>100 g Harina de trigo integral de molienda a la piedra (20%)</t>
        </is>
      </c>
      <c r="E150" s="6" t="inlineStr">
        <is>
          <t>Harina de trigo integral de molienda a la piedra</t>
        </is>
      </c>
      <c r="F150" s="16" t="n">
        <v>100</v>
      </c>
      <c r="G150" t="inlineStr">
        <is>
          <t>g</t>
        </is>
      </c>
      <c r="H150" s="12">
        <f>IFERROR(VLOOKUP(E150,Insumos!$C$5:$G$64,5,FALSE),0)</f>
        <v/>
      </c>
      <c r="I150" s="17">
        <f>F150*H150</f>
        <v/>
      </c>
    </row>
    <row r="151">
      <c r="A151" t="n">
        <v>23</v>
      </c>
      <c r="B151" s="21" t="inlineStr">
        <is>
          <t>Hogaza de Nueces de Castilla Tostadas y Miel de Bosque</t>
        </is>
      </c>
      <c r="C151" t="inlineStr">
        <is>
          <t>masa</t>
        </is>
      </c>
      <c r="D151" s="22" t="inlineStr">
        <is>
          <t>355 ml Agua purificada limpia (330 ml para autólisis + 25 ml para la sal) (71% agua añadida; 75% hidratación total)</t>
        </is>
      </c>
      <c r="E151" s="6" t="inlineStr">
        <is>
          <t>Agua purificada</t>
        </is>
      </c>
      <c r="F151" s="16" t="n">
        <v>355</v>
      </c>
      <c r="G151" t="inlineStr">
        <is>
          <t>ml</t>
        </is>
      </c>
      <c r="H151" s="12">
        <f>IFERROR(VLOOKUP(E151,Insumos!$C$5:$G$64,5,FALSE),0)</f>
        <v/>
      </c>
      <c r="I151" s="17">
        <f>F151*H151</f>
        <v/>
      </c>
    </row>
    <row r="152">
      <c r="A152" t="n">
        <v>23</v>
      </c>
      <c r="B152" s="21" t="inlineStr">
        <is>
          <t>Hogaza de Nueces de Castilla Tostadas y Miel de Bosque</t>
        </is>
      </c>
      <c r="C152" t="inlineStr">
        <is>
          <t>masa</t>
        </is>
      </c>
      <c r="D152" s="22" t="inlineStr">
        <is>
          <t>100 g Masa madre activa al 100% de hidratación (20%)</t>
        </is>
      </c>
      <c r="E152" s="6" t="inlineStr">
        <is>
          <t>Masa madre blanca activa 100% (cultivada)</t>
        </is>
      </c>
      <c r="F152" s="16" t="n">
        <v>100</v>
      </c>
      <c r="G152" t="inlineStr">
        <is>
          <t>g</t>
        </is>
      </c>
      <c r="H152" s="12">
        <f>IFERROR(VLOOKUP(E152,Insumos!$C$5:$G$64,5,FALSE),0)</f>
        <v/>
      </c>
      <c r="I152" s="17">
        <f>F152*H152</f>
        <v/>
      </c>
    </row>
    <row r="153">
      <c r="A153" t="n">
        <v>23</v>
      </c>
      <c r="B153" s="21" t="inlineStr">
        <is>
          <t>Hogaza de Nueces de Castilla Tostadas y Miel de Bosque</t>
        </is>
      </c>
      <c r="C153" t="inlineStr">
        <is>
          <t>masa</t>
        </is>
      </c>
      <c r="D153" s="22" t="inlineStr">
        <is>
          <t>10 g Sal marina fina (2%)</t>
        </is>
      </c>
      <c r="E153" s="6" t="inlineStr">
        <is>
          <t>Sal marina fina no refinada</t>
        </is>
      </c>
      <c r="F153" s="16" t="n">
        <v>10</v>
      </c>
      <c r="G153" t="inlineStr">
        <is>
          <t>g</t>
        </is>
      </c>
      <c r="H153" s="12">
        <f>IFERROR(VLOOKUP(E153,Insumos!$C$5:$G$64,5,FALSE),0)</f>
        <v/>
      </c>
      <c r="I153" s="17">
        <f>F153*H153</f>
        <v/>
      </c>
    </row>
    <row r="154">
      <c r="A154" t="n">
        <v>23</v>
      </c>
      <c r="B154" s="21" t="inlineStr">
        <is>
          <t>Hogaza de Nueces de Castilla Tostadas y Miel de Bosque</t>
        </is>
      </c>
      <c r="C154" t="inlineStr">
        <is>
          <t>masa</t>
        </is>
      </c>
      <c r="D154" s="22" t="inlineStr">
        <is>
          <t>20 g Miel pura de bosque o castaño (4%)</t>
        </is>
      </c>
      <c r="E154" s="6" t="inlineStr">
        <is>
          <t>Miel de abeja</t>
        </is>
      </c>
      <c r="F154" s="16" t="n">
        <v>20</v>
      </c>
      <c r="G154" t="inlineStr">
        <is>
          <t>g</t>
        </is>
      </c>
      <c r="H154" s="12">
        <f>IFERROR(VLOOKUP(E154,Insumos!$C$5:$G$64,5,FALSE),0)</f>
        <v/>
      </c>
      <c r="I154" s="17">
        <f>F154*H154</f>
        <v/>
      </c>
    </row>
    <row r="155">
      <c r="A155" t="n">
        <v>23</v>
      </c>
      <c r="B155" s="21" t="inlineStr">
        <is>
          <t>Hogaza de Nueces de Castilla Tostadas y Miel de Bosque</t>
        </is>
      </c>
      <c r="C155" t="inlineStr">
        <is>
          <t>masa</t>
        </is>
      </c>
      <c r="D155" s="22" t="inlineStr">
        <is>
          <t>100 g Nueces de Castilla tostadas a 150 °C durante 10 minutos y picadas en cuartos (20%)</t>
        </is>
      </c>
      <c r="E155" s="6" t="inlineStr">
        <is>
          <t>Nuez de Castilla</t>
        </is>
      </c>
      <c r="F155" s="16" t="n">
        <v>100</v>
      </c>
      <c r="G155" t="inlineStr">
        <is>
          <t>g</t>
        </is>
      </c>
      <c r="H155" s="12">
        <f>IFERROR(VLOOKUP(E155,Insumos!$C$5:$G$64,5,FALSE),0)</f>
        <v/>
      </c>
      <c r="I155" s="17">
        <f>F155*H155</f>
        <v/>
      </c>
    </row>
    <row r="156">
      <c r="A156" t="n">
        <v>24</v>
      </c>
      <c r="B156" s="21" t="inlineStr">
        <is>
          <t>Barra Rústica de Tomate Deshidratado, Albahaca Fresca y AOVE</t>
        </is>
      </c>
      <c r="C156" t="inlineStr">
        <is>
          <t>masa</t>
        </is>
      </c>
      <c r="D156" s="22" t="inlineStr">
        <is>
          <t>450 g Harina de trigo panificable (W 260, 12% proteína) (90%)</t>
        </is>
      </c>
      <c r="E156" s="6" t="inlineStr">
        <is>
          <t>Harina panificable de fuerza (W 280-300)</t>
        </is>
      </c>
      <c r="F156" s="16" t="n">
        <v>450</v>
      </c>
      <c r="G156" t="inlineStr">
        <is>
          <t>g</t>
        </is>
      </c>
      <c r="H156" s="12">
        <f>IFERROR(VLOOKUP(E156,Insumos!$C$5:$G$64,5,FALSE),0)</f>
        <v/>
      </c>
      <c r="I156" s="17">
        <f>F156*H156</f>
        <v/>
      </c>
    </row>
    <row r="157">
      <c r="A157" t="n">
        <v>24</v>
      </c>
      <c r="B157" s="21" t="inlineStr">
        <is>
          <t>Barra Rústica de Tomate Deshidratado, Albahaca Fresca y AOVE</t>
        </is>
      </c>
      <c r="C157" t="inlineStr">
        <is>
          <t>masa</t>
        </is>
      </c>
      <c r="D157" s="22" t="inlineStr">
        <is>
          <t>50 g Harina de trigo integral de molienda fina (10%)</t>
        </is>
      </c>
      <c r="E157" s="6" t="inlineStr">
        <is>
          <t>Harina de trigo integral de molienda a la piedra</t>
        </is>
      </c>
      <c r="F157" s="16" t="n">
        <v>50</v>
      </c>
      <c r="G157" t="inlineStr">
        <is>
          <t>g</t>
        </is>
      </c>
      <c r="H157" s="12">
        <f>IFERROR(VLOOKUP(E157,Insumos!$C$5:$G$64,5,FALSE),0)</f>
        <v/>
      </c>
      <c r="I157" s="17">
        <f>F157*H157</f>
        <v/>
      </c>
    </row>
    <row r="158">
      <c r="A158" t="n">
        <v>24</v>
      </c>
      <c r="B158" s="21" t="inlineStr">
        <is>
          <t>Barra Rústica de Tomate Deshidratado, Albahaca Fresca y AOVE</t>
        </is>
      </c>
      <c r="C158" t="inlineStr">
        <is>
          <t>masa</t>
        </is>
      </c>
      <c r="D158" s="22" t="inlineStr">
        <is>
          <t>340 ml Agua purificada limpia (315 ml para autólisis + 25 ml para la sal) (68% agua añadida; 72% hidratación total)</t>
        </is>
      </c>
      <c r="E158" s="6" t="inlineStr">
        <is>
          <t>Agua purificada</t>
        </is>
      </c>
      <c r="F158" s="16" t="n">
        <v>340</v>
      </c>
      <c r="G158" t="inlineStr">
        <is>
          <t>ml</t>
        </is>
      </c>
      <c r="H158" s="12">
        <f>IFERROR(VLOOKUP(E158,Insumos!$C$5:$G$64,5,FALSE),0)</f>
        <v/>
      </c>
      <c r="I158" s="17">
        <f>F158*H158</f>
        <v/>
      </c>
    </row>
    <row r="159">
      <c r="A159" t="n">
        <v>24</v>
      </c>
      <c r="B159" s="21" t="inlineStr">
        <is>
          <t>Barra Rústica de Tomate Deshidratado, Albahaca Fresca y AOVE</t>
        </is>
      </c>
      <c r="C159" t="inlineStr">
        <is>
          <t>masa</t>
        </is>
      </c>
      <c r="D159" s="22" t="inlineStr">
        <is>
          <t>100 g Masa madre activa al 100% de hidratación (20%)</t>
        </is>
      </c>
      <c r="E159" s="6" t="inlineStr">
        <is>
          <t>Masa madre blanca activa 100% (cultivada)</t>
        </is>
      </c>
      <c r="F159" s="16" t="n">
        <v>100</v>
      </c>
      <c r="G159" t="inlineStr">
        <is>
          <t>g</t>
        </is>
      </c>
      <c r="H159" s="12">
        <f>IFERROR(VLOOKUP(E159,Insumos!$C$5:$G$64,5,FALSE),0)</f>
        <v/>
      </c>
      <c r="I159" s="17">
        <f>F159*H159</f>
        <v/>
      </c>
    </row>
    <row r="160">
      <c r="A160" t="n">
        <v>24</v>
      </c>
      <c r="B160" s="21" t="inlineStr">
        <is>
          <t>Barra Rústica de Tomate Deshidratado, Albahaca Fresca y AOVE</t>
        </is>
      </c>
      <c r="C160" t="inlineStr">
        <is>
          <t>masa</t>
        </is>
      </c>
      <c r="D160" s="22" t="inlineStr">
        <is>
          <t>10 g Sal marina fina (2%)</t>
        </is>
      </c>
      <c r="E160" s="6" t="inlineStr">
        <is>
          <t>Sal marina fina no refinada</t>
        </is>
      </c>
      <c r="F160" s="16" t="n">
        <v>10</v>
      </c>
      <c r="G160" t="inlineStr">
        <is>
          <t>g</t>
        </is>
      </c>
      <c r="H160" s="12">
        <f>IFERROR(VLOOKUP(E160,Insumos!$C$5:$G$64,5,FALSE),0)</f>
        <v/>
      </c>
      <c r="I160" s="17">
        <f>F160*H160</f>
        <v/>
      </c>
    </row>
    <row r="161">
      <c r="A161" t="n">
        <v>24</v>
      </c>
      <c r="B161" s="21" t="inlineStr">
        <is>
          <t>Barra Rústica de Tomate Deshidratado, Albahaca Fresca y AOVE</t>
        </is>
      </c>
      <c r="C161" t="inlineStr">
        <is>
          <t>masa</t>
        </is>
      </c>
      <c r="D161" s="22" t="inlineStr">
        <is>
          <t>20 ml Aceite de oliva virgen extra (4%)</t>
        </is>
      </c>
      <c r="E161" s="6" t="inlineStr">
        <is>
          <t>Aceite de oliva virgen extra</t>
        </is>
      </c>
      <c r="F161" s="16" t="n">
        <v>20</v>
      </c>
      <c r="G161" t="inlineStr">
        <is>
          <t>ml</t>
        </is>
      </c>
      <c r="H161" s="12">
        <f>IFERROR(VLOOKUP(E161,Insumos!$C$5:$G$64,5,FALSE),0)</f>
        <v/>
      </c>
      <c r="I161" s="17">
        <f>F161*H161</f>
        <v/>
      </c>
    </row>
    <row r="162">
      <c r="A162" t="n">
        <v>24</v>
      </c>
      <c r="B162" s="21" t="inlineStr">
        <is>
          <t>Barra Rústica de Tomate Deshidratado, Albahaca Fresca y AOVE</t>
        </is>
      </c>
      <c r="C162" t="inlineStr">
        <is>
          <t>masa</t>
        </is>
      </c>
      <c r="D162" s="22" t="inlineStr">
        <is>
          <t>80 g Tomates secados al sol en aceite de oliva, meticulosamente escurridos, secados y picados en dados de 5 mm (16%)</t>
        </is>
      </c>
      <c r="E162" s="6" t="inlineStr">
        <is>
          <t>Tomate deshidratado en aceite</t>
        </is>
      </c>
      <c r="F162" s="16" t="n">
        <v>80</v>
      </c>
      <c r="G162" t="inlineStr">
        <is>
          <t>g</t>
        </is>
      </c>
      <c r="H162" s="12">
        <f>IFERROR(VLOOKUP(E162,Insumos!$C$5:$G$64,5,FALSE),0)</f>
        <v/>
      </c>
      <c r="I162" s="17">
        <f>F162*H162</f>
        <v/>
      </c>
    </row>
    <row r="163">
      <c r="A163" t="n">
        <v>24</v>
      </c>
      <c r="B163" s="21" t="inlineStr">
        <is>
          <t>Barra Rústica de Tomate Deshidratado, Albahaca Fresca y AOVE</t>
        </is>
      </c>
      <c r="C163" t="inlineStr">
        <is>
          <t>masa</t>
        </is>
      </c>
      <c r="D163" s="22" t="inlineStr">
        <is>
          <t>8 g Hojas de albahaca fresca lavada, seca y picada gruesa a cuchillo (1.6%)</t>
        </is>
      </c>
      <c r="E163" s="6" t="inlineStr">
        <is>
          <t>Hierbas frescas (romero, tomillo, albahaca, cilantro)</t>
        </is>
      </c>
      <c r="F163" s="16" t="n">
        <v>8</v>
      </c>
      <c r="G163" t="inlineStr">
        <is>
          <t>g</t>
        </is>
      </c>
      <c r="H163" s="12">
        <f>IFERROR(VLOOKUP(E163,Insumos!$C$5:$G$64,5,FALSE),0)</f>
        <v/>
      </c>
      <c r="I163" s="17">
        <f>F163*H163</f>
        <v/>
      </c>
    </row>
    <row r="164">
      <c r="A164" t="n">
        <v>25</v>
      </c>
      <c r="B164" s="21" t="inlineStr">
        <is>
          <t>Pan Campesino con Ajos Asados Confitados y Romero Silvestre</t>
        </is>
      </c>
      <c r="C164" t="inlineStr">
        <is>
          <t>masa</t>
        </is>
      </c>
      <c r="D164" s="22" t="inlineStr">
        <is>
          <t>425 g Harina de trigo panificable (W 280, 12.2% proteína) (85%)</t>
        </is>
      </c>
      <c r="E164" s="6" t="inlineStr">
        <is>
          <t>Harina panificable de fuerza (W 280-300)</t>
        </is>
      </c>
      <c r="F164" s="16" t="n">
        <v>425</v>
      </c>
      <c r="G164" t="inlineStr">
        <is>
          <t>g</t>
        </is>
      </c>
      <c r="H164" s="12">
        <f>IFERROR(VLOOKUP(E164,Insumos!$C$5:$G$64,5,FALSE),0)</f>
        <v/>
      </c>
      <c r="I164" s="17">
        <f>F164*H164</f>
        <v/>
      </c>
    </row>
    <row r="165">
      <c r="A165" t="n">
        <v>25</v>
      </c>
      <c r="B165" s="21" t="inlineStr">
        <is>
          <t>Pan Campesino con Ajos Asados Confitados y Romero Silvestre</t>
        </is>
      </c>
      <c r="C165" t="inlineStr">
        <is>
          <t>masa</t>
        </is>
      </c>
      <c r="D165" s="22" t="inlineStr">
        <is>
          <t>75 g Harina de centeno o trigo integral T110 (15%)</t>
        </is>
      </c>
      <c r="E165" s="6" t="inlineStr">
        <is>
          <t>Harina de centeno integral o T130</t>
        </is>
      </c>
      <c r="F165" s="16" t="n">
        <v>75</v>
      </c>
      <c r="G165" t="inlineStr">
        <is>
          <t>g</t>
        </is>
      </c>
      <c r="H165" s="12">
        <f>IFERROR(VLOOKUP(E165,Insumos!$C$5:$G$64,5,FALSE),0)</f>
        <v/>
      </c>
      <c r="I165" s="17">
        <f>F165*H165</f>
        <v/>
      </c>
    </row>
    <row r="166">
      <c r="A166" t="n">
        <v>25</v>
      </c>
      <c r="B166" s="21" t="inlineStr">
        <is>
          <t>Pan Campesino con Ajos Asados Confitados y Romero Silvestre</t>
        </is>
      </c>
      <c r="C166" t="inlineStr">
        <is>
          <t>masa</t>
        </is>
      </c>
      <c r="D166" s="22" t="inlineStr">
        <is>
          <t>350 ml Agua purificada limpia (325 ml para autólisis + 25 ml para la sal) (70% agua añadida; 74% hidratación total)</t>
        </is>
      </c>
      <c r="E166" s="6" t="inlineStr">
        <is>
          <t>Agua purificada</t>
        </is>
      </c>
      <c r="F166" s="16" t="n">
        <v>350</v>
      </c>
      <c r="G166" t="inlineStr">
        <is>
          <t>ml</t>
        </is>
      </c>
      <c r="H166" s="12">
        <f>IFERROR(VLOOKUP(E166,Insumos!$C$5:$G$64,5,FALSE),0)</f>
        <v/>
      </c>
      <c r="I166" s="17">
        <f>F166*H166</f>
        <v/>
      </c>
    </row>
    <row r="167">
      <c r="A167" t="n">
        <v>25</v>
      </c>
      <c r="B167" s="21" t="inlineStr">
        <is>
          <t>Pan Campesino con Ajos Asados Confitados y Romero Silvestre</t>
        </is>
      </c>
      <c r="C167" t="inlineStr">
        <is>
          <t>masa</t>
        </is>
      </c>
      <c r="D167" s="22" t="inlineStr">
        <is>
          <t>100 g Masa madre activa al 100% de hidratación (20%)</t>
        </is>
      </c>
      <c r="E167" s="6" t="inlineStr">
        <is>
          <t>Masa madre blanca activa 100% (cultivada)</t>
        </is>
      </c>
      <c r="F167" s="16" t="n">
        <v>100</v>
      </c>
      <c r="G167" t="inlineStr">
        <is>
          <t>g</t>
        </is>
      </c>
      <c r="H167" s="12">
        <f>IFERROR(VLOOKUP(E167,Insumos!$C$5:$G$64,5,FALSE),0)</f>
        <v/>
      </c>
      <c r="I167" s="17">
        <f>F167*H167</f>
        <v/>
      </c>
    </row>
    <row r="168">
      <c r="A168" t="n">
        <v>25</v>
      </c>
      <c r="B168" s="21" t="inlineStr">
        <is>
          <t>Pan Campesino con Ajos Asados Confitados y Romero Silvestre</t>
        </is>
      </c>
      <c r="C168" t="inlineStr">
        <is>
          <t>masa</t>
        </is>
      </c>
      <c r="D168" s="22" t="inlineStr">
        <is>
          <t>10 g Sal marina fina (2%)</t>
        </is>
      </c>
      <c r="E168" s="6" t="inlineStr">
        <is>
          <t>Sal marina fina no refinada</t>
        </is>
      </c>
      <c r="F168" s="16" t="n">
        <v>10</v>
      </c>
      <c r="G168" t="inlineStr">
        <is>
          <t>g</t>
        </is>
      </c>
      <c r="H168" s="12">
        <f>IFERROR(VLOOKUP(E168,Insumos!$C$5:$G$64,5,FALSE),0)</f>
        <v/>
      </c>
      <c r="I168" s="17">
        <f>F168*H168</f>
        <v/>
      </c>
    </row>
    <row r="169">
      <c r="A169" t="n">
        <v>25</v>
      </c>
      <c r="B169" s="21" t="inlineStr">
        <is>
          <t>Pan Campesino con Ajos Asados Confitados y Romero Silvestre</t>
        </is>
      </c>
      <c r="C169" t="inlineStr">
        <is>
          <t>masa</t>
        </is>
      </c>
      <c r="D169" s="22" t="inlineStr">
        <is>
          <t>1 Cabeza entera de ajos asados al horno en papel aluminio con aceite de oliva (aprox. 50 g de pulpa de ajo confitado dulce) (10%)</t>
        </is>
      </c>
      <c r="E169" s="6" t="inlineStr">
        <is>
          <t>Ajo</t>
        </is>
      </c>
      <c r="F169" s="16" t="n">
        <v>40</v>
      </c>
      <c r="G169" t="inlineStr">
        <is>
          <t>g</t>
        </is>
      </c>
      <c r="H169" s="12">
        <f>IFERROR(VLOOKUP(E169,Insumos!$C$5:$G$64,5,FALSE),0)</f>
        <v/>
      </c>
      <c r="I169" s="17">
        <f>F169*H169</f>
        <v/>
      </c>
    </row>
    <row r="170">
      <c r="A170" t="n">
        <v>25</v>
      </c>
      <c r="B170" s="21" t="inlineStr">
        <is>
          <t>Pan Campesino con Ajos Asados Confitados y Romero Silvestre</t>
        </is>
      </c>
      <c r="C170" t="inlineStr">
        <is>
          <t>masa</t>
        </is>
      </c>
      <c r="D170" s="22" t="inlineStr">
        <is>
          <t>4 g Romero fresco picado fino (0.8%)</t>
        </is>
      </c>
      <c r="E170" s="6" t="inlineStr">
        <is>
          <t>Hierbas frescas (romero, tomillo, albahaca, cilantro)</t>
        </is>
      </c>
      <c r="F170" s="16" t="n">
        <v>4</v>
      </c>
      <c r="G170" t="inlineStr">
        <is>
          <t>g</t>
        </is>
      </c>
      <c r="H170" s="12">
        <f>IFERROR(VLOOKUP(E170,Insumos!$C$5:$G$64,5,FALSE),0)</f>
        <v/>
      </c>
      <c r="I170" s="17">
        <f>F170*H170</f>
        <v/>
      </c>
    </row>
    <row r="171">
      <c r="A171" t="n">
        <v>26</v>
      </c>
      <c r="B171" s="21" t="inlineStr">
        <is>
          <t>Hogaza de Queso Parmigiano Reggiano DOP y Pimienta Negra Quebrada</t>
        </is>
      </c>
      <c r="C171" t="inlineStr">
        <is>
          <t>masa</t>
        </is>
      </c>
      <c r="D171" s="22" t="inlineStr">
        <is>
          <t>450 g Harina de trigo panificable de fuerza (W 280-300, 12.5% proteína) (90%)</t>
        </is>
      </c>
      <c r="E171" s="6" t="inlineStr">
        <is>
          <t>Harina panificable de fuerza (W 280-300)</t>
        </is>
      </c>
      <c r="F171" s="16" t="n">
        <v>450</v>
      </c>
      <c r="G171" t="inlineStr">
        <is>
          <t>g</t>
        </is>
      </c>
      <c r="H171" s="12">
        <f>IFERROR(VLOOKUP(E171,Insumos!$C$5:$G$64,5,FALSE),0)</f>
        <v/>
      </c>
      <c r="I171" s="17">
        <f>F171*H171</f>
        <v/>
      </c>
    </row>
    <row r="172">
      <c r="A172" t="n">
        <v>26</v>
      </c>
      <c r="B172" s="21" t="inlineStr">
        <is>
          <t>Hogaza de Queso Parmigiano Reggiano DOP y Pimienta Negra Quebrada</t>
        </is>
      </c>
      <c r="C172" t="inlineStr">
        <is>
          <t>masa</t>
        </is>
      </c>
      <c r="D172" s="22" t="inlineStr">
        <is>
          <t>50 g Harina de trigo integral de molienda a la piedra (10%)</t>
        </is>
      </c>
      <c r="E172" s="6" t="inlineStr">
        <is>
          <t>Harina de trigo integral de molienda a la piedra</t>
        </is>
      </c>
      <c r="F172" s="16" t="n">
        <v>50</v>
      </c>
      <c r="G172" t="inlineStr">
        <is>
          <t>g</t>
        </is>
      </c>
      <c r="H172" s="12">
        <f>IFERROR(VLOOKUP(E172,Insumos!$C$5:$G$64,5,FALSE),0)</f>
        <v/>
      </c>
      <c r="I172" s="17">
        <f>F172*H172</f>
        <v/>
      </c>
    </row>
    <row r="173">
      <c r="A173" t="n">
        <v>26</v>
      </c>
      <c r="B173" s="21" t="inlineStr">
        <is>
          <t>Hogaza de Queso Parmigiano Reggiano DOP y Pimienta Negra Quebrada</t>
        </is>
      </c>
      <c r="C173" t="inlineStr">
        <is>
          <t>masa</t>
        </is>
      </c>
      <c r="D173" s="22" t="inlineStr">
        <is>
          <t>355 ml Agua purificada limpia (330 ml iniciales + 25 ml para la sal) (71% agua añadida; 75% hidratación total)</t>
        </is>
      </c>
      <c r="E173" s="6" t="inlineStr">
        <is>
          <t>Agua purificada</t>
        </is>
      </c>
      <c r="F173" s="16" t="n">
        <v>355</v>
      </c>
      <c r="G173" t="inlineStr">
        <is>
          <t>ml</t>
        </is>
      </c>
      <c r="H173" s="12">
        <f>IFERROR(VLOOKUP(E173,Insumos!$C$5:$G$64,5,FALSE),0)</f>
        <v/>
      </c>
      <c r="I173" s="17">
        <f>F173*H173</f>
        <v/>
      </c>
    </row>
    <row r="174">
      <c r="A174" t="n">
        <v>26</v>
      </c>
      <c r="B174" s="21" t="inlineStr">
        <is>
          <t>Hogaza de Queso Parmigiano Reggiano DOP y Pimienta Negra Quebrada</t>
        </is>
      </c>
      <c r="C174" t="inlineStr">
        <is>
          <t>masa</t>
        </is>
      </c>
      <c r="D174" s="22" t="inlineStr">
        <is>
          <t>100 g Masa madre activa al 100% de hidratación (20%)</t>
        </is>
      </c>
      <c r="E174" s="6" t="inlineStr">
        <is>
          <t>Masa madre blanca activa 100% (cultivada)</t>
        </is>
      </c>
      <c r="F174" s="16" t="n">
        <v>100</v>
      </c>
      <c r="G174" t="inlineStr">
        <is>
          <t>g</t>
        </is>
      </c>
      <c r="H174" s="12">
        <f>IFERROR(VLOOKUP(E174,Insumos!$C$5:$G$64,5,FALSE),0)</f>
        <v/>
      </c>
      <c r="I174" s="17">
        <f>F174*H174</f>
        <v/>
      </c>
    </row>
    <row r="175">
      <c r="A175" t="n">
        <v>26</v>
      </c>
      <c r="B175" s="21" t="inlineStr">
        <is>
          <t>Hogaza de Queso Parmigiano Reggiano DOP y Pimienta Negra Quebrada</t>
        </is>
      </c>
      <c r="C175" t="inlineStr">
        <is>
          <t>masa</t>
        </is>
      </c>
      <c r="D175" s="22" t="inlineStr">
        <is>
          <t>9 g Sal marina fina (1.8%, reducida por el aporte salino del queso)</t>
        </is>
      </c>
      <c r="E175" s="6" t="inlineStr">
        <is>
          <t>Sal marina fina no refinada</t>
        </is>
      </c>
      <c r="F175" s="16" t="n">
        <v>9</v>
      </c>
      <c r="G175" t="inlineStr">
        <is>
          <t>g</t>
        </is>
      </c>
      <c r="H175" s="12">
        <f>IFERROR(VLOOKUP(E175,Insumos!$C$5:$G$64,5,FALSE),0)</f>
        <v/>
      </c>
      <c r="I175" s="17">
        <f>F175*H175</f>
        <v/>
      </c>
    </row>
    <row r="176">
      <c r="A176" t="n">
        <v>26</v>
      </c>
      <c r="B176" s="21" t="inlineStr">
        <is>
          <t>Hogaza de Queso Parmigiano Reggiano DOP y Pimienta Negra Quebrada</t>
        </is>
      </c>
      <c r="C176" t="inlineStr">
        <is>
          <t>masa</t>
        </is>
      </c>
      <c r="D176" s="22" t="inlineStr">
        <is>
          <t>100 g Queso Parmigiano Reggiano DOP curado 24 meses, cortado en cubos regulares de 4 mm (20%)</t>
        </is>
      </c>
      <c r="E176" s="6" t="inlineStr">
        <is>
          <t>Queso Parmigiano Reggiano D.O.P.</t>
        </is>
      </c>
      <c r="F176" s="16" t="n">
        <v>100</v>
      </c>
      <c r="G176" t="inlineStr">
        <is>
          <t>g</t>
        </is>
      </c>
      <c r="H176" s="12">
        <f>IFERROR(VLOOKUP(E176,Insumos!$C$5:$G$64,5,FALSE),0)</f>
        <v/>
      </c>
      <c r="I176" s="17">
        <f>F176*H176</f>
        <v/>
      </c>
    </row>
    <row r="177">
      <c r="A177" t="n">
        <v>26</v>
      </c>
      <c r="B177" s="21" t="inlineStr">
        <is>
          <t>Hogaza de Queso Parmigiano Reggiano DOP y Pimienta Negra Quebrada</t>
        </is>
      </c>
      <c r="C177" t="inlineStr">
        <is>
          <t>masa</t>
        </is>
      </c>
      <c r="D177" s="22" t="inlineStr">
        <is>
          <t>4 g Pimienta negra en grano entera, tostada en sartén seca y quebrada tosca en mortero (0.8%)</t>
        </is>
      </c>
      <c r="E177" s="6" t="inlineStr">
        <is>
          <t>Pimienta negra en grano</t>
        </is>
      </c>
      <c r="F177" s="16" t="n">
        <v>4</v>
      </c>
      <c r="G177" t="inlineStr">
        <is>
          <t>g</t>
        </is>
      </c>
      <c r="H177" s="12">
        <f>IFERROR(VLOOKUP(E177,Insumos!$C$5:$G$64,5,FALSE),0)</f>
        <v/>
      </c>
      <c r="I177" s="17">
        <f>F177*H177</f>
        <v/>
      </c>
    </row>
    <row r="178">
      <c r="A178" t="n">
        <v>27</v>
      </c>
      <c r="B178" s="21" t="inlineStr">
        <is>
          <t>Trenza Mediterránea de Masa Madre con Semillas de Sésamo Tostado</t>
        </is>
      </c>
      <c r="C178" t="inlineStr">
        <is>
          <t>masa</t>
        </is>
      </c>
      <c r="D178" s="22" t="inlineStr">
        <is>
          <t>450 g Harina de trigo panificable (W 260-280, 12% proteína) (90%)</t>
        </is>
      </c>
      <c r="E178" s="6" t="inlineStr">
        <is>
          <t>Harina panificable de fuerza (W 280-300)</t>
        </is>
      </c>
      <c r="F178" s="16" t="n">
        <v>450</v>
      </c>
      <c r="G178" t="inlineStr">
        <is>
          <t>g</t>
        </is>
      </c>
      <c r="H178" s="12">
        <f>IFERROR(VLOOKUP(E178,Insumos!$C$5:$G$64,5,FALSE),0)</f>
        <v/>
      </c>
      <c r="I178" s="17">
        <f>F178*H178</f>
        <v/>
      </c>
    </row>
    <row r="179">
      <c r="A179" t="n">
        <v>27</v>
      </c>
      <c r="B179" s="21" t="inlineStr">
        <is>
          <t>Trenza Mediterránea de Masa Madre con Semillas de Sésamo Tostado</t>
        </is>
      </c>
      <c r="C179" t="inlineStr">
        <is>
          <t>masa</t>
        </is>
      </c>
      <c r="D179" s="22" t="inlineStr">
        <is>
          <t>50 g Harina de trigo integral de molienda fina (10%)</t>
        </is>
      </c>
      <c r="E179" s="6" t="inlineStr">
        <is>
          <t>Harina de trigo integral de molienda a la piedra</t>
        </is>
      </c>
      <c r="F179" s="16" t="n">
        <v>50</v>
      </c>
      <c r="G179" t="inlineStr">
        <is>
          <t>g</t>
        </is>
      </c>
      <c r="H179" s="12">
        <f>IFERROR(VLOOKUP(E179,Insumos!$C$5:$G$64,5,FALSE),0)</f>
        <v/>
      </c>
      <c r="I179" s="17">
        <f>F179*H179</f>
        <v/>
      </c>
    </row>
    <row r="180">
      <c r="A180" t="n">
        <v>27</v>
      </c>
      <c r="B180" s="21" t="inlineStr">
        <is>
          <t>Trenza Mediterránea de Masa Madre con Semillas de Sésamo Tostado</t>
        </is>
      </c>
      <c r="C180" t="inlineStr">
        <is>
          <t>masa</t>
        </is>
      </c>
      <c r="D180" s="22" t="inlineStr">
        <is>
          <t>305 ml Agua purificada limpia (285 ml iniciales + 20 ml para la sal) (61% agua añadida; 65% hidratación total)</t>
        </is>
      </c>
      <c r="E180" s="6" t="inlineStr">
        <is>
          <t>Agua purificada</t>
        </is>
      </c>
      <c r="F180" s="16" t="n">
        <v>305</v>
      </c>
      <c r="G180" t="inlineStr">
        <is>
          <t>ml</t>
        </is>
      </c>
      <c r="H180" s="12">
        <f>IFERROR(VLOOKUP(E180,Insumos!$C$5:$G$64,5,FALSE),0)</f>
        <v/>
      </c>
      <c r="I180" s="17">
        <f>F180*H180</f>
        <v/>
      </c>
    </row>
    <row r="181">
      <c r="A181" t="n">
        <v>27</v>
      </c>
      <c r="B181" s="21" t="inlineStr">
        <is>
          <t>Trenza Mediterránea de Masa Madre con Semillas de Sésamo Tostado</t>
        </is>
      </c>
      <c r="C181" t="inlineStr">
        <is>
          <t>masa</t>
        </is>
      </c>
      <c r="D181" s="22" t="inlineStr">
        <is>
          <t>100 g Masa madre activa al 100% de hidratación (20%)</t>
        </is>
      </c>
      <c r="E181" s="6" t="inlineStr">
        <is>
          <t>Masa madre blanca activa 100% (cultivada)</t>
        </is>
      </c>
      <c r="F181" s="16" t="n">
        <v>100</v>
      </c>
      <c r="G181" t="inlineStr">
        <is>
          <t>g</t>
        </is>
      </c>
      <c r="H181" s="12">
        <f>IFERROR(VLOOKUP(E181,Insumos!$C$5:$G$64,5,FALSE),0)</f>
        <v/>
      </c>
      <c r="I181" s="17">
        <f>F181*H181</f>
        <v/>
      </c>
    </row>
    <row r="182">
      <c r="A182" t="n">
        <v>27</v>
      </c>
      <c r="B182" s="21" t="inlineStr">
        <is>
          <t>Trenza Mediterránea de Masa Madre con Semillas de Sésamo Tostado</t>
        </is>
      </c>
      <c r="C182" t="inlineStr">
        <is>
          <t>masa</t>
        </is>
      </c>
      <c r="D182" s="22" t="inlineStr">
        <is>
          <t>10 g Sal marina fina (2%)</t>
        </is>
      </c>
      <c r="E182" s="6" t="inlineStr">
        <is>
          <t>Sal marina fina no refinada</t>
        </is>
      </c>
      <c r="F182" s="16" t="n">
        <v>10</v>
      </c>
      <c r="G182" t="inlineStr">
        <is>
          <t>g</t>
        </is>
      </c>
      <c r="H182" s="12">
        <f>IFERROR(VLOOKUP(E182,Insumos!$C$5:$G$64,5,FALSE),0)</f>
        <v/>
      </c>
      <c r="I182" s="17">
        <f>F182*H182</f>
        <v/>
      </c>
    </row>
    <row r="183">
      <c r="A183" t="n">
        <v>27</v>
      </c>
      <c r="B183" s="21" t="inlineStr">
        <is>
          <t>Trenza Mediterránea de Masa Madre con Semillas de Sésamo Tostado</t>
        </is>
      </c>
      <c r="C183" t="inlineStr">
        <is>
          <t>masa</t>
        </is>
      </c>
      <c r="D183" s="22" t="inlineStr">
        <is>
          <t>20 ml Aceite de oliva virgen extra (4%)</t>
        </is>
      </c>
      <c r="E183" s="6" t="inlineStr">
        <is>
          <t>Aceite de oliva virgen extra</t>
        </is>
      </c>
      <c r="F183" s="16" t="n">
        <v>20</v>
      </c>
      <c r="G183" t="inlineStr">
        <is>
          <t>ml</t>
        </is>
      </c>
      <c r="H183" s="12">
        <f>IFERROR(VLOOKUP(E183,Insumos!$C$5:$G$64,5,FALSE),0)</f>
        <v/>
      </c>
      <c r="I183" s="17">
        <f>F183*H183</f>
        <v/>
      </c>
    </row>
    <row r="184">
      <c r="A184" t="n">
        <v>27</v>
      </c>
      <c r="B184" s="21" t="inlineStr">
        <is>
          <t>Trenza Mediterránea de Masa Madre con Semillas de Sésamo Tostado</t>
        </is>
      </c>
      <c r="C184" t="inlineStr">
        <is>
          <t>masa</t>
        </is>
      </c>
      <c r="D184" s="22" t="inlineStr">
        <is>
          <t>15 g Miel pura de azahar (3%, aporta flexibilidad a los cabos)</t>
        </is>
      </c>
      <c r="E184" s="6" t="inlineStr">
        <is>
          <t>Miel de abeja</t>
        </is>
      </c>
      <c r="F184" s="16" t="n">
        <v>15</v>
      </c>
      <c r="G184" t="inlineStr">
        <is>
          <t>g</t>
        </is>
      </c>
      <c r="H184" s="12">
        <f>IFERROR(VLOOKUP(E184,Insumos!$C$5:$G$64,5,FALSE),0)</f>
        <v/>
      </c>
      <c r="I184" s="17">
        <f>F184*H184</f>
        <v/>
      </c>
    </row>
    <row r="185">
      <c r="A185" t="n">
        <v>27</v>
      </c>
      <c r="B185" s="21" t="inlineStr">
        <is>
          <t>Trenza Mediterránea de Masa Madre con Semillas de Sésamo Tostado</t>
        </is>
      </c>
      <c r="C185" t="inlineStr">
        <is>
          <t>masa</t>
        </is>
      </c>
      <c r="D185" s="22" t="inlineStr">
        <is>
          <t>80 g Semillas de sésamo blanco tostadas en comal a 140 °C (para el rebozado exterior completo)</t>
        </is>
      </c>
      <c r="E185" s="6" t="inlineStr">
        <is>
          <t>Semilla de sésamo o ajonjolí</t>
        </is>
      </c>
      <c r="F185" s="16" t="n">
        <v>80</v>
      </c>
      <c r="G185" t="inlineStr">
        <is>
          <t>g</t>
        </is>
      </c>
      <c r="H185" s="12">
        <f>IFERROR(VLOOKUP(E185,Insumos!$C$5:$G$64,5,FALSE),0)</f>
        <v/>
      </c>
      <c r="I185" s="17">
        <f>F185*H185</f>
        <v/>
      </c>
    </row>
    <row r="186">
      <c r="A186" t="n">
        <v>28</v>
      </c>
      <c r="B186" s="21" t="inlineStr">
        <is>
          <t>Góndolas de Hierbas Provenzales y Aceite de Oliva Virgen Extra</t>
        </is>
      </c>
      <c r="C186" t="inlineStr">
        <is>
          <t>masa</t>
        </is>
      </c>
      <c r="D186" s="22" t="inlineStr">
        <is>
          <t>450 g Harina de trigo panificable (W 260, 12% proteína) (90%)</t>
        </is>
      </c>
      <c r="E186" s="6" t="inlineStr">
        <is>
          <t>Harina panificable de fuerza (W 280-300)</t>
        </is>
      </c>
      <c r="F186" s="16" t="n">
        <v>450</v>
      </c>
      <c r="G186" t="inlineStr">
        <is>
          <t>g</t>
        </is>
      </c>
      <c r="H186" s="12">
        <f>IFERROR(VLOOKUP(E186,Insumos!$C$5:$G$64,5,FALSE),0)</f>
        <v/>
      </c>
      <c r="I186" s="17">
        <f>F186*H186</f>
        <v/>
      </c>
    </row>
    <row r="187">
      <c r="A187" t="n">
        <v>28</v>
      </c>
      <c r="B187" s="21" t="inlineStr">
        <is>
          <t>Góndolas de Hierbas Provenzales y Aceite de Oliva Virgen Extra</t>
        </is>
      </c>
      <c r="C187" t="inlineStr">
        <is>
          <t>masa</t>
        </is>
      </c>
      <c r="D187" s="22" t="inlineStr">
        <is>
          <t>50 g Sémola rimacinata de trigo duro (10%)</t>
        </is>
      </c>
      <c r="E187" s="6" t="inlineStr">
        <is>
          <t>Sémola rimacinata de trigo duro</t>
        </is>
      </c>
      <c r="F187" s="16" t="n">
        <v>50</v>
      </c>
      <c r="G187" t="inlineStr">
        <is>
          <t>g</t>
        </is>
      </c>
      <c r="H187" s="12">
        <f>IFERROR(VLOOKUP(E187,Insumos!$C$5:$G$64,5,FALSE),0)</f>
        <v/>
      </c>
      <c r="I187" s="17">
        <f>F187*H187</f>
        <v/>
      </c>
    </row>
    <row r="188">
      <c r="A188" t="n">
        <v>28</v>
      </c>
      <c r="B188" s="21" t="inlineStr">
        <is>
          <t>Góndolas de Hierbas Provenzales y Aceite de Oliva Virgen Extra</t>
        </is>
      </c>
      <c r="C188" t="inlineStr">
        <is>
          <t>masa</t>
        </is>
      </c>
      <c r="D188" s="22" t="inlineStr">
        <is>
          <t>320 ml Agua purificada limpia (300 ml iniciales + 20 ml para la sal) (64% agua añadida; 68% hidratación total)</t>
        </is>
      </c>
      <c r="E188" s="6" t="inlineStr">
        <is>
          <t>Agua purificada</t>
        </is>
      </c>
      <c r="F188" s="16" t="n">
        <v>320</v>
      </c>
      <c r="G188" t="inlineStr">
        <is>
          <t>ml</t>
        </is>
      </c>
      <c r="H188" s="12">
        <f>IFERROR(VLOOKUP(E188,Insumos!$C$5:$G$64,5,FALSE),0)</f>
        <v/>
      </c>
      <c r="I188" s="17">
        <f>F188*H188</f>
        <v/>
      </c>
    </row>
    <row r="189">
      <c r="A189" t="n">
        <v>28</v>
      </c>
      <c r="B189" s="21" t="inlineStr">
        <is>
          <t>Góndolas de Hierbas Provenzales y Aceite de Oliva Virgen Extra</t>
        </is>
      </c>
      <c r="C189" t="inlineStr">
        <is>
          <t>masa</t>
        </is>
      </c>
      <c r="D189" s="22" t="inlineStr">
        <is>
          <t>100 g Masa madre activa al 100% de hidratación (20%)</t>
        </is>
      </c>
      <c r="E189" s="6" t="inlineStr">
        <is>
          <t>Masa madre blanca activa 100% (cultivada)</t>
        </is>
      </c>
      <c r="F189" s="16" t="n">
        <v>100</v>
      </c>
      <c r="G189" t="inlineStr">
        <is>
          <t>g</t>
        </is>
      </c>
      <c r="H189" s="12">
        <f>IFERROR(VLOOKUP(E189,Insumos!$C$5:$G$64,5,FALSE),0)</f>
        <v/>
      </c>
      <c r="I189" s="17">
        <f>F189*H189</f>
        <v/>
      </c>
    </row>
    <row r="190">
      <c r="A190" t="n">
        <v>28</v>
      </c>
      <c r="B190" s="21" t="inlineStr">
        <is>
          <t>Góndolas de Hierbas Provenzales y Aceite de Oliva Virgen Extra</t>
        </is>
      </c>
      <c r="C190" t="inlineStr">
        <is>
          <t>masa</t>
        </is>
      </c>
      <c r="D190" s="22" t="inlineStr">
        <is>
          <t>10 g Sal marina fina (2%)</t>
        </is>
      </c>
      <c r="E190" s="6" t="inlineStr">
        <is>
          <t>Sal marina fina no refinada</t>
        </is>
      </c>
      <c r="F190" s="16" t="n">
        <v>10</v>
      </c>
      <c r="G190" t="inlineStr">
        <is>
          <t>g</t>
        </is>
      </c>
      <c r="H190" s="12">
        <f>IFERROR(VLOOKUP(E190,Insumos!$C$5:$G$64,5,FALSE),0)</f>
        <v/>
      </c>
      <c r="I190" s="17">
        <f>F190*H190</f>
        <v/>
      </c>
    </row>
    <row r="191">
      <c r="A191" t="n">
        <v>28</v>
      </c>
      <c r="B191" s="21" t="inlineStr">
        <is>
          <t>Góndolas de Hierbas Provenzales y Aceite de Oliva Virgen Extra</t>
        </is>
      </c>
      <c r="C191" t="inlineStr">
        <is>
          <t>masa</t>
        </is>
      </c>
      <c r="D191" s="22" t="inlineStr">
        <is>
          <t>20 ml Aceite de oliva virgen extra en masa (4%)</t>
        </is>
      </c>
      <c r="E191" s="6" t="inlineStr">
        <is>
          <t>Aceite de oliva virgen extra</t>
        </is>
      </c>
      <c r="F191" s="16" t="n">
        <v>20</v>
      </c>
      <c r="G191" t="inlineStr">
        <is>
          <t>ml</t>
        </is>
      </c>
      <c r="H191" s="12">
        <f>IFERROR(VLOOKUP(E191,Insumos!$C$5:$G$64,5,FALSE),0)</f>
        <v/>
      </c>
      <c r="I191" s="17">
        <f>F191*H191</f>
        <v/>
      </c>
    </row>
    <row r="192">
      <c r="A192" t="n">
        <v>28</v>
      </c>
      <c r="B192" s="21" t="inlineStr">
        <is>
          <t>Góndolas de Hierbas Provenzales y Aceite de Oliva Virgen Extra</t>
        </is>
      </c>
      <c r="C192" t="inlineStr">
        <is>
          <t>masa</t>
        </is>
      </c>
      <c r="D192" s="22" t="inlineStr">
        <is>
          <t>5 g Mezcla de hierbas provenzales secas (romero, tomillo, orégano y ajedrea picadas) (1%)</t>
        </is>
      </c>
      <c r="E192" s="6" t="inlineStr">
        <is>
          <t>Hierbas secas de Provenza</t>
        </is>
      </c>
      <c r="F192" s="16" t="n">
        <v>5</v>
      </c>
      <c r="G192" t="inlineStr">
        <is>
          <t>g</t>
        </is>
      </c>
      <c r="H192" s="12">
        <f>IFERROR(VLOOKUP(E192,Insumos!$C$5:$G$64,5,FALSE),0)</f>
        <v/>
      </c>
      <c r="I192" s="17">
        <f>F192*H192</f>
        <v/>
      </c>
    </row>
    <row r="193">
      <c r="A193" t="n">
        <v>28</v>
      </c>
      <c r="B193" s="21" t="inlineStr">
        <is>
          <t>Góndolas de Hierbas Provenzales y Aceite de Oliva Virgen Extra</t>
        </is>
      </c>
      <c r="C193" t="inlineStr">
        <is>
          <t>masa</t>
        </is>
      </c>
      <c r="D193" s="22" t="inlineStr">
        <is>
          <t>Sémola de trigo duro extra para la mesa y formado</t>
        </is>
      </c>
      <c r="E193" s="6" t="inlineStr">
        <is>
          <t>Sémola rimacinata de trigo duro</t>
        </is>
      </c>
      <c r="F193" s="16" t="n">
        <v>1</v>
      </c>
      <c r="G193" t="inlineStr">
        <is>
          <t>g</t>
        </is>
      </c>
      <c r="H193" s="12">
        <f>IFERROR(VLOOKUP(E193,Insumos!$C$5:$G$64,5,FALSE),0)</f>
        <v/>
      </c>
      <c r="I193" s="17">
        <f>F193*H193</f>
        <v/>
      </c>
    </row>
    <row r="194">
      <c r="A194" t="n">
        <v>29</v>
      </c>
      <c r="B194" s="21" t="inlineStr">
        <is>
          <t>Pan de Cúrcuma Pura, Jengibre y Semillas de Calabaza Tostadas</t>
        </is>
      </c>
      <c r="C194" t="inlineStr">
        <is>
          <t>masa</t>
        </is>
      </c>
      <c r="D194" s="22" t="inlineStr">
        <is>
          <t>450 g Harina de trigo panificable de fuerza (W 280, 12.5% proteína) (90%)</t>
        </is>
      </c>
      <c r="E194" s="6" t="inlineStr">
        <is>
          <t>Harina panificable de fuerza (W 280-300)</t>
        </is>
      </c>
      <c r="F194" s="16" t="n">
        <v>450</v>
      </c>
      <c r="G194" t="inlineStr">
        <is>
          <t>g</t>
        </is>
      </c>
      <c r="H194" s="12">
        <f>IFERROR(VLOOKUP(E194,Insumos!$C$5:$G$64,5,FALSE),0)</f>
        <v/>
      </c>
      <c r="I194" s="17">
        <f>F194*H194</f>
        <v/>
      </c>
    </row>
    <row r="195">
      <c r="A195" t="n">
        <v>29</v>
      </c>
      <c r="B195" s="21" t="inlineStr">
        <is>
          <t>Pan de Cúrcuma Pura, Jengibre y Semillas de Calabaza Tostadas</t>
        </is>
      </c>
      <c r="C195" t="inlineStr">
        <is>
          <t>masa</t>
        </is>
      </c>
      <c r="D195" s="22" t="inlineStr">
        <is>
          <t>50 g Harina de trigo integral de molienda fina (10%)</t>
        </is>
      </c>
      <c r="E195" s="6" t="inlineStr">
        <is>
          <t>Harina de trigo integral de molienda a la piedra</t>
        </is>
      </c>
      <c r="F195" s="16" t="n">
        <v>50</v>
      </c>
      <c r="G195" t="inlineStr">
        <is>
          <t>g</t>
        </is>
      </c>
      <c r="H195" s="12">
        <f>IFERROR(VLOOKUP(E195,Insumos!$C$5:$G$64,5,FALSE),0)</f>
        <v/>
      </c>
      <c r="I195" s="17">
        <f>F195*H195</f>
        <v/>
      </c>
    </row>
    <row r="196">
      <c r="A196" t="n">
        <v>29</v>
      </c>
      <c r="B196" s="21" t="inlineStr">
        <is>
          <t>Pan de Cúrcuma Pura, Jengibre y Semillas de Calabaza Tostadas</t>
        </is>
      </c>
      <c r="C196" t="inlineStr">
        <is>
          <t>masa</t>
        </is>
      </c>
      <c r="D196" s="22" t="inlineStr">
        <is>
          <t>345 ml Agua purificada limpia (325 ml iniciales + 20 ml para la sal) (69% agua añadida; 73% hidratación total)</t>
        </is>
      </c>
      <c r="E196" s="6" t="inlineStr">
        <is>
          <t>Agua purificada</t>
        </is>
      </c>
      <c r="F196" s="16" t="n">
        <v>345</v>
      </c>
      <c r="G196" t="inlineStr">
        <is>
          <t>ml</t>
        </is>
      </c>
      <c r="H196" s="12">
        <f>IFERROR(VLOOKUP(E196,Insumos!$C$5:$G$64,5,FALSE),0)</f>
        <v/>
      </c>
      <c r="I196" s="17">
        <f>F196*H196</f>
        <v/>
      </c>
    </row>
    <row r="197">
      <c r="A197" t="n">
        <v>29</v>
      </c>
      <c r="B197" s="21" t="inlineStr">
        <is>
          <t>Pan de Cúrcuma Pura, Jengibre y Semillas de Calabaza Tostadas</t>
        </is>
      </c>
      <c r="C197" t="inlineStr">
        <is>
          <t>masa</t>
        </is>
      </c>
      <c r="D197" s="22" t="inlineStr">
        <is>
          <t>100 g Masa madre activa al 100% de hidratación (20%)</t>
        </is>
      </c>
      <c r="E197" s="6" t="inlineStr">
        <is>
          <t>Masa madre blanca activa 100% (cultivada)</t>
        </is>
      </c>
      <c r="F197" s="16" t="n">
        <v>100</v>
      </c>
      <c r="G197" t="inlineStr">
        <is>
          <t>g</t>
        </is>
      </c>
      <c r="H197" s="12">
        <f>IFERROR(VLOOKUP(E197,Insumos!$C$5:$G$64,5,FALSE),0)</f>
        <v/>
      </c>
      <c r="I197" s="17">
        <f>F197*H197</f>
        <v/>
      </c>
    </row>
    <row r="198">
      <c r="A198" t="n">
        <v>29</v>
      </c>
      <c r="B198" s="21" t="inlineStr">
        <is>
          <t>Pan de Cúrcuma Pura, Jengibre y Semillas de Calabaza Tostadas</t>
        </is>
      </c>
      <c r="C198" t="inlineStr">
        <is>
          <t>masa</t>
        </is>
      </c>
      <c r="D198" s="22" t="inlineStr">
        <is>
          <t>10 g Sal marina fina (2%)</t>
        </is>
      </c>
      <c r="E198" s="6" t="inlineStr">
        <is>
          <t>Sal marina fina no refinada</t>
        </is>
      </c>
      <c r="F198" s="16" t="n">
        <v>10</v>
      </c>
      <c r="G198" t="inlineStr">
        <is>
          <t>g</t>
        </is>
      </c>
      <c r="H198" s="12">
        <f>IFERROR(VLOOKUP(E198,Insumos!$C$5:$G$64,5,FALSE),0)</f>
        <v/>
      </c>
      <c r="I198" s="17">
        <f>F198*H198</f>
        <v/>
      </c>
    </row>
    <row r="199">
      <c r="A199" t="n">
        <v>29</v>
      </c>
      <c r="B199" s="21" t="inlineStr">
        <is>
          <t>Pan de Cúrcuma Pura, Jengibre y Semillas de Calabaza Tostadas</t>
        </is>
      </c>
      <c r="C199" t="inlineStr">
        <is>
          <t>masa</t>
        </is>
      </c>
      <c r="D199" s="22" t="inlineStr">
        <is>
          <t>8 g Cúrcuma pura en polvo de alta calidad (1.6%, color dorado solar)</t>
        </is>
      </c>
      <c r="E199" s="6" t="inlineStr">
        <is>
          <t>Cúrcuma y jengibre en polvo</t>
        </is>
      </c>
      <c r="F199" s="16" t="n">
        <v>8</v>
      </c>
      <c r="G199" t="inlineStr">
        <is>
          <t>g</t>
        </is>
      </c>
      <c r="H199" s="12">
        <f>IFERROR(VLOOKUP(E199,Insumos!$C$5:$G$64,5,FALSE),0)</f>
        <v/>
      </c>
      <c r="I199" s="17">
        <f>F199*H199</f>
        <v/>
      </c>
    </row>
    <row r="200">
      <c r="A200" t="n">
        <v>29</v>
      </c>
      <c r="B200" s="21" t="inlineStr">
        <is>
          <t>Pan de Cúrcuma Pura, Jengibre y Semillas de Calabaza Tostadas</t>
        </is>
      </c>
      <c r="C200" t="inlineStr">
        <is>
          <t>masa</t>
        </is>
      </c>
      <c r="D200" s="22" t="inlineStr">
        <is>
          <t>3 g Jengibre seco en polvo (0.6%)</t>
        </is>
      </c>
      <c r="E200" s="6" t="inlineStr">
        <is>
          <t>Cúrcuma y jengibre en polvo</t>
        </is>
      </c>
      <c r="F200" s="16" t="n">
        <v>3</v>
      </c>
      <c r="G200" t="inlineStr">
        <is>
          <t>g</t>
        </is>
      </c>
      <c r="H200" s="12">
        <f>IFERROR(VLOOKUP(E200,Insumos!$C$5:$G$64,5,FALSE),0)</f>
        <v/>
      </c>
      <c r="I200" s="17">
        <f>F200*H200</f>
        <v/>
      </c>
    </row>
    <row r="201">
      <c r="A201" t="n">
        <v>29</v>
      </c>
      <c r="B201" s="21" t="inlineStr">
        <is>
          <t>Pan de Cúrcuma Pura, Jengibre y Semillas de Calabaza Tostadas</t>
        </is>
      </c>
      <c r="C201" t="inlineStr">
        <is>
          <t>masa</t>
        </is>
      </c>
      <c r="D201" s="22" t="inlineStr">
        <is>
          <t>1 g Pimienta negra molida fina (0.2%, activa la biodisponibilidad de la curcumina)</t>
        </is>
      </c>
      <c r="E201" s="6" t="inlineStr">
        <is>
          <t>Pimienta negra en grano</t>
        </is>
      </c>
      <c r="F201" s="16" t="n">
        <v>1</v>
      </c>
      <c r="G201" t="inlineStr">
        <is>
          <t>g</t>
        </is>
      </c>
      <c r="H201" s="12">
        <f>IFERROR(VLOOKUP(E201,Insumos!$C$5:$G$64,5,FALSE),0)</f>
        <v/>
      </c>
      <c r="I201" s="17">
        <f>F201*H201</f>
        <v/>
      </c>
    </row>
    <row r="202">
      <c r="A202" t="n">
        <v>29</v>
      </c>
      <c r="B202" s="21" t="inlineStr">
        <is>
          <t>Pan de Cúrcuma Pura, Jengibre y Semillas de Calabaza Tostadas</t>
        </is>
      </c>
      <c r="C202" t="inlineStr">
        <is>
          <t>masa</t>
        </is>
      </c>
      <c r="D202" s="22" t="inlineStr">
        <is>
          <t>70 g Semillas de calabaza (pepitas) tostadas a 150 °C durante 8 minutos (14%)</t>
        </is>
      </c>
      <c r="E202" s="6" t="inlineStr">
        <is>
          <t>Semilla de calabaza</t>
        </is>
      </c>
      <c r="F202" s="16" t="n">
        <v>70</v>
      </c>
      <c r="G202" t="inlineStr">
        <is>
          <t>g</t>
        </is>
      </c>
      <c r="H202" s="12">
        <f>IFERROR(VLOOKUP(E202,Insumos!$C$5:$G$64,5,FALSE),0)</f>
        <v/>
      </c>
      <c r="I202" s="17">
        <f>F202*H202</f>
        <v/>
      </c>
    </row>
    <row r="203">
      <c r="A203" t="n">
        <v>30</v>
      </c>
      <c r="B203" s="21" t="inlineStr">
        <is>
          <t>Hogaza Oscura de Cacao Puro 100% y Nibs Tostados (Pan Salado)</t>
        </is>
      </c>
      <c r="C203" t="inlineStr">
        <is>
          <t>masa</t>
        </is>
      </c>
      <c r="D203" s="22" t="inlineStr">
        <is>
          <t>450 g Harina de trigo panificable de gran fuerza (W 300-320, 13% proteína) (90%)</t>
        </is>
      </c>
      <c r="E203" s="6" t="inlineStr">
        <is>
          <t>Harina de gran fuerza (W 350+) o de panettone</t>
        </is>
      </c>
      <c r="F203" s="16" t="n">
        <v>450</v>
      </c>
      <c r="G203" t="inlineStr">
        <is>
          <t>g</t>
        </is>
      </c>
      <c r="H203" s="12">
        <f>IFERROR(VLOOKUP(E203,Insumos!$C$5:$G$64,5,FALSE),0)</f>
        <v/>
      </c>
      <c r="I203" s="17">
        <f>F203*H203</f>
        <v/>
      </c>
    </row>
    <row r="204">
      <c r="A204" t="n">
        <v>30</v>
      </c>
      <c r="B204" s="21" t="inlineStr">
        <is>
          <t>Hogaza Oscura de Cacao Puro 100% y Nibs Tostados (Pan Salado)</t>
        </is>
      </c>
      <c r="C204" t="inlineStr">
        <is>
          <t>masa</t>
        </is>
      </c>
      <c r="D204" s="22" t="inlineStr">
        <is>
          <t>25 g Harina de trigo integral a la piedra (5%)</t>
        </is>
      </c>
      <c r="E204" s="6" t="inlineStr">
        <is>
          <t>Harina de trigo integral de molienda a la piedra</t>
        </is>
      </c>
      <c r="F204" s="16" t="n">
        <v>25</v>
      </c>
      <c r="G204" t="inlineStr">
        <is>
          <t>g</t>
        </is>
      </c>
      <c r="H204" s="12">
        <f>IFERROR(VLOOKUP(E204,Insumos!$C$5:$G$64,5,FALSE),0)</f>
        <v/>
      </c>
      <c r="I204" s="17">
        <f>F204*H204</f>
        <v/>
      </c>
    </row>
    <row r="205">
      <c r="A205" t="n">
        <v>30</v>
      </c>
      <c r="B205" s="21" t="inlineStr">
        <is>
          <t>Hogaza Oscura de Cacao Puro 100% y Nibs Tostados (Pan Salado)</t>
        </is>
      </c>
      <c r="C205" t="inlineStr">
        <is>
          <t>masa</t>
        </is>
      </c>
      <c r="D205" s="22" t="inlineStr">
        <is>
          <t>25 g Cacao en polvo puro 100% alcalinizado sin azúcar tamizado (5%)</t>
        </is>
      </c>
      <c r="E205" s="6" t="inlineStr">
        <is>
          <t>Cacao en polvo alcalinizado</t>
        </is>
      </c>
      <c r="F205" s="16" t="n">
        <v>25</v>
      </c>
      <c r="G205" t="inlineStr">
        <is>
          <t>g</t>
        </is>
      </c>
      <c r="H205" s="12">
        <f>IFERROR(VLOOKUP(E205,Insumos!$C$5:$G$64,5,FALSE),0)</f>
        <v/>
      </c>
      <c r="I205" s="17">
        <f>F205*H205</f>
        <v/>
      </c>
    </row>
    <row r="206">
      <c r="A206" t="n">
        <v>30</v>
      </c>
      <c r="B206" s="21" t="inlineStr">
        <is>
          <t>Hogaza Oscura de Cacao Puro 100% y Nibs Tostados (Pan Salado)</t>
        </is>
      </c>
      <c r="C206" t="inlineStr">
        <is>
          <t>masa</t>
        </is>
      </c>
      <c r="D206" s="22" t="inlineStr">
        <is>
          <t>360 ml Agua purificada limpia (330 ml iniciales + 30 ml para la sal) (72% agua añadida; 76% hidratación total)</t>
        </is>
      </c>
      <c r="E206" s="6" t="inlineStr">
        <is>
          <t>Agua purificada</t>
        </is>
      </c>
      <c r="F206" s="16" t="n">
        <v>360</v>
      </c>
      <c r="G206" t="inlineStr">
        <is>
          <t>ml</t>
        </is>
      </c>
      <c r="H206" s="12">
        <f>IFERROR(VLOOKUP(E206,Insumos!$C$5:$G$64,5,FALSE),0)</f>
        <v/>
      </c>
      <c r="I206" s="17">
        <f>F206*H206</f>
        <v/>
      </c>
    </row>
    <row r="207">
      <c r="A207" t="n">
        <v>30</v>
      </c>
      <c r="B207" s="21" t="inlineStr">
        <is>
          <t>Hogaza Oscura de Cacao Puro 100% y Nibs Tostados (Pan Salado)</t>
        </is>
      </c>
      <c r="C207" t="inlineStr">
        <is>
          <t>masa</t>
        </is>
      </c>
      <c r="D207" s="22" t="inlineStr">
        <is>
          <t>100 g Masa madre activa al 100% de hidratación (20%)</t>
        </is>
      </c>
      <c r="E207" s="6" t="inlineStr">
        <is>
          <t>Masa madre blanca activa 100% (cultivada)</t>
        </is>
      </c>
      <c r="F207" s="16" t="n">
        <v>100</v>
      </c>
      <c r="G207" t="inlineStr">
        <is>
          <t>g</t>
        </is>
      </c>
      <c r="H207" s="12">
        <f>IFERROR(VLOOKUP(E207,Insumos!$C$5:$G$64,5,FALSE),0)</f>
        <v/>
      </c>
      <c r="I207" s="17">
        <f>F207*H207</f>
        <v/>
      </c>
    </row>
    <row r="208">
      <c r="A208" t="n">
        <v>30</v>
      </c>
      <c r="B208" s="21" t="inlineStr">
        <is>
          <t>Hogaza Oscura de Cacao Puro 100% y Nibs Tostados (Pan Salado)</t>
        </is>
      </c>
      <c r="C208" t="inlineStr">
        <is>
          <t>masa</t>
        </is>
      </c>
      <c r="D208" s="22" t="inlineStr">
        <is>
          <t>10 g Sal marina fina (2%)</t>
        </is>
      </c>
      <c r="E208" s="6" t="inlineStr">
        <is>
          <t>Sal marina fina no refinada</t>
        </is>
      </c>
      <c r="F208" s="16" t="n">
        <v>10</v>
      </c>
      <c r="G208" t="inlineStr">
        <is>
          <t>g</t>
        </is>
      </c>
      <c r="H208" s="12">
        <f>IFERROR(VLOOKUP(E208,Insumos!$C$5:$G$64,5,FALSE),0)</f>
        <v/>
      </c>
      <c r="I208" s="17">
        <f>F208*H208</f>
        <v/>
      </c>
    </row>
    <row r="209">
      <c r="A209" t="n">
        <v>30</v>
      </c>
      <c r="B209" s="21" t="inlineStr">
        <is>
          <t>Hogaza Oscura de Cacao Puro 100% y Nibs Tostados (Pan Salado)</t>
        </is>
      </c>
      <c r="C209" t="inlineStr">
        <is>
          <t>masa</t>
        </is>
      </c>
      <c r="D209" s="22" t="inlineStr">
        <is>
          <t>15 g Miel pura de abeja (3%, contrarresta la astringencia del cacao sin endulzar)</t>
        </is>
      </c>
      <c r="E209" s="6" t="inlineStr">
        <is>
          <t>Miel de abeja</t>
        </is>
      </c>
      <c r="F209" s="16" t="n">
        <v>15</v>
      </c>
      <c r="G209" t="inlineStr">
        <is>
          <t>g</t>
        </is>
      </c>
      <c r="H209" s="12">
        <f>IFERROR(VLOOKUP(E209,Insumos!$C$5:$G$64,5,FALSE),0)</f>
        <v/>
      </c>
      <c r="I209" s="17">
        <f>F209*H209</f>
        <v/>
      </c>
    </row>
    <row r="210">
      <c r="A210" t="n">
        <v>30</v>
      </c>
      <c r="B210" s="21" t="inlineStr">
        <is>
          <t>Hogaza Oscura de Cacao Puro 100% y Nibs Tostados (Pan Salado)</t>
        </is>
      </c>
      <c r="C210" t="inlineStr">
        <is>
          <t>masa</t>
        </is>
      </c>
      <c r="D210" s="22" t="inlineStr">
        <is>
          <t>50 g Nibs de cacao tostados crujientes (10%)</t>
        </is>
      </c>
      <c r="E210" s="6" t="inlineStr">
        <is>
          <t>Nibs de cacao</t>
        </is>
      </c>
      <c r="F210" s="16" t="n">
        <v>50</v>
      </c>
      <c r="G210" t="inlineStr">
        <is>
          <t>g</t>
        </is>
      </c>
      <c r="H210" s="12">
        <f>IFERROR(VLOOKUP(E210,Insumos!$C$5:$G$64,5,FALSE),0)</f>
        <v/>
      </c>
      <c r="I210" s="17">
        <f>F210*H210</f>
        <v/>
      </c>
    </row>
    <row r="211">
      <c r="A211" t="n">
        <v>31</v>
      </c>
      <c r="B211" s="21" t="inlineStr">
        <is>
          <t>Pan de Molde Blanco Clásico para Sandwich con Masa Madre (Pain de Mie)</t>
        </is>
      </c>
      <c r="C211" t="inlineStr">
        <is>
          <t>masa</t>
        </is>
      </c>
      <c r="D211" s="22" t="inlineStr">
        <is>
          <t>500 g Harina de trigo panificable de fuerza media (W 260-280, 12% proteína) (100%)</t>
        </is>
      </c>
      <c r="E211" s="6" t="inlineStr">
        <is>
          <t>Harina panificable de fuerza (W 280-300)</t>
        </is>
      </c>
      <c r="F211" s="16" t="n">
        <v>500</v>
      </c>
      <c r="G211" t="inlineStr">
        <is>
          <t>g</t>
        </is>
      </c>
      <c r="H211" s="12">
        <f>IFERROR(VLOOKUP(E211,Insumos!$C$5:$G$64,5,FALSE),0)</f>
        <v/>
      </c>
      <c r="I211" s="17">
        <f>F211*H211</f>
        <v/>
      </c>
    </row>
    <row r="212">
      <c r="A212" t="n">
        <v>31</v>
      </c>
      <c r="B212" s="21" t="inlineStr">
        <is>
          <t>Pan de Molde Blanco Clásico para Sandwich con Masa Madre (Pain de Mie)</t>
        </is>
      </c>
      <c r="C212" t="inlineStr">
        <is>
          <t>masa</t>
        </is>
      </c>
      <c r="D212" s="22" t="inlineStr">
        <is>
          <t>250 ml Leche entera pasteurizada tibia a 25 °C (50%)</t>
        </is>
      </c>
      <c r="E212" s="6" t="inlineStr">
        <is>
          <t>Leche entera pasteurizada</t>
        </is>
      </c>
      <c r="F212" s="16" t="n">
        <v>250</v>
      </c>
      <c r="G212" t="inlineStr">
        <is>
          <t>ml</t>
        </is>
      </c>
      <c r="H212" s="12">
        <f>IFERROR(VLOOKUP(E212,Insumos!$C$5:$G$64,5,FALSE),0)</f>
        <v/>
      </c>
      <c r="I212" s="17">
        <f>F212*H212</f>
        <v/>
      </c>
    </row>
    <row r="213">
      <c r="A213" t="n">
        <v>31</v>
      </c>
      <c r="B213" s="21" t="inlineStr">
        <is>
          <t>Pan de Molde Blanco Clásico para Sandwich con Masa Madre (Pain de Mie)</t>
        </is>
      </c>
      <c r="C213" t="inlineStr">
        <is>
          <t>masa</t>
        </is>
      </c>
      <c r="D213" s="22" t="inlineStr">
        <is>
          <t>50 ml Agua purificada limpia (10%)</t>
        </is>
      </c>
      <c r="E213" s="6" t="inlineStr">
        <is>
          <t>Agua purificada</t>
        </is>
      </c>
      <c r="F213" s="16" t="n">
        <v>50</v>
      </c>
      <c r="G213" t="inlineStr">
        <is>
          <t>ml</t>
        </is>
      </c>
      <c r="H213" s="12">
        <f>IFERROR(VLOOKUP(E213,Insumos!$C$5:$G$64,5,FALSE),0)</f>
        <v/>
      </c>
      <c r="I213" s="17">
        <f>F213*H213</f>
        <v/>
      </c>
    </row>
    <row r="214">
      <c r="A214" t="n">
        <v>31</v>
      </c>
      <c r="B214" s="21" t="inlineStr">
        <is>
          <t>Pan de Molde Blanco Clásico para Sandwich con Masa Madre (Pain de Mie)</t>
        </is>
      </c>
      <c r="C214" t="inlineStr">
        <is>
          <t>masa</t>
        </is>
      </c>
      <c r="D214" s="22" t="inlineStr">
        <is>
          <t>100 g Masa madre activa al 100% de hidratación (20%)</t>
        </is>
      </c>
      <c r="E214" s="6" t="inlineStr">
        <is>
          <t>Masa madre blanca activa 100% (cultivada)</t>
        </is>
      </c>
      <c r="F214" s="16" t="n">
        <v>100</v>
      </c>
      <c r="G214" t="inlineStr">
        <is>
          <t>g</t>
        </is>
      </c>
      <c r="H214" s="12">
        <f>IFERROR(VLOOKUP(E214,Insumos!$C$5:$G$64,5,FALSE),0)</f>
        <v/>
      </c>
      <c r="I214" s="17">
        <f>F214*H214</f>
        <v/>
      </c>
    </row>
    <row r="215">
      <c r="A215" t="n">
        <v>31</v>
      </c>
      <c r="B215" s="21" t="inlineStr">
        <is>
          <t>Pan de Molde Blanco Clásico para Sandwich con Masa Madre (Pain de Mie)</t>
        </is>
      </c>
      <c r="C215" t="inlineStr">
        <is>
          <t>masa</t>
        </is>
      </c>
      <c r="D215" s="22" t="inlineStr">
        <is>
          <t>50 g Mantequilla sin sal (82% M.G.) pomada a 18 °C (10%)</t>
        </is>
      </c>
      <c r="E215" s="6" t="inlineStr">
        <is>
          <t>Mantequilla sin sal 82% M.G.</t>
        </is>
      </c>
      <c r="F215" s="16" t="n">
        <v>50</v>
      </c>
      <c r="G215" t="inlineStr">
        <is>
          <t>g</t>
        </is>
      </c>
      <c r="H215" s="12">
        <f>IFERROR(VLOOKUP(E215,Insumos!$C$5:$G$64,5,FALSE),0)</f>
        <v/>
      </c>
      <c r="I215" s="17">
        <f>F215*H215</f>
        <v/>
      </c>
    </row>
    <row r="216">
      <c r="A216" t="n">
        <v>31</v>
      </c>
      <c r="B216" s="21" t="inlineStr">
        <is>
          <t>Pan de Molde Blanco Clásico para Sandwich con Masa Madre (Pain de Mie)</t>
        </is>
      </c>
      <c r="C216" t="inlineStr">
        <is>
          <t>masa</t>
        </is>
      </c>
      <c r="D216" s="22" t="inlineStr">
        <is>
          <t>25 g Azúcar blanco refinado o miel (5%)</t>
        </is>
      </c>
      <c r="E216" s="6" t="inlineStr">
        <is>
          <t>Azúcar blanco refinado</t>
        </is>
      </c>
      <c r="F216" s="16" t="n">
        <v>25</v>
      </c>
      <c r="G216" t="inlineStr">
        <is>
          <t>g</t>
        </is>
      </c>
      <c r="H216" s="12">
        <f>IFERROR(VLOOKUP(E216,Insumos!$C$5:$G$64,5,FALSE),0)</f>
        <v/>
      </c>
      <c r="I216" s="17">
        <f>F216*H216</f>
        <v/>
      </c>
    </row>
    <row r="217">
      <c r="A217" t="n">
        <v>31</v>
      </c>
      <c r="B217" s="21" t="inlineStr">
        <is>
          <t>Pan de Molde Blanco Clásico para Sandwich con Masa Madre (Pain de Mie)</t>
        </is>
      </c>
      <c r="C217" t="inlineStr">
        <is>
          <t>masa</t>
        </is>
      </c>
      <c r="D217" s="22" t="inlineStr">
        <is>
          <t>10 g Sal marina fina (2%)</t>
        </is>
      </c>
      <c r="E217" s="6" t="inlineStr">
        <is>
          <t>Sal marina fina no refinada</t>
        </is>
      </c>
      <c r="F217" s="16" t="n">
        <v>10</v>
      </c>
      <c r="G217" t="inlineStr">
        <is>
          <t>g</t>
        </is>
      </c>
      <c r="H217" s="12">
        <f>IFERROR(VLOOKUP(E217,Insumos!$C$5:$G$64,5,FALSE),0)</f>
        <v/>
      </c>
      <c r="I217" s="17">
        <f>F217*H217</f>
        <v/>
      </c>
    </row>
    <row r="218">
      <c r="A218" t="n">
        <v>32</v>
      </c>
      <c r="B218" s="21" t="inlineStr">
        <is>
          <t>Pan de Molde 100% Integral con Miel y Aceite de Oliva</t>
        </is>
      </c>
      <c r="C218" t="inlineStr">
        <is>
          <t>masa</t>
        </is>
      </c>
      <c r="D218" s="22" t="inlineStr">
        <is>
          <t>500 g Harina de trigo 100% integral de molienda a la piedra (T150) (100%)</t>
        </is>
      </c>
      <c r="E218" s="6" t="inlineStr">
        <is>
          <t>Harina de trigo integral de molienda a la piedra</t>
        </is>
      </c>
      <c r="F218" s="16" t="n">
        <v>500</v>
      </c>
      <c r="G218" t="inlineStr">
        <is>
          <t>g</t>
        </is>
      </c>
      <c r="H218" s="12">
        <f>IFERROR(VLOOKUP(E218,Insumos!$C$5:$G$64,5,FALSE),0)</f>
        <v/>
      </c>
      <c r="I218" s="17">
        <f>F218*H218</f>
        <v/>
      </c>
    </row>
    <row r="219">
      <c r="A219" t="n">
        <v>32</v>
      </c>
      <c r="B219" s="21" t="inlineStr">
        <is>
          <t>Pan de Molde 100% Integral con Miel y Aceite de Oliva</t>
        </is>
      </c>
      <c r="C219" t="inlineStr">
        <is>
          <t>masa</t>
        </is>
      </c>
      <c r="D219" s="22" t="inlineStr">
        <is>
          <t>340 ml Agua purificada tibia a 28 °C (315 ml para autólisis + 25 ml para la sal) (68% agua añadida; 75% hidratación total)</t>
        </is>
      </c>
      <c r="E219" s="6" t="inlineStr">
        <is>
          <t>Agua purificada</t>
        </is>
      </c>
      <c r="F219" s="16" t="n">
        <v>340</v>
      </c>
      <c r="G219" t="inlineStr">
        <is>
          <t>ml</t>
        </is>
      </c>
      <c r="H219" s="12">
        <f>IFERROR(VLOOKUP(E219,Insumos!$C$5:$G$64,5,FALSE),0)</f>
        <v/>
      </c>
      <c r="I219" s="17">
        <f>F219*H219</f>
        <v/>
      </c>
    </row>
    <row r="220">
      <c r="A220" t="n">
        <v>32</v>
      </c>
      <c r="B220" s="21" t="inlineStr">
        <is>
          <t>Pan de Molde 100% Integral con Miel y Aceite de Oliva</t>
        </is>
      </c>
      <c r="C220" t="inlineStr">
        <is>
          <t>masa</t>
        </is>
      </c>
      <c r="D220" s="22" t="inlineStr">
        <is>
          <t>100 g Masa madre activa 100% integral (20%)</t>
        </is>
      </c>
      <c r="E220" s="6" t="inlineStr">
        <is>
          <t>Masa madre de centeno o integral 100% (cultivada)</t>
        </is>
      </c>
      <c r="F220" s="16" t="n">
        <v>100</v>
      </c>
      <c r="G220" t="inlineStr">
        <is>
          <t>g</t>
        </is>
      </c>
      <c r="H220" s="12">
        <f>IFERROR(VLOOKUP(E220,Insumos!$C$5:$G$64,5,FALSE),0)</f>
        <v/>
      </c>
      <c r="I220" s="17">
        <f>F220*H220</f>
        <v/>
      </c>
    </row>
    <row r="221">
      <c r="A221" t="n">
        <v>32</v>
      </c>
      <c r="B221" s="21" t="inlineStr">
        <is>
          <t>Pan de Molde 100% Integral con Miel y Aceite de Oliva</t>
        </is>
      </c>
      <c r="C221" t="inlineStr">
        <is>
          <t>masa</t>
        </is>
      </c>
      <c r="D221" s="22" t="inlineStr">
        <is>
          <t>35 ml Aceite de oliva virgen extra (7%)</t>
        </is>
      </c>
      <c r="E221" s="6" t="inlineStr">
        <is>
          <t>Aceite de oliva virgen extra</t>
        </is>
      </c>
      <c r="F221" s="16" t="n">
        <v>35</v>
      </c>
      <c r="G221" t="inlineStr">
        <is>
          <t>ml</t>
        </is>
      </c>
      <c r="H221" s="12">
        <f>IFERROR(VLOOKUP(E221,Insumos!$C$5:$G$64,5,FALSE),0)</f>
        <v/>
      </c>
      <c r="I221" s="17">
        <f>F221*H221</f>
        <v/>
      </c>
    </row>
    <row r="222">
      <c r="A222" t="n">
        <v>32</v>
      </c>
      <c r="B222" s="21" t="inlineStr">
        <is>
          <t>Pan de Molde 100% Integral con Miel y Aceite de Oliva</t>
        </is>
      </c>
      <c r="C222" t="inlineStr">
        <is>
          <t>masa</t>
        </is>
      </c>
      <c r="D222" s="22" t="inlineStr">
        <is>
          <t>30 g Miel pura de abeja (6%, ablanda el salvado y aporta retención húmeda)</t>
        </is>
      </c>
      <c r="E222" s="6" t="inlineStr">
        <is>
          <t>Miel de abeja</t>
        </is>
      </c>
      <c r="F222" s="16" t="n">
        <v>30</v>
      </c>
      <c r="G222" t="inlineStr">
        <is>
          <t>g</t>
        </is>
      </c>
      <c r="H222" s="12">
        <f>IFERROR(VLOOKUP(E222,Insumos!$C$5:$G$64,5,FALSE),0)</f>
        <v/>
      </c>
      <c r="I222" s="17">
        <f>F222*H222</f>
        <v/>
      </c>
    </row>
    <row r="223">
      <c r="A223" t="n">
        <v>32</v>
      </c>
      <c r="B223" s="21" t="inlineStr">
        <is>
          <t>Pan de Molde 100% Integral con Miel y Aceite de Oliva</t>
        </is>
      </c>
      <c r="C223" t="inlineStr">
        <is>
          <t>masa</t>
        </is>
      </c>
      <c r="D223" s="22" t="inlineStr">
        <is>
          <t>10 g Sal marina fina (2%)</t>
        </is>
      </c>
      <c r="E223" s="6" t="inlineStr">
        <is>
          <t>Sal marina fina no refinada</t>
        </is>
      </c>
      <c r="F223" s="16" t="n">
        <v>10</v>
      </c>
      <c r="G223" t="inlineStr">
        <is>
          <t>g</t>
        </is>
      </c>
      <c r="H223" s="12">
        <f>IFERROR(VLOOKUP(E223,Insumos!$C$5:$G$64,5,FALSE),0)</f>
        <v/>
      </c>
      <c r="I223" s="17">
        <f>F223*H223</f>
        <v/>
      </c>
    </row>
    <row r="224">
      <c r="A224" t="n">
        <v>32</v>
      </c>
      <c r="B224" s="21" t="inlineStr">
        <is>
          <t>Pan de Molde 100% Integral con Miel y Aceite de Oliva</t>
        </is>
      </c>
      <c r="C224" t="inlineStr">
        <is>
          <t>masa</t>
        </is>
      </c>
      <c r="D224" s="22" t="inlineStr">
        <is>
          <t>Copos de avena fina para espolvorear la superficie</t>
        </is>
      </c>
      <c r="E224" s="6" t="inlineStr">
        <is>
          <t>Copos de avena</t>
        </is>
      </c>
      <c r="F224" s="16" t="n">
        <v>1</v>
      </c>
      <c r="G224" t="inlineStr">
        <is>
          <t>g</t>
        </is>
      </c>
      <c r="H224" s="12">
        <f>IFERROR(VLOOKUP(E224,Insumos!$C$5:$G$64,5,FALSE),0)</f>
        <v/>
      </c>
      <c r="I224" s="17">
        <f>F224*H224</f>
        <v/>
      </c>
    </row>
    <row r="225">
      <c r="A225" t="n">
        <v>33</v>
      </c>
      <c r="B225" s="21" t="inlineStr">
        <is>
          <t>Brioche Francés Tradicional con Mantequilla 50% y Masa Madre Dulce</t>
        </is>
      </c>
      <c r="C225" t="inlineStr">
        <is>
          <t>masa</t>
        </is>
      </c>
      <c r="D225" s="22" t="inlineStr">
        <is>
          <t>500 g Harina de trigo de gran fuerza (W 340-360, 14% proteína, P/L 0.6) (100%)</t>
        </is>
      </c>
      <c r="E225" s="6" t="inlineStr">
        <is>
          <t>Harina de gran fuerza (W 350+) o de panettone</t>
        </is>
      </c>
      <c r="F225" s="16" t="n">
        <v>500</v>
      </c>
      <c r="G225" t="inlineStr">
        <is>
          <t>g</t>
        </is>
      </c>
      <c r="H225" s="12">
        <f>IFERROR(VLOOKUP(E225,Insumos!$C$5:$G$64,5,FALSE),0)</f>
        <v/>
      </c>
      <c r="I225" s="17">
        <f>F225*H225</f>
        <v/>
      </c>
    </row>
    <row r="226">
      <c r="A226" t="n">
        <v>33</v>
      </c>
      <c r="B226" s="21" t="inlineStr">
        <is>
          <t>Brioche Francés Tradicional con Mantequilla 50% y Masa Madre Dulce</t>
        </is>
      </c>
      <c r="C226" t="inlineStr">
        <is>
          <t>masa</t>
        </is>
      </c>
      <c r="D226" s="22" t="inlineStr">
        <is>
          <t>250 g Mantequilla sin sal de alta calidad (82% M.G.) fría pero maleable a 14 °C, cortada en cubos de 1.5 cm (50%)</t>
        </is>
      </c>
      <c r="E226" s="6" t="inlineStr">
        <is>
          <t>Mantequilla sin sal 82% M.G.</t>
        </is>
      </c>
      <c r="F226" s="16" t="n">
        <v>250</v>
      </c>
      <c r="G226" t="inlineStr">
        <is>
          <t>g</t>
        </is>
      </c>
      <c r="H226" s="12">
        <f>IFERROR(VLOOKUP(E226,Insumos!$C$5:$G$64,5,FALSE),0)</f>
        <v/>
      </c>
      <c r="I226" s="17">
        <f>F226*H226</f>
        <v/>
      </c>
    </row>
    <row r="227">
      <c r="A227" t="n">
        <v>33</v>
      </c>
      <c r="B227" s="21" t="inlineStr">
        <is>
          <t>Brioche Francés Tradicional con Mantequilla 50% y Masa Madre Dulce</t>
        </is>
      </c>
      <c r="C227" t="inlineStr">
        <is>
          <t>masa</t>
        </is>
      </c>
      <c r="D227" s="22" t="inlineStr">
        <is>
          <t>250 g Huevos camperos enteros fríos a 4 °C (aprox. 5 huevos medianos) (50%)</t>
        </is>
      </c>
      <c r="E227" s="6" t="inlineStr">
        <is>
          <t>Huevo campero</t>
        </is>
      </c>
      <c r="F227" s="16" t="n">
        <v>4.5</v>
      </c>
      <c r="G227" t="inlineStr">
        <is>
          <t>pz</t>
        </is>
      </c>
      <c r="H227" s="12">
        <f>IFERROR(VLOOKUP(E227,Insumos!$C$5:$G$64,5,FALSE),0)</f>
        <v/>
      </c>
      <c r="I227" s="17">
        <f>F227*H227</f>
        <v/>
      </c>
    </row>
    <row r="228">
      <c r="A228" t="n">
        <v>33</v>
      </c>
      <c r="B228" s="21" t="inlineStr">
        <is>
          <t>Brioche Francés Tradicional con Mantequilla 50% y Masa Madre Dulce</t>
        </is>
      </c>
      <c r="C228" t="inlineStr">
        <is>
          <t>masa</t>
        </is>
      </c>
      <c r="D228" s="22" t="inlineStr">
        <is>
          <t>125 g Masa madre activa dulce al 100% de hidratación (25%)</t>
        </is>
      </c>
      <c r="E228" s="6" t="inlineStr">
        <is>
          <t>Masa madre blanca activa 100% (cultivada)</t>
        </is>
      </c>
      <c r="F228" s="16" t="n">
        <v>125</v>
      </c>
      <c r="G228" t="inlineStr">
        <is>
          <t>g</t>
        </is>
      </c>
      <c r="H228" s="12">
        <f>IFERROR(VLOOKUP(E228,Insumos!$C$5:$G$64,5,FALSE),0)</f>
        <v/>
      </c>
      <c r="I228" s="17">
        <f>F228*H228</f>
        <v/>
      </c>
    </row>
    <row r="229">
      <c r="A229" t="n">
        <v>33</v>
      </c>
      <c r="B229" s="21" t="inlineStr">
        <is>
          <t>Brioche Francés Tradicional con Mantequilla 50% y Masa Madre Dulce</t>
        </is>
      </c>
      <c r="C229" t="inlineStr">
        <is>
          <t>masa</t>
        </is>
      </c>
      <c r="D229" s="22" t="inlineStr">
        <is>
          <t>75 g Azúcar blanco refinado fino (15%)</t>
        </is>
      </c>
      <c r="E229" s="6" t="inlineStr">
        <is>
          <t>Azúcar blanco refinado</t>
        </is>
      </c>
      <c r="F229" s="16" t="n">
        <v>75</v>
      </c>
      <c r="G229" t="inlineStr">
        <is>
          <t>g</t>
        </is>
      </c>
      <c r="H229" s="12">
        <f>IFERROR(VLOOKUP(E229,Insumos!$C$5:$G$64,5,FALSE),0)</f>
        <v/>
      </c>
      <c r="I229" s="17">
        <f>F229*H229</f>
        <v/>
      </c>
    </row>
    <row r="230">
      <c r="A230" t="n">
        <v>33</v>
      </c>
      <c r="B230" s="21" t="inlineStr">
        <is>
          <t>Brioche Francés Tradicional con Mantequilla 50% y Masa Madre Dulce</t>
        </is>
      </c>
      <c r="C230" t="inlineStr">
        <is>
          <t>masa</t>
        </is>
      </c>
      <c r="D230" s="22" t="inlineStr">
        <is>
          <t>11 g Sal marina fina (2.2%)</t>
        </is>
      </c>
      <c r="E230" s="6" t="inlineStr">
        <is>
          <t>Sal marina fina no refinada</t>
        </is>
      </c>
      <c r="F230" s="16" t="n">
        <v>11</v>
      </c>
      <c r="G230" t="inlineStr">
        <is>
          <t>g</t>
        </is>
      </c>
      <c r="H230" s="12">
        <f>IFERROR(VLOOKUP(E230,Insumos!$C$5:$G$64,5,FALSE),0)</f>
        <v/>
      </c>
      <c r="I230" s="17">
        <f>F230*H230</f>
        <v/>
      </c>
    </row>
    <row r="231">
      <c r="A231" t="n">
        <v>33</v>
      </c>
      <c r="B231" s="21" t="inlineStr">
        <is>
          <t>Brioche Francés Tradicional con Mantequilla 50% y Masa Madre Dulce</t>
        </is>
      </c>
      <c r="C231" t="inlineStr">
        <is>
          <t>masa</t>
        </is>
      </c>
      <c r="D231" s="22" t="inlineStr">
        <is>
          <t>5 ml Extracto puro de vainilla</t>
        </is>
      </c>
      <c r="E231" s="6" t="inlineStr">
        <is>
          <t>Extracto puro de vainilla</t>
        </is>
      </c>
      <c r="F231" s="16" t="n">
        <v>5</v>
      </c>
      <c r="G231" t="inlineStr">
        <is>
          <t>ml</t>
        </is>
      </c>
      <c r="H231" s="12">
        <f>IFERROR(VLOOKUP(E231,Insumos!$C$5:$G$64,5,FALSE),0)</f>
        <v/>
      </c>
      <c r="I231" s="17">
        <f>F231*H231</f>
        <v/>
      </c>
    </row>
    <row r="232">
      <c r="A232" t="n">
        <v>33</v>
      </c>
      <c r="B232" s="21" t="inlineStr">
        <is>
          <t>Brioche Francés Tradicional con Mantequilla 50% y Masa Madre Dulce</t>
        </is>
      </c>
      <c r="C232" t="inlineStr">
        <is>
          <t>acabado</t>
        </is>
      </c>
      <c r="D232" s="22" t="inlineStr">
        <is>
          <t>1 Yema de huevo batida con 10 ml de nata líquida y 1 pizca de sal</t>
        </is>
      </c>
      <c r="E232" s="6" t="inlineStr">
        <is>
          <t>Yema de huevo</t>
        </is>
      </c>
      <c r="F232" s="16" t="n">
        <v>18</v>
      </c>
      <c r="G232" t="inlineStr">
        <is>
          <t>g</t>
        </is>
      </c>
      <c r="H232" s="12">
        <f>IFERROR(VLOOKUP(E232,Insumos!$C$5:$G$64,5,FALSE),0)</f>
        <v/>
      </c>
      <c r="I232" s="17">
        <f>F232*H232</f>
        <v/>
      </c>
    </row>
    <row r="233">
      <c r="A233" t="n">
        <v>34</v>
      </c>
      <c r="B233" s="21" t="inlineStr">
        <is>
          <t>Pan de Molde Japonés Hokkaido (Shokupan con Tangzhong y Masa Madre)</t>
        </is>
      </c>
      <c r="C233" t="inlineStr">
        <is>
          <t>previa</t>
        </is>
      </c>
      <c r="D233" s="22" t="inlineStr">
        <is>
          <t>40 g Harina de trigo de gran fuerza</t>
        </is>
      </c>
      <c r="E233" s="6" t="inlineStr">
        <is>
          <t>Harina de gran fuerza (W 350+) o de panettone</t>
        </is>
      </c>
      <c r="F233" s="16" t="n">
        <v>40</v>
      </c>
      <c r="G233" t="inlineStr">
        <is>
          <t>g</t>
        </is>
      </c>
      <c r="H233" s="12">
        <f>IFERROR(VLOOKUP(E233,Insumos!$C$5:$G$64,5,FALSE),0)</f>
        <v/>
      </c>
      <c r="I233" s="17">
        <f>F233*H233</f>
        <v/>
      </c>
    </row>
    <row r="234">
      <c r="A234" t="n">
        <v>34</v>
      </c>
      <c r="B234" s="21" t="inlineStr">
        <is>
          <t>Pan de Molde Japonés Hokkaido (Shokupan con Tangzhong y Masa Madre)</t>
        </is>
      </c>
      <c r="C234" t="inlineStr">
        <is>
          <t>previa</t>
        </is>
      </c>
      <c r="D234" s="22" t="inlineStr">
        <is>
          <t>200 ml Agua purificada limpia (o leche entera)</t>
        </is>
      </c>
      <c r="E234" s="6" t="inlineStr">
        <is>
          <t>Agua purificada</t>
        </is>
      </c>
      <c r="F234" s="16" t="n">
        <v>200</v>
      </c>
      <c r="G234" t="inlineStr">
        <is>
          <t>ml</t>
        </is>
      </c>
      <c r="H234" s="12">
        <f>IFERROR(VLOOKUP(E234,Insumos!$C$5:$G$64,5,FALSE),0)</f>
        <v/>
      </c>
      <c r="I234" s="17">
        <f>F234*H234</f>
        <v/>
      </c>
    </row>
    <row r="235">
      <c r="A235" t="n">
        <v>34</v>
      </c>
      <c r="B235" s="21" t="inlineStr">
        <is>
          <t>Pan de Molde Japonés Hokkaido (Shokupan con Tangzhong y Masa Madre)</t>
        </is>
      </c>
      <c r="C235" t="inlineStr">
        <is>
          <t>masa</t>
        </is>
      </c>
      <c r="D235" s="22" t="inlineStr">
        <is>
          <t>460 g Harina de trigo de gran fuerza (W 320-340, 13.5% proteína)</t>
        </is>
      </c>
      <c r="E235" s="6" t="inlineStr">
        <is>
          <t>Harina de gran fuerza (W 350+) o de panettone</t>
        </is>
      </c>
      <c r="F235" s="16" t="n">
        <v>460</v>
      </c>
      <c r="G235" t="inlineStr">
        <is>
          <t>g</t>
        </is>
      </c>
      <c r="H235" s="12">
        <f>IFERROR(VLOOKUP(E235,Insumos!$C$5:$G$64,5,FALSE),0)</f>
        <v/>
      </c>
      <c r="I235" s="17">
        <f>F235*H235</f>
        <v/>
      </c>
    </row>
    <row r="236">
      <c r="A236" t="n">
        <v>34</v>
      </c>
      <c r="B236" s="21" t="inlineStr">
        <is>
          <t>Pan de Molde Japonés Hokkaido (Shokupan con Tangzhong y Masa Madre)</t>
        </is>
      </c>
      <c r="C236" t="inlineStr">
        <is>
          <t>masa</t>
        </is>
      </c>
      <c r="D236" s="22" t="inlineStr">
        <is>
          <t>120 ml Leche entera pasteurizada fría</t>
        </is>
      </c>
      <c r="E236" s="6" t="inlineStr">
        <is>
          <t>Leche entera pasteurizada</t>
        </is>
      </c>
      <c r="F236" s="16" t="n">
        <v>120</v>
      </c>
      <c r="G236" t="inlineStr">
        <is>
          <t>ml</t>
        </is>
      </c>
      <c r="H236" s="12">
        <f>IFERROR(VLOOKUP(E236,Insumos!$C$5:$G$64,5,FALSE),0)</f>
        <v/>
      </c>
      <c r="I236" s="17">
        <f>F236*H236</f>
        <v/>
      </c>
    </row>
    <row r="237">
      <c r="A237" t="n">
        <v>34</v>
      </c>
      <c r="B237" s="21" t="inlineStr">
        <is>
          <t>Pan de Molde Japonés Hokkaido (Shokupan con Tangzhong y Masa Madre)</t>
        </is>
      </c>
      <c r="C237" t="inlineStr">
        <is>
          <t>masa</t>
        </is>
      </c>
      <c r="D237" s="22" t="inlineStr">
        <is>
          <t>100 g Masa madre activa al 100% de hidratación (20%)</t>
        </is>
      </c>
      <c r="E237" s="6" t="inlineStr">
        <is>
          <t>Masa madre blanca activa 100% (cultivada)</t>
        </is>
      </c>
      <c r="F237" s="16" t="n">
        <v>100</v>
      </c>
      <c r="G237" t="inlineStr">
        <is>
          <t>g</t>
        </is>
      </c>
      <c r="H237" s="12">
        <f>IFERROR(VLOOKUP(E237,Insumos!$C$5:$G$64,5,FALSE),0)</f>
        <v/>
      </c>
      <c r="I237" s="17">
        <f>F237*H237</f>
        <v/>
      </c>
    </row>
    <row r="238">
      <c r="A238" t="n">
        <v>34</v>
      </c>
      <c r="B238" s="21" t="inlineStr">
        <is>
          <t>Pan de Molde Japonés Hokkaido (Shokupan con Tangzhong y Masa Madre)</t>
        </is>
      </c>
      <c r="C238" t="inlineStr">
        <is>
          <t>masa</t>
        </is>
      </c>
      <c r="D238" s="22" t="inlineStr">
        <is>
          <t>1 Huevo campero entero frío (50 g)</t>
        </is>
      </c>
      <c r="E238" s="6" t="inlineStr">
        <is>
          <t>Huevo campero</t>
        </is>
      </c>
      <c r="F238" s="16" t="n">
        <v>1</v>
      </c>
      <c r="G238" t="inlineStr">
        <is>
          <t>pz</t>
        </is>
      </c>
      <c r="H238" s="12">
        <f>IFERROR(VLOOKUP(E238,Insumos!$C$5:$G$64,5,FALSE),0)</f>
        <v/>
      </c>
      <c r="I238" s="17">
        <f>F238*H238</f>
        <v/>
      </c>
    </row>
    <row r="239">
      <c r="A239" t="n">
        <v>34</v>
      </c>
      <c r="B239" s="21" t="inlineStr">
        <is>
          <t>Pan de Molde Japonés Hokkaido (Shokupan con Tangzhong y Masa Madre)</t>
        </is>
      </c>
      <c r="C239" t="inlineStr">
        <is>
          <t>masa</t>
        </is>
      </c>
      <c r="D239" s="22" t="inlineStr">
        <is>
          <t>50 g Mantequilla sin sal (82% M.G.) pomada a 18 °C (10%)</t>
        </is>
      </c>
      <c r="E239" s="6" t="inlineStr">
        <is>
          <t>Mantequilla sin sal 82% M.G.</t>
        </is>
      </c>
      <c r="F239" s="16" t="n">
        <v>50</v>
      </c>
      <c r="G239" t="inlineStr">
        <is>
          <t>g</t>
        </is>
      </c>
      <c r="H239" s="12">
        <f>IFERROR(VLOOKUP(E239,Insumos!$C$5:$G$64,5,FALSE),0)</f>
        <v/>
      </c>
      <c r="I239" s="17">
        <f>F239*H239</f>
        <v/>
      </c>
    </row>
    <row r="240">
      <c r="A240" t="n">
        <v>34</v>
      </c>
      <c r="B240" s="21" t="inlineStr">
        <is>
          <t>Pan de Molde Japonés Hokkaido (Shokupan con Tangzhong y Masa Madre)</t>
        </is>
      </c>
      <c r="C240" t="inlineStr">
        <is>
          <t>masa</t>
        </is>
      </c>
      <c r="D240" s="22" t="inlineStr">
        <is>
          <t>40 g Leche en polvo entera o desnatada (8%, suavidad láctica)</t>
        </is>
      </c>
      <c r="E240" s="6" t="inlineStr">
        <is>
          <t>Leche en polvo entera</t>
        </is>
      </c>
      <c r="F240" s="16" t="n">
        <v>40</v>
      </c>
      <c r="G240" t="inlineStr">
        <is>
          <t>g</t>
        </is>
      </c>
      <c r="H240" s="12">
        <f>IFERROR(VLOOKUP(E240,Insumos!$C$5:$G$64,5,FALSE),0)</f>
        <v/>
      </c>
      <c r="I240" s="17">
        <f>F240*H240</f>
        <v/>
      </c>
    </row>
    <row r="241">
      <c r="A241" t="n">
        <v>34</v>
      </c>
      <c r="B241" s="21" t="inlineStr">
        <is>
          <t>Pan de Molde Japonés Hokkaido (Shokupan con Tangzhong y Masa Madre)</t>
        </is>
      </c>
      <c r="C241" t="inlineStr">
        <is>
          <t>masa</t>
        </is>
      </c>
      <c r="D241" s="22" t="inlineStr">
        <is>
          <t>35 g Azúcar blanco refinado o leche condensada (7%)</t>
        </is>
      </c>
      <c r="E241" s="6" t="inlineStr">
        <is>
          <t>Azúcar blanco refinado</t>
        </is>
      </c>
      <c r="F241" s="16" t="n">
        <v>35</v>
      </c>
      <c r="G241" t="inlineStr">
        <is>
          <t>g</t>
        </is>
      </c>
      <c r="H241" s="12">
        <f>IFERROR(VLOOKUP(E241,Insumos!$C$5:$G$64,5,FALSE),0)</f>
        <v/>
      </c>
      <c r="I241" s="17">
        <f>F241*H241</f>
        <v/>
      </c>
    </row>
    <row r="242">
      <c r="A242" t="n">
        <v>34</v>
      </c>
      <c r="B242" s="21" t="inlineStr">
        <is>
          <t>Pan de Molde Japonés Hokkaido (Shokupan con Tangzhong y Masa Madre)</t>
        </is>
      </c>
      <c r="C242" t="inlineStr">
        <is>
          <t>masa</t>
        </is>
      </c>
      <c r="D242" s="22" t="inlineStr">
        <is>
          <t>10 g Sal marina fina (2%)</t>
        </is>
      </c>
      <c r="E242" s="6" t="inlineStr">
        <is>
          <t>Sal marina fina no refinada</t>
        </is>
      </c>
      <c r="F242" s="16" t="n">
        <v>10</v>
      </c>
      <c r="G242" t="inlineStr">
        <is>
          <t>g</t>
        </is>
      </c>
      <c r="H242" s="12">
        <f>IFERROR(VLOOKUP(E242,Insumos!$C$5:$G$64,5,FALSE),0)</f>
        <v/>
      </c>
      <c r="I242" s="17">
        <f>F242*H242</f>
        <v/>
      </c>
    </row>
    <row r="243">
      <c r="A243" t="n">
        <v>35</v>
      </c>
      <c r="B243" s="21" t="inlineStr">
        <is>
          <t>Bollos Rústicos para Hamburguesa de Masa Madre con Semillas de Amapola</t>
        </is>
      </c>
      <c r="C243" t="inlineStr">
        <is>
          <t>masa</t>
        </is>
      </c>
      <c r="D243" s="22" t="inlineStr">
        <is>
          <t>450 g Harina de trigo panificable de fuerza (W 280, 12.5% proteína) (90%)</t>
        </is>
      </c>
      <c r="E243" s="6" t="inlineStr">
        <is>
          <t>Harina panificable de fuerza (W 280-300)</t>
        </is>
      </c>
      <c r="F243" s="16" t="n">
        <v>450</v>
      </c>
      <c r="G243" t="inlineStr">
        <is>
          <t>g</t>
        </is>
      </c>
      <c r="H243" s="12">
        <f>IFERROR(VLOOKUP(E243,Insumos!$C$5:$G$64,5,FALSE),0)</f>
        <v/>
      </c>
      <c r="I243" s="17">
        <f>F243*H243</f>
        <v/>
      </c>
    </row>
    <row r="244">
      <c r="A244" t="n">
        <v>35</v>
      </c>
      <c r="B244" s="21" t="inlineStr">
        <is>
          <t>Bollos Rústicos para Hamburguesa de Masa Madre con Semillas de Amapola</t>
        </is>
      </c>
      <c r="C244" t="inlineStr">
        <is>
          <t>masa</t>
        </is>
      </c>
      <c r="D244" s="22" t="inlineStr">
        <is>
          <t>50 g Harina de trigo integral de molienda fina (10%)</t>
        </is>
      </c>
      <c r="E244" s="6" t="inlineStr">
        <is>
          <t>Harina de trigo integral de molienda a la piedra</t>
        </is>
      </c>
      <c r="F244" s="16" t="n">
        <v>50</v>
      </c>
      <c r="G244" t="inlineStr">
        <is>
          <t>g</t>
        </is>
      </c>
      <c r="H244" s="12">
        <f>IFERROR(VLOOKUP(E244,Insumos!$C$5:$G$64,5,FALSE),0)</f>
        <v/>
      </c>
      <c r="I244" s="17">
        <f>F244*H244</f>
        <v/>
      </c>
    </row>
    <row r="245">
      <c r="A245" t="n">
        <v>35</v>
      </c>
      <c r="B245" s="21" t="inlineStr">
        <is>
          <t>Bollos Rústicos para Hamburguesa de Masa Madre con Semillas de Amapola</t>
        </is>
      </c>
      <c r="C245" t="inlineStr">
        <is>
          <t>masa</t>
        </is>
      </c>
      <c r="D245" s="22" t="inlineStr">
        <is>
          <t>200 ml Leche entera pasteurizada tibia a 25 °C (40%)</t>
        </is>
      </c>
      <c r="E245" s="6" t="inlineStr">
        <is>
          <t>Leche entera pasteurizada</t>
        </is>
      </c>
      <c r="F245" s="16" t="n">
        <v>200</v>
      </c>
      <c r="G245" t="inlineStr">
        <is>
          <t>ml</t>
        </is>
      </c>
      <c r="H245" s="12">
        <f>IFERROR(VLOOKUP(E245,Insumos!$C$5:$G$64,5,FALSE),0)</f>
        <v/>
      </c>
      <c r="I245" s="17">
        <f>F245*H245</f>
        <v/>
      </c>
    </row>
    <row r="246">
      <c r="A246" t="n">
        <v>35</v>
      </c>
      <c r="B246" s="21" t="inlineStr">
        <is>
          <t>Bollos Rústicos para Hamburguesa de Masa Madre con Semillas de Amapola</t>
        </is>
      </c>
      <c r="C246" t="inlineStr">
        <is>
          <t>masa</t>
        </is>
      </c>
      <c r="D246" s="22" t="inlineStr">
        <is>
          <t>60 ml Agua purificada limpia (12%)</t>
        </is>
      </c>
      <c r="E246" s="6" t="inlineStr">
        <is>
          <t>Agua purificada</t>
        </is>
      </c>
      <c r="F246" s="16" t="n">
        <v>60</v>
      </c>
      <c r="G246" t="inlineStr">
        <is>
          <t>ml</t>
        </is>
      </c>
      <c r="H246" s="12">
        <f>IFERROR(VLOOKUP(E246,Insumos!$C$5:$G$64,5,FALSE),0)</f>
        <v/>
      </c>
      <c r="I246" s="17">
        <f>F246*H246</f>
        <v/>
      </c>
    </row>
    <row r="247">
      <c r="A247" t="n">
        <v>35</v>
      </c>
      <c r="B247" s="21" t="inlineStr">
        <is>
          <t>Bollos Rústicos para Hamburguesa de Masa Madre con Semillas de Amapola</t>
        </is>
      </c>
      <c r="C247" t="inlineStr">
        <is>
          <t>masa</t>
        </is>
      </c>
      <c r="D247" s="22" t="inlineStr">
        <is>
          <t>100 g Masa madre activa al 100% de hidratación (20%)</t>
        </is>
      </c>
      <c r="E247" s="6" t="inlineStr">
        <is>
          <t>Masa madre blanca activa 100% (cultivada)</t>
        </is>
      </c>
      <c r="F247" s="16" t="n">
        <v>100</v>
      </c>
      <c r="G247" t="inlineStr">
        <is>
          <t>g</t>
        </is>
      </c>
      <c r="H247" s="12">
        <f>IFERROR(VLOOKUP(E247,Insumos!$C$5:$G$64,5,FALSE),0)</f>
        <v/>
      </c>
      <c r="I247" s="17">
        <f>F247*H247</f>
        <v/>
      </c>
    </row>
    <row r="248">
      <c r="A248" t="n">
        <v>35</v>
      </c>
      <c r="B248" s="21" t="inlineStr">
        <is>
          <t>Bollos Rústicos para Hamburguesa de Masa Madre con Semillas de Amapola</t>
        </is>
      </c>
      <c r="C248" t="inlineStr">
        <is>
          <t>masa</t>
        </is>
      </c>
      <c r="D248" s="22" t="inlineStr">
        <is>
          <t>1 Huevo campero entero (50 g)</t>
        </is>
      </c>
      <c r="E248" s="6" t="inlineStr">
        <is>
          <t>Huevo campero</t>
        </is>
      </c>
      <c r="F248" s="16" t="n">
        <v>1</v>
      </c>
      <c r="G248" t="inlineStr">
        <is>
          <t>pz</t>
        </is>
      </c>
      <c r="H248" s="12">
        <f>IFERROR(VLOOKUP(E248,Insumos!$C$5:$G$64,5,FALSE),0)</f>
        <v/>
      </c>
      <c r="I248" s="17">
        <f>F248*H248</f>
        <v/>
      </c>
    </row>
    <row r="249">
      <c r="A249" t="n">
        <v>35</v>
      </c>
      <c r="B249" s="21" t="inlineStr">
        <is>
          <t>Bollos Rústicos para Hamburguesa de Masa Madre con Semillas de Amapola</t>
        </is>
      </c>
      <c r="C249" t="inlineStr">
        <is>
          <t>masa</t>
        </is>
      </c>
      <c r="D249" s="22" t="inlineStr">
        <is>
          <t>45 g Mantequilla sin sal (82% M.G.) pomada a 18 °C (9%)</t>
        </is>
      </c>
      <c r="E249" s="6" t="inlineStr">
        <is>
          <t>Mantequilla sin sal 82% M.G.</t>
        </is>
      </c>
      <c r="F249" s="16" t="n">
        <v>45</v>
      </c>
      <c r="G249" t="inlineStr">
        <is>
          <t>g</t>
        </is>
      </c>
      <c r="H249" s="12">
        <f>IFERROR(VLOOKUP(E249,Insumos!$C$5:$G$64,5,FALSE),0)</f>
        <v/>
      </c>
      <c r="I249" s="17">
        <f>F249*H249</f>
        <v/>
      </c>
    </row>
    <row r="250">
      <c r="A250" t="n">
        <v>35</v>
      </c>
      <c r="B250" s="21" t="inlineStr">
        <is>
          <t>Bollos Rústicos para Hamburguesa de Masa Madre con Semillas de Amapola</t>
        </is>
      </c>
      <c r="C250" t="inlineStr">
        <is>
          <t>masa</t>
        </is>
      </c>
      <c r="D250" s="22" t="inlineStr">
        <is>
          <t>25 g Azúcar blanco refinado o miel (5%)</t>
        </is>
      </c>
      <c r="E250" s="6" t="inlineStr">
        <is>
          <t>Azúcar blanco refinado</t>
        </is>
      </c>
      <c r="F250" s="16" t="n">
        <v>25</v>
      </c>
      <c r="G250" t="inlineStr">
        <is>
          <t>g</t>
        </is>
      </c>
      <c r="H250" s="12">
        <f>IFERROR(VLOOKUP(E250,Insumos!$C$5:$G$64,5,FALSE),0)</f>
        <v/>
      </c>
      <c r="I250" s="17">
        <f>F250*H250</f>
        <v/>
      </c>
    </row>
    <row r="251">
      <c r="A251" t="n">
        <v>35</v>
      </c>
      <c r="B251" s="21" t="inlineStr">
        <is>
          <t>Bollos Rústicos para Hamburguesa de Masa Madre con Semillas de Amapola</t>
        </is>
      </c>
      <c r="C251" t="inlineStr">
        <is>
          <t>masa</t>
        </is>
      </c>
      <c r="D251" s="22" t="inlineStr">
        <is>
          <t>10 g Sal marina fina (2%)</t>
        </is>
      </c>
      <c r="E251" s="6" t="inlineStr">
        <is>
          <t>Sal marina fina no refinada</t>
        </is>
      </c>
      <c r="F251" s="16" t="n">
        <v>10</v>
      </c>
      <c r="G251" t="inlineStr">
        <is>
          <t>g</t>
        </is>
      </c>
      <c r="H251" s="12">
        <f>IFERROR(VLOOKUP(E251,Insumos!$C$5:$G$64,5,FALSE),0)</f>
        <v/>
      </c>
      <c r="I251" s="17">
        <f>F251*H251</f>
        <v/>
      </c>
    </row>
    <row r="252">
      <c r="A252" t="n">
        <v>35</v>
      </c>
      <c r="B252" s="21" t="inlineStr">
        <is>
          <t>Bollos Rústicos para Hamburguesa de Masa Madre con Semillas de Amapola</t>
        </is>
      </c>
      <c r="C252" t="inlineStr">
        <is>
          <t>acabado</t>
        </is>
      </c>
      <c r="D252" s="22" t="inlineStr">
        <is>
          <t>1 Huevo batido con 10 ml de leche y 1 pizca de sal</t>
        </is>
      </c>
      <c r="E252" s="6" t="inlineStr">
        <is>
          <t>Huevo campero</t>
        </is>
      </c>
      <c r="F252" s="16" t="n">
        <v>1</v>
      </c>
      <c r="G252" t="inlineStr">
        <is>
          <t>pz</t>
        </is>
      </c>
      <c r="H252" s="12">
        <f>IFERROR(VLOOKUP(E252,Insumos!$C$5:$G$64,5,FALSE),0)</f>
        <v/>
      </c>
      <c r="I252" s="17">
        <f>F252*H252</f>
        <v/>
      </c>
    </row>
    <row r="253">
      <c r="A253" t="n">
        <v>35</v>
      </c>
      <c r="B253" s="21" t="inlineStr">
        <is>
          <t>Bollos Rústicos para Hamburguesa de Masa Madre con Semillas de Amapola</t>
        </is>
      </c>
      <c r="C253" t="inlineStr">
        <is>
          <t>acabado</t>
        </is>
      </c>
      <c r="D253" s="22" t="inlineStr">
        <is>
          <t>30 g Semillas de amapola negra (o mezcla con sésamo blanco)</t>
        </is>
      </c>
      <c r="E253" s="6" t="inlineStr">
        <is>
          <t>Semilla de amapola</t>
        </is>
      </c>
      <c r="F253" s="16" t="n">
        <v>30</v>
      </c>
      <c r="G253" t="inlineStr">
        <is>
          <t>g</t>
        </is>
      </c>
      <c r="H253" s="12">
        <f>IFERROR(VLOOKUP(E253,Insumos!$C$5:$G$64,5,FALSE),0)</f>
        <v/>
      </c>
      <c r="I253" s="17">
        <f>F253*H253</f>
        <v/>
      </c>
    </row>
    <row r="254">
      <c r="A254" t="n">
        <v>36</v>
      </c>
      <c r="B254" s="21" t="inlineStr">
        <is>
          <t>Trenza Jalá Tradicional Judía (Challah 100% Sourdough)</t>
        </is>
      </c>
      <c r="C254" t="inlineStr">
        <is>
          <t>masa</t>
        </is>
      </c>
      <c r="D254" s="22" t="inlineStr">
        <is>
          <t>450 g Harina de trigo panificable de fuerza media (W 260-280, 12% proteína) (90%)</t>
        </is>
      </c>
      <c r="E254" s="6" t="inlineStr">
        <is>
          <t>Harina panificable de fuerza (W 280-300)</t>
        </is>
      </c>
      <c r="F254" s="16" t="n">
        <v>450</v>
      </c>
      <c r="G254" t="inlineStr">
        <is>
          <t>g</t>
        </is>
      </c>
      <c r="H254" s="12">
        <f>IFERROR(VLOOKUP(E254,Insumos!$C$5:$G$64,5,FALSE),0)</f>
        <v/>
      </c>
      <c r="I254" s="17">
        <f>F254*H254</f>
        <v/>
      </c>
    </row>
    <row r="255">
      <c r="A255" t="n">
        <v>36</v>
      </c>
      <c r="B255" s="21" t="inlineStr">
        <is>
          <t>Trenza Jalá Tradicional Judía (Challah 100% Sourdough)</t>
        </is>
      </c>
      <c r="C255" t="inlineStr">
        <is>
          <t>masa</t>
        </is>
      </c>
      <c r="D255" s="22" t="inlineStr">
        <is>
          <t>50 g Harina de trigo integral blanca o T80 (10%)</t>
        </is>
      </c>
      <c r="E255" s="6" t="inlineStr">
        <is>
          <t>Harina semi-integral T80 o T110</t>
        </is>
      </c>
      <c r="F255" s="16" t="n">
        <v>50</v>
      </c>
      <c r="G255" t="inlineStr">
        <is>
          <t>g</t>
        </is>
      </c>
      <c r="H255" s="12">
        <f>IFERROR(VLOOKUP(E255,Insumos!$C$5:$G$64,5,FALSE),0)</f>
        <v/>
      </c>
      <c r="I255" s="17">
        <f>F255*H255</f>
        <v/>
      </c>
    </row>
    <row r="256">
      <c r="A256" t="n">
        <v>36</v>
      </c>
      <c r="B256" s="21" t="inlineStr">
        <is>
          <t>Trenza Jalá Tradicional Judía (Challah 100% Sourdough)</t>
        </is>
      </c>
      <c r="C256" t="inlineStr">
        <is>
          <t>masa</t>
        </is>
      </c>
      <c r="D256" s="22" t="inlineStr">
        <is>
          <t>160 ml Agua purificada limpia (32%)</t>
        </is>
      </c>
      <c r="E256" s="6" t="inlineStr">
        <is>
          <t>Agua purificada</t>
        </is>
      </c>
      <c r="F256" s="16" t="n">
        <v>160</v>
      </c>
      <c r="G256" t="inlineStr">
        <is>
          <t>ml</t>
        </is>
      </c>
      <c r="H256" s="12">
        <f>IFERROR(VLOOKUP(E256,Insumos!$C$5:$G$64,5,FALSE),0)</f>
        <v/>
      </c>
      <c r="I256" s="17">
        <f>F256*H256</f>
        <v/>
      </c>
    </row>
    <row r="257">
      <c r="A257" t="n">
        <v>36</v>
      </c>
      <c r="B257" s="21" t="inlineStr">
        <is>
          <t>Trenza Jalá Tradicional Judía (Challah 100% Sourdough)</t>
        </is>
      </c>
      <c r="C257" t="inlineStr">
        <is>
          <t>masa</t>
        </is>
      </c>
      <c r="D257" s="22" t="inlineStr">
        <is>
          <t>100 g Masa madre activa dulce al 100% de hidratación (20%)</t>
        </is>
      </c>
      <c r="E257" s="6" t="inlineStr">
        <is>
          <t>Masa madre blanca activa 100% (cultivada)</t>
        </is>
      </c>
      <c r="F257" s="16" t="n">
        <v>100</v>
      </c>
      <c r="G257" t="inlineStr">
        <is>
          <t>g</t>
        </is>
      </c>
      <c r="H257" s="12">
        <f>IFERROR(VLOOKUP(E257,Insumos!$C$5:$G$64,5,FALSE),0)</f>
        <v/>
      </c>
      <c r="I257" s="17">
        <f>F257*H257</f>
        <v/>
      </c>
    </row>
    <row r="258">
      <c r="A258" t="n">
        <v>36</v>
      </c>
      <c r="B258" s="21" t="inlineStr">
        <is>
          <t>Trenza Jalá Tradicional Judía (Challah 100% Sourdough)</t>
        </is>
      </c>
      <c r="C258" t="inlineStr">
        <is>
          <t>masa</t>
        </is>
      </c>
      <c r="D258" s="22" t="inlineStr">
        <is>
          <t>100 g Huevos camperos enteros (aprox. 2 medianos a 20 °C) (20%)</t>
        </is>
      </c>
      <c r="E258" s="6" t="inlineStr">
        <is>
          <t>Huevo campero</t>
        </is>
      </c>
      <c r="F258" s="16" t="n">
        <v>1.8</v>
      </c>
      <c r="G258" t="inlineStr">
        <is>
          <t>pz</t>
        </is>
      </c>
      <c r="H258" s="12">
        <f>IFERROR(VLOOKUP(E258,Insumos!$C$5:$G$64,5,FALSE),0)</f>
        <v/>
      </c>
      <c r="I258" s="17">
        <f>F258*H258</f>
        <v/>
      </c>
    </row>
    <row r="259">
      <c r="A259" t="n">
        <v>36</v>
      </c>
      <c r="B259" s="21" t="inlineStr">
        <is>
          <t>Trenza Jalá Tradicional Judía (Challah 100% Sourdough)</t>
        </is>
      </c>
      <c r="C259" t="inlineStr">
        <is>
          <t>masa</t>
        </is>
      </c>
      <c r="D259" s="22" t="inlineStr">
        <is>
          <t>40 g Yemas de huevo (aprox. 2 yemas, riqueza lipídica) (8%)</t>
        </is>
      </c>
      <c r="E259" s="6" t="inlineStr">
        <is>
          <t>Yema de huevo</t>
        </is>
      </c>
      <c r="F259" s="16" t="n">
        <v>40</v>
      </c>
      <c r="G259" t="inlineStr">
        <is>
          <t>g</t>
        </is>
      </c>
      <c r="H259" s="12">
        <f>IFERROR(VLOOKUP(E259,Insumos!$C$5:$G$64,5,FALSE),0)</f>
        <v/>
      </c>
      <c r="I259" s="17">
        <f>F259*H259</f>
        <v/>
      </c>
    </row>
    <row r="260">
      <c r="A260" t="n">
        <v>36</v>
      </c>
      <c r="B260" s="21" t="inlineStr">
        <is>
          <t>Trenza Jalá Tradicional Judía (Challah 100% Sourdough)</t>
        </is>
      </c>
      <c r="C260" t="inlineStr">
        <is>
          <t>masa</t>
        </is>
      </c>
      <c r="D260" s="22" t="inlineStr">
        <is>
          <t>45 ml Aceite de girasol de sabor neutro o aceite de oliva suave (9%)</t>
        </is>
      </c>
      <c r="E260" s="6" t="inlineStr">
        <is>
          <t>Aceite vegetal neutro</t>
        </is>
      </c>
      <c r="F260" s="16" t="n">
        <v>45</v>
      </c>
      <c r="G260" t="inlineStr">
        <is>
          <t>ml</t>
        </is>
      </c>
      <c r="H260" s="12">
        <f>IFERROR(VLOOKUP(E260,Insumos!$C$5:$G$64,5,FALSE),0)</f>
        <v/>
      </c>
      <c r="I260" s="17">
        <f>F260*H260</f>
        <v/>
      </c>
    </row>
    <row r="261">
      <c r="A261" t="n">
        <v>36</v>
      </c>
      <c r="B261" s="21" t="inlineStr">
        <is>
          <t>Trenza Jalá Tradicional Judía (Challah 100% Sourdough)</t>
        </is>
      </c>
      <c r="C261" t="inlineStr">
        <is>
          <t>masa</t>
        </is>
      </c>
      <c r="D261" s="22" t="inlineStr">
        <is>
          <t>40 g Miel pura de abeja o azúcar de caña (8%)</t>
        </is>
      </c>
      <c r="E261" s="6" t="inlineStr">
        <is>
          <t>Miel de abeja</t>
        </is>
      </c>
      <c r="F261" s="16" t="n">
        <v>40</v>
      </c>
      <c r="G261" t="inlineStr">
        <is>
          <t>g</t>
        </is>
      </c>
      <c r="H261" s="12">
        <f>IFERROR(VLOOKUP(E261,Insumos!$C$5:$G$64,5,FALSE),0)</f>
        <v/>
      </c>
      <c r="I261" s="17">
        <f>F261*H261</f>
        <v/>
      </c>
    </row>
    <row r="262">
      <c r="A262" t="n">
        <v>36</v>
      </c>
      <c r="B262" s="21" t="inlineStr">
        <is>
          <t>Trenza Jalá Tradicional Judía (Challah 100% Sourdough)</t>
        </is>
      </c>
      <c r="C262" t="inlineStr">
        <is>
          <t>masa</t>
        </is>
      </c>
      <c r="D262" s="22" t="inlineStr">
        <is>
          <t>10 g Sal marina fina (2%)</t>
        </is>
      </c>
      <c r="E262" s="6" t="inlineStr">
        <is>
          <t>Sal marina fina no refinada</t>
        </is>
      </c>
      <c r="F262" s="16" t="n">
        <v>10</v>
      </c>
      <c r="G262" t="inlineStr">
        <is>
          <t>g</t>
        </is>
      </c>
      <c r="H262" s="12">
        <f>IFERROR(VLOOKUP(E262,Insumos!$C$5:$G$64,5,FALSE),0)</f>
        <v/>
      </c>
      <c r="I262" s="17">
        <f>F262*H262</f>
        <v/>
      </c>
    </row>
    <row r="263">
      <c r="A263" t="n">
        <v>36</v>
      </c>
      <c r="B263" s="21" t="inlineStr">
        <is>
          <t>Trenza Jalá Tradicional Judía (Challah 100% Sourdough)</t>
        </is>
      </c>
      <c r="C263" t="inlineStr">
        <is>
          <t>acabado</t>
        </is>
      </c>
      <c r="D263" s="22" t="inlineStr">
        <is>
          <t>1 Yema de huevo batida con 5 ml de agua y 1 pizca de sal</t>
        </is>
      </c>
      <c r="E263" s="6" t="inlineStr">
        <is>
          <t>Yema de huevo</t>
        </is>
      </c>
      <c r="F263" s="16" t="n">
        <v>18</v>
      </c>
      <c r="G263" t="inlineStr">
        <is>
          <t>g</t>
        </is>
      </c>
      <c r="H263" s="12">
        <f>IFERROR(VLOOKUP(E263,Insumos!$C$5:$G$64,5,FALSE),0)</f>
        <v/>
      </c>
      <c r="I263" s="17">
        <f>F263*H263</f>
        <v/>
      </c>
    </row>
    <row r="264">
      <c r="A264" t="n">
        <v>36</v>
      </c>
      <c r="B264" s="21" t="inlineStr">
        <is>
          <t>Trenza Jalá Tradicional Judía (Challah 100% Sourdough)</t>
        </is>
      </c>
      <c r="C264" t="inlineStr">
        <is>
          <t>acabado</t>
        </is>
      </c>
      <c r="D264" s="22" t="inlineStr">
        <is>
          <t>30 g Semillas de sésamo blanco o amapola</t>
        </is>
      </c>
      <c r="E264" s="6" t="inlineStr">
        <is>
          <t>Semilla de sésamo o ajonjolí</t>
        </is>
      </c>
      <c r="F264" s="16" t="n">
        <v>30</v>
      </c>
      <c r="G264" t="inlineStr">
        <is>
          <t>g</t>
        </is>
      </c>
      <c r="H264" s="12">
        <f>IFERROR(VLOOKUP(E264,Insumos!$C$5:$G$64,5,FALSE),0)</f>
        <v/>
      </c>
      <c r="I264" s="17">
        <f>F264*H264</f>
        <v/>
      </c>
    </row>
    <row r="265">
      <c r="A265" t="n">
        <v>37</v>
      </c>
      <c r="B265" s="21" t="inlineStr">
        <is>
          <t>Panecillos de Viena de Masa Madre con Corteza Lustrosa</t>
        </is>
      </c>
      <c r="C265" t="inlineStr">
        <is>
          <t>masa</t>
        </is>
      </c>
      <c r="D265" s="22" t="inlineStr">
        <is>
          <t>450 g Harina de trigo panificable (W 240-260, 11.8% proteína) (90%)</t>
        </is>
      </c>
      <c r="E265" s="6" t="inlineStr">
        <is>
          <t>Harina panificable de fuerza (W 280-300)</t>
        </is>
      </c>
      <c r="F265" s="16" t="n">
        <v>450</v>
      </c>
      <c r="G265" t="inlineStr">
        <is>
          <t>g</t>
        </is>
      </c>
      <c r="H265" s="12">
        <f>IFERROR(VLOOKUP(E265,Insumos!$C$5:$G$64,5,FALSE),0)</f>
        <v/>
      </c>
      <c r="I265" s="17">
        <f>F265*H265</f>
        <v/>
      </c>
    </row>
    <row r="266">
      <c r="A266" t="n">
        <v>37</v>
      </c>
      <c r="B266" s="21" t="inlineStr">
        <is>
          <t>Panecillos de Viena de Masa Madre con Corteza Lustrosa</t>
        </is>
      </c>
      <c r="C266" t="inlineStr">
        <is>
          <t>masa</t>
        </is>
      </c>
      <c r="D266" s="22" t="inlineStr">
        <is>
          <t>50 g Harina de fuerza blanca (W 300) (10%, tenacidad de greña)</t>
        </is>
      </c>
      <c r="E266" s="6" t="inlineStr">
        <is>
          <t>Harina panificable de fuerza (W 280-300)</t>
        </is>
      </c>
      <c r="F266" s="16" t="n">
        <v>50</v>
      </c>
      <c r="G266" t="inlineStr">
        <is>
          <t>g</t>
        </is>
      </c>
      <c r="H266" s="12">
        <f>IFERROR(VLOOKUP(E266,Insumos!$C$5:$G$64,5,FALSE),0)</f>
        <v/>
      </c>
      <c r="I266" s="17">
        <f>F266*H266</f>
        <v/>
      </c>
    </row>
    <row r="267">
      <c r="A267" t="n">
        <v>37</v>
      </c>
      <c r="B267" s="21" t="inlineStr">
        <is>
          <t>Panecillos de Viena de Masa Madre con Corteza Lustrosa</t>
        </is>
      </c>
      <c r="C267" t="inlineStr">
        <is>
          <t>masa</t>
        </is>
      </c>
      <c r="D267" s="22" t="inlineStr">
        <is>
          <t>240 ml Leche entera pasteurizada tibia a 25 °C (48%)</t>
        </is>
      </c>
      <c r="E267" s="6" t="inlineStr">
        <is>
          <t>Leche entera pasteurizada</t>
        </is>
      </c>
      <c r="F267" s="16" t="n">
        <v>240</v>
      </c>
      <c r="G267" t="inlineStr">
        <is>
          <t>ml</t>
        </is>
      </c>
      <c r="H267" s="12">
        <f>IFERROR(VLOOKUP(E267,Insumos!$C$5:$G$64,5,FALSE),0)</f>
        <v/>
      </c>
      <c r="I267" s="17">
        <f>F267*H267</f>
        <v/>
      </c>
    </row>
    <row r="268">
      <c r="A268" t="n">
        <v>37</v>
      </c>
      <c r="B268" s="21" t="inlineStr">
        <is>
          <t>Panecillos de Viena de Masa Madre con Corteza Lustrosa</t>
        </is>
      </c>
      <c r="C268" t="inlineStr">
        <is>
          <t>masa</t>
        </is>
      </c>
      <c r="D268" s="22" t="inlineStr">
        <is>
          <t>50 ml Agua purificada limpia (10%)</t>
        </is>
      </c>
      <c r="E268" s="6" t="inlineStr">
        <is>
          <t>Agua purificada</t>
        </is>
      </c>
      <c r="F268" s="16" t="n">
        <v>50</v>
      </c>
      <c r="G268" t="inlineStr">
        <is>
          <t>ml</t>
        </is>
      </c>
      <c r="H268" s="12">
        <f>IFERROR(VLOOKUP(E268,Insumos!$C$5:$G$64,5,FALSE),0)</f>
        <v/>
      </c>
      <c r="I268" s="17">
        <f>F268*H268</f>
        <v/>
      </c>
    </row>
    <row r="269">
      <c r="A269" t="n">
        <v>37</v>
      </c>
      <c r="B269" s="21" t="inlineStr">
        <is>
          <t>Panecillos de Viena de Masa Madre con Corteza Lustrosa</t>
        </is>
      </c>
      <c r="C269" t="inlineStr">
        <is>
          <t>masa</t>
        </is>
      </c>
      <c r="D269" s="22" t="inlineStr">
        <is>
          <t>100 g Masa madre activa al 100% de hidratación (20%)</t>
        </is>
      </c>
      <c r="E269" s="6" t="inlineStr">
        <is>
          <t>Masa madre blanca activa 100% (cultivada)</t>
        </is>
      </c>
      <c r="F269" s="16" t="n">
        <v>100</v>
      </c>
      <c r="G269" t="inlineStr">
        <is>
          <t>g</t>
        </is>
      </c>
      <c r="H269" s="12">
        <f>IFERROR(VLOOKUP(E269,Insumos!$C$5:$G$64,5,FALSE),0)</f>
        <v/>
      </c>
      <c r="I269" s="17">
        <f>F269*H269</f>
        <v/>
      </c>
    </row>
    <row r="270">
      <c r="A270" t="n">
        <v>37</v>
      </c>
      <c r="B270" s="21" t="inlineStr">
        <is>
          <t>Panecillos de Viena de Masa Madre con Corteza Lustrosa</t>
        </is>
      </c>
      <c r="C270" t="inlineStr">
        <is>
          <t>masa</t>
        </is>
      </c>
      <c r="D270" s="22" t="inlineStr">
        <is>
          <t>40 g Mantequilla sin sal (82% M.G.) pomada a 18 °C (8%)</t>
        </is>
      </c>
      <c r="E270" s="6" t="inlineStr">
        <is>
          <t>Mantequilla sin sal 82% M.G.</t>
        </is>
      </c>
      <c r="F270" s="16" t="n">
        <v>40</v>
      </c>
      <c r="G270" t="inlineStr">
        <is>
          <t>g</t>
        </is>
      </c>
      <c r="H270" s="12">
        <f>IFERROR(VLOOKUP(E270,Insumos!$C$5:$G$64,5,FALSE),0)</f>
        <v/>
      </c>
      <c r="I270" s="17">
        <f>F270*H270</f>
        <v/>
      </c>
    </row>
    <row r="271">
      <c r="A271" t="n">
        <v>37</v>
      </c>
      <c r="B271" s="21" t="inlineStr">
        <is>
          <t>Panecillos de Viena de Masa Madre con Corteza Lustrosa</t>
        </is>
      </c>
      <c r="C271" t="inlineStr">
        <is>
          <t>masa</t>
        </is>
      </c>
      <c r="D271" s="22" t="inlineStr">
        <is>
          <t>20 g Azúcar blanco refinado (4%)</t>
        </is>
      </c>
      <c r="E271" s="6" t="inlineStr">
        <is>
          <t>Azúcar blanco refinado</t>
        </is>
      </c>
      <c r="F271" s="16" t="n">
        <v>20</v>
      </c>
      <c r="G271" t="inlineStr">
        <is>
          <t>g</t>
        </is>
      </c>
      <c r="H271" s="12">
        <f>IFERROR(VLOOKUP(E271,Insumos!$C$5:$G$64,5,FALSE),0)</f>
        <v/>
      </c>
      <c r="I271" s="17">
        <f>F271*H271</f>
        <v/>
      </c>
    </row>
    <row r="272">
      <c r="A272" t="n">
        <v>37</v>
      </c>
      <c r="B272" s="21" t="inlineStr">
        <is>
          <t>Panecillos de Viena de Masa Madre con Corteza Lustrosa</t>
        </is>
      </c>
      <c r="C272" t="inlineStr">
        <is>
          <t>masa</t>
        </is>
      </c>
      <c r="D272" s="22" t="inlineStr">
        <is>
          <t>10 g Sal marina fina (2%)</t>
        </is>
      </c>
      <c r="E272" s="6" t="inlineStr">
        <is>
          <t>Sal marina fina no refinada</t>
        </is>
      </c>
      <c r="F272" s="16" t="n">
        <v>10</v>
      </c>
      <c r="G272" t="inlineStr">
        <is>
          <t>g</t>
        </is>
      </c>
      <c r="H272" s="12">
        <f>IFERROR(VLOOKUP(E272,Insumos!$C$5:$G$64,5,FALSE),0)</f>
        <v/>
      </c>
      <c r="I272" s="17">
        <f>F272*H272</f>
        <v/>
      </c>
    </row>
    <row r="273">
      <c r="A273" t="n">
        <v>37</v>
      </c>
      <c r="B273" s="21" t="inlineStr">
        <is>
          <t>Panecillos de Viena de Masa Madre con Corteza Lustrosa</t>
        </is>
      </c>
      <c r="C273" t="inlineStr">
        <is>
          <t>acabado</t>
        </is>
      </c>
      <c r="D273" s="22" t="inlineStr">
        <is>
          <t>1 Huevo batido con 10 ml de leche entera y 1 pizca de azúcar</t>
        </is>
      </c>
      <c r="E273" s="6" t="inlineStr">
        <is>
          <t>Huevo campero</t>
        </is>
      </c>
      <c r="F273" s="16" t="n">
        <v>1</v>
      </c>
      <c r="G273" t="inlineStr">
        <is>
          <t>pz</t>
        </is>
      </c>
      <c r="H273" s="12">
        <f>IFERROR(VLOOKUP(E273,Insumos!$C$5:$G$64,5,FALSE),0)</f>
        <v/>
      </c>
      <c r="I273" s="17">
        <f>F273*H273</f>
        <v/>
      </c>
    </row>
    <row r="274">
      <c r="A274" t="n">
        <v>38</v>
      </c>
      <c r="B274" s="21" t="inlineStr">
        <is>
          <t>Pan de Molde de Avena Escaldada y Miel de Abeja de Bosque</t>
        </is>
      </c>
      <c r="C274" t="inlineStr">
        <is>
          <t>masa</t>
        </is>
      </c>
      <c r="D274" s="22" t="inlineStr">
        <is>
          <t>425 g Harina de trigo panificable de fuerza (W 280, 12.5% proteína) (85%)</t>
        </is>
      </c>
      <c r="E274" s="6" t="inlineStr">
        <is>
          <t>Harina panificable de fuerza (W 280-300)</t>
        </is>
      </c>
      <c r="F274" s="16" t="n">
        <v>425</v>
      </c>
      <c r="G274" t="inlineStr">
        <is>
          <t>g</t>
        </is>
      </c>
      <c r="H274" s="12">
        <f>IFERROR(VLOOKUP(E274,Insumos!$C$5:$G$64,5,FALSE),0)</f>
        <v/>
      </c>
      <c r="I274" s="17">
        <f>F274*H274</f>
        <v/>
      </c>
    </row>
    <row r="275">
      <c r="A275" t="n">
        <v>38</v>
      </c>
      <c r="B275" s="21" t="inlineStr">
        <is>
          <t>Pan de Molde de Avena Escaldada y Miel de Abeja de Bosque</t>
        </is>
      </c>
      <c r="C275" t="inlineStr">
        <is>
          <t>masa</t>
        </is>
      </c>
      <c r="D275" s="22" t="inlineStr">
        <is>
          <t>75 g Harina de trigo integral de molienda fina (15%)</t>
        </is>
      </c>
      <c r="E275" s="6" t="inlineStr">
        <is>
          <t>Harina de trigo integral de molienda a la piedra</t>
        </is>
      </c>
      <c r="F275" s="16" t="n">
        <v>75</v>
      </c>
      <c r="G275" t="inlineStr">
        <is>
          <t>g</t>
        </is>
      </c>
      <c r="H275" s="12">
        <f>IFERROR(VLOOKUP(E275,Insumos!$C$5:$G$64,5,FALSE),0)</f>
        <v/>
      </c>
      <c r="I275" s="17">
        <f>F275*H275</f>
        <v/>
      </c>
    </row>
    <row r="276">
      <c r="A276" t="n">
        <v>38</v>
      </c>
      <c r="B276" s="21" t="inlineStr">
        <is>
          <t>Pan de Molde de Avena Escaldada y Miel de Abeja de Bosque</t>
        </is>
      </c>
      <c r="C276" t="inlineStr">
        <is>
          <t>masa</t>
        </is>
      </c>
      <c r="D276" s="22" t="inlineStr">
        <is>
          <t>230 ml Leche entera pasteurizada tibia a 25 °C (46%)</t>
        </is>
      </c>
      <c r="E276" s="6" t="inlineStr">
        <is>
          <t>Leche entera pasteurizada</t>
        </is>
      </c>
      <c r="F276" s="16" t="n">
        <v>230</v>
      </c>
      <c r="G276" t="inlineStr">
        <is>
          <t>ml</t>
        </is>
      </c>
      <c r="H276" s="12">
        <f>IFERROR(VLOOKUP(E276,Insumos!$C$5:$G$64,5,FALSE),0)</f>
        <v/>
      </c>
      <c r="I276" s="17">
        <f>F276*H276</f>
        <v/>
      </c>
    </row>
    <row r="277">
      <c r="A277" t="n">
        <v>38</v>
      </c>
      <c r="B277" s="21" t="inlineStr">
        <is>
          <t>Pan de Molde de Avena Escaldada y Miel de Abeja de Bosque</t>
        </is>
      </c>
      <c r="C277" t="inlineStr">
        <is>
          <t>masa</t>
        </is>
      </c>
      <c r="D277" s="22" t="inlineStr">
        <is>
          <t>100 g Masa madre activa al 100% de hidratación (20%)</t>
        </is>
      </c>
      <c r="E277" s="6" t="inlineStr">
        <is>
          <t>Masa madre blanca activa 100% (cultivada)</t>
        </is>
      </c>
      <c r="F277" s="16" t="n">
        <v>100</v>
      </c>
      <c r="G277" t="inlineStr">
        <is>
          <t>g</t>
        </is>
      </c>
      <c r="H277" s="12">
        <f>IFERROR(VLOOKUP(E277,Insumos!$C$5:$G$64,5,FALSE),0)</f>
        <v/>
      </c>
      <c r="I277" s="17">
        <f>F277*H277</f>
        <v/>
      </c>
    </row>
    <row r="278">
      <c r="A278" t="n">
        <v>38</v>
      </c>
      <c r="B278" s="21" t="inlineStr">
        <is>
          <t>Pan de Molde de Avena Escaldada y Miel de Abeja de Bosque</t>
        </is>
      </c>
      <c r="C278" t="inlineStr">
        <is>
          <t>masa</t>
        </is>
      </c>
      <c r="D278" s="22" t="inlineStr">
        <is>
          <t>40 g Mantequilla sin sal (82% M.G.) pomada a 18 °C (8%)</t>
        </is>
      </c>
      <c r="E278" s="6" t="inlineStr">
        <is>
          <t>Mantequilla sin sal 82% M.G.</t>
        </is>
      </c>
      <c r="F278" s="16" t="n">
        <v>40</v>
      </c>
      <c r="G278" t="inlineStr">
        <is>
          <t>g</t>
        </is>
      </c>
      <c r="H278" s="12">
        <f>IFERROR(VLOOKUP(E278,Insumos!$C$5:$G$64,5,FALSE),0)</f>
        <v/>
      </c>
      <c r="I278" s="17">
        <f>F278*H278</f>
        <v/>
      </c>
    </row>
    <row r="279">
      <c r="A279" t="n">
        <v>38</v>
      </c>
      <c r="B279" s="21" t="inlineStr">
        <is>
          <t>Pan de Molde de Avena Escaldada y Miel de Abeja de Bosque</t>
        </is>
      </c>
      <c r="C279" t="inlineStr">
        <is>
          <t>masa</t>
        </is>
      </c>
      <c r="D279" s="22" t="inlineStr">
        <is>
          <t>35 g Miel pura de abeja (7%)</t>
        </is>
      </c>
      <c r="E279" s="6" t="inlineStr">
        <is>
          <t>Miel de abeja</t>
        </is>
      </c>
      <c r="F279" s="16" t="n">
        <v>35</v>
      </c>
      <c r="G279" t="inlineStr">
        <is>
          <t>g</t>
        </is>
      </c>
      <c r="H279" s="12">
        <f>IFERROR(VLOOKUP(E279,Insumos!$C$5:$G$64,5,FALSE),0)</f>
        <v/>
      </c>
      <c r="I279" s="17">
        <f>F279*H279</f>
        <v/>
      </c>
    </row>
    <row r="280">
      <c r="A280" t="n">
        <v>38</v>
      </c>
      <c r="B280" s="21" t="inlineStr">
        <is>
          <t>Pan de Molde de Avena Escaldada y Miel de Abeja de Bosque</t>
        </is>
      </c>
      <c r="C280" t="inlineStr">
        <is>
          <t>masa</t>
        </is>
      </c>
      <c r="D280" s="22" t="inlineStr">
        <is>
          <t>10 g Sal marina fina (2%)</t>
        </is>
      </c>
      <c r="E280" s="6" t="inlineStr">
        <is>
          <t>Sal marina fina no refinada</t>
        </is>
      </c>
      <c r="F280" s="16" t="n">
        <v>10</v>
      </c>
      <c r="G280" t="inlineStr">
        <is>
          <t>g</t>
        </is>
      </c>
      <c r="H280" s="12">
        <f>IFERROR(VLOOKUP(E280,Insumos!$C$5:$G$64,5,FALSE),0)</f>
        <v/>
      </c>
      <c r="I280" s="17">
        <f>F280*H280</f>
        <v/>
      </c>
    </row>
    <row r="281">
      <c r="A281" t="n">
        <v>38</v>
      </c>
      <c r="B281" s="21" t="inlineStr">
        <is>
          <t>Pan de Molde de Avena Escaldada y Miel de Abeja de Bosque</t>
        </is>
      </c>
      <c r="C281" t="inlineStr">
        <is>
          <t>previa</t>
        </is>
      </c>
      <c r="D281" s="22" t="inlineStr">
        <is>
          <t>60 g Copos de avena tradicionales enteros (12%)</t>
        </is>
      </c>
      <c r="E281" s="6" t="inlineStr">
        <is>
          <t>Copos de avena</t>
        </is>
      </c>
      <c r="F281" s="16" t="n">
        <v>60</v>
      </c>
      <c r="G281" t="inlineStr">
        <is>
          <t>g</t>
        </is>
      </c>
      <c r="H281" s="12">
        <f>IFERROR(VLOOKUP(E281,Insumos!$C$5:$G$64,5,FALSE),0)</f>
        <v/>
      </c>
      <c r="I281" s="17">
        <f>F281*H281</f>
        <v/>
      </c>
    </row>
    <row r="282">
      <c r="A282" t="n">
        <v>38</v>
      </c>
      <c r="B282" s="21" t="inlineStr">
        <is>
          <t>Pan de Molde de Avena Escaldada y Miel de Abeja de Bosque</t>
        </is>
      </c>
      <c r="C282" t="inlineStr">
        <is>
          <t>previa</t>
        </is>
      </c>
      <c r="D282" s="22" t="inlineStr">
        <is>
          <t>120 ml Agua purificada hirviendo a 100 °C (para hidratar la avena)</t>
        </is>
      </c>
      <c r="E282" s="6" t="inlineStr">
        <is>
          <t>Agua purificada</t>
        </is>
      </c>
      <c r="F282" s="16" t="n">
        <v>120</v>
      </c>
      <c r="G282" t="inlineStr">
        <is>
          <t>ml</t>
        </is>
      </c>
      <c r="H282" s="12">
        <f>IFERROR(VLOOKUP(E282,Insumos!$C$5:$G$64,5,FALSE),0)</f>
        <v/>
      </c>
      <c r="I282" s="17">
        <f>F282*H282</f>
        <v/>
      </c>
    </row>
    <row r="283">
      <c r="A283" t="n">
        <v>38</v>
      </c>
      <c r="B283" s="21" t="inlineStr">
        <is>
          <t>Pan de Molde de Avena Escaldada y Miel de Abeja de Bosque</t>
        </is>
      </c>
      <c r="C283" t="inlineStr">
        <is>
          <t>previa</t>
        </is>
      </c>
      <c r="D283" s="22" t="inlineStr">
        <is>
          <t>Copos de avena crudos extra para rebozar la superficie</t>
        </is>
      </c>
      <c r="E283" s="6" t="inlineStr">
        <is>
          <t>Copos de avena</t>
        </is>
      </c>
      <c r="F283" s="16" t="n">
        <v>1</v>
      </c>
      <c r="G283" t="inlineStr">
        <is>
          <t>g</t>
        </is>
      </c>
      <c r="H283" s="12">
        <f>IFERROR(VLOOKUP(E283,Insumos!$C$5:$G$64,5,FALSE),0)</f>
        <v/>
      </c>
      <c r="I283" s="17">
        <f>F283*H283</f>
        <v/>
      </c>
    </row>
    <row r="284">
      <c r="A284" t="n">
        <v>39</v>
      </c>
      <c r="B284" s="21" t="inlineStr">
        <is>
          <t>English Muffins Tradicionales de Masa Madre Cocidos en Comal</t>
        </is>
      </c>
      <c r="C284" t="inlineStr">
        <is>
          <t>masa</t>
        </is>
      </c>
      <c r="D284" s="22" t="inlineStr">
        <is>
          <t>450 g Harina de trigo panificable (W 260-280, 12% proteína) (90%)</t>
        </is>
      </c>
      <c r="E284" s="6" t="inlineStr">
        <is>
          <t>Harina panificable de fuerza (W 280-300)</t>
        </is>
      </c>
      <c r="F284" s="16" t="n">
        <v>450</v>
      </c>
      <c r="G284" t="inlineStr">
        <is>
          <t>g</t>
        </is>
      </c>
      <c r="H284" s="12">
        <f>IFERROR(VLOOKUP(E284,Insumos!$C$5:$G$64,5,FALSE),0)</f>
        <v/>
      </c>
      <c r="I284" s="17">
        <f>F284*H284</f>
        <v/>
      </c>
    </row>
    <row r="285">
      <c r="A285" t="n">
        <v>39</v>
      </c>
      <c r="B285" s="21" t="inlineStr">
        <is>
          <t>English Muffins Tradicionales de Masa Madre Cocidos en Comal</t>
        </is>
      </c>
      <c r="C285" t="inlineStr">
        <is>
          <t>masa</t>
        </is>
      </c>
      <c r="D285" s="22" t="inlineStr">
        <is>
          <t>50 g Harina de trigo integral blanca (10%)</t>
        </is>
      </c>
      <c r="E285" s="6" t="inlineStr">
        <is>
          <t>Harina de trigo integral de molienda a la piedra</t>
        </is>
      </c>
      <c r="F285" s="16" t="n">
        <v>50</v>
      </c>
      <c r="G285" t="inlineStr">
        <is>
          <t>g</t>
        </is>
      </c>
      <c r="H285" s="12">
        <f>IFERROR(VLOOKUP(E285,Insumos!$C$5:$G$64,5,FALSE),0)</f>
        <v/>
      </c>
      <c r="I285" s="17">
        <f>F285*H285</f>
        <v/>
      </c>
    </row>
    <row r="286">
      <c r="A286" t="n">
        <v>39</v>
      </c>
      <c r="B286" s="21" t="inlineStr">
        <is>
          <t>English Muffins Tradicionales de Masa Madre Cocidos en Comal</t>
        </is>
      </c>
      <c r="C286" t="inlineStr">
        <is>
          <t>masa</t>
        </is>
      </c>
      <c r="D286" s="22" t="inlineStr">
        <is>
          <t>275 ml Leche entera pasteurizada tibia a 25 °C (55%)</t>
        </is>
      </c>
      <c r="E286" s="6" t="inlineStr">
        <is>
          <t>Leche entera pasteurizada</t>
        </is>
      </c>
      <c r="F286" s="16" t="n">
        <v>275</v>
      </c>
      <c r="G286" t="inlineStr">
        <is>
          <t>ml</t>
        </is>
      </c>
      <c r="H286" s="12">
        <f>IFERROR(VLOOKUP(E286,Insumos!$C$5:$G$64,5,FALSE),0)</f>
        <v/>
      </c>
      <c r="I286" s="17">
        <f>F286*H286</f>
        <v/>
      </c>
    </row>
    <row r="287">
      <c r="A287" t="n">
        <v>39</v>
      </c>
      <c r="B287" s="21" t="inlineStr">
        <is>
          <t>English Muffins Tradicionales de Masa Madre Cocidos en Comal</t>
        </is>
      </c>
      <c r="C287" t="inlineStr">
        <is>
          <t>masa</t>
        </is>
      </c>
      <c r="D287" s="22" t="inlineStr">
        <is>
          <t>50 ml Agua purificada limpia (10%)</t>
        </is>
      </c>
      <c r="E287" s="6" t="inlineStr">
        <is>
          <t>Agua purificada</t>
        </is>
      </c>
      <c r="F287" s="16" t="n">
        <v>50</v>
      </c>
      <c r="G287" t="inlineStr">
        <is>
          <t>ml</t>
        </is>
      </c>
      <c r="H287" s="12">
        <f>IFERROR(VLOOKUP(E287,Insumos!$C$5:$G$64,5,FALSE),0)</f>
        <v/>
      </c>
      <c r="I287" s="17">
        <f>F287*H287</f>
        <v/>
      </c>
    </row>
    <row r="288">
      <c r="A288" t="n">
        <v>39</v>
      </c>
      <c r="B288" s="21" t="inlineStr">
        <is>
          <t>English Muffins Tradicionales de Masa Madre Cocidos en Comal</t>
        </is>
      </c>
      <c r="C288" t="inlineStr">
        <is>
          <t>masa</t>
        </is>
      </c>
      <c r="D288" s="22" t="inlineStr">
        <is>
          <t>100 g Masa madre activa al 100% de hidratación (20%)</t>
        </is>
      </c>
      <c r="E288" s="6" t="inlineStr">
        <is>
          <t>Masa madre blanca activa 100% (cultivada)</t>
        </is>
      </c>
      <c r="F288" s="16" t="n">
        <v>100</v>
      </c>
      <c r="G288" t="inlineStr">
        <is>
          <t>g</t>
        </is>
      </c>
      <c r="H288" s="12">
        <f>IFERROR(VLOOKUP(E288,Insumos!$C$5:$G$64,5,FALSE),0)</f>
        <v/>
      </c>
      <c r="I288" s="17">
        <f>F288*H288</f>
        <v/>
      </c>
    </row>
    <row r="289">
      <c r="A289" t="n">
        <v>39</v>
      </c>
      <c r="B289" s="21" t="inlineStr">
        <is>
          <t>English Muffins Tradicionales de Masa Madre Cocidos en Comal</t>
        </is>
      </c>
      <c r="C289" t="inlineStr">
        <is>
          <t>masa</t>
        </is>
      </c>
      <c r="D289" s="22" t="inlineStr">
        <is>
          <t>30 g Mantequilla sin sal (82% M.G.) pomada a 18 °C (6%)</t>
        </is>
      </c>
      <c r="E289" s="6" t="inlineStr">
        <is>
          <t>Mantequilla sin sal 82% M.G.</t>
        </is>
      </c>
      <c r="F289" s="16" t="n">
        <v>30</v>
      </c>
      <c r="G289" t="inlineStr">
        <is>
          <t>g</t>
        </is>
      </c>
      <c r="H289" s="12">
        <f>IFERROR(VLOOKUP(E289,Insumos!$C$5:$G$64,5,FALSE),0)</f>
        <v/>
      </c>
      <c r="I289" s="17">
        <f>F289*H289</f>
        <v/>
      </c>
    </row>
    <row r="290">
      <c r="A290" t="n">
        <v>39</v>
      </c>
      <c r="B290" s="21" t="inlineStr">
        <is>
          <t>English Muffins Tradicionales de Masa Madre Cocidos en Comal</t>
        </is>
      </c>
      <c r="C290" t="inlineStr">
        <is>
          <t>masa</t>
        </is>
      </c>
      <c r="D290" s="22" t="inlineStr">
        <is>
          <t>15 g Miel de abeja pura o azúcar (3%)</t>
        </is>
      </c>
      <c r="E290" s="6" t="inlineStr">
        <is>
          <t>Miel de abeja</t>
        </is>
      </c>
      <c r="F290" s="16" t="n">
        <v>15</v>
      </c>
      <c r="G290" t="inlineStr">
        <is>
          <t>g</t>
        </is>
      </c>
      <c r="H290" s="12">
        <f>IFERROR(VLOOKUP(E290,Insumos!$C$5:$G$64,5,FALSE),0)</f>
        <v/>
      </c>
      <c r="I290" s="17">
        <f>F290*H290</f>
        <v/>
      </c>
    </row>
    <row r="291">
      <c r="A291" t="n">
        <v>39</v>
      </c>
      <c r="B291" s="21" t="inlineStr">
        <is>
          <t>English Muffins Tradicionales de Masa Madre Cocidos en Comal</t>
        </is>
      </c>
      <c r="C291" t="inlineStr">
        <is>
          <t>masa</t>
        </is>
      </c>
      <c r="D291" s="22" t="inlineStr">
        <is>
          <t>10 g Sal marina fina (2%)</t>
        </is>
      </c>
      <c r="E291" s="6" t="inlineStr">
        <is>
          <t>Sal marina fina no refinada</t>
        </is>
      </c>
      <c r="F291" s="16" t="n">
        <v>10</v>
      </c>
      <c r="G291" t="inlineStr">
        <is>
          <t>g</t>
        </is>
      </c>
      <c r="H291" s="12">
        <f>IFERROR(VLOOKUP(E291,Insumos!$C$5:$G$64,5,FALSE),0)</f>
        <v/>
      </c>
      <c r="I291" s="17">
        <f>F291*H291</f>
        <v/>
      </c>
    </row>
    <row r="292">
      <c r="A292" t="n">
        <v>39</v>
      </c>
      <c r="B292" s="21" t="inlineStr">
        <is>
          <t>English Muffins Tradicionales de Masa Madre Cocidos en Comal</t>
        </is>
      </c>
      <c r="C292" t="inlineStr">
        <is>
          <t>masa</t>
        </is>
      </c>
      <c r="D292" s="22" t="inlineStr">
        <is>
          <t>60 g Sémola de maíz gruesa (cornmeal / polenta) para espolvorear la mesa y el comal</t>
        </is>
      </c>
      <c r="E292" s="6" t="inlineStr">
        <is>
          <t>Sémola de maíz</t>
        </is>
      </c>
      <c r="F292" s="16" t="n">
        <v>60</v>
      </c>
      <c r="G292" t="inlineStr">
        <is>
          <t>g</t>
        </is>
      </c>
      <c r="H292" s="12">
        <f>IFERROR(VLOOKUP(E292,Insumos!$C$5:$G$64,5,FALSE),0)</f>
        <v/>
      </c>
      <c r="I292" s="17">
        <f>F292*H292</f>
        <v/>
      </c>
    </row>
    <row r="293">
      <c r="A293" t="n">
        <v>40</v>
      </c>
      <c r="B293" s="21" t="inlineStr">
        <is>
          <t>Pan de Pulque y Masa Madre Tradicional de Molde</t>
        </is>
      </c>
      <c r="C293" t="inlineStr">
        <is>
          <t>masa</t>
        </is>
      </c>
      <c r="D293" s="22" t="inlineStr">
        <is>
          <t>450 g Harina de trigo panificable de fuerza (W 280, 12.2% proteína) (90%)</t>
        </is>
      </c>
      <c r="E293" s="6" t="inlineStr">
        <is>
          <t>Harina panificable de fuerza (W 280-300)</t>
        </is>
      </c>
      <c r="F293" s="16" t="n">
        <v>450</v>
      </c>
      <c r="G293" t="inlineStr">
        <is>
          <t>g</t>
        </is>
      </c>
      <c r="H293" s="12">
        <f>IFERROR(VLOOKUP(E293,Insumos!$C$5:$G$64,5,FALSE),0)</f>
        <v/>
      </c>
      <c r="I293" s="17">
        <f>F293*H293</f>
        <v/>
      </c>
    </row>
    <row r="294">
      <c r="A294" t="n">
        <v>40</v>
      </c>
      <c r="B294" s="21" t="inlineStr">
        <is>
          <t>Pan de Pulque y Masa Madre Tradicional de Molde</t>
        </is>
      </c>
      <c r="C294" t="inlineStr">
        <is>
          <t>masa</t>
        </is>
      </c>
      <c r="D294" s="22" t="inlineStr">
        <is>
          <t>50 g Harina de trigo integral de molienda fina (10%)</t>
        </is>
      </c>
      <c r="E294" s="6" t="inlineStr">
        <is>
          <t>Harina de trigo integral de molienda a la piedra</t>
        </is>
      </c>
      <c r="F294" s="16" t="n">
        <v>50</v>
      </c>
      <c r="G294" t="inlineStr">
        <is>
          <t>g</t>
        </is>
      </c>
      <c r="H294" s="12">
        <f>IFERROR(VLOOKUP(E294,Insumos!$C$5:$G$64,5,FALSE),0)</f>
        <v/>
      </c>
      <c r="I294" s="17">
        <f>F294*H294</f>
        <v/>
      </c>
    </row>
    <row r="295">
      <c r="A295" t="n">
        <v>40</v>
      </c>
      <c r="B295" s="21" t="inlineStr">
        <is>
          <t>Pan de Pulque y Masa Madre Tradicional de Molde</t>
        </is>
      </c>
      <c r="C295" t="inlineStr">
        <is>
          <t>masa</t>
        </is>
      </c>
      <c r="D295" s="22" t="inlineStr">
        <is>
          <t>200 ml Pulque blanco artesanal fresco, activo y espeso (40%)</t>
        </is>
      </c>
      <c r="E295" s="6" t="inlineStr">
        <is>
          <t>Pulque blanco fresco</t>
        </is>
      </c>
      <c r="F295" s="16" t="n">
        <v>200</v>
      </c>
      <c r="G295" t="inlineStr">
        <is>
          <t>ml</t>
        </is>
      </c>
      <c r="H295" s="12">
        <f>IFERROR(VLOOKUP(E295,Insumos!$C$5:$G$64,5,FALSE),0)</f>
        <v/>
      </c>
      <c r="I295" s="17">
        <f>F295*H295</f>
        <v/>
      </c>
    </row>
    <row r="296">
      <c r="A296" t="n">
        <v>40</v>
      </c>
      <c r="B296" s="21" t="inlineStr">
        <is>
          <t>Pan de Pulque y Masa Madre Tradicional de Molde</t>
        </is>
      </c>
      <c r="C296" t="inlineStr">
        <is>
          <t>masa</t>
        </is>
      </c>
      <c r="D296" s="22" t="inlineStr">
        <is>
          <t>80 ml Leche entera pasteurizada tibia a 25 °C (16%)</t>
        </is>
      </c>
      <c r="E296" s="6" t="inlineStr">
        <is>
          <t>Leche entera pasteurizada</t>
        </is>
      </c>
      <c r="F296" s="16" t="n">
        <v>80</v>
      </c>
      <c r="G296" t="inlineStr">
        <is>
          <t>ml</t>
        </is>
      </c>
      <c r="H296" s="12">
        <f>IFERROR(VLOOKUP(E296,Insumos!$C$5:$G$64,5,FALSE),0)</f>
        <v/>
      </c>
      <c r="I296" s="17">
        <f>F296*H296</f>
        <v/>
      </c>
    </row>
    <row r="297">
      <c r="A297" t="n">
        <v>40</v>
      </c>
      <c r="B297" s="21" t="inlineStr">
        <is>
          <t>Pan de Pulque y Masa Madre Tradicional de Molde</t>
        </is>
      </c>
      <c r="C297" t="inlineStr">
        <is>
          <t>masa</t>
        </is>
      </c>
      <c r="D297" s="22" t="inlineStr">
        <is>
          <t>100 g Masa madre activa al 100% de hidratación (20%)</t>
        </is>
      </c>
      <c r="E297" s="6" t="inlineStr">
        <is>
          <t>Masa madre blanca activa 100% (cultivada)</t>
        </is>
      </c>
      <c r="F297" s="16" t="n">
        <v>100</v>
      </c>
      <c r="G297" t="inlineStr">
        <is>
          <t>g</t>
        </is>
      </c>
      <c r="H297" s="12">
        <f>IFERROR(VLOOKUP(E297,Insumos!$C$5:$G$64,5,FALSE),0)</f>
        <v/>
      </c>
      <c r="I297" s="17">
        <f>F297*H297</f>
        <v/>
      </c>
    </row>
    <row r="298">
      <c r="A298" t="n">
        <v>40</v>
      </c>
      <c r="B298" s="21" t="inlineStr">
        <is>
          <t>Pan de Pulque y Masa Madre Tradicional de Molde</t>
        </is>
      </c>
      <c r="C298" t="inlineStr">
        <is>
          <t>masa</t>
        </is>
      </c>
      <c r="D298" s="22" t="inlineStr">
        <is>
          <t>60 g Manteca de cerdo pura de cazo o mantequilla de rancho pomada a 18 °C (12%)</t>
        </is>
      </c>
      <c r="E298" s="6" t="inlineStr">
        <is>
          <t>Mantequilla clarificada o manteca de cerdo</t>
        </is>
      </c>
      <c r="F298" s="16" t="n">
        <v>60</v>
      </c>
      <c r="G298" t="inlineStr">
        <is>
          <t>g</t>
        </is>
      </c>
      <c r="H298" s="12">
        <f>IFERROR(VLOOKUP(E298,Insumos!$C$5:$G$64,5,FALSE),0)</f>
        <v/>
      </c>
      <c r="I298" s="17">
        <f>F298*H298</f>
        <v/>
      </c>
    </row>
    <row r="299">
      <c r="A299" t="n">
        <v>40</v>
      </c>
      <c r="B299" s="21" t="inlineStr">
        <is>
          <t>Pan de Pulque y Masa Madre Tradicional de Molde</t>
        </is>
      </c>
      <c r="C299" t="inlineStr">
        <is>
          <t>masa</t>
        </is>
      </c>
      <c r="D299" s="22" t="inlineStr">
        <is>
          <t>60 g Piloncillo oscuro rallado muy fino o azúcar mascabado (12%)</t>
        </is>
      </c>
      <c r="E299" s="6" t="inlineStr">
        <is>
          <t>Piloncillo o azúcar mascabado</t>
        </is>
      </c>
      <c r="F299" s="16" t="n">
        <v>60</v>
      </c>
      <c r="G299" t="inlineStr">
        <is>
          <t>g</t>
        </is>
      </c>
      <c r="H299" s="12">
        <f>IFERROR(VLOOKUP(E299,Insumos!$C$5:$G$64,5,FALSE),0)</f>
        <v/>
      </c>
      <c r="I299" s="17">
        <f>F299*H299</f>
        <v/>
      </c>
    </row>
    <row r="300">
      <c r="A300" t="n">
        <v>40</v>
      </c>
      <c r="B300" s="21" t="inlineStr">
        <is>
          <t>Pan de Pulque y Masa Madre Tradicional de Molde</t>
        </is>
      </c>
      <c r="C300" t="inlineStr">
        <is>
          <t>masa</t>
        </is>
      </c>
      <c r="D300" s="22" t="inlineStr">
        <is>
          <t>40 g Yemas de huevo camperas (aprox. 2 yemas) (8%)</t>
        </is>
      </c>
      <c r="E300" s="6" t="inlineStr">
        <is>
          <t>Yema de huevo</t>
        </is>
      </c>
      <c r="F300" s="16" t="n">
        <v>40</v>
      </c>
      <c r="G300" t="inlineStr">
        <is>
          <t>g</t>
        </is>
      </c>
      <c r="H300" s="12">
        <f>IFERROR(VLOOKUP(E300,Insumos!$C$5:$G$64,5,FALSE),0)</f>
        <v/>
      </c>
      <c r="I300" s="17">
        <f>F300*H300</f>
        <v/>
      </c>
    </row>
    <row r="301">
      <c r="A301" t="n">
        <v>40</v>
      </c>
      <c r="B301" s="21" t="inlineStr">
        <is>
          <t>Pan de Pulque y Masa Madre Tradicional de Molde</t>
        </is>
      </c>
      <c r="C301" t="inlineStr">
        <is>
          <t>masa</t>
        </is>
      </c>
      <c r="D301" s="22" t="inlineStr">
        <is>
          <t>10 g Sal marina fina (2%)</t>
        </is>
      </c>
      <c r="E301" s="6" t="inlineStr">
        <is>
          <t>Sal marina fina no refinada</t>
        </is>
      </c>
      <c r="F301" s="16" t="n">
        <v>10</v>
      </c>
      <c r="G301" t="inlineStr">
        <is>
          <t>g</t>
        </is>
      </c>
      <c r="H301" s="12">
        <f>IFERROR(VLOOKUP(E301,Insumos!$C$5:$G$64,5,FALSE),0)</f>
        <v/>
      </c>
      <c r="I301" s="17">
        <f>F301*H301</f>
        <v/>
      </c>
    </row>
    <row r="302">
      <c r="A302" t="n">
        <v>40</v>
      </c>
      <c r="B302" s="21" t="inlineStr">
        <is>
          <t>Pan de Pulque y Masa Madre Tradicional de Molde</t>
        </is>
      </c>
      <c r="C302" t="inlineStr">
        <is>
          <t>masa</t>
        </is>
      </c>
      <c r="D302" s="22" t="inlineStr">
        <is>
          <t>4 g Semillas de anís verde tostadas y machacadas en mortero (0.8%)</t>
        </is>
      </c>
      <c r="E302" s="6" t="inlineStr">
        <is>
          <t>Semilla de alcaravea o anís</t>
        </is>
      </c>
      <c r="F302" s="16" t="n">
        <v>4</v>
      </c>
      <c r="G302" t="inlineStr">
        <is>
          <t>g</t>
        </is>
      </c>
      <c r="H302" s="12">
        <f>IFERROR(VLOOKUP(E302,Insumos!$C$5:$G$64,5,FALSE),0)</f>
        <v/>
      </c>
      <c r="I302" s="17">
        <f>F302*H302</f>
        <v/>
      </c>
    </row>
    <row r="303">
      <c r="A303" t="n">
        <v>40</v>
      </c>
      <c r="B303" s="21" t="inlineStr">
        <is>
          <t>Pan de Pulque y Masa Madre Tradicional de Molde</t>
        </is>
      </c>
      <c r="C303" t="inlineStr">
        <is>
          <t>acabado</t>
        </is>
      </c>
      <c r="D303" s="22" t="inlineStr">
        <is>
          <t>1 Yema de huevo batida con 10 ml de leche y 1 pizca de piloncillo líquido</t>
        </is>
      </c>
      <c r="E303" s="6" t="inlineStr">
        <is>
          <t>Yema de huevo</t>
        </is>
      </c>
      <c r="F303" s="16" t="n">
        <v>18</v>
      </c>
      <c r="G303" t="inlineStr">
        <is>
          <t>g</t>
        </is>
      </c>
      <c r="H303" s="12">
        <f>IFERROR(VLOOKUP(E303,Insumos!$C$5:$G$64,5,FALSE),0)</f>
        <v/>
      </c>
      <c r="I303" s="17">
        <f>F303*H303</f>
        <v/>
      </c>
    </row>
    <row r="304">
      <c r="A304" t="n">
        <v>40</v>
      </c>
      <c r="B304" s="21" t="inlineStr">
        <is>
          <t>Pan de Pulque y Masa Madre Tradicional de Molde</t>
        </is>
      </c>
      <c r="C304" t="inlineStr">
        <is>
          <t>acabado</t>
        </is>
      </c>
      <c r="D304" s="22" t="inlineStr">
        <is>
          <t>25 g Semillas de ajonjolí tostado en comal</t>
        </is>
      </c>
      <c r="E304" s="6" t="inlineStr">
        <is>
          <t>Semilla de sésamo o ajonjolí</t>
        </is>
      </c>
      <c r="F304" s="16" t="n">
        <v>25</v>
      </c>
      <c r="G304" t="inlineStr">
        <is>
          <t>g</t>
        </is>
      </c>
      <c r="H304" s="12">
        <f>IFERROR(VLOOKUP(E304,Insumos!$C$5:$G$64,5,FALSE),0)</f>
        <v/>
      </c>
      <c r="I304" s="17">
        <f>F304*H304</f>
        <v/>
      </c>
    </row>
    <row r="305">
      <c r="A305" t="n">
        <v>41</v>
      </c>
      <c r="B305" s="21" t="inlineStr">
        <is>
          <t>Panettone Milanés Tradicional con Pasta Madre Sólida (Pasta Madre Viva a 3 Rinfreschi)</t>
        </is>
      </c>
      <c r="C305" t="inlineStr">
        <is>
          <t>previa</t>
        </is>
      </c>
      <c r="D305" s="22" t="inlineStr">
        <is>
          <t>400 g Harina de fuerza técnica especial Panettone (W 380-400, P/L 0.55-0.6, 15% proteína)</t>
        </is>
      </c>
      <c r="E305" s="6" t="inlineStr">
        <is>
          <t>Harina de gran fuerza (W 350+) o de panettone</t>
        </is>
      </c>
      <c r="F305" s="16" t="n">
        <v>400</v>
      </c>
      <c r="G305" t="inlineStr">
        <is>
          <t>g</t>
        </is>
      </c>
      <c r="H305" s="12">
        <f>IFERROR(VLOOKUP(E305,Insumos!$C$5:$G$64,5,FALSE),0)</f>
        <v/>
      </c>
      <c r="I305" s="17">
        <f>F305*H305</f>
        <v/>
      </c>
    </row>
    <row r="306">
      <c r="A306" t="n">
        <v>41</v>
      </c>
      <c r="B306" s="21" t="inlineStr">
        <is>
          <t>Panettone Milanés Tradicional con Pasta Madre Sólida (Pasta Madre Viva a 3 Rinfreschi)</t>
        </is>
      </c>
      <c r="C306" t="inlineStr">
        <is>
          <t>previa</t>
        </is>
      </c>
      <c r="D306" s="22" t="inlineStr">
        <is>
          <t>130 g Pasta Madre sólida al 50% de hidratación (en punto pico exacto tras el tercer refresco)</t>
        </is>
      </c>
      <c r="E306" s="6" t="inlineStr">
        <is>
          <t>Pasta madre sólida 50% (cultivada)</t>
        </is>
      </c>
      <c r="F306" s="16" t="n">
        <v>130</v>
      </c>
      <c r="G306" t="inlineStr">
        <is>
          <t>g</t>
        </is>
      </c>
      <c r="H306" s="12">
        <f>IFERROR(VLOOKUP(E306,Insumos!$C$5:$G$64,5,FALSE),0)</f>
        <v/>
      </c>
      <c r="I306" s="17">
        <f>F306*H306</f>
        <v/>
      </c>
    </row>
    <row r="307">
      <c r="A307" t="n">
        <v>41</v>
      </c>
      <c r="B307" s="21" t="inlineStr">
        <is>
          <t>Panettone Milanés Tradicional con Pasta Madre Sólida (Pasta Madre Viva a 3 Rinfreschi)</t>
        </is>
      </c>
      <c r="C307" t="inlineStr">
        <is>
          <t>previa</t>
        </is>
      </c>
      <c r="D307" s="22" t="inlineStr">
        <is>
          <t>190 ml Agua purificada a 22 °C</t>
        </is>
      </c>
      <c r="E307" s="6" t="inlineStr">
        <is>
          <t>Agua purificada</t>
        </is>
      </c>
      <c r="F307" s="16" t="n">
        <v>190</v>
      </c>
      <c r="G307" t="inlineStr">
        <is>
          <t>ml</t>
        </is>
      </c>
      <c r="H307" s="12">
        <f>IFERROR(VLOOKUP(E307,Insumos!$C$5:$G$64,5,FALSE),0)</f>
        <v/>
      </c>
      <c r="I307" s="17">
        <f>F307*H307</f>
        <v/>
      </c>
    </row>
    <row r="308">
      <c r="A308" t="n">
        <v>41</v>
      </c>
      <c r="B308" s="21" t="inlineStr">
        <is>
          <t>Panettone Milanés Tradicional con Pasta Madre Sólida (Pasta Madre Viva a 3 Rinfreschi)</t>
        </is>
      </c>
      <c r="C308" t="inlineStr">
        <is>
          <t>previa</t>
        </is>
      </c>
      <c r="D308" s="22" t="inlineStr">
        <is>
          <t>120 g Azúcar blanco refinado fino</t>
        </is>
      </c>
      <c r="E308" s="6" t="inlineStr">
        <is>
          <t>Azúcar blanco refinado</t>
        </is>
      </c>
      <c r="F308" s="16" t="n">
        <v>120</v>
      </c>
      <c r="G308" t="inlineStr">
        <is>
          <t>g</t>
        </is>
      </c>
      <c r="H308" s="12">
        <f>IFERROR(VLOOKUP(E308,Insumos!$C$5:$G$64,5,FALSE),0)</f>
        <v/>
      </c>
      <c r="I308" s="17">
        <f>F308*H308</f>
        <v/>
      </c>
    </row>
    <row r="309">
      <c r="A309" t="n">
        <v>41</v>
      </c>
      <c r="B309" s="21" t="inlineStr">
        <is>
          <t>Panettone Milanés Tradicional con Pasta Madre Sólida (Pasta Madre Viva a 3 Rinfreschi)</t>
        </is>
      </c>
      <c r="C309" t="inlineStr">
        <is>
          <t>previa</t>
        </is>
      </c>
      <c r="D309" s="22" t="inlineStr">
        <is>
          <t>140 g Yemas de huevo camperas a 18 °C (aprox. 7 yemas)</t>
        </is>
      </c>
      <c r="E309" s="6" t="inlineStr">
        <is>
          <t>Yema de huevo</t>
        </is>
      </c>
      <c r="F309" s="16" t="n">
        <v>140</v>
      </c>
      <c r="G309" t="inlineStr">
        <is>
          <t>g</t>
        </is>
      </c>
      <c r="H309" s="12">
        <f>IFERROR(VLOOKUP(E309,Insumos!$C$5:$G$64,5,FALSE),0)</f>
        <v/>
      </c>
      <c r="I309" s="17">
        <f>F309*H309</f>
        <v/>
      </c>
    </row>
    <row r="310">
      <c r="A310" t="n">
        <v>41</v>
      </c>
      <c r="B310" s="21" t="inlineStr">
        <is>
          <t>Panettone Milanés Tradicional con Pasta Madre Sólida (Pasta Madre Viva a 3 Rinfreschi)</t>
        </is>
      </c>
      <c r="C310" t="inlineStr">
        <is>
          <t>previa</t>
        </is>
      </c>
      <c r="D310" s="22" t="inlineStr">
        <is>
          <t>140 g Mantequilla sin sal de alta calidad (84% M.G.) pomada a 18 °C</t>
        </is>
      </c>
      <c r="E310" s="6" t="inlineStr">
        <is>
          <t>Mantequilla sin sal 82% M.G.</t>
        </is>
      </c>
      <c r="F310" s="16" t="n">
        <v>140</v>
      </c>
      <c r="G310" t="inlineStr">
        <is>
          <t>g</t>
        </is>
      </c>
      <c r="H310" s="12">
        <f>IFERROR(VLOOKUP(E310,Insumos!$C$5:$G$64,5,FALSE),0)</f>
        <v/>
      </c>
      <c r="I310" s="17">
        <f>F310*H310</f>
        <v/>
      </c>
    </row>
    <row r="311">
      <c r="A311" t="n">
        <v>41</v>
      </c>
      <c r="B311" s="21" t="inlineStr">
        <is>
          <t>Panettone Milanés Tradicional con Pasta Madre Sólida (Pasta Madre Viva a 3 Rinfreschi)</t>
        </is>
      </c>
      <c r="C311" t="inlineStr">
        <is>
          <t>masa</t>
        </is>
      </c>
      <c r="D311" s="22" t="inlineStr">
        <is>
          <t>100 g Harina de fuerza Panettone (W 380-400)</t>
        </is>
      </c>
      <c r="E311" s="6" t="inlineStr">
        <is>
          <t>Harina de gran fuerza (W 350+) o de panettone</t>
        </is>
      </c>
      <c r="F311" s="16" t="n">
        <v>100</v>
      </c>
      <c r="G311" t="inlineStr">
        <is>
          <t>g</t>
        </is>
      </c>
      <c r="H311" s="12">
        <f>IFERROR(VLOOKUP(E311,Insumos!$C$5:$G$64,5,FALSE),0)</f>
        <v/>
      </c>
      <c r="I311" s="17">
        <f>F311*H311</f>
        <v/>
      </c>
    </row>
    <row r="312">
      <c r="A312" t="n">
        <v>41</v>
      </c>
      <c r="B312" s="21" t="inlineStr">
        <is>
          <t>Panettone Milanés Tradicional con Pasta Madre Sólida (Pasta Madre Viva a 3 Rinfreschi)</t>
        </is>
      </c>
      <c r="C312" t="inlineStr">
        <is>
          <t>masa</t>
        </is>
      </c>
      <c r="D312" s="22" t="inlineStr">
        <is>
          <t>100 g Azúcar blanco refinado fino</t>
        </is>
      </c>
      <c r="E312" s="6" t="inlineStr">
        <is>
          <t>Azúcar blanco refinado</t>
        </is>
      </c>
      <c r="F312" s="16" t="n">
        <v>100</v>
      </c>
      <c r="G312" t="inlineStr">
        <is>
          <t>g</t>
        </is>
      </c>
      <c r="H312" s="12">
        <f>IFERROR(VLOOKUP(E312,Insumos!$C$5:$G$64,5,FALSE),0)</f>
        <v/>
      </c>
      <c r="I312" s="17">
        <f>F312*H312</f>
        <v/>
      </c>
    </row>
    <row r="313">
      <c r="A313" t="n">
        <v>41</v>
      </c>
      <c r="B313" s="21" t="inlineStr">
        <is>
          <t>Panettone Milanés Tradicional con Pasta Madre Sólida (Pasta Madre Viva a 3 Rinfreschi)</t>
        </is>
      </c>
      <c r="C313" t="inlineStr">
        <is>
          <t>masa</t>
        </is>
      </c>
      <c r="D313" s="22" t="inlineStr">
        <is>
          <t>130 g Yemas de huevo camperas a 18 °C</t>
        </is>
      </c>
      <c r="E313" s="6" t="inlineStr">
        <is>
          <t>Yema de huevo</t>
        </is>
      </c>
      <c r="F313" s="16" t="n">
        <v>130</v>
      </c>
      <c r="G313" t="inlineStr">
        <is>
          <t>g</t>
        </is>
      </c>
      <c r="H313" s="12">
        <f>IFERROR(VLOOKUP(E313,Insumos!$C$5:$G$64,5,FALSE),0)</f>
        <v/>
      </c>
      <c r="I313" s="17">
        <f>F313*H313</f>
        <v/>
      </c>
    </row>
    <row r="314">
      <c r="A314" t="n">
        <v>41</v>
      </c>
      <c r="B314" s="21" t="inlineStr">
        <is>
          <t>Panettone Milanés Tradicional con Pasta Madre Sólida (Pasta Madre Viva a 3 Rinfreschi)</t>
        </is>
      </c>
      <c r="C314" t="inlineStr">
        <is>
          <t>masa</t>
        </is>
      </c>
      <c r="D314" s="22" t="inlineStr">
        <is>
          <t>160 g Mantequilla sin sal pomada a 18 °C</t>
        </is>
      </c>
      <c r="E314" s="6" t="inlineStr">
        <is>
          <t>Mantequilla sin sal 82% M.G.</t>
        </is>
      </c>
      <c r="F314" s="16" t="n">
        <v>160</v>
      </c>
      <c r="G314" t="inlineStr">
        <is>
          <t>g</t>
        </is>
      </c>
      <c r="H314" s="12">
        <f>IFERROR(VLOOKUP(E314,Insumos!$C$5:$G$64,5,FALSE),0)</f>
        <v/>
      </c>
      <c r="I314" s="17">
        <f>F314*H314</f>
        <v/>
      </c>
    </row>
    <row r="315">
      <c r="A315" t="n">
        <v>41</v>
      </c>
      <c r="B315" s="21" t="inlineStr">
        <is>
          <t>Panettone Milanés Tradicional con Pasta Madre Sólida (Pasta Madre Viva a 3 Rinfreschi)</t>
        </is>
      </c>
      <c r="C315" t="inlineStr">
        <is>
          <t>masa</t>
        </is>
      </c>
      <c r="D315" s="22" t="inlineStr">
        <is>
          <t>10 g Sal marina fina</t>
        </is>
      </c>
      <c r="E315" s="6" t="inlineStr">
        <is>
          <t>Sal marina fina no refinada</t>
        </is>
      </c>
      <c r="F315" s="16" t="n">
        <v>10</v>
      </c>
      <c r="G315" t="inlineStr">
        <is>
          <t>g</t>
        </is>
      </c>
      <c r="H315" s="12">
        <f>IFERROR(VLOOKUP(E315,Insumos!$C$5:$G$64,5,FALSE),0)</f>
        <v/>
      </c>
      <c r="I315" s="17">
        <f>F315*H315</f>
        <v/>
      </c>
    </row>
    <row r="316">
      <c r="A316" t="n">
        <v>41</v>
      </c>
      <c r="B316" s="21" t="inlineStr">
        <is>
          <t>Panettone Milanés Tradicional con Pasta Madre Sólida (Pasta Madre Viva a 3 Rinfreschi)</t>
        </is>
      </c>
      <c r="C316" t="inlineStr">
        <is>
          <t>masa</t>
        </is>
      </c>
      <c r="D316" s="22" t="inlineStr">
        <is>
          <t>25 g Miel de acacia o azahar pura</t>
        </is>
      </c>
      <c r="E316" s="6" t="inlineStr">
        <is>
          <t>Miel de abeja</t>
        </is>
      </c>
      <c r="F316" s="16" t="n">
        <v>25</v>
      </c>
      <c r="G316" t="inlineStr">
        <is>
          <t>g</t>
        </is>
      </c>
      <c r="H316" s="12">
        <f>IFERROR(VLOOKUP(E316,Insumos!$C$5:$G$64,5,FALSE),0)</f>
        <v/>
      </c>
      <c r="I316" s="17">
        <f>F316*H316</f>
        <v/>
      </c>
    </row>
    <row r="317">
      <c r="A317" t="n">
        <v>41</v>
      </c>
      <c r="B317" s="21" t="inlineStr">
        <is>
          <t>Panettone Milanés Tradicional con Pasta Madre Sólida (Pasta Madre Viva a 3 Rinfreschi)</t>
        </is>
      </c>
      <c r="C317" t="inlineStr">
        <is>
          <t>masa</t>
        </is>
      </c>
      <c r="D317" s="22" t="inlineStr">
        <is>
          <t>1 Vaina entera de vainilla Bourbon de Madagascar (semillas raspadas)</t>
        </is>
      </c>
      <c r="E317" s="6" t="inlineStr">
        <is>
          <t>Vaina de vainilla Bourbon</t>
        </is>
      </c>
      <c r="F317" s="16" t="n">
        <v>1</v>
      </c>
      <c r="G317" t="inlineStr">
        <is>
          <t>pz</t>
        </is>
      </c>
      <c r="H317" s="12">
        <f>IFERROR(VLOOKUP(E317,Insumos!$C$5:$G$64,5,FALSE),0)</f>
        <v/>
      </c>
      <c r="I317" s="17">
        <f>F317*H317</f>
        <v/>
      </c>
    </row>
    <row r="318">
      <c r="A318" t="n">
        <v>41</v>
      </c>
      <c r="B318" s="21" t="inlineStr">
        <is>
          <t>Panettone Milanés Tradicional con Pasta Madre Sólida (Pasta Madre Viva a 3 Rinfreschi)</t>
        </is>
      </c>
      <c r="C318" t="inlineStr">
        <is>
          <t>masa</t>
        </is>
      </c>
      <c r="D318" s="22" t="inlineStr">
        <is>
          <t>Ralladura fina de 2 naranjas dulces y 1 limón amarillo</t>
        </is>
      </c>
      <c r="E318" s="6" t="inlineStr">
        <is>
          <t>Naranja o limón</t>
        </is>
      </c>
      <c r="F318" s="16" t="n">
        <v>300</v>
      </c>
      <c r="G318" t="inlineStr">
        <is>
          <t>g</t>
        </is>
      </c>
      <c r="H318" s="12">
        <f>IFERROR(VLOOKUP(E318,Insumos!$C$5:$G$64,5,FALSE),0)</f>
        <v/>
      </c>
      <c r="I318" s="17">
        <f>F318*H318</f>
        <v/>
      </c>
    </row>
    <row r="319">
      <c r="A319" t="n">
        <v>41</v>
      </c>
      <c r="B319" s="21" t="inlineStr">
        <is>
          <t>Panettone Milanés Tradicional con Pasta Madre Sólida (Pasta Madre Viva a 3 Rinfreschi)</t>
        </is>
      </c>
      <c r="C319" t="inlineStr">
        <is>
          <t>masa</t>
        </is>
      </c>
      <c r="D319" s="22" t="inlineStr">
        <is>
          <t>200 g Pasas sultanas maceradas en agua tibia y meticulosamente secadas durante 12 horas</t>
        </is>
      </c>
      <c r="E319" s="6" t="inlineStr">
        <is>
          <t>Pasas sultanas</t>
        </is>
      </c>
      <c r="F319" s="16" t="n">
        <v>200</v>
      </c>
      <c r="G319" t="inlineStr">
        <is>
          <t>g</t>
        </is>
      </c>
      <c r="H319" s="12">
        <f>IFERROR(VLOOKUP(E319,Insumos!$C$5:$G$64,5,FALSE),0)</f>
        <v/>
      </c>
      <c r="I319" s="17">
        <f>F319*H319</f>
        <v/>
      </c>
    </row>
    <row r="320">
      <c r="A320" t="n">
        <v>41</v>
      </c>
      <c r="B320" s="21" t="inlineStr">
        <is>
          <t>Panettone Milanés Tradicional con Pasta Madre Sólida (Pasta Madre Viva a 3 Rinfreschi)</t>
        </is>
      </c>
      <c r="C320" t="inlineStr">
        <is>
          <t>masa</t>
        </is>
      </c>
      <c r="D320" s="22" t="inlineStr">
        <is>
          <t>150 g Naranja confitada artesanal en cubos de 6 mm</t>
        </is>
      </c>
      <c r="E320" s="6" t="inlineStr">
        <is>
          <t>Naranja confitada en cubos</t>
        </is>
      </c>
      <c r="F320" s="16" t="n">
        <v>150</v>
      </c>
      <c r="G320" t="inlineStr">
        <is>
          <t>g</t>
        </is>
      </c>
      <c r="H320" s="12">
        <f>IFERROR(VLOOKUP(E320,Insumos!$C$5:$G$64,5,FALSE),0)</f>
        <v/>
      </c>
      <c r="I320" s="17">
        <f>F320*H320</f>
        <v/>
      </c>
    </row>
    <row r="321">
      <c r="A321" t="n">
        <v>42</v>
      </c>
      <c r="B321" s="21" t="inlineStr">
        <is>
          <t>Bagels Tradicionales Estilo Montreal Hervidos con Masa Madre</t>
        </is>
      </c>
      <c r="C321" t="inlineStr">
        <is>
          <t>masa</t>
        </is>
      </c>
      <c r="D321" s="22" t="inlineStr">
        <is>
          <t>500 g Harina de trigo de gran fuerza (W 320-350, 13.5% proteína, P/L 0.6) (100%)</t>
        </is>
      </c>
      <c r="E321" s="6" t="inlineStr">
        <is>
          <t>Harina de gran fuerza (W 350+) o de panettone</t>
        </is>
      </c>
      <c r="F321" s="16" t="n">
        <v>500</v>
      </c>
      <c r="G321" t="inlineStr">
        <is>
          <t>g</t>
        </is>
      </c>
      <c r="H321" s="12">
        <f>IFERROR(VLOOKUP(E321,Insumos!$C$5:$G$64,5,FALSE),0)</f>
        <v/>
      </c>
      <c r="I321" s="17">
        <f>F321*H321</f>
        <v/>
      </c>
    </row>
    <row r="322">
      <c r="A322" t="n">
        <v>42</v>
      </c>
      <c r="B322" s="21" t="inlineStr">
        <is>
          <t>Bagels Tradicionales Estilo Montreal Hervidos con Masa Madre</t>
        </is>
      </c>
      <c r="C322" t="inlineStr">
        <is>
          <t>masa</t>
        </is>
      </c>
      <c r="D322" s="22" t="inlineStr">
        <is>
          <t>240 ml Agua purificada fría a 15 °C (48% agua añadida; 56% hidratación total)</t>
        </is>
      </c>
      <c r="E322" s="6" t="inlineStr">
        <is>
          <t>Agua purificada</t>
        </is>
      </c>
      <c r="F322" s="16" t="n">
        <v>240</v>
      </c>
      <c r="G322" t="inlineStr">
        <is>
          <t>ml</t>
        </is>
      </c>
      <c r="H322" s="12">
        <f>IFERROR(VLOOKUP(E322,Insumos!$C$5:$G$64,5,FALSE),0)</f>
        <v/>
      </c>
      <c r="I322" s="17">
        <f>F322*H322</f>
        <v/>
      </c>
    </row>
    <row r="323">
      <c r="A323" t="n">
        <v>42</v>
      </c>
      <c r="B323" s="21" t="inlineStr">
        <is>
          <t>Bagels Tradicionales Estilo Montreal Hervidos con Masa Madre</t>
        </is>
      </c>
      <c r="C323" t="inlineStr">
        <is>
          <t>masa</t>
        </is>
      </c>
      <c r="D323" s="22" t="inlineStr">
        <is>
          <t>100 g Masa madre activa al 100% de hidratación (20%)</t>
        </is>
      </c>
      <c r="E323" s="6" t="inlineStr">
        <is>
          <t>Masa madre blanca activa 100% (cultivada)</t>
        </is>
      </c>
      <c r="F323" s="16" t="n">
        <v>100</v>
      </c>
      <c r="G323" t="inlineStr">
        <is>
          <t>g</t>
        </is>
      </c>
      <c r="H323" s="12">
        <f>IFERROR(VLOOKUP(E323,Insumos!$C$5:$G$64,5,FALSE),0)</f>
        <v/>
      </c>
      <c r="I323" s="17">
        <f>F323*H323</f>
        <v/>
      </c>
    </row>
    <row r="324">
      <c r="A324" t="n">
        <v>42</v>
      </c>
      <c r="B324" s="21" t="inlineStr">
        <is>
          <t>Bagels Tradicionales Estilo Montreal Hervidos con Masa Madre</t>
        </is>
      </c>
      <c r="C324" t="inlineStr">
        <is>
          <t>masa</t>
        </is>
      </c>
      <c r="D324" s="22" t="inlineStr">
        <is>
          <t>1 Huevo campero entero (50 g) (10%, sella la textura de Montreal)</t>
        </is>
      </c>
      <c r="E324" s="6" t="inlineStr">
        <is>
          <t>Huevo campero</t>
        </is>
      </c>
      <c r="F324" s="16" t="n">
        <v>1</v>
      </c>
      <c r="G324" t="inlineStr">
        <is>
          <t>pz</t>
        </is>
      </c>
      <c r="H324" s="12">
        <f>IFERROR(VLOOKUP(E324,Insumos!$C$5:$G$64,5,FALSE),0)</f>
        <v/>
      </c>
      <c r="I324" s="17">
        <f>F324*H324</f>
        <v/>
      </c>
    </row>
    <row r="325">
      <c r="A325" t="n">
        <v>42</v>
      </c>
      <c r="B325" s="21" t="inlineStr">
        <is>
          <t>Bagels Tradicionales Estilo Montreal Hervidos con Masa Madre</t>
        </is>
      </c>
      <c r="C325" t="inlineStr">
        <is>
          <t>masa</t>
        </is>
      </c>
      <c r="D325" s="22" t="inlineStr">
        <is>
          <t>40 g Miel de abeja pura o jarabe de malta de cebada (8%, en masa)</t>
        </is>
      </c>
      <c r="E325" s="6" t="inlineStr">
        <is>
          <t>Miel de abeja</t>
        </is>
      </c>
      <c r="F325" s="16" t="n">
        <v>40</v>
      </c>
      <c r="G325" t="inlineStr">
        <is>
          <t>g</t>
        </is>
      </c>
      <c r="H325" s="12">
        <f>IFERROR(VLOOKUP(E325,Insumos!$C$5:$G$64,5,FALSE),0)</f>
        <v/>
      </c>
      <c r="I325" s="17">
        <f>F325*H325</f>
        <v/>
      </c>
    </row>
    <row r="326">
      <c r="A326" t="n">
        <v>42</v>
      </c>
      <c r="B326" s="21" t="inlineStr">
        <is>
          <t>Bagels Tradicionales Estilo Montreal Hervidos con Masa Madre</t>
        </is>
      </c>
      <c r="C326" t="inlineStr">
        <is>
          <t>masa</t>
        </is>
      </c>
      <c r="D326" s="22" t="inlineStr">
        <is>
          <t>25 ml Aceite vegetal de sabor neutro (5%)</t>
        </is>
      </c>
      <c r="E326" s="6" t="inlineStr">
        <is>
          <t>Aceite vegetal neutro</t>
        </is>
      </c>
      <c r="F326" s="16" t="n">
        <v>25</v>
      </c>
      <c r="G326" t="inlineStr">
        <is>
          <t>ml</t>
        </is>
      </c>
      <c r="H326" s="12">
        <f>IFERROR(VLOOKUP(E326,Insumos!$C$5:$G$64,5,FALSE),0)</f>
        <v/>
      </c>
      <c r="I326" s="17">
        <f>F326*H326</f>
        <v/>
      </c>
    </row>
    <row r="327">
      <c r="A327" t="n">
        <v>42</v>
      </c>
      <c r="B327" s="21" t="inlineStr">
        <is>
          <t>Bagels Tradicionales Estilo Montreal Hervidos con Masa Madre</t>
        </is>
      </c>
      <c r="C327" t="inlineStr">
        <is>
          <t>masa</t>
        </is>
      </c>
      <c r="D327" s="22" t="inlineStr">
        <is>
          <t>10 g Sal marina fina (2%)</t>
        </is>
      </c>
      <c r="E327" s="6" t="inlineStr">
        <is>
          <t>Sal marina fina no refinada</t>
        </is>
      </c>
      <c r="F327" s="16" t="n">
        <v>10</v>
      </c>
      <c r="G327" t="inlineStr">
        <is>
          <t>g</t>
        </is>
      </c>
      <c r="H327" s="12">
        <f>IFERROR(VLOOKUP(E327,Insumos!$C$5:$G$64,5,FALSE),0)</f>
        <v/>
      </c>
      <c r="I327" s="17">
        <f>F327*H327</f>
        <v/>
      </c>
    </row>
    <row r="328">
      <c r="A328" t="n">
        <v>42</v>
      </c>
      <c r="B328" s="21" t="inlineStr">
        <is>
          <t>Bagels Tradicionales Estilo Montreal Hervidos con Masa Madre</t>
        </is>
      </c>
      <c r="C328" t="inlineStr">
        <is>
          <t>previa</t>
        </is>
      </c>
      <c r="D328" s="22" t="inlineStr">
        <is>
          <t>3 Litros de agua purificada</t>
        </is>
      </c>
      <c r="E328" s="6" t="inlineStr">
        <is>
          <t>Agua purificada</t>
        </is>
      </c>
      <c r="F328" s="16" t="n">
        <v>3000</v>
      </c>
      <c r="G328" t="inlineStr">
        <is>
          <t>ml</t>
        </is>
      </c>
      <c r="H328" s="12">
        <f>IFERROR(VLOOKUP(E328,Insumos!$C$5:$G$64,5,FALSE),0)</f>
        <v/>
      </c>
      <c r="I328" s="17">
        <f>F328*H328</f>
        <v/>
      </c>
    </row>
    <row r="329">
      <c r="A329" t="n">
        <v>42</v>
      </c>
      <c r="B329" s="21" t="inlineStr">
        <is>
          <t>Bagels Tradicionales Estilo Montreal Hervidos con Masa Madre</t>
        </is>
      </c>
      <c r="C329" t="inlineStr">
        <is>
          <t>previa</t>
        </is>
      </c>
      <c r="D329" s="22" t="inlineStr">
        <is>
          <t>80 g Miel de abeja pura o jarabe de malta disuelta en el agua hirviendo</t>
        </is>
      </c>
      <c r="E329" s="6" t="inlineStr">
        <is>
          <t>Miel de abeja</t>
        </is>
      </c>
      <c r="F329" s="16" t="n">
        <v>80</v>
      </c>
      <c r="G329" t="inlineStr">
        <is>
          <t>g</t>
        </is>
      </c>
      <c r="H329" s="12">
        <f>IFERROR(VLOOKUP(E329,Insumos!$C$5:$G$64,5,FALSE),0)</f>
        <v/>
      </c>
      <c r="I329" s="17">
        <f>F329*H329</f>
        <v/>
      </c>
    </row>
    <row r="330">
      <c r="A330" t="n">
        <v>42</v>
      </c>
      <c r="B330" s="21" t="inlineStr">
        <is>
          <t>Bagels Tradicionales Estilo Montreal Hervidos con Masa Madre</t>
        </is>
      </c>
      <c r="C330" t="inlineStr">
        <is>
          <t>masa</t>
        </is>
      </c>
      <c r="D330" s="22" t="inlineStr">
        <is>
          <t>100 g Semillas de sésamo blanco tostado o amapola negra</t>
        </is>
      </c>
      <c r="E330" s="6" t="inlineStr">
        <is>
          <t>Semilla de sésamo o ajonjolí</t>
        </is>
      </c>
      <c r="F330" s="16" t="n">
        <v>100</v>
      </c>
      <c r="G330" t="inlineStr">
        <is>
          <t>g</t>
        </is>
      </c>
      <c r="H330" s="12">
        <f>IFERROR(VLOOKUP(E330,Insumos!$C$5:$G$64,5,FALSE),0)</f>
        <v/>
      </c>
      <c r="I330" s="17">
        <f>F330*H330</f>
        <v/>
      </c>
    </row>
    <row r="331">
      <c r="A331" t="n">
        <v>43</v>
      </c>
      <c r="B331" s="21" t="inlineStr">
        <is>
          <t>Masa de Pizza Napolitana Contemporánea (Canotto de 48 Horas con Levain)</t>
        </is>
      </c>
      <c r="C331" t="inlineStr">
        <is>
          <t>masa</t>
        </is>
      </c>
      <c r="D331" s="22" t="inlineStr">
        <is>
          <t>600 g Harina de trigo tipo 00 de fuerza media-alta (W 300-320, P/L 0.55, 13% proteína) (100%)</t>
        </is>
      </c>
      <c r="E331" s="6" t="inlineStr">
        <is>
          <t>Harina francesa T65 o tipo 00</t>
        </is>
      </c>
      <c r="F331" s="16" t="n">
        <v>600</v>
      </c>
      <c r="G331" t="inlineStr">
        <is>
          <t>g</t>
        </is>
      </c>
      <c r="H331" s="12">
        <f>IFERROR(VLOOKUP(E331,Insumos!$C$5:$G$64,5,FALSE),0)</f>
        <v/>
      </c>
      <c r="I331" s="17">
        <f>F331*H331</f>
        <v/>
      </c>
    </row>
    <row r="332">
      <c r="A332" t="n">
        <v>43</v>
      </c>
      <c r="B332" s="21" t="inlineStr">
        <is>
          <t>Masa de Pizza Napolitana Contemporánea (Canotto de 48 Horas con Levain)</t>
        </is>
      </c>
      <c r="C332" t="inlineStr">
        <is>
          <t>masa</t>
        </is>
      </c>
      <c r="D332" s="22" t="inlineStr">
        <is>
          <t>400 ml Agua purificada fría a 12 °C (66.6% agua añadida; 70% hidratación total sumando el levain)</t>
        </is>
      </c>
      <c r="E332" s="6" t="inlineStr">
        <is>
          <t>Agua purificada</t>
        </is>
      </c>
      <c r="F332" s="16" t="n">
        <v>400</v>
      </c>
      <c r="G332" t="inlineStr">
        <is>
          <t>ml</t>
        </is>
      </c>
      <c r="H332" s="12">
        <f>IFERROR(VLOOKUP(E332,Insumos!$C$5:$G$64,5,FALSE),0)</f>
        <v/>
      </c>
      <c r="I332" s="17">
        <f>F332*H332</f>
        <v/>
      </c>
    </row>
    <row r="333">
      <c r="A333" t="n">
        <v>43</v>
      </c>
      <c r="B333" s="21" t="inlineStr">
        <is>
          <t>Masa de Pizza Napolitana Contemporánea (Canotto de 48 Horas con Levain)</t>
        </is>
      </c>
      <c r="C333" t="inlineStr">
        <is>
          <t>masa</t>
        </is>
      </c>
      <c r="D333" s="22" t="inlineStr">
        <is>
          <t>60 g Masa madre activa al 100% de hidratación (10%, inoculación reducida para fermentación larga)</t>
        </is>
      </c>
      <c r="E333" s="6" t="inlineStr">
        <is>
          <t>Masa madre blanca activa 100% (cultivada)</t>
        </is>
      </c>
      <c r="F333" s="16" t="n">
        <v>60</v>
      </c>
      <c r="G333" t="inlineStr">
        <is>
          <t>g</t>
        </is>
      </c>
      <c r="H333" s="12">
        <f>IFERROR(VLOOKUP(E333,Insumos!$C$5:$G$64,5,FALSE),0)</f>
        <v/>
      </c>
      <c r="I333" s="17">
        <f>F333*H333</f>
        <v/>
      </c>
    </row>
    <row r="334">
      <c r="A334" t="n">
        <v>43</v>
      </c>
      <c r="B334" s="21" t="inlineStr">
        <is>
          <t>Masa de Pizza Napolitana Contemporánea (Canotto de 48 Horas con Levain)</t>
        </is>
      </c>
      <c r="C334" t="inlineStr">
        <is>
          <t>masa</t>
        </is>
      </c>
      <c r="D334" s="22" t="inlineStr">
        <is>
          <t>16 g Sal marina fina no refinada (2.7%)</t>
        </is>
      </c>
      <c r="E334" s="6" t="inlineStr">
        <is>
          <t>Sal marina fina no refinada</t>
        </is>
      </c>
      <c r="F334" s="16" t="n">
        <v>16</v>
      </c>
      <c r="G334" t="inlineStr">
        <is>
          <t>g</t>
        </is>
      </c>
      <c r="H334" s="12">
        <f>IFERROR(VLOOKUP(E334,Insumos!$C$5:$G$64,5,FALSE),0)</f>
        <v/>
      </c>
      <c r="I334" s="17">
        <f>F334*H334</f>
        <v/>
      </c>
    </row>
    <row r="335">
      <c r="A335" t="n">
        <v>44</v>
      </c>
      <c r="B335" s="21" t="inlineStr">
        <is>
          <t>Pan Pita Árabe Inflado de Masa Madre en Horno de Alta Temperatura</t>
        </is>
      </c>
      <c r="C335" t="inlineStr">
        <is>
          <t>masa</t>
        </is>
      </c>
      <c r="D335" s="22" t="inlineStr">
        <is>
          <t>425 g Harina de trigo panificable (W 240, 11.8% proteína) (85%)</t>
        </is>
      </c>
      <c r="E335" s="6" t="inlineStr">
        <is>
          <t>Harina panificable de fuerza (W 280-300)</t>
        </is>
      </c>
      <c r="F335" s="16" t="n">
        <v>425</v>
      </c>
      <c r="G335" t="inlineStr">
        <is>
          <t>g</t>
        </is>
      </c>
      <c r="H335" s="12">
        <f>IFERROR(VLOOKUP(E335,Insumos!$C$5:$G$64,5,FALSE),0)</f>
        <v/>
      </c>
      <c r="I335" s="17">
        <f>F335*H335</f>
        <v/>
      </c>
    </row>
    <row r="336">
      <c r="A336" t="n">
        <v>44</v>
      </c>
      <c r="B336" s="21" t="inlineStr">
        <is>
          <t>Pan Pita Árabe Inflado de Masa Madre en Horno de Alta Temperatura</t>
        </is>
      </c>
      <c r="C336" t="inlineStr">
        <is>
          <t>masa</t>
        </is>
      </c>
      <c r="D336" s="22" t="inlineStr">
        <is>
          <t>75 g Harina de trigo integral fina (15%)</t>
        </is>
      </c>
      <c r="E336" s="6" t="inlineStr">
        <is>
          <t>Harina de trigo integral de molienda a la piedra</t>
        </is>
      </c>
      <c r="F336" s="16" t="n">
        <v>75</v>
      </c>
      <c r="G336" t="inlineStr">
        <is>
          <t>g</t>
        </is>
      </c>
      <c r="H336" s="12">
        <f>IFERROR(VLOOKUP(E336,Insumos!$C$5:$G$64,5,FALSE),0)</f>
        <v/>
      </c>
      <c r="I336" s="17">
        <f>F336*H336</f>
        <v/>
      </c>
    </row>
    <row r="337">
      <c r="A337" t="n">
        <v>44</v>
      </c>
      <c r="B337" s="21" t="inlineStr">
        <is>
          <t>Pan Pita Árabe Inflado de Masa Madre en Horno de Alta Temperatura</t>
        </is>
      </c>
      <c r="C337" t="inlineStr">
        <is>
          <t>masa</t>
        </is>
      </c>
      <c r="D337" s="22" t="inlineStr">
        <is>
          <t>305 ml Agua purificada tibia a 26 °C (285 ml iniciales + 20 ml para la sal) (61% agua añadida; 65% hidratación total)</t>
        </is>
      </c>
      <c r="E337" s="6" t="inlineStr">
        <is>
          <t>Agua purificada</t>
        </is>
      </c>
      <c r="F337" s="16" t="n">
        <v>305</v>
      </c>
      <c r="G337" t="inlineStr">
        <is>
          <t>ml</t>
        </is>
      </c>
      <c r="H337" s="12">
        <f>IFERROR(VLOOKUP(E337,Insumos!$C$5:$G$64,5,FALSE),0)</f>
        <v/>
      </c>
      <c r="I337" s="17">
        <f>F337*H337</f>
        <v/>
      </c>
    </row>
    <row r="338">
      <c r="A338" t="n">
        <v>44</v>
      </c>
      <c r="B338" s="21" t="inlineStr">
        <is>
          <t>Pan Pita Árabe Inflado de Masa Madre en Horno de Alta Temperatura</t>
        </is>
      </c>
      <c r="C338" t="inlineStr">
        <is>
          <t>masa</t>
        </is>
      </c>
      <c r="D338" s="22" t="inlineStr">
        <is>
          <t>100 g Masa madre activa al 100% de hidratación (20%)</t>
        </is>
      </c>
      <c r="E338" s="6" t="inlineStr">
        <is>
          <t>Masa madre blanca activa 100% (cultivada)</t>
        </is>
      </c>
      <c r="F338" s="16" t="n">
        <v>100</v>
      </c>
      <c r="G338" t="inlineStr">
        <is>
          <t>g</t>
        </is>
      </c>
      <c r="H338" s="12">
        <f>IFERROR(VLOOKUP(E338,Insumos!$C$5:$G$64,5,FALSE),0)</f>
        <v/>
      </c>
      <c r="I338" s="17">
        <f>F338*H338</f>
        <v/>
      </c>
    </row>
    <row r="339">
      <c r="A339" t="n">
        <v>44</v>
      </c>
      <c r="B339" s="21" t="inlineStr">
        <is>
          <t>Pan Pita Árabe Inflado de Masa Madre en Horno de Alta Temperatura</t>
        </is>
      </c>
      <c r="C339" t="inlineStr">
        <is>
          <t>masa</t>
        </is>
      </c>
      <c r="D339" s="22" t="inlineStr">
        <is>
          <t>10 g Sal marina fina (2%)</t>
        </is>
      </c>
      <c r="E339" s="6" t="inlineStr">
        <is>
          <t>Sal marina fina no refinada</t>
        </is>
      </c>
      <c r="F339" s="16" t="n">
        <v>10</v>
      </c>
      <c r="G339" t="inlineStr">
        <is>
          <t>g</t>
        </is>
      </c>
      <c r="H339" s="12">
        <f>IFERROR(VLOOKUP(E339,Insumos!$C$5:$G$64,5,FALSE),0)</f>
        <v/>
      </c>
      <c r="I339" s="17">
        <f>F339*H339</f>
        <v/>
      </c>
    </row>
    <row r="340">
      <c r="A340" t="n">
        <v>44</v>
      </c>
      <c r="B340" s="21" t="inlineStr">
        <is>
          <t>Pan Pita Árabe Inflado de Masa Madre en Horno de Alta Temperatura</t>
        </is>
      </c>
      <c r="C340" t="inlineStr">
        <is>
          <t>masa</t>
        </is>
      </c>
      <c r="D340" s="22" t="inlineStr">
        <is>
          <t>15 ml Aceite de oliva virgen extra (3%)</t>
        </is>
      </c>
      <c r="E340" s="6" t="inlineStr">
        <is>
          <t>Aceite de oliva virgen extra</t>
        </is>
      </c>
      <c r="F340" s="16" t="n">
        <v>15</v>
      </c>
      <c r="G340" t="inlineStr">
        <is>
          <t>ml</t>
        </is>
      </c>
      <c r="H340" s="12">
        <f>IFERROR(VLOOKUP(E340,Insumos!$C$5:$G$64,5,FALSE),0)</f>
        <v/>
      </c>
      <c r="I340" s="17">
        <f>F340*H340</f>
        <v/>
      </c>
    </row>
    <row r="341">
      <c r="A341" t="n">
        <v>45</v>
      </c>
      <c r="B341" s="21" t="inlineStr">
        <is>
          <t>Naan Tradicional Indio de Masa Madre Cocido en Sartén de Hierro</t>
        </is>
      </c>
      <c r="C341" t="inlineStr">
        <is>
          <t>masa</t>
        </is>
      </c>
      <c r="D341" s="22" t="inlineStr">
        <is>
          <t>450 g Harina de trigo panificable (W 260, 12% proteína) (90%)</t>
        </is>
      </c>
      <c r="E341" s="6" t="inlineStr">
        <is>
          <t>Harina panificable de fuerza (W 280-300)</t>
        </is>
      </c>
      <c r="F341" s="16" t="n">
        <v>450</v>
      </c>
      <c r="G341" t="inlineStr">
        <is>
          <t>g</t>
        </is>
      </c>
      <c r="H341" s="12">
        <f>IFERROR(VLOOKUP(E341,Insumos!$C$5:$G$64,5,FALSE),0)</f>
        <v/>
      </c>
      <c r="I341" s="17">
        <f>F341*H341</f>
        <v/>
      </c>
    </row>
    <row r="342">
      <c r="A342" t="n">
        <v>45</v>
      </c>
      <c r="B342" s="21" t="inlineStr">
        <is>
          <t>Naan Tradicional Indio de Masa Madre Cocido en Sartén de Hierro</t>
        </is>
      </c>
      <c r="C342" t="inlineStr">
        <is>
          <t>masa</t>
        </is>
      </c>
      <c r="D342" s="22" t="inlineStr">
        <is>
          <t>50 g Harina de trigo integral fina (10%)</t>
        </is>
      </c>
      <c r="E342" s="6" t="inlineStr">
        <is>
          <t>Harina de trigo integral de molienda a la piedra</t>
        </is>
      </c>
      <c r="F342" s="16" t="n">
        <v>50</v>
      </c>
      <c r="G342" t="inlineStr">
        <is>
          <t>g</t>
        </is>
      </c>
      <c r="H342" s="12">
        <f>IFERROR(VLOOKUP(E342,Insumos!$C$5:$G$64,5,FALSE),0)</f>
        <v/>
      </c>
      <c r="I342" s="17">
        <f>F342*H342</f>
        <v/>
      </c>
    </row>
    <row r="343">
      <c r="A343" t="n">
        <v>45</v>
      </c>
      <c r="B343" s="21" t="inlineStr">
        <is>
          <t>Naan Tradicional Indio de Masa Madre Cocido en Sartén de Hierro</t>
        </is>
      </c>
      <c r="C343" t="inlineStr">
        <is>
          <t>masa</t>
        </is>
      </c>
      <c r="D343" s="22" t="inlineStr">
        <is>
          <t>160 ml Leche entera pasteurizada tibia a 25 °C (32%)</t>
        </is>
      </c>
      <c r="E343" s="6" t="inlineStr">
        <is>
          <t>Leche entera pasteurizada</t>
        </is>
      </c>
      <c r="F343" s="16" t="n">
        <v>160</v>
      </c>
      <c r="G343" t="inlineStr">
        <is>
          <t>ml</t>
        </is>
      </c>
      <c r="H343" s="12">
        <f>IFERROR(VLOOKUP(E343,Insumos!$C$5:$G$64,5,FALSE),0)</f>
        <v/>
      </c>
      <c r="I343" s="17">
        <f>F343*H343</f>
        <v/>
      </c>
    </row>
    <row r="344">
      <c r="A344" t="n">
        <v>45</v>
      </c>
      <c r="B344" s="21" t="inlineStr">
        <is>
          <t>Naan Tradicional Indio de Masa Madre Cocido en Sartén de Hierro</t>
        </is>
      </c>
      <c r="C344" t="inlineStr">
        <is>
          <t>masa</t>
        </is>
      </c>
      <c r="D344" s="22" t="inlineStr">
        <is>
          <t>100 g Yogur natural entero sin azúcar a temperatura ambiente (20%, acidez láctica y ternura)</t>
        </is>
      </c>
      <c r="E344" s="6" t="inlineStr">
        <is>
          <t>Yogur natural entero</t>
        </is>
      </c>
      <c r="F344" s="16" t="n">
        <v>100</v>
      </c>
      <c r="G344" t="inlineStr">
        <is>
          <t>g</t>
        </is>
      </c>
      <c r="H344" s="12">
        <f>IFERROR(VLOOKUP(E344,Insumos!$C$5:$G$64,5,FALSE),0)</f>
        <v/>
      </c>
      <c r="I344" s="17">
        <f>F344*H344</f>
        <v/>
      </c>
    </row>
    <row r="345">
      <c r="A345" t="n">
        <v>45</v>
      </c>
      <c r="B345" s="21" t="inlineStr">
        <is>
          <t>Naan Tradicional Indio de Masa Madre Cocido en Sartén de Hierro</t>
        </is>
      </c>
      <c r="C345" t="inlineStr">
        <is>
          <t>masa</t>
        </is>
      </c>
      <c r="D345" s="22" t="inlineStr">
        <is>
          <t>40 ml Agua purificada limpia (8%)</t>
        </is>
      </c>
      <c r="E345" s="6" t="inlineStr">
        <is>
          <t>Agua purificada</t>
        </is>
      </c>
      <c r="F345" s="16" t="n">
        <v>40</v>
      </c>
      <c r="G345" t="inlineStr">
        <is>
          <t>ml</t>
        </is>
      </c>
      <c r="H345" s="12">
        <f>IFERROR(VLOOKUP(E345,Insumos!$C$5:$G$64,5,FALSE),0)</f>
        <v/>
      </c>
      <c r="I345" s="17">
        <f>F345*H345</f>
        <v/>
      </c>
    </row>
    <row r="346">
      <c r="A346" t="n">
        <v>45</v>
      </c>
      <c r="B346" s="21" t="inlineStr">
        <is>
          <t>Naan Tradicional Indio de Masa Madre Cocido en Sartén de Hierro</t>
        </is>
      </c>
      <c r="C346" t="inlineStr">
        <is>
          <t>masa</t>
        </is>
      </c>
      <c r="D346" s="22" t="inlineStr">
        <is>
          <t>100 g Masa madre activa al 100% de hidratación (20%)</t>
        </is>
      </c>
      <c r="E346" s="6" t="inlineStr">
        <is>
          <t>Masa madre blanca activa 100% (cultivada)</t>
        </is>
      </c>
      <c r="F346" s="16" t="n">
        <v>100</v>
      </c>
      <c r="G346" t="inlineStr">
        <is>
          <t>g</t>
        </is>
      </c>
      <c r="H346" s="12">
        <f>IFERROR(VLOOKUP(E346,Insumos!$C$5:$G$64,5,FALSE),0)</f>
        <v/>
      </c>
      <c r="I346" s="17">
        <f>F346*H346</f>
        <v/>
      </c>
    </row>
    <row r="347">
      <c r="A347" t="n">
        <v>45</v>
      </c>
      <c r="B347" s="21" t="inlineStr">
        <is>
          <t>Naan Tradicional Indio de Masa Madre Cocido en Sartén de Hierro</t>
        </is>
      </c>
      <c r="C347" t="inlineStr">
        <is>
          <t>masa</t>
        </is>
      </c>
      <c r="D347" s="22" t="inlineStr">
        <is>
          <t>30 g Mantequilla clarificada (Ghee) o mantequilla sin sal derretida (6%)</t>
        </is>
      </c>
      <c r="E347" s="6" t="inlineStr">
        <is>
          <t>Mantequilla clarificada o manteca de cerdo</t>
        </is>
      </c>
      <c r="F347" s="16" t="n">
        <v>30</v>
      </c>
      <c r="G347" t="inlineStr">
        <is>
          <t>g</t>
        </is>
      </c>
      <c r="H347" s="12">
        <f>IFERROR(VLOOKUP(E347,Insumos!$C$5:$G$64,5,FALSE),0)</f>
        <v/>
      </c>
      <c r="I347" s="17">
        <f>F347*H347</f>
        <v/>
      </c>
    </row>
    <row r="348">
      <c r="A348" t="n">
        <v>45</v>
      </c>
      <c r="B348" s="21" t="inlineStr">
        <is>
          <t>Naan Tradicional Indio de Masa Madre Cocido en Sartén de Hierro</t>
        </is>
      </c>
      <c r="C348" t="inlineStr">
        <is>
          <t>masa</t>
        </is>
      </c>
      <c r="D348" s="22" t="inlineStr">
        <is>
          <t>15 g Azúcar blanco refinado (3%)</t>
        </is>
      </c>
      <c r="E348" s="6" t="inlineStr">
        <is>
          <t>Azúcar blanco refinado</t>
        </is>
      </c>
      <c r="F348" s="16" t="n">
        <v>15</v>
      </c>
      <c r="G348" t="inlineStr">
        <is>
          <t>g</t>
        </is>
      </c>
      <c r="H348" s="12">
        <f>IFERROR(VLOOKUP(E348,Insumos!$C$5:$G$64,5,FALSE),0)</f>
        <v/>
      </c>
      <c r="I348" s="17">
        <f>F348*H348</f>
        <v/>
      </c>
    </row>
    <row r="349">
      <c r="A349" t="n">
        <v>45</v>
      </c>
      <c r="B349" s="21" t="inlineStr">
        <is>
          <t>Naan Tradicional Indio de Masa Madre Cocido en Sartén de Hierro</t>
        </is>
      </c>
      <c r="C349" t="inlineStr">
        <is>
          <t>masa</t>
        </is>
      </c>
      <c r="D349" s="22" t="inlineStr">
        <is>
          <t>10 g Sal marina fina (2%)</t>
        </is>
      </c>
      <c r="E349" s="6" t="inlineStr">
        <is>
          <t>Sal marina fina no refinada</t>
        </is>
      </c>
      <c r="F349" s="16" t="n">
        <v>10</v>
      </c>
      <c r="G349" t="inlineStr">
        <is>
          <t>g</t>
        </is>
      </c>
      <c r="H349" s="12">
        <f>IFERROR(VLOOKUP(E349,Insumos!$C$5:$G$64,5,FALSE),0)</f>
        <v/>
      </c>
      <c r="I349" s="17">
        <f>F349*H349</f>
        <v/>
      </c>
    </row>
    <row r="350">
      <c r="A350" t="n">
        <v>45</v>
      </c>
      <c r="B350" s="21" t="inlineStr">
        <is>
          <t>Naan Tradicional Indio de Masa Madre Cocido en Sartén de Hierro</t>
        </is>
      </c>
      <c r="C350" t="inlineStr">
        <is>
          <t>masa</t>
        </is>
      </c>
      <c r="D350" s="22" t="inlineStr">
        <is>
          <t>3 g Bicarbonato de sodio (0.6%, ayuda a la formación rápida de ampollas en comal)</t>
        </is>
      </c>
      <c r="E350" s="6" t="inlineStr">
        <is>
          <t>Bicarbonato de sodio</t>
        </is>
      </c>
      <c r="F350" s="16" t="n">
        <v>3</v>
      </c>
      <c r="G350" t="inlineStr">
        <is>
          <t>g</t>
        </is>
      </c>
      <c r="H350" s="12">
        <f>IFERROR(VLOOKUP(E350,Insumos!$C$5:$G$64,5,FALSE),0)</f>
        <v/>
      </c>
      <c r="I350" s="17">
        <f>F350*H350</f>
        <v/>
      </c>
    </row>
    <row r="351">
      <c r="A351" t="n">
        <v>45</v>
      </c>
      <c r="B351" s="21" t="inlineStr">
        <is>
          <t>Naan Tradicional Indio de Masa Madre Cocido en Sartén de Hierro</t>
        </is>
      </c>
      <c r="C351" t="inlineStr">
        <is>
          <t>acabado</t>
        </is>
      </c>
      <c r="D351" s="22" t="inlineStr">
        <is>
          <t>50 g Mantequilla clarificada (Ghee) fundida tibia</t>
        </is>
      </c>
      <c r="E351" s="6" t="inlineStr">
        <is>
          <t>Mantequilla clarificada o manteca de cerdo</t>
        </is>
      </c>
      <c r="F351" s="16" t="n">
        <v>50</v>
      </c>
      <c r="G351" t="inlineStr">
        <is>
          <t>g</t>
        </is>
      </c>
      <c r="H351" s="12">
        <f>IFERROR(VLOOKUP(E351,Insumos!$C$5:$G$64,5,FALSE),0)</f>
        <v/>
      </c>
      <c r="I351" s="17">
        <f>F351*H351</f>
        <v/>
      </c>
    </row>
    <row r="352">
      <c r="A352" t="n">
        <v>45</v>
      </c>
      <c r="B352" s="21" t="inlineStr">
        <is>
          <t>Naan Tradicional Indio de Masa Madre Cocido en Sartén de Hierro</t>
        </is>
      </c>
      <c r="C352" t="inlineStr">
        <is>
          <t>acabado</t>
        </is>
      </c>
      <c r="D352" s="22" t="inlineStr">
        <is>
          <t>3 Dientes de ajo picados finísimos en pasta (opcional para Garlic Naan)</t>
        </is>
      </c>
      <c r="E352" s="6" t="inlineStr">
        <is>
          <t>Ajo</t>
        </is>
      </c>
      <c r="F352" s="16" t="n">
        <v>120</v>
      </c>
      <c r="G352" t="inlineStr">
        <is>
          <t>g</t>
        </is>
      </c>
      <c r="H352" s="12">
        <f>IFERROR(VLOOKUP(E352,Insumos!$C$5:$G$64,5,FALSE),0)</f>
        <v/>
      </c>
      <c r="I352" s="17">
        <f>F352*H352</f>
        <v/>
      </c>
    </row>
    <row r="353">
      <c r="A353" t="n">
        <v>45</v>
      </c>
      <c r="B353" s="21" t="inlineStr">
        <is>
          <t>Naan Tradicional Indio de Masa Madre Cocido en Sartén de Hierro</t>
        </is>
      </c>
      <c r="C353" t="inlineStr">
        <is>
          <t>acabado</t>
        </is>
      </c>
      <c r="D353" s="22" t="inlineStr">
        <is>
          <t>Hojas de cilantro fresco picado fino</t>
        </is>
      </c>
      <c r="E353" s="6" t="inlineStr">
        <is>
          <t>Hierbas frescas (romero, tomillo, albahaca, cilantro)</t>
        </is>
      </c>
      <c r="F353" s="16" t="n">
        <v>3</v>
      </c>
      <c r="G353" t="inlineStr">
        <is>
          <t>g</t>
        </is>
      </c>
      <c r="H353" s="12">
        <f>IFERROR(VLOOKUP(E353,Insumos!$C$5:$G$64,5,FALSE),0)</f>
        <v/>
      </c>
      <c r="I353" s="17">
        <f>F353*H353</f>
        <v/>
      </c>
    </row>
    <row r="354">
      <c r="A354" t="n">
        <v>46</v>
      </c>
      <c r="B354" s="21" t="inlineStr">
        <is>
          <t>Pane Carasau Sardo de Masa Madre (Láminas Crujientes de Doble Horneado / Carta di Musica)</t>
        </is>
      </c>
      <c r="C354" t="inlineStr">
        <is>
          <t>masa</t>
        </is>
      </c>
      <c r="D354" s="22" t="inlineStr">
        <is>
          <t>400 g Sémola rimacinata de trigo duro de Cerdeña (80%)</t>
        </is>
      </c>
      <c r="E354" s="6" t="inlineStr">
        <is>
          <t>Sémola rimacinata de trigo duro</t>
        </is>
      </c>
      <c r="F354" s="16" t="n">
        <v>400</v>
      </c>
      <c r="G354" t="inlineStr">
        <is>
          <t>g</t>
        </is>
      </c>
      <c r="H354" s="12">
        <f>IFERROR(VLOOKUP(E354,Insumos!$C$5:$G$64,5,FALSE),0)</f>
        <v/>
      </c>
      <c r="I354" s="17">
        <f>F354*H354</f>
        <v/>
      </c>
    </row>
    <row r="355">
      <c r="A355" t="n">
        <v>46</v>
      </c>
      <c r="B355" s="21" t="inlineStr">
        <is>
          <t>Pane Carasau Sardo de Masa Madre (Láminas Crujientes de Doble Horneado / Carta di Musica)</t>
        </is>
      </c>
      <c r="C355" t="inlineStr">
        <is>
          <t>masa</t>
        </is>
      </c>
      <c r="D355" s="22" t="inlineStr">
        <is>
          <t>100 g Harina de trigo panificable blanca (W 240) (20%)</t>
        </is>
      </c>
      <c r="E355" s="6" t="inlineStr">
        <is>
          <t>Harina panificable de fuerza (W 280-300)</t>
        </is>
      </c>
      <c r="F355" s="16" t="n">
        <v>100</v>
      </c>
      <c r="G355" t="inlineStr">
        <is>
          <t>g</t>
        </is>
      </c>
      <c r="H355" s="12">
        <f>IFERROR(VLOOKUP(E355,Insumos!$C$5:$G$64,5,FALSE),0)</f>
        <v/>
      </c>
      <c r="I355" s="17">
        <f>F355*H355</f>
        <v/>
      </c>
    </row>
    <row r="356">
      <c r="A356" t="n">
        <v>46</v>
      </c>
      <c r="B356" s="21" t="inlineStr">
        <is>
          <t>Pane Carasau Sardo de Masa Madre (Láminas Crujientes de Doble Horneado / Carta di Musica)</t>
        </is>
      </c>
      <c r="C356" t="inlineStr">
        <is>
          <t>masa</t>
        </is>
      </c>
      <c r="D356" s="22" t="inlineStr">
        <is>
          <t>250 ml Agua purificada limpia (50% agua añadida; 58% hidratación total sumando la masa madre)</t>
        </is>
      </c>
      <c r="E356" s="6" t="inlineStr">
        <is>
          <t>Agua purificada</t>
        </is>
      </c>
      <c r="F356" s="16" t="n">
        <v>250</v>
      </c>
      <c r="G356" t="inlineStr">
        <is>
          <t>ml</t>
        </is>
      </c>
      <c r="H356" s="12">
        <f>IFERROR(VLOOKUP(E356,Insumos!$C$5:$G$64,5,FALSE),0)</f>
        <v/>
      </c>
      <c r="I356" s="17">
        <f>F356*H356</f>
        <v/>
      </c>
    </row>
    <row r="357">
      <c r="A357" t="n">
        <v>46</v>
      </c>
      <c r="B357" s="21" t="inlineStr">
        <is>
          <t>Pane Carasau Sardo de Masa Madre (Láminas Crujientes de Doble Horneado / Carta di Musica)</t>
        </is>
      </c>
      <c r="C357" t="inlineStr">
        <is>
          <t>masa</t>
        </is>
      </c>
      <c r="D357" s="22" t="inlineStr">
        <is>
          <t>75 g Masa madre activa al 100% de hidratación (15%)</t>
        </is>
      </c>
      <c r="E357" s="6" t="inlineStr">
        <is>
          <t>Masa madre blanca activa 100% (cultivada)</t>
        </is>
      </c>
      <c r="F357" s="16" t="n">
        <v>75</v>
      </c>
      <c r="G357" t="inlineStr">
        <is>
          <t>g</t>
        </is>
      </c>
      <c r="H357" s="12">
        <f>IFERROR(VLOOKUP(E357,Insumos!$C$5:$G$64,5,FALSE),0)</f>
        <v/>
      </c>
      <c r="I357" s="17">
        <f>F357*H357</f>
        <v/>
      </c>
    </row>
    <row r="358">
      <c r="A358" t="n">
        <v>46</v>
      </c>
      <c r="B358" s="21" t="inlineStr">
        <is>
          <t>Pane Carasau Sardo de Masa Madre (Láminas Crujientes de Doble Horneado / Carta di Musica)</t>
        </is>
      </c>
      <c r="C358" t="inlineStr">
        <is>
          <t>masa</t>
        </is>
      </c>
      <c r="D358" s="22" t="inlineStr">
        <is>
          <t>10 g Sal marina fina no refinada (2%)</t>
        </is>
      </c>
      <c r="E358" s="6" t="inlineStr">
        <is>
          <t>Sal marina fina no refinada</t>
        </is>
      </c>
      <c r="F358" s="16" t="n">
        <v>10</v>
      </c>
      <c r="G358" t="inlineStr">
        <is>
          <t>g</t>
        </is>
      </c>
      <c r="H358" s="12">
        <f>IFERROR(VLOOKUP(E358,Insumos!$C$5:$G$64,5,FALSE),0)</f>
        <v/>
      </c>
      <c r="I358" s="17">
        <f>F358*H358</f>
        <v/>
      </c>
    </row>
    <row r="359">
      <c r="A359" t="n">
        <v>47</v>
      </c>
      <c r="B359" s="21" t="inlineStr">
        <is>
          <t>Pain d’Épi Tradicional (Formato en Espiga de Trigo con Masa de Baguette)</t>
        </is>
      </c>
      <c r="C359" t="inlineStr">
        <is>
          <t>masa</t>
        </is>
      </c>
      <c r="D359" s="22" t="inlineStr">
        <is>
          <t>475 g Harina de trigo francesa tradicional T65 (W 230-250, 11.5% proteína) (95%)</t>
        </is>
      </c>
      <c r="E359" s="6" t="inlineStr">
        <is>
          <t>Harina francesa T65 o tipo 00</t>
        </is>
      </c>
      <c r="F359" s="16" t="n">
        <v>475</v>
      </c>
      <c r="G359" t="inlineStr">
        <is>
          <t>g</t>
        </is>
      </c>
      <c r="H359" s="12">
        <f>IFERROR(VLOOKUP(E359,Insumos!$C$5:$G$64,5,FALSE),0)</f>
        <v/>
      </c>
      <c r="I359" s="17">
        <f>F359*H359</f>
        <v/>
      </c>
    </row>
    <row r="360">
      <c r="A360" t="n">
        <v>47</v>
      </c>
      <c r="B360" s="21" t="inlineStr">
        <is>
          <t>Pain d’Épi Tradicional (Formato en Espiga de Trigo con Masa de Baguette)</t>
        </is>
      </c>
      <c r="C360" t="inlineStr">
        <is>
          <t>masa</t>
        </is>
      </c>
      <c r="D360" s="22" t="inlineStr">
        <is>
          <t>25 g Harina de centeno blanca T70 (5%)</t>
        </is>
      </c>
      <c r="E360" s="6" t="inlineStr">
        <is>
          <t>Harina de centeno blanca T70</t>
        </is>
      </c>
      <c r="F360" s="16" t="n">
        <v>25</v>
      </c>
      <c r="G360" t="inlineStr">
        <is>
          <t>g</t>
        </is>
      </c>
      <c r="H360" s="12">
        <f>IFERROR(VLOOKUP(E360,Insumos!$C$5:$G$64,5,FALSE),0)</f>
        <v/>
      </c>
      <c r="I360" s="17">
        <f>F360*H360</f>
        <v/>
      </c>
    </row>
    <row r="361">
      <c r="A361" t="n">
        <v>47</v>
      </c>
      <c r="B361" s="21" t="inlineStr">
        <is>
          <t>Pain d’Épi Tradicional (Formato en Espiga de Trigo con Masa de Baguette)</t>
        </is>
      </c>
      <c r="C361" t="inlineStr">
        <is>
          <t>masa</t>
        </is>
      </c>
      <c r="D361" s="22" t="inlineStr">
        <is>
          <t>335 ml Agua purificada fría a 14 °C (315 ml para autólisis + 20 ml para la sal) (67% agua añadida; 70% hidratación total)</t>
        </is>
      </c>
      <c r="E361" s="6" t="inlineStr">
        <is>
          <t>Agua purificada</t>
        </is>
      </c>
      <c r="F361" s="16" t="n">
        <v>335</v>
      </c>
      <c r="G361" t="inlineStr">
        <is>
          <t>ml</t>
        </is>
      </c>
      <c r="H361" s="12">
        <f>IFERROR(VLOOKUP(E361,Insumos!$C$5:$G$64,5,FALSE),0)</f>
        <v/>
      </c>
      <c r="I361" s="17">
        <f>F361*H361</f>
        <v/>
      </c>
    </row>
    <row r="362">
      <c r="A362" t="n">
        <v>47</v>
      </c>
      <c r="B362" s="21" t="inlineStr">
        <is>
          <t>Pain d’Épi Tradicional (Formato en Espiga de Trigo con Masa de Baguette)</t>
        </is>
      </c>
      <c r="C362" t="inlineStr">
        <is>
          <t>masa</t>
        </is>
      </c>
      <c r="D362" s="22" t="inlineStr">
        <is>
          <t>75 g Masa madre activa al 100% de hidratación (15%)</t>
        </is>
      </c>
      <c r="E362" s="6" t="inlineStr">
        <is>
          <t>Masa madre blanca activa 100% (cultivada)</t>
        </is>
      </c>
      <c r="F362" s="16" t="n">
        <v>75</v>
      </c>
      <c r="G362" t="inlineStr">
        <is>
          <t>g</t>
        </is>
      </c>
      <c r="H362" s="12">
        <f>IFERROR(VLOOKUP(E362,Insumos!$C$5:$G$64,5,FALSE),0)</f>
        <v/>
      </c>
      <c r="I362" s="17">
        <f>F362*H362</f>
        <v/>
      </c>
    </row>
    <row r="363">
      <c r="A363" t="n">
        <v>47</v>
      </c>
      <c r="B363" s="21" t="inlineStr">
        <is>
          <t>Pain d’Épi Tradicional (Formato en Espiga de Trigo con Masa de Baguette)</t>
        </is>
      </c>
      <c r="C363" t="inlineStr">
        <is>
          <t>masa</t>
        </is>
      </c>
      <c r="D363" s="22" t="inlineStr">
        <is>
          <t>10 g Sal marina fina (2%)</t>
        </is>
      </c>
      <c r="E363" s="6" t="inlineStr">
        <is>
          <t>Sal marina fina no refinada</t>
        </is>
      </c>
      <c r="F363" s="16" t="n">
        <v>10</v>
      </c>
      <c r="G363" t="inlineStr">
        <is>
          <t>g</t>
        </is>
      </c>
      <c r="H363" s="12">
        <f>IFERROR(VLOOKUP(E363,Insumos!$C$5:$G$64,5,FALSE),0)</f>
        <v/>
      </c>
      <c r="I363" s="17">
        <f>F363*H363</f>
        <v/>
      </c>
    </row>
    <row r="364">
      <c r="A364" t="n">
        <v>48</v>
      </c>
      <c r="B364" s="21" t="inlineStr">
        <is>
          <t>Pan Balti y Bazlama Turco de Sartén con Masa Madre</t>
        </is>
      </c>
      <c r="C364" t="inlineStr">
        <is>
          <t>masa</t>
        </is>
      </c>
      <c r="D364" s="22" t="inlineStr">
        <is>
          <t>450 g Harina de trigo panificable (W 240-260, 11.8% proteína) (90%)</t>
        </is>
      </c>
      <c r="E364" s="6" t="inlineStr">
        <is>
          <t>Harina panificable de fuerza (W 280-300)</t>
        </is>
      </c>
      <c r="F364" s="16" t="n">
        <v>450</v>
      </c>
      <c r="G364" t="inlineStr">
        <is>
          <t>g</t>
        </is>
      </c>
      <c r="H364" s="12">
        <f>IFERROR(VLOOKUP(E364,Insumos!$C$5:$G$64,5,FALSE),0)</f>
        <v/>
      </c>
      <c r="I364" s="17">
        <f>F364*H364</f>
        <v/>
      </c>
    </row>
    <row r="365">
      <c r="A365" t="n">
        <v>48</v>
      </c>
      <c r="B365" s="21" t="inlineStr">
        <is>
          <t>Pan Balti y Bazlama Turco de Sartén con Masa Madre</t>
        </is>
      </c>
      <c r="C365" t="inlineStr">
        <is>
          <t>masa</t>
        </is>
      </c>
      <c r="D365" s="22" t="inlineStr">
        <is>
          <t>50 g Harina de trigo integral fina (10%)</t>
        </is>
      </c>
      <c r="E365" s="6" t="inlineStr">
        <is>
          <t>Harina de trigo integral de molienda a la piedra</t>
        </is>
      </c>
      <c r="F365" s="16" t="n">
        <v>50</v>
      </c>
      <c r="G365" t="inlineStr">
        <is>
          <t>g</t>
        </is>
      </c>
      <c r="H365" s="12">
        <f>IFERROR(VLOOKUP(E365,Insumos!$C$5:$G$64,5,FALSE),0)</f>
        <v/>
      </c>
      <c r="I365" s="17">
        <f>F365*H365</f>
        <v/>
      </c>
    </row>
    <row r="366">
      <c r="A366" t="n">
        <v>48</v>
      </c>
      <c r="B366" s="21" t="inlineStr">
        <is>
          <t>Pan Balti y Bazlama Turco de Sartén con Masa Madre</t>
        </is>
      </c>
      <c r="C366" t="inlineStr">
        <is>
          <t>masa</t>
        </is>
      </c>
      <c r="D366" s="22" t="inlineStr">
        <is>
          <t>100 g Yogur natural entero sin azúcar a temperatura ambiente (20%)</t>
        </is>
      </c>
      <c r="E366" s="6" t="inlineStr">
        <is>
          <t>Yogur natural entero</t>
        </is>
      </c>
      <c r="F366" s="16" t="n">
        <v>100</v>
      </c>
      <c r="G366" t="inlineStr">
        <is>
          <t>g</t>
        </is>
      </c>
      <c r="H366" s="12">
        <f>IFERROR(VLOOKUP(E366,Insumos!$C$5:$G$64,5,FALSE),0)</f>
        <v/>
      </c>
      <c r="I366" s="17">
        <f>F366*H366</f>
        <v/>
      </c>
    </row>
    <row r="367">
      <c r="A367" t="n">
        <v>48</v>
      </c>
      <c r="B367" s="21" t="inlineStr">
        <is>
          <t>Pan Balti y Bazlama Turco de Sartén con Masa Madre</t>
        </is>
      </c>
      <c r="C367" t="inlineStr">
        <is>
          <t>masa</t>
        </is>
      </c>
      <c r="D367" s="22" t="inlineStr">
        <is>
          <t>250 ml Agua purificada tibia a 26 °C (50% agua añadida; 75% hidratación total)</t>
        </is>
      </c>
      <c r="E367" s="6" t="inlineStr">
        <is>
          <t>Agua purificada</t>
        </is>
      </c>
      <c r="F367" s="16" t="n">
        <v>250</v>
      </c>
      <c r="G367" t="inlineStr">
        <is>
          <t>ml</t>
        </is>
      </c>
      <c r="H367" s="12">
        <f>IFERROR(VLOOKUP(E367,Insumos!$C$5:$G$64,5,FALSE),0)</f>
        <v/>
      </c>
      <c r="I367" s="17">
        <f>F367*H367</f>
        <v/>
      </c>
    </row>
    <row r="368">
      <c r="A368" t="n">
        <v>48</v>
      </c>
      <c r="B368" s="21" t="inlineStr">
        <is>
          <t>Pan Balti y Bazlama Turco de Sartén con Masa Madre</t>
        </is>
      </c>
      <c r="C368" t="inlineStr">
        <is>
          <t>masa</t>
        </is>
      </c>
      <c r="D368" s="22" t="inlineStr">
        <is>
          <t>100 g Masa madre activa al 100% de hidratación (20%)</t>
        </is>
      </c>
      <c r="E368" s="6" t="inlineStr">
        <is>
          <t>Masa madre blanca activa 100% (cultivada)</t>
        </is>
      </c>
      <c r="F368" s="16" t="n">
        <v>100</v>
      </c>
      <c r="G368" t="inlineStr">
        <is>
          <t>g</t>
        </is>
      </c>
      <c r="H368" s="12">
        <f>IFERROR(VLOOKUP(E368,Insumos!$C$5:$G$64,5,FALSE),0)</f>
        <v/>
      </c>
      <c r="I368" s="17">
        <f>F368*H368</f>
        <v/>
      </c>
    </row>
    <row r="369">
      <c r="A369" t="n">
        <v>48</v>
      </c>
      <c r="B369" s="21" t="inlineStr">
        <is>
          <t>Pan Balti y Bazlama Turco de Sartén con Masa Madre</t>
        </is>
      </c>
      <c r="C369" t="inlineStr">
        <is>
          <t>masa</t>
        </is>
      </c>
      <c r="D369" s="22" t="inlineStr">
        <is>
          <t>20 ml Aceite de oliva virgen extra (4%)</t>
        </is>
      </c>
      <c r="E369" s="6" t="inlineStr">
        <is>
          <t>Aceite de oliva virgen extra</t>
        </is>
      </c>
      <c r="F369" s="16" t="n">
        <v>20</v>
      </c>
      <c r="G369" t="inlineStr">
        <is>
          <t>ml</t>
        </is>
      </c>
      <c r="H369" s="12">
        <f>IFERROR(VLOOKUP(E369,Insumos!$C$5:$G$64,5,FALSE),0)</f>
        <v/>
      </c>
      <c r="I369" s="17">
        <f>F369*H369</f>
        <v/>
      </c>
    </row>
    <row r="370">
      <c r="A370" t="n">
        <v>48</v>
      </c>
      <c r="B370" s="21" t="inlineStr">
        <is>
          <t>Pan Balti y Bazlama Turco de Sartén con Masa Madre</t>
        </is>
      </c>
      <c r="C370" t="inlineStr">
        <is>
          <t>masa</t>
        </is>
      </c>
      <c r="D370" s="22" t="inlineStr">
        <is>
          <t>10 g Sal marina fina (2%)</t>
        </is>
      </c>
      <c r="E370" s="6" t="inlineStr">
        <is>
          <t>Sal marina fina no refinada</t>
        </is>
      </c>
      <c r="F370" s="16" t="n">
        <v>10</v>
      </c>
      <c r="G370" t="inlineStr">
        <is>
          <t>g</t>
        </is>
      </c>
      <c r="H370" s="12">
        <f>IFERROR(VLOOKUP(E370,Insumos!$C$5:$G$64,5,FALSE),0)</f>
        <v/>
      </c>
      <c r="I370" s="17">
        <f>F370*H370</f>
        <v/>
      </c>
    </row>
    <row r="371">
      <c r="A371" t="n">
        <v>48</v>
      </c>
      <c r="B371" s="21" t="inlineStr">
        <is>
          <t>Pan Balti y Bazlama Turco de Sartén con Masa Madre</t>
        </is>
      </c>
      <c r="C371" t="inlineStr">
        <is>
          <t>masa</t>
        </is>
      </c>
      <c r="D371" s="22" t="inlineStr">
        <is>
          <t>Mantequilla fundida con escamas de pimentón o perejil (para barnizar en caliente)</t>
        </is>
      </c>
      <c r="E371" s="6" t="inlineStr">
        <is>
          <t>Mantequilla sin sal 82% M.G.</t>
        </is>
      </c>
      <c r="F371" s="16" t="n">
        <v>1</v>
      </c>
      <c r="G371" t="inlineStr">
        <is>
          <t>g</t>
        </is>
      </c>
      <c r="H371" s="12">
        <f>IFERROR(VLOOKUP(E371,Insumos!$C$5:$G$64,5,FALSE),0)</f>
        <v/>
      </c>
      <c r="I371" s="17">
        <f>F371*H371</f>
        <v/>
      </c>
    </row>
    <row r="372">
      <c r="A372" t="n">
        <v>49</v>
      </c>
      <c r="B372" s="21" t="inlineStr">
        <is>
          <t>Corona Bordelesa Tradicional con Sombrero de Masa (Couronne Bordelaise)</t>
        </is>
      </c>
      <c r="C372" t="inlineStr">
        <is>
          <t>masa</t>
        </is>
      </c>
      <c r="D372" s="22" t="inlineStr">
        <is>
          <t>400 g Harina de trigo panificable blanca (W 260-280, 12% proteína) (80%)</t>
        </is>
      </c>
      <c r="E372" s="6" t="inlineStr">
        <is>
          <t>Harina panificable de fuerza (W 280-300)</t>
        </is>
      </c>
      <c r="F372" s="16" t="n">
        <v>400</v>
      </c>
      <c r="G372" t="inlineStr">
        <is>
          <t>g</t>
        </is>
      </c>
      <c r="H372" s="12">
        <f>IFERROR(VLOOKUP(E372,Insumos!$C$5:$G$64,5,FALSE),0)</f>
        <v/>
      </c>
      <c r="I372" s="17">
        <f>F372*H372</f>
        <v/>
      </c>
    </row>
    <row r="373">
      <c r="A373" t="n">
        <v>49</v>
      </c>
      <c r="B373" s="21" t="inlineStr">
        <is>
          <t>Corona Bordelesa Tradicional con Sombrero de Masa (Couronne Bordelaise)</t>
        </is>
      </c>
      <c r="C373" t="inlineStr">
        <is>
          <t>masa</t>
        </is>
      </c>
      <c r="D373" s="22" t="inlineStr">
        <is>
          <t>100 g Harina de centeno T70 o trigo semi-integral T80 (20%)</t>
        </is>
      </c>
      <c r="E373" s="6" t="inlineStr">
        <is>
          <t>Harina de centeno blanca T70</t>
        </is>
      </c>
      <c r="F373" s="16" t="n">
        <v>100</v>
      </c>
      <c r="G373" t="inlineStr">
        <is>
          <t>g</t>
        </is>
      </c>
      <c r="H373" s="12">
        <f>IFERROR(VLOOKUP(E373,Insumos!$C$5:$G$64,5,FALSE),0)</f>
        <v/>
      </c>
      <c r="I373" s="17">
        <f>F373*H373</f>
        <v/>
      </c>
    </row>
    <row r="374">
      <c r="A374" t="n">
        <v>49</v>
      </c>
      <c r="B374" s="21" t="inlineStr">
        <is>
          <t>Corona Bordelesa Tradicional con Sombrero de Masa (Couronne Bordelaise)</t>
        </is>
      </c>
      <c r="C374" t="inlineStr">
        <is>
          <t>masa</t>
        </is>
      </c>
      <c r="D374" s="22" t="inlineStr">
        <is>
          <t>340 ml Agua purificada limpia (320 ml para autólisis + 20 ml para la sal) (68% agua añadida; 72% hidratación total)</t>
        </is>
      </c>
      <c r="E374" s="6" t="inlineStr">
        <is>
          <t>Agua purificada</t>
        </is>
      </c>
      <c r="F374" s="16" t="n">
        <v>340</v>
      </c>
      <c r="G374" t="inlineStr">
        <is>
          <t>ml</t>
        </is>
      </c>
      <c r="H374" s="12">
        <f>IFERROR(VLOOKUP(E374,Insumos!$C$5:$G$64,5,FALSE),0)</f>
        <v/>
      </c>
      <c r="I374" s="17">
        <f>F374*H374</f>
        <v/>
      </c>
    </row>
    <row r="375">
      <c r="A375" t="n">
        <v>49</v>
      </c>
      <c r="B375" s="21" t="inlineStr">
        <is>
          <t>Corona Bordelesa Tradicional con Sombrero de Masa (Couronne Bordelaise)</t>
        </is>
      </c>
      <c r="C375" t="inlineStr">
        <is>
          <t>masa</t>
        </is>
      </c>
      <c r="D375" s="22" t="inlineStr">
        <is>
          <t>100 g Masa madre activa al 100% de hidratación (20%)</t>
        </is>
      </c>
      <c r="E375" s="6" t="inlineStr">
        <is>
          <t>Masa madre blanca activa 100% (cultivada)</t>
        </is>
      </c>
      <c r="F375" s="16" t="n">
        <v>100</v>
      </c>
      <c r="G375" t="inlineStr">
        <is>
          <t>g</t>
        </is>
      </c>
      <c r="H375" s="12">
        <f>IFERROR(VLOOKUP(E375,Insumos!$C$5:$G$64,5,FALSE),0)</f>
        <v/>
      </c>
      <c r="I375" s="17">
        <f>F375*H375</f>
        <v/>
      </c>
    </row>
    <row r="376">
      <c r="A376" t="n">
        <v>49</v>
      </c>
      <c r="B376" s="21" t="inlineStr">
        <is>
          <t>Corona Bordelesa Tradicional con Sombrero de Masa (Couronne Bordelaise)</t>
        </is>
      </c>
      <c r="C376" t="inlineStr">
        <is>
          <t>masa</t>
        </is>
      </c>
      <c r="D376" s="22" t="inlineStr">
        <is>
          <t>10 g Sal marina fina (2%)</t>
        </is>
      </c>
      <c r="E376" s="6" t="inlineStr">
        <is>
          <t>Sal marina fina no refinada</t>
        </is>
      </c>
      <c r="F376" s="16" t="n">
        <v>10</v>
      </c>
      <c r="G376" t="inlineStr">
        <is>
          <t>g</t>
        </is>
      </c>
      <c r="H376" s="12">
        <f>IFERROR(VLOOKUP(E376,Insumos!$C$5:$G$64,5,FALSE),0)</f>
        <v/>
      </c>
      <c r="I376" s="17">
        <f>F376*H376</f>
        <v/>
      </c>
    </row>
    <row r="377">
      <c r="A377" t="n">
        <v>50</v>
      </c>
      <c r="B377" s="21" t="inlineStr">
        <is>
          <t>Panettone de Chocolate Negro con Fermentación Biológica Pura (Sin Levadura Comercial)</t>
        </is>
      </c>
      <c r="C377" t="inlineStr">
        <is>
          <t>previa</t>
        </is>
      </c>
      <c r="D377" s="22" t="inlineStr">
        <is>
          <t>400 g Harina de fuerza técnica Panettone (W 380-400, 15% proteína)</t>
        </is>
      </c>
      <c r="E377" s="6" t="inlineStr">
        <is>
          <t>Harina de gran fuerza (W 350+) o de panettone</t>
        </is>
      </c>
      <c r="F377" s="16" t="n">
        <v>400</v>
      </c>
      <c r="G377" t="inlineStr">
        <is>
          <t>g</t>
        </is>
      </c>
      <c r="H377" s="12">
        <f>IFERROR(VLOOKUP(E377,Insumos!$C$5:$G$64,5,FALSE),0)</f>
        <v/>
      </c>
      <c r="I377" s="17">
        <f>F377*H377</f>
        <v/>
      </c>
    </row>
    <row r="378">
      <c r="A378" t="n">
        <v>50</v>
      </c>
      <c r="B378" s="21" t="inlineStr">
        <is>
          <t>Panettone de Chocolate Negro con Fermentación Biológica Pura (Sin Levadura Comercial)</t>
        </is>
      </c>
      <c r="C378" t="inlineStr">
        <is>
          <t>previa</t>
        </is>
      </c>
      <c r="D378" s="22" t="inlineStr">
        <is>
          <t>130 g Pasta Madre sólida al 50% de hidratación en punto pico</t>
        </is>
      </c>
      <c r="E378" s="6" t="inlineStr">
        <is>
          <t>Pasta madre sólida 50% (cultivada)</t>
        </is>
      </c>
      <c r="F378" s="16" t="n">
        <v>130</v>
      </c>
      <c r="G378" t="inlineStr">
        <is>
          <t>g</t>
        </is>
      </c>
      <c r="H378" s="12">
        <f>IFERROR(VLOOKUP(E378,Insumos!$C$5:$G$64,5,FALSE),0)</f>
        <v/>
      </c>
      <c r="I378" s="17">
        <f>F378*H378</f>
        <v/>
      </c>
    </row>
    <row r="379">
      <c r="A379" t="n">
        <v>50</v>
      </c>
      <c r="B379" s="21" t="inlineStr">
        <is>
          <t>Panettone de Chocolate Negro con Fermentación Biológica Pura (Sin Levadura Comercial)</t>
        </is>
      </c>
      <c r="C379" t="inlineStr">
        <is>
          <t>previa</t>
        </is>
      </c>
      <c r="D379" s="22" t="inlineStr">
        <is>
          <t>195 ml Agua purificada a 22 °C</t>
        </is>
      </c>
      <c r="E379" s="6" t="inlineStr">
        <is>
          <t>Agua purificada</t>
        </is>
      </c>
      <c r="F379" s="16" t="n">
        <v>195</v>
      </c>
      <c r="G379" t="inlineStr">
        <is>
          <t>ml</t>
        </is>
      </c>
      <c r="H379" s="12">
        <f>IFERROR(VLOOKUP(E379,Insumos!$C$5:$G$64,5,FALSE),0)</f>
        <v/>
      </c>
      <c r="I379" s="17">
        <f>F379*H379</f>
        <v/>
      </c>
    </row>
    <row r="380">
      <c r="A380" t="n">
        <v>50</v>
      </c>
      <c r="B380" s="21" t="inlineStr">
        <is>
          <t>Panettone de Chocolate Negro con Fermentación Biológica Pura (Sin Levadura Comercial)</t>
        </is>
      </c>
      <c r="C380" t="inlineStr">
        <is>
          <t>previa</t>
        </is>
      </c>
      <c r="D380" s="22" t="inlineStr">
        <is>
          <t>120 g Azúcar blanco refinado fino</t>
        </is>
      </c>
      <c r="E380" s="6" t="inlineStr">
        <is>
          <t>Azúcar blanco refinado</t>
        </is>
      </c>
      <c r="F380" s="16" t="n">
        <v>120</v>
      </c>
      <c r="G380" t="inlineStr">
        <is>
          <t>g</t>
        </is>
      </c>
      <c r="H380" s="12">
        <f>IFERROR(VLOOKUP(E380,Insumos!$C$5:$G$64,5,FALSE),0)</f>
        <v/>
      </c>
      <c r="I380" s="17">
        <f>F380*H380</f>
        <v/>
      </c>
    </row>
    <row r="381">
      <c r="A381" t="n">
        <v>50</v>
      </c>
      <c r="B381" s="21" t="inlineStr">
        <is>
          <t>Panettone de Chocolate Negro con Fermentación Biológica Pura (Sin Levadura Comercial)</t>
        </is>
      </c>
      <c r="C381" t="inlineStr">
        <is>
          <t>previa</t>
        </is>
      </c>
      <c r="D381" s="22" t="inlineStr">
        <is>
          <t>130 g Yemas de huevo camperas a 18 °C</t>
        </is>
      </c>
      <c r="E381" s="6" t="inlineStr">
        <is>
          <t>Yema de huevo</t>
        </is>
      </c>
      <c r="F381" s="16" t="n">
        <v>130</v>
      </c>
      <c r="G381" t="inlineStr">
        <is>
          <t>g</t>
        </is>
      </c>
      <c r="H381" s="12">
        <f>IFERROR(VLOOKUP(E381,Insumos!$C$5:$G$64,5,FALSE),0)</f>
        <v/>
      </c>
      <c r="I381" s="17">
        <f>F381*H381</f>
        <v/>
      </c>
    </row>
    <row r="382">
      <c r="A382" t="n">
        <v>50</v>
      </c>
      <c r="B382" s="21" t="inlineStr">
        <is>
          <t>Panettone de Chocolate Negro con Fermentación Biológica Pura (Sin Levadura Comercial)</t>
        </is>
      </c>
      <c r="C382" t="inlineStr">
        <is>
          <t>previa</t>
        </is>
      </c>
      <c r="D382" s="22" t="inlineStr">
        <is>
          <t>130 g Mantequilla sin sal de alta calidad (84% M.G.) pomada a 18 °C</t>
        </is>
      </c>
      <c r="E382" s="6" t="inlineStr">
        <is>
          <t>Mantequilla sin sal 82% M.G.</t>
        </is>
      </c>
      <c r="F382" s="16" t="n">
        <v>130</v>
      </c>
      <c r="G382" t="inlineStr">
        <is>
          <t>g</t>
        </is>
      </c>
      <c r="H382" s="12">
        <f>IFERROR(VLOOKUP(E382,Insumos!$C$5:$G$64,5,FALSE),0)</f>
        <v/>
      </c>
      <c r="I382" s="17">
        <f>F382*H382</f>
        <v/>
      </c>
    </row>
    <row r="383">
      <c r="A383" t="n">
        <v>50</v>
      </c>
      <c r="B383" s="21" t="inlineStr">
        <is>
          <t>Panettone de Chocolate Negro con Fermentación Biológica Pura (Sin Levadura Comercial)</t>
        </is>
      </c>
      <c r="C383" t="inlineStr">
        <is>
          <t>masa</t>
        </is>
      </c>
      <c r="D383" s="22" t="inlineStr">
        <is>
          <t>100 g Harina de fuerza Panettone (W 380-400)</t>
        </is>
      </c>
      <c r="E383" s="6" t="inlineStr">
        <is>
          <t>Harina de gran fuerza (W 350+) o de panettone</t>
        </is>
      </c>
      <c r="F383" s="16" t="n">
        <v>100</v>
      </c>
      <c r="G383" t="inlineStr">
        <is>
          <t>g</t>
        </is>
      </c>
      <c r="H383" s="12">
        <f>IFERROR(VLOOKUP(E383,Insumos!$C$5:$G$64,5,FALSE),0)</f>
        <v/>
      </c>
      <c r="I383" s="17">
        <f>F383*H383</f>
        <v/>
      </c>
    </row>
    <row r="384">
      <c r="A384" t="n">
        <v>50</v>
      </c>
      <c r="B384" s="21" t="inlineStr">
        <is>
          <t>Panettone de Chocolate Negro con Fermentación Biológica Pura (Sin Levadura Comercial)</t>
        </is>
      </c>
      <c r="C384" t="inlineStr">
        <is>
          <t>masa</t>
        </is>
      </c>
      <c r="D384" s="22" t="inlineStr">
        <is>
          <t>30 g Cacao en polvo puro 100% alcalinizado tamizado (integrado en el empaste)</t>
        </is>
      </c>
      <c r="E384" s="6" t="inlineStr">
        <is>
          <t>Cacao en polvo alcalinizado</t>
        </is>
      </c>
      <c r="F384" s="16" t="n">
        <v>30</v>
      </c>
      <c r="G384" t="inlineStr">
        <is>
          <t>g</t>
        </is>
      </c>
      <c r="H384" s="12">
        <f>IFERROR(VLOOKUP(E384,Insumos!$C$5:$G$64,5,FALSE),0)</f>
        <v/>
      </c>
      <c r="I384" s="17">
        <f>F384*H384</f>
        <v/>
      </c>
    </row>
    <row r="385">
      <c r="A385" t="n">
        <v>50</v>
      </c>
      <c r="B385" s="21" t="inlineStr">
        <is>
          <t>Panettone de Chocolate Negro con Fermentación Biológica Pura (Sin Levadura Comercial)</t>
        </is>
      </c>
      <c r="C385" t="inlineStr">
        <is>
          <t>masa</t>
        </is>
      </c>
      <c r="D385" s="22" t="inlineStr">
        <is>
          <t>110 g Azúcar blanco refinado fino</t>
        </is>
      </c>
      <c r="E385" s="6" t="inlineStr">
        <is>
          <t>Azúcar blanco refinado</t>
        </is>
      </c>
      <c r="F385" s="16" t="n">
        <v>110</v>
      </c>
      <c r="G385" t="inlineStr">
        <is>
          <t>g</t>
        </is>
      </c>
      <c r="H385" s="12">
        <f>IFERROR(VLOOKUP(E385,Insumos!$C$5:$G$64,5,FALSE),0)</f>
        <v/>
      </c>
      <c r="I385" s="17">
        <f>F385*H385</f>
        <v/>
      </c>
    </row>
    <row r="386">
      <c r="A386" t="n">
        <v>50</v>
      </c>
      <c r="B386" s="21" t="inlineStr">
        <is>
          <t>Panettone de Chocolate Negro con Fermentación Biológica Pura (Sin Levadura Comercial)</t>
        </is>
      </c>
      <c r="C386" t="inlineStr">
        <is>
          <t>masa</t>
        </is>
      </c>
      <c r="D386" s="22" t="inlineStr">
        <is>
          <t>120 g Yemas de huevo camperas a 18 °C</t>
        </is>
      </c>
      <c r="E386" s="6" t="inlineStr">
        <is>
          <t>Yema de huevo</t>
        </is>
      </c>
      <c r="F386" s="16" t="n">
        <v>120</v>
      </c>
      <c r="G386" t="inlineStr">
        <is>
          <t>g</t>
        </is>
      </c>
      <c r="H386" s="12">
        <f>IFERROR(VLOOKUP(E386,Insumos!$C$5:$G$64,5,FALSE),0)</f>
        <v/>
      </c>
      <c r="I386" s="17">
        <f>F386*H386</f>
        <v/>
      </c>
    </row>
    <row r="387">
      <c r="A387" t="n">
        <v>50</v>
      </c>
      <c r="B387" s="21" t="inlineStr">
        <is>
          <t>Panettone de Chocolate Negro con Fermentación Biológica Pura (Sin Levadura Comercial)</t>
        </is>
      </c>
      <c r="C387" t="inlineStr">
        <is>
          <t>masa</t>
        </is>
      </c>
      <c r="D387" s="22" t="inlineStr">
        <is>
          <t>150 g Mantequilla sin sal pomada a 18 °C</t>
        </is>
      </c>
      <c r="E387" s="6" t="inlineStr">
        <is>
          <t>Mantequilla sin sal 82% M.G.</t>
        </is>
      </c>
      <c r="F387" s="16" t="n">
        <v>150</v>
      </c>
      <c r="G387" t="inlineStr">
        <is>
          <t>g</t>
        </is>
      </c>
      <c r="H387" s="12">
        <f>IFERROR(VLOOKUP(E387,Insumos!$C$5:$G$64,5,FALSE),0)</f>
        <v/>
      </c>
      <c r="I387" s="17">
        <f>F387*H387</f>
        <v/>
      </c>
    </row>
    <row r="388">
      <c r="A388" t="n">
        <v>50</v>
      </c>
      <c r="B388" s="21" t="inlineStr">
        <is>
          <t>Panettone de Chocolate Negro con Fermentación Biológica Pura (Sin Levadura Comercial)</t>
        </is>
      </c>
      <c r="C388" t="inlineStr">
        <is>
          <t>masa</t>
        </is>
      </c>
      <c r="D388" s="22" t="inlineStr">
        <is>
          <t>10 g Sal marina fina</t>
        </is>
      </c>
      <c r="E388" s="6" t="inlineStr">
        <is>
          <t>Sal marina fina no refinada</t>
        </is>
      </c>
      <c r="F388" s="16" t="n">
        <v>10</v>
      </c>
      <c r="G388" t="inlineStr">
        <is>
          <t>g</t>
        </is>
      </c>
      <c r="H388" s="12">
        <f>IFERROR(VLOOKUP(E388,Insumos!$C$5:$G$64,5,FALSE),0)</f>
        <v/>
      </c>
      <c r="I388" s="17">
        <f>F388*H388</f>
        <v/>
      </c>
    </row>
    <row r="389">
      <c r="A389" t="n">
        <v>50</v>
      </c>
      <c r="B389" s="21" t="inlineStr">
        <is>
          <t>Panettone de Chocolate Negro con Fermentación Biológica Pura (Sin Levadura Comercial)</t>
        </is>
      </c>
      <c r="C389" t="inlineStr">
        <is>
          <t>masa</t>
        </is>
      </c>
      <c r="D389" s="22" t="inlineStr">
        <is>
          <t>25 g Miel de azahar pura</t>
        </is>
      </c>
      <c r="E389" s="6" t="inlineStr">
        <is>
          <t>Miel de abeja</t>
        </is>
      </c>
      <c r="F389" s="16" t="n">
        <v>25</v>
      </c>
      <c r="G389" t="inlineStr">
        <is>
          <t>g</t>
        </is>
      </c>
      <c r="H389" s="12">
        <f>IFERROR(VLOOKUP(E389,Insumos!$C$5:$G$64,5,FALSE),0)</f>
        <v/>
      </c>
      <c r="I389" s="17">
        <f>F389*H389</f>
        <v/>
      </c>
    </row>
    <row r="390">
      <c r="A390" t="n">
        <v>50</v>
      </c>
      <c r="B390" s="21" t="inlineStr">
        <is>
          <t>Panettone de Chocolate Negro con Fermentación Biológica Pura (Sin Levadura Comercial)</t>
        </is>
      </c>
      <c r="C390" t="inlineStr">
        <is>
          <t>masa</t>
        </is>
      </c>
      <c r="D390" s="22" t="inlineStr">
        <is>
          <t>1 Vaina de vainilla Bourbon (semillas raspadas)</t>
        </is>
      </c>
      <c r="E390" s="6" t="inlineStr">
        <is>
          <t>Vaina de vainilla Bourbon</t>
        </is>
      </c>
      <c r="F390" s="16" t="n">
        <v>1</v>
      </c>
      <c r="G390" t="inlineStr">
        <is>
          <t>pz</t>
        </is>
      </c>
      <c r="H390" s="12">
        <f>IFERROR(VLOOKUP(E390,Insumos!$C$5:$G$64,5,FALSE),0)</f>
        <v/>
      </c>
      <c r="I390" s="17">
        <f>F390*H390</f>
        <v/>
      </c>
    </row>
    <row r="391">
      <c r="A391" t="n">
        <v>50</v>
      </c>
      <c r="B391" s="21" t="inlineStr">
        <is>
          <t>Panettone de Chocolate Negro con Fermentación Biológica Pura (Sin Levadura Comercial)</t>
        </is>
      </c>
      <c r="C391" t="inlineStr">
        <is>
          <t>masa</t>
        </is>
      </c>
      <c r="D391" s="22" t="inlineStr">
        <is>
          <t>250 g Gotas o perlas de chocolate negro 60% – 70% de cacao frías a 10 °C (para inclusiones)</t>
        </is>
      </c>
      <c r="E391" s="6" t="inlineStr">
        <is>
          <t>Chocolate negro 60–70% en gotas</t>
        </is>
      </c>
      <c r="F391" s="16" t="n">
        <v>250</v>
      </c>
      <c r="G391" t="inlineStr">
        <is>
          <t>g</t>
        </is>
      </c>
      <c r="H391" s="12">
        <f>IFERROR(VLOOKUP(E391,Insumos!$C$5:$G$64,5,FALSE),0)</f>
        <v/>
      </c>
      <c r="I391" s="17">
        <f>F391*H391</f>
        <v/>
      </c>
    </row>
    <row r="392">
      <c r="A392" t="n">
        <v>101</v>
      </c>
      <c r="B392" s="21" t="inlineStr">
        <is>
          <t>C-1 · Masa madre blanca activa 100%</t>
        </is>
      </c>
      <c r="C392" t="inlineStr">
        <is>
          <t>cultivo</t>
        </is>
      </c>
      <c r="D392" s="22" t="inlineStr">
        <is>
          <t>100 g Harina panificable de fuerza (W 280-300) · refresco de C-1</t>
        </is>
      </c>
      <c r="E392" s="6" t="inlineStr">
        <is>
          <t>Harina panificable de fuerza (W 280-300)</t>
        </is>
      </c>
      <c r="F392" s="16" t="n">
        <v>100</v>
      </c>
      <c r="G392" t="inlineStr">
        <is>
          <t>g</t>
        </is>
      </c>
      <c r="H392" s="12">
        <f>IFERROR(VLOOKUP(E392,Insumos!$C$5:$G$64,5,FALSE),0)</f>
        <v/>
      </c>
      <c r="I392" s="17">
        <f>F392*H392</f>
        <v/>
      </c>
    </row>
    <row r="393">
      <c r="A393" t="n">
        <v>101</v>
      </c>
      <c r="B393" s="21" t="inlineStr">
        <is>
          <t>C-1 · Masa madre blanca activa 100%</t>
        </is>
      </c>
      <c r="C393" t="inlineStr">
        <is>
          <t>cultivo</t>
        </is>
      </c>
      <c r="D393" s="22" t="inlineStr">
        <is>
          <t>100 ml Agua purificada · refresco de C-1</t>
        </is>
      </c>
      <c r="E393" s="6" t="inlineStr">
        <is>
          <t>Agua purificada</t>
        </is>
      </c>
      <c r="F393" s="16" t="n">
        <v>100</v>
      </c>
      <c r="G393" t="inlineStr">
        <is>
          <t>ml</t>
        </is>
      </c>
      <c r="H393" s="12">
        <f>IFERROR(VLOOKUP(E393,Insumos!$C$5:$G$64,5,FALSE),0)</f>
        <v/>
      </c>
      <c r="I393" s="17">
        <f>F393*H393</f>
        <v/>
      </c>
    </row>
    <row r="394">
      <c r="A394" t="n">
        <v>102</v>
      </c>
      <c r="B394" s="21" t="inlineStr">
        <is>
          <t>C-2 · Masa madre de centeno o integral 100%</t>
        </is>
      </c>
      <c r="C394" t="inlineStr">
        <is>
          <t>cultivo</t>
        </is>
      </c>
      <c r="D394" s="22" t="inlineStr">
        <is>
          <t>100 g Harina de centeno integral o T130 · refresco de C-2</t>
        </is>
      </c>
      <c r="E394" s="6" t="inlineStr">
        <is>
          <t>Harina de centeno integral o T130</t>
        </is>
      </c>
      <c r="F394" s="16" t="n">
        <v>100</v>
      </c>
      <c r="G394" t="inlineStr">
        <is>
          <t>g</t>
        </is>
      </c>
      <c r="H394" s="12">
        <f>IFERROR(VLOOKUP(E394,Insumos!$C$5:$G$64,5,FALSE),0)</f>
        <v/>
      </c>
      <c r="I394" s="17">
        <f>F394*H394</f>
        <v/>
      </c>
    </row>
    <row r="395">
      <c r="A395" t="n">
        <v>102</v>
      </c>
      <c r="B395" s="21" t="inlineStr">
        <is>
          <t>C-2 · Masa madre de centeno o integral 100%</t>
        </is>
      </c>
      <c r="C395" t="inlineStr">
        <is>
          <t>cultivo</t>
        </is>
      </c>
      <c r="D395" s="22" t="inlineStr">
        <is>
          <t>100 ml Agua purificada · refresco de C-2</t>
        </is>
      </c>
      <c r="E395" s="6" t="inlineStr">
        <is>
          <t>Agua purificada</t>
        </is>
      </c>
      <c r="F395" s="16" t="n">
        <v>100</v>
      </c>
      <c r="G395" t="inlineStr">
        <is>
          <t>ml</t>
        </is>
      </c>
      <c r="H395" s="12">
        <f>IFERROR(VLOOKUP(E395,Insumos!$C$5:$G$64,5,FALSE),0)</f>
        <v/>
      </c>
      <c r="I395" s="17">
        <f>F395*H395</f>
        <v/>
      </c>
    </row>
    <row r="396">
      <c r="A396" t="n">
        <v>103</v>
      </c>
      <c r="B396" s="21" t="inlineStr">
        <is>
          <t>C-3 · Pasta madre sólida 50%</t>
        </is>
      </c>
      <c r="C396" t="inlineStr">
        <is>
          <t>cultivo</t>
        </is>
      </c>
      <c r="D396" s="22" t="inlineStr">
        <is>
          <t>100 g Harina de gran fuerza (W 350+) o de panettone · refresco de C-3</t>
        </is>
      </c>
      <c r="E396" s="6" t="inlineStr">
        <is>
          <t>Harina de gran fuerza (W 350+) o de panettone</t>
        </is>
      </c>
      <c r="F396" s="16" t="n">
        <v>100</v>
      </c>
      <c r="G396" t="inlineStr">
        <is>
          <t>g</t>
        </is>
      </c>
      <c r="H396" s="12">
        <f>IFERROR(VLOOKUP(E396,Insumos!$C$5:$G$64,5,FALSE),0)</f>
        <v/>
      </c>
      <c r="I396" s="17">
        <f>F396*H396</f>
        <v/>
      </c>
    </row>
    <row r="397">
      <c r="A397" t="n">
        <v>103</v>
      </c>
      <c r="B397" s="21" t="inlineStr">
        <is>
          <t>C-3 · Pasta madre sólida 50%</t>
        </is>
      </c>
      <c r="C397" t="inlineStr">
        <is>
          <t>cultivo</t>
        </is>
      </c>
      <c r="D397" s="22" t="inlineStr">
        <is>
          <t>50 ml Agua purificada · refresco de C-3</t>
        </is>
      </c>
      <c r="E397" s="6" t="inlineStr">
        <is>
          <t>Agua purificada</t>
        </is>
      </c>
      <c r="F397" s="16" t="n">
        <v>50</v>
      </c>
      <c r="G397" t="inlineStr">
        <is>
          <t>ml</t>
        </is>
      </c>
      <c r="H397" s="12">
        <f>IFERROR(VLOOKUP(E397,Insumos!$C$5:$G$64,5,FALSE),0)</f>
        <v/>
      </c>
      <c r="I397" s="17">
        <f>F397*H397</f>
        <v/>
      </c>
    </row>
  </sheetData>
  <autoFilter ref="A4:I397"/>
  <conditionalFormatting sqref="H5:H397">
    <cfRule type="cellIs" priority="1" operator="equal" dxfId="0">
      <formula>0</formula>
    </cfRule>
  </conditionalFormatting>
  <dataValidations count="1">
    <dataValidation sqref="E5:E397" showDropDown="0" showInputMessage="0" showErrorMessage="0" allowBlank="0" type="list">
      <formula1>=Insumos!$C$5:$C$64</formula1>
    </dataValidation>
  </dataValidations>
  <pageMargins left="0.75" right="0.75" top="1" bottom="1" header="0.5" footer="0.5"/>
</worksheet>
</file>

<file path=xl/worksheets/sheet5.xml><?xml version="1.0" encoding="utf-8"?>
<worksheet xmlns="http://schemas.openxmlformats.org/spreadsheetml/2006/main">
  <sheetPr>
    <tabColor rgb="00C98BCB"/>
    <outlinePr summaryBelow="1" summaryRight="1"/>
    <pageSetUpPr/>
  </sheetPr>
  <dimension ref="A1:D30"/>
  <sheetViews>
    <sheetView showGridLines="0" workbookViewId="0">
      <selection activeCell="A1" sqref="A1"/>
    </sheetView>
  </sheetViews>
  <sheetFormatPr baseColWidth="8" defaultRowHeight="15"/>
  <cols>
    <col width="4" customWidth="1" min="1" max="1"/>
    <col width="54" customWidth="1" min="2" max="2"/>
    <col width="16" customWidth="1" min="3" max="3"/>
    <col width="56" customWidth="1" min="4" max="4"/>
  </cols>
  <sheetData>
    <row r="1">
      <c r="A1" s="1" t="inlineStr">
        <is>
          <t>Mi negocio</t>
        </is>
      </c>
    </row>
    <row r="2">
      <c r="A2" s="7" t="inlineStr">
        <is>
          <t>Los supuestos que mueven todo. Si estos números están mal, todos tus precios están mal.</t>
        </is>
      </c>
    </row>
    <row r="4" ht="30" customHeight="1">
      <c r="A4" s="8" t="inlineStr"/>
      <c r="B4" s="8" t="inlineStr">
        <is>
          <t>Gasto fijo mensual</t>
        </is>
      </c>
      <c r="C4" s="8" t="inlineStr">
        <is>
          <t>Monto</t>
        </is>
      </c>
      <c r="D4" s="8" t="inlineStr">
        <is>
          <t>Nota</t>
        </is>
      </c>
    </row>
    <row r="5">
      <c r="B5" s="6" t="inlineStr">
        <is>
          <t>Renta del obrador</t>
        </is>
      </c>
      <c r="C5" s="23" t="n">
        <v>9000</v>
      </c>
    </row>
    <row r="6">
      <c r="B6" s="6" t="inlineStr">
        <is>
          <t>Luz, gas y cámara de frío</t>
        </is>
      </c>
      <c r="C6" s="23" t="n">
        <v>3400</v>
      </c>
    </row>
    <row r="7">
      <c r="B7" s="6" t="inlineStr">
        <is>
          <t>Agua y consumibles de limpieza</t>
        </is>
      </c>
      <c r="C7" s="23" t="n">
        <v>800</v>
      </c>
    </row>
    <row r="8">
      <c r="B8" s="6" t="inlineStr">
        <is>
          <t>Internet, telefonía y punto de venta</t>
        </is>
      </c>
      <c r="C8" s="23" t="n">
        <v>600</v>
      </c>
    </row>
    <row r="9">
      <c r="B9" s="6" t="inlineStr">
        <is>
          <t>Publicidad y contenido</t>
        </is>
      </c>
      <c r="C9" s="23" t="n">
        <v>1800</v>
      </c>
    </row>
    <row r="10">
      <c r="B10" s="6" t="inlineStr">
        <is>
          <t>Permisos, licencias y comisiones de plataforma</t>
        </is>
      </c>
      <c r="C10" s="23" t="n">
        <v>1200</v>
      </c>
    </row>
    <row r="11">
      <c r="B11" s="6" t="inlineStr">
        <is>
          <t>Mantenimiento de horno de vapor y amasadora</t>
        </is>
      </c>
      <c r="C11" s="23" t="n">
        <v>1400</v>
      </c>
    </row>
    <row r="12">
      <c r="B12" s="6" t="inlineStr">
        <is>
          <t>Depreciación (horno, amasadora, cámara, bannetons)</t>
        </is>
      </c>
      <c r="C12" s="23" t="n">
        <v>2600</v>
      </c>
    </row>
    <row r="13">
      <c r="B13" s="6" t="inlineStr">
        <is>
          <t>Mantenimiento del cultivo (harina de los refrescos)</t>
        </is>
      </c>
      <c r="C13" s="23" t="n">
        <v>450</v>
      </c>
    </row>
    <row r="14">
      <c r="B14" s="6" t="inlineStr">
        <is>
          <t>Otros gastos fijos</t>
        </is>
      </c>
      <c r="C14" s="23" t="n">
        <v>750</v>
      </c>
    </row>
    <row r="15">
      <c r="B15" s="6" t="n"/>
      <c r="C15" s="23" t="n"/>
    </row>
    <row r="16">
      <c r="B16" s="6" t="n"/>
      <c r="C16" s="23" t="n"/>
    </row>
    <row r="17">
      <c r="B17" s="19" t="inlineStr">
        <is>
          <t>Total de gastos fijos</t>
        </is>
      </c>
      <c r="C17" s="24">
        <f>SUM(C5:C16)</f>
        <v/>
      </c>
    </row>
    <row r="19">
      <c r="B19" t="inlineStr">
        <is>
          <t>Piezas producidos al mes</t>
        </is>
      </c>
      <c r="C19" s="25" t="n">
        <v>2400</v>
      </c>
      <c r="D19" s="7" t="inlineStr">
        <is>
          <t>≈ 92 piezas al día en 26 días de operación. Ajusta este número a tu producción real.</t>
        </is>
      </c>
    </row>
    <row r="20">
      <c r="B20" t="inlineStr">
        <is>
          <t>Gastos fijos por pieza (overhead)</t>
        </is>
      </c>
      <c r="C20" s="26">
        <f>IFERROR(C17/C19,0)</f>
        <v/>
      </c>
      <c r="D20" s="7" t="inlineStr">
        <is>
          <t>Se suma al costo de cada pieza.</t>
        </is>
      </c>
    </row>
    <row r="21">
      <c r="B21" t="inlineStr">
        <is>
          <t>Sueldo mensual que te pagas</t>
        </is>
      </c>
      <c r="C21" s="23" t="n">
        <v>19800</v>
      </c>
      <c r="D21" s="7" t="inlineStr"/>
    </row>
    <row r="22">
      <c r="B22" t="inlineStr">
        <is>
          <t>Horas de trabajo al mes</t>
        </is>
      </c>
      <c r="C22" s="25" t="n">
        <v>180</v>
      </c>
      <c r="D22" s="7" t="inlineStr"/>
    </row>
    <row r="23">
      <c r="B23" t="inlineStr">
        <is>
          <t>Costo de tu hora</t>
        </is>
      </c>
      <c r="C23" s="26">
        <f>IFERROR(C21/C22,0)</f>
        <v/>
      </c>
      <c r="D23" s="7" t="inlineStr">
        <is>
          <t>Mano de obra = minutos ÷ 60 × costo de la hora.</t>
        </is>
      </c>
    </row>
    <row r="24">
      <c r="B24" t="inlineStr">
        <is>
          <t>% de merma por defecto</t>
        </is>
      </c>
      <c r="C24" s="27" t="n">
        <v>0.05</v>
      </c>
      <c r="D24" s="7" t="inlineStr">
        <is>
          <t>Piezas planas, quemadas y sobrante del día. Compárala con tu merma real en el Tablero.</t>
        </is>
      </c>
    </row>
    <row r="25">
      <c r="B25" t="inlineStr">
        <is>
          <t>Redondeo de precios (pesos)</t>
        </is>
      </c>
      <c r="C25" s="25" t="n">
        <v>5</v>
      </c>
      <c r="D25" s="7" t="inlineStr">
        <is>
          <t>Los precios suben al múltiplo superior de esta cifra.</t>
        </is>
      </c>
    </row>
    <row r="26">
      <c r="B26" s="28" t="inlineStr">
        <is>
          <t>Márgenes objetivo por canal</t>
        </is>
      </c>
      <c r="C26" s="25" t="n">
        <v>24</v>
      </c>
      <c r="D26" s="7" t="inlineStr">
        <is>
          <t>Refrescar, amasar y plegar cuesta lo mismo con 4 piezas que con 40; formar, no. Éste es el número que más mueve tu costo de mano de obra.</t>
        </is>
      </c>
    </row>
    <row r="27">
      <c r="B27" t="inlineStr">
        <is>
          <t>Margen · Mostrador y vitrina</t>
        </is>
      </c>
      <c r="C27" s="27" t="n">
        <v>0.58</v>
      </c>
      <c r="D27" s="7" t="inlineStr">
        <is>
          <t>Rango sugerido 55 – 65 %.</t>
        </is>
      </c>
    </row>
    <row r="28">
      <c r="B28" t="inlineStr">
        <is>
          <t>Margen · Suscripción y preventa</t>
        </is>
      </c>
      <c r="C28" s="27" t="n">
        <v>0.52</v>
      </c>
      <c r="D28" s="7" t="inlineStr">
        <is>
          <t>Rango sugerido 48 – 58 %.</t>
        </is>
      </c>
    </row>
    <row r="29">
      <c r="B29" t="inlineStr">
        <is>
          <t>Margen · Restaurante y hotel</t>
        </is>
      </c>
      <c r="C29" s="27" t="n">
        <v>0.4</v>
      </c>
      <c r="D29" s="7" t="inlineStr">
        <is>
          <t>Rango sugerido 35 – 45 %.</t>
        </is>
      </c>
    </row>
    <row r="30">
      <c r="B30" t="inlineStr">
        <is>
          <t>Margen · Mayoreo a cafeterías</t>
        </is>
      </c>
      <c r="C30" s="27" t="n">
        <v>0.32</v>
      </c>
      <c r="D30" s="7" t="inlineStr">
        <is>
          <t>Rango sugerido 28 – 38 %.</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7A2E7E"/>
    <outlinePr summaryBelow="1" summaryRight="1"/>
    <pageSetUpPr/>
  </sheetPr>
  <dimension ref="A1:X5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30" customWidth="1" min="3" max="3"/>
    <col width="11" customWidth="1" min="4" max="4"/>
    <col width="11" customWidth="1" min="5" max="5"/>
    <col width="11" customWidth="1" min="6" max="6"/>
    <col width="12" customWidth="1" min="7" max="7"/>
    <col width="13" customWidth="1" min="8" max="8"/>
    <col width="13" customWidth="1" min="9" max="9"/>
    <col width="12" customWidth="1" min="10" max="10"/>
    <col width="10" customWidth="1" min="11" max="11"/>
    <col width="10" customWidth="1" min="12" max="12"/>
    <col width="11" customWidth="1" min="13" max="13"/>
    <col width="10" customWidth="1" min="14" max="14"/>
    <col width="11" customWidth="1" min="15" max="15"/>
    <col width="9" customWidth="1" min="16" max="16"/>
    <col width="10" customWidth="1" min="17" max="17"/>
    <col width="12" customWidth="1" min="18" max="18"/>
    <col width="12" customWidth="1" min="19" max="19"/>
    <col width="12" customWidth="1" min="20" max="20"/>
    <col width="12" customWidth="1" min="21" max="21"/>
    <col width="12" customWidth="1" min="22" max="22"/>
  </cols>
  <sheetData>
    <row r="1">
      <c r="A1" s="1" t="inlineStr">
        <is>
          <t>Recetas y precios</t>
        </is>
      </c>
    </row>
    <row r="2">
      <c r="A2" s="7" t="inlineStr">
        <is>
          <t>Hoja principal. Cambia un precio en Insumos y los 50 precios se recalculan solos.</t>
        </is>
      </c>
    </row>
    <row r="4" ht="30" customHeight="1">
      <c r="A4" s="8" t="inlineStr">
        <is>
          <t>Nº</t>
        </is>
      </c>
      <c r="B4" s="8" t="inlineStr">
        <is>
          <t>Receta</t>
        </is>
      </c>
      <c r="C4" s="8" t="inlineStr">
        <is>
          <t>Capítulo</t>
        </is>
      </c>
      <c r="D4" s="8" t="inlineStr">
        <is>
          <t>Bloque</t>
        </is>
      </c>
      <c r="E4" s="8" t="inlineStr">
        <is>
          <t>Hidrat.</t>
        </is>
      </c>
      <c r="F4" s="8" t="inlineStr">
        <is>
          <t>Proceso</t>
        </is>
      </c>
      <c r="G4" s="8" t="inlineStr">
        <is>
          <t>Unidad de venta</t>
        </is>
      </c>
      <c r="H4" s="8" t="inlineStr">
        <is>
          <t>Piezas que rinde</t>
        </is>
      </c>
      <c r="I4" s="8" t="inlineStr">
        <is>
          <t>Insumos del lote</t>
        </is>
      </c>
      <c r="J4" s="8" t="inlineStr">
        <is>
          <t>Insumos por pieza</t>
        </is>
      </c>
      <c r="K4" s="8" t="inlineStr">
        <is>
          <t>Empaque</t>
        </is>
      </c>
      <c r="L4" s="8" t="inlineStr">
        <is>
          <t>Energía por pieza</t>
        </is>
      </c>
      <c r="M4" s="8" t="inlineStr">
        <is>
          <t>Min. amasado (tanda)</t>
        </is>
      </c>
      <c r="N4" s="8" t="inlineStr">
        <is>
          <t>Min. formado (pieza)</t>
        </is>
      </c>
      <c r="O4" s="8" t="inlineStr">
        <is>
          <t>Mano de obra</t>
        </is>
      </c>
      <c r="P4" s="8" t="inlineStr">
        <is>
          <t>Gastos fijos</t>
        </is>
      </c>
      <c r="Q4" s="8" t="inlineStr">
        <is>
          <t>Costo base</t>
        </is>
      </c>
      <c r="R4" s="8" t="inlineStr">
        <is>
          <t>Merma propia</t>
        </is>
      </c>
      <c r="S4" s="8" t="inlineStr">
        <is>
          <t>Merma aplicada</t>
        </is>
      </c>
      <c r="T4" s="8" t="inlineStr">
        <is>
          <t>COSTO TOTAL</t>
        </is>
      </c>
      <c r="U4" s="8" t="inlineStr">
        <is>
          <t>PVP Mostrador y vitrina</t>
        </is>
      </c>
      <c r="V4" s="8" t="inlineStr">
        <is>
          <t>PVP Suscripción y preventa</t>
        </is>
      </c>
      <c r="W4" s="8" t="inlineStr">
        <is>
          <t>PVP Restaurante y hotel</t>
        </is>
      </c>
      <c r="X4" s="8" t="inlineStr">
        <is>
          <t>PVP Mayoreo a cafeterías</t>
        </is>
      </c>
    </row>
    <row r="5">
      <c r="A5" t="n">
        <v>1</v>
      </c>
      <c r="B5" s="21" t="inlineStr">
        <is>
          <t>Hogaza Rústica Blanca Campestre (Country Loaf 75% Hidratación)</t>
        </is>
      </c>
      <c r="C5" s="22" t="inlineStr">
        <is>
          <t>Cap. 8 · Panes fundamentales de corteza noble</t>
        </is>
      </c>
      <c r="D5" t="inlineStr">
        <is>
          <t>F</t>
        </is>
      </c>
      <c r="E5" t="inlineStr">
        <is>
          <t>A</t>
        </is>
      </c>
      <c r="F5" t="inlineStr">
        <is>
          <t>L</t>
        </is>
      </c>
      <c r="G5" t="inlineStr">
        <is>
          <t>pieza</t>
        </is>
      </c>
      <c r="H5" s="16" t="n">
        <v>1</v>
      </c>
      <c r="I5" s="17">
        <f>SUMIF(Ingredientes!$A$5:$A$397,A5,Ingredientes!$I$5:$I$397)</f>
        <v/>
      </c>
      <c r="J5" s="17">
        <f>IFERROR(I5/H5,0)</f>
        <v/>
      </c>
      <c r="K5" s="11" t="n">
        <v>5</v>
      </c>
      <c r="L5" s="11" t="n">
        <v>2</v>
      </c>
      <c r="M5" s="16" t="n">
        <v>45</v>
      </c>
      <c r="N5" s="16" t="n">
        <v>6</v>
      </c>
      <c r="O5" s="17">
        <f>IFERROR((M5/MAX(1,'Mi negocio'!$C$26)+N5)/60*'Mi negocio'!$C$23,0)</f>
        <v/>
      </c>
      <c r="P5" s="17">
        <f>'Mi negocio'!$C$20</f>
        <v/>
      </c>
      <c r="Q5" s="17">
        <f>J5+K5+L5+O5+P5</f>
        <v/>
      </c>
      <c r="R5" s="27" t="n"/>
      <c r="S5" s="29">
        <f>IF(R5="",'Mi negocio'!$C$24,R5)</f>
        <v/>
      </c>
      <c r="T5" s="30">
        <f>IFERROR(Q5/(1-S5),0)</f>
        <v/>
      </c>
      <c r="U5" s="31">
        <f>IFERROR(CEILING(ROUND(T5/(1-'Mi negocio'!$C$27),6),'Mi negocio'!$C$25),0)</f>
        <v/>
      </c>
      <c r="V5" s="31">
        <f>IFERROR(CEILING(ROUND(T5/(1-'Mi negocio'!$C$28),6),'Mi negocio'!$C$25),0)</f>
        <v/>
      </c>
      <c r="W5" s="31">
        <f>IFERROR(CEILING(ROUND(T5/(1-'Mi negocio'!$C$29),6),'Mi negocio'!$C$25),0)</f>
        <v/>
      </c>
      <c r="X5" s="31">
        <f>IFERROR(CEILING(ROUND(T5/(1-'Mi negocio'!$C$30),6),'Mi negocio'!$C$25),0)</f>
        <v/>
      </c>
    </row>
    <row r="6">
      <c r="A6" t="n">
        <v>2</v>
      </c>
      <c r="B6" s="21" t="inlineStr">
        <is>
          <t>Pan Campesino Tradicional con Centeno y Trigo Integral (Pain de Campagne)</t>
        </is>
      </c>
      <c r="C6" s="22" t="inlineStr">
        <is>
          <t>Cap. 8 · Panes fundamentales de corteza noble</t>
        </is>
      </c>
      <c r="D6" t="inlineStr">
        <is>
          <t>F</t>
        </is>
      </c>
      <c r="E6" t="inlineStr">
        <is>
          <t>M</t>
        </is>
      </c>
      <c r="F6" t="inlineStr">
        <is>
          <t>L</t>
        </is>
      </c>
      <c r="G6" t="inlineStr">
        <is>
          <t>pieza</t>
        </is>
      </c>
      <c r="H6" s="16" t="n">
        <v>1</v>
      </c>
      <c r="I6" s="17">
        <f>SUMIF(Ingredientes!$A$5:$A$397,A6,Ingredientes!$I$5:$I$397)</f>
        <v/>
      </c>
      <c r="J6" s="17">
        <f>IFERROR(I6/H6,0)</f>
        <v/>
      </c>
      <c r="K6" s="11" t="n">
        <v>5</v>
      </c>
      <c r="L6" s="11" t="n">
        <v>2</v>
      </c>
      <c r="M6" s="16" t="n">
        <v>45</v>
      </c>
      <c r="N6" s="16" t="n">
        <v>6</v>
      </c>
      <c r="O6" s="17">
        <f>IFERROR((M6/MAX(1,'Mi negocio'!$C$26)+N6)/60*'Mi negocio'!$C$23,0)</f>
        <v/>
      </c>
      <c r="P6" s="17">
        <f>'Mi negocio'!$C$20</f>
        <v/>
      </c>
      <c r="Q6" s="17">
        <f>J6+K6+L6+O6+P6</f>
        <v/>
      </c>
      <c r="R6" s="27" t="n"/>
      <c r="S6" s="29">
        <f>IF(R6="",'Mi negocio'!$C$24,R6)</f>
        <v/>
      </c>
      <c r="T6" s="30">
        <f>IFERROR(Q6/(1-S6),0)</f>
        <v/>
      </c>
      <c r="U6" s="31">
        <f>IFERROR(CEILING(ROUND(T6/(1-'Mi negocio'!$C$27),6),'Mi negocio'!$C$25),0)</f>
        <v/>
      </c>
      <c r="V6" s="31">
        <f>IFERROR(CEILING(ROUND(T6/(1-'Mi negocio'!$C$28),6),'Mi negocio'!$C$25),0)</f>
        <v/>
      </c>
      <c r="W6" s="31">
        <f>IFERROR(CEILING(ROUND(T6/(1-'Mi negocio'!$C$29),6),'Mi negocio'!$C$25),0)</f>
        <v/>
      </c>
      <c r="X6" s="31">
        <f>IFERROR(CEILING(ROUND(T6/(1-'Mi negocio'!$C$30),6),'Mi negocio'!$C$25),0)</f>
        <v/>
      </c>
    </row>
    <row r="7">
      <c r="A7" t="n">
        <v>3</v>
      </c>
      <c r="B7" s="21" t="inlineStr">
        <is>
          <t>Barra Tradicional Rústica de Masa Madre (Formato Batard)</t>
        </is>
      </c>
      <c r="C7" s="22" t="inlineStr">
        <is>
          <t>Cap. 8 · Panes fundamentales de corteza noble</t>
        </is>
      </c>
      <c r="D7" t="inlineStr">
        <is>
          <t>F</t>
        </is>
      </c>
      <c r="E7" t="inlineStr">
        <is>
          <t>M</t>
        </is>
      </c>
      <c r="F7" t="inlineStr">
        <is>
          <t>L</t>
        </is>
      </c>
      <c r="G7" t="inlineStr">
        <is>
          <t>pieza</t>
        </is>
      </c>
      <c r="H7" s="16" t="n">
        <v>2</v>
      </c>
      <c r="I7" s="17">
        <f>SUMIF(Ingredientes!$A$5:$A$397,A7,Ingredientes!$I$5:$I$397)</f>
        <v/>
      </c>
      <c r="J7" s="17">
        <f>IFERROR(I7/H7,0)</f>
        <v/>
      </c>
      <c r="K7" s="11" t="n">
        <v>5</v>
      </c>
      <c r="L7" s="11" t="n">
        <v>2</v>
      </c>
      <c r="M7" s="16" t="n">
        <v>45</v>
      </c>
      <c r="N7" s="16" t="n">
        <v>5</v>
      </c>
      <c r="O7" s="17">
        <f>IFERROR((M7/MAX(1,'Mi negocio'!$C$26)+N7)/60*'Mi negocio'!$C$23,0)</f>
        <v/>
      </c>
      <c r="P7" s="17">
        <f>'Mi negocio'!$C$20</f>
        <v/>
      </c>
      <c r="Q7" s="17">
        <f>J7+K7+L7+O7+P7</f>
        <v/>
      </c>
      <c r="R7" s="27" t="n"/>
      <c r="S7" s="29">
        <f>IF(R7="",'Mi negocio'!$C$24,R7)</f>
        <v/>
      </c>
      <c r="T7" s="30">
        <f>IFERROR(Q7/(1-S7),0)</f>
        <v/>
      </c>
      <c r="U7" s="31">
        <f>IFERROR(CEILING(ROUND(T7/(1-'Mi negocio'!$C$27),6),'Mi negocio'!$C$25),0)</f>
        <v/>
      </c>
      <c r="V7" s="31">
        <f>IFERROR(CEILING(ROUND(T7/(1-'Mi negocio'!$C$28),6),'Mi negocio'!$C$25),0)</f>
        <v/>
      </c>
      <c r="W7" s="31">
        <f>IFERROR(CEILING(ROUND(T7/(1-'Mi negocio'!$C$29),6),'Mi negocio'!$C$25),0)</f>
        <v/>
      </c>
      <c r="X7" s="31">
        <f>IFERROR(CEILING(ROUND(T7/(1-'Mi negocio'!$C$30),6),'Mi negocio'!$C$25),0)</f>
        <v/>
      </c>
    </row>
    <row r="8">
      <c r="A8" t="n">
        <v>4</v>
      </c>
      <c r="B8" s="21" t="inlineStr">
        <is>
          <t>Baguetín Clásico de Fermentación Lenta en Frío</t>
        </is>
      </c>
      <c r="C8" s="22" t="inlineStr">
        <is>
          <t>Cap. 8 · Panes fundamentales de corteza noble</t>
        </is>
      </c>
      <c r="D8" t="inlineStr">
        <is>
          <t>F</t>
        </is>
      </c>
      <c r="E8" t="inlineStr">
        <is>
          <t>M</t>
        </is>
      </c>
      <c r="F8" t="inlineStr">
        <is>
          <t>L</t>
        </is>
      </c>
      <c r="G8" t="inlineStr">
        <is>
          <t>pieza</t>
        </is>
      </c>
      <c r="H8" s="16" t="n">
        <v>4</v>
      </c>
      <c r="I8" s="17">
        <f>SUMIF(Ingredientes!$A$5:$A$397,A8,Ingredientes!$I$5:$I$397)</f>
        <v/>
      </c>
      <c r="J8" s="17">
        <f>IFERROR(I8/H8,0)</f>
        <v/>
      </c>
      <c r="K8" s="11" t="n">
        <v>5</v>
      </c>
      <c r="L8" s="11" t="n">
        <v>3</v>
      </c>
      <c r="M8" s="16" t="n">
        <v>50</v>
      </c>
      <c r="N8" s="16" t="n">
        <v>4</v>
      </c>
      <c r="O8" s="17">
        <f>IFERROR((M8/MAX(1,'Mi negocio'!$C$26)+N8)/60*'Mi negocio'!$C$23,0)</f>
        <v/>
      </c>
      <c r="P8" s="17">
        <f>'Mi negocio'!$C$20</f>
        <v/>
      </c>
      <c r="Q8" s="17">
        <f>J8+K8+L8+O8+P8</f>
        <v/>
      </c>
      <c r="R8" s="27" t="n"/>
      <c r="S8" s="29">
        <f>IF(R8="",'Mi negocio'!$C$24,R8)</f>
        <v/>
      </c>
      <c r="T8" s="30">
        <f>IFERROR(Q8/(1-S8),0)</f>
        <v/>
      </c>
      <c r="U8" s="31">
        <f>IFERROR(CEILING(ROUND(T8/(1-'Mi negocio'!$C$27),6),'Mi negocio'!$C$25),0)</f>
        <v/>
      </c>
      <c r="V8" s="31">
        <f>IFERROR(CEILING(ROUND(T8/(1-'Mi negocio'!$C$28),6),'Mi negocio'!$C$25),0)</f>
        <v/>
      </c>
      <c r="W8" s="31">
        <f>IFERROR(CEILING(ROUND(T8/(1-'Mi negocio'!$C$29),6),'Mi negocio'!$C$25),0)</f>
        <v/>
      </c>
      <c r="X8" s="31">
        <f>IFERROR(CEILING(ROUND(T8/(1-'Mi negocio'!$C$30),6),'Mi negocio'!$C$25),0)</f>
        <v/>
      </c>
    </row>
    <row r="9">
      <c r="A9" t="n">
        <v>5</v>
      </c>
      <c r="B9" s="21" t="inlineStr">
        <is>
          <t>Chapatas Tradicionales de Alta Hidratación al 85% con Masa Madre (Ciabatta)</t>
        </is>
      </c>
      <c r="C9" s="22" t="inlineStr">
        <is>
          <t>Cap. 8 · Panes fundamentales de corteza noble</t>
        </is>
      </c>
      <c r="D9" t="inlineStr">
        <is>
          <t>F</t>
        </is>
      </c>
      <c r="E9" t="inlineStr">
        <is>
          <t>X</t>
        </is>
      </c>
      <c r="F9" t="inlineStr">
        <is>
          <t>L</t>
        </is>
      </c>
      <c r="G9" t="inlineStr">
        <is>
          <t>pieza</t>
        </is>
      </c>
      <c r="H9" s="16" t="n">
        <v>4</v>
      </c>
      <c r="I9" s="17">
        <f>SUMIF(Ingredientes!$A$5:$A$397,A9,Ingredientes!$I$5:$I$397)</f>
        <v/>
      </c>
      <c r="J9" s="17">
        <f>IFERROR(I9/H9,0)</f>
        <v/>
      </c>
      <c r="K9" s="11" t="n">
        <v>5</v>
      </c>
      <c r="L9" s="11" t="n">
        <v>3</v>
      </c>
      <c r="M9" s="16" t="n">
        <v>40</v>
      </c>
      <c r="N9" s="16" t="n">
        <v>3</v>
      </c>
      <c r="O9" s="17">
        <f>IFERROR((M9/MAX(1,'Mi negocio'!$C$26)+N9)/60*'Mi negocio'!$C$23,0)</f>
        <v/>
      </c>
      <c r="P9" s="17">
        <f>'Mi negocio'!$C$20</f>
        <v/>
      </c>
      <c r="Q9" s="17">
        <f>J9+K9+L9+O9+P9</f>
        <v/>
      </c>
      <c r="R9" s="27" t="n"/>
      <c r="S9" s="29">
        <f>IF(R9="",'Mi negocio'!$C$24,R9)</f>
        <v/>
      </c>
      <c r="T9" s="30">
        <f>IFERROR(Q9/(1-S9),0)</f>
        <v/>
      </c>
      <c r="U9" s="31">
        <f>IFERROR(CEILING(ROUND(T9/(1-'Mi negocio'!$C$27),6),'Mi negocio'!$C$25),0)</f>
        <v/>
      </c>
      <c r="V9" s="31">
        <f>IFERROR(CEILING(ROUND(T9/(1-'Mi negocio'!$C$28),6),'Mi negocio'!$C$25),0)</f>
        <v/>
      </c>
      <c r="W9" s="31">
        <f>IFERROR(CEILING(ROUND(T9/(1-'Mi negocio'!$C$29),6),'Mi negocio'!$C$25),0)</f>
        <v/>
      </c>
      <c r="X9" s="31">
        <f>IFERROR(CEILING(ROUND(T9/(1-'Mi negocio'!$C$30),6),'Mi negocio'!$C$25),0)</f>
        <v/>
      </c>
    </row>
    <row r="10">
      <c r="A10" t="n">
        <v>6</v>
      </c>
      <c r="B10" s="21" t="inlineStr">
        <is>
          <t>Góndolas Venecianas de Corteza Crujiente (Pan de Formato Naval Alargado)</t>
        </is>
      </c>
      <c r="C10" s="22" t="inlineStr">
        <is>
          <t>Cap. 8 · Panes fundamentales de corteza noble</t>
        </is>
      </c>
      <c r="D10" t="inlineStr">
        <is>
          <t>F</t>
        </is>
      </c>
      <c r="E10" t="inlineStr">
        <is>
          <t>M</t>
        </is>
      </c>
      <c r="F10" t="inlineStr">
        <is>
          <t>L</t>
        </is>
      </c>
      <c r="G10" t="inlineStr">
        <is>
          <t>pieza</t>
        </is>
      </c>
      <c r="H10" s="16" t="n">
        <v>4</v>
      </c>
      <c r="I10" s="17">
        <f>SUMIF(Ingredientes!$A$5:$A$397,A10,Ingredientes!$I$5:$I$397)</f>
        <v/>
      </c>
      <c r="J10" s="17">
        <f>IFERROR(I10/H10,0)</f>
        <v/>
      </c>
      <c r="K10" s="11" t="n">
        <v>5</v>
      </c>
      <c r="L10" s="11" t="n">
        <v>2</v>
      </c>
      <c r="M10" s="16" t="n">
        <v>45</v>
      </c>
      <c r="N10" s="16" t="n">
        <v>4</v>
      </c>
      <c r="O10" s="17">
        <f>IFERROR((M10/MAX(1,'Mi negocio'!$C$26)+N10)/60*'Mi negocio'!$C$23,0)</f>
        <v/>
      </c>
      <c r="P10" s="17">
        <f>'Mi negocio'!$C$20</f>
        <v/>
      </c>
      <c r="Q10" s="17">
        <f>J10+K10+L10+O10+P10</f>
        <v/>
      </c>
      <c r="R10" s="27" t="n"/>
      <c r="S10" s="29">
        <f>IF(R10="",'Mi negocio'!$C$24,R10)</f>
        <v/>
      </c>
      <c r="T10" s="30">
        <f>IFERROR(Q10/(1-S10),0)</f>
        <v/>
      </c>
      <c r="U10" s="31">
        <f>IFERROR(CEILING(ROUND(T10/(1-'Mi negocio'!$C$27),6),'Mi negocio'!$C$25),0)</f>
        <v/>
      </c>
      <c r="V10" s="31">
        <f>IFERROR(CEILING(ROUND(T10/(1-'Mi negocio'!$C$28),6),'Mi negocio'!$C$25),0)</f>
        <v/>
      </c>
      <c r="W10" s="31">
        <f>IFERROR(CEILING(ROUND(T10/(1-'Mi negocio'!$C$29),6),'Mi negocio'!$C$25),0)</f>
        <v/>
      </c>
      <c r="X10" s="31">
        <f>IFERROR(CEILING(ROUND(T10/(1-'Mi negocio'!$C$30),6),'Mi negocio'!$C$25),0)</f>
        <v/>
      </c>
    </row>
    <row r="11">
      <c r="A11" t="n">
        <v>7</v>
      </c>
      <c r="B11" s="21" t="inlineStr">
        <is>
          <t>Trenza Rústica de Tres Cabos de Masa Madre con Semillas Tostadas</t>
        </is>
      </c>
      <c r="C11" s="22" t="inlineStr">
        <is>
          <t>Cap. 8 · Panes fundamentales de corteza noble</t>
        </is>
      </c>
      <c r="D11" t="inlineStr">
        <is>
          <t>F</t>
        </is>
      </c>
      <c r="E11" t="inlineStr">
        <is>
          <t>M</t>
        </is>
      </c>
      <c r="F11" t="inlineStr">
        <is>
          <t>L</t>
        </is>
      </c>
      <c r="G11" t="inlineStr">
        <is>
          <t>pieza</t>
        </is>
      </c>
      <c r="H11" s="16" t="n">
        <v>2</v>
      </c>
      <c r="I11" s="17">
        <f>SUMIF(Ingredientes!$A$5:$A$397,A11,Ingredientes!$I$5:$I$397)</f>
        <v/>
      </c>
      <c r="J11" s="17">
        <f>IFERROR(I11/H11,0)</f>
        <v/>
      </c>
      <c r="K11" s="11" t="n">
        <v>5</v>
      </c>
      <c r="L11" s="11" t="n">
        <v>2</v>
      </c>
      <c r="M11" s="16" t="n">
        <v>50</v>
      </c>
      <c r="N11" s="16" t="n">
        <v>8</v>
      </c>
      <c r="O11" s="17">
        <f>IFERROR((M11/MAX(1,'Mi negocio'!$C$26)+N11)/60*'Mi negocio'!$C$23,0)</f>
        <v/>
      </c>
      <c r="P11" s="17">
        <f>'Mi negocio'!$C$20</f>
        <v/>
      </c>
      <c r="Q11" s="17">
        <f>J11+K11+L11+O11+P11</f>
        <v/>
      </c>
      <c r="R11" s="27" t="n"/>
      <c r="S11" s="29">
        <f>IF(R11="",'Mi negocio'!$C$24,R11)</f>
        <v/>
      </c>
      <c r="T11" s="30">
        <f>IFERROR(Q11/(1-S11),0)</f>
        <v/>
      </c>
      <c r="U11" s="31">
        <f>IFERROR(CEILING(ROUND(T11/(1-'Mi negocio'!$C$27),6),'Mi negocio'!$C$25),0)</f>
        <v/>
      </c>
      <c r="V11" s="31">
        <f>IFERROR(CEILING(ROUND(T11/(1-'Mi negocio'!$C$28),6),'Mi negocio'!$C$25),0)</f>
        <v/>
      </c>
      <c r="W11" s="31">
        <f>IFERROR(CEILING(ROUND(T11/(1-'Mi negocio'!$C$29),6),'Mi negocio'!$C$25),0)</f>
        <v/>
      </c>
      <c r="X11" s="31">
        <f>IFERROR(CEILING(ROUND(T11/(1-'Mi negocio'!$C$30),6),'Mi negocio'!$C$25),0)</f>
        <v/>
      </c>
    </row>
    <row r="12">
      <c r="A12" t="n">
        <v>8</v>
      </c>
      <c r="B12" s="21" t="inlineStr">
        <is>
          <t>Baguette Tradicional Francesa 100% Levain (Sin Levadura Comercial)</t>
        </is>
      </c>
      <c r="C12" s="22" t="inlineStr">
        <is>
          <t>Cap. 8 · Panes fundamentales de corteza noble</t>
        </is>
      </c>
      <c r="D12" t="inlineStr">
        <is>
          <t>F</t>
        </is>
      </c>
      <c r="E12" t="inlineStr">
        <is>
          <t>M</t>
        </is>
      </c>
      <c r="F12" t="inlineStr">
        <is>
          <t>L</t>
        </is>
      </c>
      <c r="G12" t="inlineStr">
        <is>
          <t>pieza</t>
        </is>
      </c>
      <c r="H12" s="16" t="n">
        <v>3</v>
      </c>
      <c r="I12" s="17">
        <f>SUMIF(Ingredientes!$A$5:$A$397,A12,Ingredientes!$I$5:$I$397)</f>
        <v/>
      </c>
      <c r="J12" s="17">
        <f>IFERROR(I12/H12,0)</f>
        <v/>
      </c>
      <c r="K12" s="11" t="n">
        <v>5</v>
      </c>
      <c r="L12" s="11" t="n">
        <v>3</v>
      </c>
      <c r="M12" s="16" t="n">
        <v>55</v>
      </c>
      <c r="N12" s="16" t="n">
        <v>7</v>
      </c>
      <c r="O12" s="17">
        <f>IFERROR((M12/MAX(1,'Mi negocio'!$C$26)+N12)/60*'Mi negocio'!$C$23,0)</f>
        <v/>
      </c>
      <c r="P12" s="17">
        <f>'Mi negocio'!$C$20</f>
        <v/>
      </c>
      <c r="Q12" s="17">
        <f>J12+K12+L12+O12+P12</f>
        <v/>
      </c>
      <c r="R12" s="27" t="n"/>
      <c r="S12" s="29">
        <f>IF(R12="",'Mi negocio'!$C$24,R12)</f>
        <v/>
      </c>
      <c r="T12" s="30">
        <f>IFERROR(Q12/(1-S12),0)</f>
        <v/>
      </c>
      <c r="U12" s="31">
        <f>IFERROR(CEILING(ROUND(T12/(1-'Mi negocio'!$C$27),6),'Mi negocio'!$C$25),0)</f>
        <v/>
      </c>
      <c r="V12" s="31">
        <f>IFERROR(CEILING(ROUND(T12/(1-'Mi negocio'!$C$28),6),'Mi negocio'!$C$25),0)</f>
        <v/>
      </c>
      <c r="W12" s="31">
        <f>IFERROR(CEILING(ROUND(T12/(1-'Mi negocio'!$C$29),6),'Mi negocio'!$C$25),0)</f>
        <v/>
      </c>
      <c r="X12" s="31">
        <f>IFERROR(CEILING(ROUND(T12/(1-'Mi negocio'!$C$30),6),'Mi negocio'!$C$25),0)</f>
        <v/>
      </c>
    </row>
    <row r="13">
      <c r="A13" t="n">
        <v>9</v>
      </c>
      <c r="B13" s="21" t="inlineStr">
        <is>
          <t>Hogaza Miche Tradicional de Molienda a la Piedra (Pain de Seigle et Blé)</t>
        </is>
      </c>
      <c r="C13" s="22" t="inlineStr">
        <is>
          <t>Cap. 8 · Panes fundamentales de corteza noble</t>
        </is>
      </c>
      <c r="D13" t="inlineStr">
        <is>
          <t>F</t>
        </is>
      </c>
      <c r="E13" t="inlineStr">
        <is>
          <t>A</t>
        </is>
      </c>
      <c r="F13" t="inlineStr">
        <is>
          <t>L</t>
        </is>
      </c>
      <c r="G13" t="inlineStr">
        <is>
          <t>pieza</t>
        </is>
      </c>
      <c r="H13" s="16" t="n">
        <v>1</v>
      </c>
      <c r="I13" s="17">
        <f>SUMIF(Ingredientes!$A$5:$A$397,A13,Ingredientes!$I$5:$I$397)</f>
        <v/>
      </c>
      <c r="J13" s="17">
        <f>IFERROR(I13/H13,0)</f>
        <v/>
      </c>
      <c r="K13" s="11" t="n">
        <v>5</v>
      </c>
      <c r="L13" s="11" t="n">
        <v>3</v>
      </c>
      <c r="M13" s="16" t="n">
        <v>50</v>
      </c>
      <c r="N13" s="16" t="n">
        <v>10</v>
      </c>
      <c r="O13" s="17">
        <f>IFERROR((M13/MAX(1,'Mi negocio'!$C$26)+N13)/60*'Mi negocio'!$C$23,0)</f>
        <v/>
      </c>
      <c r="P13" s="17">
        <f>'Mi negocio'!$C$20</f>
        <v/>
      </c>
      <c r="Q13" s="17">
        <f>J13+K13+L13+O13+P13</f>
        <v/>
      </c>
      <c r="R13" s="27" t="n"/>
      <c r="S13" s="29">
        <f>IF(R13="",'Mi negocio'!$C$24,R13)</f>
        <v/>
      </c>
      <c r="T13" s="30">
        <f>IFERROR(Q13/(1-S13),0)</f>
        <v/>
      </c>
      <c r="U13" s="31">
        <f>IFERROR(CEILING(ROUND(T13/(1-'Mi negocio'!$C$27),6),'Mi negocio'!$C$25),0)</f>
        <v/>
      </c>
      <c r="V13" s="31">
        <f>IFERROR(CEILING(ROUND(T13/(1-'Mi negocio'!$C$28),6),'Mi negocio'!$C$25),0)</f>
        <v/>
      </c>
      <c r="W13" s="31">
        <f>IFERROR(CEILING(ROUND(T13/(1-'Mi negocio'!$C$29),6),'Mi negocio'!$C$25),0)</f>
        <v/>
      </c>
      <c r="X13" s="31">
        <f>IFERROR(CEILING(ROUND(T13/(1-'Mi negocio'!$C$30),6),'Mi negocio'!$C$25),0)</f>
        <v/>
      </c>
    </row>
    <row r="14">
      <c r="A14" t="n">
        <v>10</v>
      </c>
      <c r="B14" s="21" t="inlineStr">
        <is>
          <t>Fougasse Provenzal de Masa Madre con Aceite de Oliva y Hierbas</t>
        </is>
      </c>
      <c r="C14" s="22" t="inlineStr">
        <is>
          <t>Cap. 8 · Panes fundamentales de corteza noble</t>
        </is>
      </c>
      <c r="D14" t="inlineStr">
        <is>
          <t>F</t>
        </is>
      </c>
      <c r="E14" t="inlineStr">
        <is>
          <t>A</t>
        </is>
      </c>
      <c r="F14" t="inlineStr">
        <is>
          <t>L</t>
        </is>
      </c>
      <c r="G14" t="inlineStr">
        <is>
          <t>pieza</t>
        </is>
      </c>
      <c r="H14" s="16" t="n">
        <v>3</v>
      </c>
      <c r="I14" s="17">
        <f>SUMIF(Ingredientes!$A$5:$A$397,A14,Ingredientes!$I$5:$I$397)</f>
        <v/>
      </c>
      <c r="J14" s="17">
        <f>IFERROR(I14/H14,0)</f>
        <v/>
      </c>
      <c r="K14" s="11" t="n">
        <v>5</v>
      </c>
      <c r="L14" s="11" t="n">
        <v>2</v>
      </c>
      <c r="M14" s="16" t="n">
        <v>40</v>
      </c>
      <c r="N14" s="16" t="n">
        <v>6</v>
      </c>
      <c r="O14" s="17">
        <f>IFERROR((M14/MAX(1,'Mi negocio'!$C$26)+N14)/60*'Mi negocio'!$C$23,0)</f>
        <v/>
      </c>
      <c r="P14" s="17">
        <f>'Mi negocio'!$C$20</f>
        <v/>
      </c>
      <c r="Q14" s="17">
        <f>J14+K14+L14+O14+P14</f>
        <v/>
      </c>
      <c r="R14" s="27" t="n"/>
      <c r="S14" s="29">
        <f>IF(R14="",'Mi negocio'!$C$24,R14)</f>
        <v/>
      </c>
      <c r="T14" s="30">
        <f>IFERROR(Q14/(1-S14),0)</f>
        <v/>
      </c>
      <c r="U14" s="31">
        <f>IFERROR(CEILING(ROUND(T14/(1-'Mi negocio'!$C$27),6),'Mi negocio'!$C$25),0)</f>
        <v/>
      </c>
      <c r="V14" s="31">
        <f>IFERROR(CEILING(ROUND(T14/(1-'Mi negocio'!$C$28),6),'Mi negocio'!$C$25),0)</f>
        <v/>
      </c>
      <c r="W14" s="31">
        <f>IFERROR(CEILING(ROUND(T14/(1-'Mi negocio'!$C$29),6),'Mi negocio'!$C$25),0)</f>
        <v/>
      </c>
      <c r="X14" s="31">
        <f>IFERROR(CEILING(ROUND(T14/(1-'Mi negocio'!$C$30),6),'Mi negocio'!$C$25),0)</f>
        <v/>
      </c>
    </row>
    <row r="15">
      <c r="A15" t="n">
        <v>11</v>
      </c>
      <c r="B15" s="21" t="inlineStr">
        <is>
          <t>Hogaza de Trigo Espelta 100% Integral de Molienda Fina (Triticum spelta)</t>
        </is>
      </c>
      <c r="C15" s="22" t="inlineStr">
        <is>
          <t>Cap. 9 · Cereales ancestrales e integrales puros</t>
        </is>
      </c>
      <c r="D15" t="inlineStr">
        <is>
          <t>A</t>
        </is>
      </c>
      <c r="E15" t="inlineStr">
        <is>
          <t>M</t>
        </is>
      </c>
      <c r="F15" t="inlineStr">
        <is>
          <t>L</t>
        </is>
      </c>
      <c r="G15" t="inlineStr">
        <is>
          <t>pieza</t>
        </is>
      </c>
      <c r="H15" s="16" t="n">
        <v>1</v>
      </c>
      <c r="I15" s="17">
        <f>SUMIF(Ingredientes!$A$5:$A$397,A15,Ingredientes!$I$5:$I$397)</f>
        <v/>
      </c>
      <c r="J15" s="17">
        <f>IFERROR(I15/H15,0)</f>
        <v/>
      </c>
      <c r="K15" s="11" t="n">
        <v>5</v>
      </c>
      <c r="L15" s="11" t="n">
        <v>2</v>
      </c>
      <c r="M15" s="16" t="n">
        <v>45</v>
      </c>
      <c r="N15" s="16" t="n">
        <v>6</v>
      </c>
      <c r="O15" s="17">
        <f>IFERROR((M15/MAX(1,'Mi negocio'!$C$26)+N15)/60*'Mi negocio'!$C$23,0)</f>
        <v/>
      </c>
      <c r="P15" s="17">
        <f>'Mi negocio'!$C$20</f>
        <v/>
      </c>
      <c r="Q15" s="17">
        <f>J15+K15+L15+O15+P15</f>
        <v/>
      </c>
      <c r="R15" s="27" t="n"/>
      <c r="S15" s="29">
        <f>IF(R15="",'Mi negocio'!$C$24,R15)</f>
        <v/>
      </c>
      <c r="T15" s="30">
        <f>IFERROR(Q15/(1-S15),0)</f>
        <v/>
      </c>
      <c r="U15" s="31">
        <f>IFERROR(CEILING(ROUND(T15/(1-'Mi negocio'!$C$27),6),'Mi negocio'!$C$25),0)</f>
        <v/>
      </c>
      <c r="V15" s="31">
        <f>IFERROR(CEILING(ROUND(T15/(1-'Mi negocio'!$C$28),6),'Mi negocio'!$C$25),0)</f>
        <v/>
      </c>
      <c r="W15" s="31">
        <f>IFERROR(CEILING(ROUND(T15/(1-'Mi negocio'!$C$29),6),'Mi negocio'!$C$25),0)</f>
        <v/>
      </c>
      <c r="X15" s="31">
        <f>IFERROR(CEILING(ROUND(T15/(1-'Mi negocio'!$C$30),6),'Mi negocio'!$C$25),0)</f>
        <v/>
      </c>
    </row>
    <row r="16">
      <c r="A16" t="n">
        <v>12</v>
      </c>
      <c r="B16" s="21" t="inlineStr">
        <is>
          <t>Pan de Centeno Puro Tradicional del Norte (Rugbrød / Vollkornbrot 100% Centeno)</t>
        </is>
      </c>
      <c r="C16" s="22" t="inlineStr">
        <is>
          <t>Cap. 9 · Cereales ancestrales e integrales puros</t>
        </is>
      </c>
      <c r="D16" t="inlineStr">
        <is>
          <t>A</t>
        </is>
      </c>
      <c r="E16" t="inlineStr">
        <is>
          <t>X</t>
        </is>
      </c>
      <c r="F16" t="inlineStr">
        <is>
          <t>L</t>
        </is>
      </c>
      <c r="G16" t="inlineStr">
        <is>
          <t>pieza</t>
        </is>
      </c>
      <c r="H16" s="16" t="n">
        <v>1</v>
      </c>
      <c r="I16" s="17">
        <f>SUMIF(Ingredientes!$A$5:$A$397,A16,Ingredientes!$I$5:$I$397)</f>
        <v/>
      </c>
      <c r="J16" s="17">
        <f>IFERROR(I16/H16,0)</f>
        <v/>
      </c>
      <c r="K16" s="11" t="n">
        <v>5</v>
      </c>
      <c r="L16" s="11" t="n">
        <v>3</v>
      </c>
      <c r="M16" s="16" t="n">
        <v>55</v>
      </c>
      <c r="N16" s="16" t="n">
        <v>6</v>
      </c>
      <c r="O16" s="17">
        <f>IFERROR((M16/MAX(1,'Mi negocio'!$C$26)+N16)/60*'Mi negocio'!$C$23,0)</f>
        <v/>
      </c>
      <c r="P16" s="17">
        <f>'Mi negocio'!$C$20</f>
        <v/>
      </c>
      <c r="Q16" s="17">
        <f>J16+K16+L16+O16+P16</f>
        <v/>
      </c>
      <c r="R16" s="27" t="n"/>
      <c r="S16" s="29">
        <f>IF(R16="",'Mi negocio'!$C$24,R16)</f>
        <v/>
      </c>
      <c r="T16" s="30">
        <f>IFERROR(Q16/(1-S16),0)</f>
        <v/>
      </c>
      <c r="U16" s="31">
        <f>IFERROR(CEILING(ROUND(T16/(1-'Mi negocio'!$C$27),6),'Mi negocio'!$C$25),0)</f>
        <v/>
      </c>
      <c r="V16" s="31">
        <f>IFERROR(CEILING(ROUND(T16/(1-'Mi negocio'!$C$28),6),'Mi negocio'!$C$25),0)</f>
        <v/>
      </c>
      <c r="W16" s="31">
        <f>IFERROR(CEILING(ROUND(T16/(1-'Mi negocio'!$C$29),6),'Mi negocio'!$C$25),0)</f>
        <v/>
      </c>
      <c r="X16" s="31">
        <f>IFERROR(CEILING(ROUND(T16/(1-'Mi negocio'!$C$30),6),'Mi negocio'!$C$25),0)</f>
        <v/>
      </c>
    </row>
    <row r="17">
      <c r="A17" t="n">
        <v>13</v>
      </c>
      <c r="B17" s="21" t="inlineStr">
        <is>
          <t>Hogaza de Trigo Kamut / Khorasan de Tono Dorado (Triticum turgidum)</t>
        </is>
      </c>
      <c r="C17" s="22" t="inlineStr">
        <is>
          <t>Cap. 9 · Cereales ancestrales e integrales puros</t>
        </is>
      </c>
      <c r="D17" t="inlineStr">
        <is>
          <t>A</t>
        </is>
      </c>
      <c r="E17" t="inlineStr">
        <is>
          <t>M</t>
        </is>
      </c>
      <c r="F17" t="inlineStr">
        <is>
          <t>L</t>
        </is>
      </c>
      <c r="G17" t="inlineStr">
        <is>
          <t>pieza</t>
        </is>
      </c>
      <c r="H17" s="16" t="n">
        <v>1</v>
      </c>
      <c r="I17" s="17">
        <f>SUMIF(Ingredientes!$A$5:$A$397,A17,Ingredientes!$I$5:$I$397)</f>
        <v/>
      </c>
      <c r="J17" s="17">
        <f>IFERROR(I17/H17,0)</f>
        <v/>
      </c>
      <c r="K17" s="11" t="n">
        <v>5</v>
      </c>
      <c r="L17" s="11" t="n">
        <v>2</v>
      </c>
      <c r="M17" s="16" t="n">
        <v>45</v>
      </c>
      <c r="N17" s="16" t="n">
        <v>6</v>
      </c>
      <c r="O17" s="17">
        <f>IFERROR((M17/MAX(1,'Mi negocio'!$C$26)+N17)/60*'Mi negocio'!$C$23,0)</f>
        <v/>
      </c>
      <c r="P17" s="17">
        <f>'Mi negocio'!$C$20</f>
        <v/>
      </c>
      <c r="Q17" s="17">
        <f>J17+K17+L17+O17+P17</f>
        <v/>
      </c>
      <c r="R17" s="27" t="n"/>
      <c r="S17" s="29">
        <f>IF(R17="",'Mi negocio'!$C$24,R17)</f>
        <v/>
      </c>
      <c r="T17" s="30">
        <f>IFERROR(Q17/(1-S17),0)</f>
        <v/>
      </c>
      <c r="U17" s="31">
        <f>IFERROR(CEILING(ROUND(T17/(1-'Mi negocio'!$C$27),6),'Mi negocio'!$C$25),0)</f>
        <v/>
      </c>
      <c r="V17" s="31">
        <f>IFERROR(CEILING(ROUND(T17/(1-'Mi negocio'!$C$28),6),'Mi negocio'!$C$25),0)</f>
        <v/>
      </c>
      <c r="W17" s="31">
        <f>IFERROR(CEILING(ROUND(T17/(1-'Mi negocio'!$C$29),6),'Mi negocio'!$C$25),0)</f>
        <v/>
      </c>
      <c r="X17" s="31">
        <f>IFERROR(CEILING(ROUND(T17/(1-'Mi negocio'!$C$30),6),'Mi negocio'!$C$25),0)</f>
        <v/>
      </c>
    </row>
    <row r="18">
      <c r="A18" t="n">
        <v>14</v>
      </c>
      <c r="B18" s="21" t="inlineStr">
        <is>
          <t>Pan Campesino de Trigo Sarraceno (Alforfón) y Trigo Blanco (Pain au Sarrasin)</t>
        </is>
      </c>
      <c r="C18" s="22" t="inlineStr">
        <is>
          <t>Cap. 9 · Cereales ancestrales e integrales puros</t>
        </is>
      </c>
      <c r="D18" t="inlineStr">
        <is>
          <t>A</t>
        </is>
      </c>
      <c r="E18" t="inlineStr">
        <is>
          <t>A</t>
        </is>
      </c>
      <c r="F18" t="inlineStr">
        <is>
          <t>L</t>
        </is>
      </c>
      <c r="G18" t="inlineStr">
        <is>
          <t>pieza</t>
        </is>
      </c>
      <c r="H18" s="16" t="n">
        <v>1</v>
      </c>
      <c r="I18" s="17">
        <f>SUMIF(Ingredientes!$A$5:$A$397,A18,Ingredientes!$I$5:$I$397)</f>
        <v/>
      </c>
      <c r="J18" s="17">
        <f>IFERROR(I18/H18,0)</f>
        <v/>
      </c>
      <c r="K18" s="11" t="n">
        <v>5</v>
      </c>
      <c r="L18" s="11" t="n">
        <v>2</v>
      </c>
      <c r="M18" s="16" t="n">
        <v>45</v>
      </c>
      <c r="N18" s="16" t="n">
        <v>6</v>
      </c>
      <c r="O18" s="17">
        <f>IFERROR((M18/MAX(1,'Mi negocio'!$C$26)+N18)/60*'Mi negocio'!$C$23,0)</f>
        <v/>
      </c>
      <c r="P18" s="17">
        <f>'Mi negocio'!$C$20</f>
        <v/>
      </c>
      <c r="Q18" s="17">
        <f>J18+K18+L18+O18+P18</f>
        <v/>
      </c>
      <c r="R18" s="27" t="n"/>
      <c r="S18" s="29">
        <f>IF(R18="",'Mi negocio'!$C$24,R18)</f>
        <v/>
      </c>
      <c r="T18" s="30">
        <f>IFERROR(Q18/(1-S18),0)</f>
        <v/>
      </c>
      <c r="U18" s="31">
        <f>IFERROR(CEILING(ROUND(T18/(1-'Mi negocio'!$C$27),6),'Mi negocio'!$C$25),0)</f>
        <v/>
      </c>
      <c r="V18" s="31">
        <f>IFERROR(CEILING(ROUND(T18/(1-'Mi negocio'!$C$28),6),'Mi negocio'!$C$25),0)</f>
        <v/>
      </c>
      <c r="W18" s="31">
        <f>IFERROR(CEILING(ROUND(T18/(1-'Mi negocio'!$C$29),6),'Mi negocio'!$C$25),0)</f>
        <v/>
      </c>
      <c r="X18" s="31">
        <f>IFERROR(CEILING(ROUND(T18/(1-'Mi negocio'!$C$30),6),'Mi negocio'!$C$25),0)</f>
        <v/>
      </c>
    </row>
    <row r="19">
      <c r="A19" t="n">
        <v>15</v>
      </c>
      <c r="B19" s="21" t="inlineStr">
        <is>
          <t>Hogaza de Harina de Trigo Tritordeum con Semillas de Lino Dorado</t>
        </is>
      </c>
      <c r="C19" s="22" t="inlineStr">
        <is>
          <t>Cap. 9 · Cereales ancestrales e integrales puros</t>
        </is>
      </c>
      <c r="D19" t="inlineStr">
        <is>
          <t>A</t>
        </is>
      </c>
      <c r="E19" t="inlineStr">
        <is>
          <t>M</t>
        </is>
      </c>
      <c r="F19" t="inlineStr">
        <is>
          <t>L</t>
        </is>
      </c>
      <c r="G19" t="inlineStr">
        <is>
          <t>pieza</t>
        </is>
      </c>
      <c r="H19" s="16" t="n">
        <v>1</v>
      </c>
      <c r="I19" s="17">
        <f>SUMIF(Ingredientes!$A$5:$A$397,A19,Ingredientes!$I$5:$I$397)</f>
        <v/>
      </c>
      <c r="J19" s="17">
        <f>IFERROR(I19/H19,0)</f>
        <v/>
      </c>
      <c r="K19" s="11" t="n">
        <v>5</v>
      </c>
      <c r="L19" s="11" t="n">
        <v>2</v>
      </c>
      <c r="M19" s="16" t="n">
        <v>45</v>
      </c>
      <c r="N19" s="16" t="n">
        <v>6</v>
      </c>
      <c r="O19" s="17">
        <f>IFERROR((M19/MAX(1,'Mi negocio'!$C$26)+N19)/60*'Mi negocio'!$C$23,0)</f>
        <v/>
      </c>
      <c r="P19" s="17">
        <f>'Mi negocio'!$C$20</f>
        <v/>
      </c>
      <c r="Q19" s="17">
        <f>J19+K19+L19+O19+P19</f>
        <v/>
      </c>
      <c r="R19" s="27" t="n"/>
      <c r="S19" s="29">
        <f>IF(R19="",'Mi negocio'!$C$24,R19)</f>
        <v/>
      </c>
      <c r="T19" s="30">
        <f>IFERROR(Q19/(1-S19),0)</f>
        <v/>
      </c>
      <c r="U19" s="31">
        <f>IFERROR(CEILING(ROUND(T19/(1-'Mi negocio'!$C$27),6),'Mi negocio'!$C$25),0)</f>
        <v/>
      </c>
      <c r="V19" s="31">
        <f>IFERROR(CEILING(ROUND(T19/(1-'Mi negocio'!$C$28),6),'Mi negocio'!$C$25),0)</f>
        <v/>
      </c>
      <c r="W19" s="31">
        <f>IFERROR(CEILING(ROUND(T19/(1-'Mi negocio'!$C$29),6),'Mi negocio'!$C$25),0)</f>
        <v/>
      </c>
      <c r="X19" s="31">
        <f>IFERROR(CEILING(ROUND(T19/(1-'Mi negocio'!$C$30),6),'Mi negocio'!$C$25),0)</f>
        <v/>
      </c>
    </row>
    <row r="20">
      <c r="A20" t="n">
        <v>16</v>
      </c>
      <c r="B20" s="21" t="inlineStr">
        <is>
          <t>Pan Rústico de Trigo Emmer (Triticum dicoccum / Farro Medio Ancestral)</t>
        </is>
      </c>
      <c r="C20" s="22" t="inlineStr">
        <is>
          <t>Cap. 9 · Cereales ancestrales e integrales puros</t>
        </is>
      </c>
      <c r="D20" t="inlineStr">
        <is>
          <t>A</t>
        </is>
      </c>
      <c r="E20" t="inlineStr">
        <is>
          <t>M</t>
        </is>
      </c>
      <c r="F20" t="inlineStr">
        <is>
          <t>L</t>
        </is>
      </c>
      <c r="G20" t="inlineStr">
        <is>
          <t>pieza</t>
        </is>
      </c>
      <c r="H20" s="16" t="n">
        <v>1</v>
      </c>
      <c r="I20" s="17">
        <f>SUMIF(Ingredientes!$A$5:$A$397,A20,Ingredientes!$I$5:$I$397)</f>
        <v/>
      </c>
      <c r="J20" s="17">
        <f>IFERROR(I20/H20,0)</f>
        <v/>
      </c>
      <c r="K20" s="11" t="n">
        <v>5</v>
      </c>
      <c r="L20" s="11" t="n">
        <v>2</v>
      </c>
      <c r="M20" s="16" t="n">
        <v>45</v>
      </c>
      <c r="N20" s="16" t="n">
        <v>6</v>
      </c>
      <c r="O20" s="17">
        <f>IFERROR((M20/MAX(1,'Mi negocio'!$C$26)+N20)/60*'Mi negocio'!$C$23,0)</f>
        <v/>
      </c>
      <c r="P20" s="17">
        <f>'Mi negocio'!$C$20</f>
        <v/>
      </c>
      <c r="Q20" s="17">
        <f>J20+K20+L20+O20+P20</f>
        <v/>
      </c>
      <c r="R20" s="27" t="n"/>
      <c r="S20" s="29">
        <f>IF(R20="",'Mi negocio'!$C$24,R20)</f>
        <v/>
      </c>
      <c r="T20" s="30">
        <f>IFERROR(Q20/(1-S20),0)</f>
        <v/>
      </c>
      <c r="U20" s="31">
        <f>IFERROR(CEILING(ROUND(T20/(1-'Mi negocio'!$C$27),6),'Mi negocio'!$C$25),0)</f>
        <v/>
      </c>
      <c r="V20" s="31">
        <f>IFERROR(CEILING(ROUND(T20/(1-'Mi negocio'!$C$28),6),'Mi negocio'!$C$25),0)</f>
        <v/>
      </c>
      <c r="W20" s="31">
        <f>IFERROR(CEILING(ROUND(T20/(1-'Mi negocio'!$C$29),6),'Mi negocio'!$C$25),0)</f>
        <v/>
      </c>
      <c r="X20" s="31">
        <f>IFERROR(CEILING(ROUND(T20/(1-'Mi negocio'!$C$30),6),'Mi negocio'!$C$25),0)</f>
        <v/>
      </c>
    </row>
    <row r="21">
      <c r="A21" t="n">
        <v>17</v>
      </c>
      <c r="B21" s="21" t="inlineStr">
        <is>
          <t>Barra de Escanda Asturiana y Centeno con Masa Madre Ácida</t>
        </is>
      </c>
      <c r="C21" s="22" t="inlineStr">
        <is>
          <t>Cap. 9 · Cereales ancestrales e integrales puros</t>
        </is>
      </c>
      <c r="D21" t="inlineStr">
        <is>
          <t>A</t>
        </is>
      </c>
      <c r="E21" t="inlineStr">
        <is>
          <t>M</t>
        </is>
      </c>
      <c r="F21" t="inlineStr">
        <is>
          <t>L</t>
        </is>
      </c>
      <c r="G21" t="inlineStr">
        <is>
          <t>pieza</t>
        </is>
      </c>
      <c r="H21" s="16" t="n">
        <v>2</v>
      </c>
      <c r="I21" s="17">
        <f>SUMIF(Ingredientes!$A$5:$A$397,A21,Ingredientes!$I$5:$I$397)</f>
        <v/>
      </c>
      <c r="J21" s="17">
        <f>IFERROR(I21/H21,0)</f>
        <v/>
      </c>
      <c r="K21" s="11" t="n">
        <v>5</v>
      </c>
      <c r="L21" s="11" t="n">
        <v>2</v>
      </c>
      <c r="M21" s="16" t="n">
        <v>45</v>
      </c>
      <c r="N21" s="16" t="n">
        <v>5</v>
      </c>
      <c r="O21" s="17">
        <f>IFERROR((M21/MAX(1,'Mi negocio'!$C$26)+N21)/60*'Mi negocio'!$C$23,0)</f>
        <v/>
      </c>
      <c r="P21" s="17">
        <f>'Mi negocio'!$C$20</f>
        <v/>
      </c>
      <c r="Q21" s="17">
        <f>J21+K21+L21+O21+P21</f>
        <v/>
      </c>
      <c r="R21" s="27" t="n"/>
      <c r="S21" s="29">
        <f>IF(R21="",'Mi negocio'!$C$24,R21)</f>
        <v/>
      </c>
      <c r="T21" s="30">
        <f>IFERROR(Q21/(1-S21),0)</f>
        <v/>
      </c>
      <c r="U21" s="31">
        <f>IFERROR(CEILING(ROUND(T21/(1-'Mi negocio'!$C$27),6),'Mi negocio'!$C$25),0)</f>
        <v/>
      </c>
      <c r="V21" s="31">
        <f>IFERROR(CEILING(ROUND(T21/(1-'Mi negocio'!$C$28),6),'Mi negocio'!$C$25),0)</f>
        <v/>
      </c>
      <c r="W21" s="31">
        <f>IFERROR(CEILING(ROUND(T21/(1-'Mi negocio'!$C$29),6),'Mi negocio'!$C$25),0)</f>
        <v/>
      </c>
      <c r="X21" s="31">
        <f>IFERROR(CEILING(ROUND(T21/(1-'Mi negocio'!$C$30),6),'Mi negocio'!$C$25),0)</f>
        <v/>
      </c>
    </row>
    <row r="22">
      <c r="A22" t="n">
        <v>18</v>
      </c>
      <c r="B22" s="21" t="inlineStr">
        <is>
          <t>Hogaza Multicereales con Grano Entero Escaldado (Soaker de 5 Granos)</t>
        </is>
      </c>
      <c r="C22" s="22" t="inlineStr">
        <is>
          <t>Cap. 9 · Cereales ancestrales e integrales puros</t>
        </is>
      </c>
      <c r="D22" t="inlineStr">
        <is>
          <t>A</t>
        </is>
      </c>
      <c r="E22" t="inlineStr">
        <is>
          <t>A</t>
        </is>
      </c>
      <c r="F22" t="inlineStr">
        <is>
          <t>S</t>
        </is>
      </c>
      <c r="G22" t="inlineStr">
        <is>
          <t>pieza</t>
        </is>
      </c>
      <c r="H22" s="16" t="n">
        <v>1</v>
      </c>
      <c r="I22" s="17">
        <f>SUMIF(Ingredientes!$A$5:$A$397,A22,Ingredientes!$I$5:$I$397)</f>
        <v/>
      </c>
      <c r="J22" s="17">
        <f>IFERROR(I22/H22,0)</f>
        <v/>
      </c>
      <c r="K22" s="11" t="n">
        <v>5</v>
      </c>
      <c r="L22" s="11" t="n">
        <v>3</v>
      </c>
      <c r="M22" s="16" t="n">
        <v>60</v>
      </c>
      <c r="N22" s="16" t="n">
        <v>6</v>
      </c>
      <c r="O22" s="17">
        <f>IFERROR((M22/MAX(1,'Mi negocio'!$C$26)+N22)/60*'Mi negocio'!$C$23,0)</f>
        <v/>
      </c>
      <c r="P22" s="17">
        <f>'Mi negocio'!$C$20</f>
        <v/>
      </c>
      <c r="Q22" s="17">
        <f>J22+K22+L22+O22+P22</f>
        <v/>
      </c>
      <c r="R22" s="27" t="n"/>
      <c r="S22" s="29">
        <f>IF(R22="",'Mi negocio'!$C$24,R22)</f>
        <v/>
      </c>
      <c r="T22" s="30">
        <f>IFERROR(Q22/(1-S22),0)</f>
        <v/>
      </c>
      <c r="U22" s="31">
        <f>IFERROR(CEILING(ROUND(T22/(1-'Mi negocio'!$C$27),6),'Mi negocio'!$C$25),0)</f>
        <v/>
      </c>
      <c r="V22" s="31">
        <f>IFERROR(CEILING(ROUND(T22/(1-'Mi negocio'!$C$28),6),'Mi negocio'!$C$25),0)</f>
        <v/>
      </c>
      <c r="W22" s="31">
        <f>IFERROR(CEILING(ROUND(T22/(1-'Mi negocio'!$C$29),6),'Mi negocio'!$C$25),0)</f>
        <v/>
      </c>
      <c r="X22" s="31">
        <f>IFERROR(CEILING(ROUND(T22/(1-'Mi negocio'!$C$30),6),'Mi negocio'!$C$25),0)</f>
        <v/>
      </c>
    </row>
    <row r="23">
      <c r="A23" t="n">
        <v>19</v>
      </c>
      <c r="B23" s="21" t="inlineStr">
        <is>
          <t>Pan de Centeno Alemán Tradicional de Tres Fases (Roggenmischbrot 70/30)</t>
        </is>
      </c>
      <c r="C23" s="22" t="inlineStr">
        <is>
          <t>Cap. 9 · Cereales ancestrales e integrales puros</t>
        </is>
      </c>
      <c r="D23" t="inlineStr">
        <is>
          <t>A</t>
        </is>
      </c>
      <c r="E23" t="inlineStr">
        <is>
          <t>A</t>
        </is>
      </c>
      <c r="F23" t="inlineStr">
        <is>
          <t>L</t>
        </is>
      </c>
      <c r="G23" t="inlineStr">
        <is>
          <t>pieza</t>
        </is>
      </c>
      <c r="H23" s="16" t="n">
        <v>1</v>
      </c>
      <c r="I23" s="17">
        <f>SUMIF(Ingredientes!$A$5:$A$397,A23,Ingredientes!$I$5:$I$397)</f>
        <v/>
      </c>
      <c r="J23" s="17">
        <f>IFERROR(I23/H23,0)</f>
        <v/>
      </c>
      <c r="K23" s="11" t="n">
        <v>5</v>
      </c>
      <c r="L23" s="11" t="n">
        <v>3</v>
      </c>
      <c r="M23" s="16" t="n">
        <v>60</v>
      </c>
      <c r="N23" s="16" t="n">
        <v>6</v>
      </c>
      <c r="O23" s="17">
        <f>IFERROR((M23/MAX(1,'Mi negocio'!$C$26)+N23)/60*'Mi negocio'!$C$23,0)</f>
        <v/>
      </c>
      <c r="P23" s="17">
        <f>'Mi negocio'!$C$20</f>
        <v/>
      </c>
      <c r="Q23" s="17">
        <f>J23+K23+L23+O23+P23</f>
        <v/>
      </c>
      <c r="R23" s="27" t="n"/>
      <c r="S23" s="29">
        <f>IF(R23="",'Mi negocio'!$C$24,R23)</f>
        <v/>
      </c>
      <c r="T23" s="30">
        <f>IFERROR(Q23/(1-S23),0)</f>
        <v/>
      </c>
      <c r="U23" s="31">
        <f>IFERROR(CEILING(ROUND(T23/(1-'Mi negocio'!$C$27),6),'Mi negocio'!$C$25),0)</f>
        <v/>
      </c>
      <c r="V23" s="31">
        <f>IFERROR(CEILING(ROUND(T23/(1-'Mi negocio'!$C$28),6),'Mi negocio'!$C$25),0)</f>
        <v/>
      </c>
      <c r="W23" s="31">
        <f>IFERROR(CEILING(ROUND(T23/(1-'Mi negocio'!$C$29),6),'Mi negocio'!$C$25),0)</f>
        <v/>
      </c>
      <c r="X23" s="31">
        <f>IFERROR(CEILING(ROUND(T23/(1-'Mi negocio'!$C$30),6),'Mi negocio'!$C$25),0)</f>
        <v/>
      </c>
    </row>
    <row r="24">
      <c r="A24" t="n">
        <v>20</v>
      </c>
      <c r="B24" s="21" t="inlineStr">
        <is>
          <t>Hogaza Integral Rústica 100% con Germen de Trigo Tostado</t>
        </is>
      </c>
      <c r="C24" s="22" t="inlineStr">
        <is>
          <t>Cap. 9 · Cereales ancestrales e integrales puros</t>
        </is>
      </c>
      <c r="D24" t="inlineStr">
        <is>
          <t>A</t>
        </is>
      </c>
      <c r="E24" t="inlineStr">
        <is>
          <t>A</t>
        </is>
      </c>
      <c r="F24" t="inlineStr">
        <is>
          <t>L</t>
        </is>
      </c>
      <c r="G24" t="inlineStr">
        <is>
          <t>pieza</t>
        </is>
      </c>
      <c r="H24" s="16" t="n">
        <v>1</v>
      </c>
      <c r="I24" s="17">
        <f>SUMIF(Ingredientes!$A$5:$A$397,A24,Ingredientes!$I$5:$I$397)</f>
        <v/>
      </c>
      <c r="J24" s="17">
        <f>IFERROR(I24/H24,0)</f>
        <v/>
      </c>
      <c r="K24" s="11" t="n">
        <v>5</v>
      </c>
      <c r="L24" s="11" t="n">
        <v>2</v>
      </c>
      <c r="M24" s="16" t="n">
        <v>45</v>
      </c>
      <c r="N24" s="16" t="n">
        <v>6</v>
      </c>
      <c r="O24" s="17">
        <f>IFERROR((M24/MAX(1,'Mi negocio'!$C$26)+N24)/60*'Mi negocio'!$C$23,0)</f>
        <v/>
      </c>
      <c r="P24" s="17">
        <f>'Mi negocio'!$C$20</f>
        <v/>
      </c>
      <c r="Q24" s="17">
        <f>J24+K24+L24+O24+P24</f>
        <v/>
      </c>
      <c r="R24" s="27" t="n"/>
      <c r="S24" s="29">
        <f>IF(R24="",'Mi negocio'!$C$24,R24)</f>
        <v/>
      </c>
      <c r="T24" s="30">
        <f>IFERROR(Q24/(1-S24),0)</f>
        <v/>
      </c>
      <c r="U24" s="31">
        <f>IFERROR(CEILING(ROUND(T24/(1-'Mi negocio'!$C$27),6),'Mi negocio'!$C$25),0)</f>
        <v/>
      </c>
      <c r="V24" s="31">
        <f>IFERROR(CEILING(ROUND(T24/(1-'Mi negocio'!$C$28),6),'Mi negocio'!$C$25),0)</f>
        <v/>
      </c>
      <c r="W24" s="31">
        <f>IFERROR(CEILING(ROUND(T24/(1-'Mi negocio'!$C$29),6),'Mi negocio'!$C$25),0)</f>
        <v/>
      </c>
      <c r="X24" s="31">
        <f>IFERROR(CEILING(ROUND(T24/(1-'Mi negocio'!$C$30),6),'Mi negocio'!$C$25),0)</f>
        <v/>
      </c>
    </row>
    <row r="25">
      <c r="A25" t="n">
        <v>21</v>
      </c>
      <c r="B25" s="21" t="inlineStr">
        <is>
          <t>Focaccia Genovesa Tradicional de Masa Madre con Salmuera y Romero</t>
        </is>
      </c>
      <c r="C25" s="22" t="inlineStr">
        <is>
          <t>Cap. 10 · Panes enriquecidos, aceites e inclusiones</t>
        </is>
      </c>
      <c r="D25" t="inlineStr">
        <is>
          <t>E</t>
        </is>
      </c>
      <c r="E25" t="inlineStr">
        <is>
          <t>A</t>
        </is>
      </c>
      <c r="F25" t="inlineStr">
        <is>
          <t>L</t>
        </is>
      </c>
      <c r="G25" t="inlineStr">
        <is>
          <t>pieza</t>
        </is>
      </c>
      <c r="H25" s="16" t="n">
        <v>1</v>
      </c>
      <c r="I25" s="17">
        <f>SUMIF(Ingredientes!$A$5:$A$397,A25,Ingredientes!$I$5:$I$397)</f>
        <v/>
      </c>
      <c r="J25" s="17">
        <f>IFERROR(I25/H25,0)</f>
        <v/>
      </c>
      <c r="K25" s="11" t="n">
        <v>5</v>
      </c>
      <c r="L25" s="11" t="n">
        <v>1.2</v>
      </c>
      <c r="M25" s="16" t="n">
        <v>35</v>
      </c>
      <c r="N25" s="16" t="n">
        <v>4</v>
      </c>
      <c r="O25" s="17">
        <f>IFERROR((M25/MAX(1,'Mi negocio'!$C$26)+N25)/60*'Mi negocio'!$C$23,0)</f>
        <v/>
      </c>
      <c r="P25" s="17">
        <f>'Mi negocio'!$C$20</f>
        <v/>
      </c>
      <c r="Q25" s="17">
        <f>J25+K25+L25+O25+P25</f>
        <v/>
      </c>
      <c r="R25" s="27" t="n"/>
      <c r="S25" s="29">
        <f>IF(R25="",'Mi negocio'!$C$24,R25)</f>
        <v/>
      </c>
      <c r="T25" s="30">
        <f>IFERROR(Q25/(1-S25),0)</f>
        <v/>
      </c>
      <c r="U25" s="31">
        <f>IFERROR(CEILING(ROUND(T25/(1-'Mi negocio'!$C$27),6),'Mi negocio'!$C$25),0)</f>
        <v/>
      </c>
      <c r="V25" s="31">
        <f>IFERROR(CEILING(ROUND(T25/(1-'Mi negocio'!$C$28),6),'Mi negocio'!$C$25),0)</f>
        <v/>
      </c>
      <c r="W25" s="31">
        <f>IFERROR(CEILING(ROUND(T25/(1-'Mi negocio'!$C$29),6),'Mi negocio'!$C$25),0)</f>
        <v/>
      </c>
      <c r="X25" s="31">
        <f>IFERROR(CEILING(ROUND(T25/(1-'Mi negocio'!$C$30),6),'Mi negocio'!$C$25),0)</f>
        <v/>
      </c>
    </row>
    <row r="26">
      <c r="A26" t="n">
        <v>22</v>
      </c>
      <c r="B26" s="21" t="inlineStr">
        <is>
          <t>Chapatas Rústicas de Aceituna Kalamata y Tomillo Silvestre</t>
        </is>
      </c>
      <c r="C26" s="22" t="inlineStr">
        <is>
          <t>Cap. 10 · Panes enriquecidos, aceites e inclusiones</t>
        </is>
      </c>
      <c r="D26" t="inlineStr">
        <is>
          <t>E</t>
        </is>
      </c>
      <c r="E26" t="inlineStr">
        <is>
          <t>X</t>
        </is>
      </c>
      <c r="F26" t="inlineStr">
        <is>
          <t>L</t>
        </is>
      </c>
      <c r="G26" t="inlineStr">
        <is>
          <t>pieza</t>
        </is>
      </c>
      <c r="H26" s="16" t="n">
        <v>4</v>
      </c>
      <c r="I26" s="17">
        <f>SUMIF(Ingredientes!$A$5:$A$397,A26,Ingredientes!$I$5:$I$397)</f>
        <v/>
      </c>
      <c r="J26" s="17">
        <f>IFERROR(I26/H26,0)</f>
        <v/>
      </c>
      <c r="K26" s="11" t="n">
        <v>5</v>
      </c>
      <c r="L26" s="11" t="n">
        <v>3</v>
      </c>
      <c r="M26" s="16" t="n">
        <v>45</v>
      </c>
      <c r="N26" s="16" t="n">
        <v>4</v>
      </c>
      <c r="O26" s="17">
        <f>IFERROR((M26/MAX(1,'Mi negocio'!$C$26)+N26)/60*'Mi negocio'!$C$23,0)</f>
        <v/>
      </c>
      <c r="P26" s="17">
        <f>'Mi negocio'!$C$20</f>
        <v/>
      </c>
      <c r="Q26" s="17">
        <f>J26+K26+L26+O26+P26</f>
        <v/>
      </c>
      <c r="R26" s="27" t="n"/>
      <c r="S26" s="29">
        <f>IF(R26="",'Mi negocio'!$C$24,R26)</f>
        <v/>
      </c>
      <c r="T26" s="30">
        <f>IFERROR(Q26/(1-S26),0)</f>
        <v/>
      </c>
      <c r="U26" s="31">
        <f>IFERROR(CEILING(ROUND(T26/(1-'Mi negocio'!$C$27),6),'Mi negocio'!$C$25),0)</f>
        <v/>
      </c>
      <c r="V26" s="31">
        <f>IFERROR(CEILING(ROUND(T26/(1-'Mi negocio'!$C$28),6),'Mi negocio'!$C$25),0)</f>
        <v/>
      </c>
      <c r="W26" s="31">
        <f>IFERROR(CEILING(ROUND(T26/(1-'Mi negocio'!$C$29),6),'Mi negocio'!$C$25),0)</f>
        <v/>
      </c>
      <c r="X26" s="31">
        <f>IFERROR(CEILING(ROUND(T26/(1-'Mi negocio'!$C$30),6),'Mi negocio'!$C$25),0)</f>
        <v/>
      </c>
    </row>
    <row r="27">
      <c r="A27" t="n">
        <v>23</v>
      </c>
      <c r="B27" s="21" t="inlineStr">
        <is>
          <t>Hogaza de Nueces de Castilla Tostadas y Miel de Bosque</t>
        </is>
      </c>
      <c r="C27" s="22" t="inlineStr">
        <is>
          <t>Cap. 10 · Panes enriquecidos, aceites e inclusiones</t>
        </is>
      </c>
      <c r="D27" t="inlineStr">
        <is>
          <t>E</t>
        </is>
      </c>
      <c r="E27" t="inlineStr">
        <is>
          <t>A</t>
        </is>
      </c>
      <c r="F27" t="inlineStr">
        <is>
          <t>L</t>
        </is>
      </c>
      <c r="G27" t="inlineStr">
        <is>
          <t>pieza</t>
        </is>
      </c>
      <c r="H27" s="16" t="n">
        <v>1</v>
      </c>
      <c r="I27" s="17">
        <f>SUMIF(Ingredientes!$A$5:$A$397,A27,Ingredientes!$I$5:$I$397)</f>
        <v/>
      </c>
      <c r="J27" s="17">
        <f>IFERROR(I27/H27,0)</f>
        <v/>
      </c>
      <c r="K27" s="11" t="n">
        <v>5</v>
      </c>
      <c r="L27" s="11" t="n">
        <v>2</v>
      </c>
      <c r="M27" s="16" t="n">
        <v>50</v>
      </c>
      <c r="N27" s="16" t="n">
        <v>7</v>
      </c>
      <c r="O27" s="17">
        <f>IFERROR((M27/MAX(1,'Mi negocio'!$C$26)+N27)/60*'Mi negocio'!$C$23,0)</f>
        <v/>
      </c>
      <c r="P27" s="17">
        <f>'Mi negocio'!$C$20</f>
        <v/>
      </c>
      <c r="Q27" s="17">
        <f>J27+K27+L27+O27+P27</f>
        <v/>
      </c>
      <c r="R27" s="27" t="n"/>
      <c r="S27" s="29">
        <f>IF(R27="",'Mi negocio'!$C$24,R27)</f>
        <v/>
      </c>
      <c r="T27" s="30">
        <f>IFERROR(Q27/(1-S27),0)</f>
        <v/>
      </c>
      <c r="U27" s="31">
        <f>IFERROR(CEILING(ROUND(T27/(1-'Mi negocio'!$C$27),6),'Mi negocio'!$C$25),0)</f>
        <v/>
      </c>
      <c r="V27" s="31">
        <f>IFERROR(CEILING(ROUND(T27/(1-'Mi negocio'!$C$28),6),'Mi negocio'!$C$25),0)</f>
        <v/>
      </c>
      <c r="W27" s="31">
        <f>IFERROR(CEILING(ROUND(T27/(1-'Mi negocio'!$C$29),6),'Mi negocio'!$C$25),0)</f>
        <v/>
      </c>
      <c r="X27" s="31">
        <f>IFERROR(CEILING(ROUND(T27/(1-'Mi negocio'!$C$30),6),'Mi negocio'!$C$25),0)</f>
        <v/>
      </c>
    </row>
    <row r="28">
      <c r="A28" t="n">
        <v>24</v>
      </c>
      <c r="B28" s="21" t="inlineStr">
        <is>
          <t>Barra Rústica de Tomate Deshidratado, Albahaca Fresca y AOVE</t>
        </is>
      </c>
      <c r="C28" s="22" t="inlineStr">
        <is>
          <t>Cap. 10 · Panes enriquecidos, aceites e inclusiones</t>
        </is>
      </c>
      <c r="D28" t="inlineStr">
        <is>
          <t>E</t>
        </is>
      </c>
      <c r="E28" t="inlineStr">
        <is>
          <t>M</t>
        </is>
      </c>
      <c r="F28" t="inlineStr">
        <is>
          <t>L</t>
        </is>
      </c>
      <c r="G28" t="inlineStr">
        <is>
          <t>pieza</t>
        </is>
      </c>
      <c r="H28" s="16" t="n">
        <v>2</v>
      </c>
      <c r="I28" s="17">
        <f>SUMIF(Ingredientes!$A$5:$A$397,A28,Ingredientes!$I$5:$I$397)</f>
        <v/>
      </c>
      <c r="J28" s="17">
        <f>IFERROR(I28/H28,0)</f>
        <v/>
      </c>
      <c r="K28" s="11" t="n">
        <v>5</v>
      </c>
      <c r="L28" s="11" t="n">
        <v>2</v>
      </c>
      <c r="M28" s="16" t="n">
        <v>45</v>
      </c>
      <c r="N28" s="16" t="n">
        <v>5</v>
      </c>
      <c r="O28" s="17">
        <f>IFERROR((M28/MAX(1,'Mi negocio'!$C$26)+N28)/60*'Mi negocio'!$C$23,0)</f>
        <v/>
      </c>
      <c r="P28" s="17">
        <f>'Mi negocio'!$C$20</f>
        <v/>
      </c>
      <c r="Q28" s="17">
        <f>J28+K28+L28+O28+P28</f>
        <v/>
      </c>
      <c r="R28" s="27" t="n"/>
      <c r="S28" s="29">
        <f>IF(R28="",'Mi negocio'!$C$24,R28)</f>
        <v/>
      </c>
      <c r="T28" s="30">
        <f>IFERROR(Q28/(1-S28),0)</f>
        <v/>
      </c>
      <c r="U28" s="31">
        <f>IFERROR(CEILING(ROUND(T28/(1-'Mi negocio'!$C$27),6),'Mi negocio'!$C$25),0)</f>
        <v/>
      </c>
      <c r="V28" s="31">
        <f>IFERROR(CEILING(ROUND(T28/(1-'Mi negocio'!$C$28),6),'Mi negocio'!$C$25),0)</f>
        <v/>
      </c>
      <c r="W28" s="31">
        <f>IFERROR(CEILING(ROUND(T28/(1-'Mi negocio'!$C$29),6),'Mi negocio'!$C$25),0)</f>
        <v/>
      </c>
      <c r="X28" s="31">
        <f>IFERROR(CEILING(ROUND(T28/(1-'Mi negocio'!$C$30),6),'Mi negocio'!$C$25),0)</f>
        <v/>
      </c>
    </row>
    <row r="29">
      <c r="A29" t="n">
        <v>25</v>
      </c>
      <c r="B29" s="21" t="inlineStr">
        <is>
          <t>Pan Campesino con Ajos Asados Confitados y Romero Silvestre</t>
        </is>
      </c>
      <c r="C29" s="22" t="inlineStr">
        <is>
          <t>Cap. 10 · Panes enriquecidos, aceites e inclusiones</t>
        </is>
      </c>
      <c r="D29" t="inlineStr">
        <is>
          <t>E</t>
        </is>
      </c>
      <c r="E29" t="inlineStr">
        <is>
          <t>A</t>
        </is>
      </c>
      <c r="F29" t="inlineStr">
        <is>
          <t>L</t>
        </is>
      </c>
      <c r="G29" t="inlineStr">
        <is>
          <t>pieza</t>
        </is>
      </c>
      <c r="H29" s="16" t="n">
        <v>1</v>
      </c>
      <c r="I29" s="17">
        <f>SUMIF(Ingredientes!$A$5:$A$397,A29,Ingredientes!$I$5:$I$397)</f>
        <v/>
      </c>
      <c r="J29" s="17">
        <f>IFERROR(I29/H29,0)</f>
        <v/>
      </c>
      <c r="K29" s="11" t="n">
        <v>5</v>
      </c>
      <c r="L29" s="11" t="n">
        <v>2</v>
      </c>
      <c r="M29" s="16" t="n">
        <v>50</v>
      </c>
      <c r="N29" s="16" t="n">
        <v>7</v>
      </c>
      <c r="O29" s="17">
        <f>IFERROR((M29/MAX(1,'Mi negocio'!$C$26)+N29)/60*'Mi negocio'!$C$23,0)</f>
        <v/>
      </c>
      <c r="P29" s="17">
        <f>'Mi negocio'!$C$20</f>
        <v/>
      </c>
      <c r="Q29" s="17">
        <f>J29+K29+L29+O29+P29</f>
        <v/>
      </c>
      <c r="R29" s="27" t="n"/>
      <c r="S29" s="29">
        <f>IF(R29="",'Mi negocio'!$C$24,R29)</f>
        <v/>
      </c>
      <c r="T29" s="30">
        <f>IFERROR(Q29/(1-S29),0)</f>
        <v/>
      </c>
      <c r="U29" s="31">
        <f>IFERROR(CEILING(ROUND(T29/(1-'Mi negocio'!$C$27),6),'Mi negocio'!$C$25),0)</f>
        <v/>
      </c>
      <c r="V29" s="31">
        <f>IFERROR(CEILING(ROUND(T29/(1-'Mi negocio'!$C$28),6),'Mi negocio'!$C$25),0)</f>
        <v/>
      </c>
      <c r="W29" s="31">
        <f>IFERROR(CEILING(ROUND(T29/(1-'Mi negocio'!$C$29),6),'Mi negocio'!$C$25),0)</f>
        <v/>
      </c>
      <c r="X29" s="31">
        <f>IFERROR(CEILING(ROUND(T29/(1-'Mi negocio'!$C$30),6),'Mi negocio'!$C$25),0)</f>
        <v/>
      </c>
    </row>
    <row r="30">
      <c r="A30" t="n">
        <v>26</v>
      </c>
      <c r="B30" s="21" t="inlineStr">
        <is>
          <t>Hogaza de Queso Parmigiano Reggiano DOP y Pimienta Negra Quebrada</t>
        </is>
      </c>
      <c r="C30" s="22" t="inlineStr">
        <is>
          <t>Cap. 10 · Panes enriquecidos, aceites e inclusiones</t>
        </is>
      </c>
      <c r="D30" t="inlineStr">
        <is>
          <t>E</t>
        </is>
      </c>
      <c r="E30" t="inlineStr">
        <is>
          <t>A</t>
        </is>
      </c>
      <c r="F30" t="inlineStr">
        <is>
          <t>P</t>
        </is>
      </c>
      <c r="G30" t="inlineStr">
        <is>
          <t>pieza</t>
        </is>
      </c>
      <c r="H30" s="16" t="n">
        <v>1</v>
      </c>
      <c r="I30" s="17">
        <f>SUMIF(Ingredientes!$A$5:$A$397,A30,Ingredientes!$I$5:$I$397)</f>
        <v/>
      </c>
      <c r="J30" s="17">
        <f>IFERROR(I30/H30,0)</f>
        <v/>
      </c>
      <c r="K30" s="11" t="n">
        <v>5</v>
      </c>
      <c r="L30" s="11" t="n">
        <v>2</v>
      </c>
      <c r="M30" s="16" t="n">
        <v>50</v>
      </c>
      <c r="N30" s="16" t="n">
        <v>7</v>
      </c>
      <c r="O30" s="17">
        <f>IFERROR((M30/MAX(1,'Mi negocio'!$C$26)+N30)/60*'Mi negocio'!$C$23,0)</f>
        <v/>
      </c>
      <c r="P30" s="17">
        <f>'Mi negocio'!$C$20</f>
        <v/>
      </c>
      <c r="Q30" s="17">
        <f>J30+K30+L30+O30+P30</f>
        <v/>
      </c>
      <c r="R30" s="27" t="n"/>
      <c r="S30" s="29">
        <f>IF(R30="",'Mi negocio'!$C$24,R30)</f>
        <v/>
      </c>
      <c r="T30" s="30">
        <f>IFERROR(Q30/(1-S30),0)</f>
        <v/>
      </c>
      <c r="U30" s="31">
        <f>IFERROR(CEILING(ROUND(T30/(1-'Mi negocio'!$C$27),6),'Mi negocio'!$C$25),0)</f>
        <v/>
      </c>
      <c r="V30" s="31">
        <f>IFERROR(CEILING(ROUND(T30/(1-'Mi negocio'!$C$28),6),'Mi negocio'!$C$25),0)</f>
        <v/>
      </c>
      <c r="W30" s="31">
        <f>IFERROR(CEILING(ROUND(T30/(1-'Mi negocio'!$C$29),6),'Mi negocio'!$C$25),0)</f>
        <v/>
      </c>
      <c r="X30" s="31">
        <f>IFERROR(CEILING(ROUND(T30/(1-'Mi negocio'!$C$30),6),'Mi negocio'!$C$25),0)</f>
        <v/>
      </c>
    </row>
    <row r="31">
      <c r="A31" t="n">
        <v>27</v>
      </c>
      <c r="B31" s="21" t="inlineStr">
        <is>
          <t>Trenza Mediterránea de Masa Madre con Semillas de Sésamo Tostado</t>
        </is>
      </c>
      <c r="C31" s="22" t="inlineStr">
        <is>
          <t>Cap. 10 · Panes enriquecidos, aceites e inclusiones</t>
        </is>
      </c>
      <c r="D31" t="inlineStr">
        <is>
          <t>E</t>
        </is>
      </c>
      <c r="E31" t="inlineStr">
        <is>
          <t>M</t>
        </is>
      </c>
      <c r="F31" t="inlineStr">
        <is>
          <t>L</t>
        </is>
      </c>
      <c r="G31" t="inlineStr">
        <is>
          <t>pieza</t>
        </is>
      </c>
      <c r="H31" s="16" t="n">
        <v>2</v>
      </c>
      <c r="I31" s="17">
        <f>SUMIF(Ingredientes!$A$5:$A$397,A31,Ingredientes!$I$5:$I$397)</f>
        <v/>
      </c>
      <c r="J31" s="17">
        <f>IFERROR(I31/H31,0)</f>
        <v/>
      </c>
      <c r="K31" s="11" t="n">
        <v>5</v>
      </c>
      <c r="L31" s="11" t="n">
        <v>2</v>
      </c>
      <c r="M31" s="16" t="n">
        <v>50</v>
      </c>
      <c r="N31" s="16" t="n">
        <v>8</v>
      </c>
      <c r="O31" s="17">
        <f>IFERROR((M31/MAX(1,'Mi negocio'!$C$26)+N31)/60*'Mi negocio'!$C$23,0)</f>
        <v/>
      </c>
      <c r="P31" s="17">
        <f>'Mi negocio'!$C$20</f>
        <v/>
      </c>
      <c r="Q31" s="17">
        <f>J31+K31+L31+O31+P31</f>
        <v/>
      </c>
      <c r="R31" s="27" t="n"/>
      <c r="S31" s="29">
        <f>IF(R31="",'Mi negocio'!$C$24,R31)</f>
        <v/>
      </c>
      <c r="T31" s="30">
        <f>IFERROR(Q31/(1-S31),0)</f>
        <v/>
      </c>
      <c r="U31" s="31">
        <f>IFERROR(CEILING(ROUND(T31/(1-'Mi negocio'!$C$27),6),'Mi negocio'!$C$25),0)</f>
        <v/>
      </c>
      <c r="V31" s="31">
        <f>IFERROR(CEILING(ROUND(T31/(1-'Mi negocio'!$C$28),6),'Mi negocio'!$C$25),0)</f>
        <v/>
      </c>
      <c r="W31" s="31">
        <f>IFERROR(CEILING(ROUND(T31/(1-'Mi negocio'!$C$29),6),'Mi negocio'!$C$25),0)</f>
        <v/>
      </c>
      <c r="X31" s="31">
        <f>IFERROR(CEILING(ROUND(T31/(1-'Mi negocio'!$C$30),6),'Mi negocio'!$C$25),0)</f>
        <v/>
      </c>
    </row>
    <row r="32">
      <c r="A32" t="n">
        <v>28</v>
      </c>
      <c r="B32" s="21" t="inlineStr">
        <is>
          <t>Góndolas de Hierbas Provenzales y Aceite de Oliva Virgen Extra</t>
        </is>
      </c>
      <c r="C32" s="22" t="inlineStr">
        <is>
          <t>Cap. 10 · Panes enriquecidos, aceites e inclusiones</t>
        </is>
      </c>
      <c r="D32" t="inlineStr">
        <is>
          <t>E</t>
        </is>
      </c>
      <c r="E32" t="inlineStr">
        <is>
          <t>M</t>
        </is>
      </c>
      <c r="F32" t="inlineStr">
        <is>
          <t>L</t>
        </is>
      </c>
      <c r="G32" t="inlineStr">
        <is>
          <t>pieza</t>
        </is>
      </c>
      <c r="H32" s="16" t="n">
        <v>4</v>
      </c>
      <c r="I32" s="17">
        <f>SUMIF(Ingredientes!$A$5:$A$397,A32,Ingredientes!$I$5:$I$397)</f>
        <v/>
      </c>
      <c r="J32" s="17">
        <f>IFERROR(I32/H32,0)</f>
        <v/>
      </c>
      <c r="K32" s="11" t="n">
        <v>5</v>
      </c>
      <c r="L32" s="11" t="n">
        <v>2</v>
      </c>
      <c r="M32" s="16" t="n">
        <v>45</v>
      </c>
      <c r="N32" s="16" t="n">
        <v>4</v>
      </c>
      <c r="O32" s="17">
        <f>IFERROR((M32/MAX(1,'Mi negocio'!$C$26)+N32)/60*'Mi negocio'!$C$23,0)</f>
        <v/>
      </c>
      <c r="P32" s="17">
        <f>'Mi negocio'!$C$20</f>
        <v/>
      </c>
      <c r="Q32" s="17">
        <f>J32+K32+L32+O32+P32</f>
        <v/>
      </c>
      <c r="R32" s="27" t="n"/>
      <c r="S32" s="29">
        <f>IF(R32="",'Mi negocio'!$C$24,R32)</f>
        <v/>
      </c>
      <c r="T32" s="30">
        <f>IFERROR(Q32/(1-S32),0)</f>
        <v/>
      </c>
      <c r="U32" s="31">
        <f>IFERROR(CEILING(ROUND(T32/(1-'Mi negocio'!$C$27),6),'Mi negocio'!$C$25),0)</f>
        <v/>
      </c>
      <c r="V32" s="31">
        <f>IFERROR(CEILING(ROUND(T32/(1-'Mi negocio'!$C$28),6),'Mi negocio'!$C$25),0)</f>
        <v/>
      </c>
      <c r="W32" s="31">
        <f>IFERROR(CEILING(ROUND(T32/(1-'Mi negocio'!$C$29),6),'Mi negocio'!$C$25),0)</f>
        <v/>
      </c>
      <c r="X32" s="31">
        <f>IFERROR(CEILING(ROUND(T32/(1-'Mi negocio'!$C$30),6),'Mi negocio'!$C$25),0)</f>
        <v/>
      </c>
    </row>
    <row r="33">
      <c r="A33" t="n">
        <v>29</v>
      </c>
      <c r="B33" s="21" t="inlineStr">
        <is>
          <t>Pan de Cúrcuma Pura, Jengibre y Semillas de Calabaza Tostadas</t>
        </is>
      </c>
      <c r="C33" s="22" t="inlineStr">
        <is>
          <t>Cap. 10 · Panes enriquecidos, aceites e inclusiones</t>
        </is>
      </c>
      <c r="D33" t="inlineStr">
        <is>
          <t>E</t>
        </is>
      </c>
      <c r="E33" t="inlineStr">
        <is>
          <t>A</t>
        </is>
      </c>
      <c r="F33" t="inlineStr">
        <is>
          <t>L</t>
        </is>
      </c>
      <c r="G33" t="inlineStr">
        <is>
          <t>pieza</t>
        </is>
      </c>
      <c r="H33" s="16" t="n">
        <v>1</v>
      </c>
      <c r="I33" s="17">
        <f>SUMIF(Ingredientes!$A$5:$A$397,A33,Ingredientes!$I$5:$I$397)</f>
        <v/>
      </c>
      <c r="J33" s="17">
        <f>IFERROR(I33/H33,0)</f>
        <v/>
      </c>
      <c r="K33" s="11" t="n">
        <v>5</v>
      </c>
      <c r="L33" s="11" t="n">
        <v>2</v>
      </c>
      <c r="M33" s="16" t="n">
        <v>45</v>
      </c>
      <c r="N33" s="16" t="n">
        <v>6</v>
      </c>
      <c r="O33" s="17">
        <f>IFERROR((M33/MAX(1,'Mi negocio'!$C$26)+N33)/60*'Mi negocio'!$C$23,0)</f>
        <v/>
      </c>
      <c r="P33" s="17">
        <f>'Mi negocio'!$C$20</f>
        <v/>
      </c>
      <c r="Q33" s="17">
        <f>J33+K33+L33+O33+P33</f>
        <v/>
      </c>
      <c r="R33" s="27" t="n"/>
      <c r="S33" s="29">
        <f>IF(R33="",'Mi negocio'!$C$24,R33)</f>
        <v/>
      </c>
      <c r="T33" s="30">
        <f>IFERROR(Q33/(1-S33),0)</f>
        <v/>
      </c>
      <c r="U33" s="31">
        <f>IFERROR(CEILING(ROUND(T33/(1-'Mi negocio'!$C$27),6),'Mi negocio'!$C$25),0)</f>
        <v/>
      </c>
      <c r="V33" s="31">
        <f>IFERROR(CEILING(ROUND(T33/(1-'Mi negocio'!$C$28),6),'Mi negocio'!$C$25),0)</f>
        <v/>
      </c>
      <c r="W33" s="31">
        <f>IFERROR(CEILING(ROUND(T33/(1-'Mi negocio'!$C$29),6),'Mi negocio'!$C$25),0)</f>
        <v/>
      </c>
      <c r="X33" s="31">
        <f>IFERROR(CEILING(ROUND(T33/(1-'Mi negocio'!$C$30),6),'Mi negocio'!$C$25),0)</f>
        <v/>
      </c>
    </row>
    <row r="34">
      <c r="A34" t="n">
        <v>30</v>
      </c>
      <c r="B34" s="21" t="inlineStr">
        <is>
          <t>Hogaza Oscura de Cacao Puro 100% y Nibs Tostados (Pan Salado)</t>
        </is>
      </c>
      <c r="C34" s="22" t="inlineStr">
        <is>
          <t>Cap. 10 · Panes enriquecidos, aceites e inclusiones</t>
        </is>
      </c>
      <c r="D34" t="inlineStr">
        <is>
          <t>E</t>
        </is>
      </c>
      <c r="E34" t="inlineStr">
        <is>
          <t>A</t>
        </is>
      </c>
      <c r="F34" t="inlineStr">
        <is>
          <t>L</t>
        </is>
      </c>
      <c r="G34" t="inlineStr">
        <is>
          <t>pieza</t>
        </is>
      </c>
      <c r="H34" s="16" t="n">
        <v>1</v>
      </c>
      <c r="I34" s="17">
        <f>SUMIF(Ingredientes!$A$5:$A$397,A34,Ingredientes!$I$5:$I$397)</f>
        <v/>
      </c>
      <c r="J34" s="17">
        <f>IFERROR(I34/H34,0)</f>
        <v/>
      </c>
      <c r="K34" s="11" t="n">
        <v>5</v>
      </c>
      <c r="L34" s="11" t="n">
        <v>3</v>
      </c>
      <c r="M34" s="16" t="n">
        <v>45</v>
      </c>
      <c r="N34" s="16" t="n">
        <v>6</v>
      </c>
      <c r="O34" s="17">
        <f>IFERROR((M34/MAX(1,'Mi negocio'!$C$26)+N34)/60*'Mi negocio'!$C$23,0)</f>
        <v/>
      </c>
      <c r="P34" s="17">
        <f>'Mi negocio'!$C$20</f>
        <v/>
      </c>
      <c r="Q34" s="17">
        <f>J34+K34+L34+O34+P34</f>
        <v/>
      </c>
      <c r="R34" s="27" t="n"/>
      <c r="S34" s="29">
        <f>IF(R34="",'Mi negocio'!$C$24,R34)</f>
        <v/>
      </c>
      <c r="T34" s="30">
        <f>IFERROR(Q34/(1-S34),0)</f>
        <v/>
      </c>
      <c r="U34" s="31">
        <f>IFERROR(CEILING(ROUND(T34/(1-'Mi negocio'!$C$27),6),'Mi negocio'!$C$25),0)</f>
        <v/>
      </c>
      <c r="V34" s="31">
        <f>IFERROR(CEILING(ROUND(T34/(1-'Mi negocio'!$C$28),6),'Mi negocio'!$C$25),0)</f>
        <v/>
      </c>
      <c r="W34" s="31">
        <f>IFERROR(CEILING(ROUND(T34/(1-'Mi negocio'!$C$29),6),'Mi negocio'!$C$25),0)</f>
        <v/>
      </c>
      <c r="X34" s="31">
        <f>IFERROR(CEILING(ROUND(T34/(1-'Mi negocio'!$C$30),6),'Mi negocio'!$C$25),0)</f>
        <v/>
      </c>
    </row>
    <row r="35">
      <c r="A35" t="n">
        <v>31</v>
      </c>
      <c r="B35" s="21" t="inlineStr">
        <is>
          <t>Pan de Molde Blanco Clásico para Sandwich con Masa Madre (Pain de Mie)</t>
        </is>
      </c>
      <c r="C35" s="22" t="inlineStr">
        <is>
          <t>Cap. 11 · Panadería de molde y masas briochadas</t>
        </is>
      </c>
      <c r="D35" t="inlineStr">
        <is>
          <t>M</t>
        </is>
      </c>
      <c r="E35" t="inlineStr">
        <is>
          <t>M</t>
        </is>
      </c>
      <c r="F35" t="inlineStr">
        <is>
          <t>L</t>
        </is>
      </c>
      <c r="G35" t="inlineStr">
        <is>
          <t>pieza</t>
        </is>
      </c>
      <c r="H35" s="16" t="n">
        <v>1</v>
      </c>
      <c r="I35" s="17">
        <f>SUMIF(Ingredientes!$A$5:$A$397,A35,Ingredientes!$I$5:$I$397)</f>
        <v/>
      </c>
      <c r="J35" s="17">
        <f>IFERROR(I35/H35,0)</f>
        <v/>
      </c>
      <c r="K35" s="11" t="n">
        <v>6</v>
      </c>
      <c r="L35" s="11" t="n">
        <v>2</v>
      </c>
      <c r="M35" s="16" t="n">
        <v>45</v>
      </c>
      <c r="N35" s="16" t="n">
        <v>7</v>
      </c>
      <c r="O35" s="17">
        <f>IFERROR((M35/MAX(1,'Mi negocio'!$C$26)+N35)/60*'Mi negocio'!$C$23,0)</f>
        <v/>
      </c>
      <c r="P35" s="17">
        <f>'Mi negocio'!$C$20</f>
        <v/>
      </c>
      <c r="Q35" s="17">
        <f>J35+K35+L35+O35+P35</f>
        <v/>
      </c>
      <c r="R35" s="27" t="n"/>
      <c r="S35" s="29">
        <f>IF(R35="",'Mi negocio'!$C$24,R35)</f>
        <v/>
      </c>
      <c r="T35" s="30">
        <f>IFERROR(Q35/(1-S35),0)</f>
        <v/>
      </c>
      <c r="U35" s="31">
        <f>IFERROR(CEILING(ROUND(T35/(1-'Mi negocio'!$C$27),6),'Mi negocio'!$C$25),0)</f>
        <v/>
      </c>
      <c r="V35" s="31">
        <f>IFERROR(CEILING(ROUND(T35/(1-'Mi negocio'!$C$28),6),'Mi negocio'!$C$25),0)</f>
        <v/>
      </c>
      <c r="W35" s="31">
        <f>IFERROR(CEILING(ROUND(T35/(1-'Mi negocio'!$C$29),6),'Mi negocio'!$C$25),0)</f>
        <v/>
      </c>
      <c r="X35" s="31">
        <f>IFERROR(CEILING(ROUND(T35/(1-'Mi negocio'!$C$30),6),'Mi negocio'!$C$25),0)</f>
        <v/>
      </c>
    </row>
    <row r="36">
      <c r="A36" t="n">
        <v>32</v>
      </c>
      <c r="B36" s="21" t="inlineStr">
        <is>
          <t>Pan de Molde 100% Integral con Miel y Aceite de Oliva</t>
        </is>
      </c>
      <c r="C36" s="22" t="inlineStr">
        <is>
          <t>Cap. 11 · Panadería de molde y masas briochadas</t>
        </is>
      </c>
      <c r="D36" t="inlineStr">
        <is>
          <t>M</t>
        </is>
      </c>
      <c r="E36" t="inlineStr">
        <is>
          <t>A</t>
        </is>
      </c>
      <c r="F36" t="inlineStr">
        <is>
          <t>L</t>
        </is>
      </c>
      <c r="G36" t="inlineStr">
        <is>
          <t>pieza</t>
        </is>
      </c>
      <c r="H36" s="16" t="n">
        <v>1</v>
      </c>
      <c r="I36" s="17">
        <f>SUMIF(Ingredientes!$A$5:$A$397,A36,Ingredientes!$I$5:$I$397)</f>
        <v/>
      </c>
      <c r="J36" s="17">
        <f>IFERROR(I36/H36,0)</f>
        <v/>
      </c>
      <c r="K36" s="11" t="n">
        <v>6</v>
      </c>
      <c r="L36" s="11" t="n">
        <v>2</v>
      </c>
      <c r="M36" s="16" t="n">
        <v>45</v>
      </c>
      <c r="N36" s="16" t="n">
        <v>7</v>
      </c>
      <c r="O36" s="17">
        <f>IFERROR((M36/MAX(1,'Mi negocio'!$C$26)+N36)/60*'Mi negocio'!$C$23,0)</f>
        <v/>
      </c>
      <c r="P36" s="17">
        <f>'Mi negocio'!$C$20</f>
        <v/>
      </c>
      <c r="Q36" s="17">
        <f>J36+K36+L36+O36+P36</f>
        <v/>
      </c>
      <c r="R36" s="27" t="n"/>
      <c r="S36" s="29">
        <f>IF(R36="",'Mi negocio'!$C$24,R36)</f>
        <v/>
      </c>
      <c r="T36" s="30">
        <f>IFERROR(Q36/(1-S36),0)</f>
        <v/>
      </c>
      <c r="U36" s="31">
        <f>IFERROR(CEILING(ROUND(T36/(1-'Mi negocio'!$C$27),6),'Mi negocio'!$C$25),0)</f>
        <v/>
      </c>
      <c r="V36" s="31">
        <f>IFERROR(CEILING(ROUND(T36/(1-'Mi negocio'!$C$28),6),'Mi negocio'!$C$25),0)</f>
        <v/>
      </c>
      <c r="W36" s="31">
        <f>IFERROR(CEILING(ROUND(T36/(1-'Mi negocio'!$C$29),6),'Mi negocio'!$C$25),0)</f>
        <v/>
      </c>
      <c r="X36" s="31">
        <f>IFERROR(CEILING(ROUND(T36/(1-'Mi negocio'!$C$30),6),'Mi negocio'!$C$25),0)</f>
        <v/>
      </c>
    </row>
    <row r="37">
      <c r="A37" t="n">
        <v>33</v>
      </c>
      <c r="B37" s="21" t="inlineStr">
        <is>
          <t>Brioche Francés Tradicional con Mantequilla 50% y Masa Madre Dulce</t>
        </is>
      </c>
      <c r="C37" s="22" t="inlineStr">
        <is>
          <t>Cap. 11 · Panadería de molde y masas briochadas</t>
        </is>
      </c>
      <c r="D37" t="inlineStr">
        <is>
          <t>M</t>
        </is>
      </c>
      <c r="E37" t="inlineStr">
        <is>
          <t>B</t>
        </is>
      </c>
      <c r="F37" t="inlineStr">
        <is>
          <t>L</t>
        </is>
      </c>
      <c r="G37" t="inlineStr">
        <is>
          <t>pieza</t>
        </is>
      </c>
      <c r="H37" s="16" t="n">
        <v>1</v>
      </c>
      <c r="I37" s="17">
        <f>SUMIF(Ingredientes!$A$5:$A$397,A37,Ingredientes!$I$5:$I$397)</f>
        <v/>
      </c>
      <c r="J37" s="17">
        <f>IFERROR(I37/H37,0)</f>
        <v/>
      </c>
      <c r="K37" s="11" t="n">
        <v>6</v>
      </c>
      <c r="L37" s="11" t="n">
        <v>3</v>
      </c>
      <c r="M37" s="16" t="n">
        <v>60</v>
      </c>
      <c r="N37" s="16" t="n">
        <v>9</v>
      </c>
      <c r="O37" s="17">
        <f>IFERROR((M37/MAX(1,'Mi negocio'!$C$26)+N37)/60*'Mi negocio'!$C$23,0)</f>
        <v/>
      </c>
      <c r="P37" s="17">
        <f>'Mi negocio'!$C$20</f>
        <v/>
      </c>
      <c r="Q37" s="17">
        <f>J37+K37+L37+O37+P37</f>
        <v/>
      </c>
      <c r="R37" s="27" t="n"/>
      <c r="S37" s="29">
        <f>IF(R37="",'Mi negocio'!$C$24,R37)</f>
        <v/>
      </c>
      <c r="T37" s="30">
        <f>IFERROR(Q37/(1-S37),0)</f>
        <v/>
      </c>
      <c r="U37" s="31">
        <f>IFERROR(CEILING(ROUND(T37/(1-'Mi negocio'!$C$27),6),'Mi negocio'!$C$25),0)</f>
        <v/>
      </c>
      <c r="V37" s="31">
        <f>IFERROR(CEILING(ROUND(T37/(1-'Mi negocio'!$C$28),6),'Mi negocio'!$C$25),0)</f>
        <v/>
      </c>
      <c r="W37" s="31">
        <f>IFERROR(CEILING(ROUND(T37/(1-'Mi negocio'!$C$29),6),'Mi negocio'!$C$25),0)</f>
        <v/>
      </c>
      <c r="X37" s="31">
        <f>IFERROR(CEILING(ROUND(T37/(1-'Mi negocio'!$C$30),6),'Mi negocio'!$C$25),0)</f>
        <v/>
      </c>
    </row>
    <row r="38">
      <c r="A38" t="n">
        <v>34</v>
      </c>
      <c r="B38" s="21" t="inlineStr">
        <is>
          <t>Pan de Molde Japonés Hokkaido (Shokupan con Tangzhong y Masa Madre)</t>
        </is>
      </c>
      <c r="C38" s="22" t="inlineStr">
        <is>
          <t>Cap. 11 · Panadería de molde y masas briochadas</t>
        </is>
      </c>
      <c r="D38" t="inlineStr">
        <is>
          <t>M</t>
        </is>
      </c>
      <c r="E38" t="inlineStr">
        <is>
          <t>A</t>
        </is>
      </c>
      <c r="F38" t="inlineStr">
        <is>
          <t>S</t>
        </is>
      </c>
      <c r="G38" t="inlineStr">
        <is>
          <t>pieza</t>
        </is>
      </c>
      <c r="H38" s="16" t="n">
        <v>1</v>
      </c>
      <c r="I38" s="17">
        <f>SUMIF(Ingredientes!$A$5:$A$397,A38,Ingredientes!$I$5:$I$397)</f>
        <v/>
      </c>
      <c r="J38" s="17">
        <f>IFERROR(I38/H38,0)</f>
        <v/>
      </c>
      <c r="K38" s="11" t="n">
        <v>6</v>
      </c>
      <c r="L38" s="11" t="n">
        <v>3</v>
      </c>
      <c r="M38" s="16" t="n">
        <v>55</v>
      </c>
      <c r="N38" s="16" t="n">
        <v>8</v>
      </c>
      <c r="O38" s="17">
        <f>IFERROR((M38/MAX(1,'Mi negocio'!$C$26)+N38)/60*'Mi negocio'!$C$23,0)</f>
        <v/>
      </c>
      <c r="P38" s="17">
        <f>'Mi negocio'!$C$20</f>
        <v/>
      </c>
      <c r="Q38" s="17">
        <f>J38+K38+L38+O38+P38</f>
        <v/>
      </c>
      <c r="R38" s="27" t="n"/>
      <c r="S38" s="29">
        <f>IF(R38="",'Mi negocio'!$C$24,R38)</f>
        <v/>
      </c>
      <c r="T38" s="30">
        <f>IFERROR(Q38/(1-S38),0)</f>
        <v/>
      </c>
      <c r="U38" s="31">
        <f>IFERROR(CEILING(ROUND(T38/(1-'Mi negocio'!$C$27),6),'Mi negocio'!$C$25),0)</f>
        <v/>
      </c>
      <c r="V38" s="31">
        <f>IFERROR(CEILING(ROUND(T38/(1-'Mi negocio'!$C$28),6),'Mi negocio'!$C$25),0)</f>
        <v/>
      </c>
      <c r="W38" s="31">
        <f>IFERROR(CEILING(ROUND(T38/(1-'Mi negocio'!$C$29),6),'Mi negocio'!$C$25),0)</f>
        <v/>
      </c>
      <c r="X38" s="31">
        <f>IFERROR(CEILING(ROUND(T38/(1-'Mi negocio'!$C$30),6),'Mi negocio'!$C$25),0)</f>
        <v/>
      </c>
    </row>
    <row r="39">
      <c r="A39" t="n">
        <v>35</v>
      </c>
      <c r="B39" s="21" t="inlineStr">
        <is>
          <t>Bollos Rústicos para Hamburguesa de Masa Madre con Semillas de Amapola</t>
        </is>
      </c>
      <c r="C39" s="22" t="inlineStr">
        <is>
          <t>Cap. 11 · Panadería de molde y masas briochadas</t>
        </is>
      </c>
      <c r="D39" t="inlineStr">
        <is>
          <t>M</t>
        </is>
      </c>
      <c r="E39" t="inlineStr">
        <is>
          <t>M</t>
        </is>
      </c>
      <c r="F39" t="inlineStr">
        <is>
          <t>L</t>
        </is>
      </c>
      <c r="G39" t="inlineStr">
        <is>
          <t>pieza</t>
        </is>
      </c>
      <c r="H39" s="16" t="n">
        <v>8</v>
      </c>
      <c r="I39" s="17">
        <f>SUMIF(Ingredientes!$A$5:$A$397,A39,Ingredientes!$I$5:$I$397)</f>
        <v/>
      </c>
      <c r="J39" s="17">
        <f>IFERROR(I39/H39,0)</f>
        <v/>
      </c>
      <c r="K39" s="11" t="n">
        <v>6</v>
      </c>
      <c r="L39" s="11" t="n">
        <v>2</v>
      </c>
      <c r="M39" s="16" t="n">
        <v>45</v>
      </c>
      <c r="N39" s="16" t="n">
        <v>3</v>
      </c>
      <c r="O39" s="17">
        <f>IFERROR((M39/MAX(1,'Mi negocio'!$C$26)+N39)/60*'Mi negocio'!$C$23,0)</f>
        <v/>
      </c>
      <c r="P39" s="17">
        <f>'Mi negocio'!$C$20</f>
        <v/>
      </c>
      <c r="Q39" s="17">
        <f>J39+K39+L39+O39+P39</f>
        <v/>
      </c>
      <c r="R39" s="27" t="n"/>
      <c r="S39" s="29">
        <f>IF(R39="",'Mi negocio'!$C$24,R39)</f>
        <v/>
      </c>
      <c r="T39" s="30">
        <f>IFERROR(Q39/(1-S39),0)</f>
        <v/>
      </c>
      <c r="U39" s="31">
        <f>IFERROR(CEILING(ROUND(T39/(1-'Mi negocio'!$C$27),6),'Mi negocio'!$C$25),0)</f>
        <v/>
      </c>
      <c r="V39" s="31">
        <f>IFERROR(CEILING(ROUND(T39/(1-'Mi negocio'!$C$28),6),'Mi negocio'!$C$25),0)</f>
        <v/>
      </c>
      <c r="W39" s="31">
        <f>IFERROR(CEILING(ROUND(T39/(1-'Mi negocio'!$C$29),6),'Mi negocio'!$C$25),0)</f>
        <v/>
      </c>
      <c r="X39" s="31">
        <f>IFERROR(CEILING(ROUND(T39/(1-'Mi negocio'!$C$30),6),'Mi negocio'!$C$25),0)</f>
        <v/>
      </c>
    </row>
    <row r="40">
      <c r="A40" t="n">
        <v>36</v>
      </c>
      <c r="B40" s="21" t="inlineStr">
        <is>
          <t>Trenza Jalá Tradicional Judía (Challah 100% Sourdough)</t>
        </is>
      </c>
      <c r="C40" s="22" t="inlineStr">
        <is>
          <t>Cap. 11 · Panadería de molde y masas briochadas</t>
        </is>
      </c>
      <c r="D40" t="inlineStr">
        <is>
          <t>M</t>
        </is>
      </c>
      <c r="E40" t="inlineStr">
        <is>
          <t>B</t>
        </is>
      </c>
      <c r="F40" t="inlineStr">
        <is>
          <t>L</t>
        </is>
      </c>
      <c r="G40" t="inlineStr">
        <is>
          <t>pieza</t>
        </is>
      </c>
      <c r="H40" s="16" t="n">
        <v>2</v>
      </c>
      <c r="I40" s="17">
        <f>SUMIF(Ingredientes!$A$5:$A$397,A40,Ingredientes!$I$5:$I$397)</f>
        <v/>
      </c>
      <c r="J40" s="17">
        <f>IFERROR(I40/H40,0)</f>
        <v/>
      </c>
      <c r="K40" s="11" t="n">
        <v>6</v>
      </c>
      <c r="L40" s="11" t="n">
        <v>2</v>
      </c>
      <c r="M40" s="16" t="n">
        <v>50</v>
      </c>
      <c r="N40" s="16" t="n">
        <v>9</v>
      </c>
      <c r="O40" s="17">
        <f>IFERROR((M40/MAX(1,'Mi negocio'!$C$26)+N40)/60*'Mi negocio'!$C$23,0)</f>
        <v/>
      </c>
      <c r="P40" s="17">
        <f>'Mi negocio'!$C$20</f>
        <v/>
      </c>
      <c r="Q40" s="17">
        <f>J40+K40+L40+O40+P40</f>
        <v/>
      </c>
      <c r="R40" s="27" t="n"/>
      <c r="S40" s="29">
        <f>IF(R40="",'Mi negocio'!$C$24,R40)</f>
        <v/>
      </c>
      <c r="T40" s="30">
        <f>IFERROR(Q40/(1-S40),0)</f>
        <v/>
      </c>
      <c r="U40" s="31">
        <f>IFERROR(CEILING(ROUND(T40/(1-'Mi negocio'!$C$27),6),'Mi negocio'!$C$25),0)</f>
        <v/>
      </c>
      <c r="V40" s="31">
        <f>IFERROR(CEILING(ROUND(T40/(1-'Mi negocio'!$C$28),6),'Mi negocio'!$C$25),0)</f>
        <v/>
      </c>
      <c r="W40" s="31">
        <f>IFERROR(CEILING(ROUND(T40/(1-'Mi negocio'!$C$29),6),'Mi negocio'!$C$25),0)</f>
        <v/>
      </c>
      <c r="X40" s="31">
        <f>IFERROR(CEILING(ROUND(T40/(1-'Mi negocio'!$C$30),6),'Mi negocio'!$C$25),0)</f>
        <v/>
      </c>
    </row>
    <row r="41">
      <c r="A41" t="n">
        <v>37</v>
      </c>
      <c r="B41" s="21" t="inlineStr">
        <is>
          <t>Panecillos de Viena de Masa Madre con Corteza Lustrosa</t>
        </is>
      </c>
      <c r="C41" s="22" t="inlineStr">
        <is>
          <t>Cap. 11 · Panadería de molde y masas briochadas</t>
        </is>
      </c>
      <c r="D41" t="inlineStr">
        <is>
          <t>M</t>
        </is>
      </c>
      <c r="E41" t="inlineStr">
        <is>
          <t>B</t>
        </is>
      </c>
      <c r="F41" t="inlineStr">
        <is>
          <t>L</t>
        </is>
      </c>
      <c r="G41" t="inlineStr">
        <is>
          <t>pieza</t>
        </is>
      </c>
      <c r="H41" s="16" t="n">
        <v>10</v>
      </c>
      <c r="I41" s="17">
        <f>SUMIF(Ingredientes!$A$5:$A$397,A41,Ingredientes!$I$5:$I$397)</f>
        <v/>
      </c>
      <c r="J41" s="17">
        <f>IFERROR(I41/H41,0)</f>
        <v/>
      </c>
      <c r="K41" s="11" t="n">
        <v>6</v>
      </c>
      <c r="L41" s="11" t="n">
        <v>2</v>
      </c>
      <c r="M41" s="16" t="n">
        <v>45</v>
      </c>
      <c r="N41" s="16" t="n">
        <v>3</v>
      </c>
      <c r="O41" s="17">
        <f>IFERROR((M41/MAX(1,'Mi negocio'!$C$26)+N41)/60*'Mi negocio'!$C$23,0)</f>
        <v/>
      </c>
      <c r="P41" s="17">
        <f>'Mi negocio'!$C$20</f>
        <v/>
      </c>
      <c r="Q41" s="17">
        <f>J41+K41+L41+O41+P41</f>
        <v/>
      </c>
      <c r="R41" s="27" t="n"/>
      <c r="S41" s="29">
        <f>IF(R41="",'Mi negocio'!$C$24,R41)</f>
        <v/>
      </c>
      <c r="T41" s="30">
        <f>IFERROR(Q41/(1-S41),0)</f>
        <v/>
      </c>
      <c r="U41" s="31">
        <f>IFERROR(CEILING(ROUND(T41/(1-'Mi negocio'!$C$27),6),'Mi negocio'!$C$25),0)</f>
        <v/>
      </c>
      <c r="V41" s="31">
        <f>IFERROR(CEILING(ROUND(T41/(1-'Mi negocio'!$C$28),6),'Mi negocio'!$C$25),0)</f>
        <v/>
      </c>
      <c r="W41" s="31">
        <f>IFERROR(CEILING(ROUND(T41/(1-'Mi negocio'!$C$29),6),'Mi negocio'!$C$25),0)</f>
        <v/>
      </c>
      <c r="X41" s="31">
        <f>IFERROR(CEILING(ROUND(T41/(1-'Mi negocio'!$C$30),6),'Mi negocio'!$C$25),0)</f>
        <v/>
      </c>
    </row>
    <row r="42">
      <c r="A42" t="n">
        <v>38</v>
      </c>
      <c r="B42" s="21" t="inlineStr">
        <is>
          <t>Pan de Molde de Avena Escaldada y Miel de Abeja de Bosque</t>
        </is>
      </c>
      <c r="C42" s="22" t="inlineStr">
        <is>
          <t>Cap. 11 · Panadería de molde y masas briochadas</t>
        </is>
      </c>
      <c r="D42" t="inlineStr">
        <is>
          <t>M</t>
        </is>
      </c>
      <c r="E42" t="inlineStr">
        <is>
          <t>A</t>
        </is>
      </c>
      <c r="F42" t="inlineStr">
        <is>
          <t>S</t>
        </is>
      </c>
      <c r="G42" t="inlineStr">
        <is>
          <t>pieza</t>
        </is>
      </c>
      <c r="H42" s="16" t="n">
        <v>1</v>
      </c>
      <c r="I42" s="17">
        <f>SUMIF(Ingredientes!$A$5:$A$397,A42,Ingredientes!$I$5:$I$397)</f>
        <v/>
      </c>
      <c r="J42" s="17">
        <f>IFERROR(I42/H42,0)</f>
        <v/>
      </c>
      <c r="K42" s="11" t="n">
        <v>6</v>
      </c>
      <c r="L42" s="11" t="n">
        <v>2</v>
      </c>
      <c r="M42" s="16" t="n">
        <v>50</v>
      </c>
      <c r="N42" s="16" t="n">
        <v>7</v>
      </c>
      <c r="O42" s="17">
        <f>IFERROR((M42/MAX(1,'Mi negocio'!$C$26)+N42)/60*'Mi negocio'!$C$23,0)</f>
        <v/>
      </c>
      <c r="P42" s="17">
        <f>'Mi negocio'!$C$20</f>
        <v/>
      </c>
      <c r="Q42" s="17">
        <f>J42+K42+L42+O42+P42</f>
        <v/>
      </c>
      <c r="R42" s="27" t="n"/>
      <c r="S42" s="29">
        <f>IF(R42="",'Mi negocio'!$C$24,R42)</f>
        <v/>
      </c>
      <c r="T42" s="30">
        <f>IFERROR(Q42/(1-S42),0)</f>
        <v/>
      </c>
      <c r="U42" s="31">
        <f>IFERROR(CEILING(ROUND(T42/(1-'Mi negocio'!$C$27),6),'Mi negocio'!$C$25),0)</f>
        <v/>
      </c>
      <c r="V42" s="31">
        <f>IFERROR(CEILING(ROUND(T42/(1-'Mi negocio'!$C$28),6),'Mi negocio'!$C$25),0)</f>
        <v/>
      </c>
      <c r="W42" s="31">
        <f>IFERROR(CEILING(ROUND(T42/(1-'Mi negocio'!$C$29),6),'Mi negocio'!$C$25),0)</f>
        <v/>
      </c>
      <c r="X42" s="31">
        <f>IFERROR(CEILING(ROUND(T42/(1-'Mi negocio'!$C$30),6),'Mi negocio'!$C$25),0)</f>
        <v/>
      </c>
    </row>
    <row r="43">
      <c r="A43" t="n">
        <v>39</v>
      </c>
      <c r="B43" s="21" t="inlineStr">
        <is>
          <t>English Muffins Tradicionales de Masa Madre Cocidos en Comal</t>
        </is>
      </c>
      <c r="C43" s="22" t="inlineStr">
        <is>
          <t>Cap. 11 · Panadería de molde y masas briochadas</t>
        </is>
      </c>
      <c r="D43" t="inlineStr">
        <is>
          <t>M</t>
        </is>
      </c>
      <c r="E43" t="inlineStr">
        <is>
          <t>A</t>
        </is>
      </c>
      <c r="F43" t="inlineStr">
        <is>
          <t>P</t>
        </is>
      </c>
      <c r="G43" t="inlineStr">
        <is>
          <t>pieza</t>
        </is>
      </c>
      <c r="H43" s="16" t="n">
        <v>10</v>
      </c>
      <c r="I43" s="17">
        <f>SUMIF(Ingredientes!$A$5:$A$397,A43,Ingredientes!$I$5:$I$397)</f>
        <v/>
      </c>
      <c r="J43" s="17">
        <f>IFERROR(I43/H43,0)</f>
        <v/>
      </c>
      <c r="K43" s="11" t="n">
        <v>6</v>
      </c>
      <c r="L43" s="11" t="n">
        <v>2</v>
      </c>
      <c r="M43" s="16" t="n">
        <v>45</v>
      </c>
      <c r="N43" s="16" t="n">
        <v>3</v>
      </c>
      <c r="O43" s="17">
        <f>IFERROR((M43/MAX(1,'Mi negocio'!$C$26)+N43)/60*'Mi negocio'!$C$23,0)</f>
        <v/>
      </c>
      <c r="P43" s="17">
        <f>'Mi negocio'!$C$20</f>
        <v/>
      </c>
      <c r="Q43" s="17">
        <f>J43+K43+L43+O43+P43</f>
        <v/>
      </c>
      <c r="R43" s="27" t="n"/>
      <c r="S43" s="29">
        <f>IF(R43="",'Mi negocio'!$C$24,R43)</f>
        <v/>
      </c>
      <c r="T43" s="30">
        <f>IFERROR(Q43/(1-S43),0)</f>
        <v/>
      </c>
      <c r="U43" s="31">
        <f>IFERROR(CEILING(ROUND(T43/(1-'Mi negocio'!$C$27),6),'Mi negocio'!$C$25),0)</f>
        <v/>
      </c>
      <c r="V43" s="31">
        <f>IFERROR(CEILING(ROUND(T43/(1-'Mi negocio'!$C$28),6),'Mi negocio'!$C$25),0)</f>
        <v/>
      </c>
      <c r="W43" s="31">
        <f>IFERROR(CEILING(ROUND(T43/(1-'Mi negocio'!$C$29),6),'Mi negocio'!$C$25),0)</f>
        <v/>
      </c>
      <c r="X43" s="31">
        <f>IFERROR(CEILING(ROUND(T43/(1-'Mi negocio'!$C$30),6),'Mi negocio'!$C$25),0)</f>
        <v/>
      </c>
    </row>
    <row r="44">
      <c r="A44" t="n">
        <v>40</v>
      </c>
      <c r="B44" s="21" t="inlineStr">
        <is>
          <t>Pan de Pulque y Masa Madre Tradicional de Molde</t>
        </is>
      </c>
      <c r="C44" s="22" t="inlineStr">
        <is>
          <t>Cap. 11 · Panadería de molde y masas briochadas</t>
        </is>
      </c>
      <c r="D44" t="inlineStr">
        <is>
          <t>M</t>
        </is>
      </c>
      <c r="E44" t="inlineStr">
        <is>
          <t>M</t>
        </is>
      </c>
      <c r="F44" t="inlineStr">
        <is>
          <t>L</t>
        </is>
      </c>
      <c r="G44" t="inlineStr">
        <is>
          <t>pieza</t>
        </is>
      </c>
      <c r="H44" s="16" t="n">
        <v>1</v>
      </c>
      <c r="I44" s="17">
        <f>SUMIF(Ingredientes!$A$5:$A$397,A44,Ingredientes!$I$5:$I$397)</f>
        <v/>
      </c>
      <c r="J44" s="17">
        <f>IFERROR(I44/H44,0)</f>
        <v/>
      </c>
      <c r="K44" s="11" t="n">
        <v>6</v>
      </c>
      <c r="L44" s="11" t="n">
        <v>2</v>
      </c>
      <c r="M44" s="16" t="n">
        <v>50</v>
      </c>
      <c r="N44" s="16" t="n">
        <v>7</v>
      </c>
      <c r="O44" s="17">
        <f>IFERROR((M44/MAX(1,'Mi negocio'!$C$26)+N44)/60*'Mi negocio'!$C$23,0)</f>
        <v/>
      </c>
      <c r="P44" s="17">
        <f>'Mi negocio'!$C$20</f>
        <v/>
      </c>
      <c r="Q44" s="17">
        <f>J44+K44+L44+O44+P44</f>
        <v/>
      </c>
      <c r="R44" s="27" t="n"/>
      <c r="S44" s="29">
        <f>IF(R44="",'Mi negocio'!$C$24,R44)</f>
        <v/>
      </c>
      <c r="T44" s="30">
        <f>IFERROR(Q44/(1-S44),0)</f>
        <v/>
      </c>
      <c r="U44" s="31">
        <f>IFERROR(CEILING(ROUND(T44/(1-'Mi negocio'!$C$27),6),'Mi negocio'!$C$25),0)</f>
        <v/>
      </c>
      <c r="V44" s="31">
        <f>IFERROR(CEILING(ROUND(T44/(1-'Mi negocio'!$C$28),6),'Mi negocio'!$C$25),0)</f>
        <v/>
      </c>
      <c r="W44" s="31">
        <f>IFERROR(CEILING(ROUND(T44/(1-'Mi negocio'!$C$29),6),'Mi negocio'!$C$25),0)</f>
        <v/>
      </c>
      <c r="X44" s="31">
        <f>IFERROR(CEILING(ROUND(T44/(1-'Mi negocio'!$C$30),6),'Mi negocio'!$C$25),0)</f>
        <v/>
      </c>
    </row>
    <row r="45">
      <c r="A45" t="n">
        <v>41</v>
      </c>
      <c r="B45" s="21" t="inlineStr">
        <is>
          <t>Panettone Milanés Tradicional con Pasta Madre Sólida (Pasta Madre Viva a 3 Rinfreschi)</t>
        </is>
      </c>
      <c r="C45" s="22" t="inlineStr">
        <is>
          <t>Cap. 12 · Panes del mundo y masas planas</t>
        </is>
      </c>
      <c r="D45" t="inlineStr">
        <is>
          <t>W</t>
        </is>
      </c>
      <c r="E45" t="inlineStr">
        <is>
          <t>B</t>
        </is>
      </c>
      <c r="F45" t="inlineStr">
        <is>
          <t>D</t>
        </is>
      </c>
      <c r="G45" t="inlineStr">
        <is>
          <t>pieza</t>
        </is>
      </c>
      <c r="H45" s="16" t="n">
        <v>2</v>
      </c>
      <c r="I45" s="17">
        <f>SUMIF(Ingredientes!$A$5:$A$397,A45,Ingredientes!$I$5:$I$397)</f>
        <v/>
      </c>
      <c r="J45" s="17">
        <f>IFERROR(I45/H45,0)</f>
        <v/>
      </c>
      <c r="K45" s="11" t="n">
        <v>38</v>
      </c>
      <c r="L45" s="11" t="n">
        <v>3</v>
      </c>
      <c r="M45" s="16" t="n">
        <v>90</v>
      </c>
      <c r="N45" s="16" t="n">
        <v>18</v>
      </c>
      <c r="O45" s="17">
        <f>IFERROR((M45/MAX(1,'Mi negocio'!$C$26)+N45)/60*'Mi negocio'!$C$23,0)</f>
        <v/>
      </c>
      <c r="P45" s="17">
        <f>'Mi negocio'!$C$20</f>
        <v/>
      </c>
      <c r="Q45" s="17">
        <f>J45+K45+L45+O45+P45</f>
        <v/>
      </c>
      <c r="R45" s="27" t="n"/>
      <c r="S45" s="29">
        <f>IF(R45="",'Mi negocio'!$C$24,R45)</f>
        <v/>
      </c>
      <c r="T45" s="30">
        <f>IFERROR(Q45/(1-S45),0)</f>
        <v/>
      </c>
      <c r="U45" s="31">
        <f>IFERROR(CEILING(ROUND(T45/(1-'Mi negocio'!$C$27),6),'Mi negocio'!$C$25),0)</f>
        <v/>
      </c>
      <c r="V45" s="31">
        <f>IFERROR(CEILING(ROUND(T45/(1-'Mi negocio'!$C$28),6),'Mi negocio'!$C$25),0)</f>
        <v/>
      </c>
      <c r="W45" s="31">
        <f>IFERROR(CEILING(ROUND(T45/(1-'Mi negocio'!$C$29),6),'Mi negocio'!$C$25),0)</f>
        <v/>
      </c>
      <c r="X45" s="31">
        <f>IFERROR(CEILING(ROUND(T45/(1-'Mi negocio'!$C$30),6),'Mi negocio'!$C$25),0)</f>
        <v/>
      </c>
    </row>
    <row r="46">
      <c r="A46" t="n">
        <v>42</v>
      </c>
      <c r="B46" s="21" t="inlineStr">
        <is>
          <t>Bagels Tradicionales Estilo Montreal Hervidos con Masa Madre</t>
        </is>
      </c>
      <c r="C46" s="22" t="inlineStr">
        <is>
          <t>Cap. 12 · Panes del mundo y masas planas</t>
        </is>
      </c>
      <c r="D46" t="inlineStr">
        <is>
          <t>W</t>
        </is>
      </c>
      <c r="E46" t="inlineStr">
        <is>
          <t>B</t>
        </is>
      </c>
      <c r="F46" t="inlineStr">
        <is>
          <t>S</t>
        </is>
      </c>
      <c r="G46" t="inlineStr">
        <is>
          <t>pieza</t>
        </is>
      </c>
      <c r="H46" s="16" t="n">
        <v>8</v>
      </c>
      <c r="I46" s="17">
        <f>SUMIF(Ingredientes!$A$5:$A$397,A46,Ingredientes!$I$5:$I$397)</f>
        <v/>
      </c>
      <c r="J46" s="17">
        <f>IFERROR(I46/H46,0)</f>
        <v/>
      </c>
      <c r="K46" s="11" t="n">
        <v>4</v>
      </c>
      <c r="L46" s="11" t="n">
        <v>3</v>
      </c>
      <c r="M46" s="16" t="n">
        <v>50</v>
      </c>
      <c r="N46" s="16" t="n">
        <v>4</v>
      </c>
      <c r="O46" s="17">
        <f>IFERROR((M46/MAX(1,'Mi negocio'!$C$26)+N46)/60*'Mi negocio'!$C$23,0)</f>
        <v/>
      </c>
      <c r="P46" s="17">
        <f>'Mi negocio'!$C$20</f>
        <v/>
      </c>
      <c r="Q46" s="17">
        <f>J46+K46+L46+O46+P46</f>
        <v/>
      </c>
      <c r="R46" s="27" t="n"/>
      <c r="S46" s="29">
        <f>IF(R46="",'Mi negocio'!$C$24,R46)</f>
        <v/>
      </c>
      <c r="T46" s="30">
        <f>IFERROR(Q46/(1-S46),0)</f>
        <v/>
      </c>
      <c r="U46" s="31">
        <f>IFERROR(CEILING(ROUND(T46/(1-'Mi negocio'!$C$27),6),'Mi negocio'!$C$25),0)</f>
        <v/>
      </c>
      <c r="V46" s="31">
        <f>IFERROR(CEILING(ROUND(T46/(1-'Mi negocio'!$C$28),6),'Mi negocio'!$C$25),0)</f>
        <v/>
      </c>
      <c r="W46" s="31">
        <f>IFERROR(CEILING(ROUND(T46/(1-'Mi negocio'!$C$29),6),'Mi negocio'!$C$25),0)</f>
        <v/>
      </c>
      <c r="X46" s="31">
        <f>IFERROR(CEILING(ROUND(T46/(1-'Mi negocio'!$C$30),6),'Mi negocio'!$C$25),0)</f>
        <v/>
      </c>
    </row>
    <row r="47">
      <c r="A47" t="n">
        <v>43</v>
      </c>
      <c r="B47" s="21" t="inlineStr">
        <is>
          <t>Masa de Pizza Napolitana Contemporánea (Canotto de 48 Horas con Levain)</t>
        </is>
      </c>
      <c r="C47" s="22" t="inlineStr">
        <is>
          <t>Cap. 12 · Panes del mundo y masas planas</t>
        </is>
      </c>
      <c r="D47" t="inlineStr">
        <is>
          <t>W</t>
        </is>
      </c>
      <c r="E47" t="inlineStr">
        <is>
          <t>M</t>
        </is>
      </c>
      <c r="F47" t="inlineStr">
        <is>
          <t>L</t>
        </is>
      </c>
      <c r="G47" t="inlineStr">
        <is>
          <t>pieza</t>
        </is>
      </c>
      <c r="H47" s="16" t="n">
        <v>4</v>
      </c>
      <c r="I47" s="17">
        <f>SUMIF(Ingredientes!$A$5:$A$397,A47,Ingredientes!$I$5:$I$397)</f>
        <v/>
      </c>
      <c r="J47" s="17">
        <f>IFERROR(I47/H47,0)</f>
        <v/>
      </c>
      <c r="K47" s="11" t="n">
        <v>4</v>
      </c>
      <c r="L47" s="11" t="n">
        <v>2</v>
      </c>
      <c r="M47" s="16" t="n">
        <v>40</v>
      </c>
      <c r="N47" s="16" t="n">
        <v>4</v>
      </c>
      <c r="O47" s="17">
        <f>IFERROR((M47/MAX(1,'Mi negocio'!$C$26)+N47)/60*'Mi negocio'!$C$23,0)</f>
        <v/>
      </c>
      <c r="P47" s="17">
        <f>'Mi negocio'!$C$20</f>
        <v/>
      </c>
      <c r="Q47" s="17">
        <f>J47+K47+L47+O47+P47</f>
        <v/>
      </c>
      <c r="R47" s="27" t="n"/>
      <c r="S47" s="29">
        <f>IF(R47="",'Mi negocio'!$C$24,R47)</f>
        <v/>
      </c>
      <c r="T47" s="30">
        <f>IFERROR(Q47/(1-S47),0)</f>
        <v/>
      </c>
      <c r="U47" s="31">
        <f>IFERROR(CEILING(ROUND(T47/(1-'Mi negocio'!$C$27),6),'Mi negocio'!$C$25),0)</f>
        <v/>
      </c>
      <c r="V47" s="31">
        <f>IFERROR(CEILING(ROUND(T47/(1-'Mi negocio'!$C$28),6),'Mi negocio'!$C$25),0)</f>
        <v/>
      </c>
      <c r="W47" s="31">
        <f>IFERROR(CEILING(ROUND(T47/(1-'Mi negocio'!$C$29),6),'Mi negocio'!$C$25),0)</f>
        <v/>
      </c>
      <c r="X47" s="31">
        <f>IFERROR(CEILING(ROUND(T47/(1-'Mi negocio'!$C$30),6),'Mi negocio'!$C$25),0)</f>
        <v/>
      </c>
    </row>
    <row r="48">
      <c r="A48" t="n">
        <v>44</v>
      </c>
      <c r="B48" s="21" t="inlineStr">
        <is>
          <t>Pan Pita Árabe Inflado de Masa Madre en Horno de Alta Temperatura</t>
        </is>
      </c>
      <c r="C48" s="22" t="inlineStr">
        <is>
          <t>Cap. 12 · Panes del mundo y masas planas</t>
        </is>
      </c>
      <c r="D48" t="inlineStr">
        <is>
          <t>W</t>
        </is>
      </c>
      <c r="E48" t="inlineStr">
        <is>
          <t>M</t>
        </is>
      </c>
      <c r="F48" t="inlineStr">
        <is>
          <t>L</t>
        </is>
      </c>
      <c r="G48" t="inlineStr">
        <is>
          <t>pieza</t>
        </is>
      </c>
      <c r="H48" s="16" t="n">
        <v>8</v>
      </c>
      <c r="I48" s="17">
        <f>SUMIF(Ingredientes!$A$5:$A$397,A48,Ingredientes!$I$5:$I$397)</f>
        <v/>
      </c>
      <c r="J48" s="17">
        <f>IFERROR(I48/H48,0)</f>
        <v/>
      </c>
      <c r="K48" s="11" t="n">
        <v>4</v>
      </c>
      <c r="L48" s="11" t="n">
        <v>1.2</v>
      </c>
      <c r="M48" s="16" t="n">
        <v>35</v>
      </c>
      <c r="N48" s="16" t="n">
        <v>2.5</v>
      </c>
      <c r="O48" s="17">
        <f>IFERROR((M48/MAX(1,'Mi negocio'!$C$26)+N48)/60*'Mi negocio'!$C$23,0)</f>
        <v/>
      </c>
      <c r="P48" s="17">
        <f>'Mi negocio'!$C$20</f>
        <v/>
      </c>
      <c r="Q48" s="17">
        <f>J48+K48+L48+O48+P48</f>
        <v/>
      </c>
      <c r="R48" s="27" t="n"/>
      <c r="S48" s="29">
        <f>IF(R48="",'Mi negocio'!$C$24,R48)</f>
        <v/>
      </c>
      <c r="T48" s="30">
        <f>IFERROR(Q48/(1-S48),0)</f>
        <v/>
      </c>
      <c r="U48" s="31">
        <f>IFERROR(CEILING(ROUND(T48/(1-'Mi negocio'!$C$27),6),'Mi negocio'!$C$25),0)</f>
        <v/>
      </c>
      <c r="V48" s="31">
        <f>IFERROR(CEILING(ROUND(T48/(1-'Mi negocio'!$C$28),6),'Mi negocio'!$C$25),0)</f>
        <v/>
      </c>
      <c r="W48" s="31">
        <f>IFERROR(CEILING(ROUND(T48/(1-'Mi negocio'!$C$29),6),'Mi negocio'!$C$25),0)</f>
        <v/>
      </c>
      <c r="X48" s="31">
        <f>IFERROR(CEILING(ROUND(T48/(1-'Mi negocio'!$C$30),6),'Mi negocio'!$C$25),0)</f>
        <v/>
      </c>
    </row>
    <row r="49">
      <c r="A49" t="n">
        <v>45</v>
      </c>
      <c r="B49" s="21" t="inlineStr">
        <is>
          <t>Naan Tradicional Indio de Masa Madre Cocido en Sartén de Hierro</t>
        </is>
      </c>
      <c r="C49" s="22" t="inlineStr">
        <is>
          <t>Cap. 12 · Panes del mundo y masas planas</t>
        </is>
      </c>
      <c r="D49" t="inlineStr">
        <is>
          <t>W</t>
        </is>
      </c>
      <c r="E49" t="inlineStr">
        <is>
          <t>M</t>
        </is>
      </c>
      <c r="F49" t="inlineStr">
        <is>
          <t>P</t>
        </is>
      </c>
      <c r="G49" t="inlineStr">
        <is>
          <t>pieza</t>
        </is>
      </c>
      <c r="H49" s="16" t="n">
        <v>8</v>
      </c>
      <c r="I49" s="17">
        <f>SUMIF(Ingredientes!$A$5:$A$397,A49,Ingredientes!$I$5:$I$397)</f>
        <v/>
      </c>
      <c r="J49" s="17">
        <f>IFERROR(I49/H49,0)</f>
        <v/>
      </c>
      <c r="K49" s="11" t="n">
        <v>4</v>
      </c>
      <c r="L49" s="11" t="n">
        <v>1.2</v>
      </c>
      <c r="M49" s="16" t="n">
        <v>35</v>
      </c>
      <c r="N49" s="16" t="n">
        <v>3</v>
      </c>
      <c r="O49" s="17">
        <f>IFERROR((M49/MAX(1,'Mi negocio'!$C$26)+N49)/60*'Mi negocio'!$C$23,0)</f>
        <v/>
      </c>
      <c r="P49" s="17">
        <f>'Mi negocio'!$C$20</f>
        <v/>
      </c>
      <c r="Q49" s="17">
        <f>J49+K49+L49+O49+P49</f>
        <v/>
      </c>
      <c r="R49" s="27" t="n"/>
      <c r="S49" s="29">
        <f>IF(R49="",'Mi negocio'!$C$24,R49)</f>
        <v/>
      </c>
      <c r="T49" s="30">
        <f>IFERROR(Q49/(1-S49),0)</f>
        <v/>
      </c>
      <c r="U49" s="31">
        <f>IFERROR(CEILING(ROUND(T49/(1-'Mi negocio'!$C$27),6),'Mi negocio'!$C$25),0)</f>
        <v/>
      </c>
      <c r="V49" s="31">
        <f>IFERROR(CEILING(ROUND(T49/(1-'Mi negocio'!$C$28),6),'Mi negocio'!$C$25),0)</f>
        <v/>
      </c>
      <c r="W49" s="31">
        <f>IFERROR(CEILING(ROUND(T49/(1-'Mi negocio'!$C$29),6),'Mi negocio'!$C$25),0)</f>
        <v/>
      </c>
      <c r="X49" s="31">
        <f>IFERROR(CEILING(ROUND(T49/(1-'Mi negocio'!$C$30),6),'Mi negocio'!$C$25),0)</f>
        <v/>
      </c>
    </row>
    <row r="50">
      <c r="A50" t="n">
        <v>46</v>
      </c>
      <c r="B50" s="21" t="inlineStr">
        <is>
          <t>Pane Carasau Sardo de Masa Madre (Láminas Crujientes de Doble Horneado / Carta di Musica)</t>
        </is>
      </c>
      <c r="C50" s="22" t="inlineStr">
        <is>
          <t>Cap. 12 · Panes del mundo y masas planas</t>
        </is>
      </c>
      <c r="D50" t="inlineStr">
        <is>
          <t>W</t>
        </is>
      </c>
      <c r="E50" t="inlineStr">
        <is>
          <t>B</t>
        </is>
      </c>
      <c r="F50" t="inlineStr">
        <is>
          <t>L</t>
        </is>
      </c>
      <c r="G50" t="inlineStr">
        <is>
          <t>pieza</t>
        </is>
      </c>
      <c r="H50" s="16" t="n">
        <v>8</v>
      </c>
      <c r="I50" s="17">
        <f>SUMIF(Ingredientes!$A$5:$A$397,A50,Ingredientes!$I$5:$I$397)</f>
        <v/>
      </c>
      <c r="J50" s="17">
        <f>IFERROR(I50/H50,0)</f>
        <v/>
      </c>
      <c r="K50" s="11" t="n">
        <v>4</v>
      </c>
      <c r="L50" s="11" t="n">
        <v>3</v>
      </c>
      <c r="M50" s="16" t="n">
        <v>55</v>
      </c>
      <c r="N50" s="16" t="n">
        <v>5</v>
      </c>
      <c r="O50" s="17">
        <f>IFERROR((M50/MAX(1,'Mi negocio'!$C$26)+N50)/60*'Mi negocio'!$C$23,0)</f>
        <v/>
      </c>
      <c r="P50" s="17">
        <f>'Mi negocio'!$C$20</f>
        <v/>
      </c>
      <c r="Q50" s="17">
        <f>J50+K50+L50+O50+P50</f>
        <v/>
      </c>
      <c r="R50" s="27" t="n"/>
      <c r="S50" s="29">
        <f>IF(R50="",'Mi negocio'!$C$24,R50)</f>
        <v/>
      </c>
      <c r="T50" s="30">
        <f>IFERROR(Q50/(1-S50),0)</f>
        <v/>
      </c>
      <c r="U50" s="31">
        <f>IFERROR(CEILING(ROUND(T50/(1-'Mi negocio'!$C$27),6),'Mi negocio'!$C$25),0)</f>
        <v/>
      </c>
      <c r="V50" s="31">
        <f>IFERROR(CEILING(ROUND(T50/(1-'Mi negocio'!$C$28),6),'Mi negocio'!$C$25),0)</f>
        <v/>
      </c>
      <c r="W50" s="31">
        <f>IFERROR(CEILING(ROUND(T50/(1-'Mi negocio'!$C$29),6),'Mi negocio'!$C$25),0)</f>
        <v/>
      </c>
      <c r="X50" s="31">
        <f>IFERROR(CEILING(ROUND(T50/(1-'Mi negocio'!$C$30),6),'Mi negocio'!$C$25),0)</f>
        <v/>
      </c>
    </row>
    <row r="51">
      <c r="A51" t="n">
        <v>47</v>
      </c>
      <c r="B51" s="21" t="inlineStr">
        <is>
          <t>Pain d’Épi Tradicional (Formato en Espiga de Trigo con Masa de Baguette)</t>
        </is>
      </c>
      <c r="C51" s="22" t="inlineStr">
        <is>
          <t>Cap. 12 · Panes del mundo y masas planas</t>
        </is>
      </c>
      <c r="D51" t="inlineStr">
        <is>
          <t>W</t>
        </is>
      </c>
      <c r="E51" t="inlineStr">
        <is>
          <t>M</t>
        </is>
      </c>
      <c r="F51" t="inlineStr">
        <is>
          <t>L</t>
        </is>
      </c>
      <c r="G51" t="inlineStr">
        <is>
          <t>pieza</t>
        </is>
      </c>
      <c r="H51" s="16" t="n">
        <v>3</v>
      </c>
      <c r="I51" s="17">
        <f>SUMIF(Ingredientes!$A$5:$A$397,A51,Ingredientes!$I$5:$I$397)</f>
        <v/>
      </c>
      <c r="J51" s="17">
        <f>IFERROR(I51/H51,0)</f>
        <v/>
      </c>
      <c r="K51" s="11" t="n">
        <v>4</v>
      </c>
      <c r="L51" s="11" t="n">
        <v>3</v>
      </c>
      <c r="M51" s="16" t="n">
        <v>50</v>
      </c>
      <c r="N51" s="16" t="n">
        <v>6</v>
      </c>
      <c r="O51" s="17">
        <f>IFERROR((M51/MAX(1,'Mi negocio'!$C$26)+N51)/60*'Mi negocio'!$C$23,0)</f>
        <v/>
      </c>
      <c r="P51" s="17">
        <f>'Mi negocio'!$C$20</f>
        <v/>
      </c>
      <c r="Q51" s="17">
        <f>J51+K51+L51+O51+P51</f>
        <v/>
      </c>
      <c r="R51" s="27" t="n"/>
      <c r="S51" s="29">
        <f>IF(R51="",'Mi negocio'!$C$24,R51)</f>
        <v/>
      </c>
      <c r="T51" s="30">
        <f>IFERROR(Q51/(1-S51),0)</f>
        <v/>
      </c>
      <c r="U51" s="31">
        <f>IFERROR(CEILING(ROUND(T51/(1-'Mi negocio'!$C$27),6),'Mi negocio'!$C$25),0)</f>
        <v/>
      </c>
      <c r="V51" s="31">
        <f>IFERROR(CEILING(ROUND(T51/(1-'Mi negocio'!$C$28),6),'Mi negocio'!$C$25),0)</f>
        <v/>
      </c>
      <c r="W51" s="31">
        <f>IFERROR(CEILING(ROUND(T51/(1-'Mi negocio'!$C$29),6),'Mi negocio'!$C$25),0)</f>
        <v/>
      </c>
      <c r="X51" s="31">
        <f>IFERROR(CEILING(ROUND(T51/(1-'Mi negocio'!$C$30),6),'Mi negocio'!$C$25),0)</f>
        <v/>
      </c>
    </row>
    <row r="52">
      <c r="A52" t="n">
        <v>48</v>
      </c>
      <c r="B52" s="21" t="inlineStr">
        <is>
          <t>Pan Balti y Bazlama Turco de Sartén con Masa Madre</t>
        </is>
      </c>
      <c r="C52" s="22" t="inlineStr">
        <is>
          <t>Cap. 12 · Panes del mundo y masas planas</t>
        </is>
      </c>
      <c r="D52" t="inlineStr">
        <is>
          <t>W</t>
        </is>
      </c>
      <c r="E52" t="inlineStr">
        <is>
          <t>A</t>
        </is>
      </c>
      <c r="F52" t="inlineStr">
        <is>
          <t>P</t>
        </is>
      </c>
      <c r="G52" t="inlineStr">
        <is>
          <t>pieza</t>
        </is>
      </c>
      <c r="H52" s="16" t="n">
        <v>6</v>
      </c>
      <c r="I52" s="17">
        <f>SUMIF(Ingredientes!$A$5:$A$397,A52,Ingredientes!$I$5:$I$397)</f>
        <v/>
      </c>
      <c r="J52" s="17">
        <f>IFERROR(I52/H52,0)</f>
        <v/>
      </c>
      <c r="K52" s="11" t="n">
        <v>4</v>
      </c>
      <c r="L52" s="11" t="n">
        <v>1.2</v>
      </c>
      <c r="M52" s="16" t="n">
        <v>35</v>
      </c>
      <c r="N52" s="16" t="n">
        <v>3</v>
      </c>
      <c r="O52" s="17">
        <f>IFERROR((M52/MAX(1,'Mi negocio'!$C$26)+N52)/60*'Mi negocio'!$C$23,0)</f>
        <v/>
      </c>
      <c r="P52" s="17">
        <f>'Mi negocio'!$C$20</f>
        <v/>
      </c>
      <c r="Q52" s="17">
        <f>J52+K52+L52+O52+P52</f>
        <v/>
      </c>
      <c r="R52" s="27" t="n"/>
      <c r="S52" s="29">
        <f>IF(R52="",'Mi negocio'!$C$24,R52)</f>
        <v/>
      </c>
      <c r="T52" s="30">
        <f>IFERROR(Q52/(1-S52),0)</f>
        <v/>
      </c>
      <c r="U52" s="31">
        <f>IFERROR(CEILING(ROUND(T52/(1-'Mi negocio'!$C$27),6),'Mi negocio'!$C$25),0)</f>
        <v/>
      </c>
      <c r="V52" s="31">
        <f>IFERROR(CEILING(ROUND(T52/(1-'Mi negocio'!$C$28),6),'Mi negocio'!$C$25),0)</f>
        <v/>
      </c>
      <c r="W52" s="31">
        <f>IFERROR(CEILING(ROUND(T52/(1-'Mi negocio'!$C$29),6),'Mi negocio'!$C$25),0)</f>
        <v/>
      </c>
      <c r="X52" s="31">
        <f>IFERROR(CEILING(ROUND(T52/(1-'Mi negocio'!$C$30),6),'Mi negocio'!$C$25),0)</f>
        <v/>
      </c>
    </row>
    <row r="53">
      <c r="A53" t="n">
        <v>49</v>
      </c>
      <c r="B53" s="21" t="inlineStr">
        <is>
          <t>Corona Bordelesa Tradicional con Sombrero de Masa (Couronne Bordelaise)</t>
        </is>
      </c>
      <c r="C53" s="22" t="inlineStr">
        <is>
          <t>Cap. 12 · Panes del mundo y masas planas</t>
        </is>
      </c>
      <c r="D53" t="inlineStr">
        <is>
          <t>W</t>
        </is>
      </c>
      <c r="E53" t="inlineStr">
        <is>
          <t>M</t>
        </is>
      </c>
      <c r="F53" t="inlineStr">
        <is>
          <t>L</t>
        </is>
      </c>
      <c r="G53" t="inlineStr">
        <is>
          <t>pieza</t>
        </is>
      </c>
      <c r="H53" s="16" t="n">
        <v>1</v>
      </c>
      <c r="I53" s="17">
        <f>SUMIF(Ingredientes!$A$5:$A$397,A53,Ingredientes!$I$5:$I$397)</f>
        <v/>
      </c>
      <c r="J53" s="17">
        <f>IFERROR(I53/H53,0)</f>
        <v/>
      </c>
      <c r="K53" s="11" t="n">
        <v>4</v>
      </c>
      <c r="L53" s="11" t="n">
        <v>3</v>
      </c>
      <c r="M53" s="16" t="n">
        <v>55</v>
      </c>
      <c r="N53" s="16" t="n">
        <v>10</v>
      </c>
      <c r="O53" s="17">
        <f>IFERROR((M53/MAX(1,'Mi negocio'!$C$26)+N53)/60*'Mi negocio'!$C$23,0)</f>
        <v/>
      </c>
      <c r="P53" s="17">
        <f>'Mi negocio'!$C$20</f>
        <v/>
      </c>
      <c r="Q53" s="17">
        <f>J53+K53+L53+O53+P53</f>
        <v/>
      </c>
      <c r="R53" s="27" t="n"/>
      <c r="S53" s="29">
        <f>IF(R53="",'Mi negocio'!$C$24,R53)</f>
        <v/>
      </c>
      <c r="T53" s="30">
        <f>IFERROR(Q53/(1-S53),0)</f>
        <v/>
      </c>
      <c r="U53" s="31">
        <f>IFERROR(CEILING(ROUND(T53/(1-'Mi negocio'!$C$27),6),'Mi negocio'!$C$25),0)</f>
        <v/>
      </c>
      <c r="V53" s="31">
        <f>IFERROR(CEILING(ROUND(T53/(1-'Mi negocio'!$C$28),6),'Mi negocio'!$C$25),0)</f>
        <v/>
      </c>
      <c r="W53" s="31">
        <f>IFERROR(CEILING(ROUND(T53/(1-'Mi negocio'!$C$29),6),'Mi negocio'!$C$25),0)</f>
        <v/>
      </c>
      <c r="X53" s="31">
        <f>IFERROR(CEILING(ROUND(T53/(1-'Mi negocio'!$C$30),6),'Mi negocio'!$C$25),0)</f>
        <v/>
      </c>
    </row>
    <row r="54">
      <c r="A54" t="n">
        <v>50</v>
      </c>
      <c r="B54" s="21" t="inlineStr">
        <is>
          <t>Panettone de Chocolate Negro con Fermentación Biológica Pura (Sin Levadura Comercial)</t>
        </is>
      </c>
      <c r="C54" s="22" t="inlineStr">
        <is>
          <t>Cap. 12 · Panes del mundo y masas planas</t>
        </is>
      </c>
      <c r="D54" t="inlineStr">
        <is>
          <t>W</t>
        </is>
      </c>
      <c r="E54" t="inlineStr">
        <is>
          <t>B</t>
        </is>
      </c>
      <c r="F54" t="inlineStr">
        <is>
          <t>D</t>
        </is>
      </c>
      <c r="G54" t="inlineStr">
        <is>
          <t>pieza</t>
        </is>
      </c>
      <c r="H54" s="16" t="n">
        <v>2</v>
      </c>
      <c r="I54" s="17">
        <f>SUMIF(Ingredientes!$A$5:$A$397,A54,Ingredientes!$I$5:$I$397)</f>
        <v/>
      </c>
      <c r="J54" s="17">
        <f>IFERROR(I54/H54,0)</f>
        <v/>
      </c>
      <c r="K54" s="11" t="n">
        <v>38</v>
      </c>
      <c r="L54" s="11" t="n">
        <v>3</v>
      </c>
      <c r="M54" s="16" t="n">
        <v>90</v>
      </c>
      <c r="N54" s="16" t="n">
        <v>18</v>
      </c>
      <c r="O54" s="17">
        <f>IFERROR((M54/MAX(1,'Mi negocio'!$C$26)+N54)/60*'Mi negocio'!$C$23,0)</f>
        <v/>
      </c>
      <c r="P54" s="17">
        <f>'Mi negocio'!$C$20</f>
        <v/>
      </c>
      <c r="Q54" s="17">
        <f>J54+K54+L54+O54+P54</f>
        <v/>
      </c>
      <c r="R54" s="27" t="n"/>
      <c r="S54" s="29">
        <f>IF(R54="",'Mi negocio'!$C$24,R54)</f>
        <v/>
      </c>
      <c r="T54" s="30">
        <f>IFERROR(Q54/(1-S54),0)</f>
        <v/>
      </c>
      <c r="U54" s="31">
        <f>IFERROR(CEILING(ROUND(T54/(1-'Mi negocio'!$C$27),6),'Mi negocio'!$C$25),0)</f>
        <v/>
      </c>
      <c r="V54" s="31">
        <f>IFERROR(CEILING(ROUND(T54/(1-'Mi negocio'!$C$28),6),'Mi negocio'!$C$25),0)</f>
        <v/>
      </c>
      <c r="W54" s="31">
        <f>IFERROR(CEILING(ROUND(T54/(1-'Mi negocio'!$C$29),6),'Mi negocio'!$C$25),0)</f>
        <v/>
      </c>
      <c r="X54" s="31">
        <f>IFERROR(CEILING(ROUND(T54/(1-'Mi negocio'!$C$30),6),'Mi negocio'!$C$25),0)</f>
        <v/>
      </c>
    </row>
    <row r="56">
      <c r="B56" s="7" t="inlineStr">
        <is>
          <t>Los minutos de amasado y manejo son por tanda completa y se reparten entre las piezas por tanda de Mi negocio; los de formado son por pieza y no bajan con la escala. Deja «Merma propia» vacía para usar la merma por defecto de Mi negocio. Bloque: F fundamentales · A ancestrales · E enriquecidos · M molde · W del mundo. Hidratación: B baja · M media · A alta · X muy alta. Proceso: L levain directo · D doble empaste · S con escaldado · P masa plana.</t>
        </is>
      </c>
    </row>
  </sheetData>
  <autoFilter ref="A4:X54"/>
  <conditionalFormatting sqref="T5:T54">
    <cfRule type="colorScale" priority="1">
      <colorScale>
        <cfvo type="min"/>
        <cfvo type="percentile" val="50"/>
        <cfvo type="max"/>
        <color rgb="00E7F3EC"/>
        <color rgb="00FFF2C4"/>
        <color rgb="00F9D3C7"/>
      </colorScale>
    </cfRule>
  </conditionalFormatting>
  <pageMargins left="0.75" right="0.75" top="1" bottom="1" header="0.5" footer="0.5"/>
</worksheet>
</file>

<file path=xl/worksheets/sheet7.xml><?xml version="1.0" encoding="utf-8"?>
<worksheet xmlns="http://schemas.openxmlformats.org/spreadsheetml/2006/main">
  <sheetPr>
    <tabColor rgb="00C98BCB"/>
    <outlinePr summaryBelow="1" summaryRight="1"/>
    <pageSetUpPr/>
  </sheetPr>
  <dimension ref="A1:L304"/>
  <sheetViews>
    <sheetView showGridLines="0" workbookViewId="0">
      <pane ySplit="4" topLeftCell="A5" activePane="bottomLeft" state="frozen"/>
      <selection pane="bottomLeft" activeCell="A1" sqref="A1"/>
    </sheetView>
  </sheetViews>
  <sheetFormatPr baseColWidth="8" defaultRowHeight="15"/>
  <cols>
    <col width="12" customWidth="1" min="1" max="1"/>
    <col width="11" customWidth="1" min="2" max="2"/>
    <col width="8" customWidth="1" min="3" max="3"/>
    <col width="46" customWidth="1" min="4" max="4"/>
    <col width="10" customWidth="1" min="5" max="5"/>
    <col width="9" customWidth="1" min="6" max="6"/>
    <col width="9" customWidth="1" min="7" max="7"/>
    <col width="10" customWidth="1" min="8" max="8"/>
    <col width="12" customWidth="1" min="9" max="9"/>
    <col width="12" customWidth="1" min="10" max="10"/>
    <col width="34" customWidth="1" min="11" max="11"/>
    <col width="26" customWidth="1" min="12" max="12"/>
  </cols>
  <sheetData>
    <row r="1">
      <c r="A1" s="1" t="inlineStr">
        <is>
          <t>Producción y merma</t>
        </is>
      </c>
    </row>
    <row r="2">
      <c r="A2" s="7" t="inlineStr">
        <is>
          <t>Una fila por lote o tanda. La primera fila es un ejemplo: sobrescríbela.</t>
        </is>
      </c>
    </row>
    <row r="4" ht="30" customHeight="1">
      <c r="A4" s="8" t="inlineStr">
        <is>
          <t>Fecha</t>
        </is>
      </c>
      <c r="B4" s="8" t="inlineStr">
        <is>
          <t>Lote</t>
        </is>
      </c>
      <c r="C4" s="8" t="inlineStr">
        <is>
          <t>Nº receta</t>
        </is>
      </c>
      <c r="D4" s="8" t="inlineStr">
        <is>
          <t>Receta</t>
        </is>
      </c>
      <c r="E4" s="8" t="inlineStr">
        <is>
          <t>Planeadas</t>
        </is>
      </c>
      <c r="F4" s="8" t="inlineStr">
        <is>
          <t>Buenas</t>
        </is>
      </c>
      <c r="G4" s="8" t="inlineStr">
        <is>
          <t>Falladas</t>
        </is>
      </c>
      <c r="H4" s="8" t="inlineStr">
        <is>
          <t>% merma</t>
        </is>
      </c>
      <c r="I4" s="8" t="inlineStr">
        <is>
          <t>Costo total unitario</t>
        </is>
      </c>
      <c r="J4" s="8" t="inlineStr">
        <is>
          <t>Costo de la merma</t>
        </is>
      </c>
      <c r="K4" s="8" t="inlineStr">
        <is>
          <t>Causa principal</t>
        </is>
      </c>
      <c r="L4" s="8" t="inlineStr">
        <is>
          <t>Notas</t>
        </is>
      </c>
    </row>
    <row r="5">
      <c r="A5" s="32" t="n">
        <v>46298</v>
      </c>
      <c r="B5" s="6" t="inlineStr">
        <is>
          <t>L-2610-01</t>
        </is>
      </c>
      <c r="C5" s="6" t="n">
        <v>1</v>
      </c>
      <c r="D5">
        <f>IF(C5="","",IFERROR(VLOOKUP(C5,'Recetas y precios'!$A$5:$B$54,2,FALSE),""))</f>
        <v/>
      </c>
      <c r="E5" s="6" t="n">
        <v>24</v>
      </c>
      <c r="F5" s="6" t="n">
        <v>23</v>
      </c>
      <c r="G5" s="6" t="n">
        <v>1</v>
      </c>
      <c r="H5" s="29">
        <f>IF((F5+G5)&gt;0,G5/(F5+G5),"")</f>
        <v/>
      </c>
      <c r="I5" s="17">
        <f>IF(C5="",0,IFERROR(VLOOKUP(C5,'Recetas y precios'!$A$5:$T$54,20,FALSE),0))</f>
        <v/>
      </c>
      <c r="J5" s="17">
        <f>G5*I5</f>
        <v/>
      </c>
      <c r="K5" s="6" t="inlineStr">
        <is>
          <t>Cultivo débil o sin punto pico</t>
        </is>
      </c>
      <c r="L5" s="6" t="inlineStr">
        <is>
          <t>Fila de ejemplo</t>
        </is>
      </c>
    </row>
    <row r="6">
      <c r="A6" s="32" t="n"/>
      <c r="B6" s="6" t="n"/>
      <c r="C6" s="6" t="n"/>
      <c r="D6">
        <f>IF(C6="","",IFERROR(VLOOKUP(C6,'Recetas y precios'!$A$5:$B$54,2,FALSE),""))</f>
        <v/>
      </c>
      <c r="E6" s="6" t="n"/>
      <c r="F6" s="6" t="n"/>
      <c r="G6" s="6" t="n"/>
      <c r="H6" s="29">
        <f>IF((F6+G6)&gt;0,G6/(F6+G6),"")</f>
        <v/>
      </c>
      <c r="I6" s="17">
        <f>IF(C6="",0,IFERROR(VLOOKUP(C6,'Recetas y precios'!$A$5:$T$54,20,FALSE),0))</f>
        <v/>
      </c>
      <c r="J6" s="17">
        <f>G6*I6</f>
        <v/>
      </c>
      <c r="K6" s="6" t="n"/>
      <c r="L6" s="6" t="n"/>
    </row>
    <row r="7">
      <c r="A7" s="32" t="n"/>
      <c r="B7" s="6" t="n"/>
      <c r="C7" s="6" t="n"/>
      <c r="D7">
        <f>IF(C7="","",IFERROR(VLOOKUP(C7,'Recetas y precios'!$A$5:$B$54,2,FALSE),""))</f>
        <v/>
      </c>
      <c r="E7" s="6" t="n"/>
      <c r="F7" s="6" t="n"/>
      <c r="G7" s="6" t="n"/>
      <c r="H7" s="29">
        <f>IF((F7+G7)&gt;0,G7/(F7+G7),"")</f>
        <v/>
      </c>
      <c r="I7" s="17">
        <f>IF(C7="",0,IFERROR(VLOOKUP(C7,'Recetas y precios'!$A$5:$T$54,20,FALSE),0))</f>
        <v/>
      </c>
      <c r="J7" s="17">
        <f>G7*I7</f>
        <v/>
      </c>
      <c r="K7" s="6" t="n"/>
      <c r="L7" s="6" t="n"/>
    </row>
    <row r="8">
      <c r="A8" s="32" t="n"/>
      <c r="B8" s="6" t="n"/>
      <c r="C8" s="6" t="n"/>
      <c r="D8">
        <f>IF(C8="","",IFERROR(VLOOKUP(C8,'Recetas y precios'!$A$5:$B$54,2,FALSE),""))</f>
        <v/>
      </c>
      <c r="E8" s="6" t="n"/>
      <c r="F8" s="6" t="n"/>
      <c r="G8" s="6" t="n"/>
      <c r="H8" s="29">
        <f>IF((F8+G8)&gt;0,G8/(F8+G8),"")</f>
        <v/>
      </c>
      <c r="I8" s="17">
        <f>IF(C8="",0,IFERROR(VLOOKUP(C8,'Recetas y precios'!$A$5:$T$54,20,FALSE),0))</f>
        <v/>
      </c>
      <c r="J8" s="17">
        <f>G8*I8</f>
        <v/>
      </c>
      <c r="K8" s="6" t="n"/>
      <c r="L8" s="6" t="n"/>
    </row>
    <row r="9">
      <c r="A9" s="32" t="n"/>
      <c r="B9" s="6" t="n"/>
      <c r="C9" s="6" t="n"/>
      <c r="D9">
        <f>IF(C9="","",IFERROR(VLOOKUP(C9,'Recetas y precios'!$A$5:$B$54,2,FALSE),""))</f>
        <v/>
      </c>
      <c r="E9" s="6" t="n"/>
      <c r="F9" s="6" t="n"/>
      <c r="G9" s="6" t="n"/>
      <c r="H9" s="29">
        <f>IF((F9+G9)&gt;0,G9/(F9+G9),"")</f>
        <v/>
      </c>
      <c r="I9" s="17">
        <f>IF(C9="",0,IFERROR(VLOOKUP(C9,'Recetas y precios'!$A$5:$T$54,20,FALSE),0))</f>
        <v/>
      </c>
      <c r="J9" s="17">
        <f>G9*I9</f>
        <v/>
      </c>
      <c r="K9" s="6" t="n"/>
      <c r="L9" s="6" t="n"/>
    </row>
    <row r="10">
      <c r="A10" s="32" t="n"/>
      <c r="B10" s="6" t="n"/>
      <c r="C10" s="6" t="n"/>
      <c r="D10">
        <f>IF(C10="","",IFERROR(VLOOKUP(C10,'Recetas y precios'!$A$5:$B$54,2,FALSE),""))</f>
        <v/>
      </c>
      <c r="E10" s="6" t="n"/>
      <c r="F10" s="6" t="n"/>
      <c r="G10" s="6" t="n"/>
      <c r="H10" s="29">
        <f>IF((F10+G10)&gt;0,G10/(F10+G10),"")</f>
        <v/>
      </c>
      <c r="I10" s="17">
        <f>IF(C10="",0,IFERROR(VLOOKUP(C10,'Recetas y precios'!$A$5:$T$54,20,FALSE),0))</f>
        <v/>
      </c>
      <c r="J10" s="17">
        <f>G10*I10</f>
        <v/>
      </c>
      <c r="K10" s="6" t="n"/>
      <c r="L10" s="6" t="n"/>
    </row>
    <row r="11">
      <c r="A11" s="32" t="n"/>
      <c r="B11" s="6" t="n"/>
      <c r="C11" s="6" t="n"/>
      <c r="D11">
        <f>IF(C11="","",IFERROR(VLOOKUP(C11,'Recetas y precios'!$A$5:$B$54,2,FALSE),""))</f>
        <v/>
      </c>
      <c r="E11" s="6" t="n"/>
      <c r="F11" s="6" t="n"/>
      <c r="G11" s="6" t="n"/>
      <c r="H11" s="29">
        <f>IF((F11+G11)&gt;0,G11/(F11+G11),"")</f>
        <v/>
      </c>
      <c r="I11" s="17">
        <f>IF(C11="",0,IFERROR(VLOOKUP(C11,'Recetas y precios'!$A$5:$T$54,20,FALSE),0))</f>
        <v/>
      </c>
      <c r="J11" s="17">
        <f>G11*I11</f>
        <v/>
      </c>
      <c r="K11" s="6" t="n"/>
      <c r="L11" s="6" t="n"/>
    </row>
    <row r="12">
      <c r="A12" s="32" t="n"/>
      <c r="B12" s="6" t="n"/>
      <c r="C12" s="6" t="n"/>
      <c r="D12">
        <f>IF(C12="","",IFERROR(VLOOKUP(C12,'Recetas y precios'!$A$5:$B$54,2,FALSE),""))</f>
        <v/>
      </c>
      <c r="E12" s="6" t="n"/>
      <c r="F12" s="6" t="n"/>
      <c r="G12" s="6" t="n"/>
      <c r="H12" s="29">
        <f>IF((F12+G12)&gt;0,G12/(F12+G12),"")</f>
        <v/>
      </c>
      <c r="I12" s="17">
        <f>IF(C12="",0,IFERROR(VLOOKUP(C12,'Recetas y precios'!$A$5:$T$54,20,FALSE),0))</f>
        <v/>
      </c>
      <c r="J12" s="17">
        <f>G12*I12</f>
        <v/>
      </c>
      <c r="K12" s="6" t="n"/>
      <c r="L12" s="6" t="n"/>
    </row>
    <row r="13">
      <c r="A13" s="32" t="n"/>
      <c r="B13" s="6" t="n"/>
      <c r="C13" s="6" t="n"/>
      <c r="D13">
        <f>IF(C13="","",IFERROR(VLOOKUP(C13,'Recetas y precios'!$A$5:$B$54,2,FALSE),""))</f>
        <v/>
      </c>
      <c r="E13" s="6" t="n"/>
      <c r="F13" s="6" t="n"/>
      <c r="G13" s="6" t="n"/>
      <c r="H13" s="29">
        <f>IF((F13+G13)&gt;0,G13/(F13+G13),"")</f>
        <v/>
      </c>
      <c r="I13" s="17">
        <f>IF(C13="",0,IFERROR(VLOOKUP(C13,'Recetas y precios'!$A$5:$T$54,20,FALSE),0))</f>
        <v/>
      </c>
      <c r="J13" s="17">
        <f>G13*I13</f>
        <v/>
      </c>
      <c r="K13" s="6" t="n"/>
      <c r="L13" s="6" t="n"/>
    </row>
    <row r="14">
      <c r="A14" s="32" t="n"/>
      <c r="B14" s="6" t="n"/>
      <c r="C14" s="6" t="n"/>
      <c r="D14">
        <f>IF(C14="","",IFERROR(VLOOKUP(C14,'Recetas y precios'!$A$5:$B$54,2,FALSE),""))</f>
        <v/>
      </c>
      <c r="E14" s="6" t="n"/>
      <c r="F14" s="6" t="n"/>
      <c r="G14" s="6" t="n"/>
      <c r="H14" s="29">
        <f>IF((F14+G14)&gt;0,G14/(F14+G14),"")</f>
        <v/>
      </c>
      <c r="I14" s="17">
        <f>IF(C14="",0,IFERROR(VLOOKUP(C14,'Recetas y precios'!$A$5:$T$54,20,FALSE),0))</f>
        <v/>
      </c>
      <c r="J14" s="17">
        <f>G14*I14</f>
        <v/>
      </c>
      <c r="K14" s="6" t="n"/>
      <c r="L14" s="6" t="n"/>
    </row>
    <row r="15">
      <c r="A15" s="32" t="n"/>
      <c r="B15" s="6" t="n"/>
      <c r="C15" s="6" t="n"/>
      <c r="D15">
        <f>IF(C15="","",IFERROR(VLOOKUP(C15,'Recetas y precios'!$A$5:$B$54,2,FALSE),""))</f>
        <v/>
      </c>
      <c r="E15" s="6" t="n"/>
      <c r="F15" s="6" t="n"/>
      <c r="G15" s="6" t="n"/>
      <c r="H15" s="29">
        <f>IF((F15+G15)&gt;0,G15/(F15+G15),"")</f>
        <v/>
      </c>
      <c r="I15" s="17">
        <f>IF(C15="",0,IFERROR(VLOOKUP(C15,'Recetas y precios'!$A$5:$T$54,20,FALSE),0))</f>
        <v/>
      </c>
      <c r="J15" s="17">
        <f>G15*I15</f>
        <v/>
      </c>
      <c r="K15" s="6" t="n"/>
      <c r="L15" s="6" t="n"/>
    </row>
    <row r="16">
      <c r="A16" s="32" t="n"/>
      <c r="B16" s="6" t="n"/>
      <c r="C16" s="6" t="n"/>
      <c r="D16">
        <f>IF(C16="","",IFERROR(VLOOKUP(C16,'Recetas y precios'!$A$5:$B$54,2,FALSE),""))</f>
        <v/>
      </c>
      <c r="E16" s="6" t="n"/>
      <c r="F16" s="6" t="n"/>
      <c r="G16" s="6" t="n"/>
      <c r="H16" s="29">
        <f>IF((F16+G16)&gt;0,G16/(F16+G16),"")</f>
        <v/>
      </c>
      <c r="I16" s="17">
        <f>IF(C16="",0,IFERROR(VLOOKUP(C16,'Recetas y precios'!$A$5:$T$54,20,FALSE),0))</f>
        <v/>
      </c>
      <c r="J16" s="17">
        <f>G16*I16</f>
        <v/>
      </c>
      <c r="K16" s="6" t="n"/>
      <c r="L16" s="6" t="n"/>
    </row>
    <row r="17">
      <c r="A17" s="32" t="n"/>
      <c r="B17" s="6" t="n"/>
      <c r="C17" s="6" t="n"/>
      <c r="D17">
        <f>IF(C17="","",IFERROR(VLOOKUP(C17,'Recetas y precios'!$A$5:$B$54,2,FALSE),""))</f>
        <v/>
      </c>
      <c r="E17" s="6" t="n"/>
      <c r="F17" s="6" t="n"/>
      <c r="G17" s="6" t="n"/>
      <c r="H17" s="29">
        <f>IF((F17+G17)&gt;0,G17/(F17+G17),"")</f>
        <v/>
      </c>
      <c r="I17" s="17">
        <f>IF(C17="",0,IFERROR(VLOOKUP(C17,'Recetas y precios'!$A$5:$T$54,20,FALSE),0))</f>
        <v/>
      </c>
      <c r="J17" s="17">
        <f>G17*I17</f>
        <v/>
      </c>
      <c r="K17" s="6" t="n"/>
      <c r="L17" s="6" t="n"/>
    </row>
    <row r="18">
      <c r="A18" s="32" t="n"/>
      <c r="B18" s="6" t="n"/>
      <c r="C18" s="6" t="n"/>
      <c r="D18">
        <f>IF(C18="","",IFERROR(VLOOKUP(C18,'Recetas y precios'!$A$5:$B$54,2,FALSE),""))</f>
        <v/>
      </c>
      <c r="E18" s="6" t="n"/>
      <c r="F18" s="6" t="n"/>
      <c r="G18" s="6" t="n"/>
      <c r="H18" s="29">
        <f>IF((F18+G18)&gt;0,G18/(F18+G18),"")</f>
        <v/>
      </c>
      <c r="I18" s="17">
        <f>IF(C18="",0,IFERROR(VLOOKUP(C18,'Recetas y precios'!$A$5:$T$54,20,FALSE),0))</f>
        <v/>
      </c>
      <c r="J18" s="17">
        <f>G18*I18</f>
        <v/>
      </c>
      <c r="K18" s="6" t="n"/>
      <c r="L18" s="6" t="n"/>
    </row>
    <row r="19">
      <c r="A19" s="32" t="n"/>
      <c r="B19" s="6" t="n"/>
      <c r="C19" s="6" t="n"/>
      <c r="D19">
        <f>IF(C19="","",IFERROR(VLOOKUP(C19,'Recetas y precios'!$A$5:$B$54,2,FALSE),""))</f>
        <v/>
      </c>
      <c r="E19" s="6" t="n"/>
      <c r="F19" s="6" t="n"/>
      <c r="G19" s="6" t="n"/>
      <c r="H19" s="29">
        <f>IF((F19+G19)&gt;0,G19/(F19+G19),"")</f>
        <v/>
      </c>
      <c r="I19" s="17">
        <f>IF(C19="",0,IFERROR(VLOOKUP(C19,'Recetas y precios'!$A$5:$T$54,20,FALSE),0))</f>
        <v/>
      </c>
      <c r="J19" s="17">
        <f>G19*I19</f>
        <v/>
      </c>
      <c r="K19" s="6" t="n"/>
      <c r="L19" s="6" t="n"/>
    </row>
    <row r="20">
      <c r="A20" s="32" t="n"/>
      <c r="B20" s="6" t="n"/>
      <c r="C20" s="6" t="n"/>
      <c r="D20">
        <f>IF(C20="","",IFERROR(VLOOKUP(C20,'Recetas y precios'!$A$5:$B$54,2,FALSE),""))</f>
        <v/>
      </c>
      <c r="E20" s="6" t="n"/>
      <c r="F20" s="6" t="n"/>
      <c r="G20" s="6" t="n"/>
      <c r="H20" s="29">
        <f>IF((F20+G20)&gt;0,G20/(F20+G20),"")</f>
        <v/>
      </c>
      <c r="I20" s="17">
        <f>IF(C20="",0,IFERROR(VLOOKUP(C20,'Recetas y precios'!$A$5:$T$54,20,FALSE),0))</f>
        <v/>
      </c>
      <c r="J20" s="17">
        <f>G20*I20</f>
        <v/>
      </c>
      <c r="K20" s="6" t="n"/>
      <c r="L20" s="6" t="n"/>
    </row>
    <row r="21">
      <c r="A21" s="32" t="n"/>
      <c r="B21" s="6" t="n"/>
      <c r="C21" s="6" t="n"/>
      <c r="D21">
        <f>IF(C21="","",IFERROR(VLOOKUP(C21,'Recetas y precios'!$A$5:$B$54,2,FALSE),""))</f>
        <v/>
      </c>
      <c r="E21" s="6" t="n"/>
      <c r="F21" s="6" t="n"/>
      <c r="G21" s="6" t="n"/>
      <c r="H21" s="29">
        <f>IF((F21+G21)&gt;0,G21/(F21+G21),"")</f>
        <v/>
      </c>
      <c r="I21" s="17">
        <f>IF(C21="",0,IFERROR(VLOOKUP(C21,'Recetas y precios'!$A$5:$T$54,20,FALSE),0))</f>
        <v/>
      </c>
      <c r="J21" s="17">
        <f>G21*I21</f>
        <v/>
      </c>
      <c r="K21" s="6" t="n"/>
      <c r="L21" s="6" t="n"/>
    </row>
    <row r="22">
      <c r="A22" s="32" t="n"/>
      <c r="B22" s="6" t="n"/>
      <c r="C22" s="6" t="n"/>
      <c r="D22">
        <f>IF(C22="","",IFERROR(VLOOKUP(C22,'Recetas y precios'!$A$5:$B$54,2,FALSE),""))</f>
        <v/>
      </c>
      <c r="E22" s="6" t="n"/>
      <c r="F22" s="6" t="n"/>
      <c r="G22" s="6" t="n"/>
      <c r="H22" s="29">
        <f>IF((F22+G22)&gt;0,G22/(F22+G22),"")</f>
        <v/>
      </c>
      <c r="I22" s="17">
        <f>IF(C22="",0,IFERROR(VLOOKUP(C22,'Recetas y precios'!$A$5:$T$54,20,FALSE),0))</f>
        <v/>
      </c>
      <c r="J22" s="17">
        <f>G22*I22</f>
        <v/>
      </c>
      <c r="K22" s="6" t="n"/>
      <c r="L22" s="6" t="n"/>
    </row>
    <row r="23">
      <c r="A23" s="32" t="n"/>
      <c r="B23" s="6" t="n"/>
      <c r="C23" s="6" t="n"/>
      <c r="D23">
        <f>IF(C23="","",IFERROR(VLOOKUP(C23,'Recetas y precios'!$A$5:$B$54,2,FALSE),""))</f>
        <v/>
      </c>
      <c r="E23" s="6" t="n"/>
      <c r="F23" s="6" t="n"/>
      <c r="G23" s="6" t="n"/>
      <c r="H23" s="29">
        <f>IF((F23+G23)&gt;0,G23/(F23+G23),"")</f>
        <v/>
      </c>
      <c r="I23" s="17">
        <f>IF(C23="",0,IFERROR(VLOOKUP(C23,'Recetas y precios'!$A$5:$T$54,20,FALSE),0))</f>
        <v/>
      </c>
      <c r="J23" s="17">
        <f>G23*I23</f>
        <v/>
      </c>
      <c r="K23" s="6" t="n"/>
      <c r="L23" s="6" t="n"/>
    </row>
    <row r="24">
      <c r="A24" s="32" t="n"/>
      <c r="B24" s="6" t="n"/>
      <c r="C24" s="6" t="n"/>
      <c r="D24">
        <f>IF(C24="","",IFERROR(VLOOKUP(C24,'Recetas y precios'!$A$5:$B$54,2,FALSE),""))</f>
        <v/>
      </c>
      <c r="E24" s="6" t="n"/>
      <c r="F24" s="6" t="n"/>
      <c r="G24" s="6" t="n"/>
      <c r="H24" s="29">
        <f>IF((F24+G24)&gt;0,G24/(F24+G24),"")</f>
        <v/>
      </c>
      <c r="I24" s="17">
        <f>IF(C24="",0,IFERROR(VLOOKUP(C24,'Recetas y precios'!$A$5:$T$54,20,FALSE),0))</f>
        <v/>
      </c>
      <c r="J24" s="17">
        <f>G24*I24</f>
        <v/>
      </c>
      <c r="K24" s="6" t="n"/>
      <c r="L24" s="6" t="n"/>
    </row>
    <row r="25">
      <c r="A25" s="32" t="n"/>
      <c r="B25" s="6" t="n"/>
      <c r="C25" s="6" t="n"/>
      <c r="D25">
        <f>IF(C25="","",IFERROR(VLOOKUP(C25,'Recetas y precios'!$A$5:$B$54,2,FALSE),""))</f>
        <v/>
      </c>
      <c r="E25" s="6" t="n"/>
      <c r="F25" s="6" t="n"/>
      <c r="G25" s="6" t="n"/>
      <c r="H25" s="29">
        <f>IF((F25+G25)&gt;0,G25/(F25+G25),"")</f>
        <v/>
      </c>
      <c r="I25" s="17">
        <f>IF(C25="",0,IFERROR(VLOOKUP(C25,'Recetas y precios'!$A$5:$T$54,20,FALSE),0))</f>
        <v/>
      </c>
      <c r="J25" s="17">
        <f>G25*I25</f>
        <v/>
      </c>
      <c r="K25" s="6" t="n"/>
      <c r="L25" s="6" t="n"/>
    </row>
    <row r="26">
      <c r="A26" s="32" t="n"/>
      <c r="B26" s="6" t="n"/>
      <c r="C26" s="6" t="n"/>
      <c r="D26">
        <f>IF(C26="","",IFERROR(VLOOKUP(C26,'Recetas y precios'!$A$5:$B$54,2,FALSE),""))</f>
        <v/>
      </c>
      <c r="E26" s="6" t="n"/>
      <c r="F26" s="6" t="n"/>
      <c r="G26" s="6" t="n"/>
      <c r="H26" s="29">
        <f>IF((F26+G26)&gt;0,G26/(F26+G26),"")</f>
        <v/>
      </c>
      <c r="I26" s="17">
        <f>IF(C26="",0,IFERROR(VLOOKUP(C26,'Recetas y precios'!$A$5:$T$54,20,FALSE),0))</f>
        <v/>
      </c>
      <c r="J26" s="17">
        <f>G26*I26</f>
        <v/>
      </c>
      <c r="K26" s="6" t="n"/>
      <c r="L26" s="6" t="n"/>
    </row>
    <row r="27">
      <c r="A27" s="32" t="n"/>
      <c r="B27" s="6" t="n"/>
      <c r="C27" s="6" t="n"/>
      <c r="D27">
        <f>IF(C27="","",IFERROR(VLOOKUP(C27,'Recetas y precios'!$A$5:$B$54,2,FALSE),""))</f>
        <v/>
      </c>
      <c r="E27" s="6" t="n"/>
      <c r="F27" s="6" t="n"/>
      <c r="G27" s="6" t="n"/>
      <c r="H27" s="29">
        <f>IF((F27+G27)&gt;0,G27/(F27+G27),"")</f>
        <v/>
      </c>
      <c r="I27" s="17">
        <f>IF(C27="",0,IFERROR(VLOOKUP(C27,'Recetas y precios'!$A$5:$T$54,20,FALSE),0))</f>
        <v/>
      </c>
      <c r="J27" s="17">
        <f>G27*I27</f>
        <v/>
      </c>
      <c r="K27" s="6" t="n"/>
      <c r="L27" s="6" t="n"/>
    </row>
    <row r="28">
      <c r="A28" s="32" t="n"/>
      <c r="B28" s="6" t="n"/>
      <c r="C28" s="6" t="n"/>
      <c r="D28">
        <f>IF(C28="","",IFERROR(VLOOKUP(C28,'Recetas y precios'!$A$5:$B$54,2,FALSE),""))</f>
        <v/>
      </c>
      <c r="E28" s="6" t="n"/>
      <c r="F28" s="6" t="n"/>
      <c r="G28" s="6" t="n"/>
      <c r="H28" s="29">
        <f>IF((F28+G28)&gt;0,G28/(F28+G28),"")</f>
        <v/>
      </c>
      <c r="I28" s="17">
        <f>IF(C28="",0,IFERROR(VLOOKUP(C28,'Recetas y precios'!$A$5:$T$54,20,FALSE),0))</f>
        <v/>
      </c>
      <c r="J28" s="17">
        <f>G28*I28</f>
        <v/>
      </c>
      <c r="K28" s="6" t="n"/>
      <c r="L28" s="6" t="n"/>
    </row>
    <row r="29">
      <c r="A29" s="32" t="n"/>
      <c r="B29" s="6" t="n"/>
      <c r="C29" s="6" t="n"/>
      <c r="D29">
        <f>IF(C29="","",IFERROR(VLOOKUP(C29,'Recetas y precios'!$A$5:$B$54,2,FALSE),""))</f>
        <v/>
      </c>
      <c r="E29" s="6" t="n"/>
      <c r="F29" s="6" t="n"/>
      <c r="G29" s="6" t="n"/>
      <c r="H29" s="29">
        <f>IF((F29+G29)&gt;0,G29/(F29+G29),"")</f>
        <v/>
      </c>
      <c r="I29" s="17">
        <f>IF(C29="",0,IFERROR(VLOOKUP(C29,'Recetas y precios'!$A$5:$T$54,20,FALSE),0))</f>
        <v/>
      </c>
      <c r="J29" s="17">
        <f>G29*I29</f>
        <v/>
      </c>
      <c r="K29" s="6" t="n"/>
      <c r="L29" s="6" t="n"/>
    </row>
    <row r="30">
      <c r="A30" s="32" t="n"/>
      <c r="B30" s="6" t="n"/>
      <c r="C30" s="6" t="n"/>
      <c r="D30">
        <f>IF(C30="","",IFERROR(VLOOKUP(C30,'Recetas y precios'!$A$5:$B$54,2,FALSE),""))</f>
        <v/>
      </c>
      <c r="E30" s="6" t="n"/>
      <c r="F30" s="6" t="n"/>
      <c r="G30" s="6" t="n"/>
      <c r="H30" s="29">
        <f>IF((F30+G30)&gt;0,G30/(F30+G30),"")</f>
        <v/>
      </c>
      <c r="I30" s="17">
        <f>IF(C30="",0,IFERROR(VLOOKUP(C30,'Recetas y precios'!$A$5:$T$54,20,FALSE),0))</f>
        <v/>
      </c>
      <c r="J30" s="17">
        <f>G30*I30</f>
        <v/>
      </c>
      <c r="K30" s="6" t="n"/>
      <c r="L30" s="6" t="n"/>
    </row>
    <row r="31">
      <c r="A31" s="32" t="n"/>
      <c r="B31" s="6" t="n"/>
      <c r="C31" s="6" t="n"/>
      <c r="D31">
        <f>IF(C31="","",IFERROR(VLOOKUP(C31,'Recetas y precios'!$A$5:$B$54,2,FALSE),""))</f>
        <v/>
      </c>
      <c r="E31" s="6" t="n"/>
      <c r="F31" s="6" t="n"/>
      <c r="G31" s="6" t="n"/>
      <c r="H31" s="29">
        <f>IF((F31+G31)&gt;0,G31/(F31+G31),"")</f>
        <v/>
      </c>
      <c r="I31" s="17">
        <f>IF(C31="",0,IFERROR(VLOOKUP(C31,'Recetas y precios'!$A$5:$T$54,20,FALSE),0))</f>
        <v/>
      </c>
      <c r="J31" s="17">
        <f>G31*I31</f>
        <v/>
      </c>
      <c r="K31" s="6" t="n"/>
      <c r="L31" s="6" t="n"/>
    </row>
    <row r="32">
      <c r="A32" s="32" t="n"/>
      <c r="B32" s="6" t="n"/>
      <c r="C32" s="6" t="n"/>
      <c r="D32">
        <f>IF(C32="","",IFERROR(VLOOKUP(C32,'Recetas y precios'!$A$5:$B$54,2,FALSE),""))</f>
        <v/>
      </c>
      <c r="E32" s="6" t="n"/>
      <c r="F32" s="6" t="n"/>
      <c r="G32" s="6" t="n"/>
      <c r="H32" s="29">
        <f>IF((F32+G32)&gt;0,G32/(F32+G32),"")</f>
        <v/>
      </c>
      <c r="I32" s="17">
        <f>IF(C32="",0,IFERROR(VLOOKUP(C32,'Recetas y precios'!$A$5:$T$54,20,FALSE),0))</f>
        <v/>
      </c>
      <c r="J32" s="17">
        <f>G32*I32</f>
        <v/>
      </c>
      <c r="K32" s="6" t="n"/>
      <c r="L32" s="6" t="n"/>
    </row>
    <row r="33">
      <c r="A33" s="32" t="n"/>
      <c r="B33" s="6" t="n"/>
      <c r="C33" s="6" t="n"/>
      <c r="D33">
        <f>IF(C33="","",IFERROR(VLOOKUP(C33,'Recetas y precios'!$A$5:$B$54,2,FALSE),""))</f>
        <v/>
      </c>
      <c r="E33" s="6" t="n"/>
      <c r="F33" s="6" t="n"/>
      <c r="G33" s="6" t="n"/>
      <c r="H33" s="29">
        <f>IF((F33+G33)&gt;0,G33/(F33+G33),"")</f>
        <v/>
      </c>
      <c r="I33" s="17">
        <f>IF(C33="",0,IFERROR(VLOOKUP(C33,'Recetas y precios'!$A$5:$T$54,20,FALSE),0))</f>
        <v/>
      </c>
      <c r="J33" s="17">
        <f>G33*I33</f>
        <v/>
      </c>
      <c r="K33" s="6" t="n"/>
      <c r="L33" s="6" t="n"/>
    </row>
    <row r="34">
      <c r="A34" s="32" t="n"/>
      <c r="B34" s="6" t="n"/>
      <c r="C34" s="6" t="n"/>
      <c r="D34">
        <f>IF(C34="","",IFERROR(VLOOKUP(C34,'Recetas y precios'!$A$5:$B$54,2,FALSE),""))</f>
        <v/>
      </c>
      <c r="E34" s="6" t="n"/>
      <c r="F34" s="6" t="n"/>
      <c r="G34" s="6" t="n"/>
      <c r="H34" s="29">
        <f>IF((F34+G34)&gt;0,G34/(F34+G34),"")</f>
        <v/>
      </c>
      <c r="I34" s="17">
        <f>IF(C34="",0,IFERROR(VLOOKUP(C34,'Recetas y precios'!$A$5:$T$54,20,FALSE),0))</f>
        <v/>
      </c>
      <c r="J34" s="17">
        <f>G34*I34</f>
        <v/>
      </c>
      <c r="K34" s="6" t="n"/>
      <c r="L34" s="6" t="n"/>
    </row>
    <row r="35">
      <c r="A35" s="32" t="n"/>
      <c r="B35" s="6" t="n"/>
      <c r="C35" s="6" t="n"/>
      <c r="D35">
        <f>IF(C35="","",IFERROR(VLOOKUP(C35,'Recetas y precios'!$A$5:$B$54,2,FALSE),""))</f>
        <v/>
      </c>
      <c r="E35" s="6" t="n"/>
      <c r="F35" s="6" t="n"/>
      <c r="G35" s="6" t="n"/>
      <c r="H35" s="29">
        <f>IF((F35+G35)&gt;0,G35/(F35+G35),"")</f>
        <v/>
      </c>
      <c r="I35" s="17">
        <f>IF(C35="",0,IFERROR(VLOOKUP(C35,'Recetas y precios'!$A$5:$T$54,20,FALSE),0))</f>
        <v/>
      </c>
      <c r="J35" s="17">
        <f>G35*I35</f>
        <v/>
      </c>
      <c r="K35" s="6" t="n"/>
      <c r="L35" s="6" t="n"/>
    </row>
    <row r="36">
      <c r="A36" s="32" t="n"/>
      <c r="B36" s="6" t="n"/>
      <c r="C36" s="6" t="n"/>
      <c r="D36">
        <f>IF(C36="","",IFERROR(VLOOKUP(C36,'Recetas y precios'!$A$5:$B$54,2,FALSE),""))</f>
        <v/>
      </c>
      <c r="E36" s="6" t="n"/>
      <c r="F36" s="6" t="n"/>
      <c r="G36" s="6" t="n"/>
      <c r="H36" s="29">
        <f>IF((F36+G36)&gt;0,G36/(F36+G36),"")</f>
        <v/>
      </c>
      <c r="I36" s="17">
        <f>IF(C36="",0,IFERROR(VLOOKUP(C36,'Recetas y precios'!$A$5:$T$54,20,FALSE),0))</f>
        <v/>
      </c>
      <c r="J36" s="17">
        <f>G36*I36</f>
        <v/>
      </c>
      <c r="K36" s="6" t="n"/>
      <c r="L36" s="6" t="n"/>
    </row>
    <row r="37">
      <c r="A37" s="32" t="n"/>
      <c r="B37" s="6" t="n"/>
      <c r="C37" s="6" t="n"/>
      <c r="D37">
        <f>IF(C37="","",IFERROR(VLOOKUP(C37,'Recetas y precios'!$A$5:$B$54,2,FALSE),""))</f>
        <v/>
      </c>
      <c r="E37" s="6" t="n"/>
      <c r="F37" s="6" t="n"/>
      <c r="G37" s="6" t="n"/>
      <c r="H37" s="29">
        <f>IF((F37+G37)&gt;0,G37/(F37+G37),"")</f>
        <v/>
      </c>
      <c r="I37" s="17">
        <f>IF(C37="",0,IFERROR(VLOOKUP(C37,'Recetas y precios'!$A$5:$T$54,20,FALSE),0))</f>
        <v/>
      </c>
      <c r="J37" s="17">
        <f>G37*I37</f>
        <v/>
      </c>
      <c r="K37" s="6" t="n"/>
      <c r="L37" s="6" t="n"/>
    </row>
    <row r="38">
      <c r="A38" s="32" t="n"/>
      <c r="B38" s="6" t="n"/>
      <c r="C38" s="6" t="n"/>
      <c r="D38">
        <f>IF(C38="","",IFERROR(VLOOKUP(C38,'Recetas y precios'!$A$5:$B$54,2,FALSE),""))</f>
        <v/>
      </c>
      <c r="E38" s="6" t="n"/>
      <c r="F38" s="6" t="n"/>
      <c r="G38" s="6" t="n"/>
      <c r="H38" s="29">
        <f>IF((F38+G38)&gt;0,G38/(F38+G38),"")</f>
        <v/>
      </c>
      <c r="I38" s="17">
        <f>IF(C38="",0,IFERROR(VLOOKUP(C38,'Recetas y precios'!$A$5:$T$54,20,FALSE),0))</f>
        <v/>
      </c>
      <c r="J38" s="17">
        <f>G38*I38</f>
        <v/>
      </c>
      <c r="K38" s="6" t="n"/>
      <c r="L38" s="6" t="n"/>
    </row>
    <row r="39">
      <c r="A39" s="32" t="n"/>
      <c r="B39" s="6" t="n"/>
      <c r="C39" s="6" t="n"/>
      <c r="D39">
        <f>IF(C39="","",IFERROR(VLOOKUP(C39,'Recetas y precios'!$A$5:$B$54,2,FALSE),""))</f>
        <v/>
      </c>
      <c r="E39" s="6" t="n"/>
      <c r="F39" s="6" t="n"/>
      <c r="G39" s="6" t="n"/>
      <c r="H39" s="29">
        <f>IF((F39+G39)&gt;0,G39/(F39+G39),"")</f>
        <v/>
      </c>
      <c r="I39" s="17">
        <f>IF(C39="",0,IFERROR(VLOOKUP(C39,'Recetas y precios'!$A$5:$T$54,20,FALSE),0))</f>
        <v/>
      </c>
      <c r="J39" s="17">
        <f>G39*I39</f>
        <v/>
      </c>
      <c r="K39" s="6" t="n"/>
      <c r="L39" s="6" t="n"/>
    </row>
    <row r="40">
      <c r="A40" s="32" t="n"/>
      <c r="B40" s="6" t="n"/>
      <c r="C40" s="6" t="n"/>
      <c r="D40">
        <f>IF(C40="","",IFERROR(VLOOKUP(C40,'Recetas y precios'!$A$5:$B$54,2,FALSE),""))</f>
        <v/>
      </c>
      <c r="E40" s="6" t="n"/>
      <c r="F40" s="6" t="n"/>
      <c r="G40" s="6" t="n"/>
      <c r="H40" s="29">
        <f>IF((F40+G40)&gt;0,G40/(F40+G40),"")</f>
        <v/>
      </c>
      <c r="I40" s="17">
        <f>IF(C40="",0,IFERROR(VLOOKUP(C40,'Recetas y precios'!$A$5:$T$54,20,FALSE),0))</f>
        <v/>
      </c>
      <c r="J40" s="17">
        <f>G40*I40</f>
        <v/>
      </c>
      <c r="K40" s="6" t="n"/>
      <c r="L40" s="6" t="n"/>
    </row>
    <row r="41">
      <c r="A41" s="32" t="n"/>
      <c r="B41" s="6" t="n"/>
      <c r="C41" s="6" t="n"/>
      <c r="D41">
        <f>IF(C41="","",IFERROR(VLOOKUP(C41,'Recetas y precios'!$A$5:$B$54,2,FALSE),""))</f>
        <v/>
      </c>
      <c r="E41" s="6" t="n"/>
      <c r="F41" s="6" t="n"/>
      <c r="G41" s="6" t="n"/>
      <c r="H41" s="29">
        <f>IF((F41+G41)&gt;0,G41/(F41+G41),"")</f>
        <v/>
      </c>
      <c r="I41" s="17">
        <f>IF(C41="",0,IFERROR(VLOOKUP(C41,'Recetas y precios'!$A$5:$T$54,20,FALSE),0))</f>
        <v/>
      </c>
      <c r="J41" s="17">
        <f>G41*I41</f>
        <v/>
      </c>
      <c r="K41" s="6" t="n"/>
      <c r="L41" s="6" t="n"/>
    </row>
    <row r="42">
      <c r="A42" s="32" t="n"/>
      <c r="B42" s="6" t="n"/>
      <c r="C42" s="6" t="n"/>
      <c r="D42">
        <f>IF(C42="","",IFERROR(VLOOKUP(C42,'Recetas y precios'!$A$5:$B$54,2,FALSE),""))</f>
        <v/>
      </c>
      <c r="E42" s="6" t="n"/>
      <c r="F42" s="6" t="n"/>
      <c r="G42" s="6" t="n"/>
      <c r="H42" s="29">
        <f>IF((F42+G42)&gt;0,G42/(F42+G42),"")</f>
        <v/>
      </c>
      <c r="I42" s="17">
        <f>IF(C42="",0,IFERROR(VLOOKUP(C42,'Recetas y precios'!$A$5:$T$54,20,FALSE),0))</f>
        <v/>
      </c>
      <c r="J42" s="17">
        <f>G42*I42</f>
        <v/>
      </c>
      <c r="K42" s="6" t="n"/>
      <c r="L42" s="6" t="n"/>
    </row>
    <row r="43">
      <c r="A43" s="32" t="n"/>
      <c r="B43" s="6" t="n"/>
      <c r="C43" s="6" t="n"/>
      <c r="D43">
        <f>IF(C43="","",IFERROR(VLOOKUP(C43,'Recetas y precios'!$A$5:$B$54,2,FALSE),""))</f>
        <v/>
      </c>
      <c r="E43" s="6" t="n"/>
      <c r="F43" s="6" t="n"/>
      <c r="G43" s="6" t="n"/>
      <c r="H43" s="29">
        <f>IF((F43+G43)&gt;0,G43/(F43+G43),"")</f>
        <v/>
      </c>
      <c r="I43" s="17">
        <f>IF(C43="",0,IFERROR(VLOOKUP(C43,'Recetas y precios'!$A$5:$T$54,20,FALSE),0))</f>
        <v/>
      </c>
      <c r="J43" s="17">
        <f>G43*I43</f>
        <v/>
      </c>
      <c r="K43" s="6" t="n"/>
      <c r="L43" s="6" t="n"/>
    </row>
    <row r="44">
      <c r="A44" s="32" t="n"/>
      <c r="B44" s="6" t="n"/>
      <c r="C44" s="6" t="n"/>
      <c r="D44">
        <f>IF(C44="","",IFERROR(VLOOKUP(C44,'Recetas y precios'!$A$5:$B$54,2,FALSE),""))</f>
        <v/>
      </c>
      <c r="E44" s="6" t="n"/>
      <c r="F44" s="6" t="n"/>
      <c r="G44" s="6" t="n"/>
      <c r="H44" s="29">
        <f>IF((F44+G44)&gt;0,G44/(F44+G44),"")</f>
        <v/>
      </c>
      <c r="I44" s="17">
        <f>IF(C44="",0,IFERROR(VLOOKUP(C44,'Recetas y precios'!$A$5:$T$54,20,FALSE),0))</f>
        <v/>
      </c>
      <c r="J44" s="17">
        <f>G44*I44</f>
        <v/>
      </c>
      <c r="K44" s="6" t="n"/>
      <c r="L44" s="6" t="n"/>
    </row>
    <row r="45">
      <c r="A45" s="32" t="n"/>
      <c r="B45" s="6" t="n"/>
      <c r="C45" s="6" t="n"/>
      <c r="D45">
        <f>IF(C45="","",IFERROR(VLOOKUP(C45,'Recetas y precios'!$A$5:$B$54,2,FALSE),""))</f>
        <v/>
      </c>
      <c r="E45" s="6" t="n"/>
      <c r="F45" s="6" t="n"/>
      <c r="G45" s="6" t="n"/>
      <c r="H45" s="29">
        <f>IF((F45+G45)&gt;0,G45/(F45+G45),"")</f>
        <v/>
      </c>
      <c r="I45" s="17">
        <f>IF(C45="",0,IFERROR(VLOOKUP(C45,'Recetas y precios'!$A$5:$T$54,20,FALSE),0))</f>
        <v/>
      </c>
      <c r="J45" s="17">
        <f>G45*I45</f>
        <v/>
      </c>
      <c r="K45" s="6" t="n"/>
      <c r="L45" s="6" t="n"/>
    </row>
    <row r="46">
      <c r="A46" s="32" t="n"/>
      <c r="B46" s="6" t="n"/>
      <c r="C46" s="6" t="n"/>
      <c r="D46">
        <f>IF(C46="","",IFERROR(VLOOKUP(C46,'Recetas y precios'!$A$5:$B$54,2,FALSE),""))</f>
        <v/>
      </c>
      <c r="E46" s="6" t="n"/>
      <c r="F46" s="6" t="n"/>
      <c r="G46" s="6" t="n"/>
      <c r="H46" s="29">
        <f>IF((F46+G46)&gt;0,G46/(F46+G46),"")</f>
        <v/>
      </c>
      <c r="I46" s="17">
        <f>IF(C46="",0,IFERROR(VLOOKUP(C46,'Recetas y precios'!$A$5:$T$54,20,FALSE),0))</f>
        <v/>
      </c>
      <c r="J46" s="17">
        <f>G46*I46</f>
        <v/>
      </c>
      <c r="K46" s="6" t="n"/>
      <c r="L46" s="6" t="n"/>
    </row>
    <row r="47">
      <c r="A47" s="32" t="n"/>
      <c r="B47" s="6" t="n"/>
      <c r="C47" s="6" t="n"/>
      <c r="D47">
        <f>IF(C47="","",IFERROR(VLOOKUP(C47,'Recetas y precios'!$A$5:$B$54,2,FALSE),""))</f>
        <v/>
      </c>
      <c r="E47" s="6" t="n"/>
      <c r="F47" s="6" t="n"/>
      <c r="G47" s="6" t="n"/>
      <c r="H47" s="29">
        <f>IF((F47+G47)&gt;0,G47/(F47+G47),"")</f>
        <v/>
      </c>
      <c r="I47" s="17">
        <f>IF(C47="",0,IFERROR(VLOOKUP(C47,'Recetas y precios'!$A$5:$T$54,20,FALSE),0))</f>
        <v/>
      </c>
      <c r="J47" s="17">
        <f>G47*I47</f>
        <v/>
      </c>
      <c r="K47" s="6" t="n"/>
      <c r="L47" s="6" t="n"/>
    </row>
    <row r="48">
      <c r="A48" s="32" t="n"/>
      <c r="B48" s="6" t="n"/>
      <c r="C48" s="6" t="n"/>
      <c r="D48">
        <f>IF(C48="","",IFERROR(VLOOKUP(C48,'Recetas y precios'!$A$5:$B$54,2,FALSE),""))</f>
        <v/>
      </c>
      <c r="E48" s="6" t="n"/>
      <c r="F48" s="6" t="n"/>
      <c r="G48" s="6" t="n"/>
      <c r="H48" s="29">
        <f>IF((F48+G48)&gt;0,G48/(F48+G48),"")</f>
        <v/>
      </c>
      <c r="I48" s="17">
        <f>IF(C48="",0,IFERROR(VLOOKUP(C48,'Recetas y precios'!$A$5:$T$54,20,FALSE),0))</f>
        <v/>
      </c>
      <c r="J48" s="17">
        <f>G48*I48</f>
        <v/>
      </c>
      <c r="K48" s="6" t="n"/>
      <c r="L48" s="6" t="n"/>
    </row>
    <row r="49">
      <c r="A49" s="32" t="n"/>
      <c r="B49" s="6" t="n"/>
      <c r="C49" s="6" t="n"/>
      <c r="D49">
        <f>IF(C49="","",IFERROR(VLOOKUP(C49,'Recetas y precios'!$A$5:$B$54,2,FALSE),""))</f>
        <v/>
      </c>
      <c r="E49" s="6" t="n"/>
      <c r="F49" s="6" t="n"/>
      <c r="G49" s="6" t="n"/>
      <c r="H49" s="29">
        <f>IF((F49+G49)&gt;0,G49/(F49+G49),"")</f>
        <v/>
      </c>
      <c r="I49" s="17">
        <f>IF(C49="",0,IFERROR(VLOOKUP(C49,'Recetas y precios'!$A$5:$T$54,20,FALSE),0))</f>
        <v/>
      </c>
      <c r="J49" s="17">
        <f>G49*I49</f>
        <v/>
      </c>
      <c r="K49" s="6" t="n"/>
      <c r="L49" s="6" t="n"/>
    </row>
    <row r="50">
      <c r="A50" s="32" t="n"/>
      <c r="B50" s="6" t="n"/>
      <c r="C50" s="6" t="n"/>
      <c r="D50">
        <f>IF(C50="","",IFERROR(VLOOKUP(C50,'Recetas y precios'!$A$5:$B$54,2,FALSE),""))</f>
        <v/>
      </c>
      <c r="E50" s="6" t="n"/>
      <c r="F50" s="6" t="n"/>
      <c r="G50" s="6" t="n"/>
      <c r="H50" s="29">
        <f>IF((F50+G50)&gt;0,G50/(F50+G50),"")</f>
        <v/>
      </c>
      <c r="I50" s="17">
        <f>IF(C50="",0,IFERROR(VLOOKUP(C50,'Recetas y precios'!$A$5:$T$54,20,FALSE),0))</f>
        <v/>
      </c>
      <c r="J50" s="17">
        <f>G50*I50</f>
        <v/>
      </c>
      <c r="K50" s="6" t="n"/>
      <c r="L50" s="6" t="n"/>
    </row>
    <row r="51">
      <c r="A51" s="32" t="n"/>
      <c r="B51" s="6" t="n"/>
      <c r="C51" s="6" t="n"/>
      <c r="D51">
        <f>IF(C51="","",IFERROR(VLOOKUP(C51,'Recetas y precios'!$A$5:$B$54,2,FALSE),""))</f>
        <v/>
      </c>
      <c r="E51" s="6" t="n"/>
      <c r="F51" s="6" t="n"/>
      <c r="G51" s="6" t="n"/>
      <c r="H51" s="29">
        <f>IF((F51+G51)&gt;0,G51/(F51+G51),"")</f>
        <v/>
      </c>
      <c r="I51" s="17">
        <f>IF(C51="",0,IFERROR(VLOOKUP(C51,'Recetas y precios'!$A$5:$T$54,20,FALSE),0))</f>
        <v/>
      </c>
      <c r="J51" s="17">
        <f>G51*I51</f>
        <v/>
      </c>
      <c r="K51" s="6" t="n"/>
      <c r="L51" s="6" t="n"/>
    </row>
    <row r="52">
      <c r="A52" s="32" t="n"/>
      <c r="B52" s="6" t="n"/>
      <c r="C52" s="6" t="n"/>
      <c r="D52">
        <f>IF(C52="","",IFERROR(VLOOKUP(C52,'Recetas y precios'!$A$5:$B$54,2,FALSE),""))</f>
        <v/>
      </c>
      <c r="E52" s="6" t="n"/>
      <c r="F52" s="6" t="n"/>
      <c r="G52" s="6" t="n"/>
      <c r="H52" s="29">
        <f>IF((F52+G52)&gt;0,G52/(F52+G52),"")</f>
        <v/>
      </c>
      <c r="I52" s="17">
        <f>IF(C52="",0,IFERROR(VLOOKUP(C52,'Recetas y precios'!$A$5:$T$54,20,FALSE),0))</f>
        <v/>
      </c>
      <c r="J52" s="17">
        <f>G52*I52</f>
        <v/>
      </c>
      <c r="K52" s="6" t="n"/>
      <c r="L52" s="6" t="n"/>
    </row>
    <row r="53">
      <c r="A53" s="32" t="n"/>
      <c r="B53" s="6" t="n"/>
      <c r="C53" s="6" t="n"/>
      <c r="D53">
        <f>IF(C53="","",IFERROR(VLOOKUP(C53,'Recetas y precios'!$A$5:$B$54,2,FALSE),""))</f>
        <v/>
      </c>
      <c r="E53" s="6" t="n"/>
      <c r="F53" s="6" t="n"/>
      <c r="G53" s="6" t="n"/>
      <c r="H53" s="29">
        <f>IF((F53+G53)&gt;0,G53/(F53+G53),"")</f>
        <v/>
      </c>
      <c r="I53" s="17">
        <f>IF(C53="",0,IFERROR(VLOOKUP(C53,'Recetas y precios'!$A$5:$T$54,20,FALSE),0))</f>
        <v/>
      </c>
      <c r="J53" s="17">
        <f>G53*I53</f>
        <v/>
      </c>
      <c r="K53" s="6" t="n"/>
      <c r="L53" s="6" t="n"/>
    </row>
    <row r="54">
      <c r="A54" s="32" t="n"/>
      <c r="B54" s="6" t="n"/>
      <c r="C54" s="6" t="n"/>
      <c r="D54">
        <f>IF(C54="","",IFERROR(VLOOKUP(C54,'Recetas y precios'!$A$5:$B$54,2,FALSE),""))</f>
        <v/>
      </c>
      <c r="E54" s="6" t="n"/>
      <c r="F54" s="6" t="n"/>
      <c r="G54" s="6" t="n"/>
      <c r="H54" s="29">
        <f>IF((F54+G54)&gt;0,G54/(F54+G54),"")</f>
        <v/>
      </c>
      <c r="I54" s="17">
        <f>IF(C54="",0,IFERROR(VLOOKUP(C54,'Recetas y precios'!$A$5:$T$54,20,FALSE),0))</f>
        <v/>
      </c>
      <c r="J54" s="17">
        <f>G54*I54</f>
        <v/>
      </c>
      <c r="K54" s="6" t="n"/>
      <c r="L54" s="6" t="n"/>
    </row>
    <row r="55">
      <c r="A55" s="32" t="n"/>
      <c r="B55" s="6" t="n"/>
      <c r="C55" s="6" t="n"/>
      <c r="D55">
        <f>IF(C55="","",IFERROR(VLOOKUP(C55,'Recetas y precios'!$A$5:$B$54,2,FALSE),""))</f>
        <v/>
      </c>
      <c r="E55" s="6" t="n"/>
      <c r="F55" s="6" t="n"/>
      <c r="G55" s="6" t="n"/>
      <c r="H55" s="29">
        <f>IF((F55+G55)&gt;0,G55/(F55+G55),"")</f>
        <v/>
      </c>
      <c r="I55" s="17">
        <f>IF(C55="",0,IFERROR(VLOOKUP(C55,'Recetas y precios'!$A$5:$T$54,20,FALSE),0))</f>
        <v/>
      </c>
      <c r="J55" s="17">
        <f>G55*I55</f>
        <v/>
      </c>
      <c r="K55" s="6" t="n"/>
      <c r="L55" s="6" t="n"/>
    </row>
    <row r="56">
      <c r="A56" s="32" t="n"/>
      <c r="B56" s="6" t="n"/>
      <c r="C56" s="6" t="n"/>
      <c r="D56">
        <f>IF(C56="","",IFERROR(VLOOKUP(C56,'Recetas y precios'!$A$5:$B$54,2,FALSE),""))</f>
        <v/>
      </c>
      <c r="E56" s="6" t="n"/>
      <c r="F56" s="6" t="n"/>
      <c r="G56" s="6" t="n"/>
      <c r="H56" s="29">
        <f>IF((F56+G56)&gt;0,G56/(F56+G56),"")</f>
        <v/>
      </c>
      <c r="I56" s="17">
        <f>IF(C56="",0,IFERROR(VLOOKUP(C56,'Recetas y precios'!$A$5:$T$54,20,FALSE),0))</f>
        <v/>
      </c>
      <c r="J56" s="17">
        <f>G56*I56</f>
        <v/>
      </c>
      <c r="K56" s="6" t="n"/>
      <c r="L56" s="6" t="n"/>
    </row>
    <row r="57">
      <c r="A57" s="32" t="n"/>
      <c r="B57" s="6" t="n"/>
      <c r="C57" s="6" t="n"/>
      <c r="D57">
        <f>IF(C57="","",IFERROR(VLOOKUP(C57,'Recetas y precios'!$A$5:$B$54,2,FALSE),""))</f>
        <v/>
      </c>
      <c r="E57" s="6" t="n"/>
      <c r="F57" s="6" t="n"/>
      <c r="G57" s="6" t="n"/>
      <c r="H57" s="29">
        <f>IF((F57+G57)&gt;0,G57/(F57+G57),"")</f>
        <v/>
      </c>
      <c r="I57" s="17">
        <f>IF(C57="",0,IFERROR(VLOOKUP(C57,'Recetas y precios'!$A$5:$T$54,20,FALSE),0))</f>
        <v/>
      </c>
      <c r="J57" s="17">
        <f>G57*I57</f>
        <v/>
      </c>
      <c r="K57" s="6" t="n"/>
      <c r="L57" s="6" t="n"/>
    </row>
    <row r="58">
      <c r="A58" s="32" t="n"/>
      <c r="B58" s="6" t="n"/>
      <c r="C58" s="6" t="n"/>
      <c r="D58">
        <f>IF(C58="","",IFERROR(VLOOKUP(C58,'Recetas y precios'!$A$5:$B$54,2,FALSE),""))</f>
        <v/>
      </c>
      <c r="E58" s="6" t="n"/>
      <c r="F58" s="6" t="n"/>
      <c r="G58" s="6" t="n"/>
      <c r="H58" s="29">
        <f>IF((F58+G58)&gt;0,G58/(F58+G58),"")</f>
        <v/>
      </c>
      <c r="I58" s="17">
        <f>IF(C58="",0,IFERROR(VLOOKUP(C58,'Recetas y precios'!$A$5:$T$54,20,FALSE),0))</f>
        <v/>
      </c>
      <c r="J58" s="17">
        <f>G58*I58</f>
        <v/>
      </c>
      <c r="K58" s="6" t="n"/>
      <c r="L58" s="6" t="n"/>
    </row>
    <row r="59">
      <c r="A59" s="32" t="n"/>
      <c r="B59" s="6" t="n"/>
      <c r="C59" s="6" t="n"/>
      <c r="D59">
        <f>IF(C59="","",IFERROR(VLOOKUP(C59,'Recetas y precios'!$A$5:$B$54,2,FALSE),""))</f>
        <v/>
      </c>
      <c r="E59" s="6" t="n"/>
      <c r="F59" s="6" t="n"/>
      <c r="G59" s="6" t="n"/>
      <c r="H59" s="29">
        <f>IF((F59+G59)&gt;0,G59/(F59+G59),"")</f>
        <v/>
      </c>
      <c r="I59" s="17">
        <f>IF(C59="",0,IFERROR(VLOOKUP(C59,'Recetas y precios'!$A$5:$T$54,20,FALSE),0))</f>
        <v/>
      </c>
      <c r="J59" s="17">
        <f>G59*I59</f>
        <v/>
      </c>
      <c r="K59" s="6" t="n"/>
      <c r="L59" s="6" t="n"/>
    </row>
    <row r="60">
      <c r="A60" s="32" t="n"/>
      <c r="B60" s="6" t="n"/>
      <c r="C60" s="6" t="n"/>
      <c r="D60">
        <f>IF(C60="","",IFERROR(VLOOKUP(C60,'Recetas y precios'!$A$5:$B$54,2,FALSE),""))</f>
        <v/>
      </c>
      <c r="E60" s="6" t="n"/>
      <c r="F60" s="6" t="n"/>
      <c r="G60" s="6" t="n"/>
      <c r="H60" s="29">
        <f>IF((F60+G60)&gt;0,G60/(F60+G60),"")</f>
        <v/>
      </c>
      <c r="I60" s="17">
        <f>IF(C60="",0,IFERROR(VLOOKUP(C60,'Recetas y precios'!$A$5:$T$54,20,FALSE),0))</f>
        <v/>
      </c>
      <c r="J60" s="17">
        <f>G60*I60</f>
        <v/>
      </c>
      <c r="K60" s="6" t="n"/>
      <c r="L60" s="6" t="n"/>
    </row>
    <row r="61">
      <c r="A61" s="32" t="n"/>
      <c r="B61" s="6" t="n"/>
      <c r="C61" s="6" t="n"/>
      <c r="D61">
        <f>IF(C61="","",IFERROR(VLOOKUP(C61,'Recetas y precios'!$A$5:$B$54,2,FALSE),""))</f>
        <v/>
      </c>
      <c r="E61" s="6" t="n"/>
      <c r="F61" s="6" t="n"/>
      <c r="G61" s="6" t="n"/>
      <c r="H61" s="29">
        <f>IF((F61+G61)&gt;0,G61/(F61+G61),"")</f>
        <v/>
      </c>
      <c r="I61" s="17">
        <f>IF(C61="",0,IFERROR(VLOOKUP(C61,'Recetas y precios'!$A$5:$T$54,20,FALSE),0))</f>
        <v/>
      </c>
      <c r="J61" s="17">
        <f>G61*I61</f>
        <v/>
      </c>
      <c r="K61" s="6" t="n"/>
      <c r="L61" s="6" t="n"/>
    </row>
    <row r="62">
      <c r="A62" s="32" t="n"/>
      <c r="B62" s="6" t="n"/>
      <c r="C62" s="6" t="n"/>
      <c r="D62">
        <f>IF(C62="","",IFERROR(VLOOKUP(C62,'Recetas y precios'!$A$5:$B$54,2,FALSE),""))</f>
        <v/>
      </c>
      <c r="E62" s="6" t="n"/>
      <c r="F62" s="6" t="n"/>
      <c r="G62" s="6" t="n"/>
      <c r="H62" s="29">
        <f>IF((F62+G62)&gt;0,G62/(F62+G62),"")</f>
        <v/>
      </c>
      <c r="I62" s="17">
        <f>IF(C62="",0,IFERROR(VLOOKUP(C62,'Recetas y precios'!$A$5:$T$54,20,FALSE),0))</f>
        <v/>
      </c>
      <c r="J62" s="17">
        <f>G62*I62</f>
        <v/>
      </c>
      <c r="K62" s="6" t="n"/>
      <c r="L62" s="6" t="n"/>
    </row>
    <row r="63">
      <c r="A63" s="32" t="n"/>
      <c r="B63" s="6" t="n"/>
      <c r="C63" s="6" t="n"/>
      <c r="D63">
        <f>IF(C63="","",IFERROR(VLOOKUP(C63,'Recetas y precios'!$A$5:$B$54,2,FALSE),""))</f>
        <v/>
      </c>
      <c r="E63" s="6" t="n"/>
      <c r="F63" s="6" t="n"/>
      <c r="G63" s="6" t="n"/>
      <c r="H63" s="29">
        <f>IF((F63+G63)&gt;0,G63/(F63+G63),"")</f>
        <v/>
      </c>
      <c r="I63" s="17">
        <f>IF(C63="",0,IFERROR(VLOOKUP(C63,'Recetas y precios'!$A$5:$T$54,20,FALSE),0))</f>
        <v/>
      </c>
      <c r="J63" s="17">
        <f>G63*I63</f>
        <v/>
      </c>
      <c r="K63" s="6" t="n"/>
      <c r="L63" s="6" t="n"/>
    </row>
    <row r="64">
      <c r="A64" s="32" t="n"/>
      <c r="B64" s="6" t="n"/>
      <c r="C64" s="6" t="n"/>
      <c r="D64">
        <f>IF(C64="","",IFERROR(VLOOKUP(C64,'Recetas y precios'!$A$5:$B$54,2,FALSE),""))</f>
        <v/>
      </c>
      <c r="E64" s="6" t="n"/>
      <c r="F64" s="6" t="n"/>
      <c r="G64" s="6" t="n"/>
      <c r="H64" s="29">
        <f>IF((F64+G64)&gt;0,G64/(F64+G64),"")</f>
        <v/>
      </c>
      <c r="I64" s="17">
        <f>IF(C64="",0,IFERROR(VLOOKUP(C64,'Recetas y precios'!$A$5:$T$54,20,FALSE),0))</f>
        <v/>
      </c>
      <c r="J64" s="17">
        <f>G64*I64</f>
        <v/>
      </c>
      <c r="K64" s="6" t="n"/>
      <c r="L64" s="6" t="n"/>
    </row>
    <row r="65">
      <c r="A65" s="32" t="n"/>
      <c r="B65" s="6" t="n"/>
      <c r="C65" s="6" t="n"/>
      <c r="D65">
        <f>IF(C65="","",IFERROR(VLOOKUP(C65,'Recetas y precios'!$A$5:$B$54,2,FALSE),""))</f>
        <v/>
      </c>
      <c r="E65" s="6" t="n"/>
      <c r="F65" s="6" t="n"/>
      <c r="G65" s="6" t="n"/>
      <c r="H65" s="29">
        <f>IF((F65+G65)&gt;0,G65/(F65+G65),"")</f>
        <v/>
      </c>
      <c r="I65" s="17">
        <f>IF(C65="",0,IFERROR(VLOOKUP(C65,'Recetas y precios'!$A$5:$T$54,20,FALSE),0))</f>
        <v/>
      </c>
      <c r="J65" s="17">
        <f>G65*I65</f>
        <v/>
      </c>
      <c r="K65" s="6" t="n"/>
      <c r="L65" s="6" t="n"/>
    </row>
    <row r="66">
      <c r="A66" s="32" t="n"/>
      <c r="B66" s="6" t="n"/>
      <c r="C66" s="6" t="n"/>
      <c r="D66">
        <f>IF(C66="","",IFERROR(VLOOKUP(C66,'Recetas y precios'!$A$5:$B$54,2,FALSE),""))</f>
        <v/>
      </c>
      <c r="E66" s="6" t="n"/>
      <c r="F66" s="6" t="n"/>
      <c r="G66" s="6" t="n"/>
      <c r="H66" s="29">
        <f>IF((F66+G66)&gt;0,G66/(F66+G66),"")</f>
        <v/>
      </c>
      <c r="I66" s="17">
        <f>IF(C66="",0,IFERROR(VLOOKUP(C66,'Recetas y precios'!$A$5:$T$54,20,FALSE),0))</f>
        <v/>
      </c>
      <c r="J66" s="17">
        <f>G66*I66</f>
        <v/>
      </c>
      <c r="K66" s="6" t="n"/>
      <c r="L66" s="6" t="n"/>
    </row>
    <row r="67">
      <c r="A67" s="32" t="n"/>
      <c r="B67" s="6" t="n"/>
      <c r="C67" s="6" t="n"/>
      <c r="D67">
        <f>IF(C67="","",IFERROR(VLOOKUP(C67,'Recetas y precios'!$A$5:$B$54,2,FALSE),""))</f>
        <v/>
      </c>
      <c r="E67" s="6" t="n"/>
      <c r="F67" s="6" t="n"/>
      <c r="G67" s="6" t="n"/>
      <c r="H67" s="29">
        <f>IF((F67+G67)&gt;0,G67/(F67+G67),"")</f>
        <v/>
      </c>
      <c r="I67" s="17">
        <f>IF(C67="",0,IFERROR(VLOOKUP(C67,'Recetas y precios'!$A$5:$T$54,20,FALSE),0))</f>
        <v/>
      </c>
      <c r="J67" s="17">
        <f>G67*I67</f>
        <v/>
      </c>
      <c r="K67" s="6" t="n"/>
      <c r="L67" s="6" t="n"/>
    </row>
    <row r="68">
      <c r="A68" s="32" t="n"/>
      <c r="B68" s="6" t="n"/>
      <c r="C68" s="6" t="n"/>
      <c r="D68">
        <f>IF(C68="","",IFERROR(VLOOKUP(C68,'Recetas y precios'!$A$5:$B$54,2,FALSE),""))</f>
        <v/>
      </c>
      <c r="E68" s="6" t="n"/>
      <c r="F68" s="6" t="n"/>
      <c r="G68" s="6" t="n"/>
      <c r="H68" s="29">
        <f>IF((F68+G68)&gt;0,G68/(F68+G68),"")</f>
        <v/>
      </c>
      <c r="I68" s="17">
        <f>IF(C68="",0,IFERROR(VLOOKUP(C68,'Recetas y precios'!$A$5:$T$54,20,FALSE),0))</f>
        <v/>
      </c>
      <c r="J68" s="17">
        <f>G68*I68</f>
        <v/>
      </c>
      <c r="K68" s="6" t="n"/>
      <c r="L68" s="6" t="n"/>
    </row>
    <row r="69">
      <c r="A69" s="32" t="n"/>
      <c r="B69" s="6" t="n"/>
      <c r="C69" s="6" t="n"/>
      <c r="D69">
        <f>IF(C69="","",IFERROR(VLOOKUP(C69,'Recetas y precios'!$A$5:$B$54,2,FALSE),""))</f>
        <v/>
      </c>
      <c r="E69" s="6" t="n"/>
      <c r="F69" s="6" t="n"/>
      <c r="G69" s="6" t="n"/>
      <c r="H69" s="29">
        <f>IF((F69+G69)&gt;0,G69/(F69+G69),"")</f>
        <v/>
      </c>
      <c r="I69" s="17">
        <f>IF(C69="",0,IFERROR(VLOOKUP(C69,'Recetas y precios'!$A$5:$T$54,20,FALSE),0))</f>
        <v/>
      </c>
      <c r="J69" s="17">
        <f>G69*I69</f>
        <v/>
      </c>
      <c r="K69" s="6" t="n"/>
      <c r="L69" s="6" t="n"/>
    </row>
    <row r="70">
      <c r="A70" s="32" t="n"/>
      <c r="B70" s="6" t="n"/>
      <c r="C70" s="6" t="n"/>
      <c r="D70">
        <f>IF(C70="","",IFERROR(VLOOKUP(C70,'Recetas y precios'!$A$5:$B$54,2,FALSE),""))</f>
        <v/>
      </c>
      <c r="E70" s="6" t="n"/>
      <c r="F70" s="6" t="n"/>
      <c r="G70" s="6" t="n"/>
      <c r="H70" s="29">
        <f>IF((F70+G70)&gt;0,G70/(F70+G70),"")</f>
        <v/>
      </c>
      <c r="I70" s="17">
        <f>IF(C70="",0,IFERROR(VLOOKUP(C70,'Recetas y precios'!$A$5:$T$54,20,FALSE),0))</f>
        <v/>
      </c>
      <c r="J70" s="17">
        <f>G70*I70</f>
        <v/>
      </c>
      <c r="K70" s="6" t="n"/>
      <c r="L70" s="6" t="n"/>
    </row>
    <row r="71">
      <c r="A71" s="32" t="n"/>
      <c r="B71" s="6" t="n"/>
      <c r="C71" s="6" t="n"/>
      <c r="D71">
        <f>IF(C71="","",IFERROR(VLOOKUP(C71,'Recetas y precios'!$A$5:$B$54,2,FALSE),""))</f>
        <v/>
      </c>
      <c r="E71" s="6" t="n"/>
      <c r="F71" s="6" t="n"/>
      <c r="G71" s="6" t="n"/>
      <c r="H71" s="29">
        <f>IF((F71+G71)&gt;0,G71/(F71+G71),"")</f>
        <v/>
      </c>
      <c r="I71" s="17">
        <f>IF(C71="",0,IFERROR(VLOOKUP(C71,'Recetas y precios'!$A$5:$T$54,20,FALSE),0))</f>
        <v/>
      </c>
      <c r="J71" s="17">
        <f>G71*I71</f>
        <v/>
      </c>
      <c r="K71" s="6" t="n"/>
      <c r="L71" s="6" t="n"/>
    </row>
    <row r="72">
      <c r="A72" s="32" t="n"/>
      <c r="B72" s="6" t="n"/>
      <c r="C72" s="6" t="n"/>
      <c r="D72">
        <f>IF(C72="","",IFERROR(VLOOKUP(C72,'Recetas y precios'!$A$5:$B$54,2,FALSE),""))</f>
        <v/>
      </c>
      <c r="E72" s="6" t="n"/>
      <c r="F72" s="6" t="n"/>
      <c r="G72" s="6" t="n"/>
      <c r="H72" s="29">
        <f>IF((F72+G72)&gt;0,G72/(F72+G72),"")</f>
        <v/>
      </c>
      <c r="I72" s="17">
        <f>IF(C72="",0,IFERROR(VLOOKUP(C72,'Recetas y precios'!$A$5:$T$54,20,FALSE),0))</f>
        <v/>
      </c>
      <c r="J72" s="17">
        <f>G72*I72</f>
        <v/>
      </c>
      <c r="K72" s="6" t="n"/>
      <c r="L72" s="6" t="n"/>
    </row>
    <row r="73">
      <c r="A73" s="32" t="n"/>
      <c r="B73" s="6" t="n"/>
      <c r="C73" s="6" t="n"/>
      <c r="D73">
        <f>IF(C73="","",IFERROR(VLOOKUP(C73,'Recetas y precios'!$A$5:$B$54,2,FALSE),""))</f>
        <v/>
      </c>
      <c r="E73" s="6" t="n"/>
      <c r="F73" s="6" t="n"/>
      <c r="G73" s="6" t="n"/>
      <c r="H73" s="29">
        <f>IF((F73+G73)&gt;0,G73/(F73+G73),"")</f>
        <v/>
      </c>
      <c r="I73" s="17">
        <f>IF(C73="",0,IFERROR(VLOOKUP(C73,'Recetas y precios'!$A$5:$T$54,20,FALSE),0))</f>
        <v/>
      </c>
      <c r="J73" s="17">
        <f>G73*I73</f>
        <v/>
      </c>
      <c r="K73" s="6" t="n"/>
      <c r="L73" s="6" t="n"/>
    </row>
    <row r="74">
      <c r="A74" s="32" t="n"/>
      <c r="B74" s="6" t="n"/>
      <c r="C74" s="6" t="n"/>
      <c r="D74">
        <f>IF(C74="","",IFERROR(VLOOKUP(C74,'Recetas y precios'!$A$5:$B$54,2,FALSE),""))</f>
        <v/>
      </c>
      <c r="E74" s="6" t="n"/>
      <c r="F74" s="6" t="n"/>
      <c r="G74" s="6" t="n"/>
      <c r="H74" s="29">
        <f>IF((F74+G74)&gt;0,G74/(F74+G74),"")</f>
        <v/>
      </c>
      <c r="I74" s="17">
        <f>IF(C74="",0,IFERROR(VLOOKUP(C74,'Recetas y precios'!$A$5:$T$54,20,FALSE),0))</f>
        <v/>
      </c>
      <c r="J74" s="17">
        <f>G74*I74</f>
        <v/>
      </c>
      <c r="K74" s="6" t="n"/>
      <c r="L74" s="6" t="n"/>
    </row>
    <row r="75">
      <c r="A75" s="32" t="n"/>
      <c r="B75" s="6" t="n"/>
      <c r="C75" s="6" t="n"/>
      <c r="D75">
        <f>IF(C75="","",IFERROR(VLOOKUP(C75,'Recetas y precios'!$A$5:$B$54,2,FALSE),""))</f>
        <v/>
      </c>
      <c r="E75" s="6" t="n"/>
      <c r="F75" s="6" t="n"/>
      <c r="G75" s="6" t="n"/>
      <c r="H75" s="29">
        <f>IF((F75+G75)&gt;0,G75/(F75+G75),"")</f>
        <v/>
      </c>
      <c r="I75" s="17">
        <f>IF(C75="",0,IFERROR(VLOOKUP(C75,'Recetas y precios'!$A$5:$T$54,20,FALSE),0))</f>
        <v/>
      </c>
      <c r="J75" s="17">
        <f>G75*I75</f>
        <v/>
      </c>
      <c r="K75" s="6" t="n"/>
      <c r="L75" s="6" t="n"/>
    </row>
    <row r="76">
      <c r="A76" s="32" t="n"/>
      <c r="B76" s="6" t="n"/>
      <c r="C76" s="6" t="n"/>
      <c r="D76">
        <f>IF(C76="","",IFERROR(VLOOKUP(C76,'Recetas y precios'!$A$5:$B$54,2,FALSE),""))</f>
        <v/>
      </c>
      <c r="E76" s="6" t="n"/>
      <c r="F76" s="6" t="n"/>
      <c r="G76" s="6" t="n"/>
      <c r="H76" s="29">
        <f>IF((F76+G76)&gt;0,G76/(F76+G76),"")</f>
        <v/>
      </c>
      <c r="I76" s="17">
        <f>IF(C76="",0,IFERROR(VLOOKUP(C76,'Recetas y precios'!$A$5:$T$54,20,FALSE),0))</f>
        <v/>
      </c>
      <c r="J76" s="17">
        <f>G76*I76</f>
        <v/>
      </c>
      <c r="K76" s="6" t="n"/>
      <c r="L76" s="6" t="n"/>
    </row>
    <row r="77">
      <c r="A77" s="32" t="n"/>
      <c r="B77" s="6" t="n"/>
      <c r="C77" s="6" t="n"/>
      <c r="D77">
        <f>IF(C77="","",IFERROR(VLOOKUP(C77,'Recetas y precios'!$A$5:$B$54,2,FALSE),""))</f>
        <v/>
      </c>
      <c r="E77" s="6" t="n"/>
      <c r="F77" s="6" t="n"/>
      <c r="G77" s="6" t="n"/>
      <c r="H77" s="29">
        <f>IF((F77+G77)&gt;0,G77/(F77+G77),"")</f>
        <v/>
      </c>
      <c r="I77" s="17">
        <f>IF(C77="",0,IFERROR(VLOOKUP(C77,'Recetas y precios'!$A$5:$T$54,20,FALSE),0))</f>
        <v/>
      </c>
      <c r="J77" s="17">
        <f>G77*I77</f>
        <v/>
      </c>
      <c r="K77" s="6" t="n"/>
      <c r="L77" s="6" t="n"/>
    </row>
    <row r="78">
      <c r="A78" s="32" t="n"/>
      <c r="B78" s="6" t="n"/>
      <c r="C78" s="6" t="n"/>
      <c r="D78">
        <f>IF(C78="","",IFERROR(VLOOKUP(C78,'Recetas y precios'!$A$5:$B$54,2,FALSE),""))</f>
        <v/>
      </c>
      <c r="E78" s="6" t="n"/>
      <c r="F78" s="6" t="n"/>
      <c r="G78" s="6" t="n"/>
      <c r="H78" s="29">
        <f>IF((F78+G78)&gt;0,G78/(F78+G78),"")</f>
        <v/>
      </c>
      <c r="I78" s="17">
        <f>IF(C78="",0,IFERROR(VLOOKUP(C78,'Recetas y precios'!$A$5:$T$54,20,FALSE),0))</f>
        <v/>
      </c>
      <c r="J78" s="17">
        <f>G78*I78</f>
        <v/>
      </c>
      <c r="K78" s="6" t="n"/>
      <c r="L78" s="6" t="n"/>
    </row>
    <row r="79">
      <c r="A79" s="32" t="n"/>
      <c r="B79" s="6" t="n"/>
      <c r="C79" s="6" t="n"/>
      <c r="D79">
        <f>IF(C79="","",IFERROR(VLOOKUP(C79,'Recetas y precios'!$A$5:$B$54,2,FALSE),""))</f>
        <v/>
      </c>
      <c r="E79" s="6" t="n"/>
      <c r="F79" s="6" t="n"/>
      <c r="G79" s="6" t="n"/>
      <c r="H79" s="29">
        <f>IF((F79+G79)&gt;0,G79/(F79+G79),"")</f>
        <v/>
      </c>
      <c r="I79" s="17">
        <f>IF(C79="",0,IFERROR(VLOOKUP(C79,'Recetas y precios'!$A$5:$T$54,20,FALSE),0))</f>
        <v/>
      </c>
      <c r="J79" s="17">
        <f>G79*I79</f>
        <v/>
      </c>
      <c r="K79" s="6" t="n"/>
      <c r="L79" s="6" t="n"/>
    </row>
    <row r="80">
      <c r="A80" s="32" t="n"/>
      <c r="B80" s="6" t="n"/>
      <c r="C80" s="6" t="n"/>
      <c r="D80">
        <f>IF(C80="","",IFERROR(VLOOKUP(C80,'Recetas y precios'!$A$5:$B$54,2,FALSE),""))</f>
        <v/>
      </c>
      <c r="E80" s="6" t="n"/>
      <c r="F80" s="6" t="n"/>
      <c r="G80" s="6" t="n"/>
      <c r="H80" s="29">
        <f>IF((F80+G80)&gt;0,G80/(F80+G80),"")</f>
        <v/>
      </c>
      <c r="I80" s="17">
        <f>IF(C80="",0,IFERROR(VLOOKUP(C80,'Recetas y precios'!$A$5:$T$54,20,FALSE),0))</f>
        <v/>
      </c>
      <c r="J80" s="17">
        <f>G80*I80</f>
        <v/>
      </c>
      <c r="K80" s="6" t="n"/>
      <c r="L80" s="6" t="n"/>
    </row>
    <row r="81">
      <c r="A81" s="32" t="n"/>
      <c r="B81" s="6" t="n"/>
      <c r="C81" s="6" t="n"/>
      <c r="D81">
        <f>IF(C81="","",IFERROR(VLOOKUP(C81,'Recetas y precios'!$A$5:$B$54,2,FALSE),""))</f>
        <v/>
      </c>
      <c r="E81" s="6" t="n"/>
      <c r="F81" s="6" t="n"/>
      <c r="G81" s="6" t="n"/>
      <c r="H81" s="29">
        <f>IF((F81+G81)&gt;0,G81/(F81+G81),"")</f>
        <v/>
      </c>
      <c r="I81" s="17">
        <f>IF(C81="",0,IFERROR(VLOOKUP(C81,'Recetas y precios'!$A$5:$T$54,20,FALSE),0))</f>
        <v/>
      </c>
      <c r="J81" s="17">
        <f>G81*I81</f>
        <v/>
      </c>
      <c r="K81" s="6" t="n"/>
      <c r="L81" s="6" t="n"/>
    </row>
    <row r="82">
      <c r="A82" s="32" t="n"/>
      <c r="B82" s="6" t="n"/>
      <c r="C82" s="6" t="n"/>
      <c r="D82">
        <f>IF(C82="","",IFERROR(VLOOKUP(C82,'Recetas y precios'!$A$5:$B$54,2,FALSE),""))</f>
        <v/>
      </c>
      <c r="E82" s="6" t="n"/>
      <c r="F82" s="6" t="n"/>
      <c r="G82" s="6" t="n"/>
      <c r="H82" s="29">
        <f>IF((F82+G82)&gt;0,G82/(F82+G82),"")</f>
        <v/>
      </c>
      <c r="I82" s="17">
        <f>IF(C82="",0,IFERROR(VLOOKUP(C82,'Recetas y precios'!$A$5:$T$54,20,FALSE),0))</f>
        <v/>
      </c>
      <c r="J82" s="17">
        <f>G82*I82</f>
        <v/>
      </c>
      <c r="K82" s="6" t="n"/>
      <c r="L82" s="6" t="n"/>
    </row>
    <row r="83">
      <c r="A83" s="32" t="n"/>
      <c r="B83" s="6" t="n"/>
      <c r="C83" s="6" t="n"/>
      <c r="D83">
        <f>IF(C83="","",IFERROR(VLOOKUP(C83,'Recetas y precios'!$A$5:$B$54,2,FALSE),""))</f>
        <v/>
      </c>
      <c r="E83" s="6" t="n"/>
      <c r="F83" s="6" t="n"/>
      <c r="G83" s="6" t="n"/>
      <c r="H83" s="29">
        <f>IF((F83+G83)&gt;0,G83/(F83+G83),"")</f>
        <v/>
      </c>
      <c r="I83" s="17">
        <f>IF(C83="",0,IFERROR(VLOOKUP(C83,'Recetas y precios'!$A$5:$T$54,20,FALSE),0))</f>
        <v/>
      </c>
      <c r="J83" s="17">
        <f>G83*I83</f>
        <v/>
      </c>
      <c r="K83" s="6" t="n"/>
      <c r="L83" s="6" t="n"/>
    </row>
    <row r="84">
      <c r="A84" s="32" t="n"/>
      <c r="B84" s="6" t="n"/>
      <c r="C84" s="6" t="n"/>
      <c r="D84">
        <f>IF(C84="","",IFERROR(VLOOKUP(C84,'Recetas y precios'!$A$5:$B$54,2,FALSE),""))</f>
        <v/>
      </c>
      <c r="E84" s="6" t="n"/>
      <c r="F84" s="6" t="n"/>
      <c r="G84" s="6" t="n"/>
      <c r="H84" s="29">
        <f>IF((F84+G84)&gt;0,G84/(F84+G84),"")</f>
        <v/>
      </c>
      <c r="I84" s="17">
        <f>IF(C84="",0,IFERROR(VLOOKUP(C84,'Recetas y precios'!$A$5:$T$54,20,FALSE),0))</f>
        <v/>
      </c>
      <c r="J84" s="17">
        <f>G84*I84</f>
        <v/>
      </c>
      <c r="K84" s="6" t="n"/>
      <c r="L84" s="6" t="n"/>
    </row>
    <row r="85">
      <c r="A85" s="32" t="n"/>
      <c r="B85" s="6" t="n"/>
      <c r="C85" s="6" t="n"/>
      <c r="D85">
        <f>IF(C85="","",IFERROR(VLOOKUP(C85,'Recetas y precios'!$A$5:$B$54,2,FALSE),""))</f>
        <v/>
      </c>
      <c r="E85" s="6" t="n"/>
      <c r="F85" s="6" t="n"/>
      <c r="G85" s="6" t="n"/>
      <c r="H85" s="29">
        <f>IF((F85+G85)&gt;0,G85/(F85+G85),"")</f>
        <v/>
      </c>
      <c r="I85" s="17">
        <f>IF(C85="",0,IFERROR(VLOOKUP(C85,'Recetas y precios'!$A$5:$T$54,20,FALSE),0))</f>
        <v/>
      </c>
      <c r="J85" s="17">
        <f>G85*I85</f>
        <v/>
      </c>
      <c r="K85" s="6" t="n"/>
      <c r="L85" s="6" t="n"/>
    </row>
    <row r="86">
      <c r="A86" s="32" t="n"/>
      <c r="B86" s="6" t="n"/>
      <c r="C86" s="6" t="n"/>
      <c r="D86">
        <f>IF(C86="","",IFERROR(VLOOKUP(C86,'Recetas y precios'!$A$5:$B$54,2,FALSE),""))</f>
        <v/>
      </c>
      <c r="E86" s="6" t="n"/>
      <c r="F86" s="6" t="n"/>
      <c r="G86" s="6" t="n"/>
      <c r="H86" s="29">
        <f>IF((F86+G86)&gt;0,G86/(F86+G86),"")</f>
        <v/>
      </c>
      <c r="I86" s="17">
        <f>IF(C86="",0,IFERROR(VLOOKUP(C86,'Recetas y precios'!$A$5:$T$54,20,FALSE),0))</f>
        <v/>
      </c>
      <c r="J86" s="17">
        <f>G86*I86</f>
        <v/>
      </c>
      <c r="K86" s="6" t="n"/>
      <c r="L86" s="6" t="n"/>
    </row>
    <row r="87">
      <c r="A87" s="32" t="n"/>
      <c r="B87" s="6" t="n"/>
      <c r="C87" s="6" t="n"/>
      <c r="D87">
        <f>IF(C87="","",IFERROR(VLOOKUP(C87,'Recetas y precios'!$A$5:$B$54,2,FALSE),""))</f>
        <v/>
      </c>
      <c r="E87" s="6" t="n"/>
      <c r="F87" s="6" t="n"/>
      <c r="G87" s="6" t="n"/>
      <c r="H87" s="29">
        <f>IF((F87+G87)&gt;0,G87/(F87+G87),"")</f>
        <v/>
      </c>
      <c r="I87" s="17">
        <f>IF(C87="",0,IFERROR(VLOOKUP(C87,'Recetas y precios'!$A$5:$T$54,20,FALSE),0))</f>
        <v/>
      </c>
      <c r="J87" s="17">
        <f>G87*I87</f>
        <v/>
      </c>
      <c r="K87" s="6" t="n"/>
      <c r="L87" s="6" t="n"/>
    </row>
    <row r="88">
      <c r="A88" s="32" t="n"/>
      <c r="B88" s="6" t="n"/>
      <c r="C88" s="6" t="n"/>
      <c r="D88">
        <f>IF(C88="","",IFERROR(VLOOKUP(C88,'Recetas y precios'!$A$5:$B$54,2,FALSE),""))</f>
        <v/>
      </c>
      <c r="E88" s="6" t="n"/>
      <c r="F88" s="6" t="n"/>
      <c r="G88" s="6" t="n"/>
      <c r="H88" s="29">
        <f>IF((F88+G88)&gt;0,G88/(F88+G88),"")</f>
        <v/>
      </c>
      <c r="I88" s="17">
        <f>IF(C88="",0,IFERROR(VLOOKUP(C88,'Recetas y precios'!$A$5:$T$54,20,FALSE),0))</f>
        <v/>
      </c>
      <c r="J88" s="17">
        <f>G88*I88</f>
        <v/>
      </c>
      <c r="K88" s="6" t="n"/>
      <c r="L88" s="6" t="n"/>
    </row>
    <row r="89">
      <c r="A89" s="32" t="n"/>
      <c r="B89" s="6" t="n"/>
      <c r="C89" s="6" t="n"/>
      <c r="D89">
        <f>IF(C89="","",IFERROR(VLOOKUP(C89,'Recetas y precios'!$A$5:$B$54,2,FALSE),""))</f>
        <v/>
      </c>
      <c r="E89" s="6" t="n"/>
      <c r="F89" s="6" t="n"/>
      <c r="G89" s="6" t="n"/>
      <c r="H89" s="29">
        <f>IF((F89+G89)&gt;0,G89/(F89+G89),"")</f>
        <v/>
      </c>
      <c r="I89" s="17">
        <f>IF(C89="",0,IFERROR(VLOOKUP(C89,'Recetas y precios'!$A$5:$T$54,20,FALSE),0))</f>
        <v/>
      </c>
      <c r="J89" s="17">
        <f>G89*I89</f>
        <v/>
      </c>
      <c r="K89" s="6" t="n"/>
      <c r="L89" s="6" t="n"/>
    </row>
    <row r="90">
      <c r="A90" s="32" t="n"/>
      <c r="B90" s="6" t="n"/>
      <c r="C90" s="6" t="n"/>
      <c r="D90">
        <f>IF(C90="","",IFERROR(VLOOKUP(C90,'Recetas y precios'!$A$5:$B$54,2,FALSE),""))</f>
        <v/>
      </c>
      <c r="E90" s="6" t="n"/>
      <c r="F90" s="6" t="n"/>
      <c r="G90" s="6" t="n"/>
      <c r="H90" s="29">
        <f>IF((F90+G90)&gt;0,G90/(F90+G90),"")</f>
        <v/>
      </c>
      <c r="I90" s="17">
        <f>IF(C90="",0,IFERROR(VLOOKUP(C90,'Recetas y precios'!$A$5:$T$54,20,FALSE),0))</f>
        <v/>
      </c>
      <c r="J90" s="17">
        <f>G90*I90</f>
        <v/>
      </c>
      <c r="K90" s="6" t="n"/>
      <c r="L90" s="6" t="n"/>
    </row>
    <row r="91">
      <c r="A91" s="32" t="n"/>
      <c r="B91" s="6" t="n"/>
      <c r="C91" s="6" t="n"/>
      <c r="D91">
        <f>IF(C91="","",IFERROR(VLOOKUP(C91,'Recetas y precios'!$A$5:$B$54,2,FALSE),""))</f>
        <v/>
      </c>
      <c r="E91" s="6" t="n"/>
      <c r="F91" s="6" t="n"/>
      <c r="G91" s="6" t="n"/>
      <c r="H91" s="29">
        <f>IF((F91+G91)&gt;0,G91/(F91+G91),"")</f>
        <v/>
      </c>
      <c r="I91" s="17">
        <f>IF(C91="",0,IFERROR(VLOOKUP(C91,'Recetas y precios'!$A$5:$T$54,20,FALSE),0))</f>
        <v/>
      </c>
      <c r="J91" s="17">
        <f>G91*I91</f>
        <v/>
      </c>
      <c r="K91" s="6" t="n"/>
      <c r="L91" s="6" t="n"/>
    </row>
    <row r="92">
      <c r="A92" s="32" t="n"/>
      <c r="B92" s="6" t="n"/>
      <c r="C92" s="6" t="n"/>
      <c r="D92">
        <f>IF(C92="","",IFERROR(VLOOKUP(C92,'Recetas y precios'!$A$5:$B$54,2,FALSE),""))</f>
        <v/>
      </c>
      <c r="E92" s="6" t="n"/>
      <c r="F92" s="6" t="n"/>
      <c r="G92" s="6" t="n"/>
      <c r="H92" s="29">
        <f>IF((F92+G92)&gt;0,G92/(F92+G92),"")</f>
        <v/>
      </c>
      <c r="I92" s="17">
        <f>IF(C92="",0,IFERROR(VLOOKUP(C92,'Recetas y precios'!$A$5:$T$54,20,FALSE),0))</f>
        <v/>
      </c>
      <c r="J92" s="17">
        <f>G92*I92</f>
        <v/>
      </c>
      <c r="K92" s="6" t="n"/>
      <c r="L92" s="6" t="n"/>
    </row>
    <row r="93">
      <c r="A93" s="32" t="n"/>
      <c r="B93" s="6" t="n"/>
      <c r="C93" s="6" t="n"/>
      <c r="D93">
        <f>IF(C93="","",IFERROR(VLOOKUP(C93,'Recetas y precios'!$A$5:$B$54,2,FALSE),""))</f>
        <v/>
      </c>
      <c r="E93" s="6" t="n"/>
      <c r="F93" s="6" t="n"/>
      <c r="G93" s="6" t="n"/>
      <c r="H93" s="29">
        <f>IF((F93+G93)&gt;0,G93/(F93+G93),"")</f>
        <v/>
      </c>
      <c r="I93" s="17">
        <f>IF(C93="",0,IFERROR(VLOOKUP(C93,'Recetas y precios'!$A$5:$T$54,20,FALSE),0))</f>
        <v/>
      </c>
      <c r="J93" s="17">
        <f>G93*I93</f>
        <v/>
      </c>
      <c r="K93" s="6" t="n"/>
      <c r="L93" s="6" t="n"/>
    </row>
    <row r="94">
      <c r="A94" s="32" t="n"/>
      <c r="B94" s="6" t="n"/>
      <c r="C94" s="6" t="n"/>
      <c r="D94">
        <f>IF(C94="","",IFERROR(VLOOKUP(C94,'Recetas y precios'!$A$5:$B$54,2,FALSE),""))</f>
        <v/>
      </c>
      <c r="E94" s="6" t="n"/>
      <c r="F94" s="6" t="n"/>
      <c r="G94" s="6" t="n"/>
      <c r="H94" s="29">
        <f>IF((F94+G94)&gt;0,G94/(F94+G94),"")</f>
        <v/>
      </c>
      <c r="I94" s="17">
        <f>IF(C94="",0,IFERROR(VLOOKUP(C94,'Recetas y precios'!$A$5:$T$54,20,FALSE),0))</f>
        <v/>
      </c>
      <c r="J94" s="17">
        <f>G94*I94</f>
        <v/>
      </c>
      <c r="K94" s="6" t="n"/>
      <c r="L94" s="6" t="n"/>
    </row>
    <row r="95">
      <c r="A95" s="32" t="n"/>
      <c r="B95" s="6" t="n"/>
      <c r="C95" s="6" t="n"/>
      <c r="D95">
        <f>IF(C95="","",IFERROR(VLOOKUP(C95,'Recetas y precios'!$A$5:$B$54,2,FALSE),""))</f>
        <v/>
      </c>
      <c r="E95" s="6" t="n"/>
      <c r="F95" s="6" t="n"/>
      <c r="G95" s="6" t="n"/>
      <c r="H95" s="29">
        <f>IF((F95+G95)&gt;0,G95/(F95+G95),"")</f>
        <v/>
      </c>
      <c r="I95" s="17">
        <f>IF(C95="",0,IFERROR(VLOOKUP(C95,'Recetas y precios'!$A$5:$T$54,20,FALSE),0))</f>
        <v/>
      </c>
      <c r="J95" s="17">
        <f>G95*I95</f>
        <v/>
      </c>
      <c r="K95" s="6" t="n"/>
      <c r="L95" s="6" t="n"/>
    </row>
    <row r="96">
      <c r="A96" s="32" t="n"/>
      <c r="B96" s="6" t="n"/>
      <c r="C96" s="6" t="n"/>
      <c r="D96">
        <f>IF(C96="","",IFERROR(VLOOKUP(C96,'Recetas y precios'!$A$5:$B$54,2,FALSE),""))</f>
        <v/>
      </c>
      <c r="E96" s="6" t="n"/>
      <c r="F96" s="6" t="n"/>
      <c r="G96" s="6" t="n"/>
      <c r="H96" s="29">
        <f>IF((F96+G96)&gt;0,G96/(F96+G96),"")</f>
        <v/>
      </c>
      <c r="I96" s="17">
        <f>IF(C96="",0,IFERROR(VLOOKUP(C96,'Recetas y precios'!$A$5:$T$54,20,FALSE),0))</f>
        <v/>
      </c>
      <c r="J96" s="17">
        <f>G96*I96</f>
        <v/>
      </c>
      <c r="K96" s="6" t="n"/>
      <c r="L96" s="6" t="n"/>
    </row>
    <row r="97">
      <c r="A97" s="32" t="n"/>
      <c r="B97" s="6" t="n"/>
      <c r="C97" s="6" t="n"/>
      <c r="D97">
        <f>IF(C97="","",IFERROR(VLOOKUP(C97,'Recetas y precios'!$A$5:$B$54,2,FALSE),""))</f>
        <v/>
      </c>
      <c r="E97" s="6" t="n"/>
      <c r="F97" s="6" t="n"/>
      <c r="G97" s="6" t="n"/>
      <c r="H97" s="29">
        <f>IF((F97+G97)&gt;0,G97/(F97+G97),"")</f>
        <v/>
      </c>
      <c r="I97" s="17">
        <f>IF(C97="",0,IFERROR(VLOOKUP(C97,'Recetas y precios'!$A$5:$T$54,20,FALSE),0))</f>
        <v/>
      </c>
      <c r="J97" s="17">
        <f>G97*I97</f>
        <v/>
      </c>
      <c r="K97" s="6" t="n"/>
      <c r="L97" s="6" t="n"/>
    </row>
    <row r="98">
      <c r="A98" s="32" t="n"/>
      <c r="B98" s="6" t="n"/>
      <c r="C98" s="6" t="n"/>
      <c r="D98">
        <f>IF(C98="","",IFERROR(VLOOKUP(C98,'Recetas y precios'!$A$5:$B$54,2,FALSE),""))</f>
        <v/>
      </c>
      <c r="E98" s="6" t="n"/>
      <c r="F98" s="6" t="n"/>
      <c r="G98" s="6" t="n"/>
      <c r="H98" s="29">
        <f>IF((F98+G98)&gt;0,G98/(F98+G98),"")</f>
        <v/>
      </c>
      <c r="I98" s="17">
        <f>IF(C98="",0,IFERROR(VLOOKUP(C98,'Recetas y precios'!$A$5:$T$54,20,FALSE),0))</f>
        <v/>
      </c>
      <c r="J98" s="17">
        <f>G98*I98</f>
        <v/>
      </c>
      <c r="K98" s="6" t="n"/>
      <c r="L98" s="6" t="n"/>
    </row>
    <row r="99">
      <c r="A99" s="32" t="n"/>
      <c r="B99" s="6" t="n"/>
      <c r="C99" s="6" t="n"/>
      <c r="D99">
        <f>IF(C99="","",IFERROR(VLOOKUP(C99,'Recetas y precios'!$A$5:$B$54,2,FALSE),""))</f>
        <v/>
      </c>
      <c r="E99" s="6" t="n"/>
      <c r="F99" s="6" t="n"/>
      <c r="G99" s="6" t="n"/>
      <c r="H99" s="29">
        <f>IF((F99+G99)&gt;0,G99/(F99+G99),"")</f>
        <v/>
      </c>
      <c r="I99" s="17">
        <f>IF(C99="",0,IFERROR(VLOOKUP(C99,'Recetas y precios'!$A$5:$T$54,20,FALSE),0))</f>
        <v/>
      </c>
      <c r="J99" s="17">
        <f>G99*I99</f>
        <v/>
      </c>
      <c r="K99" s="6" t="n"/>
      <c r="L99" s="6" t="n"/>
    </row>
    <row r="100">
      <c r="A100" s="32" t="n"/>
      <c r="B100" s="6" t="n"/>
      <c r="C100" s="6" t="n"/>
      <c r="D100">
        <f>IF(C100="","",IFERROR(VLOOKUP(C100,'Recetas y precios'!$A$5:$B$54,2,FALSE),""))</f>
        <v/>
      </c>
      <c r="E100" s="6" t="n"/>
      <c r="F100" s="6" t="n"/>
      <c r="G100" s="6" t="n"/>
      <c r="H100" s="29">
        <f>IF((F100+G100)&gt;0,G100/(F100+G100),"")</f>
        <v/>
      </c>
      <c r="I100" s="17">
        <f>IF(C100="",0,IFERROR(VLOOKUP(C100,'Recetas y precios'!$A$5:$T$54,20,FALSE),0))</f>
        <v/>
      </c>
      <c r="J100" s="17">
        <f>G100*I100</f>
        <v/>
      </c>
      <c r="K100" s="6" t="n"/>
      <c r="L100" s="6" t="n"/>
    </row>
    <row r="101">
      <c r="A101" s="32" t="n"/>
      <c r="B101" s="6" t="n"/>
      <c r="C101" s="6" t="n"/>
      <c r="D101">
        <f>IF(C101="","",IFERROR(VLOOKUP(C101,'Recetas y precios'!$A$5:$B$54,2,FALSE),""))</f>
        <v/>
      </c>
      <c r="E101" s="6" t="n"/>
      <c r="F101" s="6" t="n"/>
      <c r="G101" s="6" t="n"/>
      <c r="H101" s="29">
        <f>IF((F101+G101)&gt;0,G101/(F101+G101),"")</f>
        <v/>
      </c>
      <c r="I101" s="17">
        <f>IF(C101="",0,IFERROR(VLOOKUP(C101,'Recetas y precios'!$A$5:$T$54,20,FALSE),0))</f>
        <v/>
      </c>
      <c r="J101" s="17">
        <f>G101*I101</f>
        <v/>
      </c>
      <c r="K101" s="6" t="n"/>
      <c r="L101" s="6" t="n"/>
    </row>
    <row r="102">
      <c r="A102" s="32" t="n"/>
      <c r="B102" s="6" t="n"/>
      <c r="C102" s="6" t="n"/>
      <c r="D102">
        <f>IF(C102="","",IFERROR(VLOOKUP(C102,'Recetas y precios'!$A$5:$B$54,2,FALSE),""))</f>
        <v/>
      </c>
      <c r="E102" s="6" t="n"/>
      <c r="F102" s="6" t="n"/>
      <c r="G102" s="6" t="n"/>
      <c r="H102" s="29">
        <f>IF((F102+G102)&gt;0,G102/(F102+G102),"")</f>
        <v/>
      </c>
      <c r="I102" s="17">
        <f>IF(C102="",0,IFERROR(VLOOKUP(C102,'Recetas y precios'!$A$5:$T$54,20,FALSE),0))</f>
        <v/>
      </c>
      <c r="J102" s="17">
        <f>G102*I102</f>
        <v/>
      </c>
      <c r="K102" s="6" t="n"/>
      <c r="L102" s="6" t="n"/>
    </row>
    <row r="103">
      <c r="A103" s="32" t="n"/>
      <c r="B103" s="6" t="n"/>
      <c r="C103" s="6" t="n"/>
      <c r="D103">
        <f>IF(C103="","",IFERROR(VLOOKUP(C103,'Recetas y precios'!$A$5:$B$54,2,FALSE),""))</f>
        <v/>
      </c>
      <c r="E103" s="6" t="n"/>
      <c r="F103" s="6" t="n"/>
      <c r="G103" s="6" t="n"/>
      <c r="H103" s="29">
        <f>IF((F103+G103)&gt;0,G103/(F103+G103),"")</f>
        <v/>
      </c>
      <c r="I103" s="17">
        <f>IF(C103="",0,IFERROR(VLOOKUP(C103,'Recetas y precios'!$A$5:$T$54,20,FALSE),0))</f>
        <v/>
      </c>
      <c r="J103" s="17">
        <f>G103*I103</f>
        <v/>
      </c>
      <c r="K103" s="6" t="n"/>
      <c r="L103" s="6" t="n"/>
    </row>
    <row r="104">
      <c r="A104" s="32" t="n"/>
      <c r="B104" s="6" t="n"/>
      <c r="C104" s="6" t="n"/>
      <c r="D104">
        <f>IF(C104="","",IFERROR(VLOOKUP(C104,'Recetas y precios'!$A$5:$B$54,2,FALSE),""))</f>
        <v/>
      </c>
      <c r="E104" s="6" t="n"/>
      <c r="F104" s="6" t="n"/>
      <c r="G104" s="6" t="n"/>
      <c r="H104" s="29">
        <f>IF((F104+G104)&gt;0,G104/(F104+G104),"")</f>
        <v/>
      </c>
      <c r="I104" s="17">
        <f>IF(C104="",0,IFERROR(VLOOKUP(C104,'Recetas y precios'!$A$5:$T$54,20,FALSE),0))</f>
        <v/>
      </c>
      <c r="J104" s="17">
        <f>G104*I104</f>
        <v/>
      </c>
      <c r="K104" s="6" t="n"/>
      <c r="L104" s="6" t="n"/>
    </row>
    <row r="105">
      <c r="A105" s="32" t="n"/>
      <c r="B105" s="6" t="n"/>
      <c r="C105" s="6" t="n"/>
      <c r="D105">
        <f>IF(C105="","",IFERROR(VLOOKUP(C105,'Recetas y precios'!$A$5:$B$54,2,FALSE),""))</f>
        <v/>
      </c>
      <c r="E105" s="6" t="n"/>
      <c r="F105" s="6" t="n"/>
      <c r="G105" s="6" t="n"/>
      <c r="H105" s="29">
        <f>IF((F105+G105)&gt;0,G105/(F105+G105),"")</f>
        <v/>
      </c>
      <c r="I105" s="17">
        <f>IF(C105="",0,IFERROR(VLOOKUP(C105,'Recetas y precios'!$A$5:$T$54,20,FALSE),0))</f>
        <v/>
      </c>
      <c r="J105" s="17">
        <f>G105*I105</f>
        <v/>
      </c>
      <c r="K105" s="6" t="n"/>
      <c r="L105" s="6" t="n"/>
    </row>
    <row r="106">
      <c r="A106" s="32" t="n"/>
      <c r="B106" s="6" t="n"/>
      <c r="C106" s="6" t="n"/>
      <c r="D106">
        <f>IF(C106="","",IFERROR(VLOOKUP(C106,'Recetas y precios'!$A$5:$B$54,2,FALSE),""))</f>
        <v/>
      </c>
      <c r="E106" s="6" t="n"/>
      <c r="F106" s="6" t="n"/>
      <c r="G106" s="6" t="n"/>
      <c r="H106" s="29">
        <f>IF((F106+G106)&gt;0,G106/(F106+G106),"")</f>
        <v/>
      </c>
      <c r="I106" s="17">
        <f>IF(C106="",0,IFERROR(VLOOKUP(C106,'Recetas y precios'!$A$5:$T$54,20,FALSE),0))</f>
        <v/>
      </c>
      <c r="J106" s="17">
        <f>G106*I106</f>
        <v/>
      </c>
      <c r="K106" s="6" t="n"/>
      <c r="L106" s="6" t="n"/>
    </row>
    <row r="107">
      <c r="A107" s="32" t="n"/>
      <c r="B107" s="6" t="n"/>
      <c r="C107" s="6" t="n"/>
      <c r="D107">
        <f>IF(C107="","",IFERROR(VLOOKUP(C107,'Recetas y precios'!$A$5:$B$54,2,FALSE),""))</f>
        <v/>
      </c>
      <c r="E107" s="6" t="n"/>
      <c r="F107" s="6" t="n"/>
      <c r="G107" s="6" t="n"/>
      <c r="H107" s="29">
        <f>IF((F107+G107)&gt;0,G107/(F107+G107),"")</f>
        <v/>
      </c>
      <c r="I107" s="17">
        <f>IF(C107="",0,IFERROR(VLOOKUP(C107,'Recetas y precios'!$A$5:$T$54,20,FALSE),0))</f>
        <v/>
      </c>
      <c r="J107" s="17">
        <f>G107*I107</f>
        <v/>
      </c>
      <c r="K107" s="6" t="n"/>
      <c r="L107" s="6" t="n"/>
    </row>
    <row r="108">
      <c r="A108" s="32" t="n"/>
      <c r="B108" s="6" t="n"/>
      <c r="C108" s="6" t="n"/>
      <c r="D108">
        <f>IF(C108="","",IFERROR(VLOOKUP(C108,'Recetas y precios'!$A$5:$B$54,2,FALSE),""))</f>
        <v/>
      </c>
      <c r="E108" s="6" t="n"/>
      <c r="F108" s="6" t="n"/>
      <c r="G108" s="6" t="n"/>
      <c r="H108" s="29">
        <f>IF((F108+G108)&gt;0,G108/(F108+G108),"")</f>
        <v/>
      </c>
      <c r="I108" s="17">
        <f>IF(C108="",0,IFERROR(VLOOKUP(C108,'Recetas y precios'!$A$5:$T$54,20,FALSE),0))</f>
        <v/>
      </c>
      <c r="J108" s="17">
        <f>G108*I108</f>
        <v/>
      </c>
      <c r="K108" s="6" t="n"/>
      <c r="L108" s="6" t="n"/>
    </row>
    <row r="109">
      <c r="A109" s="32" t="n"/>
      <c r="B109" s="6" t="n"/>
      <c r="C109" s="6" t="n"/>
      <c r="D109">
        <f>IF(C109="","",IFERROR(VLOOKUP(C109,'Recetas y precios'!$A$5:$B$54,2,FALSE),""))</f>
        <v/>
      </c>
      <c r="E109" s="6" t="n"/>
      <c r="F109" s="6" t="n"/>
      <c r="G109" s="6" t="n"/>
      <c r="H109" s="29">
        <f>IF((F109+G109)&gt;0,G109/(F109+G109),"")</f>
        <v/>
      </c>
      <c r="I109" s="17">
        <f>IF(C109="",0,IFERROR(VLOOKUP(C109,'Recetas y precios'!$A$5:$T$54,20,FALSE),0))</f>
        <v/>
      </c>
      <c r="J109" s="17">
        <f>G109*I109</f>
        <v/>
      </c>
      <c r="K109" s="6" t="n"/>
      <c r="L109" s="6" t="n"/>
    </row>
    <row r="110">
      <c r="A110" s="32" t="n"/>
      <c r="B110" s="6" t="n"/>
      <c r="C110" s="6" t="n"/>
      <c r="D110">
        <f>IF(C110="","",IFERROR(VLOOKUP(C110,'Recetas y precios'!$A$5:$B$54,2,FALSE),""))</f>
        <v/>
      </c>
      <c r="E110" s="6" t="n"/>
      <c r="F110" s="6" t="n"/>
      <c r="G110" s="6" t="n"/>
      <c r="H110" s="29">
        <f>IF((F110+G110)&gt;0,G110/(F110+G110),"")</f>
        <v/>
      </c>
      <c r="I110" s="17">
        <f>IF(C110="",0,IFERROR(VLOOKUP(C110,'Recetas y precios'!$A$5:$T$54,20,FALSE),0))</f>
        <v/>
      </c>
      <c r="J110" s="17">
        <f>G110*I110</f>
        <v/>
      </c>
      <c r="K110" s="6" t="n"/>
      <c r="L110" s="6" t="n"/>
    </row>
    <row r="111">
      <c r="A111" s="32" t="n"/>
      <c r="B111" s="6" t="n"/>
      <c r="C111" s="6" t="n"/>
      <c r="D111">
        <f>IF(C111="","",IFERROR(VLOOKUP(C111,'Recetas y precios'!$A$5:$B$54,2,FALSE),""))</f>
        <v/>
      </c>
      <c r="E111" s="6" t="n"/>
      <c r="F111" s="6" t="n"/>
      <c r="G111" s="6" t="n"/>
      <c r="H111" s="29">
        <f>IF((F111+G111)&gt;0,G111/(F111+G111),"")</f>
        <v/>
      </c>
      <c r="I111" s="17">
        <f>IF(C111="",0,IFERROR(VLOOKUP(C111,'Recetas y precios'!$A$5:$T$54,20,FALSE),0))</f>
        <v/>
      </c>
      <c r="J111" s="17">
        <f>G111*I111</f>
        <v/>
      </c>
      <c r="K111" s="6" t="n"/>
      <c r="L111" s="6" t="n"/>
    </row>
    <row r="112">
      <c r="A112" s="32" t="n"/>
      <c r="B112" s="6" t="n"/>
      <c r="C112" s="6" t="n"/>
      <c r="D112">
        <f>IF(C112="","",IFERROR(VLOOKUP(C112,'Recetas y precios'!$A$5:$B$54,2,FALSE),""))</f>
        <v/>
      </c>
      <c r="E112" s="6" t="n"/>
      <c r="F112" s="6" t="n"/>
      <c r="G112" s="6" t="n"/>
      <c r="H112" s="29">
        <f>IF((F112+G112)&gt;0,G112/(F112+G112),"")</f>
        <v/>
      </c>
      <c r="I112" s="17">
        <f>IF(C112="",0,IFERROR(VLOOKUP(C112,'Recetas y precios'!$A$5:$T$54,20,FALSE),0))</f>
        <v/>
      </c>
      <c r="J112" s="17">
        <f>G112*I112</f>
        <v/>
      </c>
      <c r="K112" s="6" t="n"/>
      <c r="L112" s="6" t="n"/>
    </row>
    <row r="113">
      <c r="A113" s="32" t="n"/>
      <c r="B113" s="6" t="n"/>
      <c r="C113" s="6" t="n"/>
      <c r="D113">
        <f>IF(C113="","",IFERROR(VLOOKUP(C113,'Recetas y precios'!$A$5:$B$54,2,FALSE),""))</f>
        <v/>
      </c>
      <c r="E113" s="6" t="n"/>
      <c r="F113" s="6" t="n"/>
      <c r="G113" s="6" t="n"/>
      <c r="H113" s="29">
        <f>IF((F113+G113)&gt;0,G113/(F113+G113),"")</f>
        <v/>
      </c>
      <c r="I113" s="17">
        <f>IF(C113="",0,IFERROR(VLOOKUP(C113,'Recetas y precios'!$A$5:$T$54,20,FALSE),0))</f>
        <v/>
      </c>
      <c r="J113" s="17">
        <f>G113*I113</f>
        <v/>
      </c>
      <c r="K113" s="6" t="n"/>
      <c r="L113" s="6" t="n"/>
    </row>
    <row r="114">
      <c r="A114" s="32" t="n"/>
      <c r="B114" s="6" t="n"/>
      <c r="C114" s="6" t="n"/>
      <c r="D114">
        <f>IF(C114="","",IFERROR(VLOOKUP(C114,'Recetas y precios'!$A$5:$B$54,2,FALSE),""))</f>
        <v/>
      </c>
      <c r="E114" s="6" t="n"/>
      <c r="F114" s="6" t="n"/>
      <c r="G114" s="6" t="n"/>
      <c r="H114" s="29">
        <f>IF((F114+G114)&gt;0,G114/(F114+G114),"")</f>
        <v/>
      </c>
      <c r="I114" s="17">
        <f>IF(C114="",0,IFERROR(VLOOKUP(C114,'Recetas y precios'!$A$5:$T$54,20,FALSE),0))</f>
        <v/>
      </c>
      <c r="J114" s="17">
        <f>G114*I114</f>
        <v/>
      </c>
      <c r="K114" s="6" t="n"/>
      <c r="L114" s="6" t="n"/>
    </row>
    <row r="115">
      <c r="A115" s="32" t="n"/>
      <c r="B115" s="6" t="n"/>
      <c r="C115" s="6" t="n"/>
      <c r="D115">
        <f>IF(C115="","",IFERROR(VLOOKUP(C115,'Recetas y precios'!$A$5:$B$54,2,FALSE),""))</f>
        <v/>
      </c>
      <c r="E115" s="6" t="n"/>
      <c r="F115" s="6" t="n"/>
      <c r="G115" s="6" t="n"/>
      <c r="H115" s="29">
        <f>IF((F115+G115)&gt;0,G115/(F115+G115),"")</f>
        <v/>
      </c>
      <c r="I115" s="17">
        <f>IF(C115="",0,IFERROR(VLOOKUP(C115,'Recetas y precios'!$A$5:$T$54,20,FALSE),0))</f>
        <v/>
      </c>
      <c r="J115" s="17">
        <f>G115*I115</f>
        <v/>
      </c>
      <c r="K115" s="6" t="n"/>
      <c r="L115" s="6" t="n"/>
    </row>
    <row r="116">
      <c r="A116" s="32" t="n"/>
      <c r="B116" s="6" t="n"/>
      <c r="C116" s="6" t="n"/>
      <c r="D116">
        <f>IF(C116="","",IFERROR(VLOOKUP(C116,'Recetas y precios'!$A$5:$B$54,2,FALSE),""))</f>
        <v/>
      </c>
      <c r="E116" s="6" t="n"/>
      <c r="F116" s="6" t="n"/>
      <c r="G116" s="6" t="n"/>
      <c r="H116" s="29">
        <f>IF((F116+G116)&gt;0,G116/(F116+G116),"")</f>
        <v/>
      </c>
      <c r="I116" s="17">
        <f>IF(C116="",0,IFERROR(VLOOKUP(C116,'Recetas y precios'!$A$5:$T$54,20,FALSE),0))</f>
        <v/>
      </c>
      <c r="J116" s="17">
        <f>G116*I116</f>
        <v/>
      </c>
      <c r="K116" s="6" t="n"/>
      <c r="L116" s="6" t="n"/>
    </row>
    <row r="117">
      <c r="A117" s="32" t="n"/>
      <c r="B117" s="6" t="n"/>
      <c r="C117" s="6" t="n"/>
      <c r="D117">
        <f>IF(C117="","",IFERROR(VLOOKUP(C117,'Recetas y precios'!$A$5:$B$54,2,FALSE),""))</f>
        <v/>
      </c>
      <c r="E117" s="6" t="n"/>
      <c r="F117" s="6" t="n"/>
      <c r="G117" s="6" t="n"/>
      <c r="H117" s="29">
        <f>IF((F117+G117)&gt;0,G117/(F117+G117),"")</f>
        <v/>
      </c>
      <c r="I117" s="17">
        <f>IF(C117="",0,IFERROR(VLOOKUP(C117,'Recetas y precios'!$A$5:$T$54,20,FALSE),0))</f>
        <v/>
      </c>
      <c r="J117" s="17">
        <f>G117*I117</f>
        <v/>
      </c>
      <c r="K117" s="6" t="n"/>
      <c r="L117" s="6" t="n"/>
    </row>
    <row r="118">
      <c r="A118" s="32" t="n"/>
      <c r="B118" s="6" t="n"/>
      <c r="C118" s="6" t="n"/>
      <c r="D118">
        <f>IF(C118="","",IFERROR(VLOOKUP(C118,'Recetas y precios'!$A$5:$B$54,2,FALSE),""))</f>
        <v/>
      </c>
      <c r="E118" s="6" t="n"/>
      <c r="F118" s="6" t="n"/>
      <c r="G118" s="6" t="n"/>
      <c r="H118" s="29">
        <f>IF((F118+G118)&gt;0,G118/(F118+G118),"")</f>
        <v/>
      </c>
      <c r="I118" s="17">
        <f>IF(C118="",0,IFERROR(VLOOKUP(C118,'Recetas y precios'!$A$5:$T$54,20,FALSE),0))</f>
        <v/>
      </c>
      <c r="J118" s="17">
        <f>G118*I118</f>
        <v/>
      </c>
      <c r="K118" s="6" t="n"/>
      <c r="L118" s="6" t="n"/>
    </row>
    <row r="119">
      <c r="A119" s="32" t="n"/>
      <c r="B119" s="6" t="n"/>
      <c r="C119" s="6" t="n"/>
      <c r="D119">
        <f>IF(C119="","",IFERROR(VLOOKUP(C119,'Recetas y precios'!$A$5:$B$54,2,FALSE),""))</f>
        <v/>
      </c>
      <c r="E119" s="6" t="n"/>
      <c r="F119" s="6" t="n"/>
      <c r="G119" s="6" t="n"/>
      <c r="H119" s="29">
        <f>IF((F119+G119)&gt;0,G119/(F119+G119),"")</f>
        <v/>
      </c>
      <c r="I119" s="17">
        <f>IF(C119="",0,IFERROR(VLOOKUP(C119,'Recetas y precios'!$A$5:$T$54,20,FALSE),0))</f>
        <v/>
      </c>
      <c r="J119" s="17">
        <f>G119*I119</f>
        <v/>
      </c>
      <c r="K119" s="6" t="n"/>
      <c r="L119" s="6" t="n"/>
    </row>
    <row r="120">
      <c r="A120" s="32" t="n"/>
      <c r="B120" s="6" t="n"/>
      <c r="C120" s="6" t="n"/>
      <c r="D120">
        <f>IF(C120="","",IFERROR(VLOOKUP(C120,'Recetas y precios'!$A$5:$B$54,2,FALSE),""))</f>
        <v/>
      </c>
      <c r="E120" s="6" t="n"/>
      <c r="F120" s="6" t="n"/>
      <c r="G120" s="6" t="n"/>
      <c r="H120" s="29">
        <f>IF((F120+G120)&gt;0,G120/(F120+G120),"")</f>
        <v/>
      </c>
      <c r="I120" s="17">
        <f>IF(C120="",0,IFERROR(VLOOKUP(C120,'Recetas y precios'!$A$5:$T$54,20,FALSE),0))</f>
        <v/>
      </c>
      <c r="J120" s="17">
        <f>G120*I120</f>
        <v/>
      </c>
      <c r="K120" s="6" t="n"/>
      <c r="L120" s="6" t="n"/>
    </row>
    <row r="121">
      <c r="A121" s="32" t="n"/>
      <c r="B121" s="6" t="n"/>
      <c r="C121" s="6" t="n"/>
      <c r="D121">
        <f>IF(C121="","",IFERROR(VLOOKUP(C121,'Recetas y precios'!$A$5:$B$54,2,FALSE),""))</f>
        <v/>
      </c>
      <c r="E121" s="6" t="n"/>
      <c r="F121" s="6" t="n"/>
      <c r="G121" s="6" t="n"/>
      <c r="H121" s="29">
        <f>IF((F121+G121)&gt;0,G121/(F121+G121),"")</f>
        <v/>
      </c>
      <c r="I121" s="17">
        <f>IF(C121="",0,IFERROR(VLOOKUP(C121,'Recetas y precios'!$A$5:$T$54,20,FALSE),0))</f>
        <v/>
      </c>
      <c r="J121" s="17">
        <f>G121*I121</f>
        <v/>
      </c>
      <c r="K121" s="6" t="n"/>
      <c r="L121" s="6" t="n"/>
    </row>
    <row r="122">
      <c r="A122" s="32" t="n"/>
      <c r="B122" s="6" t="n"/>
      <c r="C122" s="6" t="n"/>
      <c r="D122">
        <f>IF(C122="","",IFERROR(VLOOKUP(C122,'Recetas y precios'!$A$5:$B$54,2,FALSE),""))</f>
        <v/>
      </c>
      <c r="E122" s="6" t="n"/>
      <c r="F122" s="6" t="n"/>
      <c r="G122" s="6" t="n"/>
      <c r="H122" s="29">
        <f>IF((F122+G122)&gt;0,G122/(F122+G122),"")</f>
        <v/>
      </c>
      <c r="I122" s="17">
        <f>IF(C122="",0,IFERROR(VLOOKUP(C122,'Recetas y precios'!$A$5:$T$54,20,FALSE),0))</f>
        <v/>
      </c>
      <c r="J122" s="17">
        <f>G122*I122</f>
        <v/>
      </c>
      <c r="K122" s="6" t="n"/>
      <c r="L122" s="6" t="n"/>
    </row>
    <row r="123">
      <c r="A123" s="32" t="n"/>
      <c r="B123" s="6" t="n"/>
      <c r="C123" s="6" t="n"/>
      <c r="D123">
        <f>IF(C123="","",IFERROR(VLOOKUP(C123,'Recetas y precios'!$A$5:$B$54,2,FALSE),""))</f>
        <v/>
      </c>
      <c r="E123" s="6" t="n"/>
      <c r="F123" s="6" t="n"/>
      <c r="G123" s="6" t="n"/>
      <c r="H123" s="29">
        <f>IF((F123+G123)&gt;0,G123/(F123+G123),"")</f>
        <v/>
      </c>
      <c r="I123" s="17">
        <f>IF(C123="",0,IFERROR(VLOOKUP(C123,'Recetas y precios'!$A$5:$T$54,20,FALSE),0))</f>
        <v/>
      </c>
      <c r="J123" s="17">
        <f>G123*I123</f>
        <v/>
      </c>
      <c r="K123" s="6" t="n"/>
      <c r="L123" s="6" t="n"/>
    </row>
    <row r="124">
      <c r="A124" s="32" t="n"/>
      <c r="B124" s="6" t="n"/>
      <c r="C124" s="6" t="n"/>
      <c r="D124">
        <f>IF(C124="","",IFERROR(VLOOKUP(C124,'Recetas y precios'!$A$5:$B$54,2,FALSE),""))</f>
        <v/>
      </c>
      <c r="E124" s="6" t="n"/>
      <c r="F124" s="6" t="n"/>
      <c r="G124" s="6" t="n"/>
      <c r="H124" s="29">
        <f>IF((F124+G124)&gt;0,G124/(F124+G124),"")</f>
        <v/>
      </c>
      <c r="I124" s="17">
        <f>IF(C124="",0,IFERROR(VLOOKUP(C124,'Recetas y precios'!$A$5:$T$54,20,FALSE),0))</f>
        <v/>
      </c>
      <c r="J124" s="17">
        <f>G124*I124</f>
        <v/>
      </c>
      <c r="K124" s="6" t="n"/>
      <c r="L124" s="6" t="n"/>
    </row>
    <row r="125">
      <c r="A125" s="32" t="n"/>
      <c r="B125" s="6" t="n"/>
      <c r="C125" s="6" t="n"/>
      <c r="D125">
        <f>IF(C125="","",IFERROR(VLOOKUP(C125,'Recetas y precios'!$A$5:$B$54,2,FALSE),""))</f>
        <v/>
      </c>
      <c r="E125" s="6" t="n"/>
      <c r="F125" s="6" t="n"/>
      <c r="G125" s="6" t="n"/>
      <c r="H125" s="29">
        <f>IF((F125+G125)&gt;0,G125/(F125+G125),"")</f>
        <v/>
      </c>
      <c r="I125" s="17">
        <f>IF(C125="",0,IFERROR(VLOOKUP(C125,'Recetas y precios'!$A$5:$T$54,20,FALSE),0))</f>
        <v/>
      </c>
      <c r="J125" s="17">
        <f>G125*I125</f>
        <v/>
      </c>
      <c r="K125" s="6" t="n"/>
      <c r="L125" s="6" t="n"/>
    </row>
    <row r="126">
      <c r="A126" s="32" t="n"/>
      <c r="B126" s="6" t="n"/>
      <c r="C126" s="6" t="n"/>
      <c r="D126">
        <f>IF(C126="","",IFERROR(VLOOKUP(C126,'Recetas y precios'!$A$5:$B$54,2,FALSE),""))</f>
        <v/>
      </c>
      <c r="E126" s="6" t="n"/>
      <c r="F126" s="6" t="n"/>
      <c r="G126" s="6" t="n"/>
      <c r="H126" s="29">
        <f>IF((F126+G126)&gt;0,G126/(F126+G126),"")</f>
        <v/>
      </c>
      <c r="I126" s="17">
        <f>IF(C126="",0,IFERROR(VLOOKUP(C126,'Recetas y precios'!$A$5:$T$54,20,FALSE),0))</f>
        <v/>
      </c>
      <c r="J126" s="17">
        <f>G126*I126</f>
        <v/>
      </c>
      <c r="K126" s="6" t="n"/>
      <c r="L126" s="6" t="n"/>
    </row>
    <row r="127">
      <c r="A127" s="32" t="n"/>
      <c r="B127" s="6" t="n"/>
      <c r="C127" s="6" t="n"/>
      <c r="D127">
        <f>IF(C127="","",IFERROR(VLOOKUP(C127,'Recetas y precios'!$A$5:$B$54,2,FALSE),""))</f>
        <v/>
      </c>
      <c r="E127" s="6" t="n"/>
      <c r="F127" s="6" t="n"/>
      <c r="G127" s="6" t="n"/>
      <c r="H127" s="29">
        <f>IF((F127+G127)&gt;0,G127/(F127+G127),"")</f>
        <v/>
      </c>
      <c r="I127" s="17">
        <f>IF(C127="",0,IFERROR(VLOOKUP(C127,'Recetas y precios'!$A$5:$T$54,20,FALSE),0))</f>
        <v/>
      </c>
      <c r="J127" s="17">
        <f>G127*I127</f>
        <v/>
      </c>
      <c r="K127" s="6" t="n"/>
      <c r="L127" s="6" t="n"/>
    </row>
    <row r="128">
      <c r="A128" s="32" t="n"/>
      <c r="B128" s="6" t="n"/>
      <c r="C128" s="6" t="n"/>
      <c r="D128">
        <f>IF(C128="","",IFERROR(VLOOKUP(C128,'Recetas y precios'!$A$5:$B$54,2,FALSE),""))</f>
        <v/>
      </c>
      <c r="E128" s="6" t="n"/>
      <c r="F128" s="6" t="n"/>
      <c r="G128" s="6" t="n"/>
      <c r="H128" s="29">
        <f>IF((F128+G128)&gt;0,G128/(F128+G128),"")</f>
        <v/>
      </c>
      <c r="I128" s="17">
        <f>IF(C128="",0,IFERROR(VLOOKUP(C128,'Recetas y precios'!$A$5:$T$54,20,FALSE),0))</f>
        <v/>
      </c>
      <c r="J128" s="17">
        <f>G128*I128</f>
        <v/>
      </c>
      <c r="K128" s="6" t="n"/>
      <c r="L128" s="6" t="n"/>
    </row>
    <row r="129">
      <c r="A129" s="32" t="n"/>
      <c r="B129" s="6" t="n"/>
      <c r="C129" s="6" t="n"/>
      <c r="D129">
        <f>IF(C129="","",IFERROR(VLOOKUP(C129,'Recetas y precios'!$A$5:$B$54,2,FALSE),""))</f>
        <v/>
      </c>
      <c r="E129" s="6" t="n"/>
      <c r="F129" s="6" t="n"/>
      <c r="G129" s="6" t="n"/>
      <c r="H129" s="29">
        <f>IF((F129+G129)&gt;0,G129/(F129+G129),"")</f>
        <v/>
      </c>
      <c r="I129" s="17">
        <f>IF(C129="",0,IFERROR(VLOOKUP(C129,'Recetas y precios'!$A$5:$T$54,20,FALSE),0))</f>
        <v/>
      </c>
      <c r="J129" s="17">
        <f>G129*I129</f>
        <v/>
      </c>
      <c r="K129" s="6" t="n"/>
      <c r="L129" s="6" t="n"/>
    </row>
    <row r="130">
      <c r="A130" s="32" t="n"/>
      <c r="B130" s="6" t="n"/>
      <c r="C130" s="6" t="n"/>
      <c r="D130">
        <f>IF(C130="","",IFERROR(VLOOKUP(C130,'Recetas y precios'!$A$5:$B$54,2,FALSE),""))</f>
        <v/>
      </c>
      <c r="E130" s="6" t="n"/>
      <c r="F130" s="6" t="n"/>
      <c r="G130" s="6" t="n"/>
      <c r="H130" s="29">
        <f>IF((F130+G130)&gt;0,G130/(F130+G130),"")</f>
        <v/>
      </c>
      <c r="I130" s="17">
        <f>IF(C130="",0,IFERROR(VLOOKUP(C130,'Recetas y precios'!$A$5:$T$54,20,FALSE),0))</f>
        <v/>
      </c>
      <c r="J130" s="17">
        <f>G130*I130</f>
        <v/>
      </c>
      <c r="K130" s="6" t="n"/>
      <c r="L130" s="6" t="n"/>
    </row>
    <row r="131">
      <c r="A131" s="32" t="n"/>
      <c r="B131" s="6" t="n"/>
      <c r="C131" s="6" t="n"/>
      <c r="D131">
        <f>IF(C131="","",IFERROR(VLOOKUP(C131,'Recetas y precios'!$A$5:$B$54,2,FALSE),""))</f>
        <v/>
      </c>
      <c r="E131" s="6" t="n"/>
      <c r="F131" s="6" t="n"/>
      <c r="G131" s="6" t="n"/>
      <c r="H131" s="29">
        <f>IF((F131+G131)&gt;0,G131/(F131+G131),"")</f>
        <v/>
      </c>
      <c r="I131" s="17">
        <f>IF(C131="",0,IFERROR(VLOOKUP(C131,'Recetas y precios'!$A$5:$T$54,20,FALSE),0))</f>
        <v/>
      </c>
      <c r="J131" s="17">
        <f>G131*I131</f>
        <v/>
      </c>
      <c r="K131" s="6" t="n"/>
      <c r="L131" s="6" t="n"/>
    </row>
    <row r="132">
      <c r="A132" s="32" t="n"/>
      <c r="B132" s="6" t="n"/>
      <c r="C132" s="6" t="n"/>
      <c r="D132">
        <f>IF(C132="","",IFERROR(VLOOKUP(C132,'Recetas y precios'!$A$5:$B$54,2,FALSE),""))</f>
        <v/>
      </c>
      <c r="E132" s="6" t="n"/>
      <c r="F132" s="6" t="n"/>
      <c r="G132" s="6" t="n"/>
      <c r="H132" s="29">
        <f>IF((F132+G132)&gt;0,G132/(F132+G132),"")</f>
        <v/>
      </c>
      <c r="I132" s="17">
        <f>IF(C132="",0,IFERROR(VLOOKUP(C132,'Recetas y precios'!$A$5:$T$54,20,FALSE),0))</f>
        <v/>
      </c>
      <c r="J132" s="17">
        <f>G132*I132</f>
        <v/>
      </c>
      <c r="K132" s="6" t="n"/>
      <c r="L132" s="6" t="n"/>
    </row>
    <row r="133">
      <c r="A133" s="32" t="n"/>
      <c r="B133" s="6" t="n"/>
      <c r="C133" s="6" t="n"/>
      <c r="D133">
        <f>IF(C133="","",IFERROR(VLOOKUP(C133,'Recetas y precios'!$A$5:$B$54,2,FALSE),""))</f>
        <v/>
      </c>
      <c r="E133" s="6" t="n"/>
      <c r="F133" s="6" t="n"/>
      <c r="G133" s="6" t="n"/>
      <c r="H133" s="29">
        <f>IF((F133+G133)&gt;0,G133/(F133+G133),"")</f>
        <v/>
      </c>
      <c r="I133" s="17">
        <f>IF(C133="",0,IFERROR(VLOOKUP(C133,'Recetas y precios'!$A$5:$T$54,20,FALSE),0))</f>
        <v/>
      </c>
      <c r="J133" s="17">
        <f>G133*I133</f>
        <v/>
      </c>
      <c r="K133" s="6" t="n"/>
      <c r="L133" s="6" t="n"/>
    </row>
    <row r="134">
      <c r="A134" s="32" t="n"/>
      <c r="B134" s="6" t="n"/>
      <c r="C134" s="6" t="n"/>
      <c r="D134">
        <f>IF(C134="","",IFERROR(VLOOKUP(C134,'Recetas y precios'!$A$5:$B$54,2,FALSE),""))</f>
        <v/>
      </c>
      <c r="E134" s="6" t="n"/>
      <c r="F134" s="6" t="n"/>
      <c r="G134" s="6" t="n"/>
      <c r="H134" s="29">
        <f>IF((F134+G134)&gt;0,G134/(F134+G134),"")</f>
        <v/>
      </c>
      <c r="I134" s="17">
        <f>IF(C134="",0,IFERROR(VLOOKUP(C134,'Recetas y precios'!$A$5:$T$54,20,FALSE),0))</f>
        <v/>
      </c>
      <c r="J134" s="17">
        <f>G134*I134</f>
        <v/>
      </c>
      <c r="K134" s="6" t="n"/>
      <c r="L134" s="6" t="n"/>
    </row>
    <row r="135">
      <c r="A135" s="32" t="n"/>
      <c r="B135" s="6" t="n"/>
      <c r="C135" s="6" t="n"/>
      <c r="D135">
        <f>IF(C135="","",IFERROR(VLOOKUP(C135,'Recetas y precios'!$A$5:$B$54,2,FALSE),""))</f>
        <v/>
      </c>
      <c r="E135" s="6" t="n"/>
      <c r="F135" s="6" t="n"/>
      <c r="G135" s="6" t="n"/>
      <c r="H135" s="29">
        <f>IF((F135+G135)&gt;0,G135/(F135+G135),"")</f>
        <v/>
      </c>
      <c r="I135" s="17">
        <f>IF(C135="",0,IFERROR(VLOOKUP(C135,'Recetas y precios'!$A$5:$T$54,20,FALSE),0))</f>
        <v/>
      </c>
      <c r="J135" s="17">
        <f>G135*I135</f>
        <v/>
      </c>
      <c r="K135" s="6" t="n"/>
      <c r="L135" s="6" t="n"/>
    </row>
    <row r="136">
      <c r="A136" s="32" t="n"/>
      <c r="B136" s="6" t="n"/>
      <c r="C136" s="6" t="n"/>
      <c r="D136">
        <f>IF(C136="","",IFERROR(VLOOKUP(C136,'Recetas y precios'!$A$5:$B$54,2,FALSE),""))</f>
        <v/>
      </c>
      <c r="E136" s="6" t="n"/>
      <c r="F136" s="6" t="n"/>
      <c r="G136" s="6" t="n"/>
      <c r="H136" s="29">
        <f>IF((F136+G136)&gt;0,G136/(F136+G136),"")</f>
        <v/>
      </c>
      <c r="I136" s="17">
        <f>IF(C136="",0,IFERROR(VLOOKUP(C136,'Recetas y precios'!$A$5:$T$54,20,FALSE),0))</f>
        <v/>
      </c>
      <c r="J136" s="17">
        <f>G136*I136</f>
        <v/>
      </c>
      <c r="K136" s="6" t="n"/>
      <c r="L136" s="6" t="n"/>
    </row>
    <row r="137">
      <c r="A137" s="32" t="n"/>
      <c r="B137" s="6" t="n"/>
      <c r="C137" s="6" t="n"/>
      <c r="D137">
        <f>IF(C137="","",IFERROR(VLOOKUP(C137,'Recetas y precios'!$A$5:$B$54,2,FALSE),""))</f>
        <v/>
      </c>
      <c r="E137" s="6" t="n"/>
      <c r="F137" s="6" t="n"/>
      <c r="G137" s="6" t="n"/>
      <c r="H137" s="29">
        <f>IF((F137+G137)&gt;0,G137/(F137+G137),"")</f>
        <v/>
      </c>
      <c r="I137" s="17">
        <f>IF(C137="",0,IFERROR(VLOOKUP(C137,'Recetas y precios'!$A$5:$T$54,20,FALSE),0))</f>
        <v/>
      </c>
      <c r="J137" s="17">
        <f>G137*I137</f>
        <v/>
      </c>
      <c r="K137" s="6" t="n"/>
      <c r="L137" s="6" t="n"/>
    </row>
    <row r="138">
      <c r="A138" s="32" t="n"/>
      <c r="B138" s="6" t="n"/>
      <c r="C138" s="6" t="n"/>
      <c r="D138">
        <f>IF(C138="","",IFERROR(VLOOKUP(C138,'Recetas y precios'!$A$5:$B$54,2,FALSE),""))</f>
        <v/>
      </c>
      <c r="E138" s="6" t="n"/>
      <c r="F138" s="6" t="n"/>
      <c r="G138" s="6" t="n"/>
      <c r="H138" s="29">
        <f>IF((F138+G138)&gt;0,G138/(F138+G138),"")</f>
        <v/>
      </c>
      <c r="I138" s="17">
        <f>IF(C138="",0,IFERROR(VLOOKUP(C138,'Recetas y precios'!$A$5:$T$54,20,FALSE),0))</f>
        <v/>
      </c>
      <c r="J138" s="17">
        <f>G138*I138</f>
        <v/>
      </c>
      <c r="K138" s="6" t="n"/>
      <c r="L138" s="6" t="n"/>
    </row>
    <row r="139">
      <c r="A139" s="32" t="n"/>
      <c r="B139" s="6" t="n"/>
      <c r="C139" s="6" t="n"/>
      <c r="D139">
        <f>IF(C139="","",IFERROR(VLOOKUP(C139,'Recetas y precios'!$A$5:$B$54,2,FALSE),""))</f>
        <v/>
      </c>
      <c r="E139" s="6" t="n"/>
      <c r="F139" s="6" t="n"/>
      <c r="G139" s="6" t="n"/>
      <c r="H139" s="29">
        <f>IF((F139+G139)&gt;0,G139/(F139+G139),"")</f>
        <v/>
      </c>
      <c r="I139" s="17">
        <f>IF(C139="",0,IFERROR(VLOOKUP(C139,'Recetas y precios'!$A$5:$T$54,20,FALSE),0))</f>
        <v/>
      </c>
      <c r="J139" s="17">
        <f>G139*I139</f>
        <v/>
      </c>
      <c r="K139" s="6" t="n"/>
      <c r="L139" s="6" t="n"/>
    </row>
    <row r="140">
      <c r="A140" s="32" t="n"/>
      <c r="B140" s="6" t="n"/>
      <c r="C140" s="6" t="n"/>
      <c r="D140">
        <f>IF(C140="","",IFERROR(VLOOKUP(C140,'Recetas y precios'!$A$5:$B$54,2,FALSE),""))</f>
        <v/>
      </c>
      <c r="E140" s="6" t="n"/>
      <c r="F140" s="6" t="n"/>
      <c r="G140" s="6" t="n"/>
      <c r="H140" s="29">
        <f>IF((F140+G140)&gt;0,G140/(F140+G140),"")</f>
        <v/>
      </c>
      <c r="I140" s="17">
        <f>IF(C140="",0,IFERROR(VLOOKUP(C140,'Recetas y precios'!$A$5:$T$54,20,FALSE),0))</f>
        <v/>
      </c>
      <c r="J140" s="17">
        <f>G140*I140</f>
        <v/>
      </c>
      <c r="K140" s="6" t="n"/>
      <c r="L140" s="6" t="n"/>
    </row>
    <row r="141">
      <c r="A141" s="32" t="n"/>
      <c r="B141" s="6" t="n"/>
      <c r="C141" s="6" t="n"/>
      <c r="D141">
        <f>IF(C141="","",IFERROR(VLOOKUP(C141,'Recetas y precios'!$A$5:$B$54,2,FALSE),""))</f>
        <v/>
      </c>
      <c r="E141" s="6" t="n"/>
      <c r="F141" s="6" t="n"/>
      <c r="G141" s="6" t="n"/>
      <c r="H141" s="29">
        <f>IF((F141+G141)&gt;0,G141/(F141+G141),"")</f>
        <v/>
      </c>
      <c r="I141" s="17">
        <f>IF(C141="",0,IFERROR(VLOOKUP(C141,'Recetas y precios'!$A$5:$T$54,20,FALSE),0))</f>
        <v/>
      </c>
      <c r="J141" s="17">
        <f>G141*I141</f>
        <v/>
      </c>
      <c r="K141" s="6" t="n"/>
      <c r="L141" s="6" t="n"/>
    </row>
    <row r="142">
      <c r="A142" s="32" t="n"/>
      <c r="B142" s="6" t="n"/>
      <c r="C142" s="6" t="n"/>
      <c r="D142">
        <f>IF(C142="","",IFERROR(VLOOKUP(C142,'Recetas y precios'!$A$5:$B$54,2,FALSE),""))</f>
        <v/>
      </c>
      <c r="E142" s="6" t="n"/>
      <c r="F142" s="6" t="n"/>
      <c r="G142" s="6" t="n"/>
      <c r="H142" s="29">
        <f>IF((F142+G142)&gt;0,G142/(F142+G142),"")</f>
        <v/>
      </c>
      <c r="I142" s="17">
        <f>IF(C142="",0,IFERROR(VLOOKUP(C142,'Recetas y precios'!$A$5:$T$54,20,FALSE),0))</f>
        <v/>
      </c>
      <c r="J142" s="17">
        <f>G142*I142</f>
        <v/>
      </c>
      <c r="K142" s="6" t="n"/>
      <c r="L142" s="6" t="n"/>
    </row>
    <row r="143">
      <c r="A143" s="32" t="n"/>
      <c r="B143" s="6" t="n"/>
      <c r="C143" s="6" t="n"/>
      <c r="D143">
        <f>IF(C143="","",IFERROR(VLOOKUP(C143,'Recetas y precios'!$A$5:$B$54,2,FALSE),""))</f>
        <v/>
      </c>
      <c r="E143" s="6" t="n"/>
      <c r="F143" s="6" t="n"/>
      <c r="G143" s="6" t="n"/>
      <c r="H143" s="29">
        <f>IF((F143+G143)&gt;0,G143/(F143+G143),"")</f>
        <v/>
      </c>
      <c r="I143" s="17">
        <f>IF(C143="",0,IFERROR(VLOOKUP(C143,'Recetas y precios'!$A$5:$T$54,20,FALSE),0))</f>
        <v/>
      </c>
      <c r="J143" s="17">
        <f>G143*I143</f>
        <v/>
      </c>
      <c r="K143" s="6" t="n"/>
      <c r="L143" s="6" t="n"/>
    </row>
    <row r="144">
      <c r="A144" s="32" t="n"/>
      <c r="B144" s="6" t="n"/>
      <c r="C144" s="6" t="n"/>
      <c r="D144">
        <f>IF(C144="","",IFERROR(VLOOKUP(C144,'Recetas y precios'!$A$5:$B$54,2,FALSE),""))</f>
        <v/>
      </c>
      <c r="E144" s="6" t="n"/>
      <c r="F144" s="6" t="n"/>
      <c r="G144" s="6" t="n"/>
      <c r="H144" s="29">
        <f>IF((F144+G144)&gt;0,G144/(F144+G144),"")</f>
        <v/>
      </c>
      <c r="I144" s="17">
        <f>IF(C144="",0,IFERROR(VLOOKUP(C144,'Recetas y precios'!$A$5:$T$54,20,FALSE),0))</f>
        <v/>
      </c>
      <c r="J144" s="17">
        <f>G144*I144</f>
        <v/>
      </c>
      <c r="K144" s="6" t="n"/>
      <c r="L144" s="6" t="n"/>
    </row>
    <row r="145">
      <c r="A145" s="32" t="n"/>
      <c r="B145" s="6" t="n"/>
      <c r="C145" s="6" t="n"/>
      <c r="D145">
        <f>IF(C145="","",IFERROR(VLOOKUP(C145,'Recetas y precios'!$A$5:$B$54,2,FALSE),""))</f>
        <v/>
      </c>
      <c r="E145" s="6" t="n"/>
      <c r="F145" s="6" t="n"/>
      <c r="G145" s="6" t="n"/>
      <c r="H145" s="29">
        <f>IF((F145+G145)&gt;0,G145/(F145+G145),"")</f>
        <v/>
      </c>
      <c r="I145" s="17">
        <f>IF(C145="",0,IFERROR(VLOOKUP(C145,'Recetas y precios'!$A$5:$T$54,20,FALSE),0))</f>
        <v/>
      </c>
      <c r="J145" s="17">
        <f>G145*I145</f>
        <v/>
      </c>
      <c r="K145" s="6" t="n"/>
      <c r="L145" s="6" t="n"/>
    </row>
    <row r="146">
      <c r="A146" s="32" t="n"/>
      <c r="B146" s="6" t="n"/>
      <c r="C146" s="6" t="n"/>
      <c r="D146">
        <f>IF(C146="","",IFERROR(VLOOKUP(C146,'Recetas y precios'!$A$5:$B$54,2,FALSE),""))</f>
        <v/>
      </c>
      <c r="E146" s="6" t="n"/>
      <c r="F146" s="6" t="n"/>
      <c r="G146" s="6" t="n"/>
      <c r="H146" s="29">
        <f>IF((F146+G146)&gt;0,G146/(F146+G146),"")</f>
        <v/>
      </c>
      <c r="I146" s="17">
        <f>IF(C146="",0,IFERROR(VLOOKUP(C146,'Recetas y precios'!$A$5:$T$54,20,FALSE),0))</f>
        <v/>
      </c>
      <c r="J146" s="17">
        <f>G146*I146</f>
        <v/>
      </c>
      <c r="K146" s="6" t="n"/>
      <c r="L146" s="6" t="n"/>
    </row>
    <row r="147">
      <c r="A147" s="32" t="n"/>
      <c r="B147" s="6" t="n"/>
      <c r="C147" s="6" t="n"/>
      <c r="D147">
        <f>IF(C147="","",IFERROR(VLOOKUP(C147,'Recetas y precios'!$A$5:$B$54,2,FALSE),""))</f>
        <v/>
      </c>
      <c r="E147" s="6" t="n"/>
      <c r="F147" s="6" t="n"/>
      <c r="G147" s="6" t="n"/>
      <c r="H147" s="29">
        <f>IF((F147+G147)&gt;0,G147/(F147+G147),"")</f>
        <v/>
      </c>
      <c r="I147" s="17">
        <f>IF(C147="",0,IFERROR(VLOOKUP(C147,'Recetas y precios'!$A$5:$T$54,20,FALSE),0))</f>
        <v/>
      </c>
      <c r="J147" s="17">
        <f>G147*I147</f>
        <v/>
      </c>
      <c r="K147" s="6" t="n"/>
      <c r="L147" s="6" t="n"/>
    </row>
    <row r="148">
      <c r="A148" s="32" t="n"/>
      <c r="B148" s="6" t="n"/>
      <c r="C148" s="6" t="n"/>
      <c r="D148">
        <f>IF(C148="","",IFERROR(VLOOKUP(C148,'Recetas y precios'!$A$5:$B$54,2,FALSE),""))</f>
        <v/>
      </c>
      <c r="E148" s="6" t="n"/>
      <c r="F148" s="6" t="n"/>
      <c r="G148" s="6" t="n"/>
      <c r="H148" s="29">
        <f>IF((F148+G148)&gt;0,G148/(F148+G148),"")</f>
        <v/>
      </c>
      <c r="I148" s="17">
        <f>IF(C148="",0,IFERROR(VLOOKUP(C148,'Recetas y precios'!$A$5:$T$54,20,FALSE),0))</f>
        <v/>
      </c>
      <c r="J148" s="17">
        <f>G148*I148</f>
        <v/>
      </c>
      <c r="K148" s="6" t="n"/>
      <c r="L148" s="6" t="n"/>
    </row>
    <row r="149">
      <c r="A149" s="32" t="n"/>
      <c r="B149" s="6" t="n"/>
      <c r="C149" s="6" t="n"/>
      <c r="D149">
        <f>IF(C149="","",IFERROR(VLOOKUP(C149,'Recetas y precios'!$A$5:$B$54,2,FALSE),""))</f>
        <v/>
      </c>
      <c r="E149" s="6" t="n"/>
      <c r="F149" s="6" t="n"/>
      <c r="G149" s="6" t="n"/>
      <c r="H149" s="29">
        <f>IF((F149+G149)&gt;0,G149/(F149+G149),"")</f>
        <v/>
      </c>
      <c r="I149" s="17">
        <f>IF(C149="",0,IFERROR(VLOOKUP(C149,'Recetas y precios'!$A$5:$T$54,20,FALSE),0))</f>
        <v/>
      </c>
      <c r="J149" s="17">
        <f>G149*I149</f>
        <v/>
      </c>
      <c r="K149" s="6" t="n"/>
      <c r="L149" s="6" t="n"/>
    </row>
    <row r="150">
      <c r="A150" s="32" t="n"/>
      <c r="B150" s="6" t="n"/>
      <c r="C150" s="6" t="n"/>
      <c r="D150">
        <f>IF(C150="","",IFERROR(VLOOKUP(C150,'Recetas y precios'!$A$5:$B$54,2,FALSE),""))</f>
        <v/>
      </c>
      <c r="E150" s="6" t="n"/>
      <c r="F150" s="6" t="n"/>
      <c r="G150" s="6" t="n"/>
      <c r="H150" s="29">
        <f>IF((F150+G150)&gt;0,G150/(F150+G150),"")</f>
        <v/>
      </c>
      <c r="I150" s="17">
        <f>IF(C150="",0,IFERROR(VLOOKUP(C150,'Recetas y precios'!$A$5:$T$54,20,FALSE),0))</f>
        <v/>
      </c>
      <c r="J150" s="17">
        <f>G150*I150</f>
        <v/>
      </c>
      <c r="K150" s="6" t="n"/>
      <c r="L150" s="6" t="n"/>
    </row>
    <row r="151">
      <c r="A151" s="32" t="n"/>
      <c r="B151" s="6" t="n"/>
      <c r="C151" s="6" t="n"/>
      <c r="D151">
        <f>IF(C151="","",IFERROR(VLOOKUP(C151,'Recetas y precios'!$A$5:$B$54,2,FALSE),""))</f>
        <v/>
      </c>
      <c r="E151" s="6" t="n"/>
      <c r="F151" s="6" t="n"/>
      <c r="G151" s="6" t="n"/>
      <c r="H151" s="29">
        <f>IF((F151+G151)&gt;0,G151/(F151+G151),"")</f>
        <v/>
      </c>
      <c r="I151" s="17">
        <f>IF(C151="",0,IFERROR(VLOOKUP(C151,'Recetas y precios'!$A$5:$T$54,20,FALSE),0))</f>
        <v/>
      </c>
      <c r="J151" s="17">
        <f>G151*I151</f>
        <v/>
      </c>
      <c r="K151" s="6" t="n"/>
      <c r="L151" s="6" t="n"/>
    </row>
    <row r="152">
      <c r="A152" s="32" t="n"/>
      <c r="B152" s="6" t="n"/>
      <c r="C152" s="6" t="n"/>
      <c r="D152">
        <f>IF(C152="","",IFERROR(VLOOKUP(C152,'Recetas y precios'!$A$5:$B$54,2,FALSE),""))</f>
        <v/>
      </c>
      <c r="E152" s="6" t="n"/>
      <c r="F152" s="6" t="n"/>
      <c r="G152" s="6" t="n"/>
      <c r="H152" s="29">
        <f>IF((F152+G152)&gt;0,G152/(F152+G152),"")</f>
        <v/>
      </c>
      <c r="I152" s="17">
        <f>IF(C152="",0,IFERROR(VLOOKUP(C152,'Recetas y precios'!$A$5:$T$54,20,FALSE),0))</f>
        <v/>
      </c>
      <c r="J152" s="17">
        <f>G152*I152</f>
        <v/>
      </c>
      <c r="K152" s="6" t="n"/>
      <c r="L152" s="6" t="n"/>
    </row>
    <row r="153">
      <c r="A153" s="32" t="n"/>
      <c r="B153" s="6" t="n"/>
      <c r="C153" s="6" t="n"/>
      <c r="D153">
        <f>IF(C153="","",IFERROR(VLOOKUP(C153,'Recetas y precios'!$A$5:$B$54,2,FALSE),""))</f>
        <v/>
      </c>
      <c r="E153" s="6" t="n"/>
      <c r="F153" s="6" t="n"/>
      <c r="G153" s="6" t="n"/>
      <c r="H153" s="29">
        <f>IF((F153+G153)&gt;0,G153/(F153+G153),"")</f>
        <v/>
      </c>
      <c r="I153" s="17">
        <f>IF(C153="",0,IFERROR(VLOOKUP(C153,'Recetas y precios'!$A$5:$T$54,20,FALSE),0))</f>
        <v/>
      </c>
      <c r="J153" s="17">
        <f>G153*I153</f>
        <v/>
      </c>
      <c r="K153" s="6" t="n"/>
      <c r="L153" s="6" t="n"/>
    </row>
    <row r="154">
      <c r="A154" s="32" t="n"/>
      <c r="B154" s="6" t="n"/>
      <c r="C154" s="6" t="n"/>
      <c r="D154">
        <f>IF(C154="","",IFERROR(VLOOKUP(C154,'Recetas y precios'!$A$5:$B$54,2,FALSE),""))</f>
        <v/>
      </c>
      <c r="E154" s="6" t="n"/>
      <c r="F154" s="6" t="n"/>
      <c r="G154" s="6" t="n"/>
      <c r="H154" s="29">
        <f>IF((F154+G154)&gt;0,G154/(F154+G154),"")</f>
        <v/>
      </c>
      <c r="I154" s="17">
        <f>IF(C154="",0,IFERROR(VLOOKUP(C154,'Recetas y precios'!$A$5:$T$54,20,FALSE),0))</f>
        <v/>
      </c>
      <c r="J154" s="17">
        <f>G154*I154</f>
        <v/>
      </c>
      <c r="K154" s="6" t="n"/>
      <c r="L154" s="6" t="n"/>
    </row>
    <row r="155">
      <c r="A155" s="32" t="n"/>
      <c r="B155" s="6" t="n"/>
      <c r="C155" s="6" t="n"/>
      <c r="D155">
        <f>IF(C155="","",IFERROR(VLOOKUP(C155,'Recetas y precios'!$A$5:$B$54,2,FALSE),""))</f>
        <v/>
      </c>
      <c r="E155" s="6" t="n"/>
      <c r="F155" s="6" t="n"/>
      <c r="G155" s="6" t="n"/>
      <c r="H155" s="29">
        <f>IF((F155+G155)&gt;0,G155/(F155+G155),"")</f>
        <v/>
      </c>
      <c r="I155" s="17">
        <f>IF(C155="",0,IFERROR(VLOOKUP(C155,'Recetas y precios'!$A$5:$T$54,20,FALSE),0))</f>
        <v/>
      </c>
      <c r="J155" s="17">
        <f>G155*I155</f>
        <v/>
      </c>
      <c r="K155" s="6" t="n"/>
      <c r="L155" s="6" t="n"/>
    </row>
    <row r="156">
      <c r="A156" s="32" t="n"/>
      <c r="B156" s="6" t="n"/>
      <c r="C156" s="6" t="n"/>
      <c r="D156">
        <f>IF(C156="","",IFERROR(VLOOKUP(C156,'Recetas y precios'!$A$5:$B$54,2,FALSE),""))</f>
        <v/>
      </c>
      <c r="E156" s="6" t="n"/>
      <c r="F156" s="6" t="n"/>
      <c r="G156" s="6" t="n"/>
      <c r="H156" s="29">
        <f>IF((F156+G156)&gt;0,G156/(F156+G156),"")</f>
        <v/>
      </c>
      <c r="I156" s="17">
        <f>IF(C156="",0,IFERROR(VLOOKUP(C156,'Recetas y precios'!$A$5:$T$54,20,FALSE),0))</f>
        <v/>
      </c>
      <c r="J156" s="17">
        <f>G156*I156</f>
        <v/>
      </c>
      <c r="K156" s="6" t="n"/>
      <c r="L156" s="6" t="n"/>
    </row>
    <row r="157">
      <c r="A157" s="32" t="n"/>
      <c r="B157" s="6" t="n"/>
      <c r="C157" s="6" t="n"/>
      <c r="D157">
        <f>IF(C157="","",IFERROR(VLOOKUP(C157,'Recetas y precios'!$A$5:$B$54,2,FALSE),""))</f>
        <v/>
      </c>
      <c r="E157" s="6" t="n"/>
      <c r="F157" s="6" t="n"/>
      <c r="G157" s="6" t="n"/>
      <c r="H157" s="29">
        <f>IF((F157+G157)&gt;0,G157/(F157+G157),"")</f>
        <v/>
      </c>
      <c r="I157" s="17">
        <f>IF(C157="",0,IFERROR(VLOOKUP(C157,'Recetas y precios'!$A$5:$T$54,20,FALSE),0))</f>
        <v/>
      </c>
      <c r="J157" s="17">
        <f>G157*I157</f>
        <v/>
      </c>
      <c r="K157" s="6" t="n"/>
      <c r="L157" s="6" t="n"/>
    </row>
    <row r="158">
      <c r="A158" s="32" t="n"/>
      <c r="B158" s="6" t="n"/>
      <c r="C158" s="6" t="n"/>
      <c r="D158">
        <f>IF(C158="","",IFERROR(VLOOKUP(C158,'Recetas y precios'!$A$5:$B$54,2,FALSE),""))</f>
        <v/>
      </c>
      <c r="E158" s="6" t="n"/>
      <c r="F158" s="6" t="n"/>
      <c r="G158" s="6" t="n"/>
      <c r="H158" s="29">
        <f>IF((F158+G158)&gt;0,G158/(F158+G158),"")</f>
        <v/>
      </c>
      <c r="I158" s="17">
        <f>IF(C158="",0,IFERROR(VLOOKUP(C158,'Recetas y precios'!$A$5:$T$54,20,FALSE),0))</f>
        <v/>
      </c>
      <c r="J158" s="17">
        <f>G158*I158</f>
        <v/>
      </c>
      <c r="K158" s="6" t="n"/>
      <c r="L158" s="6" t="n"/>
    </row>
    <row r="159">
      <c r="A159" s="32" t="n"/>
      <c r="B159" s="6" t="n"/>
      <c r="C159" s="6" t="n"/>
      <c r="D159">
        <f>IF(C159="","",IFERROR(VLOOKUP(C159,'Recetas y precios'!$A$5:$B$54,2,FALSE),""))</f>
        <v/>
      </c>
      <c r="E159" s="6" t="n"/>
      <c r="F159" s="6" t="n"/>
      <c r="G159" s="6" t="n"/>
      <c r="H159" s="29">
        <f>IF((F159+G159)&gt;0,G159/(F159+G159),"")</f>
        <v/>
      </c>
      <c r="I159" s="17">
        <f>IF(C159="",0,IFERROR(VLOOKUP(C159,'Recetas y precios'!$A$5:$T$54,20,FALSE),0))</f>
        <v/>
      </c>
      <c r="J159" s="17">
        <f>G159*I159</f>
        <v/>
      </c>
      <c r="K159" s="6" t="n"/>
      <c r="L159" s="6" t="n"/>
    </row>
    <row r="160">
      <c r="A160" s="32" t="n"/>
      <c r="B160" s="6" t="n"/>
      <c r="C160" s="6" t="n"/>
      <c r="D160">
        <f>IF(C160="","",IFERROR(VLOOKUP(C160,'Recetas y precios'!$A$5:$B$54,2,FALSE),""))</f>
        <v/>
      </c>
      <c r="E160" s="6" t="n"/>
      <c r="F160" s="6" t="n"/>
      <c r="G160" s="6" t="n"/>
      <c r="H160" s="29">
        <f>IF((F160+G160)&gt;0,G160/(F160+G160),"")</f>
        <v/>
      </c>
      <c r="I160" s="17">
        <f>IF(C160="",0,IFERROR(VLOOKUP(C160,'Recetas y precios'!$A$5:$T$54,20,FALSE),0))</f>
        <v/>
      </c>
      <c r="J160" s="17">
        <f>G160*I160</f>
        <v/>
      </c>
      <c r="K160" s="6" t="n"/>
      <c r="L160" s="6" t="n"/>
    </row>
    <row r="161">
      <c r="A161" s="32" t="n"/>
      <c r="B161" s="6" t="n"/>
      <c r="C161" s="6" t="n"/>
      <c r="D161">
        <f>IF(C161="","",IFERROR(VLOOKUP(C161,'Recetas y precios'!$A$5:$B$54,2,FALSE),""))</f>
        <v/>
      </c>
      <c r="E161" s="6" t="n"/>
      <c r="F161" s="6" t="n"/>
      <c r="G161" s="6" t="n"/>
      <c r="H161" s="29">
        <f>IF((F161+G161)&gt;0,G161/(F161+G161),"")</f>
        <v/>
      </c>
      <c r="I161" s="17">
        <f>IF(C161="",0,IFERROR(VLOOKUP(C161,'Recetas y precios'!$A$5:$T$54,20,FALSE),0))</f>
        <v/>
      </c>
      <c r="J161" s="17">
        <f>G161*I161</f>
        <v/>
      </c>
      <c r="K161" s="6" t="n"/>
      <c r="L161" s="6" t="n"/>
    </row>
    <row r="162">
      <c r="A162" s="32" t="n"/>
      <c r="B162" s="6" t="n"/>
      <c r="C162" s="6" t="n"/>
      <c r="D162">
        <f>IF(C162="","",IFERROR(VLOOKUP(C162,'Recetas y precios'!$A$5:$B$54,2,FALSE),""))</f>
        <v/>
      </c>
      <c r="E162" s="6" t="n"/>
      <c r="F162" s="6" t="n"/>
      <c r="G162" s="6" t="n"/>
      <c r="H162" s="29">
        <f>IF((F162+G162)&gt;0,G162/(F162+G162),"")</f>
        <v/>
      </c>
      <c r="I162" s="17">
        <f>IF(C162="",0,IFERROR(VLOOKUP(C162,'Recetas y precios'!$A$5:$T$54,20,FALSE),0))</f>
        <v/>
      </c>
      <c r="J162" s="17">
        <f>G162*I162</f>
        <v/>
      </c>
      <c r="K162" s="6" t="n"/>
      <c r="L162" s="6" t="n"/>
    </row>
    <row r="163">
      <c r="A163" s="32" t="n"/>
      <c r="B163" s="6" t="n"/>
      <c r="C163" s="6" t="n"/>
      <c r="D163">
        <f>IF(C163="","",IFERROR(VLOOKUP(C163,'Recetas y precios'!$A$5:$B$54,2,FALSE),""))</f>
        <v/>
      </c>
      <c r="E163" s="6" t="n"/>
      <c r="F163" s="6" t="n"/>
      <c r="G163" s="6" t="n"/>
      <c r="H163" s="29">
        <f>IF((F163+G163)&gt;0,G163/(F163+G163),"")</f>
        <v/>
      </c>
      <c r="I163" s="17">
        <f>IF(C163="",0,IFERROR(VLOOKUP(C163,'Recetas y precios'!$A$5:$T$54,20,FALSE),0))</f>
        <v/>
      </c>
      <c r="J163" s="17">
        <f>G163*I163</f>
        <v/>
      </c>
      <c r="K163" s="6" t="n"/>
      <c r="L163" s="6" t="n"/>
    </row>
    <row r="164">
      <c r="A164" s="32" t="n"/>
      <c r="B164" s="6" t="n"/>
      <c r="C164" s="6" t="n"/>
      <c r="D164">
        <f>IF(C164="","",IFERROR(VLOOKUP(C164,'Recetas y precios'!$A$5:$B$54,2,FALSE),""))</f>
        <v/>
      </c>
      <c r="E164" s="6" t="n"/>
      <c r="F164" s="6" t="n"/>
      <c r="G164" s="6" t="n"/>
      <c r="H164" s="29">
        <f>IF((F164+G164)&gt;0,G164/(F164+G164),"")</f>
        <v/>
      </c>
      <c r="I164" s="17">
        <f>IF(C164="",0,IFERROR(VLOOKUP(C164,'Recetas y precios'!$A$5:$T$54,20,FALSE),0))</f>
        <v/>
      </c>
      <c r="J164" s="17">
        <f>G164*I164</f>
        <v/>
      </c>
      <c r="K164" s="6" t="n"/>
      <c r="L164" s="6" t="n"/>
    </row>
    <row r="165">
      <c r="A165" s="32" t="n"/>
      <c r="B165" s="6" t="n"/>
      <c r="C165" s="6" t="n"/>
      <c r="D165">
        <f>IF(C165="","",IFERROR(VLOOKUP(C165,'Recetas y precios'!$A$5:$B$54,2,FALSE),""))</f>
        <v/>
      </c>
      <c r="E165" s="6" t="n"/>
      <c r="F165" s="6" t="n"/>
      <c r="G165" s="6" t="n"/>
      <c r="H165" s="29">
        <f>IF((F165+G165)&gt;0,G165/(F165+G165),"")</f>
        <v/>
      </c>
      <c r="I165" s="17">
        <f>IF(C165="",0,IFERROR(VLOOKUP(C165,'Recetas y precios'!$A$5:$T$54,20,FALSE),0))</f>
        <v/>
      </c>
      <c r="J165" s="17">
        <f>G165*I165</f>
        <v/>
      </c>
      <c r="K165" s="6" t="n"/>
      <c r="L165" s="6" t="n"/>
    </row>
    <row r="166">
      <c r="A166" s="32" t="n"/>
      <c r="B166" s="6" t="n"/>
      <c r="C166" s="6" t="n"/>
      <c r="D166">
        <f>IF(C166="","",IFERROR(VLOOKUP(C166,'Recetas y precios'!$A$5:$B$54,2,FALSE),""))</f>
        <v/>
      </c>
      <c r="E166" s="6" t="n"/>
      <c r="F166" s="6" t="n"/>
      <c r="G166" s="6" t="n"/>
      <c r="H166" s="29">
        <f>IF((F166+G166)&gt;0,G166/(F166+G166),"")</f>
        <v/>
      </c>
      <c r="I166" s="17">
        <f>IF(C166="",0,IFERROR(VLOOKUP(C166,'Recetas y precios'!$A$5:$T$54,20,FALSE),0))</f>
        <v/>
      </c>
      <c r="J166" s="17">
        <f>G166*I166</f>
        <v/>
      </c>
      <c r="K166" s="6" t="n"/>
      <c r="L166" s="6" t="n"/>
    </row>
    <row r="167">
      <c r="A167" s="32" t="n"/>
      <c r="B167" s="6" t="n"/>
      <c r="C167" s="6" t="n"/>
      <c r="D167">
        <f>IF(C167="","",IFERROR(VLOOKUP(C167,'Recetas y precios'!$A$5:$B$54,2,FALSE),""))</f>
        <v/>
      </c>
      <c r="E167" s="6" t="n"/>
      <c r="F167" s="6" t="n"/>
      <c r="G167" s="6" t="n"/>
      <c r="H167" s="29">
        <f>IF((F167+G167)&gt;0,G167/(F167+G167),"")</f>
        <v/>
      </c>
      <c r="I167" s="17">
        <f>IF(C167="",0,IFERROR(VLOOKUP(C167,'Recetas y precios'!$A$5:$T$54,20,FALSE),0))</f>
        <v/>
      </c>
      <c r="J167" s="17">
        <f>G167*I167</f>
        <v/>
      </c>
      <c r="K167" s="6" t="n"/>
      <c r="L167" s="6" t="n"/>
    </row>
    <row r="168">
      <c r="A168" s="32" t="n"/>
      <c r="B168" s="6" t="n"/>
      <c r="C168" s="6" t="n"/>
      <c r="D168">
        <f>IF(C168="","",IFERROR(VLOOKUP(C168,'Recetas y precios'!$A$5:$B$54,2,FALSE),""))</f>
        <v/>
      </c>
      <c r="E168" s="6" t="n"/>
      <c r="F168" s="6" t="n"/>
      <c r="G168" s="6" t="n"/>
      <c r="H168" s="29">
        <f>IF((F168+G168)&gt;0,G168/(F168+G168),"")</f>
        <v/>
      </c>
      <c r="I168" s="17">
        <f>IF(C168="",0,IFERROR(VLOOKUP(C168,'Recetas y precios'!$A$5:$T$54,20,FALSE),0))</f>
        <v/>
      </c>
      <c r="J168" s="17">
        <f>G168*I168</f>
        <v/>
      </c>
      <c r="K168" s="6" t="n"/>
      <c r="L168" s="6" t="n"/>
    </row>
    <row r="169">
      <c r="A169" s="32" t="n"/>
      <c r="B169" s="6" t="n"/>
      <c r="C169" s="6" t="n"/>
      <c r="D169">
        <f>IF(C169="","",IFERROR(VLOOKUP(C169,'Recetas y precios'!$A$5:$B$54,2,FALSE),""))</f>
        <v/>
      </c>
      <c r="E169" s="6" t="n"/>
      <c r="F169" s="6" t="n"/>
      <c r="G169" s="6" t="n"/>
      <c r="H169" s="29">
        <f>IF((F169+G169)&gt;0,G169/(F169+G169),"")</f>
        <v/>
      </c>
      <c r="I169" s="17">
        <f>IF(C169="",0,IFERROR(VLOOKUP(C169,'Recetas y precios'!$A$5:$T$54,20,FALSE),0))</f>
        <v/>
      </c>
      <c r="J169" s="17">
        <f>G169*I169</f>
        <v/>
      </c>
      <c r="K169" s="6" t="n"/>
      <c r="L169" s="6" t="n"/>
    </row>
    <row r="170">
      <c r="A170" s="32" t="n"/>
      <c r="B170" s="6" t="n"/>
      <c r="C170" s="6" t="n"/>
      <c r="D170">
        <f>IF(C170="","",IFERROR(VLOOKUP(C170,'Recetas y precios'!$A$5:$B$54,2,FALSE),""))</f>
        <v/>
      </c>
      <c r="E170" s="6" t="n"/>
      <c r="F170" s="6" t="n"/>
      <c r="G170" s="6" t="n"/>
      <c r="H170" s="29">
        <f>IF((F170+G170)&gt;0,G170/(F170+G170),"")</f>
        <v/>
      </c>
      <c r="I170" s="17">
        <f>IF(C170="",0,IFERROR(VLOOKUP(C170,'Recetas y precios'!$A$5:$T$54,20,FALSE),0))</f>
        <v/>
      </c>
      <c r="J170" s="17">
        <f>G170*I170</f>
        <v/>
      </c>
      <c r="K170" s="6" t="n"/>
      <c r="L170" s="6" t="n"/>
    </row>
    <row r="171">
      <c r="A171" s="32" t="n"/>
      <c r="B171" s="6" t="n"/>
      <c r="C171" s="6" t="n"/>
      <c r="D171">
        <f>IF(C171="","",IFERROR(VLOOKUP(C171,'Recetas y precios'!$A$5:$B$54,2,FALSE),""))</f>
        <v/>
      </c>
      <c r="E171" s="6" t="n"/>
      <c r="F171" s="6" t="n"/>
      <c r="G171" s="6" t="n"/>
      <c r="H171" s="29">
        <f>IF((F171+G171)&gt;0,G171/(F171+G171),"")</f>
        <v/>
      </c>
      <c r="I171" s="17">
        <f>IF(C171="",0,IFERROR(VLOOKUP(C171,'Recetas y precios'!$A$5:$T$54,20,FALSE),0))</f>
        <v/>
      </c>
      <c r="J171" s="17">
        <f>G171*I171</f>
        <v/>
      </c>
      <c r="K171" s="6" t="n"/>
      <c r="L171" s="6" t="n"/>
    </row>
    <row r="172">
      <c r="A172" s="32" t="n"/>
      <c r="B172" s="6" t="n"/>
      <c r="C172" s="6" t="n"/>
      <c r="D172">
        <f>IF(C172="","",IFERROR(VLOOKUP(C172,'Recetas y precios'!$A$5:$B$54,2,FALSE),""))</f>
        <v/>
      </c>
      <c r="E172" s="6" t="n"/>
      <c r="F172" s="6" t="n"/>
      <c r="G172" s="6" t="n"/>
      <c r="H172" s="29">
        <f>IF((F172+G172)&gt;0,G172/(F172+G172),"")</f>
        <v/>
      </c>
      <c r="I172" s="17">
        <f>IF(C172="",0,IFERROR(VLOOKUP(C172,'Recetas y precios'!$A$5:$T$54,20,FALSE),0))</f>
        <v/>
      </c>
      <c r="J172" s="17">
        <f>G172*I172</f>
        <v/>
      </c>
      <c r="K172" s="6" t="n"/>
      <c r="L172" s="6" t="n"/>
    </row>
    <row r="173">
      <c r="A173" s="32" t="n"/>
      <c r="B173" s="6" t="n"/>
      <c r="C173" s="6" t="n"/>
      <c r="D173">
        <f>IF(C173="","",IFERROR(VLOOKUP(C173,'Recetas y precios'!$A$5:$B$54,2,FALSE),""))</f>
        <v/>
      </c>
      <c r="E173" s="6" t="n"/>
      <c r="F173" s="6" t="n"/>
      <c r="G173" s="6" t="n"/>
      <c r="H173" s="29">
        <f>IF((F173+G173)&gt;0,G173/(F173+G173),"")</f>
        <v/>
      </c>
      <c r="I173" s="17">
        <f>IF(C173="",0,IFERROR(VLOOKUP(C173,'Recetas y precios'!$A$5:$T$54,20,FALSE),0))</f>
        <v/>
      </c>
      <c r="J173" s="17">
        <f>G173*I173</f>
        <v/>
      </c>
      <c r="K173" s="6" t="n"/>
      <c r="L173" s="6" t="n"/>
    </row>
    <row r="174">
      <c r="A174" s="32" t="n"/>
      <c r="B174" s="6" t="n"/>
      <c r="C174" s="6" t="n"/>
      <c r="D174">
        <f>IF(C174="","",IFERROR(VLOOKUP(C174,'Recetas y precios'!$A$5:$B$54,2,FALSE),""))</f>
        <v/>
      </c>
      <c r="E174" s="6" t="n"/>
      <c r="F174" s="6" t="n"/>
      <c r="G174" s="6" t="n"/>
      <c r="H174" s="29">
        <f>IF((F174+G174)&gt;0,G174/(F174+G174),"")</f>
        <v/>
      </c>
      <c r="I174" s="17">
        <f>IF(C174="",0,IFERROR(VLOOKUP(C174,'Recetas y precios'!$A$5:$T$54,20,FALSE),0))</f>
        <v/>
      </c>
      <c r="J174" s="17">
        <f>G174*I174</f>
        <v/>
      </c>
      <c r="K174" s="6" t="n"/>
      <c r="L174" s="6" t="n"/>
    </row>
    <row r="175">
      <c r="A175" s="32" t="n"/>
      <c r="B175" s="6" t="n"/>
      <c r="C175" s="6" t="n"/>
      <c r="D175">
        <f>IF(C175="","",IFERROR(VLOOKUP(C175,'Recetas y precios'!$A$5:$B$54,2,FALSE),""))</f>
        <v/>
      </c>
      <c r="E175" s="6" t="n"/>
      <c r="F175" s="6" t="n"/>
      <c r="G175" s="6" t="n"/>
      <c r="H175" s="29">
        <f>IF((F175+G175)&gt;0,G175/(F175+G175),"")</f>
        <v/>
      </c>
      <c r="I175" s="17">
        <f>IF(C175="",0,IFERROR(VLOOKUP(C175,'Recetas y precios'!$A$5:$T$54,20,FALSE),0))</f>
        <v/>
      </c>
      <c r="J175" s="17">
        <f>G175*I175</f>
        <v/>
      </c>
      <c r="K175" s="6" t="n"/>
      <c r="L175" s="6" t="n"/>
    </row>
    <row r="176">
      <c r="A176" s="32" t="n"/>
      <c r="B176" s="6" t="n"/>
      <c r="C176" s="6" t="n"/>
      <c r="D176">
        <f>IF(C176="","",IFERROR(VLOOKUP(C176,'Recetas y precios'!$A$5:$B$54,2,FALSE),""))</f>
        <v/>
      </c>
      <c r="E176" s="6" t="n"/>
      <c r="F176" s="6" t="n"/>
      <c r="G176" s="6" t="n"/>
      <c r="H176" s="29">
        <f>IF((F176+G176)&gt;0,G176/(F176+G176),"")</f>
        <v/>
      </c>
      <c r="I176" s="17">
        <f>IF(C176="",0,IFERROR(VLOOKUP(C176,'Recetas y precios'!$A$5:$T$54,20,FALSE),0))</f>
        <v/>
      </c>
      <c r="J176" s="17">
        <f>G176*I176</f>
        <v/>
      </c>
      <c r="K176" s="6" t="n"/>
      <c r="L176" s="6" t="n"/>
    </row>
    <row r="177">
      <c r="A177" s="32" t="n"/>
      <c r="B177" s="6" t="n"/>
      <c r="C177" s="6" t="n"/>
      <c r="D177">
        <f>IF(C177="","",IFERROR(VLOOKUP(C177,'Recetas y precios'!$A$5:$B$54,2,FALSE),""))</f>
        <v/>
      </c>
      <c r="E177" s="6" t="n"/>
      <c r="F177" s="6" t="n"/>
      <c r="G177" s="6" t="n"/>
      <c r="H177" s="29">
        <f>IF((F177+G177)&gt;0,G177/(F177+G177),"")</f>
        <v/>
      </c>
      <c r="I177" s="17">
        <f>IF(C177="",0,IFERROR(VLOOKUP(C177,'Recetas y precios'!$A$5:$T$54,20,FALSE),0))</f>
        <v/>
      </c>
      <c r="J177" s="17">
        <f>G177*I177</f>
        <v/>
      </c>
      <c r="K177" s="6" t="n"/>
      <c r="L177" s="6" t="n"/>
    </row>
    <row r="178">
      <c r="A178" s="32" t="n"/>
      <c r="B178" s="6" t="n"/>
      <c r="C178" s="6" t="n"/>
      <c r="D178">
        <f>IF(C178="","",IFERROR(VLOOKUP(C178,'Recetas y precios'!$A$5:$B$54,2,FALSE),""))</f>
        <v/>
      </c>
      <c r="E178" s="6" t="n"/>
      <c r="F178" s="6" t="n"/>
      <c r="G178" s="6" t="n"/>
      <c r="H178" s="29">
        <f>IF((F178+G178)&gt;0,G178/(F178+G178),"")</f>
        <v/>
      </c>
      <c r="I178" s="17">
        <f>IF(C178="",0,IFERROR(VLOOKUP(C178,'Recetas y precios'!$A$5:$T$54,20,FALSE),0))</f>
        <v/>
      </c>
      <c r="J178" s="17">
        <f>G178*I178</f>
        <v/>
      </c>
      <c r="K178" s="6" t="n"/>
      <c r="L178" s="6" t="n"/>
    </row>
    <row r="179">
      <c r="A179" s="32" t="n"/>
      <c r="B179" s="6" t="n"/>
      <c r="C179" s="6" t="n"/>
      <c r="D179">
        <f>IF(C179="","",IFERROR(VLOOKUP(C179,'Recetas y precios'!$A$5:$B$54,2,FALSE),""))</f>
        <v/>
      </c>
      <c r="E179" s="6" t="n"/>
      <c r="F179" s="6" t="n"/>
      <c r="G179" s="6" t="n"/>
      <c r="H179" s="29">
        <f>IF((F179+G179)&gt;0,G179/(F179+G179),"")</f>
        <v/>
      </c>
      <c r="I179" s="17">
        <f>IF(C179="",0,IFERROR(VLOOKUP(C179,'Recetas y precios'!$A$5:$T$54,20,FALSE),0))</f>
        <v/>
      </c>
      <c r="J179" s="17">
        <f>G179*I179</f>
        <v/>
      </c>
      <c r="K179" s="6" t="n"/>
      <c r="L179" s="6" t="n"/>
    </row>
    <row r="180">
      <c r="A180" s="32" t="n"/>
      <c r="B180" s="6" t="n"/>
      <c r="C180" s="6" t="n"/>
      <c r="D180">
        <f>IF(C180="","",IFERROR(VLOOKUP(C180,'Recetas y precios'!$A$5:$B$54,2,FALSE),""))</f>
        <v/>
      </c>
      <c r="E180" s="6" t="n"/>
      <c r="F180" s="6" t="n"/>
      <c r="G180" s="6" t="n"/>
      <c r="H180" s="29">
        <f>IF((F180+G180)&gt;0,G180/(F180+G180),"")</f>
        <v/>
      </c>
      <c r="I180" s="17">
        <f>IF(C180="",0,IFERROR(VLOOKUP(C180,'Recetas y precios'!$A$5:$T$54,20,FALSE),0))</f>
        <v/>
      </c>
      <c r="J180" s="17">
        <f>G180*I180</f>
        <v/>
      </c>
      <c r="K180" s="6" t="n"/>
      <c r="L180" s="6" t="n"/>
    </row>
    <row r="181">
      <c r="A181" s="32" t="n"/>
      <c r="B181" s="6" t="n"/>
      <c r="C181" s="6" t="n"/>
      <c r="D181">
        <f>IF(C181="","",IFERROR(VLOOKUP(C181,'Recetas y precios'!$A$5:$B$54,2,FALSE),""))</f>
        <v/>
      </c>
      <c r="E181" s="6" t="n"/>
      <c r="F181" s="6" t="n"/>
      <c r="G181" s="6" t="n"/>
      <c r="H181" s="29">
        <f>IF((F181+G181)&gt;0,G181/(F181+G181),"")</f>
        <v/>
      </c>
      <c r="I181" s="17">
        <f>IF(C181="",0,IFERROR(VLOOKUP(C181,'Recetas y precios'!$A$5:$T$54,20,FALSE),0))</f>
        <v/>
      </c>
      <c r="J181" s="17">
        <f>G181*I181</f>
        <v/>
      </c>
      <c r="K181" s="6" t="n"/>
      <c r="L181" s="6" t="n"/>
    </row>
    <row r="182">
      <c r="A182" s="32" t="n"/>
      <c r="B182" s="6" t="n"/>
      <c r="C182" s="6" t="n"/>
      <c r="D182">
        <f>IF(C182="","",IFERROR(VLOOKUP(C182,'Recetas y precios'!$A$5:$B$54,2,FALSE),""))</f>
        <v/>
      </c>
      <c r="E182" s="6" t="n"/>
      <c r="F182" s="6" t="n"/>
      <c r="G182" s="6" t="n"/>
      <c r="H182" s="29">
        <f>IF((F182+G182)&gt;0,G182/(F182+G182),"")</f>
        <v/>
      </c>
      <c r="I182" s="17">
        <f>IF(C182="",0,IFERROR(VLOOKUP(C182,'Recetas y precios'!$A$5:$T$54,20,FALSE),0))</f>
        <v/>
      </c>
      <c r="J182" s="17">
        <f>G182*I182</f>
        <v/>
      </c>
      <c r="K182" s="6" t="n"/>
      <c r="L182" s="6" t="n"/>
    </row>
    <row r="183">
      <c r="A183" s="32" t="n"/>
      <c r="B183" s="6" t="n"/>
      <c r="C183" s="6" t="n"/>
      <c r="D183">
        <f>IF(C183="","",IFERROR(VLOOKUP(C183,'Recetas y precios'!$A$5:$B$54,2,FALSE),""))</f>
        <v/>
      </c>
      <c r="E183" s="6" t="n"/>
      <c r="F183" s="6" t="n"/>
      <c r="G183" s="6" t="n"/>
      <c r="H183" s="29">
        <f>IF((F183+G183)&gt;0,G183/(F183+G183),"")</f>
        <v/>
      </c>
      <c r="I183" s="17">
        <f>IF(C183="",0,IFERROR(VLOOKUP(C183,'Recetas y precios'!$A$5:$T$54,20,FALSE),0))</f>
        <v/>
      </c>
      <c r="J183" s="17">
        <f>G183*I183</f>
        <v/>
      </c>
      <c r="K183" s="6" t="n"/>
      <c r="L183" s="6" t="n"/>
    </row>
    <row r="184">
      <c r="A184" s="32" t="n"/>
      <c r="B184" s="6" t="n"/>
      <c r="C184" s="6" t="n"/>
      <c r="D184">
        <f>IF(C184="","",IFERROR(VLOOKUP(C184,'Recetas y precios'!$A$5:$B$54,2,FALSE),""))</f>
        <v/>
      </c>
      <c r="E184" s="6" t="n"/>
      <c r="F184" s="6" t="n"/>
      <c r="G184" s="6" t="n"/>
      <c r="H184" s="29">
        <f>IF((F184+G184)&gt;0,G184/(F184+G184),"")</f>
        <v/>
      </c>
      <c r="I184" s="17">
        <f>IF(C184="",0,IFERROR(VLOOKUP(C184,'Recetas y precios'!$A$5:$T$54,20,FALSE),0))</f>
        <v/>
      </c>
      <c r="J184" s="17">
        <f>G184*I184</f>
        <v/>
      </c>
      <c r="K184" s="6" t="n"/>
      <c r="L184" s="6" t="n"/>
    </row>
    <row r="185">
      <c r="A185" s="32" t="n"/>
      <c r="B185" s="6" t="n"/>
      <c r="C185" s="6" t="n"/>
      <c r="D185">
        <f>IF(C185="","",IFERROR(VLOOKUP(C185,'Recetas y precios'!$A$5:$B$54,2,FALSE),""))</f>
        <v/>
      </c>
      <c r="E185" s="6" t="n"/>
      <c r="F185" s="6" t="n"/>
      <c r="G185" s="6" t="n"/>
      <c r="H185" s="29">
        <f>IF((F185+G185)&gt;0,G185/(F185+G185),"")</f>
        <v/>
      </c>
      <c r="I185" s="17">
        <f>IF(C185="",0,IFERROR(VLOOKUP(C185,'Recetas y precios'!$A$5:$T$54,20,FALSE),0))</f>
        <v/>
      </c>
      <c r="J185" s="17">
        <f>G185*I185</f>
        <v/>
      </c>
      <c r="K185" s="6" t="n"/>
      <c r="L185" s="6" t="n"/>
    </row>
    <row r="186">
      <c r="A186" s="32" t="n"/>
      <c r="B186" s="6" t="n"/>
      <c r="C186" s="6" t="n"/>
      <c r="D186">
        <f>IF(C186="","",IFERROR(VLOOKUP(C186,'Recetas y precios'!$A$5:$B$54,2,FALSE),""))</f>
        <v/>
      </c>
      <c r="E186" s="6" t="n"/>
      <c r="F186" s="6" t="n"/>
      <c r="G186" s="6" t="n"/>
      <c r="H186" s="29">
        <f>IF((F186+G186)&gt;0,G186/(F186+G186),"")</f>
        <v/>
      </c>
      <c r="I186" s="17">
        <f>IF(C186="",0,IFERROR(VLOOKUP(C186,'Recetas y precios'!$A$5:$T$54,20,FALSE),0))</f>
        <v/>
      </c>
      <c r="J186" s="17">
        <f>G186*I186</f>
        <v/>
      </c>
      <c r="K186" s="6" t="n"/>
      <c r="L186" s="6" t="n"/>
    </row>
    <row r="187">
      <c r="A187" s="32" t="n"/>
      <c r="B187" s="6" t="n"/>
      <c r="C187" s="6" t="n"/>
      <c r="D187">
        <f>IF(C187="","",IFERROR(VLOOKUP(C187,'Recetas y precios'!$A$5:$B$54,2,FALSE),""))</f>
        <v/>
      </c>
      <c r="E187" s="6" t="n"/>
      <c r="F187" s="6" t="n"/>
      <c r="G187" s="6" t="n"/>
      <c r="H187" s="29">
        <f>IF((F187+G187)&gt;0,G187/(F187+G187),"")</f>
        <v/>
      </c>
      <c r="I187" s="17">
        <f>IF(C187="",0,IFERROR(VLOOKUP(C187,'Recetas y precios'!$A$5:$T$54,20,FALSE),0))</f>
        <v/>
      </c>
      <c r="J187" s="17">
        <f>G187*I187</f>
        <v/>
      </c>
      <c r="K187" s="6" t="n"/>
      <c r="L187" s="6" t="n"/>
    </row>
    <row r="188">
      <c r="A188" s="32" t="n"/>
      <c r="B188" s="6" t="n"/>
      <c r="C188" s="6" t="n"/>
      <c r="D188">
        <f>IF(C188="","",IFERROR(VLOOKUP(C188,'Recetas y precios'!$A$5:$B$54,2,FALSE),""))</f>
        <v/>
      </c>
      <c r="E188" s="6" t="n"/>
      <c r="F188" s="6" t="n"/>
      <c r="G188" s="6" t="n"/>
      <c r="H188" s="29">
        <f>IF((F188+G188)&gt;0,G188/(F188+G188),"")</f>
        <v/>
      </c>
      <c r="I188" s="17">
        <f>IF(C188="",0,IFERROR(VLOOKUP(C188,'Recetas y precios'!$A$5:$T$54,20,FALSE),0))</f>
        <v/>
      </c>
      <c r="J188" s="17">
        <f>G188*I188</f>
        <v/>
      </c>
      <c r="K188" s="6" t="n"/>
      <c r="L188" s="6" t="n"/>
    </row>
    <row r="189">
      <c r="A189" s="32" t="n"/>
      <c r="B189" s="6" t="n"/>
      <c r="C189" s="6" t="n"/>
      <c r="D189">
        <f>IF(C189="","",IFERROR(VLOOKUP(C189,'Recetas y precios'!$A$5:$B$54,2,FALSE),""))</f>
        <v/>
      </c>
      <c r="E189" s="6" t="n"/>
      <c r="F189" s="6" t="n"/>
      <c r="G189" s="6" t="n"/>
      <c r="H189" s="29">
        <f>IF((F189+G189)&gt;0,G189/(F189+G189),"")</f>
        <v/>
      </c>
      <c r="I189" s="17">
        <f>IF(C189="",0,IFERROR(VLOOKUP(C189,'Recetas y precios'!$A$5:$T$54,20,FALSE),0))</f>
        <v/>
      </c>
      <c r="J189" s="17">
        <f>G189*I189</f>
        <v/>
      </c>
      <c r="K189" s="6" t="n"/>
      <c r="L189" s="6" t="n"/>
    </row>
    <row r="190">
      <c r="A190" s="32" t="n"/>
      <c r="B190" s="6" t="n"/>
      <c r="C190" s="6" t="n"/>
      <c r="D190">
        <f>IF(C190="","",IFERROR(VLOOKUP(C190,'Recetas y precios'!$A$5:$B$54,2,FALSE),""))</f>
        <v/>
      </c>
      <c r="E190" s="6" t="n"/>
      <c r="F190" s="6" t="n"/>
      <c r="G190" s="6" t="n"/>
      <c r="H190" s="29">
        <f>IF((F190+G190)&gt;0,G190/(F190+G190),"")</f>
        <v/>
      </c>
      <c r="I190" s="17">
        <f>IF(C190="",0,IFERROR(VLOOKUP(C190,'Recetas y precios'!$A$5:$T$54,20,FALSE),0))</f>
        <v/>
      </c>
      <c r="J190" s="17">
        <f>G190*I190</f>
        <v/>
      </c>
      <c r="K190" s="6" t="n"/>
      <c r="L190" s="6" t="n"/>
    </row>
    <row r="191">
      <c r="A191" s="32" t="n"/>
      <c r="B191" s="6" t="n"/>
      <c r="C191" s="6" t="n"/>
      <c r="D191">
        <f>IF(C191="","",IFERROR(VLOOKUP(C191,'Recetas y precios'!$A$5:$B$54,2,FALSE),""))</f>
        <v/>
      </c>
      <c r="E191" s="6" t="n"/>
      <c r="F191" s="6" t="n"/>
      <c r="G191" s="6" t="n"/>
      <c r="H191" s="29">
        <f>IF((F191+G191)&gt;0,G191/(F191+G191),"")</f>
        <v/>
      </c>
      <c r="I191" s="17">
        <f>IF(C191="",0,IFERROR(VLOOKUP(C191,'Recetas y precios'!$A$5:$T$54,20,FALSE),0))</f>
        <v/>
      </c>
      <c r="J191" s="17">
        <f>G191*I191</f>
        <v/>
      </c>
      <c r="K191" s="6" t="n"/>
      <c r="L191" s="6" t="n"/>
    </row>
    <row r="192">
      <c r="A192" s="32" t="n"/>
      <c r="B192" s="6" t="n"/>
      <c r="C192" s="6" t="n"/>
      <c r="D192">
        <f>IF(C192="","",IFERROR(VLOOKUP(C192,'Recetas y precios'!$A$5:$B$54,2,FALSE),""))</f>
        <v/>
      </c>
      <c r="E192" s="6" t="n"/>
      <c r="F192" s="6" t="n"/>
      <c r="G192" s="6" t="n"/>
      <c r="H192" s="29">
        <f>IF((F192+G192)&gt;0,G192/(F192+G192),"")</f>
        <v/>
      </c>
      <c r="I192" s="17">
        <f>IF(C192="",0,IFERROR(VLOOKUP(C192,'Recetas y precios'!$A$5:$T$54,20,FALSE),0))</f>
        <v/>
      </c>
      <c r="J192" s="17">
        <f>G192*I192</f>
        <v/>
      </c>
      <c r="K192" s="6" t="n"/>
      <c r="L192" s="6" t="n"/>
    </row>
    <row r="193">
      <c r="A193" s="32" t="n"/>
      <c r="B193" s="6" t="n"/>
      <c r="C193" s="6" t="n"/>
      <c r="D193">
        <f>IF(C193="","",IFERROR(VLOOKUP(C193,'Recetas y precios'!$A$5:$B$54,2,FALSE),""))</f>
        <v/>
      </c>
      <c r="E193" s="6" t="n"/>
      <c r="F193" s="6" t="n"/>
      <c r="G193" s="6" t="n"/>
      <c r="H193" s="29">
        <f>IF((F193+G193)&gt;0,G193/(F193+G193),"")</f>
        <v/>
      </c>
      <c r="I193" s="17">
        <f>IF(C193="",0,IFERROR(VLOOKUP(C193,'Recetas y precios'!$A$5:$T$54,20,FALSE),0))</f>
        <v/>
      </c>
      <c r="J193" s="17">
        <f>G193*I193</f>
        <v/>
      </c>
      <c r="K193" s="6" t="n"/>
      <c r="L193" s="6" t="n"/>
    </row>
    <row r="194">
      <c r="A194" s="32" t="n"/>
      <c r="B194" s="6" t="n"/>
      <c r="C194" s="6" t="n"/>
      <c r="D194">
        <f>IF(C194="","",IFERROR(VLOOKUP(C194,'Recetas y precios'!$A$5:$B$54,2,FALSE),""))</f>
        <v/>
      </c>
      <c r="E194" s="6" t="n"/>
      <c r="F194" s="6" t="n"/>
      <c r="G194" s="6" t="n"/>
      <c r="H194" s="29">
        <f>IF((F194+G194)&gt;0,G194/(F194+G194),"")</f>
        <v/>
      </c>
      <c r="I194" s="17">
        <f>IF(C194="",0,IFERROR(VLOOKUP(C194,'Recetas y precios'!$A$5:$T$54,20,FALSE),0))</f>
        <v/>
      </c>
      <c r="J194" s="17">
        <f>G194*I194</f>
        <v/>
      </c>
      <c r="K194" s="6" t="n"/>
      <c r="L194" s="6" t="n"/>
    </row>
    <row r="195">
      <c r="A195" s="32" t="n"/>
      <c r="B195" s="6" t="n"/>
      <c r="C195" s="6" t="n"/>
      <c r="D195">
        <f>IF(C195="","",IFERROR(VLOOKUP(C195,'Recetas y precios'!$A$5:$B$54,2,FALSE),""))</f>
        <v/>
      </c>
      <c r="E195" s="6" t="n"/>
      <c r="F195" s="6" t="n"/>
      <c r="G195" s="6" t="n"/>
      <c r="H195" s="29">
        <f>IF((F195+G195)&gt;0,G195/(F195+G195),"")</f>
        <v/>
      </c>
      <c r="I195" s="17">
        <f>IF(C195="",0,IFERROR(VLOOKUP(C195,'Recetas y precios'!$A$5:$T$54,20,FALSE),0))</f>
        <v/>
      </c>
      <c r="J195" s="17">
        <f>G195*I195</f>
        <v/>
      </c>
      <c r="K195" s="6" t="n"/>
      <c r="L195" s="6" t="n"/>
    </row>
    <row r="196">
      <c r="A196" s="32" t="n"/>
      <c r="B196" s="6" t="n"/>
      <c r="C196" s="6" t="n"/>
      <c r="D196">
        <f>IF(C196="","",IFERROR(VLOOKUP(C196,'Recetas y precios'!$A$5:$B$54,2,FALSE),""))</f>
        <v/>
      </c>
      <c r="E196" s="6" t="n"/>
      <c r="F196" s="6" t="n"/>
      <c r="G196" s="6" t="n"/>
      <c r="H196" s="29">
        <f>IF((F196+G196)&gt;0,G196/(F196+G196),"")</f>
        <v/>
      </c>
      <c r="I196" s="17">
        <f>IF(C196="",0,IFERROR(VLOOKUP(C196,'Recetas y precios'!$A$5:$T$54,20,FALSE),0))</f>
        <v/>
      </c>
      <c r="J196" s="17">
        <f>G196*I196</f>
        <v/>
      </c>
      <c r="K196" s="6" t="n"/>
      <c r="L196" s="6" t="n"/>
    </row>
    <row r="197">
      <c r="A197" s="32" t="n"/>
      <c r="B197" s="6" t="n"/>
      <c r="C197" s="6" t="n"/>
      <c r="D197">
        <f>IF(C197="","",IFERROR(VLOOKUP(C197,'Recetas y precios'!$A$5:$B$54,2,FALSE),""))</f>
        <v/>
      </c>
      <c r="E197" s="6" t="n"/>
      <c r="F197" s="6" t="n"/>
      <c r="G197" s="6" t="n"/>
      <c r="H197" s="29">
        <f>IF((F197+G197)&gt;0,G197/(F197+G197),"")</f>
        <v/>
      </c>
      <c r="I197" s="17">
        <f>IF(C197="",0,IFERROR(VLOOKUP(C197,'Recetas y precios'!$A$5:$T$54,20,FALSE),0))</f>
        <v/>
      </c>
      <c r="J197" s="17">
        <f>G197*I197</f>
        <v/>
      </c>
      <c r="K197" s="6" t="n"/>
      <c r="L197" s="6" t="n"/>
    </row>
    <row r="198">
      <c r="A198" s="32" t="n"/>
      <c r="B198" s="6" t="n"/>
      <c r="C198" s="6" t="n"/>
      <c r="D198">
        <f>IF(C198="","",IFERROR(VLOOKUP(C198,'Recetas y precios'!$A$5:$B$54,2,FALSE),""))</f>
        <v/>
      </c>
      <c r="E198" s="6" t="n"/>
      <c r="F198" s="6" t="n"/>
      <c r="G198" s="6" t="n"/>
      <c r="H198" s="29">
        <f>IF((F198+G198)&gt;0,G198/(F198+G198),"")</f>
        <v/>
      </c>
      <c r="I198" s="17">
        <f>IF(C198="",0,IFERROR(VLOOKUP(C198,'Recetas y precios'!$A$5:$T$54,20,FALSE),0))</f>
        <v/>
      </c>
      <c r="J198" s="17">
        <f>G198*I198</f>
        <v/>
      </c>
      <c r="K198" s="6" t="n"/>
      <c r="L198" s="6" t="n"/>
    </row>
    <row r="199">
      <c r="A199" s="32" t="n"/>
      <c r="B199" s="6" t="n"/>
      <c r="C199" s="6" t="n"/>
      <c r="D199">
        <f>IF(C199="","",IFERROR(VLOOKUP(C199,'Recetas y precios'!$A$5:$B$54,2,FALSE),""))</f>
        <v/>
      </c>
      <c r="E199" s="6" t="n"/>
      <c r="F199" s="6" t="n"/>
      <c r="G199" s="6" t="n"/>
      <c r="H199" s="29">
        <f>IF((F199+G199)&gt;0,G199/(F199+G199),"")</f>
        <v/>
      </c>
      <c r="I199" s="17">
        <f>IF(C199="",0,IFERROR(VLOOKUP(C199,'Recetas y precios'!$A$5:$T$54,20,FALSE),0))</f>
        <v/>
      </c>
      <c r="J199" s="17">
        <f>G199*I199</f>
        <v/>
      </c>
      <c r="K199" s="6" t="n"/>
      <c r="L199" s="6" t="n"/>
    </row>
    <row r="200">
      <c r="A200" s="32" t="n"/>
      <c r="B200" s="6" t="n"/>
      <c r="C200" s="6" t="n"/>
      <c r="D200">
        <f>IF(C200="","",IFERROR(VLOOKUP(C200,'Recetas y precios'!$A$5:$B$54,2,FALSE),""))</f>
        <v/>
      </c>
      <c r="E200" s="6" t="n"/>
      <c r="F200" s="6" t="n"/>
      <c r="G200" s="6" t="n"/>
      <c r="H200" s="29">
        <f>IF((F200+G200)&gt;0,G200/(F200+G200),"")</f>
        <v/>
      </c>
      <c r="I200" s="17">
        <f>IF(C200="",0,IFERROR(VLOOKUP(C200,'Recetas y precios'!$A$5:$T$54,20,FALSE),0))</f>
        <v/>
      </c>
      <c r="J200" s="17">
        <f>G200*I200</f>
        <v/>
      </c>
      <c r="K200" s="6" t="n"/>
      <c r="L200" s="6" t="n"/>
    </row>
    <row r="201">
      <c r="A201" s="32" t="n"/>
      <c r="B201" s="6" t="n"/>
      <c r="C201" s="6" t="n"/>
      <c r="D201">
        <f>IF(C201="","",IFERROR(VLOOKUP(C201,'Recetas y precios'!$A$5:$B$54,2,FALSE),""))</f>
        <v/>
      </c>
      <c r="E201" s="6" t="n"/>
      <c r="F201" s="6" t="n"/>
      <c r="G201" s="6" t="n"/>
      <c r="H201" s="29">
        <f>IF((F201+G201)&gt;0,G201/(F201+G201),"")</f>
        <v/>
      </c>
      <c r="I201" s="17">
        <f>IF(C201="",0,IFERROR(VLOOKUP(C201,'Recetas y precios'!$A$5:$T$54,20,FALSE),0))</f>
        <v/>
      </c>
      <c r="J201" s="17">
        <f>G201*I201</f>
        <v/>
      </c>
      <c r="K201" s="6" t="n"/>
      <c r="L201" s="6" t="n"/>
    </row>
    <row r="202">
      <c r="A202" s="32" t="n"/>
      <c r="B202" s="6" t="n"/>
      <c r="C202" s="6" t="n"/>
      <c r="D202">
        <f>IF(C202="","",IFERROR(VLOOKUP(C202,'Recetas y precios'!$A$5:$B$54,2,FALSE),""))</f>
        <v/>
      </c>
      <c r="E202" s="6" t="n"/>
      <c r="F202" s="6" t="n"/>
      <c r="G202" s="6" t="n"/>
      <c r="H202" s="29">
        <f>IF((F202+G202)&gt;0,G202/(F202+G202),"")</f>
        <v/>
      </c>
      <c r="I202" s="17">
        <f>IF(C202="",0,IFERROR(VLOOKUP(C202,'Recetas y precios'!$A$5:$T$54,20,FALSE),0))</f>
        <v/>
      </c>
      <c r="J202" s="17">
        <f>G202*I202</f>
        <v/>
      </c>
      <c r="K202" s="6" t="n"/>
      <c r="L202" s="6" t="n"/>
    </row>
    <row r="203">
      <c r="A203" s="32" t="n"/>
      <c r="B203" s="6" t="n"/>
      <c r="C203" s="6" t="n"/>
      <c r="D203">
        <f>IF(C203="","",IFERROR(VLOOKUP(C203,'Recetas y precios'!$A$5:$B$54,2,FALSE),""))</f>
        <v/>
      </c>
      <c r="E203" s="6" t="n"/>
      <c r="F203" s="6" t="n"/>
      <c r="G203" s="6" t="n"/>
      <c r="H203" s="29">
        <f>IF((F203+G203)&gt;0,G203/(F203+G203),"")</f>
        <v/>
      </c>
      <c r="I203" s="17">
        <f>IF(C203="",0,IFERROR(VLOOKUP(C203,'Recetas y precios'!$A$5:$T$54,20,FALSE),0))</f>
        <v/>
      </c>
      <c r="J203" s="17">
        <f>G203*I203</f>
        <v/>
      </c>
      <c r="K203" s="6" t="n"/>
      <c r="L203" s="6" t="n"/>
    </row>
    <row r="204">
      <c r="A204" s="32" t="n"/>
      <c r="B204" s="6" t="n"/>
      <c r="C204" s="6" t="n"/>
      <c r="D204">
        <f>IF(C204="","",IFERROR(VLOOKUP(C204,'Recetas y precios'!$A$5:$B$54,2,FALSE),""))</f>
        <v/>
      </c>
      <c r="E204" s="6" t="n"/>
      <c r="F204" s="6" t="n"/>
      <c r="G204" s="6" t="n"/>
      <c r="H204" s="29">
        <f>IF((F204+G204)&gt;0,G204/(F204+G204),"")</f>
        <v/>
      </c>
      <c r="I204" s="17">
        <f>IF(C204="",0,IFERROR(VLOOKUP(C204,'Recetas y precios'!$A$5:$T$54,20,FALSE),0))</f>
        <v/>
      </c>
      <c r="J204" s="17">
        <f>G204*I204</f>
        <v/>
      </c>
      <c r="K204" s="6" t="n"/>
      <c r="L204" s="6" t="n"/>
    </row>
    <row r="205">
      <c r="A205" s="32" t="n"/>
      <c r="B205" s="6" t="n"/>
      <c r="C205" s="6" t="n"/>
      <c r="D205">
        <f>IF(C205="","",IFERROR(VLOOKUP(C205,'Recetas y precios'!$A$5:$B$54,2,FALSE),""))</f>
        <v/>
      </c>
      <c r="E205" s="6" t="n"/>
      <c r="F205" s="6" t="n"/>
      <c r="G205" s="6" t="n"/>
      <c r="H205" s="29">
        <f>IF((F205+G205)&gt;0,G205/(F205+G205),"")</f>
        <v/>
      </c>
      <c r="I205" s="17">
        <f>IF(C205="",0,IFERROR(VLOOKUP(C205,'Recetas y precios'!$A$5:$T$54,20,FALSE),0))</f>
        <v/>
      </c>
      <c r="J205" s="17">
        <f>G205*I205</f>
        <v/>
      </c>
      <c r="K205" s="6" t="n"/>
      <c r="L205" s="6" t="n"/>
    </row>
    <row r="206">
      <c r="A206" s="32" t="n"/>
      <c r="B206" s="6" t="n"/>
      <c r="C206" s="6" t="n"/>
      <c r="D206">
        <f>IF(C206="","",IFERROR(VLOOKUP(C206,'Recetas y precios'!$A$5:$B$54,2,FALSE),""))</f>
        <v/>
      </c>
      <c r="E206" s="6" t="n"/>
      <c r="F206" s="6" t="n"/>
      <c r="G206" s="6" t="n"/>
      <c r="H206" s="29">
        <f>IF((F206+G206)&gt;0,G206/(F206+G206),"")</f>
        <v/>
      </c>
      <c r="I206" s="17">
        <f>IF(C206="",0,IFERROR(VLOOKUP(C206,'Recetas y precios'!$A$5:$T$54,20,FALSE),0))</f>
        <v/>
      </c>
      <c r="J206" s="17">
        <f>G206*I206</f>
        <v/>
      </c>
      <c r="K206" s="6" t="n"/>
      <c r="L206" s="6" t="n"/>
    </row>
    <row r="207">
      <c r="A207" s="32" t="n"/>
      <c r="B207" s="6" t="n"/>
      <c r="C207" s="6" t="n"/>
      <c r="D207">
        <f>IF(C207="","",IFERROR(VLOOKUP(C207,'Recetas y precios'!$A$5:$B$54,2,FALSE),""))</f>
        <v/>
      </c>
      <c r="E207" s="6" t="n"/>
      <c r="F207" s="6" t="n"/>
      <c r="G207" s="6" t="n"/>
      <c r="H207" s="29">
        <f>IF((F207+G207)&gt;0,G207/(F207+G207),"")</f>
        <v/>
      </c>
      <c r="I207" s="17">
        <f>IF(C207="",0,IFERROR(VLOOKUP(C207,'Recetas y precios'!$A$5:$T$54,20,FALSE),0))</f>
        <v/>
      </c>
      <c r="J207" s="17">
        <f>G207*I207</f>
        <v/>
      </c>
      <c r="K207" s="6" t="n"/>
      <c r="L207" s="6" t="n"/>
    </row>
    <row r="208">
      <c r="A208" s="32" t="n"/>
      <c r="B208" s="6" t="n"/>
      <c r="C208" s="6" t="n"/>
      <c r="D208">
        <f>IF(C208="","",IFERROR(VLOOKUP(C208,'Recetas y precios'!$A$5:$B$54,2,FALSE),""))</f>
        <v/>
      </c>
      <c r="E208" s="6" t="n"/>
      <c r="F208" s="6" t="n"/>
      <c r="G208" s="6" t="n"/>
      <c r="H208" s="29">
        <f>IF((F208+G208)&gt;0,G208/(F208+G208),"")</f>
        <v/>
      </c>
      <c r="I208" s="17">
        <f>IF(C208="",0,IFERROR(VLOOKUP(C208,'Recetas y precios'!$A$5:$T$54,20,FALSE),0))</f>
        <v/>
      </c>
      <c r="J208" s="17">
        <f>G208*I208</f>
        <v/>
      </c>
      <c r="K208" s="6" t="n"/>
      <c r="L208" s="6" t="n"/>
    </row>
    <row r="209">
      <c r="A209" s="32" t="n"/>
      <c r="B209" s="6" t="n"/>
      <c r="C209" s="6" t="n"/>
      <c r="D209">
        <f>IF(C209="","",IFERROR(VLOOKUP(C209,'Recetas y precios'!$A$5:$B$54,2,FALSE),""))</f>
        <v/>
      </c>
      <c r="E209" s="6" t="n"/>
      <c r="F209" s="6" t="n"/>
      <c r="G209" s="6" t="n"/>
      <c r="H209" s="29">
        <f>IF((F209+G209)&gt;0,G209/(F209+G209),"")</f>
        <v/>
      </c>
      <c r="I209" s="17">
        <f>IF(C209="",0,IFERROR(VLOOKUP(C209,'Recetas y precios'!$A$5:$T$54,20,FALSE),0))</f>
        <v/>
      </c>
      <c r="J209" s="17">
        <f>G209*I209</f>
        <v/>
      </c>
      <c r="K209" s="6" t="n"/>
      <c r="L209" s="6" t="n"/>
    </row>
    <row r="210">
      <c r="A210" s="32" t="n"/>
      <c r="B210" s="6" t="n"/>
      <c r="C210" s="6" t="n"/>
      <c r="D210">
        <f>IF(C210="","",IFERROR(VLOOKUP(C210,'Recetas y precios'!$A$5:$B$54,2,FALSE),""))</f>
        <v/>
      </c>
      <c r="E210" s="6" t="n"/>
      <c r="F210" s="6" t="n"/>
      <c r="G210" s="6" t="n"/>
      <c r="H210" s="29">
        <f>IF((F210+G210)&gt;0,G210/(F210+G210),"")</f>
        <v/>
      </c>
      <c r="I210" s="17">
        <f>IF(C210="",0,IFERROR(VLOOKUP(C210,'Recetas y precios'!$A$5:$T$54,20,FALSE),0))</f>
        <v/>
      </c>
      <c r="J210" s="17">
        <f>G210*I210</f>
        <v/>
      </c>
      <c r="K210" s="6" t="n"/>
      <c r="L210" s="6" t="n"/>
    </row>
    <row r="211">
      <c r="A211" s="32" t="n"/>
      <c r="B211" s="6" t="n"/>
      <c r="C211" s="6" t="n"/>
      <c r="D211">
        <f>IF(C211="","",IFERROR(VLOOKUP(C211,'Recetas y precios'!$A$5:$B$54,2,FALSE),""))</f>
        <v/>
      </c>
      <c r="E211" s="6" t="n"/>
      <c r="F211" s="6" t="n"/>
      <c r="G211" s="6" t="n"/>
      <c r="H211" s="29">
        <f>IF((F211+G211)&gt;0,G211/(F211+G211),"")</f>
        <v/>
      </c>
      <c r="I211" s="17">
        <f>IF(C211="",0,IFERROR(VLOOKUP(C211,'Recetas y precios'!$A$5:$T$54,20,FALSE),0))</f>
        <v/>
      </c>
      <c r="J211" s="17">
        <f>G211*I211</f>
        <v/>
      </c>
      <c r="K211" s="6" t="n"/>
      <c r="L211" s="6" t="n"/>
    </row>
    <row r="212">
      <c r="A212" s="32" t="n"/>
      <c r="B212" s="6" t="n"/>
      <c r="C212" s="6" t="n"/>
      <c r="D212">
        <f>IF(C212="","",IFERROR(VLOOKUP(C212,'Recetas y precios'!$A$5:$B$54,2,FALSE),""))</f>
        <v/>
      </c>
      <c r="E212" s="6" t="n"/>
      <c r="F212" s="6" t="n"/>
      <c r="G212" s="6" t="n"/>
      <c r="H212" s="29">
        <f>IF((F212+G212)&gt;0,G212/(F212+G212),"")</f>
        <v/>
      </c>
      <c r="I212" s="17">
        <f>IF(C212="",0,IFERROR(VLOOKUP(C212,'Recetas y precios'!$A$5:$T$54,20,FALSE),0))</f>
        <v/>
      </c>
      <c r="J212" s="17">
        <f>G212*I212</f>
        <v/>
      </c>
      <c r="K212" s="6" t="n"/>
      <c r="L212" s="6" t="n"/>
    </row>
    <row r="213">
      <c r="A213" s="32" t="n"/>
      <c r="B213" s="6" t="n"/>
      <c r="C213" s="6" t="n"/>
      <c r="D213">
        <f>IF(C213="","",IFERROR(VLOOKUP(C213,'Recetas y precios'!$A$5:$B$54,2,FALSE),""))</f>
        <v/>
      </c>
      <c r="E213" s="6" t="n"/>
      <c r="F213" s="6" t="n"/>
      <c r="G213" s="6" t="n"/>
      <c r="H213" s="29">
        <f>IF((F213+G213)&gt;0,G213/(F213+G213),"")</f>
        <v/>
      </c>
      <c r="I213" s="17">
        <f>IF(C213="",0,IFERROR(VLOOKUP(C213,'Recetas y precios'!$A$5:$T$54,20,FALSE),0))</f>
        <v/>
      </c>
      <c r="J213" s="17">
        <f>G213*I213</f>
        <v/>
      </c>
      <c r="K213" s="6" t="n"/>
      <c r="L213" s="6" t="n"/>
    </row>
    <row r="214">
      <c r="A214" s="32" t="n"/>
      <c r="B214" s="6" t="n"/>
      <c r="C214" s="6" t="n"/>
      <c r="D214">
        <f>IF(C214="","",IFERROR(VLOOKUP(C214,'Recetas y precios'!$A$5:$B$54,2,FALSE),""))</f>
        <v/>
      </c>
      <c r="E214" s="6" t="n"/>
      <c r="F214" s="6" t="n"/>
      <c r="G214" s="6" t="n"/>
      <c r="H214" s="29">
        <f>IF((F214+G214)&gt;0,G214/(F214+G214),"")</f>
        <v/>
      </c>
      <c r="I214" s="17">
        <f>IF(C214="",0,IFERROR(VLOOKUP(C214,'Recetas y precios'!$A$5:$T$54,20,FALSE),0))</f>
        <v/>
      </c>
      <c r="J214" s="17">
        <f>G214*I214</f>
        <v/>
      </c>
      <c r="K214" s="6" t="n"/>
      <c r="L214" s="6" t="n"/>
    </row>
    <row r="215">
      <c r="A215" s="32" t="n"/>
      <c r="B215" s="6" t="n"/>
      <c r="C215" s="6" t="n"/>
      <c r="D215">
        <f>IF(C215="","",IFERROR(VLOOKUP(C215,'Recetas y precios'!$A$5:$B$54,2,FALSE),""))</f>
        <v/>
      </c>
      <c r="E215" s="6" t="n"/>
      <c r="F215" s="6" t="n"/>
      <c r="G215" s="6" t="n"/>
      <c r="H215" s="29">
        <f>IF((F215+G215)&gt;0,G215/(F215+G215),"")</f>
        <v/>
      </c>
      <c r="I215" s="17">
        <f>IF(C215="",0,IFERROR(VLOOKUP(C215,'Recetas y precios'!$A$5:$T$54,20,FALSE),0))</f>
        <v/>
      </c>
      <c r="J215" s="17">
        <f>G215*I215</f>
        <v/>
      </c>
      <c r="K215" s="6" t="n"/>
      <c r="L215" s="6" t="n"/>
    </row>
    <row r="216">
      <c r="A216" s="32" t="n"/>
      <c r="B216" s="6" t="n"/>
      <c r="C216" s="6" t="n"/>
      <c r="D216">
        <f>IF(C216="","",IFERROR(VLOOKUP(C216,'Recetas y precios'!$A$5:$B$54,2,FALSE),""))</f>
        <v/>
      </c>
      <c r="E216" s="6" t="n"/>
      <c r="F216" s="6" t="n"/>
      <c r="G216" s="6" t="n"/>
      <c r="H216" s="29">
        <f>IF((F216+G216)&gt;0,G216/(F216+G216),"")</f>
        <v/>
      </c>
      <c r="I216" s="17">
        <f>IF(C216="",0,IFERROR(VLOOKUP(C216,'Recetas y precios'!$A$5:$T$54,20,FALSE),0))</f>
        <v/>
      </c>
      <c r="J216" s="17">
        <f>G216*I216</f>
        <v/>
      </c>
      <c r="K216" s="6" t="n"/>
      <c r="L216" s="6" t="n"/>
    </row>
    <row r="217">
      <c r="A217" s="32" t="n"/>
      <c r="B217" s="6" t="n"/>
      <c r="C217" s="6" t="n"/>
      <c r="D217">
        <f>IF(C217="","",IFERROR(VLOOKUP(C217,'Recetas y precios'!$A$5:$B$54,2,FALSE),""))</f>
        <v/>
      </c>
      <c r="E217" s="6" t="n"/>
      <c r="F217" s="6" t="n"/>
      <c r="G217" s="6" t="n"/>
      <c r="H217" s="29">
        <f>IF((F217+G217)&gt;0,G217/(F217+G217),"")</f>
        <v/>
      </c>
      <c r="I217" s="17">
        <f>IF(C217="",0,IFERROR(VLOOKUP(C217,'Recetas y precios'!$A$5:$T$54,20,FALSE),0))</f>
        <v/>
      </c>
      <c r="J217" s="17">
        <f>G217*I217</f>
        <v/>
      </c>
      <c r="K217" s="6" t="n"/>
      <c r="L217" s="6" t="n"/>
    </row>
    <row r="218">
      <c r="A218" s="32" t="n"/>
      <c r="B218" s="6" t="n"/>
      <c r="C218" s="6" t="n"/>
      <c r="D218">
        <f>IF(C218="","",IFERROR(VLOOKUP(C218,'Recetas y precios'!$A$5:$B$54,2,FALSE),""))</f>
        <v/>
      </c>
      <c r="E218" s="6" t="n"/>
      <c r="F218" s="6" t="n"/>
      <c r="G218" s="6" t="n"/>
      <c r="H218" s="29">
        <f>IF((F218+G218)&gt;0,G218/(F218+G218),"")</f>
        <v/>
      </c>
      <c r="I218" s="17">
        <f>IF(C218="",0,IFERROR(VLOOKUP(C218,'Recetas y precios'!$A$5:$T$54,20,FALSE),0))</f>
        <v/>
      </c>
      <c r="J218" s="17">
        <f>G218*I218</f>
        <v/>
      </c>
      <c r="K218" s="6" t="n"/>
      <c r="L218" s="6" t="n"/>
    </row>
    <row r="219">
      <c r="A219" s="32" t="n"/>
      <c r="B219" s="6" t="n"/>
      <c r="C219" s="6" t="n"/>
      <c r="D219">
        <f>IF(C219="","",IFERROR(VLOOKUP(C219,'Recetas y precios'!$A$5:$B$54,2,FALSE),""))</f>
        <v/>
      </c>
      <c r="E219" s="6" t="n"/>
      <c r="F219" s="6" t="n"/>
      <c r="G219" s="6" t="n"/>
      <c r="H219" s="29">
        <f>IF((F219+G219)&gt;0,G219/(F219+G219),"")</f>
        <v/>
      </c>
      <c r="I219" s="17">
        <f>IF(C219="",0,IFERROR(VLOOKUP(C219,'Recetas y precios'!$A$5:$T$54,20,FALSE),0))</f>
        <v/>
      </c>
      <c r="J219" s="17">
        <f>G219*I219</f>
        <v/>
      </c>
      <c r="K219" s="6" t="n"/>
      <c r="L219" s="6" t="n"/>
    </row>
    <row r="220">
      <c r="A220" s="32" t="n"/>
      <c r="B220" s="6" t="n"/>
      <c r="C220" s="6" t="n"/>
      <c r="D220">
        <f>IF(C220="","",IFERROR(VLOOKUP(C220,'Recetas y precios'!$A$5:$B$54,2,FALSE),""))</f>
        <v/>
      </c>
      <c r="E220" s="6" t="n"/>
      <c r="F220" s="6" t="n"/>
      <c r="G220" s="6" t="n"/>
      <c r="H220" s="29">
        <f>IF((F220+G220)&gt;0,G220/(F220+G220),"")</f>
        <v/>
      </c>
      <c r="I220" s="17">
        <f>IF(C220="",0,IFERROR(VLOOKUP(C220,'Recetas y precios'!$A$5:$T$54,20,FALSE),0))</f>
        <v/>
      </c>
      <c r="J220" s="17">
        <f>G220*I220</f>
        <v/>
      </c>
      <c r="K220" s="6" t="n"/>
      <c r="L220" s="6" t="n"/>
    </row>
    <row r="221">
      <c r="A221" s="32" t="n"/>
      <c r="B221" s="6" t="n"/>
      <c r="C221" s="6" t="n"/>
      <c r="D221">
        <f>IF(C221="","",IFERROR(VLOOKUP(C221,'Recetas y precios'!$A$5:$B$54,2,FALSE),""))</f>
        <v/>
      </c>
      <c r="E221" s="6" t="n"/>
      <c r="F221" s="6" t="n"/>
      <c r="G221" s="6" t="n"/>
      <c r="H221" s="29">
        <f>IF((F221+G221)&gt;0,G221/(F221+G221),"")</f>
        <v/>
      </c>
      <c r="I221" s="17">
        <f>IF(C221="",0,IFERROR(VLOOKUP(C221,'Recetas y precios'!$A$5:$T$54,20,FALSE),0))</f>
        <v/>
      </c>
      <c r="J221" s="17">
        <f>G221*I221</f>
        <v/>
      </c>
      <c r="K221" s="6" t="n"/>
      <c r="L221" s="6" t="n"/>
    </row>
    <row r="222">
      <c r="A222" s="32" t="n"/>
      <c r="B222" s="6" t="n"/>
      <c r="C222" s="6" t="n"/>
      <c r="D222">
        <f>IF(C222="","",IFERROR(VLOOKUP(C222,'Recetas y precios'!$A$5:$B$54,2,FALSE),""))</f>
        <v/>
      </c>
      <c r="E222" s="6" t="n"/>
      <c r="F222" s="6" t="n"/>
      <c r="G222" s="6" t="n"/>
      <c r="H222" s="29">
        <f>IF((F222+G222)&gt;0,G222/(F222+G222),"")</f>
        <v/>
      </c>
      <c r="I222" s="17">
        <f>IF(C222="",0,IFERROR(VLOOKUP(C222,'Recetas y precios'!$A$5:$T$54,20,FALSE),0))</f>
        <v/>
      </c>
      <c r="J222" s="17">
        <f>G222*I222</f>
        <v/>
      </c>
      <c r="K222" s="6" t="n"/>
      <c r="L222" s="6" t="n"/>
    </row>
    <row r="223">
      <c r="A223" s="32" t="n"/>
      <c r="B223" s="6" t="n"/>
      <c r="C223" s="6" t="n"/>
      <c r="D223">
        <f>IF(C223="","",IFERROR(VLOOKUP(C223,'Recetas y precios'!$A$5:$B$54,2,FALSE),""))</f>
        <v/>
      </c>
      <c r="E223" s="6" t="n"/>
      <c r="F223" s="6" t="n"/>
      <c r="G223" s="6" t="n"/>
      <c r="H223" s="29">
        <f>IF((F223+G223)&gt;0,G223/(F223+G223),"")</f>
        <v/>
      </c>
      <c r="I223" s="17">
        <f>IF(C223="",0,IFERROR(VLOOKUP(C223,'Recetas y precios'!$A$5:$T$54,20,FALSE),0))</f>
        <v/>
      </c>
      <c r="J223" s="17">
        <f>G223*I223</f>
        <v/>
      </c>
      <c r="K223" s="6" t="n"/>
      <c r="L223" s="6" t="n"/>
    </row>
    <row r="224">
      <c r="A224" s="32" t="n"/>
      <c r="B224" s="6" t="n"/>
      <c r="C224" s="6" t="n"/>
      <c r="D224">
        <f>IF(C224="","",IFERROR(VLOOKUP(C224,'Recetas y precios'!$A$5:$B$54,2,FALSE),""))</f>
        <v/>
      </c>
      <c r="E224" s="6" t="n"/>
      <c r="F224" s="6" t="n"/>
      <c r="G224" s="6" t="n"/>
      <c r="H224" s="29">
        <f>IF((F224+G224)&gt;0,G224/(F224+G224),"")</f>
        <v/>
      </c>
      <c r="I224" s="17">
        <f>IF(C224="",0,IFERROR(VLOOKUP(C224,'Recetas y precios'!$A$5:$T$54,20,FALSE),0))</f>
        <v/>
      </c>
      <c r="J224" s="17">
        <f>G224*I224</f>
        <v/>
      </c>
      <c r="K224" s="6" t="n"/>
      <c r="L224" s="6" t="n"/>
    </row>
    <row r="225">
      <c r="A225" s="32" t="n"/>
      <c r="B225" s="6" t="n"/>
      <c r="C225" s="6" t="n"/>
      <c r="D225">
        <f>IF(C225="","",IFERROR(VLOOKUP(C225,'Recetas y precios'!$A$5:$B$54,2,FALSE),""))</f>
        <v/>
      </c>
      <c r="E225" s="6" t="n"/>
      <c r="F225" s="6" t="n"/>
      <c r="G225" s="6" t="n"/>
      <c r="H225" s="29">
        <f>IF((F225+G225)&gt;0,G225/(F225+G225),"")</f>
        <v/>
      </c>
      <c r="I225" s="17">
        <f>IF(C225="",0,IFERROR(VLOOKUP(C225,'Recetas y precios'!$A$5:$T$54,20,FALSE),0))</f>
        <v/>
      </c>
      <c r="J225" s="17">
        <f>G225*I225</f>
        <v/>
      </c>
      <c r="K225" s="6" t="n"/>
      <c r="L225" s="6" t="n"/>
    </row>
    <row r="226">
      <c r="A226" s="32" t="n"/>
      <c r="B226" s="6" t="n"/>
      <c r="C226" s="6" t="n"/>
      <c r="D226">
        <f>IF(C226="","",IFERROR(VLOOKUP(C226,'Recetas y precios'!$A$5:$B$54,2,FALSE),""))</f>
        <v/>
      </c>
      <c r="E226" s="6" t="n"/>
      <c r="F226" s="6" t="n"/>
      <c r="G226" s="6" t="n"/>
      <c r="H226" s="29">
        <f>IF((F226+G226)&gt;0,G226/(F226+G226),"")</f>
        <v/>
      </c>
      <c r="I226" s="17">
        <f>IF(C226="",0,IFERROR(VLOOKUP(C226,'Recetas y precios'!$A$5:$T$54,20,FALSE),0))</f>
        <v/>
      </c>
      <c r="J226" s="17">
        <f>G226*I226</f>
        <v/>
      </c>
      <c r="K226" s="6" t="n"/>
      <c r="L226" s="6" t="n"/>
    </row>
    <row r="227">
      <c r="A227" s="32" t="n"/>
      <c r="B227" s="6" t="n"/>
      <c r="C227" s="6" t="n"/>
      <c r="D227">
        <f>IF(C227="","",IFERROR(VLOOKUP(C227,'Recetas y precios'!$A$5:$B$54,2,FALSE),""))</f>
        <v/>
      </c>
      <c r="E227" s="6" t="n"/>
      <c r="F227" s="6" t="n"/>
      <c r="G227" s="6" t="n"/>
      <c r="H227" s="29">
        <f>IF((F227+G227)&gt;0,G227/(F227+G227),"")</f>
        <v/>
      </c>
      <c r="I227" s="17">
        <f>IF(C227="",0,IFERROR(VLOOKUP(C227,'Recetas y precios'!$A$5:$T$54,20,FALSE),0))</f>
        <v/>
      </c>
      <c r="J227" s="17">
        <f>G227*I227</f>
        <v/>
      </c>
      <c r="K227" s="6" t="n"/>
      <c r="L227" s="6" t="n"/>
    </row>
    <row r="228">
      <c r="A228" s="32" t="n"/>
      <c r="B228" s="6" t="n"/>
      <c r="C228" s="6" t="n"/>
      <c r="D228">
        <f>IF(C228="","",IFERROR(VLOOKUP(C228,'Recetas y precios'!$A$5:$B$54,2,FALSE),""))</f>
        <v/>
      </c>
      <c r="E228" s="6" t="n"/>
      <c r="F228" s="6" t="n"/>
      <c r="G228" s="6" t="n"/>
      <c r="H228" s="29">
        <f>IF((F228+G228)&gt;0,G228/(F228+G228),"")</f>
        <v/>
      </c>
      <c r="I228" s="17">
        <f>IF(C228="",0,IFERROR(VLOOKUP(C228,'Recetas y precios'!$A$5:$T$54,20,FALSE),0))</f>
        <v/>
      </c>
      <c r="J228" s="17">
        <f>G228*I228</f>
        <v/>
      </c>
      <c r="K228" s="6" t="n"/>
      <c r="L228" s="6" t="n"/>
    </row>
    <row r="229">
      <c r="A229" s="32" t="n"/>
      <c r="B229" s="6" t="n"/>
      <c r="C229" s="6" t="n"/>
      <c r="D229">
        <f>IF(C229="","",IFERROR(VLOOKUP(C229,'Recetas y precios'!$A$5:$B$54,2,FALSE),""))</f>
        <v/>
      </c>
      <c r="E229" s="6" t="n"/>
      <c r="F229" s="6" t="n"/>
      <c r="G229" s="6" t="n"/>
      <c r="H229" s="29">
        <f>IF((F229+G229)&gt;0,G229/(F229+G229),"")</f>
        <v/>
      </c>
      <c r="I229" s="17">
        <f>IF(C229="",0,IFERROR(VLOOKUP(C229,'Recetas y precios'!$A$5:$T$54,20,FALSE),0))</f>
        <v/>
      </c>
      <c r="J229" s="17">
        <f>G229*I229</f>
        <v/>
      </c>
      <c r="K229" s="6" t="n"/>
      <c r="L229" s="6" t="n"/>
    </row>
    <row r="230">
      <c r="A230" s="32" t="n"/>
      <c r="B230" s="6" t="n"/>
      <c r="C230" s="6" t="n"/>
      <c r="D230">
        <f>IF(C230="","",IFERROR(VLOOKUP(C230,'Recetas y precios'!$A$5:$B$54,2,FALSE),""))</f>
        <v/>
      </c>
      <c r="E230" s="6" t="n"/>
      <c r="F230" s="6" t="n"/>
      <c r="G230" s="6" t="n"/>
      <c r="H230" s="29">
        <f>IF((F230+G230)&gt;0,G230/(F230+G230),"")</f>
        <v/>
      </c>
      <c r="I230" s="17">
        <f>IF(C230="",0,IFERROR(VLOOKUP(C230,'Recetas y precios'!$A$5:$T$54,20,FALSE),0))</f>
        <v/>
      </c>
      <c r="J230" s="17">
        <f>G230*I230</f>
        <v/>
      </c>
      <c r="K230" s="6" t="n"/>
      <c r="L230" s="6" t="n"/>
    </row>
    <row r="231">
      <c r="A231" s="32" t="n"/>
      <c r="B231" s="6" t="n"/>
      <c r="C231" s="6" t="n"/>
      <c r="D231">
        <f>IF(C231="","",IFERROR(VLOOKUP(C231,'Recetas y precios'!$A$5:$B$54,2,FALSE),""))</f>
        <v/>
      </c>
      <c r="E231" s="6" t="n"/>
      <c r="F231" s="6" t="n"/>
      <c r="G231" s="6" t="n"/>
      <c r="H231" s="29">
        <f>IF((F231+G231)&gt;0,G231/(F231+G231),"")</f>
        <v/>
      </c>
      <c r="I231" s="17">
        <f>IF(C231="",0,IFERROR(VLOOKUP(C231,'Recetas y precios'!$A$5:$T$54,20,FALSE),0))</f>
        <v/>
      </c>
      <c r="J231" s="17">
        <f>G231*I231</f>
        <v/>
      </c>
      <c r="K231" s="6" t="n"/>
      <c r="L231" s="6" t="n"/>
    </row>
    <row r="232">
      <c r="A232" s="32" t="n"/>
      <c r="B232" s="6" t="n"/>
      <c r="C232" s="6" t="n"/>
      <c r="D232">
        <f>IF(C232="","",IFERROR(VLOOKUP(C232,'Recetas y precios'!$A$5:$B$54,2,FALSE),""))</f>
        <v/>
      </c>
      <c r="E232" s="6" t="n"/>
      <c r="F232" s="6" t="n"/>
      <c r="G232" s="6" t="n"/>
      <c r="H232" s="29">
        <f>IF((F232+G232)&gt;0,G232/(F232+G232),"")</f>
        <v/>
      </c>
      <c r="I232" s="17">
        <f>IF(C232="",0,IFERROR(VLOOKUP(C232,'Recetas y precios'!$A$5:$T$54,20,FALSE),0))</f>
        <v/>
      </c>
      <c r="J232" s="17">
        <f>G232*I232</f>
        <v/>
      </c>
      <c r="K232" s="6" t="n"/>
      <c r="L232" s="6" t="n"/>
    </row>
    <row r="233">
      <c r="A233" s="32" t="n"/>
      <c r="B233" s="6" t="n"/>
      <c r="C233" s="6" t="n"/>
      <c r="D233">
        <f>IF(C233="","",IFERROR(VLOOKUP(C233,'Recetas y precios'!$A$5:$B$54,2,FALSE),""))</f>
        <v/>
      </c>
      <c r="E233" s="6" t="n"/>
      <c r="F233" s="6" t="n"/>
      <c r="G233" s="6" t="n"/>
      <c r="H233" s="29">
        <f>IF((F233+G233)&gt;0,G233/(F233+G233),"")</f>
        <v/>
      </c>
      <c r="I233" s="17">
        <f>IF(C233="",0,IFERROR(VLOOKUP(C233,'Recetas y precios'!$A$5:$T$54,20,FALSE),0))</f>
        <v/>
      </c>
      <c r="J233" s="17">
        <f>G233*I233</f>
        <v/>
      </c>
      <c r="K233" s="6" t="n"/>
      <c r="L233" s="6" t="n"/>
    </row>
    <row r="234">
      <c r="A234" s="32" t="n"/>
      <c r="B234" s="6" t="n"/>
      <c r="C234" s="6" t="n"/>
      <c r="D234">
        <f>IF(C234="","",IFERROR(VLOOKUP(C234,'Recetas y precios'!$A$5:$B$54,2,FALSE),""))</f>
        <v/>
      </c>
      <c r="E234" s="6" t="n"/>
      <c r="F234" s="6" t="n"/>
      <c r="G234" s="6" t="n"/>
      <c r="H234" s="29">
        <f>IF((F234+G234)&gt;0,G234/(F234+G234),"")</f>
        <v/>
      </c>
      <c r="I234" s="17">
        <f>IF(C234="",0,IFERROR(VLOOKUP(C234,'Recetas y precios'!$A$5:$T$54,20,FALSE),0))</f>
        <v/>
      </c>
      <c r="J234" s="17">
        <f>G234*I234</f>
        <v/>
      </c>
      <c r="K234" s="6" t="n"/>
      <c r="L234" s="6" t="n"/>
    </row>
    <row r="235">
      <c r="A235" s="32" t="n"/>
      <c r="B235" s="6" t="n"/>
      <c r="C235" s="6" t="n"/>
      <c r="D235">
        <f>IF(C235="","",IFERROR(VLOOKUP(C235,'Recetas y precios'!$A$5:$B$54,2,FALSE),""))</f>
        <v/>
      </c>
      <c r="E235" s="6" t="n"/>
      <c r="F235" s="6" t="n"/>
      <c r="G235" s="6" t="n"/>
      <c r="H235" s="29">
        <f>IF((F235+G235)&gt;0,G235/(F235+G235),"")</f>
        <v/>
      </c>
      <c r="I235" s="17">
        <f>IF(C235="",0,IFERROR(VLOOKUP(C235,'Recetas y precios'!$A$5:$T$54,20,FALSE),0))</f>
        <v/>
      </c>
      <c r="J235" s="17">
        <f>G235*I235</f>
        <v/>
      </c>
      <c r="K235" s="6" t="n"/>
      <c r="L235" s="6" t="n"/>
    </row>
    <row r="236">
      <c r="A236" s="32" t="n"/>
      <c r="B236" s="6" t="n"/>
      <c r="C236" s="6" t="n"/>
      <c r="D236">
        <f>IF(C236="","",IFERROR(VLOOKUP(C236,'Recetas y precios'!$A$5:$B$54,2,FALSE),""))</f>
        <v/>
      </c>
      <c r="E236" s="6" t="n"/>
      <c r="F236" s="6" t="n"/>
      <c r="G236" s="6" t="n"/>
      <c r="H236" s="29">
        <f>IF((F236+G236)&gt;0,G236/(F236+G236),"")</f>
        <v/>
      </c>
      <c r="I236" s="17">
        <f>IF(C236="",0,IFERROR(VLOOKUP(C236,'Recetas y precios'!$A$5:$T$54,20,FALSE),0))</f>
        <v/>
      </c>
      <c r="J236" s="17">
        <f>G236*I236</f>
        <v/>
      </c>
      <c r="K236" s="6" t="n"/>
      <c r="L236" s="6" t="n"/>
    </row>
    <row r="237">
      <c r="A237" s="32" t="n"/>
      <c r="B237" s="6" t="n"/>
      <c r="C237" s="6" t="n"/>
      <c r="D237">
        <f>IF(C237="","",IFERROR(VLOOKUP(C237,'Recetas y precios'!$A$5:$B$54,2,FALSE),""))</f>
        <v/>
      </c>
      <c r="E237" s="6" t="n"/>
      <c r="F237" s="6" t="n"/>
      <c r="G237" s="6" t="n"/>
      <c r="H237" s="29">
        <f>IF((F237+G237)&gt;0,G237/(F237+G237),"")</f>
        <v/>
      </c>
      <c r="I237" s="17">
        <f>IF(C237="",0,IFERROR(VLOOKUP(C237,'Recetas y precios'!$A$5:$T$54,20,FALSE),0))</f>
        <v/>
      </c>
      <c r="J237" s="17">
        <f>G237*I237</f>
        <v/>
      </c>
      <c r="K237" s="6" t="n"/>
      <c r="L237" s="6" t="n"/>
    </row>
    <row r="238">
      <c r="A238" s="32" t="n"/>
      <c r="B238" s="6" t="n"/>
      <c r="C238" s="6" t="n"/>
      <c r="D238">
        <f>IF(C238="","",IFERROR(VLOOKUP(C238,'Recetas y precios'!$A$5:$B$54,2,FALSE),""))</f>
        <v/>
      </c>
      <c r="E238" s="6" t="n"/>
      <c r="F238" s="6" t="n"/>
      <c r="G238" s="6" t="n"/>
      <c r="H238" s="29">
        <f>IF((F238+G238)&gt;0,G238/(F238+G238),"")</f>
        <v/>
      </c>
      <c r="I238" s="17">
        <f>IF(C238="",0,IFERROR(VLOOKUP(C238,'Recetas y precios'!$A$5:$T$54,20,FALSE),0))</f>
        <v/>
      </c>
      <c r="J238" s="17">
        <f>G238*I238</f>
        <v/>
      </c>
      <c r="K238" s="6" t="n"/>
      <c r="L238" s="6" t="n"/>
    </row>
    <row r="239">
      <c r="A239" s="32" t="n"/>
      <c r="B239" s="6" t="n"/>
      <c r="C239" s="6" t="n"/>
      <c r="D239">
        <f>IF(C239="","",IFERROR(VLOOKUP(C239,'Recetas y precios'!$A$5:$B$54,2,FALSE),""))</f>
        <v/>
      </c>
      <c r="E239" s="6" t="n"/>
      <c r="F239" s="6" t="n"/>
      <c r="G239" s="6" t="n"/>
      <c r="H239" s="29">
        <f>IF((F239+G239)&gt;0,G239/(F239+G239),"")</f>
        <v/>
      </c>
      <c r="I239" s="17">
        <f>IF(C239="",0,IFERROR(VLOOKUP(C239,'Recetas y precios'!$A$5:$T$54,20,FALSE),0))</f>
        <v/>
      </c>
      <c r="J239" s="17">
        <f>G239*I239</f>
        <v/>
      </c>
      <c r="K239" s="6" t="n"/>
      <c r="L239" s="6" t="n"/>
    </row>
    <row r="240">
      <c r="A240" s="32" t="n"/>
      <c r="B240" s="6" t="n"/>
      <c r="C240" s="6" t="n"/>
      <c r="D240">
        <f>IF(C240="","",IFERROR(VLOOKUP(C240,'Recetas y precios'!$A$5:$B$54,2,FALSE),""))</f>
        <v/>
      </c>
      <c r="E240" s="6" t="n"/>
      <c r="F240" s="6" t="n"/>
      <c r="G240" s="6" t="n"/>
      <c r="H240" s="29">
        <f>IF((F240+G240)&gt;0,G240/(F240+G240),"")</f>
        <v/>
      </c>
      <c r="I240" s="17">
        <f>IF(C240="",0,IFERROR(VLOOKUP(C240,'Recetas y precios'!$A$5:$T$54,20,FALSE),0))</f>
        <v/>
      </c>
      <c r="J240" s="17">
        <f>G240*I240</f>
        <v/>
      </c>
      <c r="K240" s="6" t="n"/>
      <c r="L240" s="6" t="n"/>
    </row>
    <row r="241">
      <c r="A241" s="32" t="n"/>
      <c r="B241" s="6" t="n"/>
      <c r="C241" s="6" t="n"/>
      <c r="D241">
        <f>IF(C241="","",IFERROR(VLOOKUP(C241,'Recetas y precios'!$A$5:$B$54,2,FALSE),""))</f>
        <v/>
      </c>
      <c r="E241" s="6" t="n"/>
      <c r="F241" s="6" t="n"/>
      <c r="G241" s="6" t="n"/>
      <c r="H241" s="29">
        <f>IF((F241+G241)&gt;0,G241/(F241+G241),"")</f>
        <v/>
      </c>
      <c r="I241" s="17">
        <f>IF(C241="",0,IFERROR(VLOOKUP(C241,'Recetas y precios'!$A$5:$T$54,20,FALSE),0))</f>
        <v/>
      </c>
      <c r="J241" s="17">
        <f>G241*I241</f>
        <v/>
      </c>
      <c r="K241" s="6" t="n"/>
      <c r="L241" s="6" t="n"/>
    </row>
    <row r="242">
      <c r="A242" s="32" t="n"/>
      <c r="B242" s="6" t="n"/>
      <c r="C242" s="6" t="n"/>
      <c r="D242">
        <f>IF(C242="","",IFERROR(VLOOKUP(C242,'Recetas y precios'!$A$5:$B$54,2,FALSE),""))</f>
        <v/>
      </c>
      <c r="E242" s="6" t="n"/>
      <c r="F242" s="6" t="n"/>
      <c r="G242" s="6" t="n"/>
      <c r="H242" s="29">
        <f>IF((F242+G242)&gt;0,G242/(F242+G242),"")</f>
        <v/>
      </c>
      <c r="I242" s="17">
        <f>IF(C242="",0,IFERROR(VLOOKUP(C242,'Recetas y precios'!$A$5:$T$54,20,FALSE),0))</f>
        <v/>
      </c>
      <c r="J242" s="17">
        <f>G242*I242</f>
        <v/>
      </c>
      <c r="K242" s="6" t="n"/>
      <c r="L242" s="6" t="n"/>
    </row>
    <row r="243">
      <c r="A243" s="32" t="n"/>
      <c r="B243" s="6" t="n"/>
      <c r="C243" s="6" t="n"/>
      <c r="D243">
        <f>IF(C243="","",IFERROR(VLOOKUP(C243,'Recetas y precios'!$A$5:$B$54,2,FALSE),""))</f>
        <v/>
      </c>
      <c r="E243" s="6" t="n"/>
      <c r="F243" s="6" t="n"/>
      <c r="G243" s="6" t="n"/>
      <c r="H243" s="29">
        <f>IF((F243+G243)&gt;0,G243/(F243+G243),"")</f>
        <v/>
      </c>
      <c r="I243" s="17">
        <f>IF(C243="",0,IFERROR(VLOOKUP(C243,'Recetas y precios'!$A$5:$T$54,20,FALSE),0))</f>
        <v/>
      </c>
      <c r="J243" s="17">
        <f>G243*I243</f>
        <v/>
      </c>
      <c r="K243" s="6" t="n"/>
      <c r="L243" s="6" t="n"/>
    </row>
    <row r="244">
      <c r="A244" s="32" t="n"/>
      <c r="B244" s="6" t="n"/>
      <c r="C244" s="6" t="n"/>
      <c r="D244">
        <f>IF(C244="","",IFERROR(VLOOKUP(C244,'Recetas y precios'!$A$5:$B$54,2,FALSE),""))</f>
        <v/>
      </c>
      <c r="E244" s="6" t="n"/>
      <c r="F244" s="6" t="n"/>
      <c r="G244" s="6" t="n"/>
      <c r="H244" s="29">
        <f>IF((F244+G244)&gt;0,G244/(F244+G244),"")</f>
        <v/>
      </c>
      <c r="I244" s="17">
        <f>IF(C244="",0,IFERROR(VLOOKUP(C244,'Recetas y precios'!$A$5:$T$54,20,FALSE),0))</f>
        <v/>
      </c>
      <c r="J244" s="17">
        <f>G244*I244</f>
        <v/>
      </c>
      <c r="K244" s="6" t="n"/>
      <c r="L244" s="6" t="n"/>
    </row>
    <row r="245">
      <c r="A245" s="32" t="n"/>
      <c r="B245" s="6" t="n"/>
      <c r="C245" s="6" t="n"/>
      <c r="D245">
        <f>IF(C245="","",IFERROR(VLOOKUP(C245,'Recetas y precios'!$A$5:$B$54,2,FALSE),""))</f>
        <v/>
      </c>
      <c r="E245" s="6" t="n"/>
      <c r="F245" s="6" t="n"/>
      <c r="G245" s="6" t="n"/>
      <c r="H245" s="29">
        <f>IF((F245+G245)&gt;0,G245/(F245+G245),"")</f>
        <v/>
      </c>
      <c r="I245" s="17">
        <f>IF(C245="",0,IFERROR(VLOOKUP(C245,'Recetas y precios'!$A$5:$T$54,20,FALSE),0))</f>
        <v/>
      </c>
      <c r="J245" s="17">
        <f>G245*I245</f>
        <v/>
      </c>
      <c r="K245" s="6" t="n"/>
      <c r="L245" s="6" t="n"/>
    </row>
    <row r="246">
      <c r="A246" s="32" t="n"/>
      <c r="B246" s="6" t="n"/>
      <c r="C246" s="6" t="n"/>
      <c r="D246">
        <f>IF(C246="","",IFERROR(VLOOKUP(C246,'Recetas y precios'!$A$5:$B$54,2,FALSE),""))</f>
        <v/>
      </c>
      <c r="E246" s="6" t="n"/>
      <c r="F246" s="6" t="n"/>
      <c r="G246" s="6" t="n"/>
      <c r="H246" s="29">
        <f>IF((F246+G246)&gt;0,G246/(F246+G246),"")</f>
        <v/>
      </c>
      <c r="I246" s="17">
        <f>IF(C246="",0,IFERROR(VLOOKUP(C246,'Recetas y precios'!$A$5:$T$54,20,FALSE),0))</f>
        <v/>
      </c>
      <c r="J246" s="17">
        <f>G246*I246</f>
        <v/>
      </c>
      <c r="K246" s="6" t="n"/>
      <c r="L246" s="6" t="n"/>
    </row>
    <row r="247">
      <c r="A247" s="32" t="n"/>
      <c r="B247" s="6" t="n"/>
      <c r="C247" s="6" t="n"/>
      <c r="D247">
        <f>IF(C247="","",IFERROR(VLOOKUP(C247,'Recetas y precios'!$A$5:$B$54,2,FALSE),""))</f>
        <v/>
      </c>
      <c r="E247" s="6" t="n"/>
      <c r="F247" s="6" t="n"/>
      <c r="G247" s="6" t="n"/>
      <c r="H247" s="29">
        <f>IF((F247+G247)&gt;0,G247/(F247+G247),"")</f>
        <v/>
      </c>
      <c r="I247" s="17">
        <f>IF(C247="",0,IFERROR(VLOOKUP(C247,'Recetas y precios'!$A$5:$T$54,20,FALSE),0))</f>
        <v/>
      </c>
      <c r="J247" s="17">
        <f>G247*I247</f>
        <v/>
      </c>
      <c r="K247" s="6" t="n"/>
      <c r="L247" s="6" t="n"/>
    </row>
    <row r="248">
      <c r="A248" s="32" t="n"/>
      <c r="B248" s="6" t="n"/>
      <c r="C248" s="6" t="n"/>
      <c r="D248">
        <f>IF(C248="","",IFERROR(VLOOKUP(C248,'Recetas y precios'!$A$5:$B$54,2,FALSE),""))</f>
        <v/>
      </c>
      <c r="E248" s="6" t="n"/>
      <c r="F248" s="6" t="n"/>
      <c r="G248" s="6" t="n"/>
      <c r="H248" s="29">
        <f>IF((F248+G248)&gt;0,G248/(F248+G248),"")</f>
        <v/>
      </c>
      <c r="I248" s="17">
        <f>IF(C248="",0,IFERROR(VLOOKUP(C248,'Recetas y precios'!$A$5:$T$54,20,FALSE),0))</f>
        <v/>
      </c>
      <c r="J248" s="17">
        <f>G248*I248</f>
        <v/>
      </c>
      <c r="K248" s="6" t="n"/>
      <c r="L248" s="6" t="n"/>
    </row>
    <row r="249">
      <c r="A249" s="32" t="n"/>
      <c r="B249" s="6" t="n"/>
      <c r="C249" s="6" t="n"/>
      <c r="D249">
        <f>IF(C249="","",IFERROR(VLOOKUP(C249,'Recetas y precios'!$A$5:$B$54,2,FALSE),""))</f>
        <v/>
      </c>
      <c r="E249" s="6" t="n"/>
      <c r="F249" s="6" t="n"/>
      <c r="G249" s="6" t="n"/>
      <c r="H249" s="29">
        <f>IF((F249+G249)&gt;0,G249/(F249+G249),"")</f>
        <v/>
      </c>
      <c r="I249" s="17">
        <f>IF(C249="",0,IFERROR(VLOOKUP(C249,'Recetas y precios'!$A$5:$T$54,20,FALSE),0))</f>
        <v/>
      </c>
      <c r="J249" s="17">
        <f>G249*I249</f>
        <v/>
      </c>
      <c r="K249" s="6" t="n"/>
      <c r="L249" s="6" t="n"/>
    </row>
    <row r="250">
      <c r="A250" s="32" t="n"/>
      <c r="B250" s="6" t="n"/>
      <c r="C250" s="6" t="n"/>
      <c r="D250">
        <f>IF(C250="","",IFERROR(VLOOKUP(C250,'Recetas y precios'!$A$5:$B$54,2,FALSE),""))</f>
        <v/>
      </c>
      <c r="E250" s="6" t="n"/>
      <c r="F250" s="6" t="n"/>
      <c r="G250" s="6" t="n"/>
      <c r="H250" s="29">
        <f>IF((F250+G250)&gt;0,G250/(F250+G250),"")</f>
        <v/>
      </c>
      <c r="I250" s="17">
        <f>IF(C250="",0,IFERROR(VLOOKUP(C250,'Recetas y precios'!$A$5:$T$54,20,FALSE),0))</f>
        <v/>
      </c>
      <c r="J250" s="17">
        <f>G250*I250</f>
        <v/>
      </c>
      <c r="K250" s="6" t="n"/>
      <c r="L250" s="6" t="n"/>
    </row>
    <row r="251">
      <c r="A251" s="32" t="n"/>
      <c r="B251" s="6" t="n"/>
      <c r="C251" s="6" t="n"/>
      <c r="D251">
        <f>IF(C251="","",IFERROR(VLOOKUP(C251,'Recetas y precios'!$A$5:$B$54,2,FALSE),""))</f>
        <v/>
      </c>
      <c r="E251" s="6" t="n"/>
      <c r="F251" s="6" t="n"/>
      <c r="G251" s="6" t="n"/>
      <c r="H251" s="29">
        <f>IF((F251+G251)&gt;0,G251/(F251+G251),"")</f>
        <v/>
      </c>
      <c r="I251" s="17">
        <f>IF(C251="",0,IFERROR(VLOOKUP(C251,'Recetas y precios'!$A$5:$T$54,20,FALSE),0))</f>
        <v/>
      </c>
      <c r="J251" s="17">
        <f>G251*I251</f>
        <v/>
      </c>
      <c r="K251" s="6" t="n"/>
      <c r="L251" s="6" t="n"/>
    </row>
    <row r="252">
      <c r="A252" s="32" t="n"/>
      <c r="B252" s="6" t="n"/>
      <c r="C252" s="6" t="n"/>
      <c r="D252">
        <f>IF(C252="","",IFERROR(VLOOKUP(C252,'Recetas y precios'!$A$5:$B$54,2,FALSE),""))</f>
        <v/>
      </c>
      <c r="E252" s="6" t="n"/>
      <c r="F252" s="6" t="n"/>
      <c r="G252" s="6" t="n"/>
      <c r="H252" s="29">
        <f>IF((F252+G252)&gt;0,G252/(F252+G252),"")</f>
        <v/>
      </c>
      <c r="I252" s="17">
        <f>IF(C252="",0,IFERROR(VLOOKUP(C252,'Recetas y precios'!$A$5:$T$54,20,FALSE),0))</f>
        <v/>
      </c>
      <c r="J252" s="17">
        <f>G252*I252</f>
        <v/>
      </c>
      <c r="K252" s="6" t="n"/>
      <c r="L252" s="6" t="n"/>
    </row>
    <row r="253">
      <c r="A253" s="32" t="n"/>
      <c r="B253" s="6" t="n"/>
      <c r="C253" s="6" t="n"/>
      <c r="D253">
        <f>IF(C253="","",IFERROR(VLOOKUP(C253,'Recetas y precios'!$A$5:$B$54,2,FALSE),""))</f>
        <v/>
      </c>
      <c r="E253" s="6" t="n"/>
      <c r="F253" s="6" t="n"/>
      <c r="G253" s="6" t="n"/>
      <c r="H253" s="29">
        <f>IF((F253+G253)&gt;0,G253/(F253+G253),"")</f>
        <v/>
      </c>
      <c r="I253" s="17">
        <f>IF(C253="",0,IFERROR(VLOOKUP(C253,'Recetas y precios'!$A$5:$T$54,20,FALSE),0))</f>
        <v/>
      </c>
      <c r="J253" s="17">
        <f>G253*I253</f>
        <v/>
      </c>
      <c r="K253" s="6" t="n"/>
      <c r="L253" s="6" t="n"/>
    </row>
    <row r="254">
      <c r="A254" s="32" t="n"/>
      <c r="B254" s="6" t="n"/>
      <c r="C254" s="6" t="n"/>
      <c r="D254">
        <f>IF(C254="","",IFERROR(VLOOKUP(C254,'Recetas y precios'!$A$5:$B$54,2,FALSE),""))</f>
        <v/>
      </c>
      <c r="E254" s="6" t="n"/>
      <c r="F254" s="6" t="n"/>
      <c r="G254" s="6" t="n"/>
      <c r="H254" s="29">
        <f>IF((F254+G254)&gt;0,G254/(F254+G254),"")</f>
        <v/>
      </c>
      <c r="I254" s="17">
        <f>IF(C254="",0,IFERROR(VLOOKUP(C254,'Recetas y precios'!$A$5:$T$54,20,FALSE),0))</f>
        <v/>
      </c>
      <c r="J254" s="17">
        <f>G254*I254</f>
        <v/>
      </c>
      <c r="K254" s="6" t="n"/>
      <c r="L254" s="6" t="n"/>
    </row>
    <row r="255">
      <c r="A255" s="32" t="n"/>
      <c r="B255" s="6" t="n"/>
      <c r="C255" s="6" t="n"/>
      <c r="D255">
        <f>IF(C255="","",IFERROR(VLOOKUP(C255,'Recetas y precios'!$A$5:$B$54,2,FALSE),""))</f>
        <v/>
      </c>
      <c r="E255" s="6" t="n"/>
      <c r="F255" s="6" t="n"/>
      <c r="G255" s="6" t="n"/>
      <c r="H255" s="29">
        <f>IF((F255+G255)&gt;0,G255/(F255+G255),"")</f>
        <v/>
      </c>
      <c r="I255" s="17">
        <f>IF(C255="",0,IFERROR(VLOOKUP(C255,'Recetas y precios'!$A$5:$T$54,20,FALSE),0))</f>
        <v/>
      </c>
      <c r="J255" s="17">
        <f>G255*I255</f>
        <v/>
      </c>
      <c r="K255" s="6" t="n"/>
      <c r="L255" s="6" t="n"/>
    </row>
    <row r="256">
      <c r="A256" s="32" t="n"/>
      <c r="B256" s="6" t="n"/>
      <c r="C256" s="6" t="n"/>
      <c r="D256">
        <f>IF(C256="","",IFERROR(VLOOKUP(C256,'Recetas y precios'!$A$5:$B$54,2,FALSE),""))</f>
        <v/>
      </c>
      <c r="E256" s="6" t="n"/>
      <c r="F256" s="6" t="n"/>
      <c r="G256" s="6" t="n"/>
      <c r="H256" s="29">
        <f>IF((F256+G256)&gt;0,G256/(F256+G256),"")</f>
        <v/>
      </c>
      <c r="I256" s="17">
        <f>IF(C256="",0,IFERROR(VLOOKUP(C256,'Recetas y precios'!$A$5:$T$54,20,FALSE),0))</f>
        <v/>
      </c>
      <c r="J256" s="17">
        <f>G256*I256</f>
        <v/>
      </c>
      <c r="K256" s="6" t="n"/>
      <c r="L256" s="6" t="n"/>
    </row>
    <row r="257">
      <c r="A257" s="32" t="n"/>
      <c r="B257" s="6" t="n"/>
      <c r="C257" s="6" t="n"/>
      <c r="D257">
        <f>IF(C257="","",IFERROR(VLOOKUP(C257,'Recetas y precios'!$A$5:$B$54,2,FALSE),""))</f>
        <v/>
      </c>
      <c r="E257" s="6" t="n"/>
      <c r="F257" s="6" t="n"/>
      <c r="G257" s="6" t="n"/>
      <c r="H257" s="29">
        <f>IF((F257+G257)&gt;0,G257/(F257+G257),"")</f>
        <v/>
      </c>
      <c r="I257" s="17">
        <f>IF(C257="",0,IFERROR(VLOOKUP(C257,'Recetas y precios'!$A$5:$T$54,20,FALSE),0))</f>
        <v/>
      </c>
      <c r="J257" s="17">
        <f>G257*I257</f>
        <v/>
      </c>
      <c r="K257" s="6" t="n"/>
      <c r="L257" s="6" t="n"/>
    </row>
    <row r="258">
      <c r="A258" s="32" t="n"/>
      <c r="B258" s="6" t="n"/>
      <c r="C258" s="6" t="n"/>
      <c r="D258">
        <f>IF(C258="","",IFERROR(VLOOKUP(C258,'Recetas y precios'!$A$5:$B$54,2,FALSE),""))</f>
        <v/>
      </c>
      <c r="E258" s="6" t="n"/>
      <c r="F258" s="6" t="n"/>
      <c r="G258" s="6" t="n"/>
      <c r="H258" s="29">
        <f>IF((F258+G258)&gt;0,G258/(F258+G258),"")</f>
        <v/>
      </c>
      <c r="I258" s="17">
        <f>IF(C258="",0,IFERROR(VLOOKUP(C258,'Recetas y precios'!$A$5:$T$54,20,FALSE),0))</f>
        <v/>
      </c>
      <c r="J258" s="17">
        <f>G258*I258</f>
        <v/>
      </c>
      <c r="K258" s="6" t="n"/>
      <c r="L258" s="6" t="n"/>
    </row>
    <row r="259">
      <c r="A259" s="32" t="n"/>
      <c r="B259" s="6" t="n"/>
      <c r="C259" s="6" t="n"/>
      <c r="D259">
        <f>IF(C259="","",IFERROR(VLOOKUP(C259,'Recetas y precios'!$A$5:$B$54,2,FALSE),""))</f>
        <v/>
      </c>
      <c r="E259" s="6" t="n"/>
      <c r="F259" s="6" t="n"/>
      <c r="G259" s="6" t="n"/>
      <c r="H259" s="29">
        <f>IF((F259+G259)&gt;0,G259/(F259+G259),"")</f>
        <v/>
      </c>
      <c r="I259" s="17">
        <f>IF(C259="",0,IFERROR(VLOOKUP(C259,'Recetas y precios'!$A$5:$T$54,20,FALSE),0))</f>
        <v/>
      </c>
      <c r="J259" s="17">
        <f>G259*I259</f>
        <v/>
      </c>
      <c r="K259" s="6" t="n"/>
      <c r="L259" s="6" t="n"/>
    </row>
    <row r="260">
      <c r="A260" s="32" t="n"/>
      <c r="B260" s="6" t="n"/>
      <c r="C260" s="6" t="n"/>
      <c r="D260">
        <f>IF(C260="","",IFERROR(VLOOKUP(C260,'Recetas y precios'!$A$5:$B$54,2,FALSE),""))</f>
        <v/>
      </c>
      <c r="E260" s="6" t="n"/>
      <c r="F260" s="6" t="n"/>
      <c r="G260" s="6" t="n"/>
      <c r="H260" s="29">
        <f>IF((F260+G260)&gt;0,G260/(F260+G260),"")</f>
        <v/>
      </c>
      <c r="I260" s="17">
        <f>IF(C260="",0,IFERROR(VLOOKUP(C260,'Recetas y precios'!$A$5:$T$54,20,FALSE),0))</f>
        <v/>
      </c>
      <c r="J260" s="17">
        <f>G260*I260</f>
        <v/>
      </c>
      <c r="K260" s="6" t="n"/>
      <c r="L260" s="6" t="n"/>
    </row>
    <row r="261">
      <c r="A261" s="32" t="n"/>
      <c r="B261" s="6" t="n"/>
      <c r="C261" s="6" t="n"/>
      <c r="D261">
        <f>IF(C261="","",IFERROR(VLOOKUP(C261,'Recetas y precios'!$A$5:$B$54,2,FALSE),""))</f>
        <v/>
      </c>
      <c r="E261" s="6" t="n"/>
      <c r="F261" s="6" t="n"/>
      <c r="G261" s="6" t="n"/>
      <c r="H261" s="29">
        <f>IF((F261+G261)&gt;0,G261/(F261+G261),"")</f>
        <v/>
      </c>
      <c r="I261" s="17">
        <f>IF(C261="",0,IFERROR(VLOOKUP(C261,'Recetas y precios'!$A$5:$T$54,20,FALSE),0))</f>
        <v/>
      </c>
      <c r="J261" s="17">
        <f>G261*I261</f>
        <v/>
      </c>
      <c r="K261" s="6" t="n"/>
      <c r="L261" s="6" t="n"/>
    </row>
    <row r="262">
      <c r="A262" s="32" t="n"/>
      <c r="B262" s="6" t="n"/>
      <c r="C262" s="6" t="n"/>
      <c r="D262">
        <f>IF(C262="","",IFERROR(VLOOKUP(C262,'Recetas y precios'!$A$5:$B$54,2,FALSE),""))</f>
        <v/>
      </c>
      <c r="E262" s="6" t="n"/>
      <c r="F262" s="6" t="n"/>
      <c r="G262" s="6" t="n"/>
      <c r="H262" s="29">
        <f>IF((F262+G262)&gt;0,G262/(F262+G262),"")</f>
        <v/>
      </c>
      <c r="I262" s="17">
        <f>IF(C262="",0,IFERROR(VLOOKUP(C262,'Recetas y precios'!$A$5:$T$54,20,FALSE),0))</f>
        <v/>
      </c>
      <c r="J262" s="17">
        <f>G262*I262</f>
        <v/>
      </c>
      <c r="K262" s="6" t="n"/>
      <c r="L262" s="6" t="n"/>
    </row>
    <row r="263">
      <c r="A263" s="32" t="n"/>
      <c r="B263" s="6" t="n"/>
      <c r="C263" s="6" t="n"/>
      <c r="D263">
        <f>IF(C263="","",IFERROR(VLOOKUP(C263,'Recetas y precios'!$A$5:$B$54,2,FALSE),""))</f>
        <v/>
      </c>
      <c r="E263" s="6" t="n"/>
      <c r="F263" s="6" t="n"/>
      <c r="G263" s="6" t="n"/>
      <c r="H263" s="29">
        <f>IF((F263+G263)&gt;0,G263/(F263+G263),"")</f>
        <v/>
      </c>
      <c r="I263" s="17">
        <f>IF(C263="",0,IFERROR(VLOOKUP(C263,'Recetas y precios'!$A$5:$T$54,20,FALSE),0))</f>
        <v/>
      </c>
      <c r="J263" s="17">
        <f>G263*I263</f>
        <v/>
      </c>
      <c r="K263" s="6" t="n"/>
      <c r="L263" s="6" t="n"/>
    </row>
    <row r="264">
      <c r="A264" s="32" t="n"/>
      <c r="B264" s="6" t="n"/>
      <c r="C264" s="6" t="n"/>
      <c r="D264">
        <f>IF(C264="","",IFERROR(VLOOKUP(C264,'Recetas y precios'!$A$5:$B$54,2,FALSE),""))</f>
        <v/>
      </c>
      <c r="E264" s="6" t="n"/>
      <c r="F264" s="6" t="n"/>
      <c r="G264" s="6" t="n"/>
      <c r="H264" s="29">
        <f>IF((F264+G264)&gt;0,G264/(F264+G264),"")</f>
        <v/>
      </c>
      <c r="I264" s="17">
        <f>IF(C264="",0,IFERROR(VLOOKUP(C264,'Recetas y precios'!$A$5:$T$54,20,FALSE),0))</f>
        <v/>
      </c>
      <c r="J264" s="17">
        <f>G264*I264</f>
        <v/>
      </c>
      <c r="K264" s="6" t="n"/>
      <c r="L264" s="6" t="n"/>
    </row>
    <row r="265">
      <c r="A265" s="32" t="n"/>
      <c r="B265" s="6" t="n"/>
      <c r="C265" s="6" t="n"/>
      <c r="D265">
        <f>IF(C265="","",IFERROR(VLOOKUP(C265,'Recetas y precios'!$A$5:$B$54,2,FALSE),""))</f>
        <v/>
      </c>
      <c r="E265" s="6" t="n"/>
      <c r="F265" s="6" t="n"/>
      <c r="G265" s="6" t="n"/>
      <c r="H265" s="29">
        <f>IF((F265+G265)&gt;0,G265/(F265+G265),"")</f>
        <v/>
      </c>
      <c r="I265" s="17">
        <f>IF(C265="",0,IFERROR(VLOOKUP(C265,'Recetas y precios'!$A$5:$T$54,20,FALSE),0))</f>
        <v/>
      </c>
      <c r="J265" s="17">
        <f>G265*I265</f>
        <v/>
      </c>
      <c r="K265" s="6" t="n"/>
      <c r="L265" s="6" t="n"/>
    </row>
    <row r="266">
      <c r="A266" s="32" t="n"/>
      <c r="B266" s="6" t="n"/>
      <c r="C266" s="6" t="n"/>
      <c r="D266">
        <f>IF(C266="","",IFERROR(VLOOKUP(C266,'Recetas y precios'!$A$5:$B$54,2,FALSE),""))</f>
        <v/>
      </c>
      <c r="E266" s="6" t="n"/>
      <c r="F266" s="6" t="n"/>
      <c r="G266" s="6" t="n"/>
      <c r="H266" s="29">
        <f>IF((F266+G266)&gt;0,G266/(F266+G266),"")</f>
        <v/>
      </c>
      <c r="I266" s="17">
        <f>IF(C266="",0,IFERROR(VLOOKUP(C266,'Recetas y precios'!$A$5:$T$54,20,FALSE),0))</f>
        <v/>
      </c>
      <c r="J266" s="17">
        <f>G266*I266</f>
        <v/>
      </c>
      <c r="K266" s="6" t="n"/>
      <c r="L266" s="6" t="n"/>
    </row>
    <row r="267">
      <c r="A267" s="32" t="n"/>
      <c r="B267" s="6" t="n"/>
      <c r="C267" s="6" t="n"/>
      <c r="D267">
        <f>IF(C267="","",IFERROR(VLOOKUP(C267,'Recetas y precios'!$A$5:$B$54,2,FALSE),""))</f>
        <v/>
      </c>
      <c r="E267" s="6" t="n"/>
      <c r="F267" s="6" t="n"/>
      <c r="G267" s="6" t="n"/>
      <c r="H267" s="29">
        <f>IF((F267+G267)&gt;0,G267/(F267+G267),"")</f>
        <v/>
      </c>
      <c r="I267" s="17">
        <f>IF(C267="",0,IFERROR(VLOOKUP(C267,'Recetas y precios'!$A$5:$T$54,20,FALSE),0))</f>
        <v/>
      </c>
      <c r="J267" s="17">
        <f>G267*I267</f>
        <v/>
      </c>
      <c r="K267" s="6" t="n"/>
      <c r="L267" s="6" t="n"/>
    </row>
    <row r="268">
      <c r="A268" s="32" t="n"/>
      <c r="B268" s="6" t="n"/>
      <c r="C268" s="6" t="n"/>
      <c r="D268">
        <f>IF(C268="","",IFERROR(VLOOKUP(C268,'Recetas y precios'!$A$5:$B$54,2,FALSE),""))</f>
        <v/>
      </c>
      <c r="E268" s="6" t="n"/>
      <c r="F268" s="6" t="n"/>
      <c r="G268" s="6" t="n"/>
      <c r="H268" s="29">
        <f>IF((F268+G268)&gt;0,G268/(F268+G268),"")</f>
        <v/>
      </c>
      <c r="I268" s="17">
        <f>IF(C268="",0,IFERROR(VLOOKUP(C268,'Recetas y precios'!$A$5:$T$54,20,FALSE),0))</f>
        <v/>
      </c>
      <c r="J268" s="17">
        <f>G268*I268</f>
        <v/>
      </c>
      <c r="K268" s="6" t="n"/>
      <c r="L268" s="6" t="n"/>
    </row>
    <row r="269">
      <c r="A269" s="32" t="n"/>
      <c r="B269" s="6" t="n"/>
      <c r="C269" s="6" t="n"/>
      <c r="D269">
        <f>IF(C269="","",IFERROR(VLOOKUP(C269,'Recetas y precios'!$A$5:$B$54,2,FALSE),""))</f>
        <v/>
      </c>
      <c r="E269" s="6" t="n"/>
      <c r="F269" s="6" t="n"/>
      <c r="G269" s="6" t="n"/>
      <c r="H269" s="29">
        <f>IF((F269+G269)&gt;0,G269/(F269+G269),"")</f>
        <v/>
      </c>
      <c r="I269" s="17">
        <f>IF(C269="",0,IFERROR(VLOOKUP(C269,'Recetas y precios'!$A$5:$T$54,20,FALSE),0))</f>
        <v/>
      </c>
      <c r="J269" s="17">
        <f>G269*I269</f>
        <v/>
      </c>
      <c r="K269" s="6" t="n"/>
      <c r="L269" s="6" t="n"/>
    </row>
    <row r="270">
      <c r="A270" s="32" t="n"/>
      <c r="B270" s="6" t="n"/>
      <c r="C270" s="6" t="n"/>
      <c r="D270">
        <f>IF(C270="","",IFERROR(VLOOKUP(C270,'Recetas y precios'!$A$5:$B$54,2,FALSE),""))</f>
        <v/>
      </c>
      <c r="E270" s="6" t="n"/>
      <c r="F270" s="6" t="n"/>
      <c r="G270" s="6" t="n"/>
      <c r="H270" s="29">
        <f>IF((F270+G270)&gt;0,G270/(F270+G270),"")</f>
        <v/>
      </c>
      <c r="I270" s="17">
        <f>IF(C270="",0,IFERROR(VLOOKUP(C270,'Recetas y precios'!$A$5:$T$54,20,FALSE),0))</f>
        <v/>
      </c>
      <c r="J270" s="17">
        <f>G270*I270</f>
        <v/>
      </c>
      <c r="K270" s="6" t="n"/>
      <c r="L270" s="6" t="n"/>
    </row>
    <row r="271">
      <c r="A271" s="32" t="n"/>
      <c r="B271" s="6" t="n"/>
      <c r="C271" s="6" t="n"/>
      <c r="D271">
        <f>IF(C271="","",IFERROR(VLOOKUP(C271,'Recetas y precios'!$A$5:$B$54,2,FALSE),""))</f>
        <v/>
      </c>
      <c r="E271" s="6" t="n"/>
      <c r="F271" s="6" t="n"/>
      <c r="G271" s="6" t="n"/>
      <c r="H271" s="29">
        <f>IF((F271+G271)&gt;0,G271/(F271+G271),"")</f>
        <v/>
      </c>
      <c r="I271" s="17">
        <f>IF(C271="",0,IFERROR(VLOOKUP(C271,'Recetas y precios'!$A$5:$T$54,20,FALSE),0))</f>
        <v/>
      </c>
      <c r="J271" s="17">
        <f>G271*I271</f>
        <v/>
      </c>
      <c r="K271" s="6" t="n"/>
      <c r="L271" s="6" t="n"/>
    </row>
    <row r="272">
      <c r="A272" s="32" t="n"/>
      <c r="B272" s="6" t="n"/>
      <c r="C272" s="6" t="n"/>
      <c r="D272">
        <f>IF(C272="","",IFERROR(VLOOKUP(C272,'Recetas y precios'!$A$5:$B$54,2,FALSE),""))</f>
        <v/>
      </c>
      <c r="E272" s="6" t="n"/>
      <c r="F272" s="6" t="n"/>
      <c r="G272" s="6" t="n"/>
      <c r="H272" s="29">
        <f>IF((F272+G272)&gt;0,G272/(F272+G272),"")</f>
        <v/>
      </c>
      <c r="I272" s="17">
        <f>IF(C272="",0,IFERROR(VLOOKUP(C272,'Recetas y precios'!$A$5:$T$54,20,FALSE),0))</f>
        <v/>
      </c>
      <c r="J272" s="17">
        <f>G272*I272</f>
        <v/>
      </c>
      <c r="K272" s="6" t="n"/>
      <c r="L272" s="6" t="n"/>
    </row>
    <row r="273">
      <c r="A273" s="32" t="n"/>
      <c r="B273" s="6" t="n"/>
      <c r="C273" s="6" t="n"/>
      <c r="D273">
        <f>IF(C273="","",IFERROR(VLOOKUP(C273,'Recetas y precios'!$A$5:$B$54,2,FALSE),""))</f>
        <v/>
      </c>
      <c r="E273" s="6" t="n"/>
      <c r="F273" s="6" t="n"/>
      <c r="G273" s="6" t="n"/>
      <c r="H273" s="29">
        <f>IF((F273+G273)&gt;0,G273/(F273+G273),"")</f>
        <v/>
      </c>
      <c r="I273" s="17">
        <f>IF(C273="",0,IFERROR(VLOOKUP(C273,'Recetas y precios'!$A$5:$T$54,20,FALSE),0))</f>
        <v/>
      </c>
      <c r="J273" s="17">
        <f>G273*I273</f>
        <v/>
      </c>
      <c r="K273" s="6" t="n"/>
      <c r="L273" s="6" t="n"/>
    </row>
    <row r="274">
      <c r="A274" s="32" t="n"/>
      <c r="B274" s="6" t="n"/>
      <c r="C274" s="6" t="n"/>
      <c r="D274">
        <f>IF(C274="","",IFERROR(VLOOKUP(C274,'Recetas y precios'!$A$5:$B$54,2,FALSE),""))</f>
        <v/>
      </c>
      <c r="E274" s="6" t="n"/>
      <c r="F274" s="6" t="n"/>
      <c r="G274" s="6" t="n"/>
      <c r="H274" s="29">
        <f>IF((F274+G274)&gt;0,G274/(F274+G274),"")</f>
        <v/>
      </c>
      <c r="I274" s="17">
        <f>IF(C274="",0,IFERROR(VLOOKUP(C274,'Recetas y precios'!$A$5:$T$54,20,FALSE),0))</f>
        <v/>
      </c>
      <c r="J274" s="17">
        <f>G274*I274</f>
        <v/>
      </c>
      <c r="K274" s="6" t="n"/>
      <c r="L274" s="6" t="n"/>
    </row>
    <row r="275">
      <c r="A275" s="32" t="n"/>
      <c r="B275" s="6" t="n"/>
      <c r="C275" s="6" t="n"/>
      <c r="D275">
        <f>IF(C275="","",IFERROR(VLOOKUP(C275,'Recetas y precios'!$A$5:$B$54,2,FALSE),""))</f>
        <v/>
      </c>
      <c r="E275" s="6" t="n"/>
      <c r="F275" s="6" t="n"/>
      <c r="G275" s="6" t="n"/>
      <c r="H275" s="29">
        <f>IF((F275+G275)&gt;0,G275/(F275+G275),"")</f>
        <v/>
      </c>
      <c r="I275" s="17">
        <f>IF(C275="",0,IFERROR(VLOOKUP(C275,'Recetas y precios'!$A$5:$T$54,20,FALSE),0))</f>
        <v/>
      </c>
      <c r="J275" s="17">
        <f>G275*I275</f>
        <v/>
      </c>
      <c r="K275" s="6" t="n"/>
      <c r="L275" s="6" t="n"/>
    </row>
    <row r="276">
      <c r="A276" s="32" t="n"/>
      <c r="B276" s="6" t="n"/>
      <c r="C276" s="6" t="n"/>
      <c r="D276">
        <f>IF(C276="","",IFERROR(VLOOKUP(C276,'Recetas y precios'!$A$5:$B$54,2,FALSE),""))</f>
        <v/>
      </c>
      <c r="E276" s="6" t="n"/>
      <c r="F276" s="6" t="n"/>
      <c r="G276" s="6" t="n"/>
      <c r="H276" s="29">
        <f>IF((F276+G276)&gt;0,G276/(F276+G276),"")</f>
        <v/>
      </c>
      <c r="I276" s="17">
        <f>IF(C276="",0,IFERROR(VLOOKUP(C276,'Recetas y precios'!$A$5:$T$54,20,FALSE),0))</f>
        <v/>
      </c>
      <c r="J276" s="17">
        <f>G276*I276</f>
        <v/>
      </c>
      <c r="K276" s="6" t="n"/>
      <c r="L276" s="6" t="n"/>
    </row>
    <row r="277">
      <c r="A277" s="32" t="n"/>
      <c r="B277" s="6" t="n"/>
      <c r="C277" s="6" t="n"/>
      <c r="D277">
        <f>IF(C277="","",IFERROR(VLOOKUP(C277,'Recetas y precios'!$A$5:$B$54,2,FALSE),""))</f>
        <v/>
      </c>
      <c r="E277" s="6" t="n"/>
      <c r="F277" s="6" t="n"/>
      <c r="G277" s="6" t="n"/>
      <c r="H277" s="29">
        <f>IF((F277+G277)&gt;0,G277/(F277+G277),"")</f>
        <v/>
      </c>
      <c r="I277" s="17">
        <f>IF(C277="",0,IFERROR(VLOOKUP(C277,'Recetas y precios'!$A$5:$T$54,20,FALSE),0))</f>
        <v/>
      </c>
      <c r="J277" s="17">
        <f>G277*I277</f>
        <v/>
      </c>
      <c r="K277" s="6" t="n"/>
      <c r="L277" s="6" t="n"/>
    </row>
    <row r="278">
      <c r="A278" s="32" t="n"/>
      <c r="B278" s="6" t="n"/>
      <c r="C278" s="6" t="n"/>
      <c r="D278">
        <f>IF(C278="","",IFERROR(VLOOKUP(C278,'Recetas y precios'!$A$5:$B$54,2,FALSE),""))</f>
        <v/>
      </c>
      <c r="E278" s="6" t="n"/>
      <c r="F278" s="6" t="n"/>
      <c r="G278" s="6" t="n"/>
      <c r="H278" s="29">
        <f>IF((F278+G278)&gt;0,G278/(F278+G278),"")</f>
        <v/>
      </c>
      <c r="I278" s="17">
        <f>IF(C278="",0,IFERROR(VLOOKUP(C278,'Recetas y precios'!$A$5:$T$54,20,FALSE),0))</f>
        <v/>
      </c>
      <c r="J278" s="17">
        <f>G278*I278</f>
        <v/>
      </c>
      <c r="K278" s="6" t="n"/>
      <c r="L278" s="6" t="n"/>
    </row>
    <row r="279">
      <c r="A279" s="32" t="n"/>
      <c r="B279" s="6" t="n"/>
      <c r="C279" s="6" t="n"/>
      <c r="D279">
        <f>IF(C279="","",IFERROR(VLOOKUP(C279,'Recetas y precios'!$A$5:$B$54,2,FALSE),""))</f>
        <v/>
      </c>
      <c r="E279" s="6" t="n"/>
      <c r="F279" s="6" t="n"/>
      <c r="G279" s="6" t="n"/>
      <c r="H279" s="29">
        <f>IF((F279+G279)&gt;0,G279/(F279+G279),"")</f>
        <v/>
      </c>
      <c r="I279" s="17">
        <f>IF(C279="",0,IFERROR(VLOOKUP(C279,'Recetas y precios'!$A$5:$T$54,20,FALSE),0))</f>
        <v/>
      </c>
      <c r="J279" s="17">
        <f>G279*I279</f>
        <v/>
      </c>
      <c r="K279" s="6" t="n"/>
      <c r="L279" s="6" t="n"/>
    </row>
    <row r="280">
      <c r="A280" s="32" t="n"/>
      <c r="B280" s="6" t="n"/>
      <c r="C280" s="6" t="n"/>
      <c r="D280">
        <f>IF(C280="","",IFERROR(VLOOKUP(C280,'Recetas y precios'!$A$5:$B$54,2,FALSE),""))</f>
        <v/>
      </c>
      <c r="E280" s="6" t="n"/>
      <c r="F280" s="6" t="n"/>
      <c r="G280" s="6" t="n"/>
      <c r="H280" s="29">
        <f>IF((F280+G280)&gt;0,G280/(F280+G280),"")</f>
        <v/>
      </c>
      <c r="I280" s="17">
        <f>IF(C280="",0,IFERROR(VLOOKUP(C280,'Recetas y precios'!$A$5:$T$54,20,FALSE),0))</f>
        <v/>
      </c>
      <c r="J280" s="17">
        <f>G280*I280</f>
        <v/>
      </c>
      <c r="K280" s="6" t="n"/>
      <c r="L280" s="6" t="n"/>
    </row>
    <row r="281">
      <c r="A281" s="32" t="n"/>
      <c r="B281" s="6" t="n"/>
      <c r="C281" s="6" t="n"/>
      <c r="D281">
        <f>IF(C281="","",IFERROR(VLOOKUP(C281,'Recetas y precios'!$A$5:$B$54,2,FALSE),""))</f>
        <v/>
      </c>
      <c r="E281" s="6" t="n"/>
      <c r="F281" s="6" t="n"/>
      <c r="G281" s="6" t="n"/>
      <c r="H281" s="29">
        <f>IF((F281+G281)&gt;0,G281/(F281+G281),"")</f>
        <v/>
      </c>
      <c r="I281" s="17">
        <f>IF(C281="",0,IFERROR(VLOOKUP(C281,'Recetas y precios'!$A$5:$T$54,20,FALSE),0))</f>
        <v/>
      </c>
      <c r="J281" s="17">
        <f>G281*I281</f>
        <v/>
      </c>
      <c r="K281" s="6" t="n"/>
      <c r="L281" s="6" t="n"/>
    </row>
    <row r="282">
      <c r="A282" s="32" t="n"/>
      <c r="B282" s="6" t="n"/>
      <c r="C282" s="6" t="n"/>
      <c r="D282">
        <f>IF(C282="","",IFERROR(VLOOKUP(C282,'Recetas y precios'!$A$5:$B$54,2,FALSE),""))</f>
        <v/>
      </c>
      <c r="E282" s="6" t="n"/>
      <c r="F282" s="6" t="n"/>
      <c r="G282" s="6" t="n"/>
      <c r="H282" s="29">
        <f>IF((F282+G282)&gt;0,G282/(F282+G282),"")</f>
        <v/>
      </c>
      <c r="I282" s="17">
        <f>IF(C282="",0,IFERROR(VLOOKUP(C282,'Recetas y precios'!$A$5:$T$54,20,FALSE),0))</f>
        <v/>
      </c>
      <c r="J282" s="17">
        <f>G282*I282</f>
        <v/>
      </c>
      <c r="K282" s="6" t="n"/>
      <c r="L282" s="6" t="n"/>
    </row>
    <row r="283">
      <c r="A283" s="32" t="n"/>
      <c r="B283" s="6" t="n"/>
      <c r="C283" s="6" t="n"/>
      <c r="D283">
        <f>IF(C283="","",IFERROR(VLOOKUP(C283,'Recetas y precios'!$A$5:$B$54,2,FALSE),""))</f>
        <v/>
      </c>
      <c r="E283" s="6" t="n"/>
      <c r="F283" s="6" t="n"/>
      <c r="G283" s="6" t="n"/>
      <c r="H283" s="29">
        <f>IF((F283+G283)&gt;0,G283/(F283+G283),"")</f>
        <v/>
      </c>
      <c r="I283" s="17">
        <f>IF(C283="",0,IFERROR(VLOOKUP(C283,'Recetas y precios'!$A$5:$T$54,20,FALSE),0))</f>
        <v/>
      </c>
      <c r="J283" s="17">
        <f>G283*I283</f>
        <v/>
      </c>
      <c r="K283" s="6" t="n"/>
      <c r="L283" s="6" t="n"/>
    </row>
    <row r="284">
      <c r="A284" s="32" t="n"/>
      <c r="B284" s="6" t="n"/>
      <c r="C284" s="6" t="n"/>
      <c r="D284">
        <f>IF(C284="","",IFERROR(VLOOKUP(C284,'Recetas y precios'!$A$5:$B$54,2,FALSE),""))</f>
        <v/>
      </c>
      <c r="E284" s="6" t="n"/>
      <c r="F284" s="6" t="n"/>
      <c r="G284" s="6" t="n"/>
      <c r="H284" s="29">
        <f>IF((F284+G284)&gt;0,G284/(F284+G284),"")</f>
        <v/>
      </c>
      <c r="I284" s="17">
        <f>IF(C284="",0,IFERROR(VLOOKUP(C284,'Recetas y precios'!$A$5:$T$54,20,FALSE),0))</f>
        <v/>
      </c>
      <c r="J284" s="17">
        <f>G284*I284</f>
        <v/>
      </c>
      <c r="K284" s="6" t="n"/>
      <c r="L284" s="6" t="n"/>
    </row>
    <row r="285">
      <c r="A285" s="32" t="n"/>
      <c r="B285" s="6" t="n"/>
      <c r="C285" s="6" t="n"/>
      <c r="D285">
        <f>IF(C285="","",IFERROR(VLOOKUP(C285,'Recetas y precios'!$A$5:$B$54,2,FALSE),""))</f>
        <v/>
      </c>
      <c r="E285" s="6" t="n"/>
      <c r="F285" s="6" t="n"/>
      <c r="G285" s="6" t="n"/>
      <c r="H285" s="29">
        <f>IF((F285+G285)&gt;0,G285/(F285+G285),"")</f>
        <v/>
      </c>
      <c r="I285" s="17">
        <f>IF(C285="",0,IFERROR(VLOOKUP(C285,'Recetas y precios'!$A$5:$T$54,20,FALSE),0))</f>
        <v/>
      </c>
      <c r="J285" s="17">
        <f>G285*I285</f>
        <v/>
      </c>
      <c r="K285" s="6" t="n"/>
      <c r="L285" s="6" t="n"/>
    </row>
    <row r="286">
      <c r="A286" s="32" t="n"/>
      <c r="B286" s="6" t="n"/>
      <c r="C286" s="6" t="n"/>
      <c r="D286">
        <f>IF(C286="","",IFERROR(VLOOKUP(C286,'Recetas y precios'!$A$5:$B$54,2,FALSE),""))</f>
        <v/>
      </c>
      <c r="E286" s="6" t="n"/>
      <c r="F286" s="6" t="n"/>
      <c r="G286" s="6" t="n"/>
      <c r="H286" s="29">
        <f>IF((F286+G286)&gt;0,G286/(F286+G286),"")</f>
        <v/>
      </c>
      <c r="I286" s="17">
        <f>IF(C286="",0,IFERROR(VLOOKUP(C286,'Recetas y precios'!$A$5:$T$54,20,FALSE),0))</f>
        <v/>
      </c>
      <c r="J286" s="17">
        <f>G286*I286</f>
        <v/>
      </c>
      <c r="K286" s="6" t="n"/>
      <c r="L286" s="6" t="n"/>
    </row>
    <row r="287">
      <c r="A287" s="32" t="n"/>
      <c r="B287" s="6" t="n"/>
      <c r="C287" s="6" t="n"/>
      <c r="D287">
        <f>IF(C287="","",IFERROR(VLOOKUP(C287,'Recetas y precios'!$A$5:$B$54,2,FALSE),""))</f>
        <v/>
      </c>
      <c r="E287" s="6" t="n"/>
      <c r="F287" s="6" t="n"/>
      <c r="G287" s="6" t="n"/>
      <c r="H287" s="29">
        <f>IF((F287+G287)&gt;0,G287/(F287+G287),"")</f>
        <v/>
      </c>
      <c r="I287" s="17">
        <f>IF(C287="",0,IFERROR(VLOOKUP(C287,'Recetas y precios'!$A$5:$T$54,20,FALSE),0))</f>
        <v/>
      </c>
      <c r="J287" s="17">
        <f>G287*I287</f>
        <v/>
      </c>
      <c r="K287" s="6" t="n"/>
      <c r="L287" s="6" t="n"/>
    </row>
    <row r="288">
      <c r="A288" s="32" t="n"/>
      <c r="B288" s="6" t="n"/>
      <c r="C288" s="6" t="n"/>
      <c r="D288">
        <f>IF(C288="","",IFERROR(VLOOKUP(C288,'Recetas y precios'!$A$5:$B$54,2,FALSE),""))</f>
        <v/>
      </c>
      <c r="E288" s="6" t="n"/>
      <c r="F288" s="6" t="n"/>
      <c r="G288" s="6" t="n"/>
      <c r="H288" s="29">
        <f>IF((F288+G288)&gt;0,G288/(F288+G288),"")</f>
        <v/>
      </c>
      <c r="I288" s="17">
        <f>IF(C288="",0,IFERROR(VLOOKUP(C288,'Recetas y precios'!$A$5:$T$54,20,FALSE),0))</f>
        <v/>
      </c>
      <c r="J288" s="17">
        <f>G288*I288</f>
        <v/>
      </c>
      <c r="K288" s="6" t="n"/>
      <c r="L288" s="6" t="n"/>
    </row>
    <row r="289">
      <c r="A289" s="32" t="n"/>
      <c r="B289" s="6" t="n"/>
      <c r="C289" s="6" t="n"/>
      <c r="D289">
        <f>IF(C289="","",IFERROR(VLOOKUP(C289,'Recetas y precios'!$A$5:$B$54,2,FALSE),""))</f>
        <v/>
      </c>
      <c r="E289" s="6" t="n"/>
      <c r="F289" s="6" t="n"/>
      <c r="G289" s="6" t="n"/>
      <c r="H289" s="29">
        <f>IF((F289+G289)&gt;0,G289/(F289+G289),"")</f>
        <v/>
      </c>
      <c r="I289" s="17">
        <f>IF(C289="",0,IFERROR(VLOOKUP(C289,'Recetas y precios'!$A$5:$T$54,20,FALSE),0))</f>
        <v/>
      </c>
      <c r="J289" s="17">
        <f>G289*I289</f>
        <v/>
      </c>
      <c r="K289" s="6" t="n"/>
      <c r="L289" s="6" t="n"/>
    </row>
    <row r="290">
      <c r="A290" s="32" t="n"/>
      <c r="B290" s="6" t="n"/>
      <c r="C290" s="6" t="n"/>
      <c r="D290">
        <f>IF(C290="","",IFERROR(VLOOKUP(C290,'Recetas y precios'!$A$5:$B$54,2,FALSE),""))</f>
        <v/>
      </c>
      <c r="E290" s="6" t="n"/>
      <c r="F290" s="6" t="n"/>
      <c r="G290" s="6" t="n"/>
      <c r="H290" s="29">
        <f>IF((F290+G290)&gt;0,G290/(F290+G290),"")</f>
        <v/>
      </c>
      <c r="I290" s="17">
        <f>IF(C290="",0,IFERROR(VLOOKUP(C290,'Recetas y precios'!$A$5:$T$54,20,FALSE),0))</f>
        <v/>
      </c>
      <c r="J290" s="17">
        <f>G290*I290</f>
        <v/>
      </c>
      <c r="K290" s="6" t="n"/>
      <c r="L290" s="6" t="n"/>
    </row>
    <row r="291">
      <c r="A291" s="32" t="n"/>
      <c r="B291" s="6" t="n"/>
      <c r="C291" s="6" t="n"/>
      <c r="D291">
        <f>IF(C291="","",IFERROR(VLOOKUP(C291,'Recetas y precios'!$A$5:$B$54,2,FALSE),""))</f>
        <v/>
      </c>
      <c r="E291" s="6" t="n"/>
      <c r="F291" s="6" t="n"/>
      <c r="G291" s="6" t="n"/>
      <c r="H291" s="29">
        <f>IF((F291+G291)&gt;0,G291/(F291+G291),"")</f>
        <v/>
      </c>
      <c r="I291" s="17">
        <f>IF(C291="",0,IFERROR(VLOOKUP(C291,'Recetas y precios'!$A$5:$T$54,20,FALSE),0))</f>
        <v/>
      </c>
      <c r="J291" s="17">
        <f>G291*I291</f>
        <v/>
      </c>
      <c r="K291" s="6" t="n"/>
      <c r="L291" s="6" t="n"/>
    </row>
    <row r="292">
      <c r="A292" s="32" t="n"/>
      <c r="B292" s="6" t="n"/>
      <c r="C292" s="6" t="n"/>
      <c r="D292">
        <f>IF(C292="","",IFERROR(VLOOKUP(C292,'Recetas y precios'!$A$5:$B$54,2,FALSE),""))</f>
        <v/>
      </c>
      <c r="E292" s="6" t="n"/>
      <c r="F292" s="6" t="n"/>
      <c r="G292" s="6" t="n"/>
      <c r="H292" s="29">
        <f>IF((F292+G292)&gt;0,G292/(F292+G292),"")</f>
        <v/>
      </c>
      <c r="I292" s="17">
        <f>IF(C292="",0,IFERROR(VLOOKUP(C292,'Recetas y precios'!$A$5:$T$54,20,FALSE),0))</f>
        <v/>
      </c>
      <c r="J292" s="17">
        <f>G292*I292</f>
        <v/>
      </c>
      <c r="K292" s="6" t="n"/>
      <c r="L292" s="6" t="n"/>
    </row>
    <row r="293">
      <c r="A293" s="32" t="n"/>
      <c r="B293" s="6" t="n"/>
      <c r="C293" s="6" t="n"/>
      <c r="D293">
        <f>IF(C293="","",IFERROR(VLOOKUP(C293,'Recetas y precios'!$A$5:$B$54,2,FALSE),""))</f>
        <v/>
      </c>
      <c r="E293" s="6" t="n"/>
      <c r="F293" s="6" t="n"/>
      <c r="G293" s="6" t="n"/>
      <c r="H293" s="29">
        <f>IF((F293+G293)&gt;0,G293/(F293+G293),"")</f>
        <v/>
      </c>
      <c r="I293" s="17">
        <f>IF(C293="",0,IFERROR(VLOOKUP(C293,'Recetas y precios'!$A$5:$T$54,20,FALSE),0))</f>
        <v/>
      </c>
      <c r="J293" s="17">
        <f>G293*I293</f>
        <v/>
      </c>
      <c r="K293" s="6" t="n"/>
      <c r="L293" s="6" t="n"/>
    </row>
    <row r="294">
      <c r="A294" s="32" t="n"/>
      <c r="B294" s="6" t="n"/>
      <c r="C294" s="6" t="n"/>
      <c r="D294">
        <f>IF(C294="","",IFERROR(VLOOKUP(C294,'Recetas y precios'!$A$5:$B$54,2,FALSE),""))</f>
        <v/>
      </c>
      <c r="E294" s="6" t="n"/>
      <c r="F294" s="6" t="n"/>
      <c r="G294" s="6" t="n"/>
      <c r="H294" s="29">
        <f>IF((F294+G294)&gt;0,G294/(F294+G294),"")</f>
        <v/>
      </c>
      <c r="I294" s="17">
        <f>IF(C294="",0,IFERROR(VLOOKUP(C294,'Recetas y precios'!$A$5:$T$54,20,FALSE),0))</f>
        <v/>
      </c>
      <c r="J294" s="17">
        <f>G294*I294</f>
        <v/>
      </c>
      <c r="K294" s="6" t="n"/>
      <c r="L294" s="6" t="n"/>
    </row>
    <row r="295">
      <c r="A295" s="32" t="n"/>
      <c r="B295" s="6" t="n"/>
      <c r="C295" s="6" t="n"/>
      <c r="D295">
        <f>IF(C295="","",IFERROR(VLOOKUP(C295,'Recetas y precios'!$A$5:$B$54,2,FALSE),""))</f>
        <v/>
      </c>
      <c r="E295" s="6" t="n"/>
      <c r="F295" s="6" t="n"/>
      <c r="G295" s="6" t="n"/>
      <c r="H295" s="29">
        <f>IF((F295+G295)&gt;0,G295/(F295+G295),"")</f>
        <v/>
      </c>
      <c r="I295" s="17">
        <f>IF(C295="",0,IFERROR(VLOOKUP(C295,'Recetas y precios'!$A$5:$T$54,20,FALSE),0))</f>
        <v/>
      </c>
      <c r="J295" s="17">
        <f>G295*I295</f>
        <v/>
      </c>
      <c r="K295" s="6" t="n"/>
      <c r="L295" s="6" t="n"/>
    </row>
    <row r="296">
      <c r="A296" s="32" t="n"/>
      <c r="B296" s="6" t="n"/>
      <c r="C296" s="6" t="n"/>
      <c r="D296">
        <f>IF(C296="","",IFERROR(VLOOKUP(C296,'Recetas y precios'!$A$5:$B$54,2,FALSE),""))</f>
        <v/>
      </c>
      <c r="E296" s="6" t="n"/>
      <c r="F296" s="6" t="n"/>
      <c r="G296" s="6" t="n"/>
      <c r="H296" s="29">
        <f>IF((F296+G296)&gt;0,G296/(F296+G296),"")</f>
        <v/>
      </c>
      <c r="I296" s="17">
        <f>IF(C296="",0,IFERROR(VLOOKUP(C296,'Recetas y precios'!$A$5:$T$54,20,FALSE),0))</f>
        <v/>
      </c>
      <c r="J296" s="17">
        <f>G296*I296</f>
        <v/>
      </c>
      <c r="K296" s="6" t="n"/>
      <c r="L296" s="6" t="n"/>
    </row>
    <row r="297">
      <c r="A297" s="32" t="n"/>
      <c r="B297" s="6" t="n"/>
      <c r="C297" s="6" t="n"/>
      <c r="D297">
        <f>IF(C297="","",IFERROR(VLOOKUP(C297,'Recetas y precios'!$A$5:$B$54,2,FALSE),""))</f>
        <v/>
      </c>
      <c r="E297" s="6" t="n"/>
      <c r="F297" s="6" t="n"/>
      <c r="G297" s="6" t="n"/>
      <c r="H297" s="29">
        <f>IF((F297+G297)&gt;0,G297/(F297+G297),"")</f>
        <v/>
      </c>
      <c r="I297" s="17">
        <f>IF(C297="",0,IFERROR(VLOOKUP(C297,'Recetas y precios'!$A$5:$T$54,20,FALSE),0))</f>
        <v/>
      </c>
      <c r="J297" s="17">
        <f>G297*I297</f>
        <v/>
      </c>
      <c r="K297" s="6" t="n"/>
      <c r="L297" s="6" t="n"/>
    </row>
    <row r="298">
      <c r="A298" s="32" t="n"/>
      <c r="B298" s="6" t="n"/>
      <c r="C298" s="6" t="n"/>
      <c r="D298">
        <f>IF(C298="","",IFERROR(VLOOKUP(C298,'Recetas y precios'!$A$5:$B$54,2,FALSE),""))</f>
        <v/>
      </c>
      <c r="E298" s="6" t="n"/>
      <c r="F298" s="6" t="n"/>
      <c r="G298" s="6" t="n"/>
      <c r="H298" s="29">
        <f>IF((F298+G298)&gt;0,G298/(F298+G298),"")</f>
        <v/>
      </c>
      <c r="I298" s="17">
        <f>IF(C298="",0,IFERROR(VLOOKUP(C298,'Recetas y precios'!$A$5:$T$54,20,FALSE),0))</f>
        <v/>
      </c>
      <c r="J298" s="17">
        <f>G298*I298</f>
        <v/>
      </c>
      <c r="K298" s="6" t="n"/>
      <c r="L298" s="6" t="n"/>
    </row>
    <row r="299">
      <c r="A299" s="32" t="n"/>
      <c r="B299" s="6" t="n"/>
      <c r="C299" s="6" t="n"/>
      <c r="D299">
        <f>IF(C299="","",IFERROR(VLOOKUP(C299,'Recetas y precios'!$A$5:$B$54,2,FALSE),""))</f>
        <v/>
      </c>
      <c r="E299" s="6" t="n"/>
      <c r="F299" s="6" t="n"/>
      <c r="G299" s="6" t="n"/>
      <c r="H299" s="29">
        <f>IF((F299+G299)&gt;0,G299/(F299+G299),"")</f>
        <v/>
      </c>
      <c r="I299" s="17">
        <f>IF(C299="",0,IFERROR(VLOOKUP(C299,'Recetas y precios'!$A$5:$T$54,20,FALSE),0))</f>
        <v/>
      </c>
      <c r="J299" s="17">
        <f>G299*I299</f>
        <v/>
      </c>
      <c r="K299" s="6" t="n"/>
      <c r="L299" s="6" t="n"/>
    </row>
    <row r="300">
      <c r="A300" s="32" t="n"/>
      <c r="B300" s="6" t="n"/>
      <c r="C300" s="6" t="n"/>
      <c r="D300">
        <f>IF(C300="","",IFERROR(VLOOKUP(C300,'Recetas y precios'!$A$5:$B$54,2,FALSE),""))</f>
        <v/>
      </c>
      <c r="E300" s="6" t="n"/>
      <c r="F300" s="6" t="n"/>
      <c r="G300" s="6" t="n"/>
      <c r="H300" s="29">
        <f>IF((F300+G300)&gt;0,G300/(F300+G300),"")</f>
        <v/>
      </c>
      <c r="I300" s="17">
        <f>IF(C300="",0,IFERROR(VLOOKUP(C300,'Recetas y precios'!$A$5:$T$54,20,FALSE),0))</f>
        <v/>
      </c>
      <c r="J300" s="17">
        <f>G300*I300</f>
        <v/>
      </c>
      <c r="K300" s="6" t="n"/>
      <c r="L300" s="6" t="n"/>
    </row>
    <row r="301">
      <c r="A301" s="32" t="n"/>
      <c r="B301" s="6" t="n"/>
      <c r="C301" s="6" t="n"/>
      <c r="D301">
        <f>IF(C301="","",IFERROR(VLOOKUP(C301,'Recetas y precios'!$A$5:$B$54,2,FALSE),""))</f>
        <v/>
      </c>
      <c r="E301" s="6" t="n"/>
      <c r="F301" s="6" t="n"/>
      <c r="G301" s="6" t="n"/>
      <c r="H301" s="29">
        <f>IF((F301+G301)&gt;0,G301/(F301+G301),"")</f>
        <v/>
      </c>
      <c r="I301" s="17">
        <f>IF(C301="",0,IFERROR(VLOOKUP(C301,'Recetas y precios'!$A$5:$T$54,20,FALSE),0))</f>
        <v/>
      </c>
      <c r="J301" s="17">
        <f>G301*I301</f>
        <v/>
      </c>
      <c r="K301" s="6" t="n"/>
      <c r="L301" s="6" t="n"/>
    </row>
    <row r="302">
      <c r="A302" s="32" t="n"/>
      <c r="B302" s="6" t="n"/>
      <c r="C302" s="6" t="n"/>
      <c r="D302">
        <f>IF(C302="","",IFERROR(VLOOKUP(C302,'Recetas y precios'!$A$5:$B$54,2,FALSE),""))</f>
        <v/>
      </c>
      <c r="E302" s="6" t="n"/>
      <c r="F302" s="6" t="n"/>
      <c r="G302" s="6" t="n"/>
      <c r="H302" s="29">
        <f>IF((F302+G302)&gt;0,G302/(F302+G302),"")</f>
        <v/>
      </c>
      <c r="I302" s="17">
        <f>IF(C302="",0,IFERROR(VLOOKUP(C302,'Recetas y precios'!$A$5:$T$54,20,FALSE),0))</f>
        <v/>
      </c>
      <c r="J302" s="17">
        <f>G302*I302</f>
        <v/>
      </c>
      <c r="K302" s="6" t="n"/>
      <c r="L302" s="6" t="n"/>
    </row>
    <row r="303">
      <c r="A303" s="32" t="n"/>
      <c r="B303" s="6" t="n"/>
      <c r="C303" s="6" t="n"/>
      <c r="D303">
        <f>IF(C303="","",IFERROR(VLOOKUP(C303,'Recetas y precios'!$A$5:$B$54,2,FALSE),""))</f>
        <v/>
      </c>
      <c r="E303" s="6" t="n"/>
      <c r="F303" s="6" t="n"/>
      <c r="G303" s="6" t="n"/>
      <c r="H303" s="29">
        <f>IF((F303+G303)&gt;0,G303/(F303+G303),"")</f>
        <v/>
      </c>
      <c r="I303" s="17">
        <f>IF(C303="",0,IFERROR(VLOOKUP(C303,'Recetas y precios'!$A$5:$T$54,20,FALSE),0))</f>
        <v/>
      </c>
      <c r="J303" s="17">
        <f>G303*I303</f>
        <v/>
      </c>
      <c r="K303" s="6" t="n"/>
      <c r="L303" s="6" t="n"/>
    </row>
    <row r="304">
      <c r="A304" s="32" t="n"/>
      <c r="B304" s="6" t="n"/>
      <c r="C304" s="6" t="n"/>
      <c r="D304">
        <f>IF(C304="","",IFERROR(VLOOKUP(C304,'Recetas y precios'!$A$5:$B$54,2,FALSE),""))</f>
        <v/>
      </c>
      <c r="E304" s="6" t="n"/>
      <c r="F304" s="6" t="n"/>
      <c r="G304" s="6" t="n"/>
      <c r="H304" s="29">
        <f>IF((F304+G304)&gt;0,G304/(F304+G304),"")</f>
        <v/>
      </c>
      <c r="I304" s="17">
        <f>IF(C304="",0,IFERROR(VLOOKUP(C304,'Recetas y precios'!$A$5:$T$54,20,FALSE),0))</f>
        <v/>
      </c>
      <c r="J304" s="17">
        <f>G304*I304</f>
        <v/>
      </c>
      <c r="K304" s="6" t="n"/>
      <c r="L304" s="6" t="n"/>
    </row>
  </sheetData>
  <conditionalFormatting sqref="H5:H304">
    <cfRule type="expression" priority="1" dxfId="0">
      <formula>AND(H5&lt;&gt;"",H5&gt;'Mi negocio'!$C$24)</formula>
    </cfRule>
  </conditionalFormatting>
  <dataValidations count="2">
    <dataValidation sqref="K5:K304" showDropDown="0" showInputMessage="0" showErrorMessage="0" allowBlank="1" type="list">
      <formula1>"Cultivo débil o sin punto pico,Masa sobrefermentada,Masa subfermentada,Sin oven spring (pieza plana),Miga apretada o gomosa,Miga con gran agujero bajo la corteza,Corteza pálida o blanda,Corte que no abrió (sin oreja),Pieza pegada al banneton,Masa que se desgarra al formar,Acidez excesiva,Pieza deforme u ovalada,Error de pesaje o de hidratación,Pieza sobrante del día,Prueba y cata,Otro"</formula1>
    </dataValidation>
    <dataValidation sqref="C5:C304" showDropDown="0" showInputMessage="0" showErrorMessage="0" allowBlank="1" type="whole" operator="between">
      <formula1>1</formula1>
      <formula2>50</formula2>
    </dataValidation>
  </dataValidations>
  <pageMargins left="0.75" right="0.75" top="1" bottom="1" header="0.5" footer="0.5"/>
</worksheet>
</file>

<file path=xl/worksheets/sheet8.xml><?xml version="1.0" encoding="utf-8"?>
<worksheet xmlns="http://schemas.openxmlformats.org/spreadsheetml/2006/main">
  <sheetPr>
    <tabColor rgb="00C98BCB"/>
    <outlinePr summaryBelow="1" summaryRight="1"/>
    <pageSetUpPr/>
  </sheetPr>
  <dimension ref="A1:M504"/>
  <sheetViews>
    <sheetView showGridLines="0" workbookViewId="0">
      <pane ySplit="4" topLeftCell="A5" activePane="bottomLeft" state="frozen"/>
      <selection pane="bottomLeft" activeCell="A1" sqref="A1"/>
    </sheetView>
  </sheetViews>
  <sheetFormatPr baseColWidth="8" defaultRowHeight="15"/>
  <cols>
    <col width="12" customWidth="1" min="1" max="1"/>
    <col width="8" customWidth="1" min="2" max="2"/>
    <col width="46" customWidth="1" min="3" max="3"/>
    <col width="32" customWidth="1" min="4" max="4"/>
    <col width="9" customWidth="1" min="5" max="5"/>
    <col width="12" customWidth="1" min="6" max="6"/>
    <col width="12" customWidth="1" min="7" max="7"/>
    <col width="12" customWidth="1" min="8" max="8"/>
    <col width="10" customWidth="1" min="9" max="9"/>
    <col width="11" customWidth="1" min="10" max="10"/>
    <col width="12" customWidth="1" min="11" max="11"/>
    <col width="10" customWidth="1" min="12" max="12"/>
    <col width="26" customWidth="1" min="13" max="13"/>
  </cols>
  <sheetData>
    <row r="1">
      <c r="A1" s="1" t="inlineStr">
        <is>
          <t>Ventas</t>
        </is>
      </c>
    </row>
    <row r="2">
      <c r="A2" s="7" t="inlineStr">
        <is>
          <t>Una fila por venta. La primera fila es un ejemplo: sobrescríbela.</t>
        </is>
      </c>
    </row>
    <row r="4" ht="30" customHeight="1">
      <c r="A4" s="8" t="inlineStr">
        <is>
          <t>Fecha</t>
        </is>
      </c>
      <c r="B4" s="8" t="inlineStr">
        <is>
          <t>Nº receta</t>
        </is>
      </c>
      <c r="C4" s="8" t="inlineStr">
        <is>
          <t>Receta</t>
        </is>
      </c>
      <c r="D4" s="8" t="inlineStr">
        <is>
          <t>Canal</t>
        </is>
      </c>
      <c r="E4" s="8" t="inlineStr">
        <is>
          <t>Piezas</t>
        </is>
      </c>
      <c r="F4" s="8" t="inlineStr">
        <is>
          <t>Precio unitario</t>
        </is>
      </c>
      <c r="G4" s="8" t="inlineStr">
        <is>
          <t>Ingreso</t>
        </is>
      </c>
      <c r="H4" s="8" t="inlineStr">
        <is>
          <t>Costo total</t>
        </is>
      </c>
      <c r="I4" s="8" t="inlineStr">
        <is>
          <t>Comisión %</t>
        </is>
      </c>
      <c r="J4" s="8" t="inlineStr">
        <is>
          <t>Comisión $</t>
        </is>
      </c>
      <c r="K4" s="8" t="inlineStr">
        <is>
          <t>Utilidad neta</t>
        </is>
      </c>
      <c r="L4" s="8" t="inlineStr">
        <is>
          <t>Margen</t>
        </is>
      </c>
      <c r="M4" s="8" t="inlineStr">
        <is>
          <t>Cliente o nota</t>
        </is>
      </c>
    </row>
    <row r="5">
      <c r="A5" s="32" t="n">
        <v>46298</v>
      </c>
      <c r="B5" s="6" t="n">
        <v>1</v>
      </c>
      <c r="C5">
        <f>IF(B5="","",IFERROR(VLOOKUP(B5,'Recetas y precios'!$A$5:$B$54,2,FALSE),""))</f>
        <v/>
      </c>
      <c r="D5" s="6" t="inlineStr">
        <is>
          <t>Mostrador y vitrina</t>
        </is>
      </c>
      <c r="E5" s="6" t="n">
        <v>6</v>
      </c>
      <c r="F5" s="11" t="n">
        <v>125</v>
      </c>
      <c r="G5" s="17">
        <f>E5*F5</f>
        <v/>
      </c>
      <c r="H5" s="17">
        <f>IF(B5="",0,E5*IFERROR(VLOOKUP(B5,'Recetas y precios'!$A$5:$T$54,20,FALSE),0))</f>
        <v/>
      </c>
      <c r="I5" s="27" t="n">
        <v>0</v>
      </c>
      <c r="J5" s="17">
        <f>G5*I5</f>
        <v/>
      </c>
      <c r="K5" s="17">
        <f>G5-H5-J5</f>
        <v/>
      </c>
      <c r="L5" s="29">
        <f>IF(G5&gt;0,K5/G5,"")</f>
        <v/>
      </c>
      <c r="M5" s="6" t="inlineStr">
        <is>
          <t>Fila de ejemplo</t>
        </is>
      </c>
    </row>
    <row r="6">
      <c r="A6" s="32" t="n"/>
      <c r="B6" s="6" t="n"/>
      <c r="C6">
        <f>IF(B6="","",IFERROR(VLOOKUP(B6,'Recetas y precios'!$A$5:$B$54,2,FALSE),""))</f>
        <v/>
      </c>
      <c r="D6" s="6" t="n"/>
      <c r="E6" s="6" t="n"/>
      <c r="F6" s="11" t="n"/>
      <c r="G6" s="17">
        <f>E6*F6</f>
        <v/>
      </c>
      <c r="H6" s="17">
        <f>IF(B6="",0,E6*IFERROR(VLOOKUP(B6,'Recetas y precios'!$A$5:$T$54,20,FALSE),0))</f>
        <v/>
      </c>
      <c r="I6" s="27" t="n"/>
      <c r="J6" s="17">
        <f>G6*I6</f>
        <v/>
      </c>
      <c r="K6" s="17">
        <f>G6-H6-J6</f>
        <v/>
      </c>
      <c r="L6" s="29">
        <f>IF(G6&gt;0,K6/G6,"")</f>
        <v/>
      </c>
      <c r="M6" s="6" t="n"/>
    </row>
    <row r="7">
      <c r="A7" s="32" t="n"/>
      <c r="B7" s="6" t="n"/>
      <c r="C7">
        <f>IF(B7="","",IFERROR(VLOOKUP(B7,'Recetas y precios'!$A$5:$B$54,2,FALSE),""))</f>
        <v/>
      </c>
      <c r="D7" s="6" t="n"/>
      <c r="E7" s="6" t="n"/>
      <c r="F7" s="11" t="n"/>
      <c r="G7" s="17">
        <f>E7*F7</f>
        <v/>
      </c>
      <c r="H7" s="17">
        <f>IF(B7="",0,E7*IFERROR(VLOOKUP(B7,'Recetas y precios'!$A$5:$T$54,20,FALSE),0))</f>
        <v/>
      </c>
      <c r="I7" s="27" t="n"/>
      <c r="J7" s="17">
        <f>G7*I7</f>
        <v/>
      </c>
      <c r="K7" s="17">
        <f>G7-H7-J7</f>
        <v/>
      </c>
      <c r="L7" s="29">
        <f>IF(G7&gt;0,K7/G7,"")</f>
        <v/>
      </c>
      <c r="M7" s="6" t="n"/>
    </row>
    <row r="8">
      <c r="A8" s="32" t="n"/>
      <c r="B8" s="6" t="n"/>
      <c r="C8">
        <f>IF(B8="","",IFERROR(VLOOKUP(B8,'Recetas y precios'!$A$5:$B$54,2,FALSE),""))</f>
        <v/>
      </c>
      <c r="D8" s="6" t="n"/>
      <c r="E8" s="6" t="n"/>
      <c r="F8" s="11" t="n"/>
      <c r="G8" s="17">
        <f>E8*F8</f>
        <v/>
      </c>
      <c r="H8" s="17">
        <f>IF(B8="",0,E8*IFERROR(VLOOKUP(B8,'Recetas y precios'!$A$5:$T$54,20,FALSE),0))</f>
        <v/>
      </c>
      <c r="I8" s="27" t="n"/>
      <c r="J8" s="17">
        <f>G8*I8</f>
        <v/>
      </c>
      <c r="K8" s="17">
        <f>G8-H8-J8</f>
        <v/>
      </c>
      <c r="L8" s="29">
        <f>IF(G8&gt;0,K8/G8,"")</f>
        <v/>
      </c>
      <c r="M8" s="6" t="n"/>
    </row>
    <row r="9">
      <c r="A9" s="32" t="n"/>
      <c r="B9" s="6" t="n"/>
      <c r="C9">
        <f>IF(B9="","",IFERROR(VLOOKUP(B9,'Recetas y precios'!$A$5:$B$54,2,FALSE),""))</f>
        <v/>
      </c>
      <c r="D9" s="6" t="n"/>
      <c r="E9" s="6" t="n"/>
      <c r="F9" s="11" t="n"/>
      <c r="G9" s="17">
        <f>E9*F9</f>
        <v/>
      </c>
      <c r="H9" s="17">
        <f>IF(B9="",0,E9*IFERROR(VLOOKUP(B9,'Recetas y precios'!$A$5:$T$54,20,FALSE),0))</f>
        <v/>
      </c>
      <c r="I9" s="27" t="n"/>
      <c r="J9" s="17">
        <f>G9*I9</f>
        <v/>
      </c>
      <c r="K9" s="17">
        <f>G9-H9-J9</f>
        <v/>
      </c>
      <c r="L9" s="29">
        <f>IF(G9&gt;0,K9/G9,"")</f>
        <v/>
      </c>
      <c r="M9" s="6" t="n"/>
    </row>
    <row r="10">
      <c r="A10" s="32" t="n"/>
      <c r="B10" s="6" t="n"/>
      <c r="C10">
        <f>IF(B10="","",IFERROR(VLOOKUP(B10,'Recetas y precios'!$A$5:$B$54,2,FALSE),""))</f>
        <v/>
      </c>
      <c r="D10" s="6" t="n"/>
      <c r="E10" s="6" t="n"/>
      <c r="F10" s="11" t="n"/>
      <c r="G10" s="17">
        <f>E10*F10</f>
        <v/>
      </c>
      <c r="H10" s="17">
        <f>IF(B10="",0,E10*IFERROR(VLOOKUP(B10,'Recetas y precios'!$A$5:$T$54,20,FALSE),0))</f>
        <v/>
      </c>
      <c r="I10" s="27" t="n"/>
      <c r="J10" s="17">
        <f>G10*I10</f>
        <v/>
      </c>
      <c r="K10" s="17">
        <f>G10-H10-J10</f>
        <v/>
      </c>
      <c r="L10" s="29">
        <f>IF(G10&gt;0,K10/G10,"")</f>
        <v/>
      </c>
      <c r="M10" s="6" t="n"/>
    </row>
    <row r="11">
      <c r="A11" s="32" t="n"/>
      <c r="B11" s="6" t="n"/>
      <c r="C11">
        <f>IF(B11="","",IFERROR(VLOOKUP(B11,'Recetas y precios'!$A$5:$B$54,2,FALSE),""))</f>
        <v/>
      </c>
      <c r="D11" s="6" t="n"/>
      <c r="E11" s="6" t="n"/>
      <c r="F11" s="11" t="n"/>
      <c r="G11" s="17">
        <f>E11*F11</f>
        <v/>
      </c>
      <c r="H11" s="17">
        <f>IF(B11="",0,E11*IFERROR(VLOOKUP(B11,'Recetas y precios'!$A$5:$T$54,20,FALSE),0))</f>
        <v/>
      </c>
      <c r="I11" s="27" t="n"/>
      <c r="J11" s="17">
        <f>G11*I11</f>
        <v/>
      </c>
      <c r="K11" s="17">
        <f>G11-H11-J11</f>
        <v/>
      </c>
      <c r="L11" s="29">
        <f>IF(G11&gt;0,K11/G11,"")</f>
        <v/>
      </c>
      <c r="M11" s="6" t="n"/>
    </row>
    <row r="12">
      <c r="A12" s="32" t="n"/>
      <c r="B12" s="6" t="n"/>
      <c r="C12">
        <f>IF(B12="","",IFERROR(VLOOKUP(B12,'Recetas y precios'!$A$5:$B$54,2,FALSE),""))</f>
        <v/>
      </c>
      <c r="D12" s="6" t="n"/>
      <c r="E12" s="6" t="n"/>
      <c r="F12" s="11" t="n"/>
      <c r="G12" s="17">
        <f>E12*F12</f>
        <v/>
      </c>
      <c r="H12" s="17">
        <f>IF(B12="",0,E12*IFERROR(VLOOKUP(B12,'Recetas y precios'!$A$5:$T$54,20,FALSE),0))</f>
        <v/>
      </c>
      <c r="I12" s="27" t="n"/>
      <c r="J12" s="17">
        <f>G12*I12</f>
        <v/>
      </c>
      <c r="K12" s="17">
        <f>G12-H12-J12</f>
        <v/>
      </c>
      <c r="L12" s="29">
        <f>IF(G12&gt;0,K12/G12,"")</f>
        <v/>
      </c>
      <c r="M12" s="6" t="n"/>
    </row>
    <row r="13">
      <c r="A13" s="32" t="n"/>
      <c r="B13" s="6" t="n"/>
      <c r="C13">
        <f>IF(B13="","",IFERROR(VLOOKUP(B13,'Recetas y precios'!$A$5:$B$54,2,FALSE),""))</f>
        <v/>
      </c>
      <c r="D13" s="6" t="n"/>
      <c r="E13" s="6" t="n"/>
      <c r="F13" s="11" t="n"/>
      <c r="G13" s="17">
        <f>E13*F13</f>
        <v/>
      </c>
      <c r="H13" s="17">
        <f>IF(B13="",0,E13*IFERROR(VLOOKUP(B13,'Recetas y precios'!$A$5:$T$54,20,FALSE),0))</f>
        <v/>
      </c>
      <c r="I13" s="27" t="n"/>
      <c r="J13" s="17">
        <f>G13*I13</f>
        <v/>
      </c>
      <c r="K13" s="17">
        <f>G13-H13-J13</f>
        <v/>
      </c>
      <c r="L13" s="29">
        <f>IF(G13&gt;0,K13/G13,"")</f>
        <v/>
      </c>
      <c r="M13" s="6" t="n"/>
    </row>
    <row r="14">
      <c r="A14" s="32" t="n"/>
      <c r="B14" s="6" t="n"/>
      <c r="C14">
        <f>IF(B14="","",IFERROR(VLOOKUP(B14,'Recetas y precios'!$A$5:$B$54,2,FALSE),""))</f>
        <v/>
      </c>
      <c r="D14" s="6" t="n"/>
      <c r="E14" s="6" t="n"/>
      <c r="F14" s="11" t="n"/>
      <c r="G14" s="17">
        <f>E14*F14</f>
        <v/>
      </c>
      <c r="H14" s="17">
        <f>IF(B14="",0,E14*IFERROR(VLOOKUP(B14,'Recetas y precios'!$A$5:$T$54,20,FALSE),0))</f>
        <v/>
      </c>
      <c r="I14" s="27" t="n"/>
      <c r="J14" s="17">
        <f>G14*I14</f>
        <v/>
      </c>
      <c r="K14" s="17">
        <f>G14-H14-J14</f>
        <v/>
      </c>
      <c r="L14" s="29">
        <f>IF(G14&gt;0,K14/G14,"")</f>
        <v/>
      </c>
      <c r="M14" s="6" t="n"/>
    </row>
    <row r="15">
      <c r="A15" s="32" t="n"/>
      <c r="B15" s="6" t="n"/>
      <c r="C15">
        <f>IF(B15="","",IFERROR(VLOOKUP(B15,'Recetas y precios'!$A$5:$B$54,2,FALSE),""))</f>
        <v/>
      </c>
      <c r="D15" s="6" t="n"/>
      <c r="E15" s="6" t="n"/>
      <c r="F15" s="11" t="n"/>
      <c r="G15" s="17">
        <f>E15*F15</f>
        <v/>
      </c>
      <c r="H15" s="17">
        <f>IF(B15="",0,E15*IFERROR(VLOOKUP(B15,'Recetas y precios'!$A$5:$T$54,20,FALSE),0))</f>
        <v/>
      </c>
      <c r="I15" s="27" t="n"/>
      <c r="J15" s="17">
        <f>G15*I15</f>
        <v/>
      </c>
      <c r="K15" s="17">
        <f>G15-H15-J15</f>
        <v/>
      </c>
      <c r="L15" s="29">
        <f>IF(G15&gt;0,K15/G15,"")</f>
        <v/>
      </c>
      <c r="M15" s="6" t="n"/>
    </row>
    <row r="16">
      <c r="A16" s="32" t="n"/>
      <c r="B16" s="6" t="n"/>
      <c r="C16">
        <f>IF(B16="","",IFERROR(VLOOKUP(B16,'Recetas y precios'!$A$5:$B$54,2,FALSE),""))</f>
        <v/>
      </c>
      <c r="D16" s="6" t="n"/>
      <c r="E16" s="6" t="n"/>
      <c r="F16" s="11" t="n"/>
      <c r="G16" s="17">
        <f>E16*F16</f>
        <v/>
      </c>
      <c r="H16" s="17">
        <f>IF(B16="",0,E16*IFERROR(VLOOKUP(B16,'Recetas y precios'!$A$5:$T$54,20,FALSE),0))</f>
        <v/>
      </c>
      <c r="I16" s="27" t="n"/>
      <c r="J16" s="17">
        <f>G16*I16</f>
        <v/>
      </c>
      <c r="K16" s="17">
        <f>G16-H16-J16</f>
        <v/>
      </c>
      <c r="L16" s="29">
        <f>IF(G16&gt;0,K16/G16,"")</f>
        <v/>
      </c>
      <c r="M16" s="6" t="n"/>
    </row>
    <row r="17">
      <c r="A17" s="32" t="n"/>
      <c r="B17" s="6" t="n"/>
      <c r="C17">
        <f>IF(B17="","",IFERROR(VLOOKUP(B17,'Recetas y precios'!$A$5:$B$54,2,FALSE),""))</f>
        <v/>
      </c>
      <c r="D17" s="6" t="n"/>
      <c r="E17" s="6" t="n"/>
      <c r="F17" s="11" t="n"/>
      <c r="G17" s="17">
        <f>E17*F17</f>
        <v/>
      </c>
      <c r="H17" s="17">
        <f>IF(B17="",0,E17*IFERROR(VLOOKUP(B17,'Recetas y precios'!$A$5:$T$54,20,FALSE),0))</f>
        <v/>
      </c>
      <c r="I17" s="27" t="n"/>
      <c r="J17" s="17">
        <f>G17*I17</f>
        <v/>
      </c>
      <c r="K17" s="17">
        <f>G17-H17-J17</f>
        <v/>
      </c>
      <c r="L17" s="29">
        <f>IF(G17&gt;0,K17/G17,"")</f>
        <v/>
      </c>
      <c r="M17" s="6" t="n"/>
    </row>
    <row r="18">
      <c r="A18" s="32" t="n"/>
      <c r="B18" s="6" t="n"/>
      <c r="C18">
        <f>IF(B18="","",IFERROR(VLOOKUP(B18,'Recetas y precios'!$A$5:$B$54,2,FALSE),""))</f>
        <v/>
      </c>
      <c r="D18" s="6" t="n"/>
      <c r="E18" s="6" t="n"/>
      <c r="F18" s="11" t="n"/>
      <c r="G18" s="17">
        <f>E18*F18</f>
        <v/>
      </c>
      <c r="H18" s="17">
        <f>IF(B18="",0,E18*IFERROR(VLOOKUP(B18,'Recetas y precios'!$A$5:$T$54,20,FALSE),0))</f>
        <v/>
      </c>
      <c r="I18" s="27" t="n"/>
      <c r="J18" s="17">
        <f>G18*I18</f>
        <v/>
      </c>
      <c r="K18" s="17">
        <f>G18-H18-J18</f>
        <v/>
      </c>
      <c r="L18" s="29">
        <f>IF(G18&gt;0,K18/G18,"")</f>
        <v/>
      </c>
      <c r="M18" s="6" t="n"/>
    </row>
    <row r="19">
      <c r="A19" s="32" t="n"/>
      <c r="B19" s="6" t="n"/>
      <c r="C19">
        <f>IF(B19="","",IFERROR(VLOOKUP(B19,'Recetas y precios'!$A$5:$B$54,2,FALSE),""))</f>
        <v/>
      </c>
      <c r="D19" s="6" t="n"/>
      <c r="E19" s="6" t="n"/>
      <c r="F19" s="11" t="n"/>
      <c r="G19" s="17">
        <f>E19*F19</f>
        <v/>
      </c>
      <c r="H19" s="17">
        <f>IF(B19="",0,E19*IFERROR(VLOOKUP(B19,'Recetas y precios'!$A$5:$T$54,20,FALSE),0))</f>
        <v/>
      </c>
      <c r="I19" s="27" t="n"/>
      <c r="J19" s="17">
        <f>G19*I19</f>
        <v/>
      </c>
      <c r="K19" s="17">
        <f>G19-H19-J19</f>
        <v/>
      </c>
      <c r="L19" s="29">
        <f>IF(G19&gt;0,K19/G19,"")</f>
        <v/>
      </c>
      <c r="M19" s="6" t="n"/>
    </row>
    <row r="20">
      <c r="A20" s="32" t="n"/>
      <c r="B20" s="6" t="n"/>
      <c r="C20">
        <f>IF(B20="","",IFERROR(VLOOKUP(B20,'Recetas y precios'!$A$5:$B$54,2,FALSE),""))</f>
        <v/>
      </c>
      <c r="D20" s="6" t="n"/>
      <c r="E20" s="6" t="n"/>
      <c r="F20" s="11" t="n"/>
      <c r="G20" s="17">
        <f>E20*F20</f>
        <v/>
      </c>
      <c r="H20" s="17">
        <f>IF(B20="",0,E20*IFERROR(VLOOKUP(B20,'Recetas y precios'!$A$5:$T$54,20,FALSE),0))</f>
        <v/>
      </c>
      <c r="I20" s="27" t="n"/>
      <c r="J20" s="17">
        <f>G20*I20</f>
        <v/>
      </c>
      <c r="K20" s="17">
        <f>G20-H20-J20</f>
        <v/>
      </c>
      <c r="L20" s="29">
        <f>IF(G20&gt;0,K20/G20,"")</f>
        <v/>
      </c>
      <c r="M20" s="6" t="n"/>
    </row>
    <row r="21">
      <c r="A21" s="32" t="n"/>
      <c r="B21" s="6" t="n"/>
      <c r="C21">
        <f>IF(B21="","",IFERROR(VLOOKUP(B21,'Recetas y precios'!$A$5:$B$54,2,FALSE),""))</f>
        <v/>
      </c>
      <c r="D21" s="6" t="n"/>
      <c r="E21" s="6" t="n"/>
      <c r="F21" s="11" t="n"/>
      <c r="G21" s="17">
        <f>E21*F21</f>
        <v/>
      </c>
      <c r="H21" s="17">
        <f>IF(B21="",0,E21*IFERROR(VLOOKUP(B21,'Recetas y precios'!$A$5:$T$54,20,FALSE),0))</f>
        <v/>
      </c>
      <c r="I21" s="27" t="n"/>
      <c r="J21" s="17">
        <f>G21*I21</f>
        <v/>
      </c>
      <c r="K21" s="17">
        <f>G21-H21-J21</f>
        <v/>
      </c>
      <c r="L21" s="29">
        <f>IF(G21&gt;0,K21/G21,"")</f>
        <v/>
      </c>
      <c r="M21" s="6" t="n"/>
    </row>
    <row r="22">
      <c r="A22" s="32" t="n"/>
      <c r="B22" s="6" t="n"/>
      <c r="C22">
        <f>IF(B22="","",IFERROR(VLOOKUP(B22,'Recetas y precios'!$A$5:$B$54,2,FALSE),""))</f>
        <v/>
      </c>
      <c r="D22" s="6" t="n"/>
      <c r="E22" s="6" t="n"/>
      <c r="F22" s="11" t="n"/>
      <c r="G22" s="17">
        <f>E22*F22</f>
        <v/>
      </c>
      <c r="H22" s="17">
        <f>IF(B22="",0,E22*IFERROR(VLOOKUP(B22,'Recetas y precios'!$A$5:$T$54,20,FALSE),0))</f>
        <v/>
      </c>
      <c r="I22" s="27" t="n"/>
      <c r="J22" s="17">
        <f>G22*I22</f>
        <v/>
      </c>
      <c r="K22" s="17">
        <f>G22-H22-J22</f>
        <v/>
      </c>
      <c r="L22" s="29">
        <f>IF(G22&gt;0,K22/G22,"")</f>
        <v/>
      </c>
      <c r="M22" s="6" t="n"/>
    </row>
    <row r="23">
      <c r="A23" s="32" t="n"/>
      <c r="B23" s="6" t="n"/>
      <c r="C23">
        <f>IF(B23="","",IFERROR(VLOOKUP(B23,'Recetas y precios'!$A$5:$B$54,2,FALSE),""))</f>
        <v/>
      </c>
      <c r="D23" s="6" t="n"/>
      <c r="E23" s="6" t="n"/>
      <c r="F23" s="11" t="n"/>
      <c r="G23" s="17">
        <f>E23*F23</f>
        <v/>
      </c>
      <c r="H23" s="17">
        <f>IF(B23="",0,E23*IFERROR(VLOOKUP(B23,'Recetas y precios'!$A$5:$T$54,20,FALSE),0))</f>
        <v/>
      </c>
      <c r="I23" s="27" t="n"/>
      <c r="J23" s="17">
        <f>G23*I23</f>
        <v/>
      </c>
      <c r="K23" s="17">
        <f>G23-H23-J23</f>
        <v/>
      </c>
      <c r="L23" s="29">
        <f>IF(G23&gt;0,K23/G23,"")</f>
        <v/>
      </c>
      <c r="M23" s="6" t="n"/>
    </row>
    <row r="24">
      <c r="A24" s="32" t="n"/>
      <c r="B24" s="6" t="n"/>
      <c r="C24">
        <f>IF(B24="","",IFERROR(VLOOKUP(B24,'Recetas y precios'!$A$5:$B$54,2,FALSE),""))</f>
        <v/>
      </c>
      <c r="D24" s="6" t="n"/>
      <c r="E24" s="6" t="n"/>
      <c r="F24" s="11" t="n"/>
      <c r="G24" s="17">
        <f>E24*F24</f>
        <v/>
      </c>
      <c r="H24" s="17">
        <f>IF(B24="",0,E24*IFERROR(VLOOKUP(B24,'Recetas y precios'!$A$5:$T$54,20,FALSE),0))</f>
        <v/>
      </c>
      <c r="I24" s="27" t="n"/>
      <c r="J24" s="17">
        <f>G24*I24</f>
        <v/>
      </c>
      <c r="K24" s="17">
        <f>G24-H24-J24</f>
        <v/>
      </c>
      <c r="L24" s="29">
        <f>IF(G24&gt;0,K24/G24,"")</f>
        <v/>
      </c>
      <c r="M24" s="6" t="n"/>
    </row>
    <row r="25">
      <c r="A25" s="32" t="n"/>
      <c r="B25" s="6" t="n"/>
      <c r="C25">
        <f>IF(B25="","",IFERROR(VLOOKUP(B25,'Recetas y precios'!$A$5:$B$54,2,FALSE),""))</f>
        <v/>
      </c>
      <c r="D25" s="6" t="n"/>
      <c r="E25" s="6" t="n"/>
      <c r="F25" s="11" t="n"/>
      <c r="G25" s="17">
        <f>E25*F25</f>
        <v/>
      </c>
      <c r="H25" s="17">
        <f>IF(B25="",0,E25*IFERROR(VLOOKUP(B25,'Recetas y precios'!$A$5:$T$54,20,FALSE),0))</f>
        <v/>
      </c>
      <c r="I25" s="27" t="n"/>
      <c r="J25" s="17">
        <f>G25*I25</f>
        <v/>
      </c>
      <c r="K25" s="17">
        <f>G25-H25-J25</f>
        <v/>
      </c>
      <c r="L25" s="29">
        <f>IF(G25&gt;0,K25/G25,"")</f>
        <v/>
      </c>
      <c r="M25" s="6" t="n"/>
    </row>
    <row r="26">
      <c r="A26" s="32" t="n"/>
      <c r="B26" s="6" t="n"/>
      <c r="C26">
        <f>IF(B26="","",IFERROR(VLOOKUP(B26,'Recetas y precios'!$A$5:$B$54,2,FALSE),""))</f>
        <v/>
      </c>
      <c r="D26" s="6" t="n"/>
      <c r="E26" s="6" t="n"/>
      <c r="F26" s="11" t="n"/>
      <c r="G26" s="17">
        <f>E26*F26</f>
        <v/>
      </c>
      <c r="H26" s="17">
        <f>IF(B26="",0,E26*IFERROR(VLOOKUP(B26,'Recetas y precios'!$A$5:$T$54,20,FALSE),0))</f>
        <v/>
      </c>
      <c r="I26" s="27" t="n"/>
      <c r="J26" s="17">
        <f>G26*I26</f>
        <v/>
      </c>
      <c r="K26" s="17">
        <f>G26-H26-J26</f>
        <v/>
      </c>
      <c r="L26" s="29">
        <f>IF(G26&gt;0,K26/G26,"")</f>
        <v/>
      </c>
      <c r="M26" s="6" t="n"/>
    </row>
    <row r="27">
      <c r="A27" s="32" t="n"/>
      <c r="B27" s="6" t="n"/>
      <c r="C27">
        <f>IF(B27="","",IFERROR(VLOOKUP(B27,'Recetas y precios'!$A$5:$B$54,2,FALSE),""))</f>
        <v/>
      </c>
      <c r="D27" s="6" t="n"/>
      <c r="E27" s="6" t="n"/>
      <c r="F27" s="11" t="n"/>
      <c r="G27" s="17">
        <f>E27*F27</f>
        <v/>
      </c>
      <c r="H27" s="17">
        <f>IF(B27="",0,E27*IFERROR(VLOOKUP(B27,'Recetas y precios'!$A$5:$T$54,20,FALSE),0))</f>
        <v/>
      </c>
      <c r="I27" s="27" t="n"/>
      <c r="J27" s="17">
        <f>G27*I27</f>
        <v/>
      </c>
      <c r="K27" s="17">
        <f>G27-H27-J27</f>
        <v/>
      </c>
      <c r="L27" s="29">
        <f>IF(G27&gt;0,K27/G27,"")</f>
        <v/>
      </c>
      <c r="M27" s="6" t="n"/>
    </row>
    <row r="28">
      <c r="A28" s="32" t="n"/>
      <c r="B28" s="6" t="n"/>
      <c r="C28">
        <f>IF(B28="","",IFERROR(VLOOKUP(B28,'Recetas y precios'!$A$5:$B$54,2,FALSE),""))</f>
        <v/>
      </c>
      <c r="D28" s="6" t="n"/>
      <c r="E28" s="6" t="n"/>
      <c r="F28" s="11" t="n"/>
      <c r="G28" s="17">
        <f>E28*F28</f>
        <v/>
      </c>
      <c r="H28" s="17">
        <f>IF(B28="",0,E28*IFERROR(VLOOKUP(B28,'Recetas y precios'!$A$5:$T$54,20,FALSE),0))</f>
        <v/>
      </c>
      <c r="I28" s="27" t="n"/>
      <c r="J28" s="17">
        <f>G28*I28</f>
        <v/>
      </c>
      <c r="K28" s="17">
        <f>G28-H28-J28</f>
        <v/>
      </c>
      <c r="L28" s="29">
        <f>IF(G28&gt;0,K28/G28,"")</f>
        <v/>
      </c>
      <c r="M28" s="6" t="n"/>
    </row>
    <row r="29">
      <c r="A29" s="32" t="n"/>
      <c r="B29" s="6" t="n"/>
      <c r="C29">
        <f>IF(B29="","",IFERROR(VLOOKUP(B29,'Recetas y precios'!$A$5:$B$54,2,FALSE),""))</f>
        <v/>
      </c>
      <c r="D29" s="6" t="n"/>
      <c r="E29" s="6" t="n"/>
      <c r="F29" s="11" t="n"/>
      <c r="G29" s="17">
        <f>E29*F29</f>
        <v/>
      </c>
      <c r="H29" s="17">
        <f>IF(B29="",0,E29*IFERROR(VLOOKUP(B29,'Recetas y precios'!$A$5:$T$54,20,FALSE),0))</f>
        <v/>
      </c>
      <c r="I29" s="27" t="n"/>
      <c r="J29" s="17">
        <f>G29*I29</f>
        <v/>
      </c>
      <c r="K29" s="17">
        <f>G29-H29-J29</f>
        <v/>
      </c>
      <c r="L29" s="29">
        <f>IF(G29&gt;0,K29/G29,"")</f>
        <v/>
      </c>
      <c r="M29" s="6" t="n"/>
    </row>
    <row r="30">
      <c r="A30" s="32" t="n"/>
      <c r="B30" s="6" t="n"/>
      <c r="C30">
        <f>IF(B30="","",IFERROR(VLOOKUP(B30,'Recetas y precios'!$A$5:$B$54,2,FALSE),""))</f>
        <v/>
      </c>
      <c r="D30" s="6" t="n"/>
      <c r="E30" s="6" t="n"/>
      <c r="F30" s="11" t="n"/>
      <c r="G30" s="17">
        <f>E30*F30</f>
        <v/>
      </c>
      <c r="H30" s="17">
        <f>IF(B30="",0,E30*IFERROR(VLOOKUP(B30,'Recetas y precios'!$A$5:$T$54,20,FALSE),0))</f>
        <v/>
      </c>
      <c r="I30" s="27" t="n"/>
      <c r="J30" s="17">
        <f>G30*I30</f>
        <v/>
      </c>
      <c r="K30" s="17">
        <f>G30-H30-J30</f>
        <v/>
      </c>
      <c r="L30" s="29">
        <f>IF(G30&gt;0,K30/G30,"")</f>
        <v/>
      </c>
      <c r="M30" s="6" t="n"/>
    </row>
    <row r="31">
      <c r="A31" s="32" t="n"/>
      <c r="B31" s="6" t="n"/>
      <c r="C31">
        <f>IF(B31="","",IFERROR(VLOOKUP(B31,'Recetas y precios'!$A$5:$B$54,2,FALSE),""))</f>
        <v/>
      </c>
      <c r="D31" s="6" t="n"/>
      <c r="E31" s="6" t="n"/>
      <c r="F31" s="11" t="n"/>
      <c r="G31" s="17">
        <f>E31*F31</f>
        <v/>
      </c>
      <c r="H31" s="17">
        <f>IF(B31="",0,E31*IFERROR(VLOOKUP(B31,'Recetas y precios'!$A$5:$T$54,20,FALSE),0))</f>
        <v/>
      </c>
      <c r="I31" s="27" t="n"/>
      <c r="J31" s="17">
        <f>G31*I31</f>
        <v/>
      </c>
      <c r="K31" s="17">
        <f>G31-H31-J31</f>
        <v/>
      </c>
      <c r="L31" s="29">
        <f>IF(G31&gt;0,K31/G31,"")</f>
        <v/>
      </c>
      <c r="M31" s="6" t="n"/>
    </row>
    <row r="32">
      <c r="A32" s="32" t="n"/>
      <c r="B32" s="6" t="n"/>
      <c r="C32">
        <f>IF(B32="","",IFERROR(VLOOKUP(B32,'Recetas y precios'!$A$5:$B$54,2,FALSE),""))</f>
        <v/>
      </c>
      <c r="D32" s="6" t="n"/>
      <c r="E32" s="6" t="n"/>
      <c r="F32" s="11" t="n"/>
      <c r="G32" s="17">
        <f>E32*F32</f>
        <v/>
      </c>
      <c r="H32" s="17">
        <f>IF(B32="",0,E32*IFERROR(VLOOKUP(B32,'Recetas y precios'!$A$5:$T$54,20,FALSE),0))</f>
        <v/>
      </c>
      <c r="I32" s="27" t="n"/>
      <c r="J32" s="17">
        <f>G32*I32</f>
        <v/>
      </c>
      <c r="K32" s="17">
        <f>G32-H32-J32</f>
        <v/>
      </c>
      <c r="L32" s="29">
        <f>IF(G32&gt;0,K32/G32,"")</f>
        <v/>
      </c>
      <c r="M32" s="6" t="n"/>
    </row>
    <row r="33">
      <c r="A33" s="32" t="n"/>
      <c r="B33" s="6" t="n"/>
      <c r="C33">
        <f>IF(B33="","",IFERROR(VLOOKUP(B33,'Recetas y precios'!$A$5:$B$54,2,FALSE),""))</f>
        <v/>
      </c>
      <c r="D33" s="6" t="n"/>
      <c r="E33" s="6" t="n"/>
      <c r="F33" s="11" t="n"/>
      <c r="G33" s="17">
        <f>E33*F33</f>
        <v/>
      </c>
      <c r="H33" s="17">
        <f>IF(B33="",0,E33*IFERROR(VLOOKUP(B33,'Recetas y precios'!$A$5:$T$54,20,FALSE),0))</f>
        <v/>
      </c>
      <c r="I33" s="27" t="n"/>
      <c r="J33" s="17">
        <f>G33*I33</f>
        <v/>
      </c>
      <c r="K33" s="17">
        <f>G33-H33-J33</f>
        <v/>
      </c>
      <c r="L33" s="29">
        <f>IF(G33&gt;0,K33/G33,"")</f>
        <v/>
      </c>
      <c r="M33" s="6" t="n"/>
    </row>
    <row r="34">
      <c r="A34" s="32" t="n"/>
      <c r="B34" s="6" t="n"/>
      <c r="C34">
        <f>IF(B34="","",IFERROR(VLOOKUP(B34,'Recetas y precios'!$A$5:$B$54,2,FALSE),""))</f>
        <v/>
      </c>
      <c r="D34" s="6" t="n"/>
      <c r="E34" s="6" t="n"/>
      <c r="F34" s="11" t="n"/>
      <c r="G34" s="17">
        <f>E34*F34</f>
        <v/>
      </c>
      <c r="H34" s="17">
        <f>IF(B34="",0,E34*IFERROR(VLOOKUP(B34,'Recetas y precios'!$A$5:$T$54,20,FALSE),0))</f>
        <v/>
      </c>
      <c r="I34" s="27" t="n"/>
      <c r="J34" s="17">
        <f>G34*I34</f>
        <v/>
      </c>
      <c r="K34" s="17">
        <f>G34-H34-J34</f>
        <v/>
      </c>
      <c r="L34" s="29">
        <f>IF(G34&gt;0,K34/G34,"")</f>
        <v/>
      </c>
      <c r="M34" s="6" t="n"/>
    </row>
    <row r="35">
      <c r="A35" s="32" t="n"/>
      <c r="B35" s="6" t="n"/>
      <c r="C35">
        <f>IF(B35="","",IFERROR(VLOOKUP(B35,'Recetas y precios'!$A$5:$B$54,2,FALSE),""))</f>
        <v/>
      </c>
      <c r="D35" s="6" t="n"/>
      <c r="E35" s="6" t="n"/>
      <c r="F35" s="11" t="n"/>
      <c r="G35" s="17">
        <f>E35*F35</f>
        <v/>
      </c>
      <c r="H35" s="17">
        <f>IF(B35="",0,E35*IFERROR(VLOOKUP(B35,'Recetas y precios'!$A$5:$T$54,20,FALSE),0))</f>
        <v/>
      </c>
      <c r="I35" s="27" t="n"/>
      <c r="J35" s="17">
        <f>G35*I35</f>
        <v/>
      </c>
      <c r="K35" s="17">
        <f>G35-H35-J35</f>
        <v/>
      </c>
      <c r="L35" s="29">
        <f>IF(G35&gt;0,K35/G35,"")</f>
        <v/>
      </c>
      <c r="M35" s="6" t="n"/>
    </row>
    <row r="36">
      <c r="A36" s="32" t="n"/>
      <c r="B36" s="6" t="n"/>
      <c r="C36">
        <f>IF(B36="","",IFERROR(VLOOKUP(B36,'Recetas y precios'!$A$5:$B$54,2,FALSE),""))</f>
        <v/>
      </c>
      <c r="D36" s="6" t="n"/>
      <c r="E36" s="6" t="n"/>
      <c r="F36" s="11" t="n"/>
      <c r="G36" s="17">
        <f>E36*F36</f>
        <v/>
      </c>
      <c r="H36" s="17">
        <f>IF(B36="",0,E36*IFERROR(VLOOKUP(B36,'Recetas y precios'!$A$5:$T$54,20,FALSE),0))</f>
        <v/>
      </c>
      <c r="I36" s="27" t="n"/>
      <c r="J36" s="17">
        <f>G36*I36</f>
        <v/>
      </c>
      <c r="K36" s="17">
        <f>G36-H36-J36</f>
        <v/>
      </c>
      <c r="L36" s="29">
        <f>IF(G36&gt;0,K36/G36,"")</f>
        <v/>
      </c>
      <c r="M36" s="6" t="n"/>
    </row>
    <row r="37">
      <c r="A37" s="32" t="n"/>
      <c r="B37" s="6" t="n"/>
      <c r="C37">
        <f>IF(B37="","",IFERROR(VLOOKUP(B37,'Recetas y precios'!$A$5:$B$54,2,FALSE),""))</f>
        <v/>
      </c>
      <c r="D37" s="6" t="n"/>
      <c r="E37" s="6" t="n"/>
      <c r="F37" s="11" t="n"/>
      <c r="G37" s="17">
        <f>E37*F37</f>
        <v/>
      </c>
      <c r="H37" s="17">
        <f>IF(B37="",0,E37*IFERROR(VLOOKUP(B37,'Recetas y precios'!$A$5:$T$54,20,FALSE),0))</f>
        <v/>
      </c>
      <c r="I37" s="27" t="n"/>
      <c r="J37" s="17">
        <f>G37*I37</f>
        <v/>
      </c>
      <c r="K37" s="17">
        <f>G37-H37-J37</f>
        <v/>
      </c>
      <c r="L37" s="29">
        <f>IF(G37&gt;0,K37/G37,"")</f>
        <v/>
      </c>
      <c r="M37" s="6" t="n"/>
    </row>
    <row r="38">
      <c r="A38" s="32" t="n"/>
      <c r="B38" s="6" t="n"/>
      <c r="C38">
        <f>IF(B38="","",IFERROR(VLOOKUP(B38,'Recetas y precios'!$A$5:$B$54,2,FALSE),""))</f>
        <v/>
      </c>
      <c r="D38" s="6" t="n"/>
      <c r="E38" s="6" t="n"/>
      <c r="F38" s="11" t="n"/>
      <c r="G38" s="17">
        <f>E38*F38</f>
        <v/>
      </c>
      <c r="H38" s="17">
        <f>IF(B38="",0,E38*IFERROR(VLOOKUP(B38,'Recetas y precios'!$A$5:$T$54,20,FALSE),0))</f>
        <v/>
      </c>
      <c r="I38" s="27" t="n"/>
      <c r="J38" s="17">
        <f>G38*I38</f>
        <v/>
      </c>
      <c r="K38" s="17">
        <f>G38-H38-J38</f>
        <v/>
      </c>
      <c r="L38" s="29">
        <f>IF(G38&gt;0,K38/G38,"")</f>
        <v/>
      </c>
      <c r="M38" s="6" t="n"/>
    </row>
    <row r="39">
      <c r="A39" s="32" t="n"/>
      <c r="B39" s="6" t="n"/>
      <c r="C39">
        <f>IF(B39="","",IFERROR(VLOOKUP(B39,'Recetas y precios'!$A$5:$B$54,2,FALSE),""))</f>
        <v/>
      </c>
      <c r="D39" s="6" t="n"/>
      <c r="E39" s="6" t="n"/>
      <c r="F39" s="11" t="n"/>
      <c r="G39" s="17">
        <f>E39*F39</f>
        <v/>
      </c>
      <c r="H39" s="17">
        <f>IF(B39="",0,E39*IFERROR(VLOOKUP(B39,'Recetas y precios'!$A$5:$T$54,20,FALSE),0))</f>
        <v/>
      </c>
      <c r="I39" s="27" t="n"/>
      <c r="J39" s="17">
        <f>G39*I39</f>
        <v/>
      </c>
      <c r="K39" s="17">
        <f>G39-H39-J39</f>
        <v/>
      </c>
      <c r="L39" s="29">
        <f>IF(G39&gt;0,K39/G39,"")</f>
        <v/>
      </c>
      <c r="M39" s="6" t="n"/>
    </row>
    <row r="40">
      <c r="A40" s="32" t="n"/>
      <c r="B40" s="6" t="n"/>
      <c r="C40">
        <f>IF(B40="","",IFERROR(VLOOKUP(B40,'Recetas y precios'!$A$5:$B$54,2,FALSE),""))</f>
        <v/>
      </c>
      <c r="D40" s="6" t="n"/>
      <c r="E40" s="6" t="n"/>
      <c r="F40" s="11" t="n"/>
      <c r="G40" s="17">
        <f>E40*F40</f>
        <v/>
      </c>
      <c r="H40" s="17">
        <f>IF(B40="",0,E40*IFERROR(VLOOKUP(B40,'Recetas y precios'!$A$5:$T$54,20,FALSE),0))</f>
        <v/>
      </c>
      <c r="I40" s="27" t="n"/>
      <c r="J40" s="17">
        <f>G40*I40</f>
        <v/>
      </c>
      <c r="K40" s="17">
        <f>G40-H40-J40</f>
        <v/>
      </c>
      <c r="L40" s="29">
        <f>IF(G40&gt;0,K40/G40,"")</f>
        <v/>
      </c>
      <c r="M40" s="6" t="n"/>
    </row>
    <row r="41">
      <c r="A41" s="32" t="n"/>
      <c r="B41" s="6" t="n"/>
      <c r="C41">
        <f>IF(B41="","",IFERROR(VLOOKUP(B41,'Recetas y precios'!$A$5:$B$54,2,FALSE),""))</f>
        <v/>
      </c>
      <c r="D41" s="6" t="n"/>
      <c r="E41" s="6" t="n"/>
      <c r="F41" s="11" t="n"/>
      <c r="G41" s="17">
        <f>E41*F41</f>
        <v/>
      </c>
      <c r="H41" s="17">
        <f>IF(B41="",0,E41*IFERROR(VLOOKUP(B41,'Recetas y precios'!$A$5:$T$54,20,FALSE),0))</f>
        <v/>
      </c>
      <c r="I41" s="27" t="n"/>
      <c r="J41" s="17">
        <f>G41*I41</f>
        <v/>
      </c>
      <c r="K41" s="17">
        <f>G41-H41-J41</f>
        <v/>
      </c>
      <c r="L41" s="29">
        <f>IF(G41&gt;0,K41/G41,"")</f>
        <v/>
      </c>
      <c r="M41" s="6" t="n"/>
    </row>
    <row r="42">
      <c r="A42" s="32" t="n"/>
      <c r="B42" s="6" t="n"/>
      <c r="C42">
        <f>IF(B42="","",IFERROR(VLOOKUP(B42,'Recetas y precios'!$A$5:$B$54,2,FALSE),""))</f>
        <v/>
      </c>
      <c r="D42" s="6" t="n"/>
      <c r="E42" s="6" t="n"/>
      <c r="F42" s="11" t="n"/>
      <c r="G42" s="17">
        <f>E42*F42</f>
        <v/>
      </c>
      <c r="H42" s="17">
        <f>IF(B42="",0,E42*IFERROR(VLOOKUP(B42,'Recetas y precios'!$A$5:$T$54,20,FALSE),0))</f>
        <v/>
      </c>
      <c r="I42" s="27" t="n"/>
      <c r="J42" s="17">
        <f>G42*I42</f>
        <v/>
      </c>
      <c r="K42" s="17">
        <f>G42-H42-J42</f>
        <v/>
      </c>
      <c r="L42" s="29">
        <f>IF(G42&gt;0,K42/G42,"")</f>
        <v/>
      </c>
      <c r="M42" s="6" t="n"/>
    </row>
    <row r="43">
      <c r="A43" s="32" t="n"/>
      <c r="B43" s="6" t="n"/>
      <c r="C43">
        <f>IF(B43="","",IFERROR(VLOOKUP(B43,'Recetas y precios'!$A$5:$B$54,2,FALSE),""))</f>
        <v/>
      </c>
      <c r="D43" s="6" t="n"/>
      <c r="E43" s="6" t="n"/>
      <c r="F43" s="11" t="n"/>
      <c r="G43" s="17">
        <f>E43*F43</f>
        <v/>
      </c>
      <c r="H43" s="17">
        <f>IF(B43="",0,E43*IFERROR(VLOOKUP(B43,'Recetas y precios'!$A$5:$T$54,20,FALSE),0))</f>
        <v/>
      </c>
      <c r="I43" s="27" t="n"/>
      <c r="J43" s="17">
        <f>G43*I43</f>
        <v/>
      </c>
      <c r="K43" s="17">
        <f>G43-H43-J43</f>
        <v/>
      </c>
      <c r="L43" s="29">
        <f>IF(G43&gt;0,K43/G43,"")</f>
        <v/>
      </c>
      <c r="M43" s="6" t="n"/>
    </row>
    <row r="44">
      <c r="A44" s="32" t="n"/>
      <c r="B44" s="6" t="n"/>
      <c r="C44">
        <f>IF(B44="","",IFERROR(VLOOKUP(B44,'Recetas y precios'!$A$5:$B$54,2,FALSE),""))</f>
        <v/>
      </c>
      <c r="D44" s="6" t="n"/>
      <c r="E44" s="6" t="n"/>
      <c r="F44" s="11" t="n"/>
      <c r="G44" s="17">
        <f>E44*F44</f>
        <v/>
      </c>
      <c r="H44" s="17">
        <f>IF(B44="",0,E44*IFERROR(VLOOKUP(B44,'Recetas y precios'!$A$5:$T$54,20,FALSE),0))</f>
        <v/>
      </c>
      <c r="I44" s="27" t="n"/>
      <c r="J44" s="17">
        <f>G44*I44</f>
        <v/>
      </c>
      <c r="K44" s="17">
        <f>G44-H44-J44</f>
        <v/>
      </c>
      <c r="L44" s="29">
        <f>IF(G44&gt;0,K44/G44,"")</f>
        <v/>
      </c>
      <c r="M44" s="6" t="n"/>
    </row>
    <row r="45">
      <c r="A45" s="32" t="n"/>
      <c r="B45" s="6" t="n"/>
      <c r="C45">
        <f>IF(B45="","",IFERROR(VLOOKUP(B45,'Recetas y precios'!$A$5:$B$54,2,FALSE),""))</f>
        <v/>
      </c>
      <c r="D45" s="6" t="n"/>
      <c r="E45" s="6" t="n"/>
      <c r="F45" s="11" t="n"/>
      <c r="G45" s="17">
        <f>E45*F45</f>
        <v/>
      </c>
      <c r="H45" s="17">
        <f>IF(B45="",0,E45*IFERROR(VLOOKUP(B45,'Recetas y precios'!$A$5:$T$54,20,FALSE),0))</f>
        <v/>
      </c>
      <c r="I45" s="27" t="n"/>
      <c r="J45" s="17">
        <f>G45*I45</f>
        <v/>
      </c>
      <c r="K45" s="17">
        <f>G45-H45-J45</f>
        <v/>
      </c>
      <c r="L45" s="29">
        <f>IF(G45&gt;0,K45/G45,"")</f>
        <v/>
      </c>
      <c r="M45" s="6" t="n"/>
    </row>
    <row r="46">
      <c r="A46" s="32" t="n"/>
      <c r="B46" s="6" t="n"/>
      <c r="C46">
        <f>IF(B46="","",IFERROR(VLOOKUP(B46,'Recetas y precios'!$A$5:$B$54,2,FALSE),""))</f>
        <v/>
      </c>
      <c r="D46" s="6" t="n"/>
      <c r="E46" s="6" t="n"/>
      <c r="F46" s="11" t="n"/>
      <c r="G46" s="17">
        <f>E46*F46</f>
        <v/>
      </c>
      <c r="H46" s="17">
        <f>IF(B46="",0,E46*IFERROR(VLOOKUP(B46,'Recetas y precios'!$A$5:$T$54,20,FALSE),0))</f>
        <v/>
      </c>
      <c r="I46" s="27" t="n"/>
      <c r="J46" s="17">
        <f>G46*I46</f>
        <v/>
      </c>
      <c r="K46" s="17">
        <f>G46-H46-J46</f>
        <v/>
      </c>
      <c r="L46" s="29">
        <f>IF(G46&gt;0,K46/G46,"")</f>
        <v/>
      </c>
      <c r="M46" s="6" t="n"/>
    </row>
    <row r="47">
      <c r="A47" s="32" t="n"/>
      <c r="B47" s="6" t="n"/>
      <c r="C47">
        <f>IF(B47="","",IFERROR(VLOOKUP(B47,'Recetas y precios'!$A$5:$B$54,2,FALSE),""))</f>
        <v/>
      </c>
      <c r="D47" s="6" t="n"/>
      <c r="E47" s="6" t="n"/>
      <c r="F47" s="11" t="n"/>
      <c r="G47" s="17">
        <f>E47*F47</f>
        <v/>
      </c>
      <c r="H47" s="17">
        <f>IF(B47="",0,E47*IFERROR(VLOOKUP(B47,'Recetas y precios'!$A$5:$T$54,20,FALSE),0))</f>
        <v/>
      </c>
      <c r="I47" s="27" t="n"/>
      <c r="J47" s="17">
        <f>G47*I47</f>
        <v/>
      </c>
      <c r="K47" s="17">
        <f>G47-H47-J47</f>
        <v/>
      </c>
      <c r="L47" s="29">
        <f>IF(G47&gt;0,K47/G47,"")</f>
        <v/>
      </c>
      <c r="M47" s="6" t="n"/>
    </row>
    <row r="48">
      <c r="A48" s="32" t="n"/>
      <c r="B48" s="6" t="n"/>
      <c r="C48">
        <f>IF(B48="","",IFERROR(VLOOKUP(B48,'Recetas y precios'!$A$5:$B$54,2,FALSE),""))</f>
        <v/>
      </c>
      <c r="D48" s="6" t="n"/>
      <c r="E48" s="6" t="n"/>
      <c r="F48" s="11" t="n"/>
      <c r="G48" s="17">
        <f>E48*F48</f>
        <v/>
      </c>
      <c r="H48" s="17">
        <f>IF(B48="",0,E48*IFERROR(VLOOKUP(B48,'Recetas y precios'!$A$5:$T$54,20,FALSE),0))</f>
        <v/>
      </c>
      <c r="I48" s="27" t="n"/>
      <c r="J48" s="17">
        <f>G48*I48</f>
        <v/>
      </c>
      <c r="K48" s="17">
        <f>G48-H48-J48</f>
        <v/>
      </c>
      <c r="L48" s="29">
        <f>IF(G48&gt;0,K48/G48,"")</f>
        <v/>
      </c>
      <c r="M48" s="6" t="n"/>
    </row>
    <row r="49">
      <c r="A49" s="32" t="n"/>
      <c r="B49" s="6" t="n"/>
      <c r="C49">
        <f>IF(B49="","",IFERROR(VLOOKUP(B49,'Recetas y precios'!$A$5:$B$54,2,FALSE),""))</f>
        <v/>
      </c>
      <c r="D49" s="6" t="n"/>
      <c r="E49" s="6" t="n"/>
      <c r="F49" s="11" t="n"/>
      <c r="G49" s="17">
        <f>E49*F49</f>
        <v/>
      </c>
      <c r="H49" s="17">
        <f>IF(B49="",0,E49*IFERROR(VLOOKUP(B49,'Recetas y precios'!$A$5:$T$54,20,FALSE),0))</f>
        <v/>
      </c>
      <c r="I49" s="27" t="n"/>
      <c r="J49" s="17">
        <f>G49*I49</f>
        <v/>
      </c>
      <c r="K49" s="17">
        <f>G49-H49-J49</f>
        <v/>
      </c>
      <c r="L49" s="29">
        <f>IF(G49&gt;0,K49/G49,"")</f>
        <v/>
      </c>
      <c r="M49" s="6" t="n"/>
    </row>
    <row r="50">
      <c r="A50" s="32" t="n"/>
      <c r="B50" s="6" t="n"/>
      <c r="C50">
        <f>IF(B50="","",IFERROR(VLOOKUP(B50,'Recetas y precios'!$A$5:$B$54,2,FALSE),""))</f>
        <v/>
      </c>
      <c r="D50" s="6" t="n"/>
      <c r="E50" s="6" t="n"/>
      <c r="F50" s="11" t="n"/>
      <c r="G50" s="17">
        <f>E50*F50</f>
        <v/>
      </c>
      <c r="H50" s="17">
        <f>IF(B50="",0,E50*IFERROR(VLOOKUP(B50,'Recetas y precios'!$A$5:$T$54,20,FALSE),0))</f>
        <v/>
      </c>
      <c r="I50" s="27" t="n"/>
      <c r="J50" s="17">
        <f>G50*I50</f>
        <v/>
      </c>
      <c r="K50" s="17">
        <f>G50-H50-J50</f>
        <v/>
      </c>
      <c r="L50" s="29">
        <f>IF(G50&gt;0,K50/G50,"")</f>
        <v/>
      </c>
      <c r="M50" s="6" t="n"/>
    </row>
    <row r="51">
      <c r="A51" s="32" t="n"/>
      <c r="B51" s="6" t="n"/>
      <c r="C51">
        <f>IF(B51="","",IFERROR(VLOOKUP(B51,'Recetas y precios'!$A$5:$B$54,2,FALSE),""))</f>
        <v/>
      </c>
      <c r="D51" s="6" t="n"/>
      <c r="E51" s="6" t="n"/>
      <c r="F51" s="11" t="n"/>
      <c r="G51" s="17">
        <f>E51*F51</f>
        <v/>
      </c>
      <c r="H51" s="17">
        <f>IF(B51="",0,E51*IFERROR(VLOOKUP(B51,'Recetas y precios'!$A$5:$T$54,20,FALSE),0))</f>
        <v/>
      </c>
      <c r="I51" s="27" t="n"/>
      <c r="J51" s="17">
        <f>G51*I51</f>
        <v/>
      </c>
      <c r="K51" s="17">
        <f>G51-H51-J51</f>
        <v/>
      </c>
      <c r="L51" s="29">
        <f>IF(G51&gt;0,K51/G51,"")</f>
        <v/>
      </c>
      <c r="M51" s="6" t="n"/>
    </row>
    <row r="52">
      <c r="A52" s="32" t="n"/>
      <c r="B52" s="6" t="n"/>
      <c r="C52">
        <f>IF(B52="","",IFERROR(VLOOKUP(B52,'Recetas y precios'!$A$5:$B$54,2,FALSE),""))</f>
        <v/>
      </c>
      <c r="D52" s="6" t="n"/>
      <c r="E52" s="6" t="n"/>
      <c r="F52" s="11" t="n"/>
      <c r="G52" s="17">
        <f>E52*F52</f>
        <v/>
      </c>
      <c r="H52" s="17">
        <f>IF(B52="",0,E52*IFERROR(VLOOKUP(B52,'Recetas y precios'!$A$5:$T$54,20,FALSE),0))</f>
        <v/>
      </c>
      <c r="I52" s="27" t="n"/>
      <c r="J52" s="17">
        <f>G52*I52</f>
        <v/>
      </c>
      <c r="K52" s="17">
        <f>G52-H52-J52</f>
        <v/>
      </c>
      <c r="L52" s="29">
        <f>IF(G52&gt;0,K52/G52,"")</f>
        <v/>
      </c>
      <c r="M52" s="6" t="n"/>
    </row>
    <row r="53">
      <c r="A53" s="32" t="n"/>
      <c r="B53" s="6" t="n"/>
      <c r="C53">
        <f>IF(B53="","",IFERROR(VLOOKUP(B53,'Recetas y precios'!$A$5:$B$54,2,FALSE),""))</f>
        <v/>
      </c>
      <c r="D53" s="6" t="n"/>
      <c r="E53" s="6" t="n"/>
      <c r="F53" s="11" t="n"/>
      <c r="G53" s="17">
        <f>E53*F53</f>
        <v/>
      </c>
      <c r="H53" s="17">
        <f>IF(B53="",0,E53*IFERROR(VLOOKUP(B53,'Recetas y precios'!$A$5:$T$54,20,FALSE),0))</f>
        <v/>
      </c>
      <c r="I53" s="27" t="n"/>
      <c r="J53" s="17">
        <f>G53*I53</f>
        <v/>
      </c>
      <c r="K53" s="17">
        <f>G53-H53-J53</f>
        <v/>
      </c>
      <c r="L53" s="29">
        <f>IF(G53&gt;0,K53/G53,"")</f>
        <v/>
      </c>
      <c r="M53" s="6" t="n"/>
    </row>
    <row r="54">
      <c r="A54" s="32" t="n"/>
      <c r="B54" s="6" t="n"/>
      <c r="C54">
        <f>IF(B54="","",IFERROR(VLOOKUP(B54,'Recetas y precios'!$A$5:$B$54,2,FALSE),""))</f>
        <v/>
      </c>
      <c r="D54" s="6" t="n"/>
      <c r="E54" s="6" t="n"/>
      <c r="F54" s="11" t="n"/>
      <c r="G54" s="17">
        <f>E54*F54</f>
        <v/>
      </c>
      <c r="H54" s="17">
        <f>IF(B54="",0,E54*IFERROR(VLOOKUP(B54,'Recetas y precios'!$A$5:$T$54,20,FALSE),0))</f>
        <v/>
      </c>
      <c r="I54" s="27" t="n"/>
      <c r="J54" s="17">
        <f>G54*I54</f>
        <v/>
      </c>
      <c r="K54" s="17">
        <f>G54-H54-J54</f>
        <v/>
      </c>
      <c r="L54" s="29">
        <f>IF(G54&gt;0,K54/G54,"")</f>
        <v/>
      </c>
      <c r="M54" s="6" t="n"/>
    </row>
    <row r="55">
      <c r="A55" s="32" t="n"/>
      <c r="B55" s="6" t="n"/>
      <c r="C55">
        <f>IF(B55="","",IFERROR(VLOOKUP(B55,'Recetas y precios'!$A$5:$B$54,2,FALSE),""))</f>
        <v/>
      </c>
      <c r="D55" s="6" t="n"/>
      <c r="E55" s="6" t="n"/>
      <c r="F55" s="11" t="n"/>
      <c r="G55" s="17">
        <f>E55*F55</f>
        <v/>
      </c>
      <c r="H55" s="17">
        <f>IF(B55="",0,E55*IFERROR(VLOOKUP(B55,'Recetas y precios'!$A$5:$T$54,20,FALSE),0))</f>
        <v/>
      </c>
      <c r="I55" s="27" t="n"/>
      <c r="J55" s="17">
        <f>G55*I55</f>
        <v/>
      </c>
      <c r="K55" s="17">
        <f>G55-H55-J55</f>
        <v/>
      </c>
      <c r="L55" s="29">
        <f>IF(G55&gt;0,K55/G55,"")</f>
        <v/>
      </c>
      <c r="M55" s="6" t="n"/>
    </row>
    <row r="56">
      <c r="A56" s="32" t="n"/>
      <c r="B56" s="6" t="n"/>
      <c r="C56">
        <f>IF(B56="","",IFERROR(VLOOKUP(B56,'Recetas y precios'!$A$5:$B$54,2,FALSE),""))</f>
        <v/>
      </c>
      <c r="D56" s="6" t="n"/>
      <c r="E56" s="6" t="n"/>
      <c r="F56" s="11" t="n"/>
      <c r="G56" s="17">
        <f>E56*F56</f>
        <v/>
      </c>
      <c r="H56" s="17">
        <f>IF(B56="",0,E56*IFERROR(VLOOKUP(B56,'Recetas y precios'!$A$5:$T$54,20,FALSE),0))</f>
        <v/>
      </c>
      <c r="I56" s="27" t="n"/>
      <c r="J56" s="17">
        <f>G56*I56</f>
        <v/>
      </c>
      <c r="K56" s="17">
        <f>G56-H56-J56</f>
        <v/>
      </c>
      <c r="L56" s="29">
        <f>IF(G56&gt;0,K56/G56,"")</f>
        <v/>
      </c>
      <c r="M56" s="6" t="n"/>
    </row>
    <row r="57">
      <c r="A57" s="32" t="n"/>
      <c r="B57" s="6" t="n"/>
      <c r="C57">
        <f>IF(B57="","",IFERROR(VLOOKUP(B57,'Recetas y precios'!$A$5:$B$54,2,FALSE),""))</f>
        <v/>
      </c>
      <c r="D57" s="6" t="n"/>
      <c r="E57" s="6" t="n"/>
      <c r="F57" s="11" t="n"/>
      <c r="G57" s="17">
        <f>E57*F57</f>
        <v/>
      </c>
      <c r="H57" s="17">
        <f>IF(B57="",0,E57*IFERROR(VLOOKUP(B57,'Recetas y precios'!$A$5:$T$54,20,FALSE),0))</f>
        <v/>
      </c>
      <c r="I57" s="27" t="n"/>
      <c r="J57" s="17">
        <f>G57*I57</f>
        <v/>
      </c>
      <c r="K57" s="17">
        <f>G57-H57-J57</f>
        <v/>
      </c>
      <c r="L57" s="29">
        <f>IF(G57&gt;0,K57/G57,"")</f>
        <v/>
      </c>
      <c r="M57" s="6" t="n"/>
    </row>
    <row r="58">
      <c r="A58" s="32" t="n"/>
      <c r="B58" s="6" t="n"/>
      <c r="C58">
        <f>IF(B58="","",IFERROR(VLOOKUP(B58,'Recetas y precios'!$A$5:$B$54,2,FALSE),""))</f>
        <v/>
      </c>
      <c r="D58" s="6" t="n"/>
      <c r="E58" s="6" t="n"/>
      <c r="F58" s="11" t="n"/>
      <c r="G58" s="17">
        <f>E58*F58</f>
        <v/>
      </c>
      <c r="H58" s="17">
        <f>IF(B58="",0,E58*IFERROR(VLOOKUP(B58,'Recetas y precios'!$A$5:$T$54,20,FALSE),0))</f>
        <v/>
      </c>
      <c r="I58" s="27" t="n"/>
      <c r="J58" s="17">
        <f>G58*I58</f>
        <v/>
      </c>
      <c r="K58" s="17">
        <f>G58-H58-J58</f>
        <v/>
      </c>
      <c r="L58" s="29">
        <f>IF(G58&gt;0,K58/G58,"")</f>
        <v/>
      </c>
      <c r="M58" s="6" t="n"/>
    </row>
    <row r="59">
      <c r="A59" s="32" t="n"/>
      <c r="B59" s="6" t="n"/>
      <c r="C59">
        <f>IF(B59="","",IFERROR(VLOOKUP(B59,'Recetas y precios'!$A$5:$B$54,2,FALSE),""))</f>
        <v/>
      </c>
      <c r="D59" s="6" t="n"/>
      <c r="E59" s="6" t="n"/>
      <c r="F59" s="11" t="n"/>
      <c r="G59" s="17">
        <f>E59*F59</f>
        <v/>
      </c>
      <c r="H59" s="17">
        <f>IF(B59="",0,E59*IFERROR(VLOOKUP(B59,'Recetas y precios'!$A$5:$T$54,20,FALSE),0))</f>
        <v/>
      </c>
      <c r="I59" s="27" t="n"/>
      <c r="J59" s="17">
        <f>G59*I59</f>
        <v/>
      </c>
      <c r="K59" s="17">
        <f>G59-H59-J59</f>
        <v/>
      </c>
      <c r="L59" s="29">
        <f>IF(G59&gt;0,K59/G59,"")</f>
        <v/>
      </c>
      <c r="M59" s="6" t="n"/>
    </row>
    <row r="60">
      <c r="A60" s="32" t="n"/>
      <c r="B60" s="6" t="n"/>
      <c r="C60">
        <f>IF(B60="","",IFERROR(VLOOKUP(B60,'Recetas y precios'!$A$5:$B$54,2,FALSE),""))</f>
        <v/>
      </c>
      <c r="D60" s="6" t="n"/>
      <c r="E60" s="6" t="n"/>
      <c r="F60" s="11" t="n"/>
      <c r="G60" s="17">
        <f>E60*F60</f>
        <v/>
      </c>
      <c r="H60" s="17">
        <f>IF(B60="",0,E60*IFERROR(VLOOKUP(B60,'Recetas y precios'!$A$5:$T$54,20,FALSE),0))</f>
        <v/>
      </c>
      <c r="I60" s="27" t="n"/>
      <c r="J60" s="17">
        <f>G60*I60</f>
        <v/>
      </c>
      <c r="K60" s="17">
        <f>G60-H60-J60</f>
        <v/>
      </c>
      <c r="L60" s="29">
        <f>IF(G60&gt;0,K60/G60,"")</f>
        <v/>
      </c>
      <c r="M60" s="6" t="n"/>
    </row>
    <row r="61">
      <c r="A61" s="32" t="n"/>
      <c r="B61" s="6" t="n"/>
      <c r="C61">
        <f>IF(B61="","",IFERROR(VLOOKUP(B61,'Recetas y precios'!$A$5:$B$54,2,FALSE),""))</f>
        <v/>
      </c>
      <c r="D61" s="6" t="n"/>
      <c r="E61" s="6" t="n"/>
      <c r="F61" s="11" t="n"/>
      <c r="G61" s="17">
        <f>E61*F61</f>
        <v/>
      </c>
      <c r="H61" s="17">
        <f>IF(B61="",0,E61*IFERROR(VLOOKUP(B61,'Recetas y precios'!$A$5:$T$54,20,FALSE),0))</f>
        <v/>
      </c>
      <c r="I61" s="27" t="n"/>
      <c r="J61" s="17">
        <f>G61*I61</f>
        <v/>
      </c>
      <c r="K61" s="17">
        <f>G61-H61-J61</f>
        <v/>
      </c>
      <c r="L61" s="29">
        <f>IF(G61&gt;0,K61/G61,"")</f>
        <v/>
      </c>
      <c r="M61" s="6" t="n"/>
    </row>
    <row r="62">
      <c r="A62" s="32" t="n"/>
      <c r="B62" s="6" t="n"/>
      <c r="C62">
        <f>IF(B62="","",IFERROR(VLOOKUP(B62,'Recetas y precios'!$A$5:$B$54,2,FALSE),""))</f>
        <v/>
      </c>
      <c r="D62" s="6" t="n"/>
      <c r="E62" s="6" t="n"/>
      <c r="F62" s="11" t="n"/>
      <c r="G62" s="17">
        <f>E62*F62</f>
        <v/>
      </c>
      <c r="H62" s="17">
        <f>IF(B62="",0,E62*IFERROR(VLOOKUP(B62,'Recetas y precios'!$A$5:$T$54,20,FALSE),0))</f>
        <v/>
      </c>
      <c r="I62" s="27" t="n"/>
      <c r="J62" s="17">
        <f>G62*I62</f>
        <v/>
      </c>
      <c r="K62" s="17">
        <f>G62-H62-J62</f>
        <v/>
      </c>
      <c r="L62" s="29">
        <f>IF(G62&gt;0,K62/G62,"")</f>
        <v/>
      </c>
      <c r="M62" s="6" t="n"/>
    </row>
    <row r="63">
      <c r="A63" s="32" t="n"/>
      <c r="B63" s="6" t="n"/>
      <c r="C63">
        <f>IF(B63="","",IFERROR(VLOOKUP(B63,'Recetas y precios'!$A$5:$B$54,2,FALSE),""))</f>
        <v/>
      </c>
      <c r="D63" s="6" t="n"/>
      <c r="E63" s="6" t="n"/>
      <c r="F63" s="11" t="n"/>
      <c r="G63" s="17">
        <f>E63*F63</f>
        <v/>
      </c>
      <c r="H63" s="17">
        <f>IF(B63="",0,E63*IFERROR(VLOOKUP(B63,'Recetas y precios'!$A$5:$T$54,20,FALSE),0))</f>
        <v/>
      </c>
      <c r="I63" s="27" t="n"/>
      <c r="J63" s="17">
        <f>G63*I63</f>
        <v/>
      </c>
      <c r="K63" s="17">
        <f>G63-H63-J63</f>
        <v/>
      </c>
      <c r="L63" s="29">
        <f>IF(G63&gt;0,K63/G63,"")</f>
        <v/>
      </c>
      <c r="M63" s="6" t="n"/>
    </row>
    <row r="64">
      <c r="A64" s="32" t="n"/>
      <c r="B64" s="6" t="n"/>
      <c r="C64">
        <f>IF(B64="","",IFERROR(VLOOKUP(B64,'Recetas y precios'!$A$5:$B$54,2,FALSE),""))</f>
        <v/>
      </c>
      <c r="D64" s="6" t="n"/>
      <c r="E64" s="6" t="n"/>
      <c r="F64" s="11" t="n"/>
      <c r="G64" s="17">
        <f>E64*F64</f>
        <v/>
      </c>
      <c r="H64" s="17">
        <f>IF(B64="",0,E64*IFERROR(VLOOKUP(B64,'Recetas y precios'!$A$5:$T$54,20,FALSE),0))</f>
        <v/>
      </c>
      <c r="I64" s="27" t="n"/>
      <c r="J64" s="17">
        <f>G64*I64</f>
        <v/>
      </c>
      <c r="K64" s="17">
        <f>G64-H64-J64</f>
        <v/>
      </c>
      <c r="L64" s="29">
        <f>IF(G64&gt;0,K64/G64,"")</f>
        <v/>
      </c>
      <c r="M64" s="6" t="n"/>
    </row>
    <row r="65">
      <c r="A65" s="32" t="n"/>
      <c r="B65" s="6" t="n"/>
      <c r="C65">
        <f>IF(B65="","",IFERROR(VLOOKUP(B65,'Recetas y precios'!$A$5:$B$54,2,FALSE),""))</f>
        <v/>
      </c>
      <c r="D65" s="6" t="n"/>
      <c r="E65" s="6" t="n"/>
      <c r="F65" s="11" t="n"/>
      <c r="G65" s="17">
        <f>E65*F65</f>
        <v/>
      </c>
      <c r="H65" s="17">
        <f>IF(B65="",0,E65*IFERROR(VLOOKUP(B65,'Recetas y precios'!$A$5:$T$54,20,FALSE),0))</f>
        <v/>
      </c>
      <c r="I65" s="27" t="n"/>
      <c r="J65" s="17">
        <f>G65*I65</f>
        <v/>
      </c>
      <c r="K65" s="17">
        <f>G65-H65-J65</f>
        <v/>
      </c>
      <c r="L65" s="29">
        <f>IF(G65&gt;0,K65/G65,"")</f>
        <v/>
      </c>
      <c r="M65" s="6" t="n"/>
    </row>
    <row r="66">
      <c r="A66" s="32" t="n"/>
      <c r="B66" s="6" t="n"/>
      <c r="C66">
        <f>IF(B66="","",IFERROR(VLOOKUP(B66,'Recetas y precios'!$A$5:$B$54,2,FALSE),""))</f>
        <v/>
      </c>
      <c r="D66" s="6" t="n"/>
      <c r="E66" s="6" t="n"/>
      <c r="F66" s="11" t="n"/>
      <c r="G66" s="17">
        <f>E66*F66</f>
        <v/>
      </c>
      <c r="H66" s="17">
        <f>IF(B66="",0,E66*IFERROR(VLOOKUP(B66,'Recetas y precios'!$A$5:$T$54,20,FALSE),0))</f>
        <v/>
      </c>
      <c r="I66" s="27" t="n"/>
      <c r="J66" s="17">
        <f>G66*I66</f>
        <v/>
      </c>
      <c r="K66" s="17">
        <f>G66-H66-J66</f>
        <v/>
      </c>
      <c r="L66" s="29">
        <f>IF(G66&gt;0,K66/G66,"")</f>
        <v/>
      </c>
      <c r="M66" s="6" t="n"/>
    </row>
    <row r="67">
      <c r="A67" s="32" t="n"/>
      <c r="B67" s="6" t="n"/>
      <c r="C67">
        <f>IF(B67="","",IFERROR(VLOOKUP(B67,'Recetas y precios'!$A$5:$B$54,2,FALSE),""))</f>
        <v/>
      </c>
      <c r="D67" s="6" t="n"/>
      <c r="E67" s="6" t="n"/>
      <c r="F67" s="11" t="n"/>
      <c r="G67" s="17">
        <f>E67*F67</f>
        <v/>
      </c>
      <c r="H67" s="17">
        <f>IF(B67="",0,E67*IFERROR(VLOOKUP(B67,'Recetas y precios'!$A$5:$T$54,20,FALSE),0))</f>
        <v/>
      </c>
      <c r="I67" s="27" t="n"/>
      <c r="J67" s="17">
        <f>G67*I67</f>
        <v/>
      </c>
      <c r="K67" s="17">
        <f>G67-H67-J67</f>
        <v/>
      </c>
      <c r="L67" s="29">
        <f>IF(G67&gt;0,K67/G67,"")</f>
        <v/>
      </c>
      <c r="M67" s="6" t="n"/>
    </row>
    <row r="68">
      <c r="A68" s="32" t="n"/>
      <c r="B68" s="6" t="n"/>
      <c r="C68">
        <f>IF(B68="","",IFERROR(VLOOKUP(B68,'Recetas y precios'!$A$5:$B$54,2,FALSE),""))</f>
        <v/>
      </c>
      <c r="D68" s="6" t="n"/>
      <c r="E68" s="6" t="n"/>
      <c r="F68" s="11" t="n"/>
      <c r="G68" s="17">
        <f>E68*F68</f>
        <v/>
      </c>
      <c r="H68" s="17">
        <f>IF(B68="",0,E68*IFERROR(VLOOKUP(B68,'Recetas y precios'!$A$5:$T$54,20,FALSE),0))</f>
        <v/>
      </c>
      <c r="I68" s="27" t="n"/>
      <c r="J68" s="17">
        <f>G68*I68</f>
        <v/>
      </c>
      <c r="K68" s="17">
        <f>G68-H68-J68</f>
        <v/>
      </c>
      <c r="L68" s="29">
        <f>IF(G68&gt;0,K68/G68,"")</f>
        <v/>
      </c>
      <c r="M68" s="6" t="n"/>
    </row>
    <row r="69">
      <c r="A69" s="32" t="n"/>
      <c r="B69" s="6" t="n"/>
      <c r="C69">
        <f>IF(B69="","",IFERROR(VLOOKUP(B69,'Recetas y precios'!$A$5:$B$54,2,FALSE),""))</f>
        <v/>
      </c>
      <c r="D69" s="6" t="n"/>
      <c r="E69" s="6" t="n"/>
      <c r="F69" s="11" t="n"/>
      <c r="G69" s="17">
        <f>E69*F69</f>
        <v/>
      </c>
      <c r="H69" s="17">
        <f>IF(B69="",0,E69*IFERROR(VLOOKUP(B69,'Recetas y precios'!$A$5:$T$54,20,FALSE),0))</f>
        <v/>
      </c>
      <c r="I69" s="27" t="n"/>
      <c r="J69" s="17">
        <f>G69*I69</f>
        <v/>
      </c>
      <c r="K69" s="17">
        <f>G69-H69-J69</f>
        <v/>
      </c>
      <c r="L69" s="29">
        <f>IF(G69&gt;0,K69/G69,"")</f>
        <v/>
      </c>
      <c r="M69" s="6" t="n"/>
    </row>
    <row r="70">
      <c r="A70" s="32" t="n"/>
      <c r="B70" s="6" t="n"/>
      <c r="C70">
        <f>IF(B70="","",IFERROR(VLOOKUP(B70,'Recetas y precios'!$A$5:$B$54,2,FALSE),""))</f>
        <v/>
      </c>
      <c r="D70" s="6" t="n"/>
      <c r="E70" s="6" t="n"/>
      <c r="F70" s="11" t="n"/>
      <c r="G70" s="17">
        <f>E70*F70</f>
        <v/>
      </c>
      <c r="H70" s="17">
        <f>IF(B70="",0,E70*IFERROR(VLOOKUP(B70,'Recetas y precios'!$A$5:$T$54,20,FALSE),0))</f>
        <v/>
      </c>
      <c r="I70" s="27" t="n"/>
      <c r="J70" s="17">
        <f>G70*I70</f>
        <v/>
      </c>
      <c r="K70" s="17">
        <f>G70-H70-J70</f>
        <v/>
      </c>
      <c r="L70" s="29">
        <f>IF(G70&gt;0,K70/G70,"")</f>
        <v/>
      </c>
      <c r="M70" s="6" t="n"/>
    </row>
    <row r="71">
      <c r="A71" s="32" t="n"/>
      <c r="B71" s="6" t="n"/>
      <c r="C71">
        <f>IF(B71="","",IFERROR(VLOOKUP(B71,'Recetas y precios'!$A$5:$B$54,2,FALSE),""))</f>
        <v/>
      </c>
      <c r="D71" s="6" t="n"/>
      <c r="E71" s="6" t="n"/>
      <c r="F71" s="11" t="n"/>
      <c r="G71" s="17">
        <f>E71*F71</f>
        <v/>
      </c>
      <c r="H71" s="17">
        <f>IF(B71="",0,E71*IFERROR(VLOOKUP(B71,'Recetas y precios'!$A$5:$T$54,20,FALSE),0))</f>
        <v/>
      </c>
      <c r="I71" s="27" t="n"/>
      <c r="J71" s="17">
        <f>G71*I71</f>
        <v/>
      </c>
      <c r="K71" s="17">
        <f>G71-H71-J71</f>
        <v/>
      </c>
      <c r="L71" s="29">
        <f>IF(G71&gt;0,K71/G71,"")</f>
        <v/>
      </c>
      <c r="M71" s="6" t="n"/>
    </row>
    <row r="72">
      <c r="A72" s="32" t="n"/>
      <c r="B72" s="6" t="n"/>
      <c r="C72">
        <f>IF(B72="","",IFERROR(VLOOKUP(B72,'Recetas y precios'!$A$5:$B$54,2,FALSE),""))</f>
        <v/>
      </c>
      <c r="D72" s="6" t="n"/>
      <c r="E72" s="6" t="n"/>
      <c r="F72" s="11" t="n"/>
      <c r="G72" s="17">
        <f>E72*F72</f>
        <v/>
      </c>
      <c r="H72" s="17">
        <f>IF(B72="",0,E72*IFERROR(VLOOKUP(B72,'Recetas y precios'!$A$5:$T$54,20,FALSE),0))</f>
        <v/>
      </c>
      <c r="I72" s="27" t="n"/>
      <c r="J72" s="17">
        <f>G72*I72</f>
        <v/>
      </c>
      <c r="K72" s="17">
        <f>G72-H72-J72</f>
        <v/>
      </c>
      <c r="L72" s="29">
        <f>IF(G72&gt;0,K72/G72,"")</f>
        <v/>
      </c>
      <c r="M72" s="6" t="n"/>
    </row>
    <row r="73">
      <c r="A73" s="32" t="n"/>
      <c r="B73" s="6" t="n"/>
      <c r="C73">
        <f>IF(B73="","",IFERROR(VLOOKUP(B73,'Recetas y precios'!$A$5:$B$54,2,FALSE),""))</f>
        <v/>
      </c>
      <c r="D73" s="6" t="n"/>
      <c r="E73" s="6" t="n"/>
      <c r="F73" s="11" t="n"/>
      <c r="G73" s="17">
        <f>E73*F73</f>
        <v/>
      </c>
      <c r="H73" s="17">
        <f>IF(B73="",0,E73*IFERROR(VLOOKUP(B73,'Recetas y precios'!$A$5:$T$54,20,FALSE),0))</f>
        <v/>
      </c>
      <c r="I73" s="27" t="n"/>
      <c r="J73" s="17">
        <f>G73*I73</f>
        <v/>
      </c>
      <c r="K73" s="17">
        <f>G73-H73-J73</f>
        <v/>
      </c>
      <c r="L73" s="29">
        <f>IF(G73&gt;0,K73/G73,"")</f>
        <v/>
      </c>
      <c r="M73" s="6" t="n"/>
    </row>
    <row r="74">
      <c r="A74" s="32" t="n"/>
      <c r="B74" s="6" t="n"/>
      <c r="C74">
        <f>IF(B74="","",IFERROR(VLOOKUP(B74,'Recetas y precios'!$A$5:$B$54,2,FALSE),""))</f>
        <v/>
      </c>
      <c r="D74" s="6" t="n"/>
      <c r="E74" s="6" t="n"/>
      <c r="F74" s="11" t="n"/>
      <c r="G74" s="17">
        <f>E74*F74</f>
        <v/>
      </c>
      <c r="H74" s="17">
        <f>IF(B74="",0,E74*IFERROR(VLOOKUP(B74,'Recetas y precios'!$A$5:$T$54,20,FALSE),0))</f>
        <v/>
      </c>
      <c r="I74" s="27" t="n"/>
      <c r="J74" s="17">
        <f>G74*I74</f>
        <v/>
      </c>
      <c r="K74" s="17">
        <f>G74-H74-J74</f>
        <v/>
      </c>
      <c r="L74" s="29">
        <f>IF(G74&gt;0,K74/G74,"")</f>
        <v/>
      </c>
      <c r="M74" s="6" t="n"/>
    </row>
    <row r="75">
      <c r="A75" s="32" t="n"/>
      <c r="B75" s="6" t="n"/>
      <c r="C75">
        <f>IF(B75="","",IFERROR(VLOOKUP(B75,'Recetas y precios'!$A$5:$B$54,2,FALSE),""))</f>
        <v/>
      </c>
      <c r="D75" s="6" t="n"/>
      <c r="E75" s="6" t="n"/>
      <c r="F75" s="11" t="n"/>
      <c r="G75" s="17">
        <f>E75*F75</f>
        <v/>
      </c>
      <c r="H75" s="17">
        <f>IF(B75="",0,E75*IFERROR(VLOOKUP(B75,'Recetas y precios'!$A$5:$T$54,20,FALSE),0))</f>
        <v/>
      </c>
      <c r="I75" s="27" t="n"/>
      <c r="J75" s="17">
        <f>G75*I75</f>
        <v/>
      </c>
      <c r="K75" s="17">
        <f>G75-H75-J75</f>
        <v/>
      </c>
      <c r="L75" s="29">
        <f>IF(G75&gt;0,K75/G75,"")</f>
        <v/>
      </c>
      <c r="M75" s="6" t="n"/>
    </row>
    <row r="76">
      <c r="A76" s="32" t="n"/>
      <c r="B76" s="6" t="n"/>
      <c r="C76">
        <f>IF(B76="","",IFERROR(VLOOKUP(B76,'Recetas y precios'!$A$5:$B$54,2,FALSE),""))</f>
        <v/>
      </c>
      <c r="D76" s="6" t="n"/>
      <c r="E76" s="6" t="n"/>
      <c r="F76" s="11" t="n"/>
      <c r="G76" s="17">
        <f>E76*F76</f>
        <v/>
      </c>
      <c r="H76" s="17">
        <f>IF(B76="",0,E76*IFERROR(VLOOKUP(B76,'Recetas y precios'!$A$5:$T$54,20,FALSE),0))</f>
        <v/>
      </c>
      <c r="I76" s="27" t="n"/>
      <c r="J76" s="17">
        <f>G76*I76</f>
        <v/>
      </c>
      <c r="K76" s="17">
        <f>G76-H76-J76</f>
        <v/>
      </c>
      <c r="L76" s="29">
        <f>IF(G76&gt;0,K76/G76,"")</f>
        <v/>
      </c>
      <c r="M76" s="6" t="n"/>
    </row>
    <row r="77">
      <c r="A77" s="32" t="n"/>
      <c r="B77" s="6" t="n"/>
      <c r="C77">
        <f>IF(B77="","",IFERROR(VLOOKUP(B77,'Recetas y precios'!$A$5:$B$54,2,FALSE),""))</f>
        <v/>
      </c>
      <c r="D77" s="6" t="n"/>
      <c r="E77" s="6" t="n"/>
      <c r="F77" s="11" t="n"/>
      <c r="G77" s="17">
        <f>E77*F77</f>
        <v/>
      </c>
      <c r="H77" s="17">
        <f>IF(B77="",0,E77*IFERROR(VLOOKUP(B77,'Recetas y precios'!$A$5:$T$54,20,FALSE),0))</f>
        <v/>
      </c>
      <c r="I77" s="27" t="n"/>
      <c r="J77" s="17">
        <f>G77*I77</f>
        <v/>
      </c>
      <c r="K77" s="17">
        <f>G77-H77-J77</f>
        <v/>
      </c>
      <c r="L77" s="29">
        <f>IF(G77&gt;0,K77/G77,"")</f>
        <v/>
      </c>
      <c r="M77" s="6" t="n"/>
    </row>
    <row r="78">
      <c r="A78" s="32" t="n"/>
      <c r="B78" s="6" t="n"/>
      <c r="C78">
        <f>IF(B78="","",IFERROR(VLOOKUP(B78,'Recetas y precios'!$A$5:$B$54,2,FALSE),""))</f>
        <v/>
      </c>
      <c r="D78" s="6" t="n"/>
      <c r="E78" s="6" t="n"/>
      <c r="F78" s="11" t="n"/>
      <c r="G78" s="17">
        <f>E78*F78</f>
        <v/>
      </c>
      <c r="H78" s="17">
        <f>IF(B78="",0,E78*IFERROR(VLOOKUP(B78,'Recetas y precios'!$A$5:$T$54,20,FALSE),0))</f>
        <v/>
      </c>
      <c r="I78" s="27" t="n"/>
      <c r="J78" s="17">
        <f>G78*I78</f>
        <v/>
      </c>
      <c r="K78" s="17">
        <f>G78-H78-J78</f>
        <v/>
      </c>
      <c r="L78" s="29">
        <f>IF(G78&gt;0,K78/G78,"")</f>
        <v/>
      </c>
      <c r="M78" s="6" t="n"/>
    </row>
    <row r="79">
      <c r="A79" s="32" t="n"/>
      <c r="B79" s="6" t="n"/>
      <c r="C79">
        <f>IF(B79="","",IFERROR(VLOOKUP(B79,'Recetas y precios'!$A$5:$B$54,2,FALSE),""))</f>
        <v/>
      </c>
      <c r="D79" s="6" t="n"/>
      <c r="E79" s="6" t="n"/>
      <c r="F79" s="11" t="n"/>
      <c r="G79" s="17">
        <f>E79*F79</f>
        <v/>
      </c>
      <c r="H79" s="17">
        <f>IF(B79="",0,E79*IFERROR(VLOOKUP(B79,'Recetas y precios'!$A$5:$T$54,20,FALSE),0))</f>
        <v/>
      </c>
      <c r="I79" s="27" t="n"/>
      <c r="J79" s="17">
        <f>G79*I79</f>
        <v/>
      </c>
      <c r="K79" s="17">
        <f>G79-H79-J79</f>
        <v/>
      </c>
      <c r="L79" s="29">
        <f>IF(G79&gt;0,K79/G79,"")</f>
        <v/>
      </c>
      <c r="M79" s="6" t="n"/>
    </row>
    <row r="80">
      <c r="A80" s="32" t="n"/>
      <c r="B80" s="6" t="n"/>
      <c r="C80">
        <f>IF(B80="","",IFERROR(VLOOKUP(B80,'Recetas y precios'!$A$5:$B$54,2,FALSE),""))</f>
        <v/>
      </c>
      <c r="D80" s="6" t="n"/>
      <c r="E80" s="6" t="n"/>
      <c r="F80" s="11" t="n"/>
      <c r="G80" s="17">
        <f>E80*F80</f>
        <v/>
      </c>
      <c r="H80" s="17">
        <f>IF(B80="",0,E80*IFERROR(VLOOKUP(B80,'Recetas y precios'!$A$5:$T$54,20,FALSE),0))</f>
        <v/>
      </c>
      <c r="I80" s="27" t="n"/>
      <c r="J80" s="17">
        <f>G80*I80</f>
        <v/>
      </c>
      <c r="K80" s="17">
        <f>G80-H80-J80</f>
        <v/>
      </c>
      <c r="L80" s="29">
        <f>IF(G80&gt;0,K80/G80,"")</f>
        <v/>
      </c>
      <c r="M80" s="6" t="n"/>
    </row>
    <row r="81">
      <c r="A81" s="32" t="n"/>
      <c r="B81" s="6" t="n"/>
      <c r="C81">
        <f>IF(B81="","",IFERROR(VLOOKUP(B81,'Recetas y precios'!$A$5:$B$54,2,FALSE),""))</f>
        <v/>
      </c>
      <c r="D81" s="6" t="n"/>
      <c r="E81" s="6" t="n"/>
      <c r="F81" s="11" t="n"/>
      <c r="G81" s="17">
        <f>E81*F81</f>
        <v/>
      </c>
      <c r="H81" s="17">
        <f>IF(B81="",0,E81*IFERROR(VLOOKUP(B81,'Recetas y precios'!$A$5:$T$54,20,FALSE),0))</f>
        <v/>
      </c>
      <c r="I81" s="27" t="n"/>
      <c r="J81" s="17">
        <f>G81*I81</f>
        <v/>
      </c>
      <c r="K81" s="17">
        <f>G81-H81-J81</f>
        <v/>
      </c>
      <c r="L81" s="29">
        <f>IF(G81&gt;0,K81/G81,"")</f>
        <v/>
      </c>
      <c r="M81" s="6" t="n"/>
    </row>
    <row r="82">
      <c r="A82" s="32" t="n"/>
      <c r="B82" s="6" t="n"/>
      <c r="C82">
        <f>IF(B82="","",IFERROR(VLOOKUP(B82,'Recetas y precios'!$A$5:$B$54,2,FALSE),""))</f>
        <v/>
      </c>
      <c r="D82" s="6" t="n"/>
      <c r="E82" s="6" t="n"/>
      <c r="F82" s="11" t="n"/>
      <c r="G82" s="17">
        <f>E82*F82</f>
        <v/>
      </c>
      <c r="H82" s="17">
        <f>IF(B82="",0,E82*IFERROR(VLOOKUP(B82,'Recetas y precios'!$A$5:$T$54,20,FALSE),0))</f>
        <v/>
      </c>
      <c r="I82" s="27" t="n"/>
      <c r="J82" s="17">
        <f>G82*I82</f>
        <v/>
      </c>
      <c r="K82" s="17">
        <f>G82-H82-J82</f>
        <v/>
      </c>
      <c r="L82" s="29">
        <f>IF(G82&gt;0,K82/G82,"")</f>
        <v/>
      </c>
      <c r="M82" s="6" t="n"/>
    </row>
    <row r="83">
      <c r="A83" s="32" t="n"/>
      <c r="B83" s="6" t="n"/>
      <c r="C83">
        <f>IF(B83="","",IFERROR(VLOOKUP(B83,'Recetas y precios'!$A$5:$B$54,2,FALSE),""))</f>
        <v/>
      </c>
      <c r="D83" s="6" t="n"/>
      <c r="E83" s="6" t="n"/>
      <c r="F83" s="11" t="n"/>
      <c r="G83" s="17">
        <f>E83*F83</f>
        <v/>
      </c>
      <c r="H83" s="17">
        <f>IF(B83="",0,E83*IFERROR(VLOOKUP(B83,'Recetas y precios'!$A$5:$T$54,20,FALSE),0))</f>
        <v/>
      </c>
      <c r="I83" s="27" t="n"/>
      <c r="J83" s="17">
        <f>G83*I83</f>
        <v/>
      </c>
      <c r="K83" s="17">
        <f>G83-H83-J83</f>
        <v/>
      </c>
      <c r="L83" s="29">
        <f>IF(G83&gt;0,K83/G83,"")</f>
        <v/>
      </c>
      <c r="M83" s="6" t="n"/>
    </row>
    <row r="84">
      <c r="A84" s="32" t="n"/>
      <c r="B84" s="6" t="n"/>
      <c r="C84">
        <f>IF(B84="","",IFERROR(VLOOKUP(B84,'Recetas y precios'!$A$5:$B$54,2,FALSE),""))</f>
        <v/>
      </c>
      <c r="D84" s="6" t="n"/>
      <c r="E84" s="6" t="n"/>
      <c r="F84" s="11" t="n"/>
      <c r="G84" s="17">
        <f>E84*F84</f>
        <v/>
      </c>
      <c r="H84" s="17">
        <f>IF(B84="",0,E84*IFERROR(VLOOKUP(B84,'Recetas y precios'!$A$5:$T$54,20,FALSE),0))</f>
        <v/>
      </c>
      <c r="I84" s="27" t="n"/>
      <c r="J84" s="17">
        <f>G84*I84</f>
        <v/>
      </c>
      <c r="K84" s="17">
        <f>G84-H84-J84</f>
        <v/>
      </c>
      <c r="L84" s="29">
        <f>IF(G84&gt;0,K84/G84,"")</f>
        <v/>
      </c>
      <c r="M84" s="6" t="n"/>
    </row>
    <row r="85">
      <c r="A85" s="32" t="n"/>
      <c r="B85" s="6" t="n"/>
      <c r="C85">
        <f>IF(B85="","",IFERROR(VLOOKUP(B85,'Recetas y precios'!$A$5:$B$54,2,FALSE),""))</f>
        <v/>
      </c>
      <c r="D85" s="6" t="n"/>
      <c r="E85" s="6" t="n"/>
      <c r="F85" s="11" t="n"/>
      <c r="G85" s="17">
        <f>E85*F85</f>
        <v/>
      </c>
      <c r="H85" s="17">
        <f>IF(B85="",0,E85*IFERROR(VLOOKUP(B85,'Recetas y precios'!$A$5:$T$54,20,FALSE),0))</f>
        <v/>
      </c>
      <c r="I85" s="27" t="n"/>
      <c r="J85" s="17">
        <f>G85*I85</f>
        <v/>
      </c>
      <c r="K85" s="17">
        <f>G85-H85-J85</f>
        <v/>
      </c>
      <c r="L85" s="29">
        <f>IF(G85&gt;0,K85/G85,"")</f>
        <v/>
      </c>
      <c r="M85" s="6" t="n"/>
    </row>
    <row r="86">
      <c r="A86" s="32" t="n"/>
      <c r="B86" s="6" t="n"/>
      <c r="C86">
        <f>IF(B86="","",IFERROR(VLOOKUP(B86,'Recetas y precios'!$A$5:$B$54,2,FALSE),""))</f>
        <v/>
      </c>
      <c r="D86" s="6" t="n"/>
      <c r="E86" s="6" t="n"/>
      <c r="F86" s="11" t="n"/>
      <c r="G86" s="17">
        <f>E86*F86</f>
        <v/>
      </c>
      <c r="H86" s="17">
        <f>IF(B86="",0,E86*IFERROR(VLOOKUP(B86,'Recetas y precios'!$A$5:$T$54,20,FALSE),0))</f>
        <v/>
      </c>
      <c r="I86" s="27" t="n"/>
      <c r="J86" s="17">
        <f>G86*I86</f>
        <v/>
      </c>
      <c r="K86" s="17">
        <f>G86-H86-J86</f>
        <v/>
      </c>
      <c r="L86" s="29">
        <f>IF(G86&gt;0,K86/G86,"")</f>
        <v/>
      </c>
      <c r="M86" s="6" t="n"/>
    </row>
    <row r="87">
      <c r="A87" s="32" t="n"/>
      <c r="B87" s="6" t="n"/>
      <c r="C87">
        <f>IF(B87="","",IFERROR(VLOOKUP(B87,'Recetas y precios'!$A$5:$B$54,2,FALSE),""))</f>
        <v/>
      </c>
      <c r="D87" s="6" t="n"/>
      <c r="E87" s="6" t="n"/>
      <c r="F87" s="11" t="n"/>
      <c r="G87" s="17">
        <f>E87*F87</f>
        <v/>
      </c>
      <c r="H87" s="17">
        <f>IF(B87="",0,E87*IFERROR(VLOOKUP(B87,'Recetas y precios'!$A$5:$T$54,20,FALSE),0))</f>
        <v/>
      </c>
      <c r="I87" s="27" t="n"/>
      <c r="J87" s="17">
        <f>G87*I87</f>
        <v/>
      </c>
      <c r="K87" s="17">
        <f>G87-H87-J87</f>
        <v/>
      </c>
      <c r="L87" s="29">
        <f>IF(G87&gt;0,K87/G87,"")</f>
        <v/>
      </c>
      <c r="M87" s="6" t="n"/>
    </row>
    <row r="88">
      <c r="A88" s="32" t="n"/>
      <c r="B88" s="6" t="n"/>
      <c r="C88">
        <f>IF(B88="","",IFERROR(VLOOKUP(B88,'Recetas y precios'!$A$5:$B$54,2,FALSE),""))</f>
        <v/>
      </c>
      <c r="D88" s="6" t="n"/>
      <c r="E88" s="6" t="n"/>
      <c r="F88" s="11" t="n"/>
      <c r="G88" s="17">
        <f>E88*F88</f>
        <v/>
      </c>
      <c r="H88" s="17">
        <f>IF(B88="",0,E88*IFERROR(VLOOKUP(B88,'Recetas y precios'!$A$5:$T$54,20,FALSE),0))</f>
        <v/>
      </c>
      <c r="I88" s="27" t="n"/>
      <c r="J88" s="17">
        <f>G88*I88</f>
        <v/>
      </c>
      <c r="K88" s="17">
        <f>G88-H88-J88</f>
        <v/>
      </c>
      <c r="L88" s="29">
        <f>IF(G88&gt;0,K88/G88,"")</f>
        <v/>
      </c>
      <c r="M88" s="6" t="n"/>
    </row>
    <row r="89">
      <c r="A89" s="32" t="n"/>
      <c r="B89" s="6" t="n"/>
      <c r="C89">
        <f>IF(B89="","",IFERROR(VLOOKUP(B89,'Recetas y precios'!$A$5:$B$54,2,FALSE),""))</f>
        <v/>
      </c>
      <c r="D89" s="6" t="n"/>
      <c r="E89" s="6" t="n"/>
      <c r="F89" s="11" t="n"/>
      <c r="G89" s="17">
        <f>E89*F89</f>
        <v/>
      </c>
      <c r="H89" s="17">
        <f>IF(B89="",0,E89*IFERROR(VLOOKUP(B89,'Recetas y precios'!$A$5:$T$54,20,FALSE),0))</f>
        <v/>
      </c>
      <c r="I89" s="27" t="n"/>
      <c r="J89" s="17">
        <f>G89*I89</f>
        <v/>
      </c>
      <c r="K89" s="17">
        <f>G89-H89-J89</f>
        <v/>
      </c>
      <c r="L89" s="29">
        <f>IF(G89&gt;0,K89/G89,"")</f>
        <v/>
      </c>
      <c r="M89" s="6" t="n"/>
    </row>
    <row r="90">
      <c r="A90" s="32" t="n"/>
      <c r="B90" s="6" t="n"/>
      <c r="C90">
        <f>IF(B90="","",IFERROR(VLOOKUP(B90,'Recetas y precios'!$A$5:$B$54,2,FALSE),""))</f>
        <v/>
      </c>
      <c r="D90" s="6" t="n"/>
      <c r="E90" s="6" t="n"/>
      <c r="F90" s="11" t="n"/>
      <c r="G90" s="17">
        <f>E90*F90</f>
        <v/>
      </c>
      <c r="H90" s="17">
        <f>IF(B90="",0,E90*IFERROR(VLOOKUP(B90,'Recetas y precios'!$A$5:$T$54,20,FALSE),0))</f>
        <v/>
      </c>
      <c r="I90" s="27" t="n"/>
      <c r="J90" s="17">
        <f>G90*I90</f>
        <v/>
      </c>
      <c r="K90" s="17">
        <f>G90-H90-J90</f>
        <v/>
      </c>
      <c r="L90" s="29">
        <f>IF(G90&gt;0,K90/G90,"")</f>
        <v/>
      </c>
      <c r="M90" s="6" t="n"/>
    </row>
    <row r="91">
      <c r="A91" s="32" t="n"/>
      <c r="B91" s="6" t="n"/>
      <c r="C91">
        <f>IF(B91="","",IFERROR(VLOOKUP(B91,'Recetas y precios'!$A$5:$B$54,2,FALSE),""))</f>
        <v/>
      </c>
      <c r="D91" s="6" t="n"/>
      <c r="E91" s="6" t="n"/>
      <c r="F91" s="11" t="n"/>
      <c r="G91" s="17">
        <f>E91*F91</f>
        <v/>
      </c>
      <c r="H91" s="17">
        <f>IF(B91="",0,E91*IFERROR(VLOOKUP(B91,'Recetas y precios'!$A$5:$T$54,20,FALSE),0))</f>
        <v/>
      </c>
      <c r="I91" s="27" t="n"/>
      <c r="J91" s="17">
        <f>G91*I91</f>
        <v/>
      </c>
      <c r="K91" s="17">
        <f>G91-H91-J91</f>
        <v/>
      </c>
      <c r="L91" s="29">
        <f>IF(G91&gt;0,K91/G91,"")</f>
        <v/>
      </c>
      <c r="M91" s="6" t="n"/>
    </row>
    <row r="92">
      <c r="A92" s="32" t="n"/>
      <c r="B92" s="6" t="n"/>
      <c r="C92">
        <f>IF(B92="","",IFERROR(VLOOKUP(B92,'Recetas y precios'!$A$5:$B$54,2,FALSE),""))</f>
        <v/>
      </c>
      <c r="D92" s="6" t="n"/>
      <c r="E92" s="6" t="n"/>
      <c r="F92" s="11" t="n"/>
      <c r="G92" s="17">
        <f>E92*F92</f>
        <v/>
      </c>
      <c r="H92" s="17">
        <f>IF(B92="",0,E92*IFERROR(VLOOKUP(B92,'Recetas y precios'!$A$5:$T$54,20,FALSE),0))</f>
        <v/>
      </c>
      <c r="I92" s="27" t="n"/>
      <c r="J92" s="17">
        <f>G92*I92</f>
        <v/>
      </c>
      <c r="K92" s="17">
        <f>G92-H92-J92</f>
        <v/>
      </c>
      <c r="L92" s="29">
        <f>IF(G92&gt;0,K92/G92,"")</f>
        <v/>
      </c>
      <c r="M92" s="6" t="n"/>
    </row>
    <row r="93">
      <c r="A93" s="32" t="n"/>
      <c r="B93" s="6" t="n"/>
      <c r="C93">
        <f>IF(B93="","",IFERROR(VLOOKUP(B93,'Recetas y precios'!$A$5:$B$54,2,FALSE),""))</f>
        <v/>
      </c>
      <c r="D93" s="6" t="n"/>
      <c r="E93" s="6" t="n"/>
      <c r="F93" s="11" t="n"/>
      <c r="G93" s="17">
        <f>E93*F93</f>
        <v/>
      </c>
      <c r="H93" s="17">
        <f>IF(B93="",0,E93*IFERROR(VLOOKUP(B93,'Recetas y precios'!$A$5:$T$54,20,FALSE),0))</f>
        <v/>
      </c>
      <c r="I93" s="27" t="n"/>
      <c r="J93" s="17">
        <f>G93*I93</f>
        <v/>
      </c>
      <c r="K93" s="17">
        <f>G93-H93-J93</f>
        <v/>
      </c>
      <c r="L93" s="29">
        <f>IF(G93&gt;0,K93/G93,"")</f>
        <v/>
      </c>
      <c r="M93" s="6" t="n"/>
    </row>
    <row r="94">
      <c r="A94" s="32" t="n"/>
      <c r="B94" s="6" t="n"/>
      <c r="C94">
        <f>IF(B94="","",IFERROR(VLOOKUP(B94,'Recetas y precios'!$A$5:$B$54,2,FALSE),""))</f>
        <v/>
      </c>
      <c r="D94" s="6" t="n"/>
      <c r="E94" s="6" t="n"/>
      <c r="F94" s="11" t="n"/>
      <c r="G94" s="17">
        <f>E94*F94</f>
        <v/>
      </c>
      <c r="H94" s="17">
        <f>IF(B94="",0,E94*IFERROR(VLOOKUP(B94,'Recetas y precios'!$A$5:$T$54,20,FALSE),0))</f>
        <v/>
      </c>
      <c r="I94" s="27" t="n"/>
      <c r="J94" s="17">
        <f>G94*I94</f>
        <v/>
      </c>
      <c r="K94" s="17">
        <f>G94-H94-J94</f>
        <v/>
      </c>
      <c r="L94" s="29">
        <f>IF(G94&gt;0,K94/G94,"")</f>
        <v/>
      </c>
      <c r="M94" s="6" t="n"/>
    </row>
    <row r="95">
      <c r="A95" s="32" t="n"/>
      <c r="B95" s="6" t="n"/>
      <c r="C95">
        <f>IF(B95="","",IFERROR(VLOOKUP(B95,'Recetas y precios'!$A$5:$B$54,2,FALSE),""))</f>
        <v/>
      </c>
      <c r="D95" s="6" t="n"/>
      <c r="E95" s="6" t="n"/>
      <c r="F95" s="11" t="n"/>
      <c r="G95" s="17">
        <f>E95*F95</f>
        <v/>
      </c>
      <c r="H95" s="17">
        <f>IF(B95="",0,E95*IFERROR(VLOOKUP(B95,'Recetas y precios'!$A$5:$T$54,20,FALSE),0))</f>
        <v/>
      </c>
      <c r="I95" s="27" t="n"/>
      <c r="J95" s="17">
        <f>G95*I95</f>
        <v/>
      </c>
      <c r="K95" s="17">
        <f>G95-H95-J95</f>
        <v/>
      </c>
      <c r="L95" s="29">
        <f>IF(G95&gt;0,K95/G95,"")</f>
        <v/>
      </c>
      <c r="M95" s="6" t="n"/>
    </row>
    <row r="96">
      <c r="A96" s="32" t="n"/>
      <c r="B96" s="6" t="n"/>
      <c r="C96">
        <f>IF(B96="","",IFERROR(VLOOKUP(B96,'Recetas y precios'!$A$5:$B$54,2,FALSE),""))</f>
        <v/>
      </c>
      <c r="D96" s="6" t="n"/>
      <c r="E96" s="6" t="n"/>
      <c r="F96" s="11" t="n"/>
      <c r="G96" s="17">
        <f>E96*F96</f>
        <v/>
      </c>
      <c r="H96" s="17">
        <f>IF(B96="",0,E96*IFERROR(VLOOKUP(B96,'Recetas y precios'!$A$5:$T$54,20,FALSE),0))</f>
        <v/>
      </c>
      <c r="I96" s="27" t="n"/>
      <c r="J96" s="17">
        <f>G96*I96</f>
        <v/>
      </c>
      <c r="K96" s="17">
        <f>G96-H96-J96</f>
        <v/>
      </c>
      <c r="L96" s="29">
        <f>IF(G96&gt;0,K96/G96,"")</f>
        <v/>
      </c>
      <c r="M96" s="6" t="n"/>
    </row>
    <row r="97">
      <c r="A97" s="32" t="n"/>
      <c r="B97" s="6" t="n"/>
      <c r="C97">
        <f>IF(B97="","",IFERROR(VLOOKUP(B97,'Recetas y precios'!$A$5:$B$54,2,FALSE),""))</f>
        <v/>
      </c>
      <c r="D97" s="6" t="n"/>
      <c r="E97" s="6" t="n"/>
      <c r="F97" s="11" t="n"/>
      <c r="G97" s="17">
        <f>E97*F97</f>
        <v/>
      </c>
      <c r="H97" s="17">
        <f>IF(B97="",0,E97*IFERROR(VLOOKUP(B97,'Recetas y precios'!$A$5:$T$54,20,FALSE),0))</f>
        <v/>
      </c>
      <c r="I97" s="27" t="n"/>
      <c r="J97" s="17">
        <f>G97*I97</f>
        <v/>
      </c>
      <c r="K97" s="17">
        <f>G97-H97-J97</f>
        <v/>
      </c>
      <c r="L97" s="29">
        <f>IF(G97&gt;0,K97/G97,"")</f>
        <v/>
      </c>
      <c r="M97" s="6" t="n"/>
    </row>
    <row r="98">
      <c r="A98" s="32" t="n"/>
      <c r="B98" s="6" t="n"/>
      <c r="C98">
        <f>IF(B98="","",IFERROR(VLOOKUP(B98,'Recetas y precios'!$A$5:$B$54,2,FALSE),""))</f>
        <v/>
      </c>
      <c r="D98" s="6" t="n"/>
      <c r="E98" s="6" t="n"/>
      <c r="F98" s="11" t="n"/>
      <c r="G98" s="17">
        <f>E98*F98</f>
        <v/>
      </c>
      <c r="H98" s="17">
        <f>IF(B98="",0,E98*IFERROR(VLOOKUP(B98,'Recetas y precios'!$A$5:$T$54,20,FALSE),0))</f>
        <v/>
      </c>
      <c r="I98" s="27" t="n"/>
      <c r="J98" s="17">
        <f>G98*I98</f>
        <v/>
      </c>
      <c r="K98" s="17">
        <f>G98-H98-J98</f>
        <v/>
      </c>
      <c r="L98" s="29">
        <f>IF(G98&gt;0,K98/G98,"")</f>
        <v/>
      </c>
      <c r="M98" s="6" t="n"/>
    </row>
    <row r="99">
      <c r="A99" s="32" t="n"/>
      <c r="B99" s="6" t="n"/>
      <c r="C99">
        <f>IF(B99="","",IFERROR(VLOOKUP(B99,'Recetas y precios'!$A$5:$B$54,2,FALSE),""))</f>
        <v/>
      </c>
      <c r="D99" s="6" t="n"/>
      <c r="E99" s="6" t="n"/>
      <c r="F99" s="11" t="n"/>
      <c r="G99" s="17">
        <f>E99*F99</f>
        <v/>
      </c>
      <c r="H99" s="17">
        <f>IF(B99="",0,E99*IFERROR(VLOOKUP(B99,'Recetas y precios'!$A$5:$T$54,20,FALSE),0))</f>
        <v/>
      </c>
      <c r="I99" s="27" t="n"/>
      <c r="J99" s="17">
        <f>G99*I99</f>
        <v/>
      </c>
      <c r="K99" s="17">
        <f>G99-H99-J99</f>
        <v/>
      </c>
      <c r="L99" s="29">
        <f>IF(G99&gt;0,K99/G99,"")</f>
        <v/>
      </c>
      <c r="M99" s="6" t="n"/>
    </row>
    <row r="100">
      <c r="A100" s="32" t="n"/>
      <c r="B100" s="6" t="n"/>
      <c r="C100">
        <f>IF(B100="","",IFERROR(VLOOKUP(B100,'Recetas y precios'!$A$5:$B$54,2,FALSE),""))</f>
        <v/>
      </c>
      <c r="D100" s="6" t="n"/>
      <c r="E100" s="6" t="n"/>
      <c r="F100" s="11" t="n"/>
      <c r="G100" s="17">
        <f>E100*F100</f>
        <v/>
      </c>
      <c r="H100" s="17">
        <f>IF(B100="",0,E100*IFERROR(VLOOKUP(B100,'Recetas y precios'!$A$5:$T$54,20,FALSE),0))</f>
        <v/>
      </c>
      <c r="I100" s="27" t="n"/>
      <c r="J100" s="17">
        <f>G100*I100</f>
        <v/>
      </c>
      <c r="K100" s="17">
        <f>G100-H100-J100</f>
        <v/>
      </c>
      <c r="L100" s="29">
        <f>IF(G100&gt;0,K100/G100,"")</f>
        <v/>
      </c>
      <c r="M100" s="6" t="n"/>
    </row>
    <row r="101">
      <c r="A101" s="32" t="n"/>
      <c r="B101" s="6" t="n"/>
      <c r="C101">
        <f>IF(B101="","",IFERROR(VLOOKUP(B101,'Recetas y precios'!$A$5:$B$54,2,FALSE),""))</f>
        <v/>
      </c>
      <c r="D101" s="6" t="n"/>
      <c r="E101" s="6" t="n"/>
      <c r="F101" s="11" t="n"/>
      <c r="G101" s="17">
        <f>E101*F101</f>
        <v/>
      </c>
      <c r="H101" s="17">
        <f>IF(B101="",0,E101*IFERROR(VLOOKUP(B101,'Recetas y precios'!$A$5:$T$54,20,FALSE),0))</f>
        <v/>
      </c>
      <c r="I101" s="27" t="n"/>
      <c r="J101" s="17">
        <f>G101*I101</f>
        <v/>
      </c>
      <c r="K101" s="17">
        <f>G101-H101-J101</f>
        <v/>
      </c>
      <c r="L101" s="29">
        <f>IF(G101&gt;0,K101/G101,"")</f>
        <v/>
      </c>
      <c r="M101" s="6" t="n"/>
    </row>
    <row r="102">
      <c r="A102" s="32" t="n"/>
      <c r="B102" s="6" t="n"/>
      <c r="C102">
        <f>IF(B102="","",IFERROR(VLOOKUP(B102,'Recetas y precios'!$A$5:$B$54,2,FALSE),""))</f>
        <v/>
      </c>
      <c r="D102" s="6" t="n"/>
      <c r="E102" s="6" t="n"/>
      <c r="F102" s="11" t="n"/>
      <c r="G102" s="17">
        <f>E102*F102</f>
        <v/>
      </c>
      <c r="H102" s="17">
        <f>IF(B102="",0,E102*IFERROR(VLOOKUP(B102,'Recetas y precios'!$A$5:$T$54,20,FALSE),0))</f>
        <v/>
      </c>
      <c r="I102" s="27" t="n"/>
      <c r="J102" s="17">
        <f>G102*I102</f>
        <v/>
      </c>
      <c r="K102" s="17">
        <f>G102-H102-J102</f>
        <v/>
      </c>
      <c r="L102" s="29">
        <f>IF(G102&gt;0,K102/G102,"")</f>
        <v/>
      </c>
      <c r="M102" s="6" t="n"/>
    </row>
    <row r="103">
      <c r="A103" s="32" t="n"/>
      <c r="B103" s="6" t="n"/>
      <c r="C103">
        <f>IF(B103="","",IFERROR(VLOOKUP(B103,'Recetas y precios'!$A$5:$B$54,2,FALSE),""))</f>
        <v/>
      </c>
      <c r="D103" s="6" t="n"/>
      <c r="E103" s="6" t="n"/>
      <c r="F103" s="11" t="n"/>
      <c r="G103" s="17">
        <f>E103*F103</f>
        <v/>
      </c>
      <c r="H103" s="17">
        <f>IF(B103="",0,E103*IFERROR(VLOOKUP(B103,'Recetas y precios'!$A$5:$T$54,20,FALSE),0))</f>
        <v/>
      </c>
      <c r="I103" s="27" t="n"/>
      <c r="J103" s="17">
        <f>G103*I103</f>
        <v/>
      </c>
      <c r="K103" s="17">
        <f>G103-H103-J103</f>
        <v/>
      </c>
      <c r="L103" s="29">
        <f>IF(G103&gt;0,K103/G103,"")</f>
        <v/>
      </c>
      <c r="M103" s="6" t="n"/>
    </row>
    <row r="104">
      <c r="A104" s="32" t="n"/>
      <c r="B104" s="6" t="n"/>
      <c r="C104">
        <f>IF(B104="","",IFERROR(VLOOKUP(B104,'Recetas y precios'!$A$5:$B$54,2,FALSE),""))</f>
        <v/>
      </c>
      <c r="D104" s="6" t="n"/>
      <c r="E104" s="6" t="n"/>
      <c r="F104" s="11" t="n"/>
      <c r="G104" s="17">
        <f>E104*F104</f>
        <v/>
      </c>
      <c r="H104" s="17">
        <f>IF(B104="",0,E104*IFERROR(VLOOKUP(B104,'Recetas y precios'!$A$5:$T$54,20,FALSE),0))</f>
        <v/>
      </c>
      <c r="I104" s="27" t="n"/>
      <c r="J104" s="17">
        <f>G104*I104</f>
        <v/>
      </c>
      <c r="K104" s="17">
        <f>G104-H104-J104</f>
        <v/>
      </c>
      <c r="L104" s="29">
        <f>IF(G104&gt;0,K104/G104,"")</f>
        <v/>
      </c>
      <c r="M104" s="6" t="n"/>
    </row>
    <row r="105">
      <c r="A105" s="32" t="n"/>
      <c r="B105" s="6" t="n"/>
      <c r="C105">
        <f>IF(B105="","",IFERROR(VLOOKUP(B105,'Recetas y precios'!$A$5:$B$54,2,FALSE),""))</f>
        <v/>
      </c>
      <c r="D105" s="6" t="n"/>
      <c r="E105" s="6" t="n"/>
      <c r="F105" s="11" t="n"/>
      <c r="G105" s="17">
        <f>E105*F105</f>
        <v/>
      </c>
      <c r="H105" s="17">
        <f>IF(B105="",0,E105*IFERROR(VLOOKUP(B105,'Recetas y precios'!$A$5:$T$54,20,FALSE),0))</f>
        <v/>
      </c>
      <c r="I105" s="27" t="n"/>
      <c r="J105" s="17">
        <f>G105*I105</f>
        <v/>
      </c>
      <c r="K105" s="17">
        <f>G105-H105-J105</f>
        <v/>
      </c>
      <c r="L105" s="29">
        <f>IF(G105&gt;0,K105/G105,"")</f>
        <v/>
      </c>
      <c r="M105" s="6" t="n"/>
    </row>
    <row r="106">
      <c r="A106" s="32" t="n"/>
      <c r="B106" s="6" t="n"/>
      <c r="C106">
        <f>IF(B106="","",IFERROR(VLOOKUP(B106,'Recetas y precios'!$A$5:$B$54,2,FALSE),""))</f>
        <v/>
      </c>
      <c r="D106" s="6" t="n"/>
      <c r="E106" s="6" t="n"/>
      <c r="F106" s="11" t="n"/>
      <c r="G106" s="17">
        <f>E106*F106</f>
        <v/>
      </c>
      <c r="H106" s="17">
        <f>IF(B106="",0,E106*IFERROR(VLOOKUP(B106,'Recetas y precios'!$A$5:$T$54,20,FALSE),0))</f>
        <v/>
      </c>
      <c r="I106" s="27" t="n"/>
      <c r="J106" s="17">
        <f>G106*I106</f>
        <v/>
      </c>
      <c r="K106" s="17">
        <f>G106-H106-J106</f>
        <v/>
      </c>
      <c r="L106" s="29">
        <f>IF(G106&gt;0,K106/G106,"")</f>
        <v/>
      </c>
      <c r="M106" s="6" t="n"/>
    </row>
    <row r="107">
      <c r="A107" s="32" t="n"/>
      <c r="B107" s="6" t="n"/>
      <c r="C107">
        <f>IF(B107="","",IFERROR(VLOOKUP(B107,'Recetas y precios'!$A$5:$B$54,2,FALSE),""))</f>
        <v/>
      </c>
      <c r="D107" s="6" t="n"/>
      <c r="E107" s="6" t="n"/>
      <c r="F107" s="11" t="n"/>
      <c r="G107" s="17">
        <f>E107*F107</f>
        <v/>
      </c>
      <c r="H107" s="17">
        <f>IF(B107="",0,E107*IFERROR(VLOOKUP(B107,'Recetas y precios'!$A$5:$T$54,20,FALSE),0))</f>
        <v/>
      </c>
      <c r="I107" s="27" t="n"/>
      <c r="J107" s="17">
        <f>G107*I107</f>
        <v/>
      </c>
      <c r="K107" s="17">
        <f>G107-H107-J107</f>
        <v/>
      </c>
      <c r="L107" s="29">
        <f>IF(G107&gt;0,K107/G107,"")</f>
        <v/>
      </c>
      <c r="M107" s="6" t="n"/>
    </row>
    <row r="108">
      <c r="A108" s="32" t="n"/>
      <c r="B108" s="6" t="n"/>
      <c r="C108">
        <f>IF(B108="","",IFERROR(VLOOKUP(B108,'Recetas y precios'!$A$5:$B$54,2,FALSE),""))</f>
        <v/>
      </c>
      <c r="D108" s="6" t="n"/>
      <c r="E108" s="6" t="n"/>
      <c r="F108" s="11" t="n"/>
      <c r="G108" s="17">
        <f>E108*F108</f>
        <v/>
      </c>
      <c r="H108" s="17">
        <f>IF(B108="",0,E108*IFERROR(VLOOKUP(B108,'Recetas y precios'!$A$5:$T$54,20,FALSE),0))</f>
        <v/>
      </c>
      <c r="I108" s="27" t="n"/>
      <c r="J108" s="17">
        <f>G108*I108</f>
        <v/>
      </c>
      <c r="K108" s="17">
        <f>G108-H108-J108</f>
        <v/>
      </c>
      <c r="L108" s="29">
        <f>IF(G108&gt;0,K108/G108,"")</f>
        <v/>
      </c>
      <c r="M108" s="6" t="n"/>
    </row>
    <row r="109">
      <c r="A109" s="32" t="n"/>
      <c r="B109" s="6" t="n"/>
      <c r="C109">
        <f>IF(B109="","",IFERROR(VLOOKUP(B109,'Recetas y precios'!$A$5:$B$54,2,FALSE),""))</f>
        <v/>
      </c>
      <c r="D109" s="6" t="n"/>
      <c r="E109" s="6" t="n"/>
      <c r="F109" s="11" t="n"/>
      <c r="G109" s="17">
        <f>E109*F109</f>
        <v/>
      </c>
      <c r="H109" s="17">
        <f>IF(B109="",0,E109*IFERROR(VLOOKUP(B109,'Recetas y precios'!$A$5:$T$54,20,FALSE),0))</f>
        <v/>
      </c>
      <c r="I109" s="27" t="n"/>
      <c r="J109" s="17">
        <f>G109*I109</f>
        <v/>
      </c>
      <c r="K109" s="17">
        <f>G109-H109-J109</f>
        <v/>
      </c>
      <c r="L109" s="29">
        <f>IF(G109&gt;0,K109/G109,"")</f>
        <v/>
      </c>
      <c r="M109" s="6" t="n"/>
    </row>
    <row r="110">
      <c r="A110" s="32" t="n"/>
      <c r="B110" s="6" t="n"/>
      <c r="C110">
        <f>IF(B110="","",IFERROR(VLOOKUP(B110,'Recetas y precios'!$A$5:$B$54,2,FALSE),""))</f>
        <v/>
      </c>
      <c r="D110" s="6" t="n"/>
      <c r="E110" s="6" t="n"/>
      <c r="F110" s="11" t="n"/>
      <c r="G110" s="17">
        <f>E110*F110</f>
        <v/>
      </c>
      <c r="H110" s="17">
        <f>IF(B110="",0,E110*IFERROR(VLOOKUP(B110,'Recetas y precios'!$A$5:$T$54,20,FALSE),0))</f>
        <v/>
      </c>
      <c r="I110" s="27" t="n"/>
      <c r="J110" s="17">
        <f>G110*I110</f>
        <v/>
      </c>
      <c r="K110" s="17">
        <f>G110-H110-J110</f>
        <v/>
      </c>
      <c r="L110" s="29">
        <f>IF(G110&gt;0,K110/G110,"")</f>
        <v/>
      </c>
      <c r="M110" s="6" t="n"/>
    </row>
    <row r="111">
      <c r="A111" s="32" t="n"/>
      <c r="B111" s="6" t="n"/>
      <c r="C111">
        <f>IF(B111="","",IFERROR(VLOOKUP(B111,'Recetas y precios'!$A$5:$B$54,2,FALSE),""))</f>
        <v/>
      </c>
      <c r="D111" s="6" t="n"/>
      <c r="E111" s="6" t="n"/>
      <c r="F111" s="11" t="n"/>
      <c r="G111" s="17">
        <f>E111*F111</f>
        <v/>
      </c>
      <c r="H111" s="17">
        <f>IF(B111="",0,E111*IFERROR(VLOOKUP(B111,'Recetas y precios'!$A$5:$T$54,20,FALSE),0))</f>
        <v/>
      </c>
      <c r="I111" s="27" t="n"/>
      <c r="J111" s="17">
        <f>G111*I111</f>
        <v/>
      </c>
      <c r="K111" s="17">
        <f>G111-H111-J111</f>
        <v/>
      </c>
      <c r="L111" s="29">
        <f>IF(G111&gt;0,K111/G111,"")</f>
        <v/>
      </c>
      <c r="M111" s="6" t="n"/>
    </row>
    <row r="112">
      <c r="A112" s="32" t="n"/>
      <c r="B112" s="6" t="n"/>
      <c r="C112">
        <f>IF(B112="","",IFERROR(VLOOKUP(B112,'Recetas y precios'!$A$5:$B$54,2,FALSE),""))</f>
        <v/>
      </c>
      <c r="D112" s="6" t="n"/>
      <c r="E112" s="6" t="n"/>
      <c r="F112" s="11" t="n"/>
      <c r="G112" s="17">
        <f>E112*F112</f>
        <v/>
      </c>
      <c r="H112" s="17">
        <f>IF(B112="",0,E112*IFERROR(VLOOKUP(B112,'Recetas y precios'!$A$5:$T$54,20,FALSE),0))</f>
        <v/>
      </c>
      <c r="I112" s="27" t="n"/>
      <c r="J112" s="17">
        <f>G112*I112</f>
        <v/>
      </c>
      <c r="K112" s="17">
        <f>G112-H112-J112</f>
        <v/>
      </c>
      <c r="L112" s="29">
        <f>IF(G112&gt;0,K112/G112,"")</f>
        <v/>
      </c>
      <c r="M112" s="6" t="n"/>
    </row>
    <row r="113">
      <c r="A113" s="32" t="n"/>
      <c r="B113" s="6" t="n"/>
      <c r="C113">
        <f>IF(B113="","",IFERROR(VLOOKUP(B113,'Recetas y precios'!$A$5:$B$54,2,FALSE),""))</f>
        <v/>
      </c>
      <c r="D113" s="6" t="n"/>
      <c r="E113" s="6" t="n"/>
      <c r="F113" s="11" t="n"/>
      <c r="G113" s="17">
        <f>E113*F113</f>
        <v/>
      </c>
      <c r="H113" s="17">
        <f>IF(B113="",0,E113*IFERROR(VLOOKUP(B113,'Recetas y precios'!$A$5:$T$54,20,FALSE),0))</f>
        <v/>
      </c>
      <c r="I113" s="27" t="n"/>
      <c r="J113" s="17">
        <f>G113*I113</f>
        <v/>
      </c>
      <c r="K113" s="17">
        <f>G113-H113-J113</f>
        <v/>
      </c>
      <c r="L113" s="29">
        <f>IF(G113&gt;0,K113/G113,"")</f>
        <v/>
      </c>
      <c r="M113" s="6" t="n"/>
    </row>
    <row r="114">
      <c r="A114" s="32" t="n"/>
      <c r="B114" s="6" t="n"/>
      <c r="C114">
        <f>IF(B114="","",IFERROR(VLOOKUP(B114,'Recetas y precios'!$A$5:$B$54,2,FALSE),""))</f>
        <v/>
      </c>
      <c r="D114" s="6" t="n"/>
      <c r="E114" s="6" t="n"/>
      <c r="F114" s="11" t="n"/>
      <c r="G114" s="17">
        <f>E114*F114</f>
        <v/>
      </c>
      <c r="H114" s="17">
        <f>IF(B114="",0,E114*IFERROR(VLOOKUP(B114,'Recetas y precios'!$A$5:$T$54,20,FALSE),0))</f>
        <v/>
      </c>
      <c r="I114" s="27" t="n"/>
      <c r="J114" s="17">
        <f>G114*I114</f>
        <v/>
      </c>
      <c r="K114" s="17">
        <f>G114-H114-J114</f>
        <v/>
      </c>
      <c r="L114" s="29">
        <f>IF(G114&gt;0,K114/G114,"")</f>
        <v/>
      </c>
      <c r="M114" s="6" t="n"/>
    </row>
    <row r="115">
      <c r="A115" s="32" t="n"/>
      <c r="B115" s="6" t="n"/>
      <c r="C115">
        <f>IF(B115="","",IFERROR(VLOOKUP(B115,'Recetas y precios'!$A$5:$B$54,2,FALSE),""))</f>
        <v/>
      </c>
      <c r="D115" s="6" t="n"/>
      <c r="E115" s="6" t="n"/>
      <c r="F115" s="11" t="n"/>
      <c r="G115" s="17">
        <f>E115*F115</f>
        <v/>
      </c>
      <c r="H115" s="17">
        <f>IF(B115="",0,E115*IFERROR(VLOOKUP(B115,'Recetas y precios'!$A$5:$T$54,20,FALSE),0))</f>
        <v/>
      </c>
      <c r="I115" s="27" t="n"/>
      <c r="J115" s="17">
        <f>G115*I115</f>
        <v/>
      </c>
      <c r="K115" s="17">
        <f>G115-H115-J115</f>
        <v/>
      </c>
      <c r="L115" s="29">
        <f>IF(G115&gt;0,K115/G115,"")</f>
        <v/>
      </c>
      <c r="M115" s="6" t="n"/>
    </row>
    <row r="116">
      <c r="A116" s="32" t="n"/>
      <c r="B116" s="6" t="n"/>
      <c r="C116">
        <f>IF(B116="","",IFERROR(VLOOKUP(B116,'Recetas y precios'!$A$5:$B$54,2,FALSE),""))</f>
        <v/>
      </c>
      <c r="D116" s="6" t="n"/>
      <c r="E116" s="6" t="n"/>
      <c r="F116" s="11" t="n"/>
      <c r="G116" s="17">
        <f>E116*F116</f>
        <v/>
      </c>
      <c r="H116" s="17">
        <f>IF(B116="",0,E116*IFERROR(VLOOKUP(B116,'Recetas y precios'!$A$5:$T$54,20,FALSE),0))</f>
        <v/>
      </c>
      <c r="I116" s="27" t="n"/>
      <c r="J116" s="17">
        <f>G116*I116</f>
        <v/>
      </c>
      <c r="K116" s="17">
        <f>G116-H116-J116</f>
        <v/>
      </c>
      <c r="L116" s="29">
        <f>IF(G116&gt;0,K116/G116,"")</f>
        <v/>
      </c>
      <c r="M116" s="6" t="n"/>
    </row>
    <row r="117">
      <c r="A117" s="32" t="n"/>
      <c r="B117" s="6" t="n"/>
      <c r="C117">
        <f>IF(B117="","",IFERROR(VLOOKUP(B117,'Recetas y precios'!$A$5:$B$54,2,FALSE),""))</f>
        <v/>
      </c>
      <c r="D117" s="6" t="n"/>
      <c r="E117" s="6" t="n"/>
      <c r="F117" s="11" t="n"/>
      <c r="G117" s="17">
        <f>E117*F117</f>
        <v/>
      </c>
      <c r="H117" s="17">
        <f>IF(B117="",0,E117*IFERROR(VLOOKUP(B117,'Recetas y precios'!$A$5:$T$54,20,FALSE),0))</f>
        <v/>
      </c>
      <c r="I117" s="27" t="n"/>
      <c r="J117" s="17">
        <f>G117*I117</f>
        <v/>
      </c>
      <c r="K117" s="17">
        <f>G117-H117-J117</f>
        <v/>
      </c>
      <c r="L117" s="29">
        <f>IF(G117&gt;0,K117/G117,"")</f>
        <v/>
      </c>
      <c r="M117" s="6" t="n"/>
    </row>
    <row r="118">
      <c r="A118" s="32" t="n"/>
      <c r="B118" s="6" t="n"/>
      <c r="C118">
        <f>IF(B118="","",IFERROR(VLOOKUP(B118,'Recetas y precios'!$A$5:$B$54,2,FALSE),""))</f>
        <v/>
      </c>
      <c r="D118" s="6" t="n"/>
      <c r="E118" s="6" t="n"/>
      <c r="F118" s="11" t="n"/>
      <c r="G118" s="17">
        <f>E118*F118</f>
        <v/>
      </c>
      <c r="H118" s="17">
        <f>IF(B118="",0,E118*IFERROR(VLOOKUP(B118,'Recetas y precios'!$A$5:$T$54,20,FALSE),0))</f>
        <v/>
      </c>
      <c r="I118" s="27" t="n"/>
      <c r="J118" s="17">
        <f>G118*I118</f>
        <v/>
      </c>
      <c r="K118" s="17">
        <f>G118-H118-J118</f>
        <v/>
      </c>
      <c r="L118" s="29">
        <f>IF(G118&gt;0,K118/G118,"")</f>
        <v/>
      </c>
      <c r="M118" s="6" t="n"/>
    </row>
    <row r="119">
      <c r="A119" s="32" t="n"/>
      <c r="B119" s="6" t="n"/>
      <c r="C119">
        <f>IF(B119="","",IFERROR(VLOOKUP(B119,'Recetas y precios'!$A$5:$B$54,2,FALSE),""))</f>
        <v/>
      </c>
      <c r="D119" s="6" t="n"/>
      <c r="E119" s="6" t="n"/>
      <c r="F119" s="11" t="n"/>
      <c r="G119" s="17">
        <f>E119*F119</f>
        <v/>
      </c>
      <c r="H119" s="17">
        <f>IF(B119="",0,E119*IFERROR(VLOOKUP(B119,'Recetas y precios'!$A$5:$T$54,20,FALSE),0))</f>
        <v/>
      </c>
      <c r="I119" s="27" t="n"/>
      <c r="J119" s="17">
        <f>G119*I119</f>
        <v/>
      </c>
      <c r="K119" s="17">
        <f>G119-H119-J119</f>
        <v/>
      </c>
      <c r="L119" s="29">
        <f>IF(G119&gt;0,K119/G119,"")</f>
        <v/>
      </c>
      <c r="M119" s="6" t="n"/>
    </row>
    <row r="120">
      <c r="A120" s="32" t="n"/>
      <c r="B120" s="6" t="n"/>
      <c r="C120">
        <f>IF(B120="","",IFERROR(VLOOKUP(B120,'Recetas y precios'!$A$5:$B$54,2,FALSE),""))</f>
        <v/>
      </c>
      <c r="D120" s="6" t="n"/>
      <c r="E120" s="6" t="n"/>
      <c r="F120" s="11" t="n"/>
      <c r="G120" s="17">
        <f>E120*F120</f>
        <v/>
      </c>
      <c r="H120" s="17">
        <f>IF(B120="",0,E120*IFERROR(VLOOKUP(B120,'Recetas y precios'!$A$5:$T$54,20,FALSE),0))</f>
        <v/>
      </c>
      <c r="I120" s="27" t="n"/>
      <c r="J120" s="17">
        <f>G120*I120</f>
        <v/>
      </c>
      <c r="K120" s="17">
        <f>G120-H120-J120</f>
        <v/>
      </c>
      <c r="L120" s="29">
        <f>IF(G120&gt;0,K120/G120,"")</f>
        <v/>
      </c>
      <c r="M120" s="6" t="n"/>
    </row>
    <row r="121">
      <c r="A121" s="32" t="n"/>
      <c r="B121" s="6" t="n"/>
      <c r="C121">
        <f>IF(B121="","",IFERROR(VLOOKUP(B121,'Recetas y precios'!$A$5:$B$54,2,FALSE),""))</f>
        <v/>
      </c>
      <c r="D121" s="6" t="n"/>
      <c r="E121" s="6" t="n"/>
      <c r="F121" s="11" t="n"/>
      <c r="G121" s="17">
        <f>E121*F121</f>
        <v/>
      </c>
      <c r="H121" s="17">
        <f>IF(B121="",0,E121*IFERROR(VLOOKUP(B121,'Recetas y precios'!$A$5:$T$54,20,FALSE),0))</f>
        <v/>
      </c>
      <c r="I121" s="27" t="n"/>
      <c r="J121" s="17">
        <f>G121*I121</f>
        <v/>
      </c>
      <c r="K121" s="17">
        <f>G121-H121-J121</f>
        <v/>
      </c>
      <c r="L121" s="29">
        <f>IF(G121&gt;0,K121/G121,"")</f>
        <v/>
      </c>
      <c r="M121" s="6" t="n"/>
    </row>
    <row r="122">
      <c r="A122" s="32" t="n"/>
      <c r="B122" s="6" t="n"/>
      <c r="C122">
        <f>IF(B122="","",IFERROR(VLOOKUP(B122,'Recetas y precios'!$A$5:$B$54,2,FALSE),""))</f>
        <v/>
      </c>
      <c r="D122" s="6" t="n"/>
      <c r="E122" s="6" t="n"/>
      <c r="F122" s="11" t="n"/>
      <c r="G122" s="17">
        <f>E122*F122</f>
        <v/>
      </c>
      <c r="H122" s="17">
        <f>IF(B122="",0,E122*IFERROR(VLOOKUP(B122,'Recetas y precios'!$A$5:$T$54,20,FALSE),0))</f>
        <v/>
      </c>
      <c r="I122" s="27" t="n"/>
      <c r="J122" s="17">
        <f>G122*I122</f>
        <v/>
      </c>
      <c r="K122" s="17">
        <f>G122-H122-J122</f>
        <v/>
      </c>
      <c r="L122" s="29">
        <f>IF(G122&gt;0,K122/G122,"")</f>
        <v/>
      </c>
      <c r="M122" s="6" t="n"/>
    </row>
    <row r="123">
      <c r="A123" s="32" t="n"/>
      <c r="B123" s="6" t="n"/>
      <c r="C123">
        <f>IF(B123="","",IFERROR(VLOOKUP(B123,'Recetas y precios'!$A$5:$B$54,2,FALSE),""))</f>
        <v/>
      </c>
      <c r="D123" s="6" t="n"/>
      <c r="E123" s="6" t="n"/>
      <c r="F123" s="11" t="n"/>
      <c r="G123" s="17">
        <f>E123*F123</f>
        <v/>
      </c>
      <c r="H123" s="17">
        <f>IF(B123="",0,E123*IFERROR(VLOOKUP(B123,'Recetas y precios'!$A$5:$T$54,20,FALSE),0))</f>
        <v/>
      </c>
      <c r="I123" s="27" t="n"/>
      <c r="J123" s="17">
        <f>G123*I123</f>
        <v/>
      </c>
      <c r="K123" s="17">
        <f>G123-H123-J123</f>
        <v/>
      </c>
      <c r="L123" s="29">
        <f>IF(G123&gt;0,K123/G123,"")</f>
        <v/>
      </c>
      <c r="M123" s="6" t="n"/>
    </row>
    <row r="124">
      <c r="A124" s="32" t="n"/>
      <c r="B124" s="6" t="n"/>
      <c r="C124">
        <f>IF(B124="","",IFERROR(VLOOKUP(B124,'Recetas y precios'!$A$5:$B$54,2,FALSE),""))</f>
        <v/>
      </c>
      <c r="D124" s="6" t="n"/>
      <c r="E124" s="6" t="n"/>
      <c r="F124" s="11" t="n"/>
      <c r="G124" s="17">
        <f>E124*F124</f>
        <v/>
      </c>
      <c r="H124" s="17">
        <f>IF(B124="",0,E124*IFERROR(VLOOKUP(B124,'Recetas y precios'!$A$5:$T$54,20,FALSE),0))</f>
        <v/>
      </c>
      <c r="I124" s="27" t="n"/>
      <c r="J124" s="17">
        <f>G124*I124</f>
        <v/>
      </c>
      <c r="K124" s="17">
        <f>G124-H124-J124</f>
        <v/>
      </c>
      <c r="L124" s="29">
        <f>IF(G124&gt;0,K124/G124,"")</f>
        <v/>
      </c>
      <c r="M124" s="6" t="n"/>
    </row>
    <row r="125">
      <c r="A125" s="32" t="n"/>
      <c r="B125" s="6" t="n"/>
      <c r="C125">
        <f>IF(B125="","",IFERROR(VLOOKUP(B125,'Recetas y precios'!$A$5:$B$54,2,FALSE),""))</f>
        <v/>
      </c>
      <c r="D125" s="6" t="n"/>
      <c r="E125" s="6" t="n"/>
      <c r="F125" s="11" t="n"/>
      <c r="G125" s="17">
        <f>E125*F125</f>
        <v/>
      </c>
      <c r="H125" s="17">
        <f>IF(B125="",0,E125*IFERROR(VLOOKUP(B125,'Recetas y precios'!$A$5:$T$54,20,FALSE),0))</f>
        <v/>
      </c>
      <c r="I125" s="27" t="n"/>
      <c r="J125" s="17">
        <f>G125*I125</f>
        <v/>
      </c>
      <c r="K125" s="17">
        <f>G125-H125-J125</f>
        <v/>
      </c>
      <c r="L125" s="29">
        <f>IF(G125&gt;0,K125/G125,"")</f>
        <v/>
      </c>
      <c r="M125" s="6" t="n"/>
    </row>
    <row r="126">
      <c r="A126" s="32" t="n"/>
      <c r="B126" s="6" t="n"/>
      <c r="C126">
        <f>IF(B126="","",IFERROR(VLOOKUP(B126,'Recetas y precios'!$A$5:$B$54,2,FALSE),""))</f>
        <v/>
      </c>
      <c r="D126" s="6" t="n"/>
      <c r="E126" s="6" t="n"/>
      <c r="F126" s="11" t="n"/>
      <c r="G126" s="17">
        <f>E126*F126</f>
        <v/>
      </c>
      <c r="H126" s="17">
        <f>IF(B126="",0,E126*IFERROR(VLOOKUP(B126,'Recetas y precios'!$A$5:$T$54,20,FALSE),0))</f>
        <v/>
      </c>
      <c r="I126" s="27" t="n"/>
      <c r="J126" s="17">
        <f>G126*I126</f>
        <v/>
      </c>
      <c r="K126" s="17">
        <f>G126-H126-J126</f>
        <v/>
      </c>
      <c r="L126" s="29">
        <f>IF(G126&gt;0,K126/G126,"")</f>
        <v/>
      </c>
      <c r="M126" s="6" t="n"/>
    </row>
    <row r="127">
      <c r="A127" s="32" t="n"/>
      <c r="B127" s="6" t="n"/>
      <c r="C127">
        <f>IF(B127="","",IFERROR(VLOOKUP(B127,'Recetas y precios'!$A$5:$B$54,2,FALSE),""))</f>
        <v/>
      </c>
      <c r="D127" s="6" t="n"/>
      <c r="E127" s="6" t="n"/>
      <c r="F127" s="11" t="n"/>
      <c r="G127" s="17">
        <f>E127*F127</f>
        <v/>
      </c>
      <c r="H127" s="17">
        <f>IF(B127="",0,E127*IFERROR(VLOOKUP(B127,'Recetas y precios'!$A$5:$T$54,20,FALSE),0))</f>
        <v/>
      </c>
      <c r="I127" s="27" t="n"/>
      <c r="J127" s="17">
        <f>G127*I127</f>
        <v/>
      </c>
      <c r="K127" s="17">
        <f>G127-H127-J127</f>
        <v/>
      </c>
      <c r="L127" s="29">
        <f>IF(G127&gt;0,K127/G127,"")</f>
        <v/>
      </c>
      <c r="M127" s="6" t="n"/>
    </row>
    <row r="128">
      <c r="A128" s="32" t="n"/>
      <c r="B128" s="6" t="n"/>
      <c r="C128">
        <f>IF(B128="","",IFERROR(VLOOKUP(B128,'Recetas y precios'!$A$5:$B$54,2,FALSE),""))</f>
        <v/>
      </c>
      <c r="D128" s="6" t="n"/>
      <c r="E128" s="6" t="n"/>
      <c r="F128" s="11" t="n"/>
      <c r="G128" s="17">
        <f>E128*F128</f>
        <v/>
      </c>
      <c r="H128" s="17">
        <f>IF(B128="",0,E128*IFERROR(VLOOKUP(B128,'Recetas y precios'!$A$5:$T$54,20,FALSE),0))</f>
        <v/>
      </c>
      <c r="I128" s="27" t="n"/>
      <c r="J128" s="17">
        <f>G128*I128</f>
        <v/>
      </c>
      <c r="K128" s="17">
        <f>G128-H128-J128</f>
        <v/>
      </c>
      <c r="L128" s="29">
        <f>IF(G128&gt;0,K128/G128,"")</f>
        <v/>
      </c>
      <c r="M128" s="6" t="n"/>
    </row>
    <row r="129">
      <c r="A129" s="32" t="n"/>
      <c r="B129" s="6" t="n"/>
      <c r="C129">
        <f>IF(B129="","",IFERROR(VLOOKUP(B129,'Recetas y precios'!$A$5:$B$54,2,FALSE),""))</f>
        <v/>
      </c>
      <c r="D129" s="6" t="n"/>
      <c r="E129" s="6" t="n"/>
      <c r="F129" s="11" t="n"/>
      <c r="G129" s="17">
        <f>E129*F129</f>
        <v/>
      </c>
      <c r="H129" s="17">
        <f>IF(B129="",0,E129*IFERROR(VLOOKUP(B129,'Recetas y precios'!$A$5:$T$54,20,FALSE),0))</f>
        <v/>
      </c>
      <c r="I129" s="27" t="n"/>
      <c r="J129" s="17">
        <f>G129*I129</f>
        <v/>
      </c>
      <c r="K129" s="17">
        <f>G129-H129-J129</f>
        <v/>
      </c>
      <c r="L129" s="29">
        <f>IF(G129&gt;0,K129/G129,"")</f>
        <v/>
      </c>
      <c r="M129" s="6" t="n"/>
    </row>
    <row r="130">
      <c r="A130" s="32" t="n"/>
      <c r="B130" s="6" t="n"/>
      <c r="C130">
        <f>IF(B130="","",IFERROR(VLOOKUP(B130,'Recetas y precios'!$A$5:$B$54,2,FALSE),""))</f>
        <v/>
      </c>
      <c r="D130" s="6" t="n"/>
      <c r="E130" s="6" t="n"/>
      <c r="F130" s="11" t="n"/>
      <c r="G130" s="17">
        <f>E130*F130</f>
        <v/>
      </c>
      <c r="H130" s="17">
        <f>IF(B130="",0,E130*IFERROR(VLOOKUP(B130,'Recetas y precios'!$A$5:$T$54,20,FALSE),0))</f>
        <v/>
      </c>
      <c r="I130" s="27" t="n"/>
      <c r="J130" s="17">
        <f>G130*I130</f>
        <v/>
      </c>
      <c r="K130" s="17">
        <f>G130-H130-J130</f>
        <v/>
      </c>
      <c r="L130" s="29">
        <f>IF(G130&gt;0,K130/G130,"")</f>
        <v/>
      </c>
      <c r="M130" s="6" t="n"/>
    </row>
    <row r="131">
      <c r="A131" s="32" t="n"/>
      <c r="B131" s="6" t="n"/>
      <c r="C131">
        <f>IF(B131="","",IFERROR(VLOOKUP(B131,'Recetas y precios'!$A$5:$B$54,2,FALSE),""))</f>
        <v/>
      </c>
      <c r="D131" s="6" t="n"/>
      <c r="E131" s="6" t="n"/>
      <c r="F131" s="11" t="n"/>
      <c r="G131" s="17">
        <f>E131*F131</f>
        <v/>
      </c>
      <c r="H131" s="17">
        <f>IF(B131="",0,E131*IFERROR(VLOOKUP(B131,'Recetas y precios'!$A$5:$T$54,20,FALSE),0))</f>
        <v/>
      </c>
      <c r="I131" s="27" t="n"/>
      <c r="J131" s="17">
        <f>G131*I131</f>
        <v/>
      </c>
      <c r="K131" s="17">
        <f>G131-H131-J131</f>
        <v/>
      </c>
      <c r="L131" s="29">
        <f>IF(G131&gt;0,K131/G131,"")</f>
        <v/>
      </c>
      <c r="M131" s="6" t="n"/>
    </row>
    <row r="132">
      <c r="A132" s="32" t="n"/>
      <c r="B132" s="6" t="n"/>
      <c r="C132">
        <f>IF(B132="","",IFERROR(VLOOKUP(B132,'Recetas y precios'!$A$5:$B$54,2,FALSE),""))</f>
        <v/>
      </c>
      <c r="D132" s="6" t="n"/>
      <c r="E132" s="6" t="n"/>
      <c r="F132" s="11" t="n"/>
      <c r="G132" s="17">
        <f>E132*F132</f>
        <v/>
      </c>
      <c r="H132" s="17">
        <f>IF(B132="",0,E132*IFERROR(VLOOKUP(B132,'Recetas y precios'!$A$5:$T$54,20,FALSE),0))</f>
        <v/>
      </c>
      <c r="I132" s="27" t="n"/>
      <c r="J132" s="17">
        <f>G132*I132</f>
        <v/>
      </c>
      <c r="K132" s="17">
        <f>G132-H132-J132</f>
        <v/>
      </c>
      <c r="L132" s="29">
        <f>IF(G132&gt;0,K132/G132,"")</f>
        <v/>
      </c>
      <c r="M132" s="6" t="n"/>
    </row>
    <row r="133">
      <c r="A133" s="32" t="n"/>
      <c r="B133" s="6" t="n"/>
      <c r="C133">
        <f>IF(B133="","",IFERROR(VLOOKUP(B133,'Recetas y precios'!$A$5:$B$54,2,FALSE),""))</f>
        <v/>
      </c>
      <c r="D133" s="6" t="n"/>
      <c r="E133" s="6" t="n"/>
      <c r="F133" s="11" t="n"/>
      <c r="G133" s="17">
        <f>E133*F133</f>
        <v/>
      </c>
      <c r="H133" s="17">
        <f>IF(B133="",0,E133*IFERROR(VLOOKUP(B133,'Recetas y precios'!$A$5:$T$54,20,FALSE),0))</f>
        <v/>
      </c>
      <c r="I133" s="27" t="n"/>
      <c r="J133" s="17">
        <f>G133*I133</f>
        <v/>
      </c>
      <c r="K133" s="17">
        <f>G133-H133-J133</f>
        <v/>
      </c>
      <c r="L133" s="29">
        <f>IF(G133&gt;0,K133/G133,"")</f>
        <v/>
      </c>
      <c r="M133" s="6" t="n"/>
    </row>
    <row r="134">
      <c r="A134" s="32" t="n"/>
      <c r="B134" s="6" t="n"/>
      <c r="C134">
        <f>IF(B134="","",IFERROR(VLOOKUP(B134,'Recetas y precios'!$A$5:$B$54,2,FALSE),""))</f>
        <v/>
      </c>
      <c r="D134" s="6" t="n"/>
      <c r="E134" s="6" t="n"/>
      <c r="F134" s="11" t="n"/>
      <c r="G134" s="17">
        <f>E134*F134</f>
        <v/>
      </c>
      <c r="H134" s="17">
        <f>IF(B134="",0,E134*IFERROR(VLOOKUP(B134,'Recetas y precios'!$A$5:$T$54,20,FALSE),0))</f>
        <v/>
      </c>
      <c r="I134" s="27" t="n"/>
      <c r="J134" s="17">
        <f>G134*I134</f>
        <v/>
      </c>
      <c r="K134" s="17">
        <f>G134-H134-J134</f>
        <v/>
      </c>
      <c r="L134" s="29">
        <f>IF(G134&gt;0,K134/G134,"")</f>
        <v/>
      </c>
      <c r="M134" s="6" t="n"/>
    </row>
    <row r="135">
      <c r="A135" s="32" t="n"/>
      <c r="B135" s="6" t="n"/>
      <c r="C135">
        <f>IF(B135="","",IFERROR(VLOOKUP(B135,'Recetas y precios'!$A$5:$B$54,2,FALSE),""))</f>
        <v/>
      </c>
      <c r="D135" s="6" t="n"/>
      <c r="E135" s="6" t="n"/>
      <c r="F135" s="11" t="n"/>
      <c r="G135" s="17">
        <f>E135*F135</f>
        <v/>
      </c>
      <c r="H135" s="17">
        <f>IF(B135="",0,E135*IFERROR(VLOOKUP(B135,'Recetas y precios'!$A$5:$T$54,20,FALSE),0))</f>
        <v/>
      </c>
      <c r="I135" s="27" t="n"/>
      <c r="J135" s="17">
        <f>G135*I135</f>
        <v/>
      </c>
      <c r="K135" s="17">
        <f>G135-H135-J135</f>
        <v/>
      </c>
      <c r="L135" s="29">
        <f>IF(G135&gt;0,K135/G135,"")</f>
        <v/>
      </c>
      <c r="M135" s="6" t="n"/>
    </row>
    <row r="136">
      <c r="A136" s="32" t="n"/>
      <c r="B136" s="6" t="n"/>
      <c r="C136">
        <f>IF(B136="","",IFERROR(VLOOKUP(B136,'Recetas y precios'!$A$5:$B$54,2,FALSE),""))</f>
        <v/>
      </c>
      <c r="D136" s="6" t="n"/>
      <c r="E136" s="6" t="n"/>
      <c r="F136" s="11" t="n"/>
      <c r="G136" s="17">
        <f>E136*F136</f>
        <v/>
      </c>
      <c r="H136" s="17">
        <f>IF(B136="",0,E136*IFERROR(VLOOKUP(B136,'Recetas y precios'!$A$5:$T$54,20,FALSE),0))</f>
        <v/>
      </c>
      <c r="I136" s="27" t="n"/>
      <c r="J136" s="17">
        <f>G136*I136</f>
        <v/>
      </c>
      <c r="K136" s="17">
        <f>G136-H136-J136</f>
        <v/>
      </c>
      <c r="L136" s="29">
        <f>IF(G136&gt;0,K136/G136,"")</f>
        <v/>
      </c>
      <c r="M136" s="6" t="n"/>
    </row>
    <row r="137">
      <c r="A137" s="32" t="n"/>
      <c r="B137" s="6" t="n"/>
      <c r="C137">
        <f>IF(B137="","",IFERROR(VLOOKUP(B137,'Recetas y precios'!$A$5:$B$54,2,FALSE),""))</f>
        <v/>
      </c>
      <c r="D137" s="6" t="n"/>
      <c r="E137" s="6" t="n"/>
      <c r="F137" s="11" t="n"/>
      <c r="G137" s="17">
        <f>E137*F137</f>
        <v/>
      </c>
      <c r="H137" s="17">
        <f>IF(B137="",0,E137*IFERROR(VLOOKUP(B137,'Recetas y precios'!$A$5:$T$54,20,FALSE),0))</f>
        <v/>
      </c>
      <c r="I137" s="27" t="n"/>
      <c r="J137" s="17">
        <f>G137*I137</f>
        <v/>
      </c>
      <c r="K137" s="17">
        <f>G137-H137-J137</f>
        <v/>
      </c>
      <c r="L137" s="29">
        <f>IF(G137&gt;0,K137/G137,"")</f>
        <v/>
      </c>
      <c r="M137" s="6" t="n"/>
    </row>
    <row r="138">
      <c r="A138" s="32" t="n"/>
      <c r="B138" s="6" t="n"/>
      <c r="C138">
        <f>IF(B138="","",IFERROR(VLOOKUP(B138,'Recetas y precios'!$A$5:$B$54,2,FALSE),""))</f>
        <v/>
      </c>
      <c r="D138" s="6" t="n"/>
      <c r="E138" s="6" t="n"/>
      <c r="F138" s="11" t="n"/>
      <c r="G138" s="17">
        <f>E138*F138</f>
        <v/>
      </c>
      <c r="H138" s="17">
        <f>IF(B138="",0,E138*IFERROR(VLOOKUP(B138,'Recetas y precios'!$A$5:$T$54,20,FALSE),0))</f>
        <v/>
      </c>
      <c r="I138" s="27" t="n"/>
      <c r="J138" s="17">
        <f>G138*I138</f>
        <v/>
      </c>
      <c r="K138" s="17">
        <f>G138-H138-J138</f>
        <v/>
      </c>
      <c r="L138" s="29">
        <f>IF(G138&gt;0,K138/G138,"")</f>
        <v/>
      </c>
      <c r="M138" s="6" t="n"/>
    </row>
    <row r="139">
      <c r="A139" s="32" t="n"/>
      <c r="B139" s="6" t="n"/>
      <c r="C139">
        <f>IF(B139="","",IFERROR(VLOOKUP(B139,'Recetas y precios'!$A$5:$B$54,2,FALSE),""))</f>
        <v/>
      </c>
      <c r="D139" s="6" t="n"/>
      <c r="E139" s="6" t="n"/>
      <c r="F139" s="11" t="n"/>
      <c r="G139" s="17">
        <f>E139*F139</f>
        <v/>
      </c>
      <c r="H139" s="17">
        <f>IF(B139="",0,E139*IFERROR(VLOOKUP(B139,'Recetas y precios'!$A$5:$T$54,20,FALSE),0))</f>
        <v/>
      </c>
      <c r="I139" s="27" t="n"/>
      <c r="J139" s="17">
        <f>G139*I139</f>
        <v/>
      </c>
      <c r="K139" s="17">
        <f>G139-H139-J139</f>
        <v/>
      </c>
      <c r="L139" s="29">
        <f>IF(G139&gt;0,K139/G139,"")</f>
        <v/>
      </c>
      <c r="M139" s="6" t="n"/>
    </row>
    <row r="140">
      <c r="A140" s="32" t="n"/>
      <c r="B140" s="6" t="n"/>
      <c r="C140">
        <f>IF(B140="","",IFERROR(VLOOKUP(B140,'Recetas y precios'!$A$5:$B$54,2,FALSE),""))</f>
        <v/>
      </c>
      <c r="D140" s="6" t="n"/>
      <c r="E140" s="6" t="n"/>
      <c r="F140" s="11" t="n"/>
      <c r="G140" s="17">
        <f>E140*F140</f>
        <v/>
      </c>
      <c r="H140" s="17">
        <f>IF(B140="",0,E140*IFERROR(VLOOKUP(B140,'Recetas y precios'!$A$5:$T$54,20,FALSE),0))</f>
        <v/>
      </c>
      <c r="I140" s="27" t="n"/>
      <c r="J140" s="17">
        <f>G140*I140</f>
        <v/>
      </c>
      <c r="K140" s="17">
        <f>G140-H140-J140</f>
        <v/>
      </c>
      <c r="L140" s="29">
        <f>IF(G140&gt;0,K140/G140,"")</f>
        <v/>
      </c>
      <c r="M140" s="6" t="n"/>
    </row>
    <row r="141">
      <c r="A141" s="32" t="n"/>
      <c r="B141" s="6" t="n"/>
      <c r="C141">
        <f>IF(B141="","",IFERROR(VLOOKUP(B141,'Recetas y precios'!$A$5:$B$54,2,FALSE),""))</f>
        <v/>
      </c>
      <c r="D141" s="6" t="n"/>
      <c r="E141" s="6" t="n"/>
      <c r="F141" s="11" t="n"/>
      <c r="G141" s="17">
        <f>E141*F141</f>
        <v/>
      </c>
      <c r="H141" s="17">
        <f>IF(B141="",0,E141*IFERROR(VLOOKUP(B141,'Recetas y precios'!$A$5:$T$54,20,FALSE),0))</f>
        <v/>
      </c>
      <c r="I141" s="27" t="n"/>
      <c r="J141" s="17">
        <f>G141*I141</f>
        <v/>
      </c>
      <c r="K141" s="17">
        <f>G141-H141-J141</f>
        <v/>
      </c>
      <c r="L141" s="29">
        <f>IF(G141&gt;0,K141/G141,"")</f>
        <v/>
      </c>
      <c r="M141" s="6" t="n"/>
    </row>
    <row r="142">
      <c r="A142" s="32" t="n"/>
      <c r="B142" s="6" t="n"/>
      <c r="C142">
        <f>IF(B142="","",IFERROR(VLOOKUP(B142,'Recetas y precios'!$A$5:$B$54,2,FALSE),""))</f>
        <v/>
      </c>
      <c r="D142" s="6" t="n"/>
      <c r="E142" s="6" t="n"/>
      <c r="F142" s="11" t="n"/>
      <c r="G142" s="17">
        <f>E142*F142</f>
        <v/>
      </c>
      <c r="H142" s="17">
        <f>IF(B142="",0,E142*IFERROR(VLOOKUP(B142,'Recetas y precios'!$A$5:$T$54,20,FALSE),0))</f>
        <v/>
      </c>
      <c r="I142" s="27" t="n"/>
      <c r="J142" s="17">
        <f>G142*I142</f>
        <v/>
      </c>
      <c r="K142" s="17">
        <f>G142-H142-J142</f>
        <v/>
      </c>
      <c r="L142" s="29">
        <f>IF(G142&gt;0,K142/G142,"")</f>
        <v/>
      </c>
      <c r="M142" s="6" t="n"/>
    </row>
    <row r="143">
      <c r="A143" s="32" t="n"/>
      <c r="B143" s="6" t="n"/>
      <c r="C143">
        <f>IF(B143="","",IFERROR(VLOOKUP(B143,'Recetas y precios'!$A$5:$B$54,2,FALSE),""))</f>
        <v/>
      </c>
      <c r="D143" s="6" t="n"/>
      <c r="E143" s="6" t="n"/>
      <c r="F143" s="11" t="n"/>
      <c r="G143" s="17">
        <f>E143*F143</f>
        <v/>
      </c>
      <c r="H143" s="17">
        <f>IF(B143="",0,E143*IFERROR(VLOOKUP(B143,'Recetas y precios'!$A$5:$T$54,20,FALSE),0))</f>
        <v/>
      </c>
      <c r="I143" s="27" t="n"/>
      <c r="J143" s="17">
        <f>G143*I143</f>
        <v/>
      </c>
      <c r="K143" s="17">
        <f>G143-H143-J143</f>
        <v/>
      </c>
      <c r="L143" s="29">
        <f>IF(G143&gt;0,K143/G143,"")</f>
        <v/>
      </c>
      <c r="M143" s="6" t="n"/>
    </row>
    <row r="144">
      <c r="A144" s="32" t="n"/>
      <c r="B144" s="6" t="n"/>
      <c r="C144">
        <f>IF(B144="","",IFERROR(VLOOKUP(B144,'Recetas y precios'!$A$5:$B$54,2,FALSE),""))</f>
        <v/>
      </c>
      <c r="D144" s="6" t="n"/>
      <c r="E144" s="6" t="n"/>
      <c r="F144" s="11" t="n"/>
      <c r="G144" s="17">
        <f>E144*F144</f>
        <v/>
      </c>
      <c r="H144" s="17">
        <f>IF(B144="",0,E144*IFERROR(VLOOKUP(B144,'Recetas y precios'!$A$5:$T$54,20,FALSE),0))</f>
        <v/>
      </c>
      <c r="I144" s="27" t="n"/>
      <c r="J144" s="17">
        <f>G144*I144</f>
        <v/>
      </c>
      <c r="K144" s="17">
        <f>G144-H144-J144</f>
        <v/>
      </c>
      <c r="L144" s="29">
        <f>IF(G144&gt;0,K144/G144,"")</f>
        <v/>
      </c>
      <c r="M144" s="6" t="n"/>
    </row>
    <row r="145">
      <c r="A145" s="32" t="n"/>
      <c r="B145" s="6" t="n"/>
      <c r="C145">
        <f>IF(B145="","",IFERROR(VLOOKUP(B145,'Recetas y precios'!$A$5:$B$54,2,FALSE),""))</f>
        <v/>
      </c>
      <c r="D145" s="6" t="n"/>
      <c r="E145" s="6" t="n"/>
      <c r="F145" s="11" t="n"/>
      <c r="G145" s="17">
        <f>E145*F145</f>
        <v/>
      </c>
      <c r="H145" s="17">
        <f>IF(B145="",0,E145*IFERROR(VLOOKUP(B145,'Recetas y precios'!$A$5:$T$54,20,FALSE),0))</f>
        <v/>
      </c>
      <c r="I145" s="27" t="n"/>
      <c r="J145" s="17">
        <f>G145*I145</f>
        <v/>
      </c>
      <c r="K145" s="17">
        <f>G145-H145-J145</f>
        <v/>
      </c>
      <c r="L145" s="29">
        <f>IF(G145&gt;0,K145/G145,"")</f>
        <v/>
      </c>
      <c r="M145" s="6" t="n"/>
    </row>
    <row r="146">
      <c r="A146" s="32" t="n"/>
      <c r="B146" s="6" t="n"/>
      <c r="C146">
        <f>IF(B146="","",IFERROR(VLOOKUP(B146,'Recetas y precios'!$A$5:$B$54,2,FALSE),""))</f>
        <v/>
      </c>
      <c r="D146" s="6" t="n"/>
      <c r="E146" s="6" t="n"/>
      <c r="F146" s="11" t="n"/>
      <c r="G146" s="17">
        <f>E146*F146</f>
        <v/>
      </c>
      <c r="H146" s="17">
        <f>IF(B146="",0,E146*IFERROR(VLOOKUP(B146,'Recetas y precios'!$A$5:$T$54,20,FALSE),0))</f>
        <v/>
      </c>
      <c r="I146" s="27" t="n"/>
      <c r="J146" s="17">
        <f>G146*I146</f>
        <v/>
      </c>
      <c r="K146" s="17">
        <f>G146-H146-J146</f>
        <v/>
      </c>
      <c r="L146" s="29">
        <f>IF(G146&gt;0,K146/G146,"")</f>
        <v/>
      </c>
      <c r="M146" s="6" t="n"/>
    </row>
    <row r="147">
      <c r="A147" s="32" t="n"/>
      <c r="B147" s="6" t="n"/>
      <c r="C147">
        <f>IF(B147="","",IFERROR(VLOOKUP(B147,'Recetas y precios'!$A$5:$B$54,2,FALSE),""))</f>
        <v/>
      </c>
      <c r="D147" s="6" t="n"/>
      <c r="E147" s="6" t="n"/>
      <c r="F147" s="11" t="n"/>
      <c r="G147" s="17">
        <f>E147*F147</f>
        <v/>
      </c>
      <c r="H147" s="17">
        <f>IF(B147="",0,E147*IFERROR(VLOOKUP(B147,'Recetas y precios'!$A$5:$T$54,20,FALSE),0))</f>
        <v/>
      </c>
      <c r="I147" s="27" t="n"/>
      <c r="J147" s="17">
        <f>G147*I147</f>
        <v/>
      </c>
      <c r="K147" s="17">
        <f>G147-H147-J147</f>
        <v/>
      </c>
      <c r="L147" s="29">
        <f>IF(G147&gt;0,K147/G147,"")</f>
        <v/>
      </c>
      <c r="M147" s="6" t="n"/>
    </row>
    <row r="148">
      <c r="A148" s="32" t="n"/>
      <c r="B148" s="6" t="n"/>
      <c r="C148">
        <f>IF(B148="","",IFERROR(VLOOKUP(B148,'Recetas y precios'!$A$5:$B$54,2,FALSE),""))</f>
        <v/>
      </c>
      <c r="D148" s="6" t="n"/>
      <c r="E148" s="6" t="n"/>
      <c r="F148" s="11" t="n"/>
      <c r="G148" s="17">
        <f>E148*F148</f>
        <v/>
      </c>
      <c r="H148" s="17">
        <f>IF(B148="",0,E148*IFERROR(VLOOKUP(B148,'Recetas y precios'!$A$5:$T$54,20,FALSE),0))</f>
        <v/>
      </c>
      <c r="I148" s="27" t="n"/>
      <c r="J148" s="17">
        <f>G148*I148</f>
        <v/>
      </c>
      <c r="K148" s="17">
        <f>G148-H148-J148</f>
        <v/>
      </c>
      <c r="L148" s="29">
        <f>IF(G148&gt;0,K148/G148,"")</f>
        <v/>
      </c>
      <c r="M148" s="6" t="n"/>
    </row>
    <row r="149">
      <c r="A149" s="32" t="n"/>
      <c r="B149" s="6" t="n"/>
      <c r="C149">
        <f>IF(B149="","",IFERROR(VLOOKUP(B149,'Recetas y precios'!$A$5:$B$54,2,FALSE),""))</f>
        <v/>
      </c>
      <c r="D149" s="6" t="n"/>
      <c r="E149" s="6" t="n"/>
      <c r="F149" s="11" t="n"/>
      <c r="G149" s="17">
        <f>E149*F149</f>
        <v/>
      </c>
      <c r="H149" s="17">
        <f>IF(B149="",0,E149*IFERROR(VLOOKUP(B149,'Recetas y precios'!$A$5:$T$54,20,FALSE),0))</f>
        <v/>
      </c>
      <c r="I149" s="27" t="n"/>
      <c r="J149" s="17">
        <f>G149*I149</f>
        <v/>
      </c>
      <c r="K149" s="17">
        <f>G149-H149-J149</f>
        <v/>
      </c>
      <c r="L149" s="29">
        <f>IF(G149&gt;0,K149/G149,"")</f>
        <v/>
      </c>
      <c r="M149" s="6" t="n"/>
    </row>
    <row r="150">
      <c r="A150" s="32" t="n"/>
      <c r="B150" s="6" t="n"/>
      <c r="C150">
        <f>IF(B150="","",IFERROR(VLOOKUP(B150,'Recetas y precios'!$A$5:$B$54,2,FALSE),""))</f>
        <v/>
      </c>
      <c r="D150" s="6" t="n"/>
      <c r="E150" s="6" t="n"/>
      <c r="F150" s="11" t="n"/>
      <c r="G150" s="17">
        <f>E150*F150</f>
        <v/>
      </c>
      <c r="H150" s="17">
        <f>IF(B150="",0,E150*IFERROR(VLOOKUP(B150,'Recetas y precios'!$A$5:$T$54,20,FALSE),0))</f>
        <v/>
      </c>
      <c r="I150" s="27" t="n"/>
      <c r="J150" s="17">
        <f>G150*I150</f>
        <v/>
      </c>
      <c r="K150" s="17">
        <f>G150-H150-J150</f>
        <v/>
      </c>
      <c r="L150" s="29">
        <f>IF(G150&gt;0,K150/G150,"")</f>
        <v/>
      </c>
      <c r="M150" s="6" t="n"/>
    </row>
    <row r="151">
      <c r="A151" s="32" t="n"/>
      <c r="B151" s="6" t="n"/>
      <c r="C151">
        <f>IF(B151="","",IFERROR(VLOOKUP(B151,'Recetas y precios'!$A$5:$B$54,2,FALSE),""))</f>
        <v/>
      </c>
      <c r="D151" s="6" t="n"/>
      <c r="E151" s="6" t="n"/>
      <c r="F151" s="11" t="n"/>
      <c r="G151" s="17">
        <f>E151*F151</f>
        <v/>
      </c>
      <c r="H151" s="17">
        <f>IF(B151="",0,E151*IFERROR(VLOOKUP(B151,'Recetas y precios'!$A$5:$T$54,20,FALSE),0))</f>
        <v/>
      </c>
      <c r="I151" s="27" t="n"/>
      <c r="J151" s="17">
        <f>G151*I151</f>
        <v/>
      </c>
      <c r="K151" s="17">
        <f>G151-H151-J151</f>
        <v/>
      </c>
      <c r="L151" s="29">
        <f>IF(G151&gt;0,K151/G151,"")</f>
        <v/>
      </c>
      <c r="M151" s="6" t="n"/>
    </row>
    <row r="152">
      <c r="A152" s="32" t="n"/>
      <c r="B152" s="6" t="n"/>
      <c r="C152">
        <f>IF(B152="","",IFERROR(VLOOKUP(B152,'Recetas y precios'!$A$5:$B$54,2,FALSE),""))</f>
        <v/>
      </c>
      <c r="D152" s="6" t="n"/>
      <c r="E152" s="6" t="n"/>
      <c r="F152" s="11" t="n"/>
      <c r="G152" s="17">
        <f>E152*F152</f>
        <v/>
      </c>
      <c r="H152" s="17">
        <f>IF(B152="",0,E152*IFERROR(VLOOKUP(B152,'Recetas y precios'!$A$5:$T$54,20,FALSE),0))</f>
        <v/>
      </c>
      <c r="I152" s="27" t="n"/>
      <c r="J152" s="17">
        <f>G152*I152</f>
        <v/>
      </c>
      <c r="K152" s="17">
        <f>G152-H152-J152</f>
        <v/>
      </c>
      <c r="L152" s="29">
        <f>IF(G152&gt;0,K152/G152,"")</f>
        <v/>
      </c>
      <c r="M152" s="6" t="n"/>
    </row>
    <row r="153">
      <c r="A153" s="32" t="n"/>
      <c r="B153" s="6" t="n"/>
      <c r="C153">
        <f>IF(B153="","",IFERROR(VLOOKUP(B153,'Recetas y precios'!$A$5:$B$54,2,FALSE),""))</f>
        <v/>
      </c>
      <c r="D153" s="6" t="n"/>
      <c r="E153" s="6" t="n"/>
      <c r="F153" s="11" t="n"/>
      <c r="G153" s="17">
        <f>E153*F153</f>
        <v/>
      </c>
      <c r="H153" s="17">
        <f>IF(B153="",0,E153*IFERROR(VLOOKUP(B153,'Recetas y precios'!$A$5:$T$54,20,FALSE),0))</f>
        <v/>
      </c>
      <c r="I153" s="27" t="n"/>
      <c r="J153" s="17">
        <f>G153*I153</f>
        <v/>
      </c>
      <c r="K153" s="17">
        <f>G153-H153-J153</f>
        <v/>
      </c>
      <c r="L153" s="29">
        <f>IF(G153&gt;0,K153/G153,"")</f>
        <v/>
      </c>
      <c r="M153" s="6" t="n"/>
    </row>
    <row r="154">
      <c r="A154" s="32" t="n"/>
      <c r="B154" s="6" t="n"/>
      <c r="C154">
        <f>IF(B154="","",IFERROR(VLOOKUP(B154,'Recetas y precios'!$A$5:$B$54,2,FALSE),""))</f>
        <v/>
      </c>
      <c r="D154" s="6" t="n"/>
      <c r="E154" s="6" t="n"/>
      <c r="F154" s="11" t="n"/>
      <c r="G154" s="17">
        <f>E154*F154</f>
        <v/>
      </c>
      <c r="H154" s="17">
        <f>IF(B154="",0,E154*IFERROR(VLOOKUP(B154,'Recetas y precios'!$A$5:$T$54,20,FALSE),0))</f>
        <v/>
      </c>
      <c r="I154" s="27" t="n"/>
      <c r="J154" s="17">
        <f>G154*I154</f>
        <v/>
      </c>
      <c r="K154" s="17">
        <f>G154-H154-J154</f>
        <v/>
      </c>
      <c r="L154" s="29">
        <f>IF(G154&gt;0,K154/G154,"")</f>
        <v/>
      </c>
      <c r="M154" s="6" t="n"/>
    </row>
    <row r="155">
      <c r="A155" s="32" t="n"/>
      <c r="B155" s="6" t="n"/>
      <c r="C155">
        <f>IF(B155="","",IFERROR(VLOOKUP(B155,'Recetas y precios'!$A$5:$B$54,2,FALSE),""))</f>
        <v/>
      </c>
      <c r="D155" s="6" t="n"/>
      <c r="E155" s="6" t="n"/>
      <c r="F155" s="11" t="n"/>
      <c r="G155" s="17">
        <f>E155*F155</f>
        <v/>
      </c>
      <c r="H155" s="17">
        <f>IF(B155="",0,E155*IFERROR(VLOOKUP(B155,'Recetas y precios'!$A$5:$T$54,20,FALSE),0))</f>
        <v/>
      </c>
      <c r="I155" s="27" t="n"/>
      <c r="J155" s="17">
        <f>G155*I155</f>
        <v/>
      </c>
      <c r="K155" s="17">
        <f>G155-H155-J155</f>
        <v/>
      </c>
      <c r="L155" s="29">
        <f>IF(G155&gt;0,K155/G155,"")</f>
        <v/>
      </c>
      <c r="M155" s="6" t="n"/>
    </row>
    <row r="156">
      <c r="A156" s="32" t="n"/>
      <c r="B156" s="6" t="n"/>
      <c r="C156">
        <f>IF(B156="","",IFERROR(VLOOKUP(B156,'Recetas y precios'!$A$5:$B$54,2,FALSE),""))</f>
        <v/>
      </c>
      <c r="D156" s="6" t="n"/>
      <c r="E156" s="6" t="n"/>
      <c r="F156" s="11" t="n"/>
      <c r="G156" s="17">
        <f>E156*F156</f>
        <v/>
      </c>
      <c r="H156" s="17">
        <f>IF(B156="",0,E156*IFERROR(VLOOKUP(B156,'Recetas y precios'!$A$5:$T$54,20,FALSE),0))</f>
        <v/>
      </c>
      <c r="I156" s="27" t="n"/>
      <c r="J156" s="17">
        <f>G156*I156</f>
        <v/>
      </c>
      <c r="K156" s="17">
        <f>G156-H156-J156</f>
        <v/>
      </c>
      <c r="L156" s="29">
        <f>IF(G156&gt;0,K156/G156,"")</f>
        <v/>
      </c>
      <c r="M156" s="6" t="n"/>
    </row>
    <row r="157">
      <c r="A157" s="32" t="n"/>
      <c r="B157" s="6" t="n"/>
      <c r="C157">
        <f>IF(B157="","",IFERROR(VLOOKUP(B157,'Recetas y precios'!$A$5:$B$54,2,FALSE),""))</f>
        <v/>
      </c>
      <c r="D157" s="6" t="n"/>
      <c r="E157" s="6" t="n"/>
      <c r="F157" s="11" t="n"/>
      <c r="G157" s="17">
        <f>E157*F157</f>
        <v/>
      </c>
      <c r="H157" s="17">
        <f>IF(B157="",0,E157*IFERROR(VLOOKUP(B157,'Recetas y precios'!$A$5:$T$54,20,FALSE),0))</f>
        <v/>
      </c>
      <c r="I157" s="27" t="n"/>
      <c r="J157" s="17">
        <f>G157*I157</f>
        <v/>
      </c>
      <c r="K157" s="17">
        <f>G157-H157-J157</f>
        <v/>
      </c>
      <c r="L157" s="29">
        <f>IF(G157&gt;0,K157/G157,"")</f>
        <v/>
      </c>
      <c r="M157" s="6" t="n"/>
    </row>
    <row r="158">
      <c r="A158" s="32" t="n"/>
      <c r="B158" s="6" t="n"/>
      <c r="C158">
        <f>IF(B158="","",IFERROR(VLOOKUP(B158,'Recetas y precios'!$A$5:$B$54,2,FALSE),""))</f>
        <v/>
      </c>
      <c r="D158" s="6" t="n"/>
      <c r="E158" s="6" t="n"/>
      <c r="F158" s="11" t="n"/>
      <c r="G158" s="17">
        <f>E158*F158</f>
        <v/>
      </c>
      <c r="H158" s="17">
        <f>IF(B158="",0,E158*IFERROR(VLOOKUP(B158,'Recetas y precios'!$A$5:$T$54,20,FALSE),0))</f>
        <v/>
      </c>
      <c r="I158" s="27" t="n"/>
      <c r="J158" s="17">
        <f>G158*I158</f>
        <v/>
      </c>
      <c r="K158" s="17">
        <f>G158-H158-J158</f>
        <v/>
      </c>
      <c r="L158" s="29">
        <f>IF(G158&gt;0,K158/G158,"")</f>
        <v/>
      </c>
      <c r="M158" s="6" t="n"/>
    </row>
    <row r="159">
      <c r="A159" s="32" t="n"/>
      <c r="B159" s="6" t="n"/>
      <c r="C159">
        <f>IF(B159="","",IFERROR(VLOOKUP(B159,'Recetas y precios'!$A$5:$B$54,2,FALSE),""))</f>
        <v/>
      </c>
      <c r="D159" s="6" t="n"/>
      <c r="E159" s="6" t="n"/>
      <c r="F159" s="11" t="n"/>
      <c r="G159" s="17">
        <f>E159*F159</f>
        <v/>
      </c>
      <c r="H159" s="17">
        <f>IF(B159="",0,E159*IFERROR(VLOOKUP(B159,'Recetas y precios'!$A$5:$T$54,20,FALSE),0))</f>
        <v/>
      </c>
      <c r="I159" s="27" t="n"/>
      <c r="J159" s="17">
        <f>G159*I159</f>
        <v/>
      </c>
      <c r="K159" s="17">
        <f>G159-H159-J159</f>
        <v/>
      </c>
      <c r="L159" s="29">
        <f>IF(G159&gt;0,K159/G159,"")</f>
        <v/>
      </c>
      <c r="M159" s="6" t="n"/>
    </row>
    <row r="160">
      <c r="A160" s="32" t="n"/>
      <c r="B160" s="6" t="n"/>
      <c r="C160">
        <f>IF(B160="","",IFERROR(VLOOKUP(B160,'Recetas y precios'!$A$5:$B$54,2,FALSE),""))</f>
        <v/>
      </c>
      <c r="D160" s="6" t="n"/>
      <c r="E160" s="6" t="n"/>
      <c r="F160" s="11" t="n"/>
      <c r="G160" s="17">
        <f>E160*F160</f>
        <v/>
      </c>
      <c r="H160" s="17">
        <f>IF(B160="",0,E160*IFERROR(VLOOKUP(B160,'Recetas y precios'!$A$5:$T$54,20,FALSE),0))</f>
        <v/>
      </c>
      <c r="I160" s="27" t="n"/>
      <c r="J160" s="17">
        <f>G160*I160</f>
        <v/>
      </c>
      <c r="K160" s="17">
        <f>G160-H160-J160</f>
        <v/>
      </c>
      <c r="L160" s="29">
        <f>IF(G160&gt;0,K160/G160,"")</f>
        <v/>
      </c>
      <c r="M160" s="6" t="n"/>
    </row>
    <row r="161">
      <c r="A161" s="32" t="n"/>
      <c r="B161" s="6" t="n"/>
      <c r="C161">
        <f>IF(B161="","",IFERROR(VLOOKUP(B161,'Recetas y precios'!$A$5:$B$54,2,FALSE),""))</f>
        <v/>
      </c>
      <c r="D161" s="6" t="n"/>
      <c r="E161" s="6" t="n"/>
      <c r="F161" s="11" t="n"/>
      <c r="G161" s="17">
        <f>E161*F161</f>
        <v/>
      </c>
      <c r="H161" s="17">
        <f>IF(B161="",0,E161*IFERROR(VLOOKUP(B161,'Recetas y precios'!$A$5:$T$54,20,FALSE),0))</f>
        <v/>
      </c>
      <c r="I161" s="27" t="n"/>
      <c r="J161" s="17">
        <f>G161*I161</f>
        <v/>
      </c>
      <c r="K161" s="17">
        <f>G161-H161-J161</f>
        <v/>
      </c>
      <c r="L161" s="29">
        <f>IF(G161&gt;0,K161/G161,"")</f>
        <v/>
      </c>
      <c r="M161" s="6" t="n"/>
    </row>
    <row r="162">
      <c r="A162" s="32" t="n"/>
      <c r="B162" s="6" t="n"/>
      <c r="C162">
        <f>IF(B162="","",IFERROR(VLOOKUP(B162,'Recetas y precios'!$A$5:$B$54,2,FALSE),""))</f>
        <v/>
      </c>
      <c r="D162" s="6" t="n"/>
      <c r="E162" s="6" t="n"/>
      <c r="F162" s="11" t="n"/>
      <c r="G162" s="17">
        <f>E162*F162</f>
        <v/>
      </c>
      <c r="H162" s="17">
        <f>IF(B162="",0,E162*IFERROR(VLOOKUP(B162,'Recetas y precios'!$A$5:$T$54,20,FALSE),0))</f>
        <v/>
      </c>
      <c r="I162" s="27" t="n"/>
      <c r="J162" s="17">
        <f>G162*I162</f>
        <v/>
      </c>
      <c r="K162" s="17">
        <f>G162-H162-J162</f>
        <v/>
      </c>
      <c r="L162" s="29">
        <f>IF(G162&gt;0,K162/G162,"")</f>
        <v/>
      </c>
      <c r="M162" s="6" t="n"/>
    </row>
    <row r="163">
      <c r="A163" s="32" t="n"/>
      <c r="B163" s="6" t="n"/>
      <c r="C163">
        <f>IF(B163="","",IFERROR(VLOOKUP(B163,'Recetas y precios'!$A$5:$B$54,2,FALSE),""))</f>
        <v/>
      </c>
      <c r="D163" s="6" t="n"/>
      <c r="E163" s="6" t="n"/>
      <c r="F163" s="11" t="n"/>
      <c r="G163" s="17">
        <f>E163*F163</f>
        <v/>
      </c>
      <c r="H163" s="17">
        <f>IF(B163="",0,E163*IFERROR(VLOOKUP(B163,'Recetas y precios'!$A$5:$T$54,20,FALSE),0))</f>
        <v/>
      </c>
      <c r="I163" s="27" t="n"/>
      <c r="J163" s="17">
        <f>G163*I163</f>
        <v/>
      </c>
      <c r="K163" s="17">
        <f>G163-H163-J163</f>
        <v/>
      </c>
      <c r="L163" s="29">
        <f>IF(G163&gt;0,K163/G163,"")</f>
        <v/>
      </c>
      <c r="M163" s="6" t="n"/>
    </row>
    <row r="164">
      <c r="A164" s="32" t="n"/>
      <c r="B164" s="6" t="n"/>
      <c r="C164">
        <f>IF(B164="","",IFERROR(VLOOKUP(B164,'Recetas y precios'!$A$5:$B$54,2,FALSE),""))</f>
        <v/>
      </c>
      <c r="D164" s="6" t="n"/>
      <c r="E164" s="6" t="n"/>
      <c r="F164" s="11" t="n"/>
      <c r="G164" s="17">
        <f>E164*F164</f>
        <v/>
      </c>
      <c r="H164" s="17">
        <f>IF(B164="",0,E164*IFERROR(VLOOKUP(B164,'Recetas y precios'!$A$5:$T$54,20,FALSE),0))</f>
        <v/>
      </c>
      <c r="I164" s="27" t="n"/>
      <c r="J164" s="17">
        <f>G164*I164</f>
        <v/>
      </c>
      <c r="K164" s="17">
        <f>G164-H164-J164</f>
        <v/>
      </c>
      <c r="L164" s="29">
        <f>IF(G164&gt;0,K164/G164,"")</f>
        <v/>
      </c>
      <c r="M164" s="6" t="n"/>
    </row>
    <row r="165">
      <c r="A165" s="32" t="n"/>
      <c r="B165" s="6" t="n"/>
      <c r="C165">
        <f>IF(B165="","",IFERROR(VLOOKUP(B165,'Recetas y precios'!$A$5:$B$54,2,FALSE),""))</f>
        <v/>
      </c>
      <c r="D165" s="6" t="n"/>
      <c r="E165" s="6" t="n"/>
      <c r="F165" s="11" t="n"/>
      <c r="G165" s="17">
        <f>E165*F165</f>
        <v/>
      </c>
      <c r="H165" s="17">
        <f>IF(B165="",0,E165*IFERROR(VLOOKUP(B165,'Recetas y precios'!$A$5:$T$54,20,FALSE),0))</f>
        <v/>
      </c>
      <c r="I165" s="27" t="n"/>
      <c r="J165" s="17">
        <f>G165*I165</f>
        <v/>
      </c>
      <c r="K165" s="17">
        <f>G165-H165-J165</f>
        <v/>
      </c>
      <c r="L165" s="29">
        <f>IF(G165&gt;0,K165/G165,"")</f>
        <v/>
      </c>
      <c r="M165" s="6" t="n"/>
    </row>
    <row r="166">
      <c r="A166" s="32" t="n"/>
      <c r="B166" s="6" t="n"/>
      <c r="C166">
        <f>IF(B166="","",IFERROR(VLOOKUP(B166,'Recetas y precios'!$A$5:$B$54,2,FALSE),""))</f>
        <v/>
      </c>
      <c r="D166" s="6" t="n"/>
      <c r="E166" s="6" t="n"/>
      <c r="F166" s="11" t="n"/>
      <c r="G166" s="17">
        <f>E166*F166</f>
        <v/>
      </c>
      <c r="H166" s="17">
        <f>IF(B166="",0,E166*IFERROR(VLOOKUP(B166,'Recetas y precios'!$A$5:$T$54,20,FALSE),0))</f>
        <v/>
      </c>
      <c r="I166" s="27" t="n"/>
      <c r="J166" s="17">
        <f>G166*I166</f>
        <v/>
      </c>
      <c r="K166" s="17">
        <f>G166-H166-J166</f>
        <v/>
      </c>
      <c r="L166" s="29">
        <f>IF(G166&gt;0,K166/G166,"")</f>
        <v/>
      </c>
      <c r="M166" s="6" t="n"/>
    </row>
    <row r="167">
      <c r="A167" s="32" t="n"/>
      <c r="B167" s="6" t="n"/>
      <c r="C167">
        <f>IF(B167="","",IFERROR(VLOOKUP(B167,'Recetas y precios'!$A$5:$B$54,2,FALSE),""))</f>
        <v/>
      </c>
      <c r="D167" s="6" t="n"/>
      <c r="E167" s="6" t="n"/>
      <c r="F167" s="11" t="n"/>
      <c r="G167" s="17">
        <f>E167*F167</f>
        <v/>
      </c>
      <c r="H167" s="17">
        <f>IF(B167="",0,E167*IFERROR(VLOOKUP(B167,'Recetas y precios'!$A$5:$T$54,20,FALSE),0))</f>
        <v/>
      </c>
      <c r="I167" s="27" t="n"/>
      <c r="J167" s="17">
        <f>G167*I167</f>
        <v/>
      </c>
      <c r="K167" s="17">
        <f>G167-H167-J167</f>
        <v/>
      </c>
      <c r="L167" s="29">
        <f>IF(G167&gt;0,K167/G167,"")</f>
        <v/>
      </c>
      <c r="M167" s="6" t="n"/>
    </row>
    <row r="168">
      <c r="A168" s="32" t="n"/>
      <c r="B168" s="6" t="n"/>
      <c r="C168">
        <f>IF(B168="","",IFERROR(VLOOKUP(B168,'Recetas y precios'!$A$5:$B$54,2,FALSE),""))</f>
        <v/>
      </c>
      <c r="D168" s="6" t="n"/>
      <c r="E168" s="6" t="n"/>
      <c r="F168" s="11" t="n"/>
      <c r="G168" s="17">
        <f>E168*F168</f>
        <v/>
      </c>
      <c r="H168" s="17">
        <f>IF(B168="",0,E168*IFERROR(VLOOKUP(B168,'Recetas y precios'!$A$5:$T$54,20,FALSE),0))</f>
        <v/>
      </c>
      <c r="I168" s="27" t="n"/>
      <c r="J168" s="17">
        <f>G168*I168</f>
        <v/>
      </c>
      <c r="K168" s="17">
        <f>G168-H168-J168</f>
        <v/>
      </c>
      <c r="L168" s="29">
        <f>IF(G168&gt;0,K168/G168,"")</f>
        <v/>
      </c>
      <c r="M168" s="6" t="n"/>
    </row>
    <row r="169">
      <c r="A169" s="32" t="n"/>
      <c r="B169" s="6" t="n"/>
      <c r="C169">
        <f>IF(B169="","",IFERROR(VLOOKUP(B169,'Recetas y precios'!$A$5:$B$54,2,FALSE),""))</f>
        <v/>
      </c>
      <c r="D169" s="6" t="n"/>
      <c r="E169" s="6" t="n"/>
      <c r="F169" s="11" t="n"/>
      <c r="G169" s="17">
        <f>E169*F169</f>
        <v/>
      </c>
      <c r="H169" s="17">
        <f>IF(B169="",0,E169*IFERROR(VLOOKUP(B169,'Recetas y precios'!$A$5:$T$54,20,FALSE),0))</f>
        <v/>
      </c>
      <c r="I169" s="27" t="n"/>
      <c r="J169" s="17">
        <f>G169*I169</f>
        <v/>
      </c>
      <c r="K169" s="17">
        <f>G169-H169-J169</f>
        <v/>
      </c>
      <c r="L169" s="29">
        <f>IF(G169&gt;0,K169/G169,"")</f>
        <v/>
      </c>
      <c r="M169" s="6" t="n"/>
    </row>
    <row r="170">
      <c r="A170" s="32" t="n"/>
      <c r="B170" s="6" t="n"/>
      <c r="C170">
        <f>IF(B170="","",IFERROR(VLOOKUP(B170,'Recetas y precios'!$A$5:$B$54,2,FALSE),""))</f>
        <v/>
      </c>
      <c r="D170" s="6" t="n"/>
      <c r="E170" s="6" t="n"/>
      <c r="F170" s="11" t="n"/>
      <c r="G170" s="17">
        <f>E170*F170</f>
        <v/>
      </c>
      <c r="H170" s="17">
        <f>IF(B170="",0,E170*IFERROR(VLOOKUP(B170,'Recetas y precios'!$A$5:$T$54,20,FALSE),0))</f>
        <v/>
      </c>
      <c r="I170" s="27" t="n"/>
      <c r="J170" s="17">
        <f>G170*I170</f>
        <v/>
      </c>
      <c r="K170" s="17">
        <f>G170-H170-J170</f>
        <v/>
      </c>
      <c r="L170" s="29">
        <f>IF(G170&gt;0,K170/G170,"")</f>
        <v/>
      </c>
      <c r="M170" s="6" t="n"/>
    </row>
    <row r="171">
      <c r="A171" s="32" t="n"/>
      <c r="B171" s="6" t="n"/>
      <c r="C171">
        <f>IF(B171="","",IFERROR(VLOOKUP(B171,'Recetas y precios'!$A$5:$B$54,2,FALSE),""))</f>
        <v/>
      </c>
      <c r="D171" s="6" t="n"/>
      <c r="E171" s="6" t="n"/>
      <c r="F171" s="11" t="n"/>
      <c r="G171" s="17">
        <f>E171*F171</f>
        <v/>
      </c>
      <c r="H171" s="17">
        <f>IF(B171="",0,E171*IFERROR(VLOOKUP(B171,'Recetas y precios'!$A$5:$T$54,20,FALSE),0))</f>
        <v/>
      </c>
      <c r="I171" s="27" t="n"/>
      <c r="J171" s="17">
        <f>G171*I171</f>
        <v/>
      </c>
      <c r="K171" s="17">
        <f>G171-H171-J171</f>
        <v/>
      </c>
      <c r="L171" s="29">
        <f>IF(G171&gt;0,K171/G171,"")</f>
        <v/>
      </c>
      <c r="M171" s="6" t="n"/>
    </row>
    <row r="172">
      <c r="A172" s="32" t="n"/>
      <c r="B172" s="6" t="n"/>
      <c r="C172">
        <f>IF(B172="","",IFERROR(VLOOKUP(B172,'Recetas y precios'!$A$5:$B$54,2,FALSE),""))</f>
        <v/>
      </c>
      <c r="D172" s="6" t="n"/>
      <c r="E172" s="6" t="n"/>
      <c r="F172" s="11" t="n"/>
      <c r="G172" s="17">
        <f>E172*F172</f>
        <v/>
      </c>
      <c r="H172" s="17">
        <f>IF(B172="",0,E172*IFERROR(VLOOKUP(B172,'Recetas y precios'!$A$5:$T$54,20,FALSE),0))</f>
        <v/>
      </c>
      <c r="I172" s="27" t="n"/>
      <c r="J172" s="17">
        <f>G172*I172</f>
        <v/>
      </c>
      <c r="K172" s="17">
        <f>G172-H172-J172</f>
        <v/>
      </c>
      <c r="L172" s="29">
        <f>IF(G172&gt;0,K172/G172,"")</f>
        <v/>
      </c>
      <c r="M172" s="6" t="n"/>
    </row>
    <row r="173">
      <c r="A173" s="32" t="n"/>
      <c r="B173" s="6" t="n"/>
      <c r="C173">
        <f>IF(B173="","",IFERROR(VLOOKUP(B173,'Recetas y precios'!$A$5:$B$54,2,FALSE),""))</f>
        <v/>
      </c>
      <c r="D173" s="6" t="n"/>
      <c r="E173" s="6" t="n"/>
      <c r="F173" s="11" t="n"/>
      <c r="G173" s="17">
        <f>E173*F173</f>
        <v/>
      </c>
      <c r="H173" s="17">
        <f>IF(B173="",0,E173*IFERROR(VLOOKUP(B173,'Recetas y precios'!$A$5:$T$54,20,FALSE),0))</f>
        <v/>
      </c>
      <c r="I173" s="27" t="n"/>
      <c r="J173" s="17">
        <f>G173*I173</f>
        <v/>
      </c>
      <c r="K173" s="17">
        <f>G173-H173-J173</f>
        <v/>
      </c>
      <c r="L173" s="29">
        <f>IF(G173&gt;0,K173/G173,"")</f>
        <v/>
      </c>
      <c r="M173" s="6" t="n"/>
    </row>
    <row r="174">
      <c r="A174" s="32" t="n"/>
      <c r="B174" s="6" t="n"/>
      <c r="C174">
        <f>IF(B174="","",IFERROR(VLOOKUP(B174,'Recetas y precios'!$A$5:$B$54,2,FALSE),""))</f>
        <v/>
      </c>
      <c r="D174" s="6" t="n"/>
      <c r="E174" s="6" t="n"/>
      <c r="F174" s="11" t="n"/>
      <c r="G174" s="17">
        <f>E174*F174</f>
        <v/>
      </c>
      <c r="H174" s="17">
        <f>IF(B174="",0,E174*IFERROR(VLOOKUP(B174,'Recetas y precios'!$A$5:$T$54,20,FALSE),0))</f>
        <v/>
      </c>
      <c r="I174" s="27" t="n"/>
      <c r="J174" s="17">
        <f>G174*I174</f>
        <v/>
      </c>
      <c r="K174" s="17">
        <f>G174-H174-J174</f>
        <v/>
      </c>
      <c r="L174" s="29">
        <f>IF(G174&gt;0,K174/G174,"")</f>
        <v/>
      </c>
      <c r="M174" s="6" t="n"/>
    </row>
    <row r="175">
      <c r="A175" s="32" t="n"/>
      <c r="B175" s="6" t="n"/>
      <c r="C175">
        <f>IF(B175="","",IFERROR(VLOOKUP(B175,'Recetas y precios'!$A$5:$B$54,2,FALSE),""))</f>
        <v/>
      </c>
      <c r="D175" s="6" t="n"/>
      <c r="E175" s="6" t="n"/>
      <c r="F175" s="11" t="n"/>
      <c r="G175" s="17">
        <f>E175*F175</f>
        <v/>
      </c>
      <c r="H175" s="17">
        <f>IF(B175="",0,E175*IFERROR(VLOOKUP(B175,'Recetas y precios'!$A$5:$T$54,20,FALSE),0))</f>
        <v/>
      </c>
      <c r="I175" s="27" t="n"/>
      <c r="J175" s="17">
        <f>G175*I175</f>
        <v/>
      </c>
      <c r="K175" s="17">
        <f>G175-H175-J175</f>
        <v/>
      </c>
      <c r="L175" s="29">
        <f>IF(G175&gt;0,K175/G175,"")</f>
        <v/>
      </c>
      <c r="M175" s="6" t="n"/>
    </row>
    <row r="176">
      <c r="A176" s="32" t="n"/>
      <c r="B176" s="6" t="n"/>
      <c r="C176">
        <f>IF(B176="","",IFERROR(VLOOKUP(B176,'Recetas y precios'!$A$5:$B$54,2,FALSE),""))</f>
        <v/>
      </c>
      <c r="D176" s="6" t="n"/>
      <c r="E176" s="6" t="n"/>
      <c r="F176" s="11" t="n"/>
      <c r="G176" s="17">
        <f>E176*F176</f>
        <v/>
      </c>
      <c r="H176" s="17">
        <f>IF(B176="",0,E176*IFERROR(VLOOKUP(B176,'Recetas y precios'!$A$5:$T$54,20,FALSE),0))</f>
        <v/>
      </c>
      <c r="I176" s="27" t="n"/>
      <c r="J176" s="17">
        <f>G176*I176</f>
        <v/>
      </c>
      <c r="K176" s="17">
        <f>G176-H176-J176</f>
        <v/>
      </c>
      <c r="L176" s="29">
        <f>IF(G176&gt;0,K176/G176,"")</f>
        <v/>
      </c>
      <c r="M176" s="6" t="n"/>
    </row>
    <row r="177">
      <c r="A177" s="32" t="n"/>
      <c r="B177" s="6" t="n"/>
      <c r="C177">
        <f>IF(B177="","",IFERROR(VLOOKUP(B177,'Recetas y precios'!$A$5:$B$54,2,FALSE),""))</f>
        <v/>
      </c>
      <c r="D177" s="6" t="n"/>
      <c r="E177" s="6" t="n"/>
      <c r="F177" s="11" t="n"/>
      <c r="G177" s="17">
        <f>E177*F177</f>
        <v/>
      </c>
      <c r="H177" s="17">
        <f>IF(B177="",0,E177*IFERROR(VLOOKUP(B177,'Recetas y precios'!$A$5:$T$54,20,FALSE),0))</f>
        <v/>
      </c>
      <c r="I177" s="27" t="n"/>
      <c r="J177" s="17">
        <f>G177*I177</f>
        <v/>
      </c>
      <c r="K177" s="17">
        <f>G177-H177-J177</f>
        <v/>
      </c>
      <c r="L177" s="29">
        <f>IF(G177&gt;0,K177/G177,"")</f>
        <v/>
      </c>
      <c r="M177" s="6" t="n"/>
    </row>
    <row r="178">
      <c r="A178" s="32" t="n"/>
      <c r="B178" s="6" t="n"/>
      <c r="C178">
        <f>IF(B178="","",IFERROR(VLOOKUP(B178,'Recetas y precios'!$A$5:$B$54,2,FALSE),""))</f>
        <v/>
      </c>
      <c r="D178" s="6" t="n"/>
      <c r="E178" s="6" t="n"/>
      <c r="F178" s="11" t="n"/>
      <c r="G178" s="17">
        <f>E178*F178</f>
        <v/>
      </c>
      <c r="H178" s="17">
        <f>IF(B178="",0,E178*IFERROR(VLOOKUP(B178,'Recetas y precios'!$A$5:$T$54,20,FALSE),0))</f>
        <v/>
      </c>
      <c r="I178" s="27" t="n"/>
      <c r="J178" s="17">
        <f>G178*I178</f>
        <v/>
      </c>
      <c r="K178" s="17">
        <f>G178-H178-J178</f>
        <v/>
      </c>
      <c r="L178" s="29">
        <f>IF(G178&gt;0,K178/G178,"")</f>
        <v/>
      </c>
      <c r="M178" s="6" t="n"/>
    </row>
    <row r="179">
      <c r="A179" s="32" t="n"/>
      <c r="B179" s="6" t="n"/>
      <c r="C179">
        <f>IF(B179="","",IFERROR(VLOOKUP(B179,'Recetas y precios'!$A$5:$B$54,2,FALSE),""))</f>
        <v/>
      </c>
      <c r="D179" s="6" t="n"/>
      <c r="E179" s="6" t="n"/>
      <c r="F179" s="11" t="n"/>
      <c r="G179" s="17">
        <f>E179*F179</f>
        <v/>
      </c>
      <c r="H179" s="17">
        <f>IF(B179="",0,E179*IFERROR(VLOOKUP(B179,'Recetas y precios'!$A$5:$T$54,20,FALSE),0))</f>
        <v/>
      </c>
      <c r="I179" s="27" t="n"/>
      <c r="J179" s="17">
        <f>G179*I179</f>
        <v/>
      </c>
      <c r="K179" s="17">
        <f>G179-H179-J179</f>
        <v/>
      </c>
      <c r="L179" s="29">
        <f>IF(G179&gt;0,K179/G179,"")</f>
        <v/>
      </c>
      <c r="M179" s="6" t="n"/>
    </row>
    <row r="180">
      <c r="A180" s="32" t="n"/>
      <c r="B180" s="6" t="n"/>
      <c r="C180">
        <f>IF(B180="","",IFERROR(VLOOKUP(B180,'Recetas y precios'!$A$5:$B$54,2,FALSE),""))</f>
        <v/>
      </c>
      <c r="D180" s="6" t="n"/>
      <c r="E180" s="6" t="n"/>
      <c r="F180" s="11" t="n"/>
      <c r="G180" s="17">
        <f>E180*F180</f>
        <v/>
      </c>
      <c r="H180" s="17">
        <f>IF(B180="",0,E180*IFERROR(VLOOKUP(B180,'Recetas y precios'!$A$5:$T$54,20,FALSE),0))</f>
        <v/>
      </c>
      <c r="I180" s="27" t="n"/>
      <c r="J180" s="17">
        <f>G180*I180</f>
        <v/>
      </c>
      <c r="K180" s="17">
        <f>G180-H180-J180</f>
        <v/>
      </c>
      <c r="L180" s="29">
        <f>IF(G180&gt;0,K180/G180,"")</f>
        <v/>
      </c>
      <c r="M180" s="6" t="n"/>
    </row>
    <row r="181">
      <c r="A181" s="32" t="n"/>
      <c r="B181" s="6" t="n"/>
      <c r="C181">
        <f>IF(B181="","",IFERROR(VLOOKUP(B181,'Recetas y precios'!$A$5:$B$54,2,FALSE),""))</f>
        <v/>
      </c>
      <c r="D181" s="6" t="n"/>
      <c r="E181" s="6" t="n"/>
      <c r="F181" s="11" t="n"/>
      <c r="G181" s="17">
        <f>E181*F181</f>
        <v/>
      </c>
      <c r="H181" s="17">
        <f>IF(B181="",0,E181*IFERROR(VLOOKUP(B181,'Recetas y precios'!$A$5:$T$54,20,FALSE),0))</f>
        <v/>
      </c>
      <c r="I181" s="27" t="n"/>
      <c r="J181" s="17">
        <f>G181*I181</f>
        <v/>
      </c>
      <c r="K181" s="17">
        <f>G181-H181-J181</f>
        <v/>
      </c>
      <c r="L181" s="29">
        <f>IF(G181&gt;0,K181/G181,"")</f>
        <v/>
      </c>
      <c r="M181" s="6" t="n"/>
    </row>
    <row r="182">
      <c r="A182" s="32" t="n"/>
      <c r="B182" s="6" t="n"/>
      <c r="C182">
        <f>IF(B182="","",IFERROR(VLOOKUP(B182,'Recetas y precios'!$A$5:$B$54,2,FALSE),""))</f>
        <v/>
      </c>
      <c r="D182" s="6" t="n"/>
      <c r="E182" s="6" t="n"/>
      <c r="F182" s="11" t="n"/>
      <c r="G182" s="17">
        <f>E182*F182</f>
        <v/>
      </c>
      <c r="H182" s="17">
        <f>IF(B182="",0,E182*IFERROR(VLOOKUP(B182,'Recetas y precios'!$A$5:$T$54,20,FALSE),0))</f>
        <v/>
      </c>
      <c r="I182" s="27" t="n"/>
      <c r="J182" s="17">
        <f>G182*I182</f>
        <v/>
      </c>
      <c r="K182" s="17">
        <f>G182-H182-J182</f>
        <v/>
      </c>
      <c r="L182" s="29">
        <f>IF(G182&gt;0,K182/G182,"")</f>
        <v/>
      </c>
      <c r="M182" s="6" t="n"/>
    </row>
    <row r="183">
      <c r="A183" s="32" t="n"/>
      <c r="B183" s="6" t="n"/>
      <c r="C183">
        <f>IF(B183="","",IFERROR(VLOOKUP(B183,'Recetas y precios'!$A$5:$B$54,2,FALSE),""))</f>
        <v/>
      </c>
      <c r="D183" s="6" t="n"/>
      <c r="E183" s="6" t="n"/>
      <c r="F183" s="11" t="n"/>
      <c r="G183" s="17">
        <f>E183*F183</f>
        <v/>
      </c>
      <c r="H183" s="17">
        <f>IF(B183="",0,E183*IFERROR(VLOOKUP(B183,'Recetas y precios'!$A$5:$T$54,20,FALSE),0))</f>
        <v/>
      </c>
      <c r="I183" s="27" t="n"/>
      <c r="J183" s="17">
        <f>G183*I183</f>
        <v/>
      </c>
      <c r="K183" s="17">
        <f>G183-H183-J183</f>
        <v/>
      </c>
      <c r="L183" s="29">
        <f>IF(G183&gt;0,K183/G183,"")</f>
        <v/>
      </c>
      <c r="M183" s="6" t="n"/>
    </row>
    <row r="184">
      <c r="A184" s="32" t="n"/>
      <c r="B184" s="6" t="n"/>
      <c r="C184">
        <f>IF(B184="","",IFERROR(VLOOKUP(B184,'Recetas y precios'!$A$5:$B$54,2,FALSE),""))</f>
        <v/>
      </c>
      <c r="D184" s="6" t="n"/>
      <c r="E184" s="6" t="n"/>
      <c r="F184" s="11" t="n"/>
      <c r="G184" s="17">
        <f>E184*F184</f>
        <v/>
      </c>
      <c r="H184" s="17">
        <f>IF(B184="",0,E184*IFERROR(VLOOKUP(B184,'Recetas y precios'!$A$5:$T$54,20,FALSE),0))</f>
        <v/>
      </c>
      <c r="I184" s="27" t="n"/>
      <c r="J184" s="17">
        <f>G184*I184</f>
        <v/>
      </c>
      <c r="K184" s="17">
        <f>G184-H184-J184</f>
        <v/>
      </c>
      <c r="L184" s="29">
        <f>IF(G184&gt;0,K184/G184,"")</f>
        <v/>
      </c>
      <c r="M184" s="6" t="n"/>
    </row>
    <row r="185">
      <c r="A185" s="32" t="n"/>
      <c r="B185" s="6" t="n"/>
      <c r="C185">
        <f>IF(B185="","",IFERROR(VLOOKUP(B185,'Recetas y precios'!$A$5:$B$54,2,FALSE),""))</f>
        <v/>
      </c>
      <c r="D185" s="6" t="n"/>
      <c r="E185" s="6" t="n"/>
      <c r="F185" s="11" t="n"/>
      <c r="G185" s="17">
        <f>E185*F185</f>
        <v/>
      </c>
      <c r="H185" s="17">
        <f>IF(B185="",0,E185*IFERROR(VLOOKUP(B185,'Recetas y precios'!$A$5:$T$54,20,FALSE),0))</f>
        <v/>
      </c>
      <c r="I185" s="27" t="n"/>
      <c r="J185" s="17">
        <f>G185*I185</f>
        <v/>
      </c>
      <c r="K185" s="17">
        <f>G185-H185-J185</f>
        <v/>
      </c>
      <c r="L185" s="29">
        <f>IF(G185&gt;0,K185/G185,"")</f>
        <v/>
      </c>
      <c r="M185" s="6" t="n"/>
    </row>
    <row r="186">
      <c r="A186" s="32" t="n"/>
      <c r="B186" s="6" t="n"/>
      <c r="C186">
        <f>IF(B186="","",IFERROR(VLOOKUP(B186,'Recetas y precios'!$A$5:$B$54,2,FALSE),""))</f>
        <v/>
      </c>
      <c r="D186" s="6" t="n"/>
      <c r="E186" s="6" t="n"/>
      <c r="F186" s="11" t="n"/>
      <c r="G186" s="17">
        <f>E186*F186</f>
        <v/>
      </c>
      <c r="H186" s="17">
        <f>IF(B186="",0,E186*IFERROR(VLOOKUP(B186,'Recetas y precios'!$A$5:$T$54,20,FALSE),0))</f>
        <v/>
      </c>
      <c r="I186" s="27" t="n"/>
      <c r="J186" s="17">
        <f>G186*I186</f>
        <v/>
      </c>
      <c r="K186" s="17">
        <f>G186-H186-J186</f>
        <v/>
      </c>
      <c r="L186" s="29">
        <f>IF(G186&gt;0,K186/G186,"")</f>
        <v/>
      </c>
      <c r="M186" s="6" t="n"/>
    </row>
    <row r="187">
      <c r="A187" s="32" t="n"/>
      <c r="B187" s="6" t="n"/>
      <c r="C187">
        <f>IF(B187="","",IFERROR(VLOOKUP(B187,'Recetas y precios'!$A$5:$B$54,2,FALSE),""))</f>
        <v/>
      </c>
      <c r="D187" s="6" t="n"/>
      <c r="E187" s="6" t="n"/>
      <c r="F187" s="11" t="n"/>
      <c r="G187" s="17">
        <f>E187*F187</f>
        <v/>
      </c>
      <c r="H187" s="17">
        <f>IF(B187="",0,E187*IFERROR(VLOOKUP(B187,'Recetas y precios'!$A$5:$T$54,20,FALSE),0))</f>
        <v/>
      </c>
      <c r="I187" s="27" t="n"/>
      <c r="J187" s="17">
        <f>G187*I187</f>
        <v/>
      </c>
      <c r="K187" s="17">
        <f>G187-H187-J187</f>
        <v/>
      </c>
      <c r="L187" s="29">
        <f>IF(G187&gt;0,K187/G187,"")</f>
        <v/>
      </c>
      <c r="M187" s="6" t="n"/>
    </row>
    <row r="188">
      <c r="A188" s="32" t="n"/>
      <c r="B188" s="6" t="n"/>
      <c r="C188">
        <f>IF(B188="","",IFERROR(VLOOKUP(B188,'Recetas y precios'!$A$5:$B$54,2,FALSE),""))</f>
        <v/>
      </c>
      <c r="D188" s="6" t="n"/>
      <c r="E188" s="6" t="n"/>
      <c r="F188" s="11" t="n"/>
      <c r="G188" s="17">
        <f>E188*F188</f>
        <v/>
      </c>
      <c r="H188" s="17">
        <f>IF(B188="",0,E188*IFERROR(VLOOKUP(B188,'Recetas y precios'!$A$5:$T$54,20,FALSE),0))</f>
        <v/>
      </c>
      <c r="I188" s="27" t="n"/>
      <c r="J188" s="17">
        <f>G188*I188</f>
        <v/>
      </c>
      <c r="K188" s="17">
        <f>G188-H188-J188</f>
        <v/>
      </c>
      <c r="L188" s="29">
        <f>IF(G188&gt;0,K188/G188,"")</f>
        <v/>
      </c>
      <c r="M188" s="6" t="n"/>
    </row>
    <row r="189">
      <c r="A189" s="32" t="n"/>
      <c r="B189" s="6" t="n"/>
      <c r="C189">
        <f>IF(B189="","",IFERROR(VLOOKUP(B189,'Recetas y precios'!$A$5:$B$54,2,FALSE),""))</f>
        <v/>
      </c>
      <c r="D189" s="6" t="n"/>
      <c r="E189" s="6" t="n"/>
      <c r="F189" s="11" t="n"/>
      <c r="G189" s="17">
        <f>E189*F189</f>
        <v/>
      </c>
      <c r="H189" s="17">
        <f>IF(B189="",0,E189*IFERROR(VLOOKUP(B189,'Recetas y precios'!$A$5:$T$54,20,FALSE),0))</f>
        <v/>
      </c>
      <c r="I189" s="27" t="n"/>
      <c r="J189" s="17">
        <f>G189*I189</f>
        <v/>
      </c>
      <c r="K189" s="17">
        <f>G189-H189-J189</f>
        <v/>
      </c>
      <c r="L189" s="29">
        <f>IF(G189&gt;0,K189/G189,"")</f>
        <v/>
      </c>
      <c r="M189" s="6" t="n"/>
    </row>
    <row r="190">
      <c r="A190" s="32" t="n"/>
      <c r="B190" s="6" t="n"/>
      <c r="C190">
        <f>IF(B190="","",IFERROR(VLOOKUP(B190,'Recetas y precios'!$A$5:$B$54,2,FALSE),""))</f>
        <v/>
      </c>
      <c r="D190" s="6" t="n"/>
      <c r="E190" s="6" t="n"/>
      <c r="F190" s="11" t="n"/>
      <c r="G190" s="17">
        <f>E190*F190</f>
        <v/>
      </c>
      <c r="H190" s="17">
        <f>IF(B190="",0,E190*IFERROR(VLOOKUP(B190,'Recetas y precios'!$A$5:$T$54,20,FALSE),0))</f>
        <v/>
      </c>
      <c r="I190" s="27" t="n"/>
      <c r="J190" s="17">
        <f>G190*I190</f>
        <v/>
      </c>
      <c r="K190" s="17">
        <f>G190-H190-J190</f>
        <v/>
      </c>
      <c r="L190" s="29">
        <f>IF(G190&gt;0,K190/G190,"")</f>
        <v/>
      </c>
      <c r="M190" s="6" t="n"/>
    </row>
    <row r="191">
      <c r="A191" s="32" t="n"/>
      <c r="B191" s="6" t="n"/>
      <c r="C191">
        <f>IF(B191="","",IFERROR(VLOOKUP(B191,'Recetas y precios'!$A$5:$B$54,2,FALSE),""))</f>
        <v/>
      </c>
      <c r="D191" s="6" t="n"/>
      <c r="E191" s="6" t="n"/>
      <c r="F191" s="11" t="n"/>
      <c r="G191" s="17">
        <f>E191*F191</f>
        <v/>
      </c>
      <c r="H191" s="17">
        <f>IF(B191="",0,E191*IFERROR(VLOOKUP(B191,'Recetas y precios'!$A$5:$T$54,20,FALSE),0))</f>
        <v/>
      </c>
      <c r="I191" s="27" t="n"/>
      <c r="J191" s="17">
        <f>G191*I191</f>
        <v/>
      </c>
      <c r="K191" s="17">
        <f>G191-H191-J191</f>
        <v/>
      </c>
      <c r="L191" s="29">
        <f>IF(G191&gt;0,K191/G191,"")</f>
        <v/>
      </c>
      <c r="M191" s="6" t="n"/>
    </row>
    <row r="192">
      <c r="A192" s="32" t="n"/>
      <c r="B192" s="6" t="n"/>
      <c r="C192">
        <f>IF(B192="","",IFERROR(VLOOKUP(B192,'Recetas y precios'!$A$5:$B$54,2,FALSE),""))</f>
        <v/>
      </c>
      <c r="D192" s="6" t="n"/>
      <c r="E192" s="6" t="n"/>
      <c r="F192" s="11" t="n"/>
      <c r="G192" s="17">
        <f>E192*F192</f>
        <v/>
      </c>
      <c r="H192" s="17">
        <f>IF(B192="",0,E192*IFERROR(VLOOKUP(B192,'Recetas y precios'!$A$5:$T$54,20,FALSE),0))</f>
        <v/>
      </c>
      <c r="I192" s="27" t="n"/>
      <c r="J192" s="17">
        <f>G192*I192</f>
        <v/>
      </c>
      <c r="K192" s="17">
        <f>G192-H192-J192</f>
        <v/>
      </c>
      <c r="L192" s="29">
        <f>IF(G192&gt;0,K192/G192,"")</f>
        <v/>
      </c>
      <c r="M192" s="6" t="n"/>
    </row>
    <row r="193">
      <c r="A193" s="32" t="n"/>
      <c r="B193" s="6" t="n"/>
      <c r="C193">
        <f>IF(B193="","",IFERROR(VLOOKUP(B193,'Recetas y precios'!$A$5:$B$54,2,FALSE),""))</f>
        <v/>
      </c>
      <c r="D193" s="6" t="n"/>
      <c r="E193" s="6" t="n"/>
      <c r="F193" s="11" t="n"/>
      <c r="G193" s="17">
        <f>E193*F193</f>
        <v/>
      </c>
      <c r="H193" s="17">
        <f>IF(B193="",0,E193*IFERROR(VLOOKUP(B193,'Recetas y precios'!$A$5:$T$54,20,FALSE),0))</f>
        <v/>
      </c>
      <c r="I193" s="27" t="n"/>
      <c r="J193" s="17">
        <f>G193*I193</f>
        <v/>
      </c>
      <c r="K193" s="17">
        <f>G193-H193-J193</f>
        <v/>
      </c>
      <c r="L193" s="29">
        <f>IF(G193&gt;0,K193/G193,"")</f>
        <v/>
      </c>
      <c r="M193" s="6" t="n"/>
    </row>
    <row r="194">
      <c r="A194" s="32" t="n"/>
      <c r="B194" s="6" t="n"/>
      <c r="C194">
        <f>IF(B194="","",IFERROR(VLOOKUP(B194,'Recetas y precios'!$A$5:$B$54,2,FALSE),""))</f>
        <v/>
      </c>
      <c r="D194" s="6" t="n"/>
      <c r="E194" s="6" t="n"/>
      <c r="F194" s="11" t="n"/>
      <c r="G194" s="17">
        <f>E194*F194</f>
        <v/>
      </c>
      <c r="H194" s="17">
        <f>IF(B194="",0,E194*IFERROR(VLOOKUP(B194,'Recetas y precios'!$A$5:$T$54,20,FALSE),0))</f>
        <v/>
      </c>
      <c r="I194" s="27" t="n"/>
      <c r="J194" s="17">
        <f>G194*I194</f>
        <v/>
      </c>
      <c r="K194" s="17">
        <f>G194-H194-J194</f>
        <v/>
      </c>
      <c r="L194" s="29">
        <f>IF(G194&gt;0,K194/G194,"")</f>
        <v/>
      </c>
      <c r="M194" s="6" t="n"/>
    </row>
    <row r="195">
      <c r="A195" s="32" t="n"/>
      <c r="B195" s="6" t="n"/>
      <c r="C195">
        <f>IF(B195="","",IFERROR(VLOOKUP(B195,'Recetas y precios'!$A$5:$B$54,2,FALSE),""))</f>
        <v/>
      </c>
      <c r="D195" s="6" t="n"/>
      <c r="E195" s="6" t="n"/>
      <c r="F195" s="11" t="n"/>
      <c r="G195" s="17">
        <f>E195*F195</f>
        <v/>
      </c>
      <c r="H195" s="17">
        <f>IF(B195="",0,E195*IFERROR(VLOOKUP(B195,'Recetas y precios'!$A$5:$T$54,20,FALSE),0))</f>
        <v/>
      </c>
      <c r="I195" s="27" t="n"/>
      <c r="J195" s="17">
        <f>G195*I195</f>
        <v/>
      </c>
      <c r="K195" s="17">
        <f>G195-H195-J195</f>
        <v/>
      </c>
      <c r="L195" s="29">
        <f>IF(G195&gt;0,K195/G195,"")</f>
        <v/>
      </c>
      <c r="M195" s="6" t="n"/>
    </row>
    <row r="196">
      <c r="A196" s="32" t="n"/>
      <c r="B196" s="6" t="n"/>
      <c r="C196">
        <f>IF(B196="","",IFERROR(VLOOKUP(B196,'Recetas y precios'!$A$5:$B$54,2,FALSE),""))</f>
        <v/>
      </c>
      <c r="D196" s="6" t="n"/>
      <c r="E196" s="6" t="n"/>
      <c r="F196" s="11" t="n"/>
      <c r="G196" s="17">
        <f>E196*F196</f>
        <v/>
      </c>
      <c r="H196" s="17">
        <f>IF(B196="",0,E196*IFERROR(VLOOKUP(B196,'Recetas y precios'!$A$5:$T$54,20,FALSE),0))</f>
        <v/>
      </c>
      <c r="I196" s="27" t="n"/>
      <c r="J196" s="17">
        <f>G196*I196</f>
        <v/>
      </c>
      <c r="K196" s="17">
        <f>G196-H196-J196</f>
        <v/>
      </c>
      <c r="L196" s="29">
        <f>IF(G196&gt;0,K196/G196,"")</f>
        <v/>
      </c>
      <c r="M196" s="6" t="n"/>
    </row>
    <row r="197">
      <c r="A197" s="32" t="n"/>
      <c r="B197" s="6" t="n"/>
      <c r="C197">
        <f>IF(B197="","",IFERROR(VLOOKUP(B197,'Recetas y precios'!$A$5:$B$54,2,FALSE),""))</f>
        <v/>
      </c>
      <c r="D197" s="6" t="n"/>
      <c r="E197" s="6" t="n"/>
      <c r="F197" s="11" t="n"/>
      <c r="G197" s="17">
        <f>E197*F197</f>
        <v/>
      </c>
      <c r="H197" s="17">
        <f>IF(B197="",0,E197*IFERROR(VLOOKUP(B197,'Recetas y precios'!$A$5:$T$54,20,FALSE),0))</f>
        <v/>
      </c>
      <c r="I197" s="27" t="n"/>
      <c r="J197" s="17">
        <f>G197*I197</f>
        <v/>
      </c>
      <c r="K197" s="17">
        <f>G197-H197-J197</f>
        <v/>
      </c>
      <c r="L197" s="29">
        <f>IF(G197&gt;0,K197/G197,"")</f>
        <v/>
      </c>
      <c r="M197" s="6" t="n"/>
    </row>
    <row r="198">
      <c r="A198" s="32" t="n"/>
      <c r="B198" s="6" t="n"/>
      <c r="C198">
        <f>IF(B198="","",IFERROR(VLOOKUP(B198,'Recetas y precios'!$A$5:$B$54,2,FALSE),""))</f>
        <v/>
      </c>
      <c r="D198" s="6" t="n"/>
      <c r="E198" s="6" t="n"/>
      <c r="F198" s="11" t="n"/>
      <c r="G198" s="17">
        <f>E198*F198</f>
        <v/>
      </c>
      <c r="H198" s="17">
        <f>IF(B198="",0,E198*IFERROR(VLOOKUP(B198,'Recetas y precios'!$A$5:$T$54,20,FALSE),0))</f>
        <v/>
      </c>
      <c r="I198" s="27" t="n"/>
      <c r="J198" s="17">
        <f>G198*I198</f>
        <v/>
      </c>
      <c r="K198" s="17">
        <f>G198-H198-J198</f>
        <v/>
      </c>
      <c r="L198" s="29">
        <f>IF(G198&gt;0,K198/G198,"")</f>
        <v/>
      </c>
      <c r="M198" s="6" t="n"/>
    </row>
    <row r="199">
      <c r="A199" s="32" t="n"/>
      <c r="B199" s="6" t="n"/>
      <c r="C199">
        <f>IF(B199="","",IFERROR(VLOOKUP(B199,'Recetas y precios'!$A$5:$B$54,2,FALSE),""))</f>
        <v/>
      </c>
      <c r="D199" s="6" t="n"/>
      <c r="E199" s="6" t="n"/>
      <c r="F199" s="11" t="n"/>
      <c r="G199" s="17">
        <f>E199*F199</f>
        <v/>
      </c>
      <c r="H199" s="17">
        <f>IF(B199="",0,E199*IFERROR(VLOOKUP(B199,'Recetas y precios'!$A$5:$T$54,20,FALSE),0))</f>
        <v/>
      </c>
      <c r="I199" s="27" t="n"/>
      <c r="J199" s="17">
        <f>G199*I199</f>
        <v/>
      </c>
      <c r="K199" s="17">
        <f>G199-H199-J199</f>
        <v/>
      </c>
      <c r="L199" s="29">
        <f>IF(G199&gt;0,K199/G199,"")</f>
        <v/>
      </c>
      <c r="M199" s="6" t="n"/>
    </row>
    <row r="200">
      <c r="A200" s="32" t="n"/>
      <c r="B200" s="6" t="n"/>
      <c r="C200">
        <f>IF(B200="","",IFERROR(VLOOKUP(B200,'Recetas y precios'!$A$5:$B$54,2,FALSE),""))</f>
        <v/>
      </c>
      <c r="D200" s="6" t="n"/>
      <c r="E200" s="6" t="n"/>
      <c r="F200" s="11" t="n"/>
      <c r="G200" s="17">
        <f>E200*F200</f>
        <v/>
      </c>
      <c r="H200" s="17">
        <f>IF(B200="",0,E200*IFERROR(VLOOKUP(B200,'Recetas y precios'!$A$5:$T$54,20,FALSE),0))</f>
        <v/>
      </c>
      <c r="I200" s="27" t="n"/>
      <c r="J200" s="17">
        <f>G200*I200</f>
        <v/>
      </c>
      <c r="K200" s="17">
        <f>G200-H200-J200</f>
        <v/>
      </c>
      <c r="L200" s="29">
        <f>IF(G200&gt;0,K200/G200,"")</f>
        <v/>
      </c>
      <c r="M200" s="6" t="n"/>
    </row>
    <row r="201">
      <c r="A201" s="32" t="n"/>
      <c r="B201" s="6" t="n"/>
      <c r="C201">
        <f>IF(B201="","",IFERROR(VLOOKUP(B201,'Recetas y precios'!$A$5:$B$54,2,FALSE),""))</f>
        <v/>
      </c>
      <c r="D201" s="6" t="n"/>
      <c r="E201" s="6" t="n"/>
      <c r="F201" s="11" t="n"/>
      <c r="G201" s="17">
        <f>E201*F201</f>
        <v/>
      </c>
      <c r="H201" s="17">
        <f>IF(B201="",0,E201*IFERROR(VLOOKUP(B201,'Recetas y precios'!$A$5:$T$54,20,FALSE),0))</f>
        <v/>
      </c>
      <c r="I201" s="27" t="n"/>
      <c r="J201" s="17">
        <f>G201*I201</f>
        <v/>
      </c>
      <c r="K201" s="17">
        <f>G201-H201-J201</f>
        <v/>
      </c>
      <c r="L201" s="29">
        <f>IF(G201&gt;0,K201/G201,"")</f>
        <v/>
      </c>
      <c r="M201" s="6" t="n"/>
    </row>
    <row r="202">
      <c r="A202" s="32" t="n"/>
      <c r="B202" s="6" t="n"/>
      <c r="C202">
        <f>IF(B202="","",IFERROR(VLOOKUP(B202,'Recetas y precios'!$A$5:$B$54,2,FALSE),""))</f>
        <v/>
      </c>
      <c r="D202" s="6" t="n"/>
      <c r="E202" s="6" t="n"/>
      <c r="F202" s="11" t="n"/>
      <c r="G202" s="17">
        <f>E202*F202</f>
        <v/>
      </c>
      <c r="H202" s="17">
        <f>IF(B202="",0,E202*IFERROR(VLOOKUP(B202,'Recetas y precios'!$A$5:$T$54,20,FALSE),0))</f>
        <v/>
      </c>
      <c r="I202" s="27" t="n"/>
      <c r="J202" s="17">
        <f>G202*I202</f>
        <v/>
      </c>
      <c r="K202" s="17">
        <f>G202-H202-J202</f>
        <v/>
      </c>
      <c r="L202" s="29">
        <f>IF(G202&gt;0,K202/G202,"")</f>
        <v/>
      </c>
      <c r="M202" s="6" t="n"/>
    </row>
    <row r="203">
      <c r="A203" s="32" t="n"/>
      <c r="B203" s="6" t="n"/>
      <c r="C203">
        <f>IF(B203="","",IFERROR(VLOOKUP(B203,'Recetas y precios'!$A$5:$B$54,2,FALSE),""))</f>
        <v/>
      </c>
      <c r="D203" s="6" t="n"/>
      <c r="E203" s="6" t="n"/>
      <c r="F203" s="11" t="n"/>
      <c r="G203" s="17">
        <f>E203*F203</f>
        <v/>
      </c>
      <c r="H203" s="17">
        <f>IF(B203="",0,E203*IFERROR(VLOOKUP(B203,'Recetas y precios'!$A$5:$T$54,20,FALSE),0))</f>
        <v/>
      </c>
      <c r="I203" s="27" t="n"/>
      <c r="J203" s="17">
        <f>G203*I203</f>
        <v/>
      </c>
      <c r="K203" s="17">
        <f>G203-H203-J203</f>
        <v/>
      </c>
      <c r="L203" s="29">
        <f>IF(G203&gt;0,K203/G203,"")</f>
        <v/>
      </c>
      <c r="M203" s="6" t="n"/>
    </row>
    <row r="204">
      <c r="A204" s="32" t="n"/>
      <c r="B204" s="6" t="n"/>
      <c r="C204">
        <f>IF(B204="","",IFERROR(VLOOKUP(B204,'Recetas y precios'!$A$5:$B$54,2,FALSE),""))</f>
        <v/>
      </c>
      <c r="D204" s="6" t="n"/>
      <c r="E204" s="6" t="n"/>
      <c r="F204" s="11" t="n"/>
      <c r="G204" s="17">
        <f>E204*F204</f>
        <v/>
      </c>
      <c r="H204" s="17">
        <f>IF(B204="",0,E204*IFERROR(VLOOKUP(B204,'Recetas y precios'!$A$5:$T$54,20,FALSE),0))</f>
        <v/>
      </c>
      <c r="I204" s="27" t="n"/>
      <c r="J204" s="17">
        <f>G204*I204</f>
        <v/>
      </c>
      <c r="K204" s="17">
        <f>G204-H204-J204</f>
        <v/>
      </c>
      <c r="L204" s="29">
        <f>IF(G204&gt;0,K204/G204,"")</f>
        <v/>
      </c>
      <c r="M204" s="6" t="n"/>
    </row>
    <row r="205">
      <c r="A205" s="32" t="n"/>
      <c r="B205" s="6" t="n"/>
      <c r="C205">
        <f>IF(B205="","",IFERROR(VLOOKUP(B205,'Recetas y precios'!$A$5:$B$54,2,FALSE),""))</f>
        <v/>
      </c>
      <c r="D205" s="6" t="n"/>
      <c r="E205" s="6" t="n"/>
      <c r="F205" s="11" t="n"/>
      <c r="G205" s="17">
        <f>E205*F205</f>
        <v/>
      </c>
      <c r="H205" s="17">
        <f>IF(B205="",0,E205*IFERROR(VLOOKUP(B205,'Recetas y precios'!$A$5:$T$54,20,FALSE),0))</f>
        <v/>
      </c>
      <c r="I205" s="27" t="n"/>
      <c r="J205" s="17">
        <f>G205*I205</f>
        <v/>
      </c>
      <c r="K205" s="17">
        <f>G205-H205-J205</f>
        <v/>
      </c>
      <c r="L205" s="29">
        <f>IF(G205&gt;0,K205/G205,"")</f>
        <v/>
      </c>
      <c r="M205" s="6" t="n"/>
    </row>
    <row r="206">
      <c r="A206" s="32" t="n"/>
      <c r="B206" s="6" t="n"/>
      <c r="C206">
        <f>IF(B206="","",IFERROR(VLOOKUP(B206,'Recetas y precios'!$A$5:$B$54,2,FALSE),""))</f>
        <v/>
      </c>
      <c r="D206" s="6" t="n"/>
      <c r="E206" s="6" t="n"/>
      <c r="F206" s="11" t="n"/>
      <c r="G206" s="17">
        <f>E206*F206</f>
        <v/>
      </c>
      <c r="H206" s="17">
        <f>IF(B206="",0,E206*IFERROR(VLOOKUP(B206,'Recetas y precios'!$A$5:$T$54,20,FALSE),0))</f>
        <v/>
      </c>
      <c r="I206" s="27" t="n"/>
      <c r="J206" s="17">
        <f>G206*I206</f>
        <v/>
      </c>
      <c r="K206" s="17">
        <f>G206-H206-J206</f>
        <v/>
      </c>
      <c r="L206" s="29">
        <f>IF(G206&gt;0,K206/G206,"")</f>
        <v/>
      </c>
      <c r="M206" s="6" t="n"/>
    </row>
    <row r="207">
      <c r="A207" s="32" t="n"/>
      <c r="B207" s="6" t="n"/>
      <c r="C207">
        <f>IF(B207="","",IFERROR(VLOOKUP(B207,'Recetas y precios'!$A$5:$B$54,2,FALSE),""))</f>
        <v/>
      </c>
      <c r="D207" s="6" t="n"/>
      <c r="E207" s="6" t="n"/>
      <c r="F207" s="11" t="n"/>
      <c r="G207" s="17">
        <f>E207*F207</f>
        <v/>
      </c>
      <c r="H207" s="17">
        <f>IF(B207="",0,E207*IFERROR(VLOOKUP(B207,'Recetas y precios'!$A$5:$T$54,20,FALSE),0))</f>
        <v/>
      </c>
      <c r="I207" s="27" t="n"/>
      <c r="J207" s="17">
        <f>G207*I207</f>
        <v/>
      </c>
      <c r="K207" s="17">
        <f>G207-H207-J207</f>
        <v/>
      </c>
      <c r="L207" s="29">
        <f>IF(G207&gt;0,K207/G207,"")</f>
        <v/>
      </c>
      <c r="M207" s="6" t="n"/>
    </row>
    <row r="208">
      <c r="A208" s="32" t="n"/>
      <c r="B208" s="6" t="n"/>
      <c r="C208">
        <f>IF(B208="","",IFERROR(VLOOKUP(B208,'Recetas y precios'!$A$5:$B$54,2,FALSE),""))</f>
        <v/>
      </c>
      <c r="D208" s="6" t="n"/>
      <c r="E208" s="6" t="n"/>
      <c r="F208" s="11" t="n"/>
      <c r="G208" s="17">
        <f>E208*F208</f>
        <v/>
      </c>
      <c r="H208" s="17">
        <f>IF(B208="",0,E208*IFERROR(VLOOKUP(B208,'Recetas y precios'!$A$5:$T$54,20,FALSE),0))</f>
        <v/>
      </c>
      <c r="I208" s="27" t="n"/>
      <c r="J208" s="17">
        <f>G208*I208</f>
        <v/>
      </c>
      <c r="K208" s="17">
        <f>G208-H208-J208</f>
        <v/>
      </c>
      <c r="L208" s="29">
        <f>IF(G208&gt;0,K208/G208,"")</f>
        <v/>
      </c>
      <c r="M208" s="6" t="n"/>
    </row>
    <row r="209">
      <c r="A209" s="32" t="n"/>
      <c r="B209" s="6" t="n"/>
      <c r="C209">
        <f>IF(B209="","",IFERROR(VLOOKUP(B209,'Recetas y precios'!$A$5:$B$54,2,FALSE),""))</f>
        <v/>
      </c>
      <c r="D209" s="6" t="n"/>
      <c r="E209" s="6" t="n"/>
      <c r="F209" s="11" t="n"/>
      <c r="G209" s="17">
        <f>E209*F209</f>
        <v/>
      </c>
      <c r="H209" s="17">
        <f>IF(B209="",0,E209*IFERROR(VLOOKUP(B209,'Recetas y precios'!$A$5:$T$54,20,FALSE),0))</f>
        <v/>
      </c>
      <c r="I209" s="27" t="n"/>
      <c r="J209" s="17">
        <f>G209*I209</f>
        <v/>
      </c>
      <c r="K209" s="17">
        <f>G209-H209-J209</f>
        <v/>
      </c>
      <c r="L209" s="29">
        <f>IF(G209&gt;0,K209/G209,"")</f>
        <v/>
      </c>
      <c r="M209" s="6" t="n"/>
    </row>
    <row r="210">
      <c r="A210" s="32" t="n"/>
      <c r="B210" s="6" t="n"/>
      <c r="C210">
        <f>IF(B210="","",IFERROR(VLOOKUP(B210,'Recetas y precios'!$A$5:$B$54,2,FALSE),""))</f>
        <v/>
      </c>
      <c r="D210" s="6" t="n"/>
      <c r="E210" s="6" t="n"/>
      <c r="F210" s="11" t="n"/>
      <c r="G210" s="17">
        <f>E210*F210</f>
        <v/>
      </c>
      <c r="H210" s="17">
        <f>IF(B210="",0,E210*IFERROR(VLOOKUP(B210,'Recetas y precios'!$A$5:$T$54,20,FALSE),0))</f>
        <v/>
      </c>
      <c r="I210" s="27" t="n"/>
      <c r="J210" s="17">
        <f>G210*I210</f>
        <v/>
      </c>
      <c r="K210" s="17">
        <f>G210-H210-J210</f>
        <v/>
      </c>
      <c r="L210" s="29">
        <f>IF(G210&gt;0,K210/G210,"")</f>
        <v/>
      </c>
      <c r="M210" s="6" t="n"/>
    </row>
    <row r="211">
      <c r="A211" s="32" t="n"/>
      <c r="B211" s="6" t="n"/>
      <c r="C211">
        <f>IF(B211="","",IFERROR(VLOOKUP(B211,'Recetas y precios'!$A$5:$B$54,2,FALSE),""))</f>
        <v/>
      </c>
      <c r="D211" s="6" t="n"/>
      <c r="E211" s="6" t="n"/>
      <c r="F211" s="11" t="n"/>
      <c r="G211" s="17">
        <f>E211*F211</f>
        <v/>
      </c>
      <c r="H211" s="17">
        <f>IF(B211="",0,E211*IFERROR(VLOOKUP(B211,'Recetas y precios'!$A$5:$T$54,20,FALSE),0))</f>
        <v/>
      </c>
      <c r="I211" s="27" t="n"/>
      <c r="J211" s="17">
        <f>G211*I211</f>
        <v/>
      </c>
      <c r="K211" s="17">
        <f>G211-H211-J211</f>
        <v/>
      </c>
      <c r="L211" s="29">
        <f>IF(G211&gt;0,K211/G211,"")</f>
        <v/>
      </c>
      <c r="M211" s="6" t="n"/>
    </row>
    <row r="212">
      <c r="A212" s="32" t="n"/>
      <c r="B212" s="6" t="n"/>
      <c r="C212">
        <f>IF(B212="","",IFERROR(VLOOKUP(B212,'Recetas y precios'!$A$5:$B$54,2,FALSE),""))</f>
        <v/>
      </c>
      <c r="D212" s="6" t="n"/>
      <c r="E212" s="6" t="n"/>
      <c r="F212" s="11" t="n"/>
      <c r="G212" s="17">
        <f>E212*F212</f>
        <v/>
      </c>
      <c r="H212" s="17">
        <f>IF(B212="",0,E212*IFERROR(VLOOKUP(B212,'Recetas y precios'!$A$5:$T$54,20,FALSE),0))</f>
        <v/>
      </c>
      <c r="I212" s="27" t="n"/>
      <c r="J212" s="17">
        <f>G212*I212</f>
        <v/>
      </c>
      <c r="K212" s="17">
        <f>G212-H212-J212</f>
        <v/>
      </c>
      <c r="L212" s="29">
        <f>IF(G212&gt;0,K212/G212,"")</f>
        <v/>
      </c>
      <c r="M212" s="6" t="n"/>
    </row>
    <row r="213">
      <c r="A213" s="32" t="n"/>
      <c r="B213" s="6" t="n"/>
      <c r="C213">
        <f>IF(B213="","",IFERROR(VLOOKUP(B213,'Recetas y precios'!$A$5:$B$54,2,FALSE),""))</f>
        <v/>
      </c>
      <c r="D213" s="6" t="n"/>
      <c r="E213" s="6" t="n"/>
      <c r="F213" s="11" t="n"/>
      <c r="G213" s="17">
        <f>E213*F213</f>
        <v/>
      </c>
      <c r="H213" s="17">
        <f>IF(B213="",0,E213*IFERROR(VLOOKUP(B213,'Recetas y precios'!$A$5:$T$54,20,FALSE),0))</f>
        <v/>
      </c>
      <c r="I213" s="27" t="n"/>
      <c r="J213" s="17">
        <f>G213*I213</f>
        <v/>
      </c>
      <c r="K213" s="17">
        <f>G213-H213-J213</f>
        <v/>
      </c>
      <c r="L213" s="29">
        <f>IF(G213&gt;0,K213/G213,"")</f>
        <v/>
      </c>
      <c r="M213" s="6" t="n"/>
    </row>
    <row r="214">
      <c r="A214" s="32" t="n"/>
      <c r="B214" s="6" t="n"/>
      <c r="C214">
        <f>IF(B214="","",IFERROR(VLOOKUP(B214,'Recetas y precios'!$A$5:$B$54,2,FALSE),""))</f>
        <v/>
      </c>
      <c r="D214" s="6" t="n"/>
      <c r="E214" s="6" t="n"/>
      <c r="F214" s="11" t="n"/>
      <c r="G214" s="17">
        <f>E214*F214</f>
        <v/>
      </c>
      <c r="H214" s="17">
        <f>IF(B214="",0,E214*IFERROR(VLOOKUP(B214,'Recetas y precios'!$A$5:$T$54,20,FALSE),0))</f>
        <v/>
      </c>
      <c r="I214" s="27" t="n"/>
      <c r="J214" s="17">
        <f>G214*I214</f>
        <v/>
      </c>
      <c r="K214" s="17">
        <f>G214-H214-J214</f>
        <v/>
      </c>
      <c r="L214" s="29">
        <f>IF(G214&gt;0,K214/G214,"")</f>
        <v/>
      </c>
      <c r="M214" s="6" t="n"/>
    </row>
    <row r="215">
      <c r="A215" s="32" t="n"/>
      <c r="B215" s="6" t="n"/>
      <c r="C215">
        <f>IF(B215="","",IFERROR(VLOOKUP(B215,'Recetas y precios'!$A$5:$B$54,2,FALSE),""))</f>
        <v/>
      </c>
      <c r="D215" s="6" t="n"/>
      <c r="E215" s="6" t="n"/>
      <c r="F215" s="11" t="n"/>
      <c r="G215" s="17">
        <f>E215*F215</f>
        <v/>
      </c>
      <c r="H215" s="17">
        <f>IF(B215="",0,E215*IFERROR(VLOOKUP(B215,'Recetas y precios'!$A$5:$T$54,20,FALSE),0))</f>
        <v/>
      </c>
      <c r="I215" s="27" t="n"/>
      <c r="J215" s="17">
        <f>G215*I215</f>
        <v/>
      </c>
      <c r="K215" s="17">
        <f>G215-H215-J215</f>
        <v/>
      </c>
      <c r="L215" s="29">
        <f>IF(G215&gt;0,K215/G215,"")</f>
        <v/>
      </c>
      <c r="M215" s="6" t="n"/>
    </row>
    <row r="216">
      <c r="A216" s="32" t="n"/>
      <c r="B216" s="6" t="n"/>
      <c r="C216">
        <f>IF(B216="","",IFERROR(VLOOKUP(B216,'Recetas y precios'!$A$5:$B$54,2,FALSE),""))</f>
        <v/>
      </c>
      <c r="D216" s="6" t="n"/>
      <c r="E216" s="6" t="n"/>
      <c r="F216" s="11" t="n"/>
      <c r="G216" s="17">
        <f>E216*F216</f>
        <v/>
      </c>
      <c r="H216" s="17">
        <f>IF(B216="",0,E216*IFERROR(VLOOKUP(B216,'Recetas y precios'!$A$5:$T$54,20,FALSE),0))</f>
        <v/>
      </c>
      <c r="I216" s="27" t="n"/>
      <c r="J216" s="17">
        <f>G216*I216</f>
        <v/>
      </c>
      <c r="K216" s="17">
        <f>G216-H216-J216</f>
        <v/>
      </c>
      <c r="L216" s="29">
        <f>IF(G216&gt;0,K216/G216,"")</f>
        <v/>
      </c>
      <c r="M216" s="6" t="n"/>
    </row>
    <row r="217">
      <c r="A217" s="32" t="n"/>
      <c r="B217" s="6" t="n"/>
      <c r="C217">
        <f>IF(B217="","",IFERROR(VLOOKUP(B217,'Recetas y precios'!$A$5:$B$54,2,FALSE),""))</f>
        <v/>
      </c>
      <c r="D217" s="6" t="n"/>
      <c r="E217" s="6" t="n"/>
      <c r="F217" s="11" t="n"/>
      <c r="G217" s="17">
        <f>E217*F217</f>
        <v/>
      </c>
      <c r="H217" s="17">
        <f>IF(B217="",0,E217*IFERROR(VLOOKUP(B217,'Recetas y precios'!$A$5:$T$54,20,FALSE),0))</f>
        <v/>
      </c>
      <c r="I217" s="27" t="n"/>
      <c r="J217" s="17">
        <f>G217*I217</f>
        <v/>
      </c>
      <c r="K217" s="17">
        <f>G217-H217-J217</f>
        <v/>
      </c>
      <c r="L217" s="29">
        <f>IF(G217&gt;0,K217/G217,"")</f>
        <v/>
      </c>
      <c r="M217" s="6" t="n"/>
    </row>
    <row r="218">
      <c r="A218" s="32" t="n"/>
      <c r="B218" s="6" t="n"/>
      <c r="C218">
        <f>IF(B218="","",IFERROR(VLOOKUP(B218,'Recetas y precios'!$A$5:$B$54,2,FALSE),""))</f>
        <v/>
      </c>
      <c r="D218" s="6" t="n"/>
      <c r="E218" s="6" t="n"/>
      <c r="F218" s="11" t="n"/>
      <c r="G218" s="17">
        <f>E218*F218</f>
        <v/>
      </c>
      <c r="H218" s="17">
        <f>IF(B218="",0,E218*IFERROR(VLOOKUP(B218,'Recetas y precios'!$A$5:$T$54,20,FALSE),0))</f>
        <v/>
      </c>
      <c r="I218" s="27" t="n"/>
      <c r="J218" s="17">
        <f>G218*I218</f>
        <v/>
      </c>
      <c r="K218" s="17">
        <f>G218-H218-J218</f>
        <v/>
      </c>
      <c r="L218" s="29">
        <f>IF(G218&gt;0,K218/G218,"")</f>
        <v/>
      </c>
      <c r="M218" s="6" t="n"/>
    </row>
    <row r="219">
      <c r="A219" s="32" t="n"/>
      <c r="B219" s="6" t="n"/>
      <c r="C219">
        <f>IF(B219="","",IFERROR(VLOOKUP(B219,'Recetas y precios'!$A$5:$B$54,2,FALSE),""))</f>
        <v/>
      </c>
      <c r="D219" s="6" t="n"/>
      <c r="E219" s="6" t="n"/>
      <c r="F219" s="11" t="n"/>
      <c r="G219" s="17">
        <f>E219*F219</f>
        <v/>
      </c>
      <c r="H219" s="17">
        <f>IF(B219="",0,E219*IFERROR(VLOOKUP(B219,'Recetas y precios'!$A$5:$T$54,20,FALSE),0))</f>
        <v/>
      </c>
      <c r="I219" s="27" t="n"/>
      <c r="J219" s="17">
        <f>G219*I219</f>
        <v/>
      </c>
      <c r="K219" s="17">
        <f>G219-H219-J219</f>
        <v/>
      </c>
      <c r="L219" s="29">
        <f>IF(G219&gt;0,K219/G219,"")</f>
        <v/>
      </c>
      <c r="M219" s="6" t="n"/>
    </row>
    <row r="220">
      <c r="A220" s="32" t="n"/>
      <c r="B220" s="6" t="n"/>
      <c r="C220">
        <f>IF(B220="","",IFERROR(VLOOKUP(B220,'Recetas y precios'!$A$5:$B$54,2,FALSE),""))</f>
        <v/>
      </c>
      <c r="D220" s="6" t="n"/>
      <c r="E220" s="6" t="n"/>
      <c r="F220" s="11" t="n"/>
      <c r="G220" s="17">
        <f>E220*F220</f>
        <v/>
      </c>
      <c r="H220" s="17">
        <f>IF(B220="",0,E220*IFERROR(VLOOKUP(B220,'Recetas y precios'!$A$5:$T$54,20,FALSE),0))</f>
        <v/>
      </c>
      <c r="I220" s="27" t="n"/>
      <c r="J220" s="17">
        <f>G220*I220</f>
        <v/>
      </c>
      <c r="K220" s="17">
        <f>G220-H220-J220</f>
        <v/>
      </c>
      <c r="L220" s="29">
        <f>IF(G220&gt;0,K220/G220,"")</f>
        <v/>
      </c>
      <c r="M220" s="6" t="n"/>
    </row>
    <row r="221">
      <c r="A221" s="32" t="n"/>
      <c r="B221" s="6" t="n"/>
      <c r="C221">
        <f>IF(B221="","",IFERROR(VLOOKUP(B221,'Recetas y precios'!$A$5:$B$54,2,FALSE),""))</f>
        <v/>
      </c>
      <c r="D221" s="6" t="n"/>
      <c r="E221" s="6" t="n"/>
      <c r="F221" s="11" t="n"/>
      <c r="G221" s="17">
        <f>E221*F221</f>
        <v/>
      </c>
      <c r="H221" s="17">
        <f>IF(B221="",0,E221*IFERROR(VLOOKUP(B221,'Recetas y precios'!$A$5:$T$54,20,FALSE),0))</f>
        <v/>
      </c>
      <c r="I221" s="27" t="n"/>
      <c r="J221" s="17">
        <f>G221*I221</f>
        <v/>
      </c>
      <c r="K221" s="17">
        <f>G221-H221-J221</f>
        <v/>
      </c>
      <c r="L221" s="29">
        <f>IF(G221&gt;0,K221/G221,"")</f>
        <v/>
      </c>
      <c r="M221" s="6" t="n"/>
    </row>
    <row r="222">
      <c r="A222" s="32" t="n"/>
      <c r="B222" s="6" t="n"/>
      <c r="C222">
        <f>IF(B222="","",IFERROR(VLOOKUP(B222,'Recetas y precios'!$A$5:$B$54,2,FALSE),""))</f>
        <v/>
      </c>
      <c r="D222" s="6" t="n"/>
      <c r="E222" s="6" t="n"/>
      <c r="F222" s="11" t="n"/>
      <c r="G222" s="17">
        <f>E222*F222</f>
        <v/>
      </c>
      <c r="H222" s="17">
        <f>IF(B222="",0,E222*IFERROR(VLOOKUP(B222,'Recetas y precios'!$A$5:$T$54,20,FALSE),0))</f>
        <v/>
      </c>
      <c r="I222" s="27" t="n"/>
      <c r="J222" s="17">
        <f>G222*I222</f>
        <v/>
      </c>
      <c r="K222" s="17">
        <f>G222-H222-J222</f>
        <v/>
      </c>
      <c r="L222" s="29">
        <f>IF(G222&gt;0,K222/G222,"")</f>
        <v/>
      </c>
      <c r="M222" s="6" t="n"/>
    </row>
    <row r="223">
      <c r="A223" s="32" t="n"/>
      <c r="B223" s="6" t="n"/>
      <c r="C223">
        <f>IF(B223="","",IFERROR(VLOOKUP(B223,'Recetas y precios'!$A$5:$B$54,2,FALSE),""))</f>
        <v/>
      </c>
      <c r="D223" s="6" t="n"/>
      <c r="E223" s="6" t="n"/>
      <c r="F223" s="11" t="n"/>
      <c r="G223" s="17">
        <f>E223*F223</f>
        <v/>
      </c>
      <c r="H223" s="17">
        <f>IF(B223="",0,E223*IFERROR(VLOOKUP(B223,'Recetas y precios'!$A$5:$T$54,20,FALSE),0))</f>
        <v/>
      </c>
      <c r="I223" s="27" t="n"/>
      <c r="J223" s="17">
        <f>G223*I223</f>
        <v/>
      </c>
      <c r="K223" s="17">
        <f>G223-H223-J223</f>
        <v/>
      </c>
      <c r="L223" s="29">
        <f>IF(G223&gt;0,K223/G223,"")</f>
        <v/>
      </c>
      <c r="M223" s="6" t="n"/>
    </row>
    <row r="224">
      <c r="A224" s="32" t="n"/>
      <c r="B224" s="6" t="n"/>
      <c r="C224">
        <f>IF(B224="","",IFERROR(VLOOKUP(B224,'Recetas y precios'!$A$5:$B$54,2,FALSE),""))</f>
        <v/>
      </c>
      <c r="D224" s="6" t="n"/>
      <c r="E224" s="6" t="n"/>
      <c r="F224" s="11" t="n"/>
      <c r="G224" s="17">
        <f>E224*F224</f>
        <v/>
      </c>
      <c r="H224" s="17">
        <f>IF(B224="",0,E224*IFERROR(VLOOKUP(B224,'Recetas y precios'!$A$5:$T$54,20,FALSE),0))</f>
        <v/>
      </c>
      <c r="I224" s="27" t="n"/>
      <c r="J224" s="17">
        <f>G224*I224</f>
        <v/>
      </c>
      <c r="K224" s="17">
        <f>G224-H224-J224</f>
        <v/>
      </c>
      <c r="L224" s="29">
        <f>IF(G224&gt;0,K224/G224,"")</f>
        <v/>
      </c>
      <c r="M224" s="6" t="n"/>
    </row>
    <row r="225">
      <c r="A225" s="32" t="n"/>
      <c r="B225" s="6" t="n"/>
      <c r="C225">
        <f>IF(B225="","",IFERROR(VLOOKUP(B225,'Recetas y precios'!$A$5:$B$54,2,FALSE),""))</f>
        <v/>
      </c>
      <c r="D225" s="6" t="n"/>
      <c r="E225" s="6" t="n"/>
      <c r="F225" s="11" t="n"/>
      <c r="G225" s="17">
        <f>E225*F225</f>
        <v/>
      </c>
      <c r="H225" s="17">
        <f>IF(B225="",0,E225*IFERROR(VLOOKUP(B225,'Recetas y precios'!$A$5:$T$54,20,FALSE),0))</f>
        <v/>
      </c>
      <c r="I225" s="27" t="n"/>
      <c r="J225" s="17">
        <f>G225*I225</f>
        <v/>
      </c>
      <c r="K225" s="17">
        <f>G225-H225-J225</f>
        <v/>
      </c>
      <c r="L225" s="29">
        <f>IF(G225&gt;0,K225/G225,"")</f>
        <v/>
      </c>
      <c r="M225" s="6" t="n"/>
    </row>
    <row r="226">
      <c r="A226" s="32" t="n"/>
      <c r="B226" s="6" t="n"/>
      <c r="C226">
        <f>IF(B226="","",IFERROR(VLOOKUP(B226,'Recetas y precios'!$A$5:$B$54,2,FALSE),""))</f>
        <v/>
      </c>
      <c r="D226" s="6" t="n"/>
      <c r="E226" s="6" t="n"/>
      <c r="F226" s="11" t="n"/>
      <c r="G226" s="17">
        <f>E226*F226</f>
        <v/>
      </c>
      <c r="H226" s="17">
        <f>IF(B226="",0,E226*IFERROR(VLOOKUP(B226,'Recetas y precios'!$A$5:$T$54,20,FALSE),0))</f>
        <v/>
      </c>
      <c r="I226" s="27" t="n"/>
      <c r="J226" s="17">
        <f>G226*I226</f>
        <v/>
      </c>
      <c r="K226" s="17">
        <f>G226-H226-J226</f>
        <v/>
      </c>
      <c r="L226" s="29">
        <f>IF(G226&gt;0,K226/G226,"")</f>
        <v/>
      </c>
      <c r="M226" s="6" t="n"/>
    </row>
    <row r="227">
      <c r="A227" s="32" t="n"/>
      <c r="B227" s="6" t="n"/>
      <c r="C227">
        <f>IF(B227="","",IFERROR(VLOOKUP(B227,'Recetas y precios'!$A$5:$B$54,2,FALSE),""))</f>
        <v/>
      </c>
      <c r="D227" s="6" t="n"/>
      <c r="E227" s="6" t="n"/>
      <c r="F227" s="11" t="n"/>
      <c r="G227" s="17">
        <f>E227*F227</f>
        <v/>
      </c>
      <c r="H227" s="17">
        <f>IF(B227="",0,E227*IFERROR(VLOOKUP(B227,'Recetas y precios'!$A$5:$T$54,20,FALSE),0))</f>
        <v/>
      </c>
      <c r="I227" s="27" t="n"/>
      <c r="J227" s="17">
        <f>G227*I227</f>
        <v/>
      </c>
      <c r="K227" s="17">
        <f>G227-H227-J227</f>
        <v/>
      </c>
      <c r="L227" s="29">
        <f>IF(G227&gt;0,K227/G227,"")</f>
        <v/>
      </c>
      <c r="M227" s="6" t="n"/>
    </row>
    <row r="228">
      <c r="A228" s="32" t="n"/>
      <c r="B228" s="6" t="n"/>
      <c r="C228">
        <f>IF(B228="","",IFERROR(VLOOKUP(B228,'Recetas y precios'!$A$5:$B$54,2,FALSE),""))</f>
        <v/>
      </c>
      <c r="D228" s="6" t="n"/>
      <c r="E228" s="6" t="n"/>
      <c r="F228" s="11" t="n"/>
      <c r="G228" s="17">
        <f>E228*F228</f>
        <v/>
      </c>
      <c r="H228" s="17">
        <f>IF(B228="",0,E228*IFERROR(VLOOKUP(B228,'Recetas y precios'!$A$5:$T$54,20,FALSE),0))</f>
        <v/>
      </c>
      <c r="I228" s="27" t="n"/>
      <c r="J228" s="17">
        <f>G228*I228</f>
        <v/>
      </c>
      <c r="K228" s="17">
        <f>G228-H228-J228</f>
        <v/>
      </c>
      <c r="L228" s="29">
        <f>IF(G228&gt;0,K228/G228,"")</f>
        <v/>
      </c>
      <c r="M228" s="6" t="n"/>
    </row>
    <row r="229">
      <c r="A229" s="32" t="n"/>
      <c r="B229" s="6" t="n"/>
      <c r="C229">
        <f>IF(B229="","",IFERROR(VLOOKUP(B229,'Recetas y precios'!$A$5:$B$54,2,FALSE),""))</f>
        <v/>
      </c>
      <c r="D229" s="6" t="n"/>
      <c r="E229" s="6" t="n"/>
      <c r="F229" s="11" t="n"/>
      <c r="G229" s="17">
        <f>E229*F229</f>
        <v/>
      </c>
      <c r="H229" s="17">
        <f>IF(B229="",0,E229*IFERROR(VLOOKUP(B229,'Recetas y precios'!$A$5:$T$54,20,FALSE),0))</f>
        <v/>
      </c>
      <c r="I229" s="27" t="n"/>
      <c r="J229" s="17">
        <f>G229*I229</f>
        <v/>
      </c>
      <c r="K229" s="17">
        <f>G229-H229-J229</f>
        <v/>
      </c>
      <c r="L229" s="29">
        <f>IF(G229&gt;0,K229/G229,"")</f>
        <v/>
      </c>
      <c r="M229" s="6" t="n"/>
    </row>
    <row r="230">
      <c r="A230" s="32" t="n"/>
      <c r="B230" s="6" t="n"/>
      <c r="C230">
        <f>IF(B230="","",IFERROR(VLOOKUP(B230,'Recetas y precios'!$A$5:$B$54,2,FALSE),""))</f>
        <v/>
      </c>
      <c r="D230" s="6" t="n"/>
      <c r="E230" s="6" t="n"/>
      <c r="F230" s="11" t="n"/>
      <c r="G230" s="17">
        <f>E230*F230</f>
        <v/>
      </c>
      <c r="H230" s="17">
        <f>IF(B230="",0,E230*IFERROR(VLOOKUP(B230,'Recetas y precios'!$A$5:$T$54,20,FALSE),0))</f>
        <v/>
      </c>
      <c r="I230" s="27" t="n"/>
      <c r="J230" s="17">
        <f>G230*I230</f>
        <v/>
      </c>
      <c r="K230" s="17">
        <f>G230-H230-J230</f>
        <v/>
      </c>
      <c r="L230" s="29">
        <f>IF(G230&gt;0,K230/G230,"")</f>
        <v/>
      </c>
      <c r="M230" s="6" t="n"/>
    </row>
    <row r="231">
      <c r="A231" s="32" t="n"/>
      <c r="B231" s="6" t="n"/>
      <c r="C231">
        <f>IF(B231="","",IFERROR(VLOOKUP(B231,'Recetas y precios'!$A$5:$B$54,2,FALSE),""))</f>
        <v/>
      </c>
      <c r="D231" s="6" t="n"/>
      <c r="E231" s="6" t="n"/>
      <c r="F231" s="11" t="n"/>
      <c r="G231" s="17">
        <f>E231*F231</f>
        <v/>
      </c>
      <c r="H231" s="17">
        <f>IF(B231="",0,E231*IFERROR(VLOOKUP(B231,'Recetas y precios'!$A$5:$T$54,20,FALSE),0))</f>
        <v/>
      </c>
      <c r="I231" s="27" t="n"/>
      <c r="J231" s="17">
        <f>G231*I231</f>
        <v/>
      </c>
      <c r="K231" s="17">
        <f>G231-H231-J231</f>
        <v/>
      </c>
      <c r="L231" s="29">
        <f>IF(G231&gt;0,K231/G231,"")</f>
        <v/>
      </c>
      <c r="M231" s="6" t="n"/>
    </row>
    <row r="232">
      <c r="A232" s="32" t="n"/>
      <c r="B232" s="6" t="n"/>
      <c r="C232">
        <f>IF(B232="","",IFERROR(VLOOKUP(B232,'Recetas y precios'!$A$5:$B$54,2,FALSE),""))</f>
        <v/>
      </c>
      <c r="D232" s="6" t="n"/>
      <c r="E232" s="6" t="n"/>
      <c r="F232" s="11" t="n"/>
      <c r="G232" s="17">
        <f>E232*F232</f>
        <v/>
      </c>
      <c r="H232" s="17">
        <f>IF(B232="",0,E232*IFERROR(VLOOKUP(B232,'Recetas y precios'!$A$5:$T$54,20,FALSE),0))</f>
        <v/>
      </c>
      <c r="I232" s="27" t="n"/>
      <c r="J232" s="17">
        <f>G232*I232</f>
        <v/>
      </c>
      <c r="K232" s="17">
        <f>G232-H232-J232</f>
        <v/>
      </c>
      <c r="L232" s="29">
        <f>IF(G232&gt;0,K232/G232,"")</f>
        <v/>
      </c>
      <c r="M232" s="6" t="n"/>
    </row>
    <row r="233">
      <c r="A233" s="32" t="n"/>
      <c r="B233" s="6" t="n"/>
      <c r="C233">
        <f>IF(B233="","",IFERROR(VLOOKUP(B233,'Recetas y precios'!$A$5:$B$54,2,FALSE),""))</f>
        <v/>
      </c>
      <c r="D233" s="6" t="n"/>
      <c r="E233" s="6" t="n"/>
      <c r="F233" s="11" t="n"/>
      <c r="G233" s="17">
        <f>E233*F233</f>
        <v/>
      </c>
      <c r="H233" s="17">
        <f>IF(B233="",0,E233*IFERROR(VLOOKUP(B233,'Recetas y precios'!$A$5:$T$54,20,FALSE),0))</f>
        <v/>
      </c>
      <c r="I233" s="27" t="n"/>
      <c r="J233" s="17">
        <f>G233*I233</f>
        <v/>
      </c>
      <c r="K233" s="17">
        <f>G233-H233-J233</f>
        <v/>
      </c>
      <c r="L233" s="29">
        <f>IF(G233&gt;0,K233/G233,"")</f>
        <v/>
      </c>
      <c r="M233" s="6" t="n"/>
    </row>
    <row r="234">
      <c r="A234" s="32" t="n"/>
      <c r="B234" s="6" t="n"/>
      <c r="C234">
        <f>IF(B234="","",IFERROR(VLOOKUP(B234,'Recetas y precios'!$A$5:$B$54,2,FALSE),""))</f>
        <v/>
      </c>
      <c r="D234" s="6" t="n"/>
      <c r="E234" s="6" t="n"/>
      <c r="F234" s="11" t="n"/>
      <c r="G234" s="17">
        <f>E234*F234</f>
        <v/>
      </c>
      <c r="H234" s="17">
        <f>IF(B234="",0,E234*IFERROR(VLOOKUP(B234,'Recetas y precios'!$A$5:$T$54,20,FALSE),0))</f>
        <v/>
      </c>
      <c r="I234" s="27" t="n"/>
      <c r="J234" s="17">
        <f>G234*I234</f>
        <v/>
      </c>
      <c r="K234" s="17">
        <f>G234-H234-J234</f>
        <v/>
      </c>
      <c r="L234" s="29">
        <f>IF(G234&gt;0,K234/G234,"")</f>
        <v/>
      </c>
      <c r="M234" s="6" t="n"/>
    </row>
    <row r="235">
      <c r="A235" s="32" t="n"/>
      <c r="B235" s="6" t="n"/>
      <c r="C235">
        <f>IF(B235="","",IFERROR(VLOOKUP(B235,'Recetas y precios'!$A$5:$B$54,2,FALSE),""))</f>
        <v/>
      </c>
      <c r="D235" s="6" t="n"/>
      <c r="E235" s="6" t="n"/>
      <c r="F235" s="11" t="n"/>
      <c r="G235" s="17">
        <f>E235*F235</f>
        <v/>
      </c>
      <c r="H235" s="17">
        <f>IF(B235="",0,E235*IFERROR(VLOOKUP(B235,'Recetas y precios'!$A$5:$T$54,20,FALSE),0))</f>
        <v/>
      </c>
      <c r="I235" s="27" t="n"/>
      <c r="J235" s="17">
        <f>G235*I235</f>
        <v/>
      </c>
      <c r="K235" s="17">
        <f>G235-H235-J235</f>
        <v/>
      </c>
      <c r="L235" s="29">
        <f>IF(G235&gt;0,K235/G235,"")</f>
        <v/>
      </c>
      <c r="M235" s="6" t="n"/>
    </row>
    <row r="236">
      <c r="A236" s="32" t="n"/>
      <c r="B236" s="6" t="n"/>
      <c r="C236">
        <f>IF(B236="","",IFERROR(VLOOKUP(B236,'Recetas y precios'!$A$5:$B$54,2,FALSE),""))</f>
        <v/>
      </c>
      <c r="D236" s="6" t="n"/>
      <c r="E236" s="6" t="n"/>
      <c r="F236" s="11" t="n"/>
      <c r="G236" s="17">
        <f>E236*F236</f>
        <v/>
      </c>
      <c r="H236" s="17">
        <f>IF(B236="",0,E236*IFERROR(VLOOKUP(B236,'Recetas y precios'!$A$5:$T$54,20,FALSE),0))</f>
        <v/>
      </c>
      <c r="I236" s="27" t="n"/>
      <c r="J236" s="17">
        <f>G236*I236</f>
        <v/>
      </c>
      <c r="K236" s="17">
        <f>G236-H236-J236</f>
        <v/>
      </c>
      <c r="L236" s="29">
        <f>IF(G236&gt;0,K236/G236,"")</f>
        <v/>
      </c>
      <c r="M236" s="6" t="n"/>
    </row>
    <row r="237">
      <c r="A237" s="32" t="n"/>
      <c r="B237" s="6" t="n"/>
      <c r="C237">
        <f>IF(B237="","",IFERROR(VLOOKUP(B237,'Recetas y precios'!$A$5:$B$54,2,FALSE),""))</f>
        <v/>
      </c>
      <c r="D237" s="6" t="n"/>
      <c r="E237" s="6" t="n"/>
      <c r="F237" s="11" t="n"/>
      <c r="G237" s="17">
        <f>E237*F237</f>
        <v/>
      </c>
      <c r="H237" s="17">
        <f>IF(B237="",0,E237*IFERROR(VLOOKUP(B237,'Recetas y precios'!$A$5:$T$54,20,FALSE),0))</f>
        <v/>
      </c>
      <c r="I237" s="27" t="n"/>
      <c r="J237" s="17">
        <f>G237*I237</f>
        <v/>
      </c>
      <c r="K237" s="17">
        <f>G237-H237-J237</f>
        <v/>
      </c>
      <c r="L237" s="29">
        <f>IF(G237&gt;0,K237/G237,"")</f>
        <v/>
      </c>
      <c r="M237" s="6" t="n"/>
    </row>
    <row r="238">
      <c r="A238" s="32" t="n"/>
      <c r="B238" s="6" t="n"/>
      <c r="C238">
        <f>IF(B238="","",IFERROR(VLOOKUP(B238,'Recetas y precios'!$A$5:$B$54,2,FALSE),""))</f>
        <v/>
      </c>
      <c r="D238" s="6" t="n"/>
      <c r="E238" s="6" t="n"/>
      <c r="F238" s="11" t="n"/>
      <c r="G238" s="17">
        <f>E238*F238</f>
        <v/>
      </c>
      <c r="H238" s="17">
        <f>IF(B238="",0,E238*IFERROR(VLOOKUP(B238,'Recetas y precios'!$A$5:$T$54,20,FALSE),0))</f>
        <v/>
      </c>
      <c r="I238" s="27" t="n"/>
      <c r="J238" s="17">
        <f>G238*I238</f>
        <v/>
      </c>
      <c r="K238" s="17">
        <f>G238-H238-J238</f>
        <v/>
      </c>
      <c r="L238" s="29">
        <f>IF(G238&gt;0,K238/G238,"")</f>
        <v/>
      </c>
      <c r="M238" s="6" t="n"/>
    </row>
    <row r="239">
      <c r="A239" s="32" t="n"/>
      <c r="B239" s="6" t="n"/>
      <c r="C239">
        <f>IF(B239="","",IFERROR(VLOOKUP(B239,'Recetas y precios'!$A$5:$B$54,2,FALSE),""))</f>
        <v/>
      </c>
      <c r="D239" s="6" t="n"/>
      <c r="E239" s="6" t="n"/>
      <c r="F239" s="11" t="n"/>
      <c r="G239" s="17">
        <f>E239*F239</f>
        <v/>
      </c>
      <c r="H239" s="17">
        <f>IF(B239="",0,E239*IFERROR(VLOOKUP(B239,'Recetas y precios'!$A$5:$T$54,20,FALSE),0))</f>
        <v/>
      </c>
      <c r="I239" s="27" t="n"/>
      <c r="J239" s="17">
        <f>G239*I239</f>
        <v/>
      </c>
      <c r="K239" s="17">
        <f>G239-H239-J239</f>
        <v/>
      </c>
      <c r="L239" s="29">
        <f>IF(G239&gt;0,K239/G239,"")</f>
        <v/>
      </c>
      <c r="M239" s="6" t="n"/>
    </row>
    <row r="240">
      <c r="A240" s="32" t="n"/>
      <c r="B240" s="6" t="n"/>
      <c r="C240">
        <f>IF(B240="","",IFERROR(VLOOKUP(B240,'Recetas y precios'!$A$5:$B$54,2,FALSE),""))</f>
        <v/>
      </c>
      <c r="D240" s="6" t="n"/>
      <c r="E240" s="6" t="n"/>
      <c r="F240" s="11" t="n"/>
      <c r="G240" s="17">
        <f>E240*F240</f>
        <v/>
      </c>
      <c r="H240" s="17">
        <f>IF(B240="",0,E240*IFERROR(VLOOKUP(B240,'Recetas y precios'!$A$5:$T$54,20,FALSE),0))</f>
        <v/>
      </c>
      <c r="I240" s="27" t="n"/>
      <c r="J240" s="17">
        <f>G240*I240</f>
        <v/>
      </c>
      <c r="K240" s="17">
        <f>G240-H240-J240</f>
        <v/>
      </c>
      <c r="L240" s="29">
        <f>IF(G240&gt;0,K240/G240,"")</f>
        <v/>
      </c>
      <c r="M240" s="6" t="n"/>
    </row>
    <row r="241">
      <c r="A241" s="32" t="n"/>
      <c r="B241" s="6" t="n"/>
      <c r="C241">
        <f>IF(B241="","",IFERROR(VLOOKUP(B241,'Recetas y precios'!$A$5:$B$54,2,FALSE),""))</f>
        <v/>
      </c>
      <c r="D241" s="6" t="n"/>
      <c r="E241" s="6" t="n"/>
      <c r="F241" s="11" t="n"/>
      <c r="G241" s="17">
        <f>E241*F241</f>
        <v/>
      </c>
      <c r="H241" s="17">
        <f>IF(B241="",0,E241*IFERROR(VLOOKUP(B241,'Recetas y precios'!$A$5:$T$54,20,FALSE),0))</f>
        <v/>
      </c>
      <c r="I241" s="27" t="n"/>
      <c r="J241" s="17">
        <f>G241*I241</f>
        <v/>
      </c>
      <c r="K241" s="17">
        <f>G241-H241-J241</f>
        <v/>
      </c>
      <c r="L241" s="29">
        <f>IF(G241&gt;0,K241/G241,"")</f>
        <v/>
      </c>
      <c r="M241" s="6" t="n"/>
    </row>
    <row r="242">
      <c r="A242" s="32" t="n"/>
      <c r="B242" s="6" t="n"/>
      <c r="C242">
        <f>IF(B242="","",IFERROR(VLOOKUP(B242,'Recetas y precios'!$A$5:$B$54,2,FALSE),""))</f>
        <v/>
      </c>
      <c r="D242" s="6" t="n"/>
      <c r="E242" s="6" t="n"/>
      <c r="F242" s="11" t="n"/>
      <c r="G242" s="17">
        <f>E242*F242</f>
        <v/>
      </c>
      <c r="H242" s="17">
        <f>IF(B242="",0,E242*IFERROR(VLOOKUP(B242,'Recetas y precios'!$A$5:$T$54,20,FALSE),0))</f>
        <v/>
      </c>
      <c r="I242" s="27" t="n"/>
      <c r="J242" s="17">
        <f>G242*I242</f>
        <v/>
      </c>
      <c r="K242" s="17">
        <f>G242-H242-J242</f>
        <v/>
      </c>
      <c r="L242" s="29">
        <f>IF(G242&gt;0,K242/G242,"")</f>
        <v/>
      </c>
      <c r="M242" s="6" t="n"/>
    </row>
    <row r="243">
      <c r="A243" s="32" t="n"/>
      <c r="B243" s="6" t="n"/>
      <c r="C243">
        <f>IF(B243="","",IFERROR(VLOOKUP(B243,'Recetas y precios'!$A$5:$B$54,2,FALSE),""))</f>
        <v/>
      </c>
      <c r="D243" s="6" t="n"/>
      <c r="E243" s="6" t="n"/>
      <c r="F243" s="11" t="n"/>
      <c r="G243" s="17">
        <f>E243*F243</f>
        <v/>
      </c>
      <c r="H243" s="17">
        <f>IF(B243="",0,E243*IFERROR(VLOOKUP(B243,'Recetas y precios'!$A$5:$T$54,20,FALSE),0))</f>
        <v/>
      </c>
      <c r="I243" s="27" t="n"/>
      <c r="J243" s="17">
        <f>G243*I243</f>
        <v/>
      </c>
      <c r="K243" s="17">
        <f>G243-H243-J243</f>
        <v/>
      </c>
      <c r="L243" s="29">
        <f>IF(G243&gt;0,K243/G243,"")</f>
        <v/>
      </c>
      <c r="M243" s="6" t="n"/>
    </row>
    <row r="244">
      <c r="A244" s="32" t="n"/>
      <c r="B244" s="6" t="n"/>
      <c r="C244">
        <f>IF(B244="","",IFERROR(VLOOKUP(B244,'Recetas y precios'!$A$5:$B$54,2,FALSE),""))</f>
        <v/>
      </c>
      <c r="D244" s="6" t="n"/>
      <c r="E244" s="6" t="n"/>
      <c r="F244" s="11" t="n"/>
      <c r="G244" s="17">
        <f>E244*F244</f>
        <v/>
      </c>
      <c r="H244" s="17">
        <f>IF(B244="",0,E244*IFERROR(VLOOKUP(B244,'Recetas y precios'!$A$5:$T$54,20,FALSE),0))</f>
        <v/>
      </c>
      <c r="I244" s="27" t="n"/>
      <c r="J244" s="17">
        <f>G244*I244</f>
        <v/>
      </c>
      <c r="K244" s="17">
        <f>G244-H244-J244</f>
        <v/>
      </c>
      <c r="L244" s="29">
        <f>IF(G244&gt;0,K244/G244,"")</f>
        <v/>
      </c>
      <c r="M244" s="6" t="n"/>
    </row>
    <row r="245">
      <c r="A245" s="32" t="n"/>
      <c r="B245" s="6" t="n"/>
      <c r="C245">
        <f>IF(B245="","",IFERROR(VLOOKUP(B245,'Recetas y precios'!$A$5:$B$54,2,FALSE),""))</f>
        <v/>
      </c>
      <c r="D245" s="6" t="n"/>
      <c r="E245" s="6" t="n"/>
      <c r="F245" s="11" t="n"/>
      <c r="G245" s="17">
        <f>E245*F245</f>
        <v/>
      </c>
      <c r="H245" s="17">
        <f>IF(B245="",0,E245*IFERROR(VLOOKUP(B245,'Recetas y precios'!$A$5:$T$54,20,FALSE),0))</f>
        <v/>
      </c>
      <c r="I245" s="27" t="n"/>
      <c r="J245" s="17">
        <f>G245*I245</f>
        <v/>
      </c>
      <c r="K245" s="17">
        <f>G245-H245-J245</f>
        <v/>
      </c>
      <c r="L245" s="29">
        <f>IF(G245&gt;0,K245/G245,"")</f>
        <v/>
      </c>
      <c r="M245" s="6" t="n"/>
    </row>
    <row r="246">
      <c r="A246" s="32" t="n"/>
      <c r="B246" s="6" t="n"/>
      <c r="C246">
        <f>IF(B246="","",IFERROR(VLOOKUP(B246,'Recetas y precios'!$A$5:$B$54,2,FALSE),""))</f>
        <v/>
      </c>
      <c r="D246" s="6" t="n"/>
      <c r="E246" s="6" t="n"/>
      <c r="F246" s="11" t="n"/>
      <c r="G246" s="17">
        <f>E246*F246</f>
        <v/>
      </c>
      <c r="H246" s="17">
        <f>IF(B246="",0,E246*IFERROR(VLOOKUP(B246,'Recetas y precios'!$A$5:$T$54,20,FALSE),0))</f>
        <v/>
      </c>
      <c r="I246" s="27" t="n"/>
      <c r="J246" s="17">
        <f>G246*I246</f>
        <v/>
      </c>
      <c r="K246" s="17">
        <f>G246-H246-J246</f>
        <v/>
      </c>
      <c r="L246" s="29">
        <f>IF(G246&gt;0,K246/G246,"")</f>
        <v/>
      </c>
      <c r="M246" s="6" t="n"/>
    </row>
    <row r="247">
      <c r="A247" s="32" t="n"/>
      <c r="B247" s="6" t="n"/>
      <c r="C247">
        <f>IF(B247="","",IFERROR(VLOOKUP(B247,'Recetas y precios'!$A$5:$B$54,2,FALSE),""))</f>
        <v/>
      </c>
      <c r="D247" s="6" t="n"/>
      <c r="E247" s="6" t="n"/>
      <c r="F247" s="11" t="n"/>
      <c r="G247" s="17">
        <f>E247*F247</f>
        <v/>
      </c>
      <c r="H247" s="17">
        <f>IF(B247="",0,E247*IFERROR(VLOOKUP(B247,'Recetas y precios'!$A$5:$T$54,20,FALSE),0))</f>
        <v/>
      </c>
      <c r="I247" s="27" t="n"/>
      <c r="J247" s="17">
        <f>G247*I247</f>
        <v/>
      </c>
      <c r="K247" s="17">
        <f>G247-H247-J247</f>
        <v/>
      </c>
      <c r="L247" s="29">
        <f>IF(G247&gt;0,K247/G247,"")</f>
        <v/>
      </c>
      <c r="M247" s="6" t="n"/>
    </row>
    <row r="248">
      <c r="A248" s="32" t="n"/>
      <c r="B248" s="6" t="n"/>
      <c r="C248">
        <f>IF(B248="","",IFERROR(VLOOKUP(B248,'Recetas y precios'!$A$5:$B$54,2,FALSE),""))</f>
        <v/>
      </c>
      <c r="D248" s="6" t="n"/>
      <c r="E248" s="6" t="n"/>
      <c r="F248" s="11" t="n"/>
      <c r="G248" s="17">
        <f>E248*F248</f>
        <v/>
      </c>
      <c r="H248" s="17">
        <f>IF(B248="",0,E248*IFERROR(VLOOKUP(B248,'Recetas y precios'!$A$5:$T$54,20,FALSE),0))</f>
        <v/>
      </c>
      <c r="I248" s="27" t="n"/>
      <c r="J248" s="17">
        <f>G248*I248</f>
        <v/>
      </c>
      <c r="K248" s="17">
        <f>G248-H248-J248</f>
        <v/>
      </c>
      <c r="L248" s="29">
        <f>IF(G248&gt;0,K248/G248,"")</f>
        <v/>
      </c>
      <c r="M248" s="6" t="n"/>
    </row>
    <row r="249">
      <c r="A249" s="32" t="n"/>
      <c r="B249" s="6" t="n"/>
      <c r="C249">
        <f>IF(B249="","",IFERROR(VLOOKUP(B249,'Recetas y precios'!$A$5:$B$54,2,FALSE),""))</f>
        <v/>
      </c>
      <c r="D249" s="6" t="n"/>
      <c r="E249" s="6" t="n"/>
      <c r="F249" s="11" t="n"/>
      <c r="G249" s="17">
        <f>E249*F249</f>
        <v/>
      </c>
      <c r="H249" s="17">
        <f>IF(B249="",0,E249*IFERROR(VLOOKUP(B249,'Recetas y precios'!$A$5:$T$54,20,FALSE),0))</f>
        <v/>
      </c>
      <c r="I249" s="27" t="n"/>
      <c r="J249" s="17">
        <f>G249*I249</f>
        <v/>
      </c>
      <c r="K249" s="17">
        <f>G249-H249-J249</f>
        <v/>
      </c>
      <c r="L249" s="29">
        <f>IF(G249&gt;0,K249/G249,"")</f>
        <v/>
      </c>
      <c r="M249" s="6" t="n"/>
    </row>
    <row r="250">
      <c r="A250" s="32" t="n"/>
      <c r="B250" s="6" t="n"/>
      <c r="C250">
        <f>IF(B250="","",IFERROR(VLOOKUP(B250,'Recetas y precios'!$A$5:$B$54,2,FALSE),""))</f>
        <v/>
      </c>
      <c r="D250" s="6" t="n"/>
      <c r="E250" s="6" t="n"/>
      <c r="F250" s="11" t="n"/>
      <c r="G250" s="17">
        <f>E250*F250</f>
        <v/>
      </c>
      <c r="H250" s="17">
        <f>IF(B250="",0,E250*IFERROR(VLOOKUP(B250,'Recetas y precios'!$A$5:$T$54,20,FALSE),0))</f>
        <v/>
      </c>
      <c r="I250" s="27" t="n"/>
      <c r="J250" s="17">
        <f>G250*I250</f>
        <v/>
      </c>
      <c r="K250" s="17">
        <f>G250-H250-J250</f>
        <v/>
      </c>
      <c r="L250" s="29">
        <f>IF(G250&gt;0,K250/G250,"")</f>
        <v/>
      </c>
      <c r="M250" s="6" t="n"/>
    </row>
    <row r="251">
      <c r="A251" s="32" t="n"/>
      <c r="B251" s="6" t="n"/>
      <c r="C251">
        <f>IF(B251="","",IFERROR(VLOOKUP(B251,'Recetas y precios'!$A$5:$B$54,2,FALSE),""))</f>
        <v/>
      </c>
      <c r="D251" s="6" t="n"/>
      <c r="E251" s="6" t="n"/>
      <c r="F251" s="11" t="n"/>
      <c r="G251" s="17">
        <f>E251*F251</f>
        <v/>
      </c>
      <c r="H251" s="17">
        <f>IF(B251="",0,E251*IFERROR(VLOOKUP(B251,'Recetas y precios'!$A$5:$T$54,20,FALSE),0))</f>
        <v/>
      </c>
      <c r="I251" s="27" t="n"/>
      <c r="J251" s="17">
        <f>G251*I251</f>
        <v/>
      </c>
      <c r="K251" s="17">
        <f>G251-H251-J251</f>
        <v/>
      </c>
      <c r="L251" s="29">
        <f>IF(G251&gt;0,K251/G251,"")</f>
        <v/>
      </c>
      <c r="M251" s="6" t="n"/>
    </row>
    <row r="252">
      <c r="A252" s="32" t="n"/>
      <c r="B252" s="6" t="n"/>
      <c r="C252">
        <f>IF(B252="","",IFERROR(VLOOKUP(B252,'Recetas y precios'!$A$5:$B$54,2,FALSE),""))</f>
        <v/>
      </c>
      <c r="D252" s="6" t="n"/>
      <c r="E252" s="6" t="n"/>
      <c r="F252" s="11" t="n"/>
      <c r="G252" s="17">
        <f>E252*F252</f>
        <v/>
      </c>
      <c r="H252" s="17">
        <f>IF(B252="",0,E252*IFERROR(VLOOKUP(B252,'Recetas y precios'!$A$5:$T$54,20,FALSE),0))</f>
        <v/>
      </c>
      <c r="I252" s="27" t="n"/>
      <c r="J252" s="17">
        <f>G252*I252</f>
        <v/>
      </c>
      <c r="K252" s="17">
        <f>G252-H252-J252</f>
        <v/>
      </c>
      <c r="L252" s="29">
        <f>IF(G252&gt;0,K252/G252,"")</f>
        <v/>
      </c>
      <c r="M252" s="6" t="n"/>
    </row>
    <row r="253">
      <c r="A253" s="32" t="n"/>
      <c r="B253" s="6" t="n"/>
      <c r="C253">
        <f>IF(B253="","",IFERROR(VLOOKUP(B253,'Recetas y precios'!$A$5:$B$54,2,FALSE),""))</f>
        <v/>
      </c>
      <c r="D253" s="6" t="n"/>
      <c r="E253" s="6" t="n"/>
      <c r="F253" s="11" t="n"/>
      <c r="G253" s="17">
        <f>E253*F253</f>
        <v/>
      </c>
      <c r="H253" s="17">
        <f>IF(B253="",0,E253*IFERROR(VLOOKUP(B253,'Recetas y precios'!$A$5:$T$54,20,FALSE),0))</f>
        <v/>
      </c>
      <c r="I253" s="27" t="n"/>
      <c r="J253" s="17">
        <f>G253*I253</f>
        <v/>
      </c>
      <c r="K253" s="17">
        <f>G253-H253-J253</f>
        <v/>
      </c>
      <c r="L253" s="29">
        <f>IF(G253&gt;0,K253/G253,"")</f>
        <v/>
      </c>
      <c r="M253" s="6" t="n"/>
    </row>
    <row r="254">
      <c r="A254" s="32" t="n"/>
      <c r="B254" s="6" t="n"/>
      <c r="C254">
        <f>IF(B254="","",IFERROR(VLOOKUP(B254,'Recetas y precios'!$A$5:$B$54,2,FALSE),""))</f>
        <v/>
      </c>
      <c r="D254" s="6" t="n"/>
      <c r="E254" s="6" t="n"/>
      <c r="F254" s="11" t="n"/>
      <c r="G254" s="17">
        <f>E254*F254</f>
        <v/>
      </c>
      <c r="H254" s="17">
        <f>IF(B254="",0,E254*IFERROR(VLOOKUP(B254,'Recetas y precios'!$A$5:$T$54,20,FALSE),0))</f>
        <v/>
      </c>
      <c r="I254" s="27" t="n"/>
      <c r="J254" s="17">
        <f>G254*I254</f>
        <v/>
      </c>
      <c r="K254" s="17">
        <f>G254-H254-J254</f>
        <v/>
      </c>
      <c r="L254" s="29">
        <f>IF(G254&gt;0,K254/G254,"")</f>
        <v/>
      </c>
      <c r="M254" s="6" t="n"/>
    </row>
    <row r="255">
      <c r="A255" s="32" t="n"/>
      <c r="B255" s="6" t="n"/>
      <c r="C255">
        <f>IF(B255="","",IFERROR(VLOOKUP(B255,'Recetas y precios'!$A$5:$B$54,2,FALSE),""))</f>
        <v/>
      </c>
      <c r="D255" s="6" t="n"/>
      <c r="E255" s="6" t="n"/>
      <c r="F255" s="11" t="n"/>
      <c r="G255" s="17">
        <f>E255*F255</f>
        <v/>
      </c>
      <c r="H255" s="17">
        <f>IF(B255="",0,E255*IFERROR(VLOOKUP(B255,'Recetas y precios'!$A$5:$T$54,20,FALSE),0))</f>
        <v/>
      </c>
      <c r="I255" s="27" t="n"/>
      <c r="J255" s="17">
        <f>G255*I255</f>
        <v/>
      </c>
      <c r="K255" s="17">
        <f>G255-H255-J255</f>
        <v/>
      </c>
      <c r="L255" s="29">
        <f>IF(G255&gt;0,K255/G255,"")</f>
        <v/>
      </c>
      <c r="M255" s="6" t="n"/>
    </row>
    <row r="256">
      <c r="A256" s="32" t="n"/>
      <c r="B256" s="6" t="n"/>
      <c r="C256">
        <f>IF(B256="","",IFERROR(VLOOKUP(B256,'Recetas y precios'!$A$5:$B$54,2,FALSE),""))</f>
        <v/>
      </c>
      <c r="D256" s="6" t="n"/>
      <c r="E256" s="6" t="n"/>
      <c r="F256" s="11" t="n"/>
      <c r="G256" s="17">
        <f>E256*F256</f>
        <v/>
      </c>
      <c r="H256" s="17">
        <f>IF(B256="",0,E256*IFERROR(VLOOKUP(B256,'Recetas y precios'!$A$5:$T$54,20,FALSE),0))</f>
        <v/>
      </c>
      <c r="I256" s="27" t="n"/>
      <c r="J256" s="17">
        <f>G256*I256</f>
        <v/>
      </c>
      <c r="K256" s="17">
        <f>G256-H256-J256</f>
        <v/>
      </c>
      <c r="L256" s="29">
        <f>IF(G256&gt;0,K256/G256,"")</f>
        <v/>
      </c>
      <c r="M256" s="6" t="n"/>
    </row>
    <row r="257">
      <c r="A257" s="32" t="n"/>
      <c r="B257" s="6" t="n"/>
      <c r="C257">
        <f>IF(B257="","",IFERROR(VLOOKUP(B257,'Recetas y precios'!$A$5:$B$54,2,FALSE),""))</f>
        <v/>
      </c>
      <c r="D257" s="6" t="n"/>
      <c r="E257" s="6" t="n"/>
      <c r="F257" s="11" t="n"/>
      <c r="G257" s="17">
        <f>E257*F257</f>
        <v/>
      </c>
      <c r="H257" s="17">
        <f>IF(B257="",0,E257*IFERROR(VLOOKUP(B257,'Recetas y precios'!$A$5:$T$54,20,FALSE),0))</f>
        <v/>
      </c>
      <c r="I257" s="27" t="n"/>
      <c r="J257" s="17">
        <f>G257*I257</f>
        <v/>
      </c>
      <c r="K257" s="17">
        <f>G257-H257-J257</f>
        <v/>
      </c>
      <c r="L257" s="29">
        <f>IF(G257&gt;0,K257/G257,"")</f>
        <v/>
      </c>
      <c r="M257" s="6" t="n"/>
    </row>
    <row r="258">
      <c r="A258" s="32" t="n"/>
      <c r="B258" s="6" t="n"/>
      <c r="C258">
        <f>IF(B258="","",IFERROR(VLOOKUP(B258,'Recetas y precios'!$A$5:$B$54,2,FALSE),""))</f>
        <v/>
      </c>
      <c r="D258" s="6" t="n"/>
      <c r="E258" s="6" t="n"/>
      <c r="F258" s="11" t="n"/>
      <c r="G258" s="17">
        <f>E258*F258</f>
        <v/>
      </c>
      <c r="H258" s="17">
        <f>IF(B258="",0,E258*IFERROR(VLOOKUP(B258,'Recetas y precios'!$A$5:$T$54,20,FALSE),0))</f>
        <v/>
      </c>
      <c r="I258" s="27" t="n"/>
      <c r="J258" s="17">
        <f>G258*I258</f>
        <v/>
      </c>
      <c r="K258" s="17">
        <f>G258-H258-J258</f>
        <v/>
      </c>
      <c r="L258" s="29">
        <f>IF(G258&gt;0,K258/G258,"")</f>
        <v/>
      </c>
      <c r="M258" s="6" t="n"/>
    </row>
    <row r="259">
      <c r="A259" s="32" t="n"/>
      <c r="B259" s="6" t="n"/>
      <c r="C259">
        <f>IF(B259="","",IFERROR(VLOOKUP(B259,'Recetas y precios'!$A$5:$B$54,2,FALSE),""))</f>
        <v/>
      </c>
      <c r="D259" s="6" t="n"/>
      <c r="E259" s="6" t="n"/>
      <c r="F259" s="11" t="n"/>
      <c r="G259" s="17">
        <f>E259*F259</f>
        <v/>
      </c>
      <c r="H259" s="17">
        <f>IF(B259="",0,E259*IFERROR(VLOOKUP(B259,'Recetas y precios'!$A$5:$T$54,20,FALSE),0))</f>
        <v/>
      </c>
      <c r="I259" s="27" t="n"/>
      <c r="J259" s="17">
        <f>G259*I259</f>
        <v/>
      </c>
      <c r="K259" s="17">
        <f>G259-H259-J259</f>
        <v/>
      </c>
      <c r="L259" s="29">
        <f>IF(G259&gt;0,K259/G259,"")</f>
        <v/>
      </c>
      <c r="M259" s="6" t="n"/>
    </row>
    <row r="260">
      <c r="A260" s="32" t="n"/>
      <c r="B260" s="6" t="n"/>
      <c r="C260">
        <f>IF(B260="","",IFERROR(VLOOKUP(B260,'Recetas y precios'!$A$5:$B$54,2,FALSE),""))</f>
        <v/>
      </c>
      <c r="D260" s="6" t="n"/>
      <c r="E260" s="6" t="n"/>
      <c r="F260" s="11" t="n"/>
      <c r="G260" s="17">
        <f>E260*F260</f>
        <v/>
      </c>
      <c r="H260" s="17">
        <f>IF(B260="",0,E260*IFERROR(VLOOKUP(B260,'Recetas y precios'!$A$5:$T$54,20,FALSE),0))</f>
        <v/>
      </c>
      <c r="I260" s="27" t="n"/>
      <c r="J260" s="17">
        <f>G260*I260</f>
        <v/>
      </c>
      <c r="K260" s="17">
        <f>G260-H260-J260</f>
        <v/>
      </c>
      <c r="L260" s="29">
        <f>IF(G260&gt;0,K260/G260,"")</f>
        <v/>
      </c>
      <c r="M260" s="6" t="n"/>
    </row>
    <row r="261">
      <c r="A261" s="32" t="n"/>
      <c r="B261" s="6" t="n"/>
      <c r="C261">
        <f>IF(B261="","",IFERROR(VLOOKUP(B261,'Recetas y precios'!$A$5:$B$54,2,FALSE),""))</f>
        <v/>
      </c>
      <c r="D261" s="6" t="n"/>
      <c r="E261" s="6" t="n"/>
      <c r="F261" s="11" t="n"/>
      <c r="G261" s="17">
        <f>E261*F261</f>
        <v/>
      </c>
      <c r="H261" s="17">
        <f>IF(B261="",0,E261*IFERROR(VLOOKUP(B261,'Recetas y precios'!$A$5:$T$54,20,FALSE),0))</f>
        <v/>
      </c>
      <c r="I261" s="27" t="n"/>
      <c r="J261" s="17">
        <f>G261*I261</f>
        <v/>
      </c>
      <c r="K261" s="17">
        <f>G261-H261-J261</f>
        <v/>
      </c>
      <c r="L261" s="29">
        <f>IF(G261&gt;0,K261/G261,"")</f>
        <v/>
      </c>
      <c r="M261" s="6" t="n"/>
    </row>
    <row r="262">
      <c r="A262" s="32" t="n"/>
      <c r="B262" s="6" t="n"/>
      <c r="C262">
        <f>IF(B262="","",IFERROR(VLOOKUP(B262,'Recetas y precios'!$A$5:$B$54,2,FALSE),""))</f>
        <v/>
      </c>
      <c r="D262" s="6" t="n"/>
      <c r="E262" s="6" t="n"/>
      <c r="F262" s="11" t="n"/>
      <c r="G262" s="17">
        <f>E262*F262</f>
        <v/>
      </c>
      <c r="H262" s="17">
        <f>IF(B262="",0,E262*IFERROR(VLOOKUP(B262,'Recetas y precios'!$A$5:$T$54,20,FALSE),0))</f>
        <v/>
      </c>
      <c r="I262" s="27" t="n"/>
      <c r="J262" s="17">
        <f>G262*I262</f>
        <v/>
      </c>
      <c r="K262" s="17">
        <f>G262-H262-J262</f>
        <v/>
      </c>
      <c r="L262" s="29">
        <f>IF(G262&gt;0,K262/G262,"")</f>
        <v/>
      </c>
      <c r="M262" s="6" t="n"/>
    </row>
    <row r="263">
      <c r="A263" s="32" t="n"/>
      <c r="B263" s="6" t="n"/>
      <c r="C263">
        <f>IF(B263="","",IFERROR(VLOOKUP(B263,'Recetas y precios'!$A$5:$B$54,2,FALSE),""))</f>
        <v/>
      </c>
      <c r="D263" s="6" t="n"/>
      <c r="E263" s="6" t="n"/>
      <c r="F263" s="11" t="n"/>
      <c r="G263" s="17">
        <f>E263*F263</f>
        <v/>
      </c>
      <c r="H263" s="17">
        <f>IF(B263="",0,E263*IFERROR(VLOOKUP(B263,'Recetas y precios'!$A$5:$T$54,20,FALSE),0))</f>
        <v/>
      </c>
      <c r="I263" s="27" t="n"/>
      <c r="J263" s="17">
        <f>G263*I263</f>
        <v/>
      </c>
      <c r="K263" s="17">
        <f>G263-H263-J263</f>
        <v/>
      </c>
      <c r="L263" s="29">
        <f>IF(G263&gt;0,K263/G263,"")</f>
        <v/>
      </c>
      <c r="M263" s="6" t="n"/>
    </row>
    <row r="264">
      <c r="A264" s="32" t="n"/>
      <c r="B264" s="6" t="n"/>
      <c r="C264">
        <f>IF(B264="","",IFERROR(VLOOKUP(B264,'Recetas y precios'!$A$5:$B$54,2,FALSE),""))</f>
        <v/>
      </c>
      <c r="D264" s="6" t="n"/>
      <c r="E264" s="6" t="n"/>
      <c r="F264" s="11" t="n"/>
      <c r="G264" s="17">
        <f>E264*F264</f>
        <v/>
      </c>
      <c r="H264" s="17">
        <f>IF(B264="",0,E264*IFERROR(VLOOKUP(B264,'Recetas y precios'!$A$5:$T$54,20,FALSE),0))</f>
        <v/>
      </c>
      <c r="I264" s="27" t="n"/>
      <c r="J264" s="17">
        <f>G264*I264</f>
        <v/>
      </c>
      <c r="K264" s="17">
        <f>G264-H264-J264</f>
        <v/>
      </c>
      <c r="L264" s="29">
        <f>IF(G264&gt;0,K264/G264,"")</f>
        <v/>
      </c>
      <c r="M264" s="6" t="n"/>
    </row>
    <row r="265">
      <c r="A265" s="32" t="n"/>
      <c r="B265" s="6" t="n"/>
      <c r="C265">
        <f>IF(B265="","",IFERROR(VLOOKUP(B265,'Recetas y precios'!$A$5:$B$54,2,FALSE),""))</f>
        <v/>
      </c>
      <c r="D265" s="6" t="n"/>
      <c r="E265" s="6" t="n"/>
      <c r="F265" s="11" t="n"/>
      <c r="G265" s="17">
        <f>E265*F265</f>
        <v/>
      </c>
      <c r="H265" s="17">
        <f>IF(B265="",0,E265*IFERROR(VLOOKUP(B265,'Recetas y precios'!$A$5:$T$54,20,FALSE),0))</f>
        <v/>
      </c>
      <c r="I265" s="27" t="n"/>
      <c r="J265" s="17">
        <f>G265*I265</f>
        <v/>
      </c>
      <c r="K265" s="17">
        <f>G265-H265-J265</f>
        <v/>
      </c>
      <c r="L265" s="29">
        <f>IF(G265&gt;0,K265/G265,"")</f>
        <v/>
      </c>
      <c r="M265" s="6" t="n"/>
    </row>
    <row r="266">
      <c r="A266" s="32" t="n"/>
      <c r="B266" s="6" t="n"/>
      <c r="C266">
        <f>IF(B266="","",IFERROR(VLOOKUP(B266,'Recetas y precios'!$A$5:$B$54,2,FALSE),""))</f>
        <v/>
      </c>
      <c r="D266" s="6" t="n"/>
      <c r="E266" s="6" t="n"/>
      <c r="F266" s="11" t="n"/>
      <c r="G266" s="17">
        <f>E266*F266</f>
        <v/>
      </c>
      <c r="H266" s="17">
        <f>IF(B266="",0,E266*IFERROR(VLOOKUP(B266,'Recetas y precios'!$A$5:$T$54,20,FALSE),0))</f>
        <v/>
      </c>
      <c r="I266" s="27" t="n"/>
      <c r="J266" s="17">
        <f>G266*I266</f>
        <v/>
      </c>
      <c r="K266" s="17">
        <f>G266-H266-J266</f>
        <v/>
      </c>
      <c r="L266" s="29">
        <f>IF(G266&gt;0,K266/G266,"")</f>
        <v/>
      </c>
      <c r="M266" s="6" t="n"/>
    </row>
    <row r="267">
      <c r="A267" s="32" t="n"/>
      <c r="B267" s="6" t="n"/>
      <c r="C267">
        <f>IF(B267="","",IFERROR(VLOOKUP(B267,'Recetas y precios'!$A$5:$B$54,2,FALSE),""))</f>
        <v/>
      </c>
      <c r="D267" s="6" t="n"/>
      <c r="E267" s="6" t="n"/>
      <c r="F267" s="11" t="n"/>
      <c r="G267" s="17">
        <f>E267*F267</f>
        <v/>
      </c>
      <c r="H267" s="17">
        <f>IF(B267="",0,E267*IFERROR(VLOOKUP(B267,'Recetas y precios'!$A$5:$T$54,20,FALSE),0))</f>
        <v/>
      </c>
      <c r="I267" s="27" t="n"/>
      <c r="J267" s="17">
        <f>G267*I267</f>
        <v/>
      </c>
      <c r="K267" s="17">
        <f>G267-H267-J267</f>
        <v/>
      </c>
      <c r="L267" s="29">
        <f>IF(G267&gt;0,K267/G267,"")</f>
        <v/>
      </c>
      <c r="M267" s="6" t="n"/>
    </row>
    <row r="268">
      <c r="A268" s="32" t="n"/>
      <c r="B268" s="6" t="n"/>
      <c r="C268">
        <f>IF(B268="","",IFERROR(VLOOKUP(B268,'Recetas y precios'!$A$5:$B$54,2,FALSE),""))</f>
        <v/>
      </c>
      <c r="D268" s="6" t="n"/>
      <c r="E268" s="6" t="n"/>
      <c r="F268" s="11" t="n"/>
      <c r="G268" s="17">
        <f>E268*F268</f>
        <v/>
      </c>
      <c r="H268" s="17">
        <f>IF(B268="",0,E268*IFERROR(VLOOKUP(B268,'Recetas y precios'!$A$5:$T$54,20,FALSE),0))</f>
        <v/>
      </c>
      <c r="I268" s="27" t="n"/>
      <c r="J268" s="17">
        <f>G268*I268</f>
        <v/>
      </c>
      <c r="K268" s="17">
        <f>G268-H268-J268</f>
        <v/>
      </c>
      <c r="L268" s="29">
        <f>IF(G268&gt;0,K268/G268,"")</f>
        <v/>
      </c>
      <c r="M268" s="6" t="n"/>
    </row>
    <row r="269">
      <c r="A269" s="32" t="n"/>
      <c r="B269" s="6" t="n"/>
      <c r="C269">
        <f>IF(B269="","",IFERROR(VLOOKUP(B269,'Recetas y precios'!$A$5:$B$54,2,FALSE),""))</f>
        <v/>
      </c>
      <c r="D269" s="6" t="n"/>
      <c r="E269" s="6" t="n"/>
      <c r="F269" s="11" t="n"/>
      <c r="G269" s="17">
        <f>E269*F269</f>
        <v/>
      </c>
      <c r="H269" s="17">
        <f>IF(B269="",0,E269*IFERROR(VLOOKUP(B269,'Recetas y precios'!$A$5:$T$54,20,FALSE),0))</f>
        <v/>
      </c>
      <c r="I269" s="27" t="n"/>
      <c r="J269" s="17">
        <f>G269*I269</f>
        <v/>
      </c>
      <c r="K269" s="17">
        <f>G269-H269-J269</f>
        <v/>
      </c>
      <c r="L269" s="29">
        <f>IF(G269&gt;0,K269/G269,"")</f>
        <v/>
      </c>
      <c r="M269" s="6" t="n"/>
    </row>
    <row r="270">
      <c r="A270" s="32" t="n"/>
      <c r="B270" s="6" t="n"/>
      <c r="C270">
        <f>IF(B270="","",IFERROR(VLOOKUP(B270,'Recetas y precios'!$A$5:$B$54,2,FALSE),""))</f>
        <v/>
      </c>
      <c r="D270" s="6" t="n"/>
      <c r="E270" s="6" t="n"/>
      <c r="F270" s="11" t="n"/>
      <c r="G270" s="17">
        <f>E270*F270</f>
        <v/>
      </c>
      <c r="H270" s="17">
        <f>IF(B270="",0,E270*IFERROR(VLOOKUP(B270,'Recetas y precios'!$A$5:$T$54,20,FALSE),0))</f>
        <v/>
      </c>
      <c r="I270" s="27" t="n"/>
      <c r="J270" s="17">
        <f>G270*I270</f>
        <v/>
      </c>
      <c r="K270" s="17">
        <f>G270-H270-J270</f>
        <v/>
      </c>
      <c r="L270" s="29">
        <f>IF(G270&gt;0,K270/G270,"")</f>
        <v/>
      </c>
      <c r="M270" s="6" t="n"/>
    </row>
    <row r="271">
      <c r="A271" s="32" t="n"/>
      <c r="B271" s="6" t="n"/>
      <c r="C271">
        <f>IF(B271="","",IFERROR(VLOOKUP(B271,'Recetas y precios'!$A$5:$B$54,2,FALSE),""))</f>
        <v/>
      </c>
      <c r="D271" s="6" t="n"/>
      <c r="E271" s="6" t="n"/>
      <c r="F271" s="11" t="n"/>
      <c r="G271" s="17">
        <f>E271*F271</f>
        <v/>
      </c>
      <c r="H271" s="17">
        <f>IF(B271="",0,E271*IFERROR(VLOOKUP(B271,'Recetas y precios'!$A$5:$T$54,20,FALSE),0))</f>
        <v/>
      </c>
      <c r="I271" s="27" t="n"/>
      <c r="J271" s="17">
        <f>G271*I271</f>
        <v/>
      </c>
      <c r="K271" s="17">
        <f>G271-H271-J271</f>
        <v/>
      </c>
      <c r="L271" s="29">
        <f>IF(G271&gt;0,K271/G271,"")</f>
        <v/>
      </c>
      <c r="M271" s="6" t="n"/>
    </row>
    <row r="272">
      <c r="A272" s="32" t="n"/>
      <c r="B272" s="6" t="n"/>
      <c r="C272">
        <f>IF(B272="","",IFERROR(VLOOKUP(B272,'Recetas y precios'!$A$5:$B$54,2,FALSE),""))</f>
        <v/>
      </c>
      <c r="D272" s="6" t="n"/>
      <c r="E272" s="6" t="n"/>
      <c r="F272" s="11" t="n"/>
      <c r="G272" s="17">
        <f>E272*F272</f>
        <v/>
      </c>
      <c r="H272" s="17">
        <f>IF(B272="",0,E272*IFERROR(VLOOKUP(B272,'Recetas y precios'!$A$5:$T$54,20,FALSE),0))</f>
        <v/>
      </c>
      <c r="I272" s="27" t="n"/>
      <c r="J272" s="17">
        <f>G272*I272</f>
        <v/>
      </c>
      <c r="K272" s="17">
        <f>G272-H272-J272</f>
        <v/>
      </c>
      <c r="L272" s="29">
        <f>IF(G272&gt;0,K272/G272,"")</f>
        <v/>
      </c>
      <c r="M272" s="6" t="n"/>
    </row>
    <row r="273">
      <c r="A273" s="32" t="n"/>
      <c r="B273" s="6" t="n"/>
      <c r="C273">
        <f>IF(B273="","",IFERROR(VLOOKUP(B273,'Recetas y precios'!$A$5:$B$54,2,FALSE),""))</f>
        <v/>
      </c>
      <c r="D273" s="6" t="n"/>
      <c r="E273" s="6" t="n"/>
      <c r="F273" s="11" t="n"/>
      <c r="G273" s="17">
        <f>E273*F273</f>
        <v/>
      </c>
      <c r="H273" s="17">
        <f>IF(B273="",0,E273*IFERROR(VLOOKUP(B273,'Recetas y precios'!$A$5:$T$54,20,FALSE),0))</f>
        <v/>
      </c>
      <c r="I273" s="27" t="n"/>
      <c r="J273" s="17">
        <f>G273*I273</f>
        <v/>
      </c>
      <c r="K273" s="17">
        <f>G273-H273-J273</f>
        <v/>
      </c>
      <c r="L273" s="29">
        <f>IF(G273&gt;0,K273/G273,"")</f>
        <v/>
      </c>
      <c r="M273" s="6" t="n"/>
    </row>
    <row r="274">
      <c r="A274" s="32" t="n"/>
      <c r="B274" s="6" t="n"/>
      <c r="C274">
        <f>IF(B274="","",IFERROR(VLOOKUP(B274,'Recetas y precios'!$A$5:$B$54,2,FALSE),""))</f>
        <v/>
      </c>
      <c r="D274" s="6" t="n"/>
      <c r="E274" s="6" t="n"/>
      <c r="F274" s="11" t="n"/>
      <c r="G274" s="17">
        <f>E274*F274</f>
        <v/>
      </c>
      <c r="H274" s="17">
        <f>IF(B274="",0,E274*IFERROR(VLOOKUP(B274,'Recetas y precios'!$A$5:$T$54,20,FALSE),0))</f>
        <v/>
      </c>
      <c r="I274" s="27" t="n"/>
      <c r="J274" s="17">
        <f>G274*I274</f>
        <v/>
      </c>
      <c r="K274" s="17">
        <f>G274-H274-J274</f>
        <v/>
      </c>
      <c r="L274" s="29">
        <f>IF(G274&gt;0,K274/G274,"")</f>
        <v/>
      </c>
      <c r="M274" s="6" t="n"/>
    </row>
    <row r="275">
      <c r="A275" s="32" t="n"/>
      <c r="B275" s="6" t="n"/>
      <c r="C275">
        <f>IF(B275="","",IFERROR(VLOOKUP(B275,'Recetas y precios'!$A$5:$B$54,2,FALSE),""))</f>
        <v/>
      </c>
      <c r="D275" s="6" t="n"/>
      <c r="E275" s="6" t="n"/>
      <c r="F275" s="11" t="n"/>
      <c r="G275" s="17">
        <f>E275*F275</f>
        <v/>
      </c>
      <c r="H275" s="17">
        <f>IF(B275="",0,E275*IFERROR(VLOOKUP(B275,'Recetas y precios'!$A$5:$T$54,20,FALSE),0))</f>
        <v/>
      </c>
      <c r="I275" s="27" t="n"/>
      <c r="J275" s="17">
        <f>G275*I275</f>
        <v/>
      </c>
      <c r="K275" s="17">
        <f>G275-H275-J275</f>
        <v/>
      </c>
      <c r="L275" s="29">
        <f>IF(G275&gt;0,K275/G275,"")</f>
        <v/>
      </c>
      <c r="M275" s="6" t="n"/>
    </row>
    <row r="276">
      <c r="A276" s="32" t="n"/>
      <c r="B276" s="6" t="n"/>
      <c r="C276">
        <f>IF(B276="","",IFERROR(VLOOKUP(B276,'Recetas y precios'!$A$5:$B$54,2,FALSE),""))</f>
        <v/>
      </c>
      <c r="D276" s="6" t="n"/>
      <c r="E276" s="6" t="n"/>
      <c r="F276" s="11" t="n"/>
      <c r="G276" s="17">
        <f>E276*F276</f>
        <v/>
      </c>
      <c r="H276" s="17">
        <f>IF(B276="",0,E276*IFERROR(VLOOKUP(B276,'Recetas y precios'!$A$5:$T$54,20,FALSE),0))</f>
        <v/>
      </c>
      <c r="I276" s="27" t="n"/>
      <c r="J276" s="17">
        <f>G276*I276</f>
        <v/>
      </c>
      <c r="K276" s="17">
        <f>G276-H276-J276</f>
        <v/>
      </c>
      <c r="L276" s="29">
        <f>IF(G276&gt;0,K276/G276,"")</f>
        <v/>
      </c>
      <c r="M276" s="6" t="n"/>
    </row>
    <row r="277">
      <c r="A277" s="32" t="n"/>
      <c r="B277" s="6" t="n"/>
      <c r="C277">
        <f>IF(B277="","",IFERROR(VLOOKUP(B277,'Recetas y precios'!$A$5:$B$54,2,FALSE),""))</f>
        <v/>
      </c>
      <c r="D277" s="6" t="n"/>
      <c r="E277" s="6" t="n"/>
      <c r="F277" s="11" t="n"/>
      <c r="G277" s="17">
        <f>E277*F277</f>
        <v/>
      </c>
      <c r="H277" s="17">
        <f>IF(B277="",0,E277*IFERROR(VLOOKUP(B277,'Recetas y precios'!$A$5:$T$54,20,FALSE),0))</f>
        <v/>
      </c>
      <c r="I277" s="27" t="n"/>
      <c r="J277" s="17">
        <f>G277*I277</f>
        <v/>
      </c>
      <c r="K277" s="17">
        <f>G277-H277-J277</f>
        <v/>
      </c>
      <c r="L277" s="29">
        <f>IF(G277&gt;0,K277/G277,"")</f>
        <v/>
      </c>
      <c r="M277" s="6" t="n"/>
    </row>
    <row r="278">
      <c r="A278" s="32" t="n"/>
      <c r="B278" s="6" t="n"/>
      <c r="C278">
        <f>IF(B278="","",IFERROR(VLOOKUP(B278,'Recetas y precios'!$A$5:$B$54,2,FALSE),""))</f>
        <v/>
      </c>
      <c r="D278" s="6" t="n"/>
      <c r="E278" s="6" t="n"/>
      <c r="F278" s="11" t="n"/>
      <c r="G278" s="17">
        <f>E278*F278</f>
        <v/>
      </c>
      <c r="H278" s="17">
        <f>IF(B278="",0,E278*IFERROR(VLOOKUP(B278,'Recetas y precios'!$A$5:$T$54,20,FALSE),0))</f>
        <v/>
      </c>
      <c r="I278" s="27" t="n"/>
      <c r="J278" s="17">
        <f>G278*I278</f>
        <v/>
      </c>
      <c r="K278" s="17">
        <f>G278-H278-J278</f>
        <v/>
      </c>
      <c r="L278" s="29">
        <f>IF(G278&gt;0,K278/G278,"")</f>
        <v/>
      </c>
      <c r="M278" s="6" t="n"/>
    </row>
    <row r="279">
      <c r="A279" s="32" t="n"/>
      <c r="B279" s="6" t="n"/>
      <c r="C279">
        <f>IF(B279="","",IFERROR(VLOOKUP(B279,'Recetas y precios'!$A$5:$B$54,2,FALSE),""))</f>
        <v/>
      </c>
      <c r="D279" s="6" t="n"/>
      <c r="E279" s="6" t="n"/>
      <c r="F279" s="11" t="n"/>
      <c r="G279" s="17">
        <f>E279*F279</f>
        <v/>
      </c>
      <c r="H279" s="17">
        <f>IF(B279="",0,E279*IFERROR(VLOOKUP(B279,'Recetas y precios'!$A$5:$T$54,20,FALSE),0))</f>
        <v/>
      </c>
      <c r="I279" s="27" t="n"/>
      <c r="J279" s="17">
        <f>G279*I279</f>
        <v/>
      </c>
      <c r="K279" s="17">
        <f>G279-H279-J279</f>
        <v/>
      </c>
      <c r="L279" s="29">
        <f>IF(G279&gt;0,K279/G279,"")</f>
        <v/>
      </c>
      <c r="M279" s="6" t="n"/>
    </row>
    <row r="280">
      <c r="A280" s="32" t="n"/>
      <c r="B280" s="6" t="n"/>
      <c r="C280">
        <f>IF(B280="","",IFERROR(VLOOKUP(B280,'Recetas y precios'!$A$5:$B$54,2,FALSE),""))</f>
        <v/>
      </c>
      <c r="D280" s="6" t="n"/>
      <c r="E280" s="6" t="n"/>
      <c r="F280" s="11" t="n"/>
      <c r="G280" s="17">
        <f>E280*F280</f>
        <v/>
      </c>
      <c r="H280" s="17">
        <f>IF(B280="",0,E280*IFERROR(VLOOKUP(B280,'Recetas y precios'!$A$5:$T$54,20,FALSE),0))</f>
        <v/>
      </c>
      <c r="I280" s="27" t="n"/>
      <c r="J280" s="17">
        <f>G280*I280</f>
        <v/>
      </c>
      <c r="K280" s="17">
        <f>G280-H280-J280</f>
        <v/>
      </c>
      <c r="L280" s="29">
        <f>IF(G280&gt;0,K280/G280,"")</f>
        <v/>
      </c>
      <c r="M280" s="6" t="n"/>
    </row>
    <row r="281">
      <c r="A281" s="32" t="n"/>
      <c r="B281" s="6" t="n"/>
      <c r="C281">
        <f>IF(B281="","",IFERROR(VLOOKUP(B281,'Recetas y precios'!$A$5:$B$54,2,FALSE),""))</f>
        <v/>
      </c>
      <c r="D281" s="6" t="n"/>
      <c r="E281" s="6" t="n"/>
      <c r="F281" s="11" t="n"/>
      <c r="G281" s="17">
        <f>E281*F281</f>
        <v/>
      </c>
      <c r="H281" s="17">
        <f>IF(B281="",0,E281*IFERROR(VLOOKUP(B281,'Recetas y precios'!$A$5:$T$54,20,FALSE),0))</f>
        <v/>
      </c>
      <c r="I281" s="27" t="n"/>
      <c r="J281" s="17">
        <f>G281*I281</f>
        <v/>
      </c>
      <c r="K281" s="17">
        <f>G281-H281-J281</f>
        <v/>
      </c>
      <c r="L281" s="29">
        <f>IF(G281&gt;0,K281/G281,"")</f>
        <v/>
      </c>
      <c r="M281" s="6" t="n"/>
    </row>
    <row r="282">
      <c r="A282" s="32" t="n"/>
      <c r="B282" s="6" t="n"/>
      <c r="C282">
        <f>IF(B282="","",IFERROR(VLOOKUP(B282,'Recetas y precios'!$A$5:$B$54,2,FALSE),""))</f>
        <v/>
      </c>
      <c r="D282" s="6" t="n"/>
      <c r="E282" s="6" t="n"/>
      <c r="F282" s="11" t="n"/>
      <c r="G282" s="17">
        <f>E282*F282</f>
        <v/>
      </c>
      <c r="H282" s="17">
        <f>IF(B282="",0,E282*IFERROR(VLOOKUP(B282,'Recetas y precios'!$A$5:$T$54,20,FALSE),0))</f>
        <v/>
      </c>
      <c r="I282" s="27" t="n"/>
      <c r="J282" s="17">
        <f>G282*I282</f>
        <v/>
      </c>
      <c r="K282" s="17">
        <f>G282-H282-J282</f>
        <v/>
      </c>
      <c r="L282" s="29">
        <f>IF(G282&gt;0,K282/G282,"")</f>
        <v/>
      </c>
      <c r="M282" s="6" t="n"/>
    </row>
    <row r="283">
      <c r="A283" s="32" t="n"/>
      <c r="B283" s="6" t="n"/>
      <c r="C283">
        <f>IF(B283="","",IFERROR(VLOOKUP(B283,'Recetas y precios'!$A$5:$B$54,2,FALSE),""))</f>
        <v/>
      </c>
      <c r="D283" s="6" t="n"/>
      <c r="E283" s="6" t="n"/>
      <c r="F283" s="11" t="n"/>
      <c r="G283" s="17">
        <f>E283*F283</f>
        <v/>
      </c>
      <c r="H283" s="17">
        <f>IF(B283="",0,E283*IFERROR(VLOOKUP(B283,'Recetas y precios'!$A$5:$T$54,20,FALSE),0))</f>
        <v/>
      </c>
      <c r="I283" s="27" t="n"/>
      <c r="J283" s="17">
        <f>G283*I283</f>
        <v/>
      </c>
      <c r="K283" s="17">
        <f>G283-H283-J283</f>
        <v/>
      </c>
      <c r="L283" s="29">
        <f>IF(G283&gt;0,K283/G283,"")</f>
        <v/>
      </c>
      <c r="M283" s="6" t="n"/>
    </row>
    <row r="284">
      <c r="A284" s="32" t="n"/>
      <c r="B284" s="6" t="n"/>
      <c r="C284">
        <f>IF(B284="","",IFERROR(VLOOKUP(B284,'Recetas y precios'!$A$5:$B$54,2,FALSE),""))</f>
        <v/>
      </c>
      <c r="D284" s="6" t="n"/>
      <c r="E284" s="6" t="n"/>
      <c r="F284" s="11" t="n"/>
      <c r="G284" s="17">
        <f>E284*F284</f>
        <v/>
      </c>
      <c r="H284" s="17">
        <f>IF(B284="",0,E284*IFERROR(VLOOKUP(B284,'Recetas y precios'!$A$5:$T$54,20,FALSE),0))</f>
        <v/>
      </c>
      <c r="I284" s="27" t="n"/>
      <c r="J284" s="17">
        <f>G284*I284</f>
        <v/>
      </c>
      <c r="K284" s="17">
        <f>G284-H284-J284</f>
        <v/>
      </c>
      <c r="L284" s="29">
        <f>IF(G284&gt;0,K284/G284,"")</f>
        <v/>
      </c>
      <c r="M284" s="6" t="n"/>
    </row>
    <row r="285">
      <c r="A285" s="32" t="n"/>
      <c r="B285" s="6" t="n"/>
      <c r="C285">
        <f>IF(B285="","",IFERROR(VLOOKUP(B285,'Recetas y precios'!$A$5:$B$54,2,FALSE),""))</f>
        <v/>
      </c>
      <c r="D285" s="6" t="n"/>
      <c r="E285" s="6" t="n"/>
      <c r="F285" s="11" t="n"/>
      <c r="G285" s="17">
        <f>E285*F285</f>
        <v/>
      </c>
      <c r="H285" s="17">
        <f>IF(B285="",0,E285*IFERROR(VLOOKUP(B285,'Recetas y precios'!$A$5:$T$54,20,FALSE),0))</f>
        <v/>
      </c>
      <c r="I285" s="27" t="n"/>
      <c r="J285" s="17">
        <f>G285*I285</f>
        <v/>
      </c>
      <c r="K285" s="17">
        <f>G285-H285-J285</f>
        <v/>
      </c>
      <c r="L285" s="29">
        <f>IF(G285&gt;0,K285/G285,"")</f>
        <v/>
      </c>
      <c r="M285" s="6" t="n"/>
    </row>
    <row r="286">
      <c r="A286" s="32" t="n"/>
      <c r="B286" s="6" t="n"/>
      <c r="C286">
        <f>IF(B286="","",IFERROR(VLOOKUP(B286,'Recetas y precios'!$A$5:$B$54,2,FALSE),""))</f>
        <v/>
      </c>
      <c r="D286" s="6" t="n"/>
      <c r="E286" s="6" t="n"/>
      <c r="F286" s="11" t="n"/>
      <c r="G286" s="17">
        <f>E286*F286</f>
        <v/>
      </c>
      <c r="H286" s="17">
        <f>IF(B286="",0,E286*IFERROR(VLOOKUP(B286,'Recetas y precios'!$A$5:$T$54,20,FALSE),0))</f>
        <v/>
      </c>
      <c r="I286" s="27" t="n"/>
      <c r="J286" s="17">
        <f>G286*I286</f>
        <v/>
      </c>
      <c r="K286" s="17">
        <f>G286-H286-J286</f>
        <v/>
      </c>
      <c r="L286" s="29">
        <f>IF(G286&gt;0,K286/G286,"")</f>
        <v/>
      </c>
      <c r="M286" s="6" t="n"/>
    </row>
    <row r="287">
      <c r="A287" s="32" t="n"/>
      <c r="B287" s="6" t="n"/>
      <c r="C287">
        <f>IF(B287="","",IFERROR(VLOOKUP(B287,'Recetas y precios'!$A$5:$B$54,2,FALSE),""))</f>
        <v/>
      </c>
      <c r="D287" s="6" t="n"/>
      <c r="E287" s="6" t="n"/>
      <c r="F287" s="11" t="n"/>
      <c r="G287" s="17">
        <f>E287*F287</f>
        <v/>
      </c>
      <c r="H287" s="17">
        <f>IF(B287="",0,E287*IFERROR(VLOOKUP(B287,'Recetas y precios'!$A$5:$T$54,20,FALSE),0))</f>
        <v/>
      </c>
      <c r="I287" s="27" t="n"/>
      <c r="J287" s="17">
        <f>G287*I287</f>
        <v/>
      </c>
      <c r="K287" s="17">
        <f>G287-H287-J287</f>
        <v/>
      </c>
      <c r="L287" s="29">
        <f>IF(G287&gt;0,K287/G287,"")</f>
        <v/>
      </c>
      <c r="M287" s="6" t="n"/>
    </row>
    <row r="288">
      <c r="A288" s="32" t="n"/>
      <c r="B288" s="6" t="n"/>
      <c r="C288">
        <f>IF(B288="","",IFERROR(VLOOKUP(B288,'Recetas y precios'!$A$5:$B$54,2,FALSE),""))</f>
        <v/>
      </c>
      <c r="D288" s="6" t="n"/>
      <c r="E288" s="6" t="n"/>
      <c r="F288" s="11" t="n"/>
      <c r="G288" s="17">
        <f>E288*F288</f>
        <v/>
      </c>
      <c r="H288" s="17">
        <f>IF(B288="",0,E288*IFERROR(VLOOKUP(B288,'Recetas y precios'!$A$5:$T$54,20,FALSE),0))</f>
        <v/>
      </c>
      <c r="I288" s="27" t="n"/>
      <c r="J288" s="17">
        <f>G288*I288</f>
        <v/>
      </c>
      <c r="K288" s="17">
        <f>G288-H288-J288</f>
        <v/>
      </c>
      <c r="L288" s="29">
        <f>IF(G288&gt;0,K288/G288,"")</f>
        <v/>
      </c>
      <c r="M288" s="6" t="n"/>
    </row>
    <row r="289">
      <c r="A289" s="32" t="n"/>
      <c r="B289" s="6" t="n"/>
      <c r="C289">
        <f>IF(B289="","",IFERROR(VLOOKUP(B289,'Recetas y precios'!$A$5:$B$54,2,FALSE),""))</f>
        <v/>
      </c>
      <c r="D289" s="6" t="n"/>
      <c r="E289" s="6" t="n"/>
      <c r="F289" s="11" t="n"/>
      <c r="G289" s="17">
        <f>E289*F289</f>
        <v/>
      </c>
      <c r="H289" s="17">
        <f>IF(B289="",0,E289*IFERROR(VLOOKUP(B289,'Recetas y precios'!$A$5:$T$54,20,FALSE),0))</f>
        <v/>
      </c>
      <c r="I289" s="27" t="n"/>
      <c r="J289" s="17">
        <f>G289*I289</f>
        <v/>
      </c>
      <c r="K289" s="17">
        <f>G289-H289-J289</f>
        <v/>
      </c>
      <c r="L289" s="29">
        <f>IF(G289&gt;0,K289/G289,"")</f>
        <v/>
      </c>
      <c r="M289" s="6" t="n"/>
    </row>
    <row r="290">
      <c r="A290" s="32" t="n"/>
      <c r="B290" s="6" t="n"/>
      <c r="C290">
        <f>IF(B290="","",IFERROR(VLOOKUP(B290,'Recetas y precios'!$A$5:$B$54,2,FALSE),""))</f>
        <v/>
      </c>
      <c r="D290" s="6" t="n"/>
      <c r="E290" s="6" t="n"/>
      <c r="F290" s="11" t="n"/>
      <c r="G290" s="17">
        <f>E290*F290</f>
        <v/>
      </c>
      <c r="H290" s="17">
        <f>IF(B290="",0,E290*IFERROR(VLOOKUP(B290,'Recetas y precios'!$A$5:$T$54,20,FALSE),0))</f>
        <v/>
      </c>
      <c r="I290" s="27" t="n"/>
      <c r="J290" s="17">
        <f>G290*I290</f>
        <v/>
      </c>
      <c r="K290" s="17">
        <f>G290-H290-J290</f>
        <v/>
      </c>
      <c r="L290" s="29">
        <f>IF(G290&gt;0,K290/G290,"")</f>
        <v/>
      </c>
      <c r="M290" s="6" t="n"/>
    </row>
    <row r="291">
      <c r="A291" s="32" t="n"/>
      <c r="B291" s="6" t="n"/>
      <c r="C291">
        <f>IF(B291="","",IFERROR(VLOOKUP(B291,'Recetas y precios'!$A$5:$B$54,2,FALSE),""))</f>
        <v/>
      </c>
      <c r="D291" s="6" t="n"/>
      <c r="E291" s="6" t="n"/>
      <c r="F291" s="11" t="n"/>
      <c r="G291" s="17">
        <f>E291*F291</f>
        <v/>
      </c>
      <c r="H291" s="17">
        <f>IF(B291="",0,E291*IFERROR(VLOOKUP(B291,'Recetas y precios'!$A$5:$T$54,20,FALSE),0))</f>
        <v/>
      </c>
      <c r="I291" s="27" t="n"/>
      <c r="J291" s="17">
        <f>G291*I291</f>
        <v/>
      </c>
      <c r="K291" s="17">
        <f>G291-H291-J291</f>
        <v/>
      </c>
      <c r="L291" s="29">
        <f>IF(G291&gt;0,K291/G291,"")</f>
        <v/>
      </c>
      <c r="M291" s="6" t="n"/>
    </row>
    <row r="292">
      <c r="A292" s="32" t="n"/>
      <c r="B292" s="6" t="n"/>
      <c r="C292">
        <f>IF(B292="","",IFERROR(VLOOKUP(B292,'Recetas y precios'!$A$5:$B$54,2,FALSE),""))</f>
        <v/>
      </c>
      <c r="D292" s="6" t="n"/>
      <c r="E292" s="6" t="n"/>
      <c r="F292" s="11" t="n"/>
      <c r="G292" s="17">
        <f>E292*F292</f>
        <v/>
      </c>
      <c r="H292" s="17">
        <f>IF(B292="",0,E292*IFERROR(VLOOKUP(B292,'Recetas y precios'!$A$5:$T$54,20,FALSE),0))</f>
        <v/>
      </c>
      <c r="I292" s="27" t="n"/>
      <c r="J292" s="17">
        <f>G292*I292</f>
        <v/>
      </c>
      <c r="K292" s="17">
        <f>G292-H292-J292</f>
        <v/>
      </c>
      <c r="L292" s="29">
        <f>IF(G292&gt;0,K292/G292,"")</f>
        <v/>
      </c>
      <c r="M292" s="6" t="n"/>
    </row>
    <row r="293">
      <c r="A293" s="32" t="n"/>
      <c r="B293" s="6" t="n"/>
      <c r="C293">
        <f>IF(B293="","",IFERROR(VLOOKUP(B293,'Recetas y precios'!$A$5:$B$54,2,FALSE),""))</f>
        <v/>
      </c>
      <c r="D293" s="6" t="n"/>
      <c r="E293" s="6" t="n"/>
      <c r="F293" s="11" t="n"/>
      <c r="G293" s="17">
        <f>E293*F293</f>
        <v/>
      </c>
      <c r="H293" s="17">
        <f>IF(B293="",0,E293*IFERROR(VLOOKUP(B293,'Recetas y precios'!$A$5:$T$54,20,FALSE),0))</f>
        <v/>
      </c>
      <c r="I293" s="27" t="n"/>
      <c r="J293" s="17">
        <f>G293*I293</f>
        <v/>
      </c>
      <c r="K293" s="17">
        <f>G293-H293-J293</f>
        <v/>
      </c>
      <c r="L293" s="29">
        <f>IF(G293&gt;0,K293/G293,"")</f>
        <v/>
      </c>
      <c r="M293" s="6" t="n"/>
    </row>
    <row r="294">
      <c r="A294" s="32" t="n"/>
      <c r="B294" s="6" t="n"/>
      <c r="C294">
        <f>IF(B294="","",IFERROR(VLOOKUP(B294,'Recetas y precios'!$A$5:$B$54,2,FALSE),""))</f>
        <v/>
      </c>
      <c r="D294" s="6" t="n"/>
      <c r="E294" s="6" t="n"/>
      <c r="F294" s="11" t="n"/>
      <c r="G294" s="17">
        <f>E294*F294</f>
        <v/>
      </c>
      <c r="H294" s="17">
        <f>IF(B294="",0,E294*IFERROR(VLOOKUP(B294,'Recetas y precios'!$A$5:$T$54,20,FALSE),0))</f>
        <v/>
      </c>
      <c r="I294" s="27" t="n"/>
      <c r="J294" s="17">
        <f>G294*I294</f>
        <v/>
      </c>
      <c r="K294" s="17">
        <f>G294-H294-J294</f>
        <v/>
      </c>
      <c r="L294" s="29">
        <f>IF(G294&gt;0,K294/G294,"")</f>
        <v/>
      </c>
      <c r="M294" s="6" t="n"/>
    </row>
    <row r="295">
      <c r="A295" s="32" t="n"/>
      <c r="B295" s="6" t="n"/>
      <c r="C295">
        <f>IF(B295="","",IFERROR(VLOOKUP(B295,'Recetas y precios'!$A$5:$B$54,2,FALSE),""))</f>
        <v/>
      </c>
      <c r="D295" s="6" t="n"/>
      <c r="E295" s="6" t="n"/>
      <c r="F295" s="11" t="n"/>
      <c r="G295" s="17">
        <f>E295*F295</f>
        <v/>
      </c>
      <c r="H295" s="17">
        <f>IF(B295="",0,E295*IFERROR(VLOOKUP(B295,'Recetas y precios'!$A$5:$T$54,20,FALSE),0))</f>
        <v/>
      </c>
      <c r="I295" s="27" t="n"/>
      <c r="J295" s="17">
        <f>G295*I295</f>
        <v/>
      </c>
      <c r="K295" s="17">
        <f>G295-H295-J295</f>
        <v/>
      </c>
      <c r="L295" s="29">
        <f>IF(G295&gt;0,K295/G295,"")</f>
        <v/>
      </c>
      <c r="M295" s="6" t="n"/>
    </row>
    <row r="296">
      <c r="A296" s="32" t="n"/>
      <c r="B296" s="6" t="n"/>
      <c r="C296">
        <f>IF(B296="","",IFERROR(VLOOKUP(B296,'Recetas y precios'!$A$5:$B$54,2,FALSE),""))</f>
        <v/>
      </c>
      <c r="D296" s="6" t="n"/>
      <c r="E296" s="6" t="n"/>
      <c r="F296" s="11" t="n"/>
      <c r="G296" s="17">
        <f>E296*F296</f>
        <v/>
      </c>
      <c r="H296" s="17">
        <f>IF(B296="",0,E296*IFERROR(VLOOKUP(B296,'Recetas y precios'!$A$5:$T$54,20,FALSE),0))</f>
        <v/>
      </c>
      <c r="I296" s="27" t="n"/>
      <c r="J296" s="17">
        <f>G296*I296</f>
        <v/>
      </c>
      <c r="K296" s="17">
        <f>G296-H296-J296</f>
        <v/>
      </c>
      <c r="L296" s="29">
        <f>IF(G296&gt;0,K296/G296,"")</f>
        <v/>
      </c>
      <c r="M296" s="6" t="n"/>
    </row>
    <row r="297">
      <c r="A297" s="32" t="n"/>
      <c r="B297" s="6" t="n"/>
      <c r="C297">
        <f>IF(B297="","",IFERROR(VLOOKUP(B297,'Recetas y precios'!$A$5:$B$54,2,FALSE),""))</f>
        <v/>
      </c>
      <c r="D297" s="6" t="n"/>
      <c r="E297" s="6" t="n"/>
      <c r="F297" s="11" t="n"/>
      <c r="G297" s="17">
        <f>E297*F297</f>
        <v/>
      </c>
      <c r="H297" s="17">
        <f>IF(B297="",0,E297*IFERROR(VLOOKUP(B297,'Recetas y precios'!$A$5:$T$54,20,FALSE),0))</f>
        <v/>
      </c>
      <c r="I297" s="27" t="n"/>
      <c r="J297" s="17">
        <f>G297*I297</f>
        <v/>
      </c>
      <c r="K297" s="17">
        <f>G297-H297-J297</f>
        <v/>
      </c>
      <c r="L297" s="29">
        <f>IF(G297&gt;0,K297/G297,"")</f>
        <v/>
      </c>
      <c r="M297" s="6" t="n"/>
    </row>
    <row r="298">
      <c r="A298" s="32" t="n"/>
      <c r="B298" s="6" t="n"/>
      <c r="C298">
        <f>IF(B298="","",IFERROR(VLOOKUP(B298,'Recetas y precios'!$A$5:$B$54,2,FALSE),""))</f>
        <v/>
      </c>
      <c r="D298" s="6" t="n"/>
      <c r="E298" s="6" t="n"/>
      <c r="F298" s="11" t="n"/>
      <c r="G298" s="17">
        <f>E298*F298</f>
        <v/>
      </c>
      <c r="H298" s="17">
        <f>IF(B298="",0,E298*IFERROR(VLOOKUP(B298,'Recetas y precios'!$A$5:$T$54,20,FALSE),0))</f>
        <v/>
      </c>
      <c r="I298" s="27" t="n"/>
      <c r="J298" s="17">
        <f>G298*I298</f>
        <v/>
      </c>
      <c r="K298" s="17">
        <f>G298-H298-J298</f>
        <v/>
      </c>
      <c r="L298" s="29">
        <f>IF(G298&gt;0,K298/G298,"")</f>
        <v/>
      </c>
      <c r="M298" s="6" t="n"/>
    </row>
    <row r="299">
      <c r="A299" s="32" t="n"/>
      <c r="B299" s="6" t="n"/>
      <c r="C299">
        <f>IF(B299="","",IFERROR(VLOOKUP(B299,'Recetas y precios'!$A$5:$B$54,2,FALSE),""))</f>
        <v/>
      </c>
      <c r="D299" s="6" t="n"/>
      <c r="E299" s="6" t="n"/>
      <c r="F299" s="11" t="n"/>
      <c r="G299" s="17">
        <f>E299*F299</f>
        <v/>
      </c>
      <c r="H299" s="17">
        <f>IF(B299="",0,E299*IFERROR(VLOOKUP(B299,'Recetas y precios'!$A$5:$T$54,20,FALSE),0))</f>
        <v/>
      </c>
      <c r="I299" s="27" t="n"/>
      <c r="J299" s="17">
        <f>G299*I299</f>
        <v/>
      </c>
      <c r="K299" s="17">
        <f>G299-H299-J299</f>
        <v/>
      </c>
      <c r="L299" s="29">
        <f>IF(G299&gt;0,K299/G299,"")</f>
        <v/>
      </c>
      <c r="M299" s="6" t="n"/>
    </row>
    <row r="300">
      <c r="A300" s="32" t="n"/>
      <c r="B300" s="6" t="n"/>
      <c r="C300">
        <f>IF(B300="","",IFERROR(VLOOKUP(B300,'Recetas y precios'!$A$5:$B$54,2,FALSE),""))</f>
        <v/>
      </c>
      <c r="D300" s="6" t="n"/>
      <c r="E300" s="6" t="n"/>
      <c r="F300" s="11" t="n"/>
      <c r="G300" s="17">
        <f>E300*F300</f>
        <v/>
      </c>
      <c r="H300" s="17">
        <f>IF(B300="",0,E300*IFERROR(VLOOKUP(B300,'Recetas y precios'!$A$5:$T$54,20,FALSE),0))</f>
        <v/>
      </c>
      <c r="I300" s="27" t="n"/>
      <c r="J300" s="17">
        <f>G300*I300</f>
        <v/>
      </c>
      <c r="K300" s="17">
        <f>G300-H300-J300</f>
        <v/>
      </c>
      <c r="L300" s="29">
        <f>IF(G300&gt;0,K300/G300,"")</f>
        <v/>
      </c>
      <c r="M300" s="6" t="n"/>
    </row>
    <row r="301">
      <c r="A301" s="32" t="n"/>
      <c r="B301" s="6" t="n"/>
      <c r="C301">
        <f>IF(B301="","",IFERROR(VLOOKUP(B301,'Recetas y precios'!$A$5:$B$54,2,FALSE),""))</f>
        <v/>
      </c>
      <c r="D301" s="6" t="n"/>
      <c r="E301" s="6" t="n"/>
      <c r="F301" s="11" t="n"/>
      <c r="G301" s="17">
        <f>E301*F301</f>
        <v/>
      </c>
      <c r="H301" s="17">
        <f>IF(B301="",0,E301*IFERROR(VLOOKUP(B301,'Recetas y precios'!$A$5:$T$54,20,FALSE),0))</f>
        <v/>
      </c>
      <c r="I301" s="27" t="n"/>
      <c r="J301" s="17">
        <f>G301*I301</f>
        <v/>
      </c>
      <c r="K301" s="17">
        <f>G301-H301-J301</f>
        <v/>
      </c>
      <c r="L301" s="29">
        <f>IF(G301&gt;0,K301/G301,"")</f>
        <v/>
      </c>
      <c r="M301" s="6" t="n"/>
    </row>
    <row r="302">
      <c r="A302" s="32" t="n"/>
      <c r="B302" s="6" t="n"/>
      <c r="C302">
        <f>IF(B302="","",IFERROR(VLOOKUP(B302,'Recetas y precios'!$A$5:$B$54,2,FALSE),""))</f>
        <v/>
      </c>
      <c r="D302" s="6" t="n"/>
      <c r="E302" s="6" t="n"/>
      <c r="F302" s="11" t="n"/>
      <c r="G302" s="17">
        <f>E302*F302</f>
        <v/>
      </c>
      <c r="H302" s="17">
        <f>IF(B302="",0,E302*IFERROR(VLOOKUP(B302,'Recetas y precios'!$A$5:$T$54,20,FALSE),0))</f>
        <v/>
      </c>
      <c r="I302" s="27" t="n"/>
      <c r="J302" s="17">
        <f>G302*I302</f>
        <v/>
      </c>
      <c r="K302" s="17">
        <f>G302-H302-J302</f>
        <v/>
      </c>
      <c r="L302" s="29">
        <f>IF(G302&gt;0,K302/G302,"")</f>
        <v/>
      </c>
      <c r="M302" s="6" t="n"/>
    </row>
    <row r="303">
      <c r="A303" s="32" t="n"/>
      <c r="B303" s="6" t="n"/>
      <c r="C303">
        <f>IF(B303="","",IFERROR(VLOOKUP(B303,'Recetas y precios'!$A$5:$B$54,2,FALSE),""))</f>
        <v/>
      </c>
      <c r="D303" s="6" t="n"/>
      <c r="E303" s="6" t="n"/>
      <c r="F303" s="11" t="n"/>
      <c r="G303" s="17">
        <f>E303*F303</f>
        <v/>
      </c>
      <c r="H303" s="17">
        <f>IF(B303="",0,E303*IFERROR(VLOOKUP(B303,'Recetas y precios'!$A$5:$T$54,20,FALSE),0))</f>
        <v/>
      </c>
      <c r="I303" s="27" t="n"/>
      <c r="J303" s="17">
        <f>G303*I303</f>
        <v/>
      </c>
      <c r="K303" s="17">
        <f>G303-H303-J303</f>
        <v/>
      </c>
      <c r="L303" s="29">
        <f>IF(G303&gt;0,K303/G303,"")</f>
        <v/>
      </c>
      <c r="M303" s="6" t="n"/>
    </row>
    <row r="304">
      <c r="A304" s="32" t="n"/>
      <c r="B304" s="6" t="n"/>
      <c r="C304">
        <f>IF(B304="","",IFERROR(VLOOKUP(B304,'Recetas y precios'!$A$5:$B$54,2,FALSE),""))</f>
        <v/>
      </c>
      <c r="D304" s="6" t="n"/>
      <c r="E304" s="6" t="n"/>
      <c r="F304" s="11" t="n"/>
      <c r="G304" s="17">
        <f>E304*F304</f>
        <v/>
      </c>
      <c r="H304" s="17">
        <f>IF(B304="",0,E304*IFERROR(VLOOKUP(B304,'Recetas y precios'!$A$5:$T$54,20,FALSE),0))</f>
        <v/>
      </c>
      <c r="I304" s="27" t="n"/>
      <c r="J304" s="17">
        <f>G304*I304</f>
        <v/>
      </c>
      <c r="K304" s="17">
        <f>G304-H304-J304</f>
        <v/>
      </c>
      <c r="L304" s="29">
        <f>IF(G304&gt;0,K304/G304,"")</f>
        <v/>
      </c>
      <c r="M304" s="6" t="n"/>
    </row>
    <row r="305">
      <c r="A305" s="32" t="n"/>
      <c r="B305" s="6" t="n"/>
      <c r="C305">
        <f>IF(B305="","",IFERROR(VLOOKUP(B305,'Recetas y precios'!$A$5:$B$54,2,FALSE),""))</f>
        <v/>
      </c>
      <c r="D305" s="6" t="n"/>
      <c r="E305" s="6" t="n"/>
      <c r="F305" s="11" t="n"/>
      <c r="G305" s="17">
        <f>E305*F305</f>
        <v/>
      </c>
      <c r="H305" s="17">
        <f>IF(B305="",0,E305*IFERROR(VLOOKUP(B305,'Recetas y precios'!$A$5:$T$54,20,FALSE),0))</f>
        <v/>
      </c>
      <c r="I305" s="27" t="n"/>
      <c r="J305" s="17">
        <f>G305*I305</f>
        <v/>
      </c>
      <c r="K305" s="17">
        <f>G305-H305-J305</f>
        <v/>
      </c>
      <c r="L305" s="29">
        <f>IF(G305&gt;0,K305/G305,"")</f>
        <v/>
      </c>
      <c r="M305" s="6" t="n"/>
    </row>
    <row r="306">
      <c r="A306" s="32" t="n"/>
      <c r="B306" s="6" t="n"/>
      <c r="C306">
        <f>IF(B306="","",IFERROR(VLOOKUP(B306,'Recetas y precios'!$A$5:$B$54,2,FALSE),""))</f>
        <v/>
      </c>
      <c r="D306" s="6" t="n"/>
      <c r="E306" s="6" t="n"/>
      <c r="F306" s="11" t="n"/>
      <c r="G306" s="17">
        <f>E306*F306</f>
        <v/>
      </c>
      <c r="H306" s="17">
        <f>IF(B306="",0,E306*IFERROR(VLOOKUP(B306,'Recetas y precios'!$A$5:$T$54,20,FALSE),0))</f>
        <v/>
      </c>
      <c r="I306" s="27" t="n"/>
      <c r="J306" s="17">
        <f>G306*I306</f>
        <v/>
      </c>
      <c r="K306" s="17">
        <f>G306-H306-J306</f>
        <v/>
      </c>
      <c r="L306" s="29">
        <f>IF(G306&gt;0,K306/G306,"")</f>
        <v/>
      </c>
      <c r="M306" s="6" t="n"/>
    </row>
    <row r="307">
      <c r="A307" s="32" t="n"/>
      <c r="B307" s="6" t="n"/>
      <c r="C307">
        <f>IF(B307="","",IFERROR(VLOOKUP(B307,'Recetas y precios'!$A$5:$B$54,2,FALSE),""))</f>
        <v/>
      </c>
      <c r="D307" s="6" t="n"/>
      <c r="E307" s="6" t="n"/>
      <c r="F307" s="11" t="n"/>
      <c r="G307" s="17">
        <f>E307*F307</f>
        <v/>
      </c>
      <c r="H307" s="17">
        <f>IF(B307="",0,E307*IFERROR(VLOOKUP(B307,'Recetas y precios'!$A$5:$T$54,20,FALSE),0))</f>
        <v/>
      </c>
      <c r="I307" s="27" t="n"/>
      <c r="J307" s="17">
        <f>G307*I307</f>
        <v/>
      </c>
      <c r="K307" s="17">
        <f>G307-H307-J307</f>
        <v/>
      </c>
      <c r="L307" s="29">
        <f>IF(G307&gt;0,K307/G307,"")</f>
        <v/>
      </c>
      <c r="M307" s="6" t="n"/>
    </row>
    <row r="308">
      <c r="A308" s="32" t="n"/>
      <c r="B308" s="6" t="n"/>
      <c r="C308">
        <f>IF(B308="","",IFERROR(VLOOKUP(B308,'Recetas y precios'!$A$5:$B$54,2,FALSE),""))</f>
        <v/>
      </c>
      <c r="D308" s="6" t="n"/>
      <c r="E308" s="6" t="n"/>
      <c r="F308" s="11" t="n"/>
      <c r="G308" s="17">
        <f>E308*F308</f>
        <v/>
      </c>
      <c r="H308" s="17">
        <f>IF(B308="",0,E308*IFERROR(VLOOKUP(B308,'Recetas y precios'!$A$5:$T$54,20,FALSE),0))</f>
        <v/>
      </c>
      <c r="I308" s="27" t="n"/>
      <c r="J308" s="17">
        <f>G308*I308</f>
        <v/>
      </c>
      <c r="K308" s="17">
        <f>G308-H308-J308</f>
        <v/>
      </c>
      <c r="L308" s="29">
        <f>IF(G308&gt;0,K308/G308,"")</f>
        <v/>
      </c>
      <c r="M308" s="6" t="n"/>
    </row>
    <row r="309">
      <c r="A309" s="32" t="n"/>
      <c r="B309" s="6" t="n"/>
      <c r="C309">
        <f>IF(B309="","",IFERROR(VLOOKUP(B309,'Recetas y precios'!$A$5:$B$54,2,FALSE),""))</f>
        <v/>
      </c>
      <c r="D309" s="6" t="n"/>
      <c r="E309" s="6" t="n"/>
      <c r="F309" s="11" t="n"/>
      <c r="G309" s="17">
        <f>E309*F309</f>
        <v/>
      </c>
      <c r="H309" s="17">
        <f>IF(B309="",0,E309*IFERROR(VLOOKUP(B309,'Recetas y precios'!$A$5:$T$54,20,FALSE),0))</f>
        <v/>
      </c>
      <c r="I309" s="27" t="n"/>
      <c r="J309" s="17">
        <f>G309*I309</f>
        <v/>
      </c>
      <c r="K309" s="17">
        <f>G309-H309-J309</f>
        <v/>
      </c>
      <c r="L309" s="29">
        <f>IF(G309&gt;0,K309/G309,"")</f>
        <v/>
      </c>
      <c r="M309" s="6" t="n"/>
    </row>
    <row r="310">
      <c r="A310" s="32" t="n"/>
      <c r="B310" s="6" t="n"/>
      <c r="C310">
        <f>IF(B310="","",IFERROR(VLOOKUP(B310,'Recetas y precios'!$A$5:$B$54,2,FALSE),""))</f>
        <v/>
      </c>
      <c r="D310" s="6" t="n"/>
      <c r="E310" s="6" t="n"/>
      <c r="F310" s="11" t="n"/>
      <c r="G310" s="17">
        <f>E310*F310</f>
        <v/>
      </c>
      <c r="H310" s="17">
        <f>IF(B310="",0,E310*IFERROR(VLOOKUP(B310,'Recetas y precios'!$A$5:$T$54,20,FALSE),0))</f>
        <v/>
      </c>
      <c r="I310" s="27" t="n"/>
      <c r="J310" s="17">
        <f>G310*I310</f>
        <v/>
      </c>
      <c r="K310" s="17">
        <f>G310-H310-J310</f>
        <v/>
      </c>
      <c r="L310" s="29">
        <f>IF(G310&gt;0,K310/G310,"")</f>
        <v/>
      </c>
      <c r="M310" s="6" t="n"/>
    </row>
    <row r="311">
      <c r="A311" s="32" t="n"/>
      <c r="B311" s="6" t="n"/>
      <c r="C311">
        <f>IF(B311="","",IFERROR(VLOOKUP(B311,'Recetas y precios'!$A$5:$B$54,2,FALSE),""))</f>
        <v/>
      </c>
      <c r="D311" s="6" t="n"/>
      <c r="E311" s="6" t="n"/>
      <c r="F311" s="11" t="n"/>
      <c r="G311" s="17">
        <f>E311*F311</f>
        <v/>
      </c>
      <c r="H311" s="17">
        <f>IF(B311="",0,E311*IFERROR(VLOOKUP(B311,'Recetas y precios'!$A$5:$T$54,20,FALSE),0))</f>
        <v/>
      </c>
      <c r="I311" s="27" t="n"/>
      <c r="J311" s="17">
        <f>G311*I311</f>
        <v/>
      </c>
      <c r="K311" s="17">
        <f>G311-H311-J311</f>
        <v/>
      </c>
      <c r="L311" s="29">
        <f>IF(G311&gt;0,K311/G311,"")</f>
        <v/>
      </c>
      <c r="M311" s="6" t="n"/>
    </row>
    <row r="312">
      <c r="A312" s="32" t="n"/>
      <c r="B312" s="6" t="n"/>
      <c r="C312">
        <f>IF(B312="","",IFERROR(VLOOKUP(B312,'Recetas y precios'!$A$5:$B$54,2,FALSE),""))</f>
        <v/>
      </c>
      <c r="D312" s="6" t="n"/>
      <c r="E312" s="6" t="n"/>
      <c r="F312" s="11" t="n"/>
      <c r="G312" s="17">
        <f>E312*F312</f>
        <v/>
      </c>
      <c r="H312" s="17">
        <f>IF(B312="",0,E312*IFERROR(VLOOKUP(B312,'Recetas y precios'!$A$5:$T$54,20,FALSE),0))</f>
        <v/>
      </c>
      <c r="I312" s="27" t="n"/>
      <c r="J312" s="17">
        <f>G312*I312</f>
        <v/>
      </c>
      <c r="K312" s="17">
        <f>G312-H312-J312</f>
        <v/>
      </c>
      <c r="L312" s="29">
        <f>IF(G312&gt;0,K312/G312,"")</f>
        <v/>
      </c>
      <c r="M312" s="6" t="n"/>
    </row>
    <row r="313">
      <c r="A313" s="32" t="n"/>
      <c r="B313" s="6" t="n"/>
      <c r="C313">
        <f>IF(B313="","",IFERROR(VLOOKUP(B313,'Recetas y precios'!$A$5:$B$54,2,FALSE),""))</f>
        <v/>
      </c>
      <c r="D313" s="6" t="n"/>
      <c r="E313" s="6" t="n"/>
      <c r="F313" s="11" t="n"/>
      <c r="G313" s="17">
        <f>E313*F313</f>
        <v/>
      </c>
      <c r="H313" s="17">
        <f>IF(B313="",0,E313*IFERROR(VLOOKUP(B313,'Recetas y precios'!$A$5:$T$54,20,FALSE),0))</f>
        <v/>
      </c>
      <c r="I313" s="27" t="n"/>
      <c r="J313" s="17">
        <f>G313*I313</f>
        <v/>
      </c>
      <c r="K313" s="17">
        <f>G313-H313-J313</f>
        <v/>
      </c>
      <c r="L313" s="29">
        <f>IF(G313&gt;0,K313/G313,"")</f>
        <v/>
      </c>
      <c r="M313" s="6" t="n"/>
    </row>
    <row r="314">
      <c r="A314" s="32" t="n"/>
      <c r="B314" s="6" t="n"/>
      <c r="C314">
        <f>IF(B314="","",IFERROR(VLOOKUP(B314,'Recetas y precios'!$A$5:$B$54,2,FALSE),""))</f>
        <v/>
      </c>
      <c r="D314" s="6" t="n"/>
      <c r="E314" s="6" t="n"/>
      <c r="F314" s="11" t="n"/>
      <c r="G314" s="17">
        <f>E314*F314</f>
        <v/>
      </c>
      <c r="H314" s="17">
        <f>IF(B314="",0,E314*IFERROR(VLOOKUP(B314,'Recetas y precios'!$A$5:$T$54,20,FALSE),0))</f>
        <v/>
      </c>
      <c r="I314" s="27" t="n"/>
      <c r="J314" s="17">
        <f>G314*I314</f>
        <v/>
      </c>
      <c r="K314" s="17">
        <f>G314-H314-J314</f>
        <v/>
      </c>
      <c r="L314" s="29">
        <f>IF(G314&gt;0,K314/G314,"")</f>
        <v/>
      </c>
      <c r="M314" s="6" t="n"/>
    </row>
    <row r="315">
      <c r="A315" s="32" t="n"/>
      <c r="B315" s="6" t="n"/>
      <c r="C315">
        <f>IF(B315="","",IFERROR(VLOOKUP(B315,'Recetas y precios'!$A$5:$B$54,2,FALSE),""))</f>
        <v/>
      </c>
      <c r="D315" s="6" t="n"/>
      <c r="E315" s="6" t="n"/>
      <c r="F315" s="11" t="n"/>
      <c r="G315" s="17">
        <f>E315*F315</f>
        <v/>
      </c>
      <c r="H315" s="17">
        <f>IF(B315="",0,E315*IFERROR(VLOOKUP(B315,'Recetas y precios'!$A$5:$T$54,20,FALSE),0))</f>
        <v/>
      </c>
      <c r="I315" s="27" t="n"/>
      <c r="J315" s="17">
        <f>G315*I315</f>
        <v/>
      </c>
      <c r="K315" s="17">
        <f>G315-H315-J315</f>
        <v/>
      </c>
      <c r="L315" s="29">
        <f>IF(G315&gt;0,K315/G315,"")</f>
        <v/>
      </c>
      <c r="M315" s="6" t="n"/>
    </row>
    <row r="316">
      <c r="A316" s="32" t="n"/>
      <c r="B316" s="6" t="n"/>
      <c r="C316">
        <f>IF(B316="","",IFERROR(VLOOKUP(B316,'Recetas y precios'!$A$5:$B$54,2,FALSE),""))</f>
        <v/>
      </c>
      <c r="D316" s="6" t="n"/>
      <c r="E316" s="6" t="n"/>
      <c r="F316" s="11" t="n"/>
      <c r="G316" s="17">
        <f>E316*F316</f>
        <v/>
      </c>
      <c r="H316" s="17">
        <f>IF(B316="",0,E316*IFERROR(VLOOKUP(B316,'Recetas y precios'!$A$5:$T$54,20,FALSE),0))</f>
        <v/>
      </c>
      <c r="I316" s="27" t="n"/>
      <c r="J316" s="17">
        <f>G316*I316</f>
        <v/>
      </c>
      <c r="K316" s="17">
        <f>G316-H316-J316</f>
        <v/>
      </c>
      <c r="L316" s="29">
        <f>IF(G316&gt;0,K316/G316,"")</f>
        <v/>
      </c>
      <c r="M316" s="6" t="n"/>
    </row>
    <row r="317">
      <c r="A317" s="32" t="n"/>
      <c r="B317" s="6" t="n"/>
      <c r="C317">
        <f>IF(B317="","",IFERROR(VLOOKUP(B317,'Recetas y precios'!$A$5:$B$54,2,FALSE),""))</f>
        <v/>
      </c>
      <c r="D317" s="6" t="n"/>
      <c r="E317" s="6" t="n"/>
      <c r="F317" s="11" t="n"/>
      <c r="G317" s="17">
        <f>E317*F317</f>
        <v/>
      </c>
      <c r="H317" s="17">
        <f>IF(B317="",0,E317*IFERROR(VLOOKUP(B317,'Recetas y precios'!$A$5:$T$54,20,FALSE),0))</f>
        <v/>
      </c>
      <c r="I317" s="27" t="n"/>
      <c r="J317" s="17">
        <f>G317*I317</f>
        <v/>
      </c>
      <c r="K317" s="17">
        <f>G317-H317-J317</f>
        <v/>
      </c>
      <c r="L317" s="29">
        <f>IF(G317&gt;0,K317/G317,"")</f>
        <v/>
      </c>
      <c r="M317" s="6" t="n"/>
    </row>
    <row r="318">
      <c r="A318" s="32" t="n"/>
      <c r="B318" s="6" t="n"/>
      <c r="C318">
        <f>IF(B318="","",IFERROR(VLOOKUP(B318,'Recetas y precios'!$A$5:$B$54,2,FALSE),""))</f>
        <v/>
      </c>
      <c r="D318" s="6" t="n"/>
      <c r="E318" s="6" t="n"/>
      <c r="F318" s="11" t="n"/>
      <c r="G318" s="17">
        <f>E318*F318</f>
        <v/>
      </c>
      <c r="H318" s="17">
        <f>IF(B318="",0,E318*IFERROR(VLOOKUP(B318,'Recetas y precios'!$A$5:$T$54,20,FALSE),0))</f>
        <v/>
      </c>
      <c r="I318" s="27" t="n"/>
      <c r="J318" s="17">
        <f>G318*I318</f>
        <v/>
      </c>
      <c r="K318" s="17">
        <f>G318-H318-J318</f>
        <v/>
      </c>
      <c r="L318" s="29">
        <f>IF(G318&gt;0,K318/G318,"")</f>
        <v/>
      </c>
      <c r="M318" s="6" t="n"/>
    </row>
    <row r="319">
      <c r="A319" s="32" t="n"/>
      <c r="B319" s="6" t="n"/>
      <c r="C319">
        <f>IF(B319="","",IFERROR(VLOOKUP(B319,'Recetas y precios'!$A$5:$B$54,2,FALSE),""))</f>
        <v/>
      </c>
      <c r="D319" s="6" t="n"/>
      <c r="E319" s="6" t="n"/>
      <c r="F319" s="11" t="n"/>
      <c r="G319" s="17">
        <f>E319*F319</f>
        <v/>
      </c>
      <c r="H319" s="17">
        <f>IF(B319="",0,E319*IFERROR(VLOOKUP(B319,'Recetas y precios'!$A$5:$T$54,20,FALSE),0))</f>
        <v/>
      </c>
      <c r="I319" s="27" t="n"/>
      <c r="J319" s="17">
        <f>G319*I319</f>
        <v/>
      </c>
      <c r="K319" s="17">
        <f>G319-H319-J319</f>
        <v/>
      </c>
      <c r="L319" s="29">
        <f>IF(G319&gt;0,K319/G319,"")</f>
        <v/>
      </c>
      <c r="M319" s="6" t="n"/>
    </row>
    <row r="320">
      <c r="A320" s="32" t="n"/>
      <c r="B320" s="6" t="n"/>
      <c r="C320">
        <f>IF(B320="","",IFERROR(VLOOKUP(B320,'Recetas y precios'!$A$5:$B$54,2,FALSE),""))</f>
        <v/>
      </c>
      <c r="D320" s="6" t="n"/>
      <c r="E320" s="6" t="n"/>
      <c r="F320" s="11" t="n"/>
      <c r="G320" s="17">
        <f>E320*F320</f>
        <v/>
      </c>
      <c r="H320" s="17">
        <f>IF(B320="",0,E320*IFERROR(VLOOKUP(B320,'Recetas y precios'!$A$5:$T$54,20,FALSE),0))</f>
        <v/>
      </c>
      <c r="I320" s="27" t="n"/>
      <c r="J320" s="17">
        <f>G320*I320</f>
        <v/>
      </c>
      <c r="K320" s="17">
        <f>G320-H320-J320</f>
        <v/>
      </c>
      <c r="L320" s="29">
        <f>IF(G320&gt;0,K320/G320,"")</f>
        <v/>
      </c>
      <c r="M320" s="6" t="n"/>
    </row>
    <row r="321">
      <c r="A321" s="32" t="n"/>
      <c r="B321" s="6" t="n"/>
      <c r="C321">
        <f>IF(B321="","",IFERROR(VLOOKUP(B321,'Recetas y precios'!$A$5:$B$54,2,FALSE),""))</f>
        <v/>
      </c>
      <c r="D321" s="6" t="n"/>
      <c r="E321" s="6" t="n"/>
      <c r="F321" s="11" t="n"/>
      <c r="G321" s="17">
        <f>E321*F321</f>
        <v/>
      </c>
      <c r="H321" s="17">
        <f>IF(B321="",0,E321*IFERROR(VLOOKUP(B321,'Recetas y precios'!$A$5:$T$54,20,FALSE),0))</f>
        <v/>
      </c>
      <c r="I321" s="27" t="n"/>
      <c r="J321" s="17">
        <f>G321*I321</f>
        <v/>
      </c>
      <c r="K321" s="17">
        <f>G321-H321-J321</f>
        <v/>
      </c>
      <c r="L321" s="29">
        <f>IF(G321&gt;0,K321/G321,"")</f>
        <v/>
      </c>
      <c r="M321" s="6" t="n"/>
    </row>
    <row r="322">
      <c r="A322" s="32" t="n"/>
      <c r="B322" s="6" t="n"/>
      <c r="C322">
        <f>IF(B322="","",IFERROR(VLOOKUP(B322,'Recetas y precios'!$A$5:$B$54,2,FALSE),""))</f>
        <v/>
      </c>
      <c r="D322" s="6" t="n"/>
      <c r="E322" s="6" t="n"/>
      <c r="F322" s="11" t="n"/>
      <c r="G322" s="17">
        <f>E322*F322</f>
        <v/>
      </c>
      <c r="H322" s="17">
        <f>IF(B322="",0,E322*IFERROR(VLOOKUP(B322,'Recetas y precios'!$A$5:$T$54,20,FALSE),0))</f>
        <v/>
      </c>
      <c r="I322" s="27" t="n"/>
      <c r="J322" s="17">
        <f>G322*I322</f>
        <v/>
      </c>
      <c r="K322" s="17">
        <f>G322-H322-J322</f>
        <v/>
      </c>
      <c r="L322" s="29">
        <f>IF(G322&gt;0,K322/G322,"")</f>
        <v/>
      </c>
      <c r="M322" s="6" t="n"/>
    </row>
    <row r="323">
      <c r="A323" s="32" t="n"/>
      <c r="B323" s="6" t="n"/>
      <c r="C323">
        <f>IF(B323="","",IFERROR(VLOOKUP(B323,'Recetas y precios'!$A$5:$B$54,2,FALSE),""))</f>
        <v/>
      </c>
      <c r="D323" s="6" t="n"/>
      <c r="E323" s="6" t="n"/>
      <c r="F323" s="11" t="n"/>
      <c r="G323" s="17">
        <f>E323*F323</f>
        <v/>
      </c>
      <c r="H323" s="17">
        <f>IF(B323="",0,E323*IFERROR(VLOOKUP(B323,'Recetas y precios'!$A$5:$T$54,20,FALSE),0))</f>
        <v/>
      </c>
      <c r="I323" s="27" t="n"/>
      <c r="J323" s="17">
        <f>G323*I323</f>
        <v/>
      </c>
      <c r="K323" s="17">
        <f>G323-H323-J323</f>
        <v/>
      </c>
      <c r="L323" s="29">
        <f>IF(G323&gt;0,K323/G323,"")</f>
        <v/>
      </c>
      <c r="M323" s="6" t="n"/>
    </row>
    <row r="324">
      <c r="A324" s="32" t="n"/>
      <c r="B324" s="6" t="n"/>
      <c r="C324">
        <f>IF(B324="","",IFERROR(VLOOKUP(B324,'Recetas y precios'!$A$5:$B$54,2,FALSE),""))</f>
        <v/>
      </c>
      <c r="D324" s="6" t="n"/>
      <c r="E324" s="6" t="n"/>
      <c r="F324" s="11" t="n"/>
      <c r="G324" s="17">
        <f>E324*F324</f>
        <v/>
      </c>
      <c r="H324" s="17">
        <f>IF(B324="",0,E324*IFERROR(VLOOKUP(B324,'Recetas y precios'!$A$5:$T$54,20,FALSE),0))</f>
        <v/>
      </c>
      <c r="I324" s="27" t="n"/>
      <c r="J324" s="17">
        <f>G324*I324</f>
        <v/>
      </c>
      <c r="K324" s="17">
        <f>G324-H324-J324</f>
        <v/>
      </c>
      <c r="L324" s="29">
        <f>IF(G324&gt;0,K324/G324,"")</f>
        <v/>
      </c>
      <c r="M324" s="6" t="n"/>
    </row>
    <row r="325">
      <c r="A325" s="32" t="n"/>
      <c r="B325" s="6" t="n"/>
      <c r="C325">
        <f>IF(B325="","",IFERROR(VLOOKUP(B325,'Recetas y precios'!$A$5:$B$54,2,FALSE),""))</f>
        <v/>
      </c>
      <c r="D325" s="6" t="n"/>
      <c r="E325" s="6" t="n"/>
      <c r="F325" s="11" t="n"/>
      <c r="G325" s="17">
        <f>E325*F325</f>
        <v/>
      </c>
      <c r="H325" s="17">
        <f>IF(B325="",0,E325*IFERROR(VLOOKUP(B325,'Recetas y precios'!$A$5:$T$54,20,FALSE),0))</f>
        <v/>
      </c>
      <c r="I325" s="27" t="n"/>
      <c r="J325" s="17">
        <f>G325*I325</f>
        <v/>
      </c>
      <c r="K325" s="17">
        <f>G325-H325-J325</f>
        <v/>
      </c>
      <c r="L325" s="29">
        <f>IF(G325&gt;0,K325/G325,"")</f>
        <v/>
      </c>
      <c r="M325" s="6" t="n"/>
    </row>
    <row r="326">
      <c r="A326" s="32" t="n"/>
      <c r="B326" s="6" t="n"/>
      <c r="C326">
        <f>IF(B326="","",IFERROR(VLOOKUP(B326,'Recetas y precios'!$A$5:$B$54,2,FALSE),""))</f>
        <v/>
      </c>
      <c r="D326" s="6" t="n"/>
      <c r="E326" s="6" t="n"/>
      <c r="F326" s="11" t="n"/>
      <c r="G326" s="17">
        <f>E326*F326</f>
        <v/>
      </c>
      <c r="H326" s="17">
        <f>IF(B326="",0,E326*IFERROR(VLOOKUP(B326,'Recetas y precios'!$A$5:$T$54,20,FALSE),0))</f>
        <v/>
      </c>
      <c r="I326" s="27" t="n"/>
      <c r="J326" s="17">
        <f>G326*I326</f>
        <v/>
      </c>
      <c r="K326" s="17">
        <f>G326-H326-J326</f>
        <v/>
      </c>
      <c r="L326" s="29">
        <f>IF(G326&gt;0,K326/G326,"")</f>
        <v/>
      </c>
      <c r="M326" s="6" t="n"/>
    </row>
    <row r="327">
      <c r="A327" s="32" t="n"/>
      <c r="B327" s="6" t="n"/>
      <c r="C327">
        <f>IF(B327="","",IFERROR(VLOOKUP(B327,'Recetas y precios'!$A$5:$B$54,2,FALSE),""))</f>
        <v/>
      </c>
      <c r="D327" s="6" t="n"/>
      <c r="E327" s="6" t="n"/>
      <c r="F327" s="11" t="n"/>
      <c r="G327" s="17">
        <f>E327*F327</f>
        <v/>
      </c>
      <c r="H327" s="17">
        <f>IF(B327="",0,E327*IFERROR(VLOOKUP(B327,'Recetas y precios'!$A$5:$T$54,20,FALSE),0))</f>
        <v/>
      </c>
      <c r="I327" s="27" t="n"/>
      <c r="J327" s="17">
        <f>G327*I327</f>
        <v/>
      </c>
      <c r="K327" s="17">
        <f>G327-H327-J327</f>
        <v/>
      </c>
      <c r="L327" s="29">
        <f>IF(G327&gt;0,K327/G327,"")</f>
        <v/>
      </c>
      <c r="M327" s="6" t="n"/>
    </row>
    <row r="328">
      <c r="A328" s="32" t="n"/>
      <c r="B328" s="6" t="n"/>
      <c r="C328">
        <f>IF(B328="","",IFERROR(VLOOKUP(B328,'Recetas y precios'!$A$5:$B$54,2,FALSE),""))</f>
        <v/>
      </c>
      <c r="D328" s="6" t="n"/>
      <c r="E328" s="6" t="n"/>
      <c r="F328" s="11" t="n"/>
      <c r="G328" s="17">
        <f>E328*F328</f>
        <v/>
      </c>
      <c r="H328" s="17">
        <f>IF(B328="",0,E328*IFERROR(VLOOKUP(B328,'Recetas y precios'!$A$5:$T$54,20,FALSE),0))</f>
        <v/>
      </c>
      <c r="I328" s="27" t="n"/>
      <c r="J328" s="17">
        <f>G328*I328</f>
        <v/>
      </c>
      <c r="K328" s="17">
        <f>G328-H328-J328</f>
        <v/>
      </c>
      <c r="L328" s="29">
        <f>IF(G328&gt;0,K328/G328,"")</f>
        <v/>
      </c>
      <c r="M328" s="6" t="n"/>
    </row>
    <row r="329">
      <c r="A329" s="32" t="n"/>
      <c r="B329" s="6" t="n"/>
      <c r="C329">
        <f>IF(B329="","",IFERROR(VLOOKUP(B329,'Recetas y precios'!$A$5:$B$54,2,FALSE),""))</f>
        <v/>
      </c>
      <c r="D329" s="6" t="n"/>
      <c r="E329" s="6" t="n"/>
      <c r="F329" s="11" t="n"/>
      <c r="G329" s="17">
        <f>E329*F329</f>
        <v/>
      </c>
      <c r="H329" s="17">
        <f>IF(B329="",0,E329*IFERROR(VLOOKUP(B329,'Recetas y precios'!$A$5:$T$54,20,FALSE),0))</f>
        <v/>
      </c>
      <c r="I329" s="27" t="n"/>
      <c r="J329" s="17">
        <f>G329*I329</f>
        <v/>
      </c>
      <c r="K329" s="17">
        <f>G329-H329-J329</f>
        <v/>
      </c>
      <c r="L329" s="29">
        <f>IF(G329&gt;0,K329/G329,"")</f>
        <v/>
      </c>
      <c r="M329" s="6" t="n"/>
    </row>
    <row r="330">
      <c r="A330" s="32" t="n"/>
      <c r="B330" s="6" t="n"/>
      <c r="C330">
        <f>IF(B330="","",IFERROR(VLOOKUP(B330,'Recetas y precios'!$A$5:$B$54,2,FALSE),""))</f>
        <v/>
      </c>
      <c r="D330" s="6" t="n"/>
      <c r="E330" s="6" t="n"/>
      <c r="F330" s="11" t="n"/>
      <c r="G330" s="17">
        <f>E330*F330</f>
        <v/>
      </c>
      <c r="H330" s="17">
        <f>IF(B330="",0,E330*IFERROR(VLOOKUP(B330,'Recetas y precios'!$A$5:$T$54,20,FALSE),0))</f>
        <v/>
      </c>
      <c r="I330" s="27" t="n"/>
      <c r="J330" s="17">
        <f>G330*I330</f>
        <v/>
      </c>
      <c r="K330" s="17">
        <f>G330-H330-J330</f>
        <v/>
      </c>
      <c r="L330" s="29">
        <f>IF(G330&gt;0,K330/G330,"")</f>
        <v/>
      </c>
      <c r="M330" s="6" t="n"/>
    </row>
    <row r="331">
      <c r="A331" s="32" t="n"/>
      <c r="B331" s="6" t="n"/>
      <c r="C331">
        <f>IF(B331="","",IFERROR(VLOOKUP(B331,'Recetas y precios'!$A$5:$B$54,2,FALSE),""))</f>
        <v/>
      </c>
      <c r="D331" s="6" t="n"/>
      <c r="E331" s="6" t="n"/>
      <c r="F331" s="11" t="n"/>
      <c r="G331" s="17">
        <f>E331*F331</f>
        <v/>
      </c>
      <c r="H331" s="17">
        <f>IF(B331="",0,E331*IFERROR(VLOOKUP(B331,'Recetas y precios'!$A$5:$T$54,20,FALSE),0))</f>
        <v/>
      </c>
      <c r="I331" s="27" t="n"/>
      <c r="J331" s="17">
        <f>G331*I331</f>
        <v/>
      </c>
      <c r="K331" s="17">
        <f>G331-H331-J331</f>
        <v/>
      </c>
      <c r="L331" s="29">
        <f>IF(G331&gt;0,K331/G331,"")</f>
        <v/>
      </c>
      <c r="M331" s="6" t="n"/>
    </row>
    <row r="332">
      <c r="A332" s="32" t="n"/>
      <c r="B332" s="6" t="n"/>
      <c r="C332">
        <f>IF(B332="","",IFERROR(VLOOKUP(B332,'Recetas y precios'!$A$5:$B$54,2,FALSE),""))</f>
        <v/>
      </c>
      <c r="D332" s="6" t="n"/>
      <c r="E332" s="6" t="n"/>
      <c r="F332" s="11" t="n"/>
      <c r="G332" s="17">
        <f>E332*F332</f>
        <v/>
      </c>
      <c r="H332" s="17">
        <f>IF(B332="",0,E332*IFERROR(VLOOKUP(B332,'Recetas y precios'!$A$5:$T$54,20,FALSE),0))</f>
        <v/>
      </c>
      <c r="I332" s="27" t="n"/>
      <c r="J332" s="17">
        <f>G332*I332</f>
        <v/>
      </c>
      <c r="K332" s="17">
        <f>G332-H332-J332</f>
        <v/>
      </c>
      <c r="L332" s="29">
        <f>IF(G332&gt;0,K332/G332,"")</f>
        <v/>
      </c>
      <c r="M332" s="6" t="n"/>
    </row>
    <row r="333">
      <c r="A333" s="32" t="n"/>
      <c r="B333" s="6" t="n"/>
      <c r="C333">
        <f>IF(B333="","",IFERROR(VLOOKUP(B333,'Recetas y precios'!$A$5:$B$54,2,FALSE),""))</f>
        <v/>
      </c>
      <c r="D333" s="6" t="n"/>
      <c r="E333" s="6" t="n"/>
      <c r="F333" s="11" t="n"/>
      <c r="G333" s="17">
        <f>E333*F333</f>
        <v/>
      </c>
      <c r="H333" s="17">
        <f>IF(B333="",0,E333*IFERROR(VLOOKUP(B333,'Recetas y precios'!$A$5:$T$54,20,FALSE),0))</f>
        <v/>
      </c>
      <c r="I333" s="27" t="n"/>
      <c r="J333" s="17">
        <f>G333*I333</f>
        <v/>
      </c>
      <c r="K333" s="17">
        <f>G333-H333-J333</f>
        <v/>
      </c>
      <c r="L333" s="29">
        <f>IF(G333&gt;0,K333/G333,"")</f>
        <v/>
      </c>
      <c r="M333" s="6" t="n"/>
    </row>
    <row r="334">
      <c r="A334" s="32" t="n"/>
      <c r="B334" s="6" t="n"/>
      <c r="C334">
        <f>IF(B334="","",IFERROR(VLOOKUP(B334,'Recetas y precios'!$A$5:$B$54,2,FALSE),""))</f>
        <v/>
      </c>
      <c r="D334" s="6" t="n"/>
      <c r="E334" s="6" t="n"/>
      <c r="F334" s="11" t="n"/>
      <c r="G334" s="17">
        <f>E334*F334</f>
        <v/>
      </c>
      <c r="H334" s="17">
        <f>IF(B334="",0,E334*IFERROR(VLOOKUP(B334,'Recetas y precios'!$A$5:$T$54,20,FALSE),0))</f>
        <v/>
      </c>
      <c r="I334" s="27" t="n"/>
      <c r="J334" s="17">
        <f>G334*I334</f>
        <v/>
      </c>
      <c r="K334" s="17">
        <f>G334-H334-J334</f>
        <v/>
      </c>
      <c r="L334" s="29">
        <f>IF(G334&gt;0,K334/G334,"")</f>
        <v/>
      </c>
      <c r="M334" s="6" t="n"/>
    </row>
    <row r="335">
      <c r="A335" s="32" t="n"/>
      <c r="B335" s="6" t="n"/>
      <c r="C335">
        <f>IF(B335="","",IFERROR(VLOOKUP(B335,'Recetas y precios'!$A$5:$B$54,2,FALSE),""))</f>
        <v/>
      </c>
      <c r="D335" s="6" t="n"/>
      <c r="E335" s="6" t="n"/>
      <c r="F335" s="11" t="n"/>
      <c r="G335" s="17">
        <f>E335*F335</f>
        <v/>
      </c>
      <c r="H335" s="17">
        <f>IF(B335="",0,E335*IFERROR(VLOOKUP(B335,'Recetas y precios'!$A$5:$T$54,20,FALSE),0))</f>
        <v/>
      </c>
      <c r="I335" s="27" t="n"/>
      <c r="J335" s="17">
        <f>G335*I335</f>
        <v/>
      </c>
      <c r="K335" s="17">
        <f>G335-H335-J335</f>
        <v/>
      </c>
      <c r="L335" s="29">
        <f>IF(G335&gt;0,K335/G335,"")</f>
        <v/>
      </c>
      <c r="M335" s="6" t="n"/>
    </row>
    <row r="336">
      <c r="A336" s="32" t="n"/>
      <c r="B336" s="6" t="n"/>
      <c r="C336">
        <f>IF(B336="","",IFERROR(VLOOKUP(B336,'Recetas y precios'!$A$5:$B$54,2,FALSE),""))</f>
        <v/>
      </c>
      <c r="D336" s="6" t="n"/>
      <c r="E336" s="6" t="n"/>
      <c r="F336" s="11" t="n"/>
      <c r="G336" s="17">
        <f>E336*F336</f>
        <v/>
      </c>
      <c r="H336" s="17">
        <f>IF(B336="",0,E336*IFERROR(VLOOKUP(B336,'Recetas y precios'!$A$5:$T$54,20,FALSE),0))</f>
        <v/>
      </c>
      <c r="I336" s="27" t="n"/>
      <c r="J336" s="17">
        <f>G336*I336</f>
        <v/>
      </c>
      <c r="K336" s="17">
        <f>G336-H336-J336</f>
        <v/>
      </c>
      <c r="L336" s="29">
        <f>IF(G336&gt;0,K336/G336,"")</f>
        <v/>
      </c>
      <c r="M336" s="6" t="n"/>
    </row>
    <row r="337">
      <c r="A337" s="32" t="n"/>
      <c r="B337" s="6" t="n"/>
      <c r="C337">
        <f>IF(B337="","",IFERROR(VLOOKUP(B337,'Recetas y precios'!$A$5:$B$54,2,FALSE),""))</f>
        <v/>
      </c>
      <c r="D337" s="6" t="n"/>
      <c r="E337" s="6" t="n"/>
      <c r="F337" s="11" t="n"/>
      <c r="G337" s="17">
        <f>E337*F337</f>
        <v/>
      </c>
      <c r="H337" s="17">
        <f>IF(B337="",0,E337*IFERROR(VLOOKUP(B337,'Recetas y precios'!$A$5:$T$54,20,FALSE),0))</f>
        <v/>
      </c>
      <c r="I337" s="27" t="n"/>
      <c r="J337" s="17">
        <f>G337*I337</f>
        <v/>
      </c>
      <c r="K337" s="17">
        <f>G337-H337-J337</f>
        <v/>
      </c>
      <c r="L337" s="29">
        <f>IF(G337&gt;0,K337/G337,"")</f>
        <v/>
      </c>
      <c r="M337" s="6" t="n"/>
    </row>
    <row r="338">
      <c r="A338" s="32" t="n"/>
      <c r="B338" s="6" t="n"/>
      <c r="C338">
        <f>IF(B338="","",IFERROR(VLOOKUP(B338,'Recetas y precios'!$A$5:$B$54,2,FALSE),""))</f>
        <v/>
      </c>
      <c r="D338" s="6" t="n"/>
      <c r="E338" s="6" t="n"/>
      <c r="F338" s="11" t="n"/>
      <c r="G338" s="17">
        <f>E338*F338</f>
        <v/>
      </c>
      <c r="H338" s="17">
        <f>IF(B338="",0,E338*IFERROR(VLOOKUP(B338,'Recetas y precios'!$A$5:$T$54,20,FALSE),0))</f>
        <v/>
      </c>
      <c r="I338" s="27" t="n"/>
      <c r="J338" s="17">
        <f>G338*I338</f>
        <v/>
      </c>
      <c r="K338" s="17">
        <f>G338-H338-J338</f>
        <v/>
      </c>
      <c r="L338" s="29">
        <f>IF(G338&gt;0,K338/G338,"")</f>
        <v/>
      </c>
      <c r="M338" s="6" t="n"/>
    </row>
    <row r="339">
      <c r="A339" s="32" t="n"/>
      <c r="B339" s="6" t="n"/>
      <c r="C339">
        <f>IF(B339="","",IFERROR(VLOOKUP(B339,'Recetas y precios'!$A$5:$B$54,2,FALSE),""))</f>
        <v/>
      </c>
      <c r="D339" s="6" t="n"/>
      <c r="E339" s="6" t="n"/>
      <c r="F339" s="11" t="n"/>
      <c r="G339" s="17">
        <f>E339*F339</f>
        <v/>
      </c>
      <c r="H339" s="17">
        <f>IF(B339="",0,E339*IFERROR(VLOOKUP(B339,'Recetas y precios'!$A$5:$T$54,20,FALSE),0))</f>
        <v/>
      </c>
      <c r="I339" s="27" t="n"/>
      <c r="J339" s="17">
        <f>G339*I339</f>
        <v/>
      </c>
      <c r="K339" s="17">
        <f>G339-H339-J339</f>
        <v/>
      </c>
      <c r="L339" s="29">
        <f>IF(G339&gt;0,K339/G339,"")</f>
        <v/>
      </c>
      <c r="M339" s="6" t="n"/>
    </row>
    <row r="340">
      <c r="A340" s="32" t="n"/>
      <c r="B340" s="6" t="n"/>
      <c r="C340">
        <f>IF(B340="","",IFERROR(VLOOKUP(B340,'Recetas y precios'!$A$5:$B$54,2,FALSE),""))</f>
        <v/>
      </c>
      <c r="D340" s="6" t="n"/>
      <c r="E340" s="6" t="n"/>
      <c r="F340" s="11" t="n"/>
      <c r="G340" s="17">
        <f>E340*F340</f>
        <v/>
      </c>
      <c r="H340" s="17">
        <f>IF(B340="",0,E340*IFERROR(VLOOKUP(B340,'Recetas y precios'!$A$5:$T$54,20,FALSE),0))</f>
        <v/>
      </c>
      <c r="I340" s="27" t="n"/>
      <c r="J340" s="17">
        <f>G340*I340</f>
        <v/>
      </c>
      <c r="K340" s="17">
        <f>G340-H340-J340</f>
        <v/>
      </c>
      <c r="L340" s="29">
        <f>IF(G340&gt;0,K340/G340,"")</f>
        <v/>
      </c>
      <c r="M340" s="6" t="n"/>
    </row>
    <row r="341">
      <c r="A341" s="32" t="n"/>
      <c r="B341" s="6" t="n"/>
      <c r="C341">
        <f>IF(B341="","",IFERROR(VLOOKUP(B341,'Recetas y precios'!$A$5:$B$54,2,FALSE),""))</f>
        <v/>
      </c>
      <c r="D341" s="6" t="n"/>
      <c r="E341" s="6" t="n"/>
      <c r="F341" s="11" t="n"/>
      <c r="G341" s="17">
        <f>E341*F341</f>
        <v/>
      </c>
      <c r="H341" s="17">
        <f>IF(B341="",0,E341*IFERROR(VLOOKUP(B341,'Recetas y precios'!$A$5:$T$54,20,FALSE),0))</f>
        <v/>
      </c>
      <c r="I341" s="27" t="n"/>
      <c r="J341" s="17">
        <f>G341*I341</f>
        <v/>
      </c>
      <c r="K341" s="17">
        <f>G341-H341-J341</f>
        <v/>
      </c>
      <c r="L341" s="29">
        <f>IF(G341&gt;0,K341/G341,"")</f>
        <v/>
      </c>
      <c r="M341" s="6" t="n"/>
    </row>
    <row r="342">
      <c r="A342" s="32" t="n"/>
      <c r="B342" s="6" t="n"/>
      <c r="C342">
        <f>IF(B342="","",IFERROR(VLOOKUP(B342,'Recetas y precios'!$A$5:$B$54,2,FALSE),""))</f>
        <v/>
      </c>
      <c r="D342" s="6" t="n"/>
      <c r="E342" s="6" t="n"/>
      <c r="F342" s="11" t="n"/>
      <c r="G342" s="17">
        <f>E342*F342</f>
        <v/>
      </c>
      <c r="H342" s="17">
        <f>IF(B342="",0,E342*IFERROR(VLOOKUP(B342,'Recetas y precios'!$A$5:$T$54,20,FALSE),0))</f>
        <v/>
      </c>
      <c r="I342" s="27" t="n"/>
      <c r="J342" s="17">
        <f>G342*I342</f>
        <v/>
      </c>
      <c r="K342" s="17">
        <f>G342-H342-J342</f>
        <v/>
      </c>
      <c r="L342" s="29">
        <f>IF(G342&gt;0,K342/G342,"")</f>
        <v/>
      </c>
      <c r="M342" s="6" t="n"/>
    </row>
    <row r="343">
      <c r="A343" s="32" t="n"/>
      <c r="B343" s="6" t="n"/>
      <c r="C343">
        <f>IF(B343="","",IFERROR(VLOOKUP(B343,'Recetas y precios'!$A$5:$B$54,2,FALSE),""))</f>
        <v/>
      </c>
      <c r="D343" s="6" t="n"/>
      <c r="E343" s="6" t="n"/>
      <c r="F343" s="11" t="n"/>
      <c r="G343" s="17">
        <f>E343*F343</f>
        <v/>
      </c>
      <c r="H343" s="17">
        <f>IF(B343="",0,E343*IFERROR(VLOOKUP(B343,'Recetas y precios'!$A$5:$T$54,20,FALSE),0))</f>
        <v/>
      </c>
      <c r="I343" s="27" t="n"/>
      <c r="J343" s="17">
        <f>G343*I343</f>
        <v/>
      </c>
      <c r="K343" s="17">
        <f>G343-H343-J343</f>
        <v/>
      </c>
      <c r="L343" s="29">
        <f>IF(G343&gt;0,K343/G343,"")</f>
        <v/>
      </c>
      <c r="M343" s="6" t="n"/>
    </row>
    <row r="344">
      <c r="A344" s="32" t="n"/>
      <c r="B344" s="6" t="n"/>
      <c r="C344">
        <f>IF(B344="","",IFERROR(VLOOKUP(B344,'Recetas y precios'!$A$5:$B$54,2,FALSE),""))</f>
        <v/>
      </c>
      <c r="D344" s="6" t="n"/>
      <c r="E344" s="6" t="n"/>
      <c r="F344" s="11" t="n"/>
      <c r="G344" s="17">
        <f>E344*F344</f>
        <v/>
      </c>
      <c r="H344" s="17">
        <f>IF(B344="",0,E344*IFERROR(VLOOKUP(B344,'Recetas y precios'!$A$5:$T$54,20,FALSE),0))</f>
        <v/>
      </c>
      <c r="I344" s="27" t="n"/>
      <c r="J344" s="17">
        <f>G344*I344</f>
        <v/>
      </c>
      <c r="K344" s="17">
        <f>G344-H344-J344</f>
        <v/>
      </c>
      <c r="L344" s="29">
        <f>IF(G344&gt;0,K344/G344,"")</f>
        <v/>
      </c>
      <c r="M344" s="6" t="n"/>
    </row>
    <row r="345">
      <c r="A345" s="32" t="n"/>
      <c r="B345" s="6" t="n"/>
      <c r="C345">
        <f>IF(B345="","",IFERROR(VLOOKUP(B345,'Recetas y precios'!$A$5:$B$54,2,FALSE),""))</f>
        <v/>
      </c>
      <c r="D345" s="6" t="n"/>
      <c r="E345" s="6" t="n"/>
      <c r="F345" s="11" t="n"/>
      <c r="G345" s="17">
        <f>E345*F345</f>
        <v/>
      </c>
      <c r="H345" s="17">
        <f>IF(B345="",0,E345*IFERROR(VLOOKUP(B345,'Recetas y precios'!$A$5:$T$54,20,FALSE),0))</f>
        <v/>
      </c>
      <c r="I345" s="27" t="n"/>
      <c r="J345" s="17">
        <f>G345*I345</f>
        <v/>
      </c>
      <c r="K345" s="17">
        <f>G345-H345-J345</f>
        <v/>
      </c>
      <c r="L345" s="29">
        <f>IF(G345&gt;0,K345/G345,"")</f>
        <v/>
      </c>
      <c r="M345" s="6" t="n"/>
    </row>
    <row r="346">
      <c r="A346" s="32" t="n"/>
      <c r="B346" s="6" t="n"/>
      <c r="C346">
        <f>IF(B346="","",IFERROR(VLOOKUP(B346,'Recetas y precios'!$A$5:$B$54,2,FALSE),""))</f>
        <v/>
      </c>
      <c r="D346" s="6" t="n"/>
      <c r="E346" s="6" t="n"/>
      <c r="F346" s="11" t="n"/>
      <c r="G346" s="17">
        <f>E346*F346</f>
        <v/>
      </c>
      <c r="H346" s="17">
        <f>IF(B346="",0,E346*IFERROR(VLOOKUP(B346,'Recetas y precios'!$A$5:$T$54,20,FALSE),0))</f>
        <v/>
      </c>
      <c r="I346" s="27" t="n"/>
      <c r="J346" s="17">
        <f>G346*I346</f>
        <v/>
      </c>
      <c r="K346" s="17">
        <f>G346-H346-J346</f>
        <v/>
      </c>
      <c r="L346" s="29">
        <f>IF(G346&gt;0,K346/G346,"")</f>
        <v/>
      </c>
      <c r="M346" s="6" t="n"/>
    </row>
    <row r="347">
      <c r="A347" s="32" t="n"/>
      <c r="B347" s="6" t="n"/>
      <c r="C347">
        <f>IF(B347="","",IFERROR(VLOOKUP(B347,'Recetas y precios'!$A$5:$B$54,2,FALSE),""))</f>
        <v/>
      </c>
      <c r="D347" s="6" t="n"/>
      <c r="E347" s="6" t="n"/>
      <c r="F347" s="11" t="n"/>
      <c r="G347" s="17">
        <f>E347*F347</f>
        <v/>
      </c>
      <c r="H347" s="17">
        <f>IF(B347="",0,E347*IFERROR(VLOOKUP(B347,'Recetas y precios'!$A$5:$T$54,20,FALSE),0))</f>
        <v/>
      </c>
      <c r="I347" s="27" t="n"/>
      <c r="J347" s="17">
        <f>G347*I347</f>
        <v/>
      </c>
      <c r="K347" s="17">
        <f>G347-H347-J347</f>
        <v/>
      </c>
      <c r="L347" s="29">
        <f>IF(G347&gt;0,K347/G347,"")</f>
        <v/>
      </c>
      <c r="M347" s="6" t="n"/>
    </row>
    <row r="348">
      <c r="A348" s="32" t="n"/>
      <c r="B348" s="6" t="n"/>
      <c r="C348">
        <f>IF(B348="","",IFERROR(VLOOKUP(B348,'Recetas y precios'!$A$5:$B$54,2,FALSE),""))</f>
        <v/>
      </c>
      <c r="D348" s="6" t="n"/>
      <c r="E348" s="6" t="n"/>
      <c r="F348" s="11" t="n"/>
      <c r="G348" s="17">
        <f>E348*F348</f>
        <v/>
      </c>
      <c r="H348" s="17">
        <f>IF(B348="",0,E348*IFERROR(VLOOKUP(B348,'Recetas y precios'!$A$5:$T$54,20,FALSE),0))</f>
        <v/>
      </c>
      <c r="I348" s="27" t="n"/>
      <c r="J348" s="17">
        <f>G348*I348</f>
        <v/>
      </c>
      <c r="K348" s="17">
        <f>G348-H348-J348</f>
        <v/>
      </c>
      <c r="L348" s="29">
        <f>IF(G348&gt;0,K348/G348,"")</f>
        <v/>
      </c>
      <c r="M348" s="6" t="n"/>
    </row>
    <row r="349">
      <c r="A349" s="32" t="n"/>
      <c r="B349" s="6" t="n"/>
      <c r="C349">
        <f>IF(B349="","",IFERROR(VLOOKUP(B349,'Recetas y precios'!$A$5:$B$54,2,FALSE),""))</f>
        <v/>
      </c>
      <c r="D349" s="6" t="n"/>
      <c r="E349" s="6" t="n"/>
      <c r="F349" s="11" t="n"/>
      <c r="G349" s="17">
        <f>E349*F349</f>
        <v/>
      </c>
      <c r="H349" s="17">
        <f>IF(B349="",0,E349*IFERROR(VLOOKUP(B349,'Recetas y precios'!$A$5:$T$54,20,FALSE),0))</f>
        <v/>
      </c>
      <c r="I349" s="27" t="n"/>
      <c r="J349" s="17">
        <f>G349*I349</f>
        <v/>
      </c>
      <c r="K349" s="17">
        <f>G349-H349-J349</f>
        <v/>
      </c>
      <c r="L349" s="29">
        <f>IF(G349&gt;0,K349/G349,"")</f>
        <v/>
      </c>
      <c r="M349" s="6" t="n"/>
    </row>
    <row r="350">
      <c r="A350" s="32" t="n"/>
      <c r="B350" s="6" t="n"/>
      <c r="C350">
        <f>IF(B350="","",IFERROR(VLOOKUP(B350,'Recetas y precios'!$A$5:$B$54,2,FALSE),""))</f>
        <v/>
      </c>
      <c r="D350" s="6" t="n"/>
      <c r="E350" s="6" t="n"/>
      <c r="F350" s="11" t="n"/>
      <c r="G350" s="17">
        <f>E350*F350</f>
        <v/>
      </c>
      <c r="H350" s="17">
        <f>IF(B350="",0,E350*IFERROR(VLOOKUP(B350,'Recetas y precios'!$A$5:$T$54,20,FALSE),0))</f>
        <v/>
      </c>
      <c r="I350" s="27" t="n"/>
      <c r="J350" s="17">
        <f>G350*I350</f>
        <v/>
      </c>
      <c r="K350" s="17">
        <f>G350-H350-J350</f>
        <v/>
      </c>
      <c r="L350" s="29">
        <f>IF(G350&gt;0,K350/G350,"")</f>
        <v/>
      </c>
      <c r="M350" s="6" t="n"/>
    </row>
    <row r="351">
      <c r="A351" s="32" t="n"/>
      <c r="B351" s="6" t="n"/>
      <c r="C351">
        <f>IF(B351="","",IFERROR(VLOOKUP(B351,'Recetas y precios'!$A$5:$B$54,2,FALSE),""))</f>
        <v/>
      </c>
      <c r="D351" s="6" t="n"/>
      <c r="E351" s="6" t="n"/>
      <c r="F351" s="11" t="n"/>
      <c r="G351" s="17">
        <f>E351*F351</f>
        <v/>
      </c>
      <c r="H351" s="17">
        <f>IF(B351="",0,E351*IFERROR(VLOOKUP(B351,'Recetas y precios'!$A$5:$T$54,20,FALSE),0))</f>
        <v/>
      </c>
      <c r="I351" s="27" t="n"/>
      <c r="J351" s="17">
        <f>G351*I351</f>
        <v/>
      </c>
      <c r="K351" s="17">
        <f>G351-H351-J351</f>
        <v/>
      </c>
      <c r="L351" s="29">
        <f>IF(G351&gt;0,K351/G351,"")</f>
        <v/>
      </c>
      <c r="M351" s="6" t="n"/>
    </row>
    <row r="352">
      <c r="A352" s="32" t="n"/>
      <c r="B352" s="6" t="n"/>
      <c r="C352">
        <f>IF(B352="","",IFERROR(VLOOKUP(B352,'Recetas y precios'!$A$5:$B$54,2,FALSE),""))</f>
        <v/>
      </c>
      <c r="D352" s="6" t="n"/>
      <c r="E352" s="6" t="n"/>
      <c r="F352" s="11" t="n"/>
      <c r="G352" s="17">
        <f>E352*F352</f>
        <v/>
      </c>
      <c r="H352" s="17">
        <f>IF(B352="",0,E352*IFERROR(VLOOKUP(B352,'Recetas y precios'!$A$5:$T$54,20,FALSE),0))</f>
        <v/>
      </c>
      <c r="I352" s="27" t="n"/>
      <c r="J352" s="17">
        <f>G352*I352</f>
        <v/>
      </c>
      <c r="K352" s="17">
        <f>G352-H352-J352</f>
        <v/>
      </c>
      <c r="L352" s="29">
        <f>IF(G352&gt;0,K352/G352,"")</f>
        <v/>
      </c>
      <c r="M352" s="6" t="n"/>
    </row>
    <row r="353">
      <c r="A353" s="32" t="n"/>
      <c r="B353" s="6" t="n"/>
      <c r="C353">
        <f>IF(B353="","",IFERROR(VLOOKUP(B353,'Recetas y precios'!$A$5:$B$54,2,FALSE),""))</f>
        <v/>
      </c>
      <c r="D353" s="6" t="n"/>
      <c r="E353" s="6" t="n"/>
      <c r="F353" s="11" t="n"/>
      <c r="G353" s="17">
        <f>E353*F353</f>
        <v/>
      </c>
      <c r="H353" s="17">
        <f>IF(B353="",0,E353*IFERROR(VLOOKUP(B353,'Recetas y precios'!$A$5:$T$54,20,FALSE),0))</f>
        <v/>
      </c>
      <c r="I353" s="27" t="n"/>
      <c r="J353" s="17">
        <f>G353*I353</f>
        <v/>
      </c>
      <c r="K353" s="17">
        <f>G353-H353-J353</f>
        <v/>
      </c>
      <c r="L353" s="29">
        <f>IF(G353&gt;0,K353/G353,"")</f>
        <v/>
      </c>
      <c r="M353" s="6" t="n"/>
    </row>
    <row r="354">
      <c r="A354" s="32" t="n"/>
      <c r="B354" s="6" t="n"/>
      <c r="C354">
        <f>IF(B354="","",IFERROR(VLOOKUP(B354,'Recetas y precios'!$A$5:$B$54,2,FALSE),""))</f>
        <v/>
      </c>
      <c r="D354" s="6" t="n"/>
      <c r="E354" s="6" t="n"/>
      <c r="F354" s="11" t="n"/>
      <c r="G354" s="17">
        <f>E354*F354</f>
        <v/>
      </c>
      <c r="H354" s="17">
        <f>IF(B354="",0,E354*IFERROR(VLOOKUP(B354,'Recetas y precios'!$A$5:$T$54,20,FALSE),0))</f>
        <v/>
      </c>
      <c r="I354" s="27" t="n"/>
      <c r="J354" s="17">
        <f>G354*I354</f>
        <v/>
      </c>
      <c r="K354" s="17">
        <f>G354-H354-J354</f>
        <v/>
      </c>
      <c r="L354" s="29">
        <f>IF(G354&gt;0,K354/G354,"")</f>
        <v/>
      </c>
      <c r="M354" s="6" t="n"/>
    </row>
    <row r="355">
      <c r="A355" s="32" t="n"/>
      <c r="B355" s="6" t="n"/>
      <c r="C355">
        <f>IF(B355="","",IFERROR(VLOOKUP(B355,'Recetas y precios'!$A$5:$B$54,2,FALSE),""))</f>
        <v/>
      </c>
      <c r="D355" s="6" t="n"/>
      <c r="E355" s="6" t="n"/>
      <c r="F355" s="11" t="n"/>
      <c r="G355" s="17">
        <f>E355*F355</f>
        <v/>
      </c>
      <c r="H355" s="17">
        <f>IF(B355="",0,E355*IFERROR(VLOOKUP(B355,'Recetas y precios'!$A$5:$T$54,20,FALSE),0))</f>
        <v/>
      </c>
      <c r="I355" s="27" t="n"/>
      <c r="J355" s="17">
        <f>G355*I355</f>
        <v/>
      </c>
      <c r="K355" s="17">
        <f>G355-H355-J355</f>
        <v/>
      </c>
      <c r="L355" s="29">
        <f>IF(G355&gt;0,K355/G355,"")</f>
        <v/>
      </c>
      <c r="M355" s="6" t="n"/>
    </row>
    <row r="356">
      <c r="A356" s="32" t="n"/>
      <c r="B356" s="6" t="n"/>
      <c r="C356">
        <f>IF(B356="","",IFERROR(VLOOKUP(B356,'Recetas y precios'!$A$5:$B$54,2,FALSE),""))</f>
        <v/>
      </c>
      <c r="D356" s="6" t="n"/>
      <c r="E356" s="6" t="n"/>
      <c r="F356" s="11" t="n"/>
      <c r="G356" s="17">
        <f>E356*F356</f>
        <v/>
      </c>
      <c r="H356" s="17">
        <f>IF(B356="",0,E356*IFERROR(VLOOKUP(B356,'Recetas y precios'!$A$5:$T$54,20,FALSE),0))</f>
        <v/>
      </c>
      <c r="I356" s="27" t="n"/>
      <c r="J356" s="17">
        <f>G356*I356</f>
        <v/>
      </c>
      <c r="K356" s="17">
        <f>G356-H356-J356</f>
        <v/>
      </c>
      <c r="L356" s="29">
        <f>IF(G356&gt;0,K356/G356,"")</f>
        <v/>
      </c>
      <c r="M356" s="6" t="n"/>
    </row>
    <row r="357">
      <c r="A357" s="32" t="n"/>
      <c r="B357" s="6" t="n"/>
      <c r="C357">
        <f>IF(B357="","",IFERROR(VLOOKUP(B357,'Recetas y precios'!$A$5:$B$54,2,FALSE),""))</f>
        <v/>
      </c>
      <c r="D357" s="6" t="n"/>
      <c r="E357" s="6" t="n"/>
      <c r="F357" s="11" t="n"/>
      <c r="G357" s="17">
        <f>E357*F357</f>
        <v/>
      </c>
      <c r="H357" s="17">
        <f>IF(B357="",0,E357*IFERROR(VLOOKUP(B357,'Recetas y precios'!$A$5:$T$54,20,FALSE),0))</f>
        <v/>
      </c>
      <c r="I357" s="27" t="n"/>
      <c r="J357" s="17">
        <f>G357*I357</f>
        <v/>
      </c>
      <c r="K357" s="17">
        <f>G357-H357-J357</f>
        <v/>
      </c>
      <c r="L357" s="29">
        <f>IF(G357&gt;0,K357/G357,"")</f>
        <v/>
      </c>
      <c r="M357" s="6" t="n"/>
    </row>
    <row r="358">
      <c r="A358" s="32" t="n"/>
      <c r="B358" s="6" t="n"/>
      <c r="C358">
        <f>IF(B358="","",IFERROR(VLOOKUP(B358,'Recetas y precios'!$A$5:$B$54,2,FALSE),""))</f>
        <v/>
      </c>
      <c r="D358" s="6" t="n"/>
      <c r="E358" s="6" t="n"/>
      <c r="F358" s="11" t="n"/>
      <c r="G358" s="17">
        <f>E358*F358</f>
        <v/>
      </c>
      <c r="H358" s="17">
        <f>IF(B358="",0,E358*IFERROR(VLOOKUP(B358,'Recetas y precios'!$A$5:$T$54,20,FALSE),0))</f>
        <v/>
      </c>
      <c r="I358" s="27" t="n"/>
      <c r="J358" s="17">
        <f>G358*I358</f>
        <v/>
      </c>
      <c r="K358" s="17">
        <f>G358-H358-J358</f>
        <v/>
      </c>
      <c r="L358" s="29">
        <f>IF(G358&gt;0,K358/G358,"")</f>
        <v/>
      </c>
      <c r="M358" s="6" t="n"/>
    </row>
    <row r="359">
      <c r="A359" s="32" t="n"/>
      <c r="B359" s="6" t="n"/>
      <c r="C359">
        <f>IF(B359="","",IFERROR(VLOOKUP(B359,'Recetas y precios'!$A$5:$B$54,2,FALSE),""))</f>
        <v/>
      </c>
      <c r="D359" s="6" t="n"/>
      <c r="E359" s="6" t="n"/>
      <c r="F359" s="11" t="n"/>
      <c r="G359" s="17">
        <f>E359*F359</f>
        <v/>
      </c>
      <c r="H359" s="17">
        <f>IF(B359="",0,E359*IFERROR(VLOOKUP(B359,'Recetas y precios'!$A$5:$T$54,20,FALSE),0))</f>
        <v/>
      </c>
      <c r="I359" s="27" t="n"/>
      <c r="J359" s="17">
        <f>G359*I359</f>
        <v/>
      </c>
      <c r="K359" s="17">
        <f>G359-H359-J359</f>
        <v/>
      </c>
      <c r="L359" s="29">
        <f>IF(G359&gt;0,K359/G359,"")</f>
        <v/>
      </c>
      <c r="M359" s="6" t="n"/>
    </row>
    <row r="360">
      <c r="A360" s="32" t="n"/>
      <c r="B360" s="6" t="n"/>
      <c r="C360">
        <f>IF(B360="","",IFERROR(VLOOKUP(B360,'Recetas y precios'!$A$5:$B$54,2,FALSE),""))</f>
        <v/>
      </c>
      <c r="D360" s="6" t="n"/>
      <c r="E360" s="6" t="n"/>
      <c r="F360" s="11" t="n"/>
      <c r="G360" s="17">
        <f>E360*F360</f>
        <v/>
      </c>
      <c r="H360" s="17">
        <f>IF(B360="",0,E360*IFERROR(VLOOKUP(B360,'Recetas y precios'!$A$5:$T$54,20,FALSE),0))</f>
        <v/>
      </c>
      <c r="I360" s="27" t="n"/>
      <c r="J360" s="17">
        <f>G360*I360</f>
        <v/>
      </c>
      <c r="K360" s="17">
        <f>G360-H360-J360</f>
        <v/>
      </c>
      <c r="L360" s="29">
        <f>IF(G360&gt;0,K360/G360,"")</f>
        <v/>
      </c>
      <c r="M360" s="6" t="n"/>
    </row>
    <row r="361">
      <c r="A361" s="32" t="n"/>
      <c r="B361" s="6" t="n"/>
      <c r="C361">
        <f>IF(B361="","",IFERROR(VLOOKUP(B361,'Recetas y precios'!$A$5:$B$54,2,FALSE),""))</f>
        <v/>
      </c>
      <c r="D361" s="6" t="n"/>
      <c r="E361" s="6" t="n"/>
      <c r="F361" s="11" t="n"/>
      <c r="G361" s="17">
        <f>E361*F361</f>
        <v/>
      </c>
      <c r="H361" s="17">
        <f>IF(B361="",0,E361*IFERROR(VLOOKUP(B361,'Recetas y precios'!$A$5:$T$54,20,FALSE),0))</f>
        <v/>
      </c>
      <c r="I361" s="27" t="n"/>
      <c r="J361" s="17">
        <f>G361*I361</f>
        <v/>
      </c>
      <c r="K361" s="17">
        <f>G361-H361-J361</f>
        <v/>
      </c>
      <c r="L361" s="29">
        <f>IF(G361&gt;0,K361/G361,"")</f>
        <v/>
      </c>
      <c r="M361" s="6" t="n"/>
    </row>
    <row r="362">
      <c r="A362" s="32" t="n"/>
      <c r="B362" s="6" t="n"/>
      <c r="C362">
        <f>IF(B362="","",IFERROR(VLOOKUP(B362,'Recetas y precios'!$A$5:$B$54,2,FALSE),""))</f>
        <v/>
      </c>
      <c r="D362" s="6" t="n"/>
      <c r="E362" s="6" t="n"/>
      <c r="F362" s="11" t="n"/>
      <c r="G362" s="17">
        <f>E362*F362</f>
        <v/>
      </c>
      <c r="H362" s="17">
        <f>IF(B362="",0,E362*IFERROR(VLOOKUP(B362,'Recetas y precios'!$A$5:$T$54,20,FALSE),0))</f>
        <v/>
      </c>
      <c r="I362" s="27" t="n"/>
      <c r="J362" s="17">
        <f>G362*I362</f>
        <v/>
      </c>
      <c r="K362" s="17">
        <f>G362-H362-J362</f>
        <v/>
      </c>
      <c r="L362" s="29">
        <f>IF(G362&gt;0,K362/G362,"")</f>
        <v/>
      </c>
      <c r="M362" s="6" t="n"/>
    </row>
    <row r="363">
      <c r="A363" s="32" t="n"/>
      <c r="B363" s="6" t="n"/>
      <c r="C363">
        <f>IF(B363="","",IFERROR(VLOOKUP(B363,'Recetas y precios'!$A$5:$B$54,2,FALSE),""))</f>
        <v/>
      </c>
      <c r="D363" s="6" t="n"/>
      <c r="E363" s="6" t="n"/>
      <c r="F363" s="11" t="n"/>
      <c r="G363" s="17">
        <f>E363*F363</f>
        <v/>
      </c>
      <c r="H363" s="17">
        <f>IF(B363="",0,E363*IFERROR(VLOOKUP(B363,'Recetas y precios'!$A$5:$T$54,20,FALSE),0))</f>
        <v/>
      </c>
      <c r="I363" s="27" t="n"/>
      <c r="J363" s="17">
        <f>G363*I363</f>
        <v/>
      </c>
      <c r="K363" s="17">
        <f>G363-H363-J363</f>
        <v/>
      </c>
      <c r="L363" s="29">
        <f>IF(G363&gt;0,K363/G363,"")</f>
        <v/>
      </c>
      <c r="M363" s="6" t="n"/>
    </row>
    <row r="364">
      <c r="A364" s="32" t="n"/>
      <c r="B364" s="6" t="n"/>
      <c r="C364">
        <f>IF(B364="","",IFERROR(VLOOKUP(B364,'Recetas y precios'!$A$5:$B$54,2,FALSE),""))</f>
        <v/>
      </c>
      <c r="D364" s="6" t="n"/>
      <c r="E364" s="6" t="n"/>
      <c r="F364" s="11" t="n"/>
      <c r="G364" s="17">
        <f>E364*F364</f>
        <v/>
      </c>
      <c r="H364" s="17">
        <f>IF(B364="",0,E364*IFERROR(VLOOKUP(B364,'Recetas y precios'!$A$5:$T$54,20,FALSE),0))</f>
        <v/>
      </c>
      <c r="I364" s="27" t="n"/>
      <c r="J364" s="17">
        <f>G364*I364</f>
        <v/>
      </c>
      <c r="K364" s="17">
        <f>G364-H364-J364</f>
        <v/>
      </c>
      <c r="L364" s="29">
        <f>IF(G364&gt;0,K364/G364,"")</f>
        <v/>
      </c>
      <c r="M364" s="6" t="n"/>
    </row>
    <row r="365">
      <c r="A365" s="32" t="n"/>
      <c r="B365" s="6" t="n"/>
      <c r="C365">
        <f>IF(B365="","",IFERROR(VLOOKUP(B365,'Recetas y precios'!$A$5:$B$54,2,FALSE),""))</f>
        <v/>
      </c>
      <c r="D365" s="6" t="n"/>
      <c r="E365" s="6" t="n"/>
      <c r="F365" s="11" t="n"/>
      <c r="G365" s="17">
        <f>E365*F365</f>
        <v/>
      </c>
      <c r="H365" s="17">
        <f>IF(B365="",0,E365*IFERROR(VLOOKUP(B365,'Recetas y precios'!$A$5:$T$54,20,FALSE),0))</f>
        <v/>
      </c>
      <c r="I365" s="27" t="n"/>
      <c r="J365" s="17">
        <f>G365*I365</f>
        <v/>
      </c>
      <c r="K365" s="17">
        <f>G365-H365-J365</f>
        <v/>
      </c>
      <c r="L365" s="29">
        <f>IF(G365&gt;0,K365/G365,"")</f>
        <v/>
      </c>
      <c r="M365" s="6" t="n"/>
    </row>
    <row r="366">
      <c r="A366" s="32" t="n"/>
      <c r="B366" s="6" t="n"/>
      <c r="C366">
        <f>IF(B366="","",IFERROR(VLOOKUP(B366,'Recetas y precios'!$A$5:$B$54,2,FALSE),""))</f>
        <v/>
      </c>
      <c r="D366" s="6" t="n"/>
      <c r="E366" s="6" t="n"/>
      <c r="F366" s="11" t="n"/>
      <c r="G366" s="17">
        <f>E366*F366</f>
        <v/>
      </c>
      <c r="H366" s="17">
        <f>IF(B366="",0,E366*IFERROR(VLOOKUP(B366,'Recetas y precios'!$A$5:$T$54,20,FALSE),0))</f>
        <v/>
      </c>
      <c r="I366" s="27" t="n"/>
      <c r="J366" s="17">
        <f>G366*I366</f>
        <v/>
      </c>
      <c r="K366" s="17">
        <f>G366-H366-J366</f>
        <v/>
      </c>
      <c r="L366" s="29">
        <f>IF(G366&gt;0,K366/G366,"")</f>
        <v/>
      </c>
      <c r="M366" s="6" t="n"/>
    </row>
    <row r="367">
      <c r="A367" s="32" t="n"/>
      <c r="B367" s="6" t="n"/>
      <c r="C367">
        <f>IF(B367="","",IFERROR(VLOOKUP(B367,'Recetas y precios'!$A$5:$B$54,2,FALSE),""))</f>
        <v/>
      </c>
      <c r="D367" s="6" t="n"/>
      <c r="E367" s="6" t="n"/>
      <c r="F367" s="11" t="n"/>
      <c r="G367" s="17">
        <f>E367*F367</f>
        <v/>
      </c>
      <c r="H367" s="17">
        <f>IF(B367="",0,E367*IFERROR(VLOOKUP(B367,'Recetas y precios'!$A$5:$T$54,20,FALSE),0))</f>
        <v/>
      </c>
      <c r="I367" s="27" t="n"/>
      <c r="J367" s="17">
        <f>G367*I367</f>
        <v/>
      </c>
      <c r="K367" s="17">
        <f>G367-H367-J367</f>
        <v/>
      </c>
      <c r="L367" s="29">
        <f>IF(G367&gt;0,K367/G367,"")</f>
        <v/>
      </c>
      <c r="M367" s="6" t="n"/>
    </row>
    <row r="368">
      <c r="A368" s="32" t="n"/>
      <c r="B368" s="6" t="n"/>
      <c r="C368">
        <f>IF(B368="","",IFERROR(VLOOKUP(B368,'Recetas y precios'!$A$5:$B$54,2,FALSE),""))</f>
        <v/>
      </c>
      <c r="D368" s="6" t="n"/>
      <c r="E368" s="6" t="n"/>
      <c r="F368" s="11" t="n"/>
      <c r="G368" s="17">
        <f>E368*F368</f>
        <v/>
      </c>
      <c r="H368" s="17">
        <f>IF(B368="",0,E368*IFERROR(VLOOKUP(B368,'Recetas y precios'!$A$5:$T$54,20,FALSE),0))</f>
        <v/>
      </c>
      <c r="I368" s="27" t="n"/>
      <c r="J368" s="17">
        <f>G368*I368</f>
        <v/>
      </c>
      <c r="K368" s="17">
        <f>G368-H368-J368</f>
        <v/>
      </c>
      <c r="L368" s="29">
        <f>IF(G368&gt;0,K368/G368,"")</f>
        <v/>
      </c>
      <c r="M368" s="6" t="n"/>
    </row>
    <row r="369">
      <c r="A369" s="32" t="n"/>
      <c r="B369" s="6" t="n"/>
      <c r="C369">
        <f>IF(B369="","",IFERROR(VLOOKUP(B369,'Recetas y precios'!$A$5:$B$54,2,FALSE),""))</f>
        <v/>
      </c>
      <c r="D369" s="6" t="n"/>
      <c r="E369" s="6" t="n"/>
      <c r="F369" s="11" t="n"/>
      <c r="G369" s="17">
        <f>E369*F369</f>
        <v/>
      </c>
      <c r="H369" s="17">
        <f>IF(B369="",0,E369*IFERROR(VLOOKUP(B369,'Recetas y precios'!$A$5:$T$54,20,FALSE),0))</f>
        <v/>
      </c>
      <c r="I369" s="27" t="n"/>
      <c r="J369" s="17">
        <f>G369*I369</f>
        <v/>
      </c>
      <c r="K369" s="17">
        <f>G369-H369-J369</f>
        <v/>
      </c>
      <c r="L369" s="29">
        <f>IF(G369&gt;0,K369/G369,"")</f>
        <v/>
      </c>
      <c r="M369" s="6" t="n"/>
    </row>
    <row r="370">
      <c r="A370" s="32" t="n"/>
      <c r="B370" s="6" t="n"/>
      <c r="C370">
        <f>IF(B370="","",IFERROR(VLOOKUP(B370,'Recetas y precios'!$A$5:$B$54,2,FALSE),""))</f>
        <v/>
      </c>
      <c r="D370" s="6" t="n"/>
      <c r="E370" s="6" t="n"/>
      <c r="F370" s="11" t="n"/>
      <c r="G370" s="17">
        <f>E370*F370</f>
        <v/>
      </c>
      <c r="H370" s="17">
        <f>IF(B370="",0,E370*IFERROR(VLOOKUP(B370,'Recetas y precios'!$A$5:$T$54,20,FALSE),0))</f>
        <v/>
      </c>
      <c r="I370" s="27" t="n"/>
      <c r="J370" s="17">
        <f>G370*I370</f>
        <v/>
      </c>
      <c r="K370" s="17">
        <f>G370-H370-J370</f>
        <v/>
      </c>
      <c r="L370" s="29">
        <f>IF(G370&gt;0,K370/G370,"")</f>
        <v/>
      </c>
      <c r="M370" s="6" t="n"/>
    </row>
    <row r="371">
      <c r="A371" s="32" t="n"/>
      <c r="B371" s="6" t="n"/>
      <c r="C371">
        <f>IF(B371="","",IFERROR(VLOOKUP(B371,'Recetas y precios'!$A$5:$B$54,2,FALSE),""))</f>
        <v/>
      </c>
      <c r="D371" s="6" t="n"/>
      <c r="E371" s="6" t="n"/>
      <c r="F371" s="11" t="n"/>
      <c r="G371" s="17">
        <f>E371*F371</f>
        <v/>
      </c>
      <c r="H371" s="17">
        <f>IF(B371="",0,E371*IFERROR(VLOOKUP(B371,'Recetas y precios'!$A$5:$T$54,20,FALSE),0))</f>
        <v/>
      </c>
      <c r="I371" s="27" t="n"/>
      <c r="J371" s="17">
        <f>G371*I371</f>
        <v/>
      </c>
      <c r="K371" s="17">
        <f>G371-H371-J371</f>
        <v/>
      </c>
      <c r="L371" s="29">
        <f>IF(G371&gt;0,K371/G371,"")</f>
        <v/>
      </c>
      <c r="M371" s="6" t="n"/>
    </row>
    <row r="372">
      <c r="A372" s="32" t="n"/>
      <c r="B372" s="6" t="n"/>
      <c r="C372">
        <f>IF(B372="","",IFERROR(VLOOKUP(B372,'Recetas y precios'!$A$5:$B$54,2,FALSE),""))</f>
        <v/>
      </c>
      <c r="D372" s="6" t="n"/>
      <c r="E372" s="6" t="n"/>
      <c r="F372" s="11" t="n"/>
      <c r="G372" s="17">
        <f>E372*F372</f>
        <v/>
      </c>
      <c r="H372" s="17">
        <f>IF(B372="",0,E372*IFERROR(VLOOKUP(B372,'Recetas y precios'!$A$5:$T$54,20,FALSE),0))</f>
        <v/>
      </c>
      <c r="I372" s="27" t="n"/>
      <c r="J372" s="17">
        <f>G372*I372</f>
        <v/>
      </c>
      <c r="K372" s="17">
        <f>G372-H372-J372</f>
        <v/>
      </c>
      <c r="L372" s="29">
        <f>IF(G372&gt;0,K372/G372,"")</f>
        <v/>
      </c>
      <c r="M372" s="6" t="n"/>
    </row>
    <row r="373">
      <c r="A373" s="32" t="n"/>
      <c r="B373" s="6" t="n"/>
      <c r="C373">
        <f>IF(B373="","",IFERROR(VLOOKUP(B373,'Recetas y precios'!$A$5:$B$54,2,FALSE),""))</f>
        <v/>
      </c>
      <c r="D373" s="6" t="n"/>
      <c r="E373" s="6" t="n"/>
      <c r="F373" s="11" t="n"/>
      <c r="G373" s="17">
        <f>E373*F373</f>
        <v/>
      </c>
      <c r="H373" s="17">
        <f>IF(B373="",0,E373*IFERROR(VLOOKUP(B373,'Recetas y precios'!$A$5:$T$54,20,FALSE),0))</f>
        <v/>
      </c>
      <c r="I373" s="27" t="n"/>
      <c r="J373" s="17">
        <f>G373*I373</f>
        <v/>
      </c>
      <c r="K373" s="17">
        <f>G373-H373-J373</f>
        <v/>
      </c>
      <c r="L373" s="29">
        <f>IF(G373&gt;0,K373/G373,"")</f>
        <v/>
      </c>
      <c r="M373" s="6" t="n"/>
    </row>
    <row r="374">
      <c r="A374" s="32" t="n"/>
      <c r="B374" s="6" t="n"/>
      <c r="C374">
        <f>IF(B374="","",IFERROR(VLOOKUP(B374,'Recetas y precios'!$A$5:$B$54,2,FALSE),""))</f>
        <v/>
      </c>
      <c r="D374" s="6" t="n"/>
      <c r="E374" s="6" t="n"/>
      <c r="F374" s="11" t="n"/>
      <c r="G374" s="17">
        <f>E374*F374</f>
        <v/>
      </c>
      <c r="H374" s="17">
        <f>IF(B374="",0,E374*IFERROR(VLOOKUP(B374,'Recetas y precios'!$A$5:$T$54,20,FALSE),0))</f>
        <v/>
      </c>
      <c r="I374" s="27" t="n"/>
      <c r="J374" s="17">
        <f>G374*I374</f>
        <v/>
      </c>
      <c r="K374" s="17">
        <f>G374-H374-J374</f>
        <v/>
      </c>
      <c r="L374" s="29">
        <f>IF(G374&gt;0,K374/G374,"")</f>
        <v/>
      </c>
      <c r="M374" s="6" t="n"/>
    </row>
    <row r="375">
      <c r="A375" s="32" t="n"/>
      <c r="B375" s="6" t="n"/>
      <c r="C375">
        <f>IF(B375="","",IFERROR(VLOOKUP(B375,'Recetas y precios'!$A$5:$B$54,2,FALSE),""))</f>
        <v/>
      </c>
      <c r="D375" s="6" t="n"/>
      <c r="E375" s="6" t="n"/>
      <c r="F375" s="11" t="n"/>
      <c r="G375" s="17">
        <f>E375*F375</f>
        <v/>
      </c>
      <c r="H375" s="17">
        <f>IF(B375="",0,E375*IFERROR(VLOOKUP(B375,'Recetas y precios'!$A$5:$T$54,20,FALSE),0))</f>
        <v/>
      </c>
      <c r="I375" s="27" t="n"/>
      <c r="J375" s="17">
        <f>G375*I375</f>
        <v/>
      </c>
      <c r="K375" s="17">
        <f>G375-H375-J375</f>
        <v/>
      </c>
      <c r="L375" s="29">
        <f>IF(G375&gt;0,K375/G375,"")</f>
        <v/>
      </c>
      <c r="M375" s="6" t="n"/>
    </row>
    <row r="376">
      <c r="A376" s="32" t="n"/>
      <c r="B376" s="6" t="n"/>
      <c r="C376">
        <f>IF(B376="","",IFERROR(VLOOKUP(B376,'Recetas y precios'!$A$5:$B$54,2,FALSE),""))</f>
        <v/>
      </c>
      <c r="D376" s="6" t="n"/>
      <c r="E376" s="6" t="n"/>
      <c r="F376" s="11" t="n"/>
      <c r="G376" s="17">
        <f>E376*F376</f>
        <v/>
      </c>
      <c r="H376" s="17">
        <f>IF(B376="",0,E376*IFERROR(VLOOKUP(B376,'Recetas y precios'!$A$5:$T$54,20,FALSE),0))</f>
        <v/>
      </c>
      <c r="I376" s="27" t="n"/>
      <c r="J376" s="17">
        <f>G376*I376</f>
        <v/>
      </c>
      <c r="K376" s="17">
        <f>G376-H376-J376</f>
        <v/>
      </c>
      <c r="L376" s="29">
        <f>IF(G376&gt;0,K376/G376,"")</f>
        <v/>
      </c>
      <c r="M376" s="6" t="n"/>
    </row>
    <row r="377">
      <c r="A377" s="32" t="n"/>
      <c r="B377" s="6" t="n"/>
      <c r="C377">
        <f>IF(B377="","",IFERROR(VLOOKUP(B377,'Recetas y precios'!$A$5:$B$54,2,FALSE),""))</f>
        <v/>
      </c>
      <c r="D377" s="6" t="n"/>
      <c r="E377" s="6" t="n"/>
      <c r="F377" s="11" t="n"/>
      <c r="G377" s="17">
        <f>E377*F377</f>
        <v/>
      </c>
      <c r="H377" s="17">
        <f>IF(B377="",0,E377*IFERROR(VLOOKUP(B377,'Recetas y precios'!$A$5:$T$54,20,FALSE),0))</f>
        <v/>
      </c>
      <c r="I377" s="27" t="n"/>
      <c r="J377" s="17">
        <f>G377*I377</f>
        <v/>
      </c>
      <c r="K377" s="17">
        <f>G377-H377-J377</f>
        <v/>
      </c>
      <c r="L377" s="29">
        <f>IF(G377&gt;0,K377/G377,"")</f>
        <v/>
      </c>
      <c r="M377" s="6" t="n"/>
    </row>
    <row r="378">
      <c r="A378" s="32" t="n"/>
      <c r="B378" s="6" t="n"/>
      <c r="C378">
        <f>IF(B378="","",IFERROR(VLOOKUP(B378,'Recetas y precios'!$A$5:$B$54,2,FALSE),""))</f>
        <v/>
      </c>
      <c r="D378" s="6" t="n"/>
      <c r="E378" s="6" t="n"/>
      <c r="F378" s="11" t="n"/>
      <c r="G378" s="17">
        <f>E378*F378</f>
        <v/>
      </c>
      <c r="H378" s="17">
        <f>IF(B378="",0,E378*IFERROR(VLOOKUP(B378,'Recetas y precios'!$A$5:$T$54,20,FALSE),0))</f>
        <v/>
      </c>
      <c r="I378" s="27" t="n"/>
      <c r="J378" s="17">
        <f>G378*I378</f>
        <v/>
      </c>
      <c r="K378" s="17">
        <f>G378-H378-J378</f>
        <v/>
      </c>
      <c r="L378" s="29">
        <f>IF(G378&gt;0,K378/G378,"")</f>
        <v/>
      </c>
      <c r="M378" s="6" t="n"/>
    </row>
    <row r="379">
      <c r="A379" s="32" t="n"/>
      <c r="B379" s="6" t="n"/>
      <c r="C379">
        <f>IF(B379="","",IFERROR(VLOOKUP(B379,'Recetas y precios'!$A$5:$B$54,2,FALSE),""))</f>
        <v/>
      </c>
      <c r="D379" s="6" t="n"/>
      <c r="E379" s="6" t="n"/>
      <c r="F379" s="11" t="n"/>
      <c r="G379" s="17">
        <f>E379*F379</f>
        <v/>
      </c>
      <c r="H379" s="17">
        <f>IF(B379="",0,E379*IFERROR(VLOOKUP(B379,'Recetas y precios'!$A$5:$T$54,20,FALSE),0))</f>
        <v/>
      </c>
      <c r="I379" s="27" t="n"/>
      <c r="J379" s="17">
        <f>G379*I379</f>
        <v/>
      </c>
      <c r="K379" s="17">
        <f>G379-H379-J379</f>
        <v/>
      </c>
      <c r="L379" s="29">
        <f>IF(G379&gt;0,K379/G379,"")</f>
        <v/>
      </c>
      <c r="M379" s="6" t="n"/>
    </row>
    <row r="380">
      <c r="A380" s="32" t="n"/>
      <c r="B380" s="6" t="n"/>
      <c r="C380">
        <f>IF(B380="","",IFERROR(VLOOKUP(B380,'Recetas y precios'!$A$5:$B$54,2,FALSE),""))</f>
        <v/>
      </c>
      <c r="D380" s="6" t="n"/>
      <c r="E380" s="6" t="n"/>
      <c r="F380" s="11" t="n"/>
      <c r="G380" s="17">
        <f>E380*F380</f>
        <v/>
      </c>
      <c r="H380" s="17">
        <f>IF(B380="",0,E380*IFERROR(VLOOKUP(B380,'Recetas y precios'!$A$5:$T$54,20,FALSE),0))</f>
        <v/>
      </c>
      <c r="I380" s="27" t="n"/>
      <c r="J380" s="17">
        <f>G380*I380</f>
        <v/>
      </c>
      <c r="K380" s="17">
        <f>G380-H380-J380</f>
        <v/>
      </c>
      <c r="L380" s="29">
        <f>IF(G380&gt;0,K380/G380,"")</f>
        <v/>
      </c>
      <c r="M380" s="6" t="n"/>
    </row>
    <row r="381">
      <c r="A381" s="32" t="n"/>
      <c r="B381" s="6" t="n"/>
      <c r="C381">
        <f>IF(B381="","",IFERROR(VLOOKUP(B381,'Recetas y precios'!$A$5:$B$54,2,FALSE),""))</f>
        <v/>
      </c>
      <c r="D381" s="6" t="n"/>
      <c r="E381" s="6" t="n"/>
      <c r="F381" s="11" t="n"/>
      <c r="G381" s="17">
        <f>E381*F381</f>
        <v/>
      </c>
      <c r="H381" s="17">
        <f>IF(B381="",0,E381*IFERROR(VLOOKUP(B381,'Recetas y precios'!$A$5:$T$54,20,FALSE),0))</f>
        <v/>
      </c>
      <c r="I381" s="27" t="n"/>
      <c r="J381" s="17">
        <f>G381*I381</f>
        <v/>
      </c>
      <c r="K381" s="17">
        <f>G381-H381-J381</f>
        <v/>
      </c>
      <c r="L381" s="29">
        <f>IF(G381&gt;0,K381/G381,"")</f>
        <v/>
      </c>
      <c r="M381" s="6" t="n"/>
    </row>
    <row r="382">
      <c r="A382" s="32" t="n"/>
      <c r="B382" s="6" t="n"/>
      <c r="C382">
        <f>IF(B382="","",IFERROR(VLOOKUP(B382,'Recetas y precios'!$A$5:$B$54,2,FALSE),""))</f>
        <v/>
      </c>
      <c r="D382" s="6" t="n"/>
      <c r="E382" s="6" t="n"/>
      <c r="F382" s="11" t="n"/>
      <c r="G382" s="17">
        <f>E382*F382</f>
        <v/>
      </c>
      <c r="H382" s="17">
        <f>IF(B382="",0,E382*IFERROR(VLOOKUP(B382,'Recetas y precios'!$A$5:$T$54,20,FALSE),0))</f>
        <v/>
      </c>
      <c r="I382" s="27" t="n"/>
      <c r="J382" s="17">
        <f>G382*I382</f>
        <v/>
      </c>
      <c r="K382" s="17">
        <f>G382-H382-J382</f>
        <v/>
      </c>
      <c r="L382" s="29">
        <f>IF(G382&gt;0,K382/G382,"")</f>
        <v/>
      </c>
      <c r="M382" s="6" t="n"/>
    </row>
    <row r="383">
      <c r="A383" s="32" t="n"/>
      <c r="B383" s="6" t="n"/>
      <c r="C383">
        <f>IF(B383="","",IFERROR(VLOOKUP(B383,'Recetas y precios'!$A$5:$B$54,2,FALSE),""))</f>
        <v/>
      </c>
      <c r="D383" s="6" t="n"/>
      <c r="E383" s="6" t="n"/>
      <c r="F383" s="11" t="n"/>
      <c r="G383" s="17">
        <f>E383*F383</f>
        <v/>
      </c>
      <c r="H383" s="17">
        <f>IF(B383="",0,E383*IFERROR(VLOOKUP(B383,'Recetas y precios'!$A$5:$T$54,20,FALSE),0))</f>
        <v/>
      </c>
      <c r="I383" s="27" t="n"/>
      <c r="J383" s="17">
        <f>G383*I383</f>
        <v/>
      </c>
      <c r="K383" s="17">
        <f>G383-H383-J383</f>
        <v/>
      </c>
      <c r="L383" s="29">
        <f>IF(G383&gt;0,K383/G383,"")</f>
        <v/>
      </c>
      <c r="M383" s="6" t="n"/>
    </row>
    <row r="384">
      <c r="A384" s="32" t="n"/>
      <c r="B384" s="6" t="n"/>
      <c r="C384">
        <f>IF(B384="","",IFERROR(VLOOKUP(B384,'Recetas y precios'!$A$5:$B$54,2,FALSE),""))</f>
        <v/>
      </c>
      <c r="D384" s="6" t="n"/>
      <c r="E384" s="6" t="n"/>
      <c r="F384" s="11" t="n"/>
      <c r="G384" s="17">
        <f>E384*F384</f>
        <v/>
      </c>
      <c r="H384" s="17">
        <f>IF(B384="",0,E384*IFERROR(VLOOKUP(B384,'Recetas y precios'!$A$5:$T$54,20,FALSE),0))</f>
        <v/>
      </c>
      <c r="I384" s="27" t="n"/>
      <c r="J384" s="17">
        <f>G384*I384</f>
        <v/>
      </c>
      <c r="K384" s="17">
        <f>G384-H384-J384</f>
        <v/>
      </c>
      <c r="L384" s="29">
        <f>IF(G384&gt;0,K384/G384,"")</f>
        <v/>
      </c>
      <c r="M384" s="6" t="n"/>
    </row>
    <row r="385">
      <c r="A385" s="32" t="n"/>
      <c r="B385" s="6" t="n"/>
      <c r="C385">
        <f>IF(B385="","",IFERROR(VLOOKUP(B385,'Recetas y precios'!$A$5:$B$54,2,FALSE),""))</f>
        <v/>
      </c>
      <c r="D385" s="6" t="n"/>
      <c r="E385" s="6" t="n"/>
      <c r="F385" s="11" t="n"/>
      <c r="G385" s="17">
        <f>E385*F385</f>
        <v/>
      </c>
      <c r="H385" s="17">
        <f>IF(B385="",0,E385*IFERROR(VLOOKUP(B385,'Recetas y precios'!$A$5:$T$54,20,FALSE),0))</f>
        <v/>
      </c>
      <c r="I385" s="27" t="n"/>
      <c r="J385" s="17">
        <f>G385*I385</f>
        <v/>
      </c>
      <c r="K385" s="17">
        <f>G385-H385-J385</f>
        <v/>
      </c>
      <c r="L385" s="29">
        <f>IF(G385&gt;0,K385/G385,"")</f>
        <v/>
      </c>
      <c r="M385" s="6" t="n"/>
    </row>
    <row r="386">
      <c r="A386" s="32" t="n"/>
      <c r="B386" s="6" t="n"/>
      <c r="C386">
        <f>IF(B386="","",IFERROR(VLOOKUP(B386,'Recetas y precios'!$A$5:$B$54,2,FALSE),""))</f>
        <v/>
      </c>
      <c r="D386" s="6" t="n"/>
      <c r="E386" s="6" t="n"/>
      <c r="F386" s="11" t="n"/>
      <c r="G386" s="17">
        <f>E386*F386</f>
        <v/>
      </c>
      <c r="H386" s="17">
        <f>IF(B386="",0,E386*IFERROR(VLOOKUP(B386,'Recetas y precios'!$A$5:$T$54,20,FALSE),0))</f>
        <v/>
      </c>
      <c r="I386" s="27" t="n"/>
      <c r="J386" s="17">
        <f>G386*I386</f>
        <v/>
      </c>
      <c r="K386" s="17">
        <f>G386-H386-J386</f>
        <v/>
      </c>
      <c r="L386" s="29">
        <f>IF(G386&gt;0,K386/G386,"")</f>
        <v/>
      </c>
      <c r="M386" s="6" t="n"/>
    </row>
    <row r="387">
      <c r="A387" s="32" t="n"/>
      <c r="B387" s="6" t="n"/>
      <c r="C387">
        <f>IF(B387="","",IFERROR(VLOOKUP(B387,'Recetas y precios'!$A$5:$B$54,2,FALSE),""))</f>
        <v/>
      </c>
      <c r="D387" s="6" t="n"/>
      <c r="E387" s="6" t="n"/>
      <c r="F387" s="11" t="n"/>
      <c r="G387" s="17">
        <f>E387*F387</f>
        <v/>
      </c>
      <c r="H387" s="17">
        <f>IF(B387="",0,E387*IFERROR(VLOOKUP(B387,'Recetas y precios'!$A$5:$T$54,20,FALSE),0))</f>
        <v/>
      </c>
      <c r="I387" s="27" t="n"/>
      <c r="J387" s="17">
        <f>G387*I387</f>
        <v/>
      </c>
      <c r="K387" s="17">
        <f>G387-H387-J387</f>
        <v/>
      </c>
      <c r="L387" s="29">
        <f>IF(G387&gt;0,K387/G387,"")</f>
        <v/>
      </c>
      <c r="M387" s="6" t="n"/>
    </row>
    <row r="388">
      <c r="A388" s="32" t="n"/>
      <c r="B388" s="6" t="n"/>
      <c r="C388">
        <f>IF(B388="","",IFERROR(VLOOKUP(B388,'Recetas y precios'!$A$5:$B$54,2,FALSE),""))</f>
        <v/>
      </c>
      <c r="D388" s="6" t="n"/>
      <c r="E388" s="6" t="n"/>
      <c r="F388" s="11" t="n"/>
      <c r="G388" s="17">
        <f>E388*F388</f>
        <v/>
      </c>
      <c r="H388" s="17">
        <f>IF(B388="",0,E388*IFERROR(VLOOKUP(B388,'Recetas y precios'!$A$5:$T$54,20,FALSE),0))</f>
        <v/>
      </c>
      <c r="I388" s="27" t="n"/>
      <c r="J388" s="17">
        <f>G388*I388</f>
        <v/>
      </c>
      <c r="K388" s="17">
        <f>G388-H388-J388</f>
        <v/>
      </c>
      <c r="L388" s="29">
        <f>IF(G388&gt;0,K388/G388,"")</f>
        <v/>
      </c>
      <c r="M388" s="6" t="n"/>
    </row>
    <row r="389">
      <c r="A389" s="32" t="n"/>
      <c r="B389" s="6" t="n"/>
      <c r="C389">
        <f>IF(B389="","",IFERROR(VLOOKUP(B389,'Recetas y precios'!$A$5:$B$54,2,FALSE),""))</f>
        <v/>
      </c>
      <c r="D389" s="6" t="n"/>
      <c r="E389" s="6" t="n"/>
      <c r="F389" s="11" t="n"/>
      <c r="G389" s="17">
        <f>E389*F389</f>
        <v/>
      </c>
      <c r="H389" s="17">
        <f>IF(B389="",0,E389*IFERROR(VLOOKUP(B389,'Recetas y precios'!$A$5:$T$54,20,FALSE),0))</f>
        <v/>
      </c>
      <c r="I389" s="27" t="n"/>
      <c r="J389" s="17">
        <f>G389*I389</f>
        <v/>
      </c>
      <c r="K389" s="17">
        <f>G389-H389-J389</f>
        <v/>
      </c>
      <c r="L389" s="29">
        <f>IF(G389&gt;0,K389/G389,"")</f>
        <v/>
      </c>
      <c r="M389" s="6" t="n"/>
    </row>
    <row r="390">
      <c r="A390" s="32" t="n"/>
      <c r="B390" s="6" t="n"/>
      <c r="C390">
        <f>IF(B390="","",IFERROR(VLOOKUP(B390,'Recetas y precios'!$A$5:$B$54,2,FALSE),""))</f>
        <v/>
      </c>
      <c r="D390" s="6" t="n"/>
      <c r="E390" s="6" t="n"/>
      <c r="F390" s="11" t="n"/>
      <c r="G390" s="17">
        <f>E390*F390</f>
        <v/>
      </c>
      <c r="H390" s="17">
        <f>IF(B390="",0,E390*IFERROR(VLOOKUP(B390,'Recetas y precios'!$A$5:$T$54,20,FALSE),0))</f>
        <v/>
      </c>
      <c r="I390" s="27" t="n"/>
      <c r="J390" s="17">
        <f>G390*I390</f>
        <v/>
      </c>
      <c r="K390" s="17">
        <f>G390-H390-J390</f>
        <v/>
      </c>
      <c r="L390" s="29">
        <f>IF(G390&gt;0,K390/G390,"")</f>
        <v/>
      </c>
      <c r="M390" s="6" t="n"/>
    </row>
    <row r="391">
      <c r="A391" s="32" t="n"/>
      <c r="B391" s="6" t="n"/>
      <c r="C391">
        <f>IF(B391="","",IFERROR(VLOOKUP(B391,'Recetas y precios'!$A$5:$B$54,2,FALSE),""))</f>
        <v/>
      </c>
      <c r="D391" s="6" t="n"/>
      <c r="E391" s="6" t="n"/>
      <c r="F391" s="11" t="n"/>
      <c r="G391" s="17">
        <f>E391*F391</f>
        <v/>
      </c>
      <c r="H391" s="17">
        <f>IF(B391="",0,E391*IFERROR(VLOOKUP(B391,'Recetas y precios'!$A$5:$T$54,20,FALSE),0))</f>
        <v/>
      </c>
      <c r="I391" s="27" t="n"/>
      <c r="J391" s="17">
        <f>G391*I391</f>
        <v/>
      </c>
      <c r="K391" s="17">
        <f>G391-H391-J391</f>
        <v/>
      </c>
      <c r="L391" s="29">
        <f>IF(G391&gt;0,K391/G391,"")</f>
        <v/>
      </c>
      <c r="M391" s="6" t="n"/>
    </row>
    <row r="392">
      <c r="A392" s="32" t="n"/>
      <c r="B392" s="6" t="n"/>
      <c r="C392">
        <f>IF(B392="","",IFERROR(VLOOKUP(B392,'Recetas y precios'!$A$5:$B$54,2,FALSE),""))</f>
        <v/>
      </c>
      <c r="D392" s="6" t="n"/>
      <c r="E392" s="6" t="n"/>
      <c r="F392" s="11" t="n"/>
      <c r="G392" s="17">
        <f>E392*F392</f>
        <v/>
      </c>
      <c r="H392" s="17">
        <f>IF(B392="",0,E392*IFERROR(VLOOKUP(B392,'Recetas y precios'!$A$5:$T$54,20,FALSE),0))</f>
        <v/>
      </c>
      <c r="I392" s="27" t="n"/>
      <c r="J392" s="17">
        <f>G392*I392</f>
        <v/>
      </c>
      <c r="K392" s="17">
        <f>G392-H392-J392</f>
        <v/>
      </c>
      <c r="L392" s="29">
        <f>IF(G392&gt;0,K392/G392,"")</f>
        <v/>
      </c>
      <c r="M392" s="6" t="n"/>
    </row>
    <row r="393">
      <c r="A393" s="32" t="n"/>
      <c r="B393" s="6" t="n"/>
      <c r="C393">
        <f>IF(B393="","",IFERROR(VLOOKUP(B393,'Recetas y precios'!$A$5:$B$54,2,FALSE),""))</f>
        <v/>
      </c>
      <c r="D393" s="6" t="n"/>
      <c r="E393" s="6" t="n"/>
      <c r="F393" s="11" t="n"/>
      <c r="G393" s="17">
        <f>E393*F393</f>
        <v/>
      </c>
      <c r="H393" s="17">
        <f>IF(B393="",0,E393*IFERROR(VLOOKUP(B393,'Recetas y precios'!$A$5:$T$54,20,FALSE),0))</f>
        <v/>
      </c>
      <c r="I393" s="27" t="n"/>
      <c r="J393" s="17">
        <f>G393*I393</f>
        <v/>
      </c>
      <c r="K393" s="17">
        <f>G393-H393-J393</f>
        <v/>
      </c>
      <c r="L393" s="29">
        <f>IF(G393&gt;0,K393/G393,"")</f>
        <v/>
      </c>
      <c r="M393" s="6" t="n"/>
    </row>
    <row r="394">
      <c r="A394" s="32" t="n"/>
      <c r="B394" s="6" t="n"/>
      <c r="C394">
        <f>IF(B394="","",IFERROR(VLOOKUP(B394,'Recetas y precios'!$A$5:$B$54,2,FALSE),""))</f>
        <v/>
      </c>
      <c r="D394" s="6" t="n"/>
      <c r="E394" s="6" t="n"/>
      <c r="F394" s="11" t="n"/>
      <c r="G394" s="17">
        <f>E394*F394</f>
        <v/>
      </c>
      <c r="H394" s="17">
        <f>IF(B394="",0,E394*IFERROR(VLOOKUP(B394,'Recetas y precios'!$A$5:$T$54,20,FALSE),0))</f>
        <v/>
      </c>
      <c r="I394" s="27" t="n"/>
      <c r="J394" s="17">
        <f>G394*I394</f>
        <v/>
      </c>
      <c r="K394" s="17">
        <f>G394-H394-J394</f>
        <v/>
      </c>
      <c r="L394" s="29">
        <f>IF(G394&gt;0,K394/G394,"")</f>
        <v/>
      </c>
      <c r="M394" s="6" t="n"/>
    </row>
    <row r="395">
      <c r="A395" s="32" t="n"/>
      <c r="B395" s="6" t="n"/>
      <c r="C395">
        <f>IF(B395="","",IFERROR(VLOOKUP(B395,'Recetas y precios'!$A$5:$B$54,2,FALSE),""))</f>
        <v/>
      </c>
      <c r="D395" s="6" t="n"/>
      <c r="E395" s="6" t="n"/>
      <c r="F395" s="11" t="n"/>
      <c r="G395" s="17">
        <f>E395*F395</f>
        <v/>
      </c>
      <c r="H395" s="17">
        <f>IF(B395="",0,E395*IFERROR(VLOOKUP(B395,'Recetas y precios'!$A$5:$T$54,20,FALSE),0))</f>
        <v/>
      </c>
      <c r="I395" s="27" t="n"/>
      <c r="J395" s="17">
        <f>G395*I395</f>
        <v/>
      </c>
      <c r="K395" s="17">
        <f>G395-H395-J395</f>
        <v/>
      </c>
      <c r="L395" s="29">
        <f>IF(G395&gt;0,K395/G395,"")</f>
        <v/>
      </c>
      <c r="M395" s="6" t="n"/>
    </row>
    <row r="396">
      <c r="A396" s="32" t="n"/>
      <c r="B396" s="6" t="n"/>
      <c r="C396">
        <f>IF(B396="","",IFERROR(VLOOKUP(B396,'Recetas y precios'!$A$5:$B$54,2,FALSE),""))</f>
        <v/>
      </c>
      <c r="D396" s="6" t="n"/>
      <c r="E396" s="6" t="n"/>
      <c r="F396" s="11" t="n"/>
      <c r="G396" s="17">
        <f>E396*F396</f>
        <v/>
      </c>
      <c r="H396" s="17">
        <f>IF(B396="",0,E396*IFERROR(VLOOKUP(B396,'Recetas y precios'!$A$5:$T$54,20,FALSE),0))</f>
        <v/>
      </c>
      <c r="I396" s="27" t="n"/>
      <c r="J396" s="17">
        <f>G396*I396</f>
        <v/>
      </c>
      <c r="K396" s="17">
        <f>G396-H396-J396</f>
        <v/>
      </c>
      <c r="L396" s="29">
        <f>IF(G396&gt;0,K396/G396,"")</f>
        <v/>
      </c>
      <c r="M396" s="6" t="n"/>
    </row>
    <row r="397">
      <c r="A397" s="32" t="n"/>
      <c r="B397" s="6" t="n"/>
      <c r="C397">
        <f>IF(B397="","",IFERROR(VLOOKUP(B397,'Recetas y precios'!$A$5:$B$54,2,FALSE),""))</f>
        <v/>
      </c>
      <c r="D397" s="6" t="n"/>
      <c r="E397" s="6" t="n"/>
      <c r="F397" s="11" t="n"/>
      <c r="G397" s="17">
        <f>E397*F397</f>
        <v/>
      </c>
      <c r="H397" s="17">
        <f>IF(B397="",0,E397*IFERROR(VLOOKUP(B397,'Recetas y precios'!$A$5:$T$54,20,FALSE),0))</f>
        <v/>
      </c>
      <c r="I397" s="27" t="n"/>
      <c r="J397" s="17">
        <f>G397*I397</f>
        <v/>
      </c>
      <c r="K397" s="17">
        <f>G397-H397-J397</f>
        <v/>
      </c>
      <c r="L397" s="29">
        <f>IF(G397&gt;0,K397/G397,"")</f>
        <v/>
      </c>
      <c r="M397" s="6" t="n"/>
    </row>
    <row r="398">
      <c r="A398" s="32" t="n"/>
      <c r="B398" s="6" t="n"/>
      <c r="C398">
        <f>IF(B398="","",IFERROR(VLOOKUP(B398,'Recetas y precios'!$A$5:$B$54,2,FALSE),""))</f>
        <v/>
      </c>
      <c r="D398" s="6" t="n"/>
      <c r="E398" s="6" t="n"/>
      <c r="F398" s="11" t="n"/>
      <c r="G398" s="17">
        <f>E398*F398</f>
        <v/>
      </c>
      <c r="H398" s="17">
        <f>IF(B398="",0,E398*IFERROR(VLOOKUP(B398,'Recetas y precios'!$A$5:$T$54,20,FALSE),0))</f>
        <v/>
      </c>
      <c r="I398" s="27" t="n"/>
      <c r="J398" s="17">
        <f>G398*I398</f>
        <v/>
      </c>
      <c r="K398" s="17">
        <f>G398-H398-J398</f>
        <v/>
      </c>
      <c r="L398" s="29">
        <f>IF(G398&gt;0,K398/G398,"")</f>
        <v/>
      </c>
      <c r="M398" s="6" t="n"/>
    </row>
    <row r="399">
      <c r="A399" s="32" t="n"/>
      <c r="B399" s="6" t="n"/>
      <c r="C399">
        <f>IF(B399="","",IFERROR(VLOOKUP(B399,'Recetas y precios'!$A$5:$B$54,2,FALSE),""))</f>
        <v/>
      </c>
      <c r="D399" s="6" t="n"/>
      <c r="E399" s="6" t="n"/>
      <c r="F399" s="11" t="n"/>
      <c r="G399" s="17">
        <f>E399*F399</f>
        <v/>
      </c>
      <c r="H399" s="17">
        <f>IF(B399="",0,E399*IFERROR(VLOOKUP(B399,'Recetas y precios'!$A$5:$T$54,20,FALSE),0))</f>
        <v/>
      </c>
      <c r="I399" s="27" t="n"/>
      <c r="J399" s="17">
        <f>G399*I399</f>
        <v/>
      </c>
      <c r="K399" s="17">
        <f>G399-H399-J399</f>
        <v/>
      </c>
      <c r="L399" s="29">
        <f>IF(G399&gt;0,K399/G399,"")</f>
        <v/>
      </c>
      <c r="M399" s="6" t="n"/>
    </row>
    <row r="400">
      <c r="A400" s="32" t="n"/>
      <c r="B400" s="6" t="n"/>
      <c r="C400">
        <f>IF(B400="","",IFERROR(VLOOKUP(B400,'Recetas y precios'!$A$5:$B$54,2,FALSE),""))</f>
        <v/>
      </c>
      <c r="D400" s="6" t="n"/>
      <c r="E400" s="6" t="n"/>
      <c r="F400" s="11" t="n"/>
      <c r="G400" s="17">
        <f>E400*F400</f>
        <v/>
      </c>
      <c r="H400" s="17">
        <f>IF(B400="",0,E400*IFERROR(VLOOKUP(B400,'Recetas y precios'!$A$5:$T$54,20,FALSE),0))</f>
        <v/>
      </c>
      <c r="I400" s="27" t="n"/>
      <c r="J400" s="17">
        <f>G400*I400</f>
        <v/>
      </c>
      <c r="K400" s="17">
        <f>G400-H400-J400</f>
        <v/>
      </c>
      <c r="L400" s="29">
        <f>IF(G400&gt;0,K400/G400,"")</f>
        <v/>
      </c>
      <c r="M400" s="6" t="n"/>
    </row>
    <row r="401">
      <c r="A401" s="32" t="n"/>
      <c r="B401" s="6" t="n"/>
      <c r="C401">
        <f>IF(B401="","",IFERROR(VLOOKUP(B401,'Recetas y precios'!$A$5:$B$54,2,FALSE),""))</f>
        <v/>
      </c>
      <c r="D401" s="6" t="n"/>
      <c r="E401" s="6" t="n"/>
      <c r="F401" s="11" t="n"/>
      <c r="G401" s="17">
        <f>E401*F401</f>
        <v/>
      </c>
      <c r="H401" s="17">
        <f>IF(B401="",0,E401*IFERROR(VLOOKUP(B401,'Recetas y precios'!$A$5:$T$54,20,FALSE),0))</f>
        <v/>
      </c>
      <c r="I401" s="27" t="n"/>
      <c r="J401" s="17">
        <f>G401*I401</f>
        <v/>
      </c>
      <c r="K401" s="17">
        <f>G401-H401-J401</f>
        <v/>
      </c>
      <c r="L401" s="29">
        <f>IF(G401&gt;0,K401/G401,"")</f>
        <v/>
      </c>
      <c r="M401" s="6" t="n"/>
    </row>
    <row r="402">
      <c r="A402" s="32" t="n"/>
      <c r="B402" s="6" t="n"/>
      <c r="C402">
        <f>IF(B402="","",IFERROR(VLOOKUP(B402,'Recetas y precios'!$A$5:$B$54,2,FALSE),""))</f>
        <v/>
      </c>
      <c r="D402" s="6" t="n"/>
      <c r="E402" s="6" t="n"/>
      <c r="F402" s="11" t="n"/>
      <c r="G402" s="17">
        <f>E402*F402</f>
        <v/>
      </c>
      <c r="H402" s="17">
        <f>IF(B402="",0,E402*IFERROR(VLOOKUP(B402,'Recetas y precios'!$A$5:$T$54,20,FALSE),0))</f>
        <v/>
      </c>
      <c r="I402" s="27" t="n"/>
      <c r="J402" s="17">
        <f>G402*I402</f>
        <v/>
      </c>
      <c r="K402" s="17">
        <f>G402-H402-J402</f>
        <v/>
      </c>
      <c r="L402" s="29">
        <f>IF(G402&gt;0,K402/G402,"")</f>
        <v/>
      </c>
      <c r="M402" s="6" t="n"/>
    </row>
    <row r="403">
      <c r="A403" s="32" t="n"/>
      <c r="B403" s="6" t="n"/>
      <c r="C403">
        <f>IF(B403="","",IFERROR(VLOOKUP(B403,'Recetas y precios'!$A$5:$B$54,2,FALSE),""))</f>
        <v/>
      </c>
      <c r="D403" s="6" t="n"/>
      <c r="E403" s="6" t="n"/>
      <c r="F403" s="11" t="n"/>
      <c r="G403" s="17">
        <f>E403*F403</f>
        <v/>
      </c>
      <c r="H403" s="17">
        <f>IF(B403="",0,E403*IFERROR(VLOOKUP(B403,'Recetas y precios'!$A$5:$T$54,20,FALSE),0))</f>
        <v/>
      </c>
      <c r="I403" s="27" t="n"/>
      <c r="J403" s="17">
        <f>G403*I403</f>
        <v/>
      </c>
      <c r="K403" s="17">
        <f>G403-H403-J403</f>
        <v/>
      </c>
      <c r="L403" s="29">
        <f>IF(G403&gt;0,K403/G403,"")</f>
        <v/>
      </c>
      <c r="M403" s="6" t="n"/>
    </row>
    <row r="404">
      <c r="A404" s="32" t="n"/>
      <c r="B404" s="6" t="n"/>
      <c r="C404">
        <f>IF(B404="","",IFERROR(VLOOKUP(B404,'Recetas y precios'!$A$5:$B$54,2,FALSE),""))</f>
        <v/>
      </c>
      <c r="D404" s="6" t="n"/>
      <c r="E404" s="6" t="n"/>
      <c r="F404" s="11" t="n"/>
      <c r="G404" s="17">
        <f>E404*F404</f>
        <v/>
      </c>
      <c r="H404" s="17">
        <f>IF(B404="",0,E404*IFERROR(VLOOKUP(B404,'Recetas y precios'!$A$5:$T$54,20,FALSE),0))</f>
        <v/>
      </c>
      <c r="I404" s="27" t="n"/>
      <c r="J404" s="17">
        <f>G404*I404</f>
        <v/>
      </c>
      <c r="K404" s="17">
        <f>G404-H404-J404</f>
        <v/>
      </c>
      <c r="L404" s="29">
        <f>IF(G404&gt;0,K404/G404,"")</f>
        <v/>
      </c>
      <c r="M404" s="6" t="n"/>
    </row>
    <row r="405">
      <c r="A405" s="32" t="n"/>
      <c r="B405" s="6" t="n"/>
      <c r="C405">
        <f>IF(B405="","",IFERROR(VLOOKUP(B405,'Recetas y precios'!$A$5:$B$54,2,FALSE),""))</f>
        <v/>
      </c>
      <c r="D405" s="6" t="n"/>
      <c r="E405" s="6" t="n"/>
      <c r="F405" s="11" t="n"/>
      <c r="G405" s="17">
        <f>E405*F405</f>
        <v/>
      </c>
      <c r="H405" s="17">
        <f>IF(B405="",0,E405*IFERROR(VLOOKUP(B405,'Recetas y precios'!$A$5:$T$54,20,FALSE),0))</f>
        <v/>
      </c>
      <c r="I405" s="27" t="n"/>
      <c r="J405" s="17">
        <f>G405*I405</f>
        <v/>
      </c>
      <c r="K405" s="17">
        <f>G405-H405-J405</f>
        <v/>
      </c>
      <c r="L405" s="29">
        <f>IF(G405&gt;0,K405/G405,"")</f>
        <v/>
      </c>
      <c r="M405" s="6" t="n"/>
    </row>
    <row r="406">
      <c r="A406" s="32" t="n"/>
      <c r="B406" s="6" t="n"/>
      <c r="C406">
        <f>IF(B406="","",IFERROR(VLOOKUP(B406,'Recetas y precios'!$A$5:$B$54,2,FALSE),""))</f>
        <v/>
      </c>
      <c r="D406" s="6" t="n"/>
      <c r="E406" s="6" t="n"/>
      <c r="F406" s="11" t="n"/>
      <c r="G406" s="17">
        <f>E406*F406</f>
        <v/>
      </c>
      <c r="H406" s="17">
        <f>IF(B406="",0,E406*IFERROR(VLOOKUP(B406,'Recetas y precios'!$A$5:$T$54,20,FALSE),0))</f>
        <v/>
      </c>
      <c r="I406" s="27" t="n"/>
      <c r="J406" s="17">
        <f>G406*I406</f>
        <v/>
      </c>
      <c r="K406" s="17">
        <f>G406-H406-J406</f>
        <v/>
      </c>
      <c r="L406" s="29">
        <f>IF(G406&gt;0,K406/G406,"")</f>
        <v/>
      </c>
      <c r="M406" s="6" t="n"/>
    </row>
    <row r="407">
      <c r="A407" s="32" t="n"/>
      <c r="B407" s="6" t="n"/>
      <c r="C407">
        <f>IF(B407="","",IFERROR(VLOOKUP(B407,'Recetas y precios'!$A$5:$B$54,2,FALSE),""))</f>
        <v/>
      </c>
      <c r="D407" s="6" t="n"/>
      <c r="E407" s="6" t="n"/>
      <c r="F407" s="11" t="n"/>
      <c r="G407" s="17">
        <f>E407*F407</f>
        <v/>
      </c>
      <c r="H407" s="17">
        <f>IF(B407="",0,E407*IFERROR(VLOOKUP(B407,'Recetas y precios'!$A$5:$T$54,20,FALSE),0))</f>
        <v/>
      </c>
      <c r="I407" s="27" t="n"/>
      <c r="J407" s="17">
        <f>G407*I407</f>
        <v/>
      </c>
      <c r="K407" s="17">
        <f>G407-H407-J407</f>
        <v/>
      </c>
      <c r="L407" s="29">
        <f>IF(G407&gt;0,K407/G407,"")</f>
        <v/>
      </c>
      <c r="M407" s="6" t="n"/>
    </row>
    <row r="408">
      <c r="A408" s="32" t="n"/>
      <c r="B408" s="6" t="n"/>
      <c r="C408">
        <f>IF(B408="","",IFERROR(VLOOKUP(B408,'Recetas y precios'!$A$5:$B$54,2,FALSE),""))</f>
        <v/>
      </c>
      <c r="D408" s="6" t="n"/>
      <c r="E408" s="6" t="n"/>
      <c r="F408" s="11" t="n"/>
      <c r="G408" s="17">
        <f>E408*F408</f>
        <v/>
      </c>
      <c r="H408" s="17">
        <f>IF(B408="",0,E408*IFERROR(VLOOKUP(B408,'Recetas y precios'!$A$5:$T$54,20,FALSE),0))</f>
        <v/>
      </c>
      <c r="I408" s="27" t="n"/>
      <c r="J408" s="17">
        <f>G408*I408</f>
        <v/>
      </c>
      <c r="K408" s="17">
        <f>G408-H408-J408</f>
        <v/>
      </c>
      <c r="L408" s="29">
        <f>IF(G408&gt;0,K408/G408,"")</f>
        <v/>
      </c>
      <c r="M408" s="6" t="n"/>
    </row>
    <row r="409">
      <c r="A409" s="32" t="n"/>
      <c r="B409" s="6" t="n"/>
      <c r="C409">
        <f>IF(B409="","",IFERROR(VLOOKUP(B409,'Recetas y precios'!$A$5:$B$54,2,FALSE),""))</f>
        <v/>
      </c>
      <c r="D409" s="6" t="n"/>
      <c r="E409" s="6" t="n"/>
      <c r="F409" s="11" t="n"/>
      <c r="G409" s="17">
        <f>E409*F409</f>
        <v/>
      </c>
      <c r="H409" s="17">
        <f>IF(B409="",0,E409*IFERROR(VLOOKUP(B409,'Recetas y precios'!$A$5:$T$54,20,FALSE),0))</f>
        <v/>
      </c>
      <c r="I409" s="27" t="n"/>
      <c r="J409" s="17">
        <f>G409*I409</f>
        <v/>
      </c>
      <c r="K409" s="17">
        <f>G409-H409-J409</f>
        <v/>
      </c>
      <c r="L409" s="29">
        <f>IF(G409&gt;0,K409/G409,"")</f>
        <v/>
      </c>
      <c r="M409" s="6" t="n"/>
    </row>
    <row r="410">
      <c r="A410" s="32" t="n"/>
      <c r="B410" s="6" t="n"/>
      <c r="C410">
        <f>IF(B410="","",IFERROR(VLOOKUP(B410,'Recetas y precios'!$A$5:$B$54,2,FALSE),""))</f>
        <v/>
      </c>
      <c r="D410" s="6" t="n"/>
      <c r="E410" s="6" t="n"/>
      <c r="F410" s="11" t="n"/>
      <c r="G410" s="17">
        <f>E410*F410</f>
        <v/>
      </c>
      <c r="H410" s="17">
        <f>IF(B410="",0,E410*IFERROR(VLOOKUP(B410,'Recetas y precios'!$A$5:$T$54,20,FALSE),0))</f>
        <v/>
      </c>
      <c r="I410" s="27" t="n"/>
      <c r="J410" s="17">
        <f>G410*I410</f>
        <v/>
      </c>
      <c r="K410" s="17">
        <f>G410-H410-J410</f>
        <v/>
      </c>
      <c r="L410" s="29">
        <f>IF(G410&gt;0,K410/G410,"")</f>
        <v/>
      </c>
      <c r="M410" s="6" t="n"/>
    </row>
    <row r="411">
      <c r="A411" s="32" t="n"/>
      <c r="B411" s="6" t="n"/>
      <c r="C411">
        <f>IF(B411="","",IFERROR(VLOOKUP(B411,'Recetas y precios'!$A$5:$B$54,2,FALSE),""))</f>
        <v/>
      </c>
      <c r="D411" s="6" t="n"/>
      <c r="E411" s="6" t="n"/>
      <c r="F411" s="11" t="n"/>
      <c r="G411" s="17">
        <f>E411*F411</f>
        <v/>
      </c>
      <c r="H411" s="17">
        <f>IF(B411="",0,E411*IFERROR(VLOOKUP(B411,'Recetas y precios'!$A$5:$T$54,20,FALSE),0))</f>
        <v/>
      </c>
      <c r="I411" s="27" t="n"/>
      <c r="J411" s="17">
        <f>G411*I411</f>
        <v/>
      </c>
      <c r="K411" s="17">
        <f>G411-H411-J411</f>
        <v/>
      </c>
      <c r="L411" s="29">
        <f>IF(G411&gt;0,K411/G411,"")</f>
        <v/>
      </c>
      <c r="M411" s="6" t="n"/>
    </row>
    <row r="412">
      <c r="A412" s="32" t="n"/>
      <c r="B412" s="6" t="n"/>
      <c r="C412">
        <f>IF(B412="","",IFERROR(VLOOKUP(B412,'Recetas y precios'!$A$5:$B$54,2,FALSE),""))</f>
        <v/>
      </c>
      <c r="D412" s="6" t="n"/>
      <c r="E412" s="6" t="n"/>
      <c r="F412" s="11" t="n"/>
      <c r="G412" s="17">
        <f>E412*F412</f>
        <v/>
      </c>
      <c r="H412" s="17">
        <f>IF(B412="",0,E412*IFERROR(VLOOKUP(B412,'Recetas y precios'!$A$5:$T$54,20,FALSE),0))</f>
        <v/>
      </c>
      <c r="I412" s="27" t="n"/>
      <c r="J412" s="17">
        <f>G412*I412</f>
        <v/>
      </c>
      <c r="K412" s="17">
        <f>G412-H412-J412</f>
        <v/>
      </c>
      <c r="L412" s="29">
        <f>IF(G412&gt;0,K412/G412,"")</f>
        <v/>
      </c>
      <c r="M412" s="6" t="n"/>
    </row>
    <row r="413">
      <c r="A413" s="32" t="n"/>
      <c r="B413" s="6" t="n"/>
      <c r="C413">
        <f>IF(B413="","",IFERROR(VLOOKUP(B413,'Recetas y precios'!$A$5:$B$54,2,FALSE),""))</f>
        <v/>
      </c>
      <c r="D413" s="6" t="n"/>
      <c r="E413" s="6" t="n"/>
      <c r="F413" s="11" t="n"/>
      <c r="G413" s="17">
        <f>E413*F413</f>
        <v/>
      </c>
      <c r="H413" s="17">
        <f>IF(B413="",0,E413*IFERROR(VLOOKUP(B413,'Recetas y precios'!$A$5:$T$54,20,FALSE),0))</f>
        <v/>
      </c>
      <c r="I413" s="27" t="n"/>
      <c r="J413" s="17">
        <f>G413*I413</f>
        <v/>
      </c>
      <c r="K413" s="17">
        <f>G413-H413-J413</f>
        <v/>
      </c>
      <c r="L413" s="29">
        <f>IF(G413&gt;0,K413/G413,"")</f>
        <v/>
      </c>
      <c r="M413" s="6" t="n"/>
    </row>
    <row r="414">
      <c r="A414" s="32" t="n"/>
      <c r="B414" s="6" t="n"/>
      <c r="C414">
        <f>IF(B414="","",IFERROR(VLOOKUP(B414,'Recetas y precios'!$A$5:$B$54,2,FALSE),""))</f>
        <v/>
      </c>
      <c r="D414" s="6" t="n"/>
      <c r="E414" s="6" t="n"/>
      <c r="F414" s="11" t="n"/>
      <c r="G414" s="17">
        <f>E414*F414</f>
        <v/>
      </c>
      <c r="H414" s="17">
        <f>IF(B414="",0,E414*IFERROR(VLOOKUP(B414,'Recetas y precios'!$A$5:$T$54,20,FALSE),0))</f>
        <v/>
      </c>
      <c r="I414" s="27" t="n"/>
      <c r="J414" s="17">
        <f>G414*I414</f>
        <v/>
      </c>
      <c r="K414" s="17">
        <f>G414-H414-J414</f>
        <v/>
      </c>
      <c r="L414" s="29">
        <f>IF(G414&gt;0,K414/G414,"")</f>
        <v/>
      </c>
      <c r="M414" s="6" t="n"/>
    </row>
    <row r="415">
      <c r="A415" s="32" t="n"/>
      <c r="B415" s="6" t="n"/>
      <c r="C415">
        <f>IF(B415="","",IFERROR(VLOOKUP(B415,'Recetas y precios'!$A$5:$B$54,2,FALSE),""))</f>
        <v/>
      </c>
      <c r="D415" s="6" t="n"/>
      <c r="E415" s="6" t="n"/>
      <c r="F415" s="11" t="n"/>
      <c r="G415" s="17">
        <f>E415*F415</f>
        <v/>
      </c>
      <c r="H415" s="17">
        <f>IF(B415="",0,E415*IFERROR(VLOOKUP(B415,'Recetas y precios'!$A$5:$T$54,20,FALSE),0))</f>
        <v/>
      </c>
      <c r="I415" s="27" t="n"/>
      <c r="J415" s="17">
        <f>G415*I415</f>
        <v/>
      </c>
      <c r="K415" s="17">
        <f>G415-H415-J415</f>
        <v/>
      </c>
      <c r="L415" s="29">
        <f>IF(G415&gt;0,K415/G415,"")</f>
        <v/>
      </c>
      <c r="M415" s="6" t="n"/>
    </row>
    <row r="416">
      <c r="A416" s="32" t="n"/>
      <c r="B416" s="6" t="n"/>
      <c r="C416">
        <f>IF(B416="","",IFERROR(VLOOKUP(B416,'Recetas y precios'!$A$5:$B$54,2,FALSE),""))</f>
        <v/>
      </c>
      <c r="D416" s="6" t="n"/>
      <c r="E416" s="6" t="n"/>
      <c r="F416" s="11" t="n"/>
      <c r="G416" s="17">
        <f>E416*F416</f>
        <v/>
      </c>
      <c r="H416" s="17">
        <f>IF(B416="",0,E416*IFERROR(VLOOKUP(B416,'Recetas y precios'!$A$5:$T$54,20,FALSE),0))</f>
        <v/>
      </c>
      <c r="I416" s="27" t="n"/>
      <c r="J416" s="17">
        <f>G416*I416</f>
        <v/>
      </c>
      <c r="K416" s="17">
        <f>G416-H416-J416</f>
        <v/>
      </c>
      <c r="L416" s="29">
        <f>IF(G416&gt;0,K416/G416,"")</f>
        <v/>
      </c>
      <c r="M416" s="6" t="n"/>
    </row>
    <row r="417">
      <c r="A417" s="32" t="n"/>
      <c r="B417" s="6" t="n"/>
      <c r="C417">
        <f>IF(B417="","",IFERROR(VLOOKUP(B417,'Recetas y precios'!$A$5:$B$54,2,FALSE),""))</f>
        <v/>
      </c>
      <c r="D417" s="6" t="n"/>
      <c r="E417" s="6" t="n"/>
      <c r="F417" s="11" t="n"/>
      <c r="G417" s="17">
        <f>E417*F417</f>
        <v/>
      </c>
      <c r="H417" s="17">
        <f>IF(B417="",0,E417*IFERROR(VLOOKUP(B417,'Recetas y precios'!$A$5:$T$54,20,FALSE),0))</f>
        <v/>
      </c>
      <c r="I417" s="27" t="n"/>
      <c r="J417" s="17">
        <f>G417*I417</f>
        <v/>
      </c>
      <c r="K417" s="17">
        <f>G417-H417-J417</f>
        <v/>
      </c>
      <c r="L417" s="29">
        <f>IF(G417&gt;0,K417/G417,"")</f>
        <v/>
      </c>
      <c r="M417" s="6" t="n"/>
    </row>
    <row r="418">
      <c r="A418" s="32" t="n"/>
      <c r="B418" s="6" t="n"/>
      <c r="C418">
        <f>IF(B418="","",IFERROR(VLOOKUP(B418,'Recetas y precios'!$A$5:$B$54,2,FALSE),""))</f>
        <v/>
      </c>
      <c r="D418" s="6" t="n"/>
      <c r="E418" s="6" t="n"/>
      <c r="F418" s="11" t="n"/>
      <c r="G418" s="17">
        <f>E418*F418</f>
        <v/>
      </c>
      <c r="H418" s="17">
        <f>IF(B418="",0,E418*IFERROR(VLOOKUP(B418,'Recetas y precios'!$A$5:$T$54,20,FALSE),0))</f>
        <v/>
      </c>
      <c r="I418" s="27" t="n"/>
      <c r="J418" s="17">
        <f>G418*I418</f>
        <v/>
      </c>
      <c r="K418" s="17">
        <f>G418-H418-J418</f>
        <v/>
      </c>
      <c r="L418" s="29">
        <f>IF(G418&gt;0,K418/G418,"")</f>
        <v/>
      </c>
      <c r="M418" s="6" t="n"/>
    </row>
    <row r="419">
      <c r="A419" s="32" t="n"/>
      <c r="B419" s="6" t="n"/>
      <c r="C419">
        <f>IF(B419="","",IFERROR(VLOOKUP(B419,'Recetas y precios'!$A$5:$B$54,2,FALSE),""))</f>
        <v/>
      </c>
      <c r="D419" s="6" t="n"/>
      <c r="E419" s="6" t="n"/>
      <c r="F419" s="11" t="n"/>
      <c r="G419" s="17">
        <f>E419*F419</f>
        <v/>
      </c>
      <c r="H419" s="17">
        <f>IF(B419="",0,E419*IFERROR(VLOOKUP(B419,'Recetas y precios'!$A$5:$T$54,20,FALSE),0))</f>
        <v/>
      </c>
      <c r="I419" s="27" t="n"/>
      <c r="J419" s="17">
        <f>G419*I419</f>
        <v/>
      </c>
      <c r="K419" s="17">
        <f>G419-H419-J419</f>
        <v/>
      </c>
      <c r="L419" s="29">
        <f>IF(G419&gt;0,K419/G419,"")</f>
        <v/>
      </c>
      <c r="M419" s="6" t="n"/>
    </row>
    <row r="420">
      <c r="A420" s="32" t="n"/>
      <c r="B420" s="6" t="n"/>
      <c r="C420">
        <f>IF(B420="","",IFERROR(VLOOKUP(B420,'Recetas y precios'!$A$5:$B$54,2,FALSE),""))</f>
        <v/>
      </c>
      <c r="D420" s="6" t="n"/>
      <c r="E420" s="6" t="n"/>
      <c r="F420" s="11" t="n"/>
      <c r="G420" s="17">
        <f>E420*F420</f>
        <v/>
      </c>
      <c r="H420" s="17">
        <f>IF(B420="",0,E420*IFERROR(VLOOKUP(B420,'Recetas y precios'!$A$5:$T$54,20,FALSE),0))</f>
        <v/>
      </c>
      <c r="I420" s="27" t="n"/>
      <c r="J420" s="17">
        <f>G420*I420</f>
        <v/>
      </c>
      <c r="K420" s="17">
        <f>G420-H420-J420</f>
        <v/>
      </c>
      <c r="L420" s="29">
        <f>IF(G420&gt;0,K420/G420,"")</f>
        <v/>
      </c>
      <c r="M420" s="6" t="n"/>
    </row>
    <row r="421">
      <c r="A421" s="32" t="n"/>
      <c r="B421" s="6" t="n"/>
      <c r="C421">
        <f>IF(B421="","",IFERROR(VLOOKUP(B421,'Recetas y precios'!$A$5:$B$54,2,FALSE),""))</f>
        <v/>
      </c>
      <c r="D421" s="6" t="n"/>
      <c r="E421" s="6" t="n"/>
      <c r="F421" s="11" t="n"/>
      <c r="G421" s="17">
        <f>E421*F421</f>
        <v/>
      </c>
      <c r="H421" s="17">
        <f>IF(B421="",0,E421*IFERROR(VLOOKUP(B421,'Recetas y precios'!$A$5:$T$54,20,FALSE),0))</f>
        <v/>
      </c>
      <c r="I421" s="27" t="n"/>
      <c r="J421" s="17">
        <f>G421*I421</f>
        <v/>
      </c>
      <c r="K421" s="17">
        <f>G421-H421-J421</f>
        <v/>
      </c>
      <c r="L421" s="29">
        <f>IF(G421&gt;0,K421/G421,"")</f>
        <v/>
      </c>
      <c r="M421" s="6" t="n"/>
    </row>
    <row r="422">
      <c r="A422" s="32" t="n"/>
      <c r="B422" s="6" t="n"/>
      <c r="C422">
        <f>IF(B422="","",IFERROR(VLOOKUP(B422,'Recetas y precios'!$A$5:$B$54,2,FALSE),""))</f>
        <v/>
      </c>
      <c r="D422" s="6" t="n"/>
      <c r="E422" s="6" t="n"/>
      <c r="F422" s="11" t="n"/>
      <c r="G422" s="17">
        <f>E422*F422</f>
        <v/>
      </c>
      <c r="H422" s="17">
        <f>IF(B422="",0,E422*IFERROR(VLOOKUP(B422,'Recetas y precios'!$A$5:$T$54,20,FALSE),0))</f>
        <v/>
      </c>
      <c r="I422" s="27" t="n"/>
      <c r="J422" s="17">
        <f>G422*I422</f>
        <v/>
      </c>
      <c r="K422" s="17">
        <f>G422-H422-J422</f>
        <v/>
      </c>
      <c r="L422" s="29">
        <f>IF(G422&gt;0,K422/G422,"")</f>
        <v/>
      </c>
      <c r="M422" s="6" t="n"/>
    </row>
    <row r="423">
      <c r="A423" s="32" t="n"/>
      <c r="B423" s="6" t="n"/>
      <c r="C423">
        <f>IF(B423="","",IFERROR(VLOOKUP(B423,'Recetas y precios'!$A$5:$B$54,2,FALSE),""))</f>
        <v/>
      </c>
      <c r="D423" s="6" t="n"/>
      <c r="E423" s="6" t="n"/>
      <c r="F423" s="11" t="n"/>
      <c r="G423" s="17">
        <f>E423*F423</f>
        <v/>
      </c>
      <c r="H423" s="17">
        <f>IF(B423="",0,E423*IFERROR(VLOOKUP(B423,'Recetas y precios'!$A$5:$T$54,20,FALSE),0))</f>
        <v/>
      </c>
      <c r="I423" s="27" t="n"/>
      <c r="J423" s="17">
        <f>G423*I423</f>
        <v/>
      </c>
      <c r="K423" s="17">
        <f>G423-H423-J423</f>
        <v/>
      </c>
      <c r="L423" s="29">
        <f>IF(G423&gt;0,K423/G423,"")</f>
        <v/>
      </c>
      <c r="M423" s="6" t="n"/>
    </row>
    <row r="424">
      <c r="A424" s="32" t="n"/>
      <c r="B424" s="6" t="n"/>
      <c r="C424">
        <f>IF(B424="","",IFERROR(VLOOKUP(B424,'Recetas y precios'!$A$5:$B$54,2,FALSE),""))</f>
        <v/>
      </c>
      <c r="D424" s="6" t="n"/>
      <c r="E424" s="6" t="n"/>
      <c r="F424" s="11" t="n"/>
      <c r="G424" s="17">
        <f>E424*F424</f>
        <v/>
      </c>
      <c r="H424" s="17">
        <f>IF(B424="",0,E424*IFERROR(VLOOKUP(B424,'Recetas y precios'!$A$5:$T$54,20,FALSE),0))</f>
        <v/>
      </c>
      <c r="I424" s="27" t="n"/>
      <c r="J424" s="17">
        <f>G424*I424</f>
        <v/>
      </c>
      <c r="K424" s="17">
        <f>G424-H424-J424</f>
        <v/>
      </c>
      <c r="L424" s="29">
        <f>IF(G424&gt;0,K424/G424,"")</f>
        <v/>
      </c>
      <c r="M424" s="6" t="n"/>
    </row>
    <row r="425">
      <c r="A425" s="32" t="n"/>
      <c r="B425" s="6" t="n"/>
      <c r="C425">
        <f>IF(B425="","",IFERROR(VLOOKUP(B425,'Recetas y precios'!$A$5:$B$54,2,FALSE),""))</f>
        <v/>
      </c>
      <c r="D425" s="6" t="n"/>
      <c r="E425" s="6" t="n"/>
      <c r="F425" s="11" t="n"/>
      <c r="G425" s="17">
        <f>E425*F425</f>
        <v/>
      </c>
      <c r="H425" s="17">
        <f>IF(B425="",0,E425*IFERROR(VLOOKUP(B425,'Recetas y precios'!$A$5:$T$54,20,FALSE),0))</f>
        <v/>
      </c>
      <c r="I425" s="27" t="n"/>
      <c r="J425" s="17">
        <f>G425*I425</f>
        <v/>
      </c>
      <c r="K425" s="17">
        <f>G425-H425-J425</f>
        <v/>
      </c>
      <c r="L425" s="29">
        <f>IF(G425&gt;0,K425/G425,"")</f>
        <v/>
      </c>
      <c r="M425" s="6" t="n"/>
    </row>
    <row r="426">
      <c r="A426" s="32" t="n"/>
      <c r="B426" s="6" t="n"/>
      <c r="C426">
        <f>IF(B426="","",IFERROR(VLOOKUP(B426,'Recetas y precios'!$A$5:$B$54,2,FALSE),""))</f>
        <v/>
      </c>
      <c r="D426" s="6" t="n"/>
      <c r="E426" s="6" t="n"/>
      <c r="F426" s="11" t="n"/>
      <c r="G426" s="17">
        <f>E426*F426</f>
        <v/>
      </c>
      <c r="H426" s="17">
        <f>IF(B426="",0,E426*IFERROR(VLOOKUP(B426,'Recetas y precios'!$A$5:$T$54,20,FALSE),0))</f>
        <v/>
      </c>
      <c r="I426" s="27" t="n"/>
      <c r="J426" s="17">
        <f>G426*I426</f>
        <v/>
      </c>
      <c r="K426" s="17">
        <f>G426-H426-J426</f>
        <v/>
      </c>
      <c r="L426" s="29">
        <f>IF(G426&gt;0,K426/G426,"")</f>
        <v/>
      </c>
      <c r="M426" s="6" t="n"/>
    </row>
    <row r="427">
      <c r="A427" s="32" t="n"/>
      <c r="B427" s="6" t="n"/>
      <c r="C427">
        <f>IF(B427="","",IFERROR(VLOOKUP(B427,'Recetas y precios'!$A$5:$B$54,2,FALSE),""))</f>
        <v/>
      </c>
      <c r="D427" s="6" t="n"/>
      <c r="E427" s="6" t="n"/>
      <c r="F427" s="11" t="n"/>
      <c r="G427" s="17">
        <f>E427*F427</f>
        <v/>
      </c>
      <c r="H427" s="17">
        <f>IF(B427="",0,E427*IFERROR(VLOOKUP(B427,'Recetas y precios'!$A$5:$T$54,20,FALSE),0))</f>
        <v/>
      </c>
      <c r="I427" s="27" t="n"/>
      <c r="J427" s="17">
        <f>G427*I427</f>
        <v/>
      </c>
      <c r="K427" s="17">
        <f>G427-H427-J427</f>
        <v/>
      </c>
      <c r="L427" s="29">
        <f>IF(G427&gt;0,K427/G427,"")</f>
        <v/>
      </c>
      <c r="M427" s="6" t="n"/>
    </row>
    <row r="428">
      <c r="A428" s="32" t="n"/>
      <c r="B428" s="6" t="n"/>
      <c r="C428">
        <f>IF(B428="","",IFERROR(VLOOKUP(B428,'Recetas y precios'!$A$5:$B$54,2,FALSE),""))</f>
        <v/>
      </c>
      <c r="D428" s="6" t="n"/>
      <c r="E428" s="6" t="n"/>
      <c r="F428" s="11" t="n"/>
      <c r="G428" s="17">
        <f>E428*F428</f>
        <v/>
      </c>
      <c r="H428" s="17">
        <f>IF(B428="",0,E428*IFERROR(VLOOKUP(B428,'Recetas y precios'!$A$5:$T$54,20,FALSE),0))</f>
        <v/>
      </c>
      <c r="I428" s="27" t="n"/>
      <c r="J428" s="17">
        <f>G428*I428</f>
        <v/>
      </c>
      <c r="K428" s="17">
        <f>G428-H428-J428</f>
        <v/>
      </c>
      <c r="L428" s="29">
        <f>IF(G428&gt;0,K428/G428,"")</f>
        <v/>
      </c>
      <c r="M428" s="6" t="n"/>
    </row>
    <row r="429">
      <c r="A429" s="32" t="n"/>
      <c r="B429" s="6" t="n"/>
      <c r="C429">
        <f>IF(B429="","",IFERROR(VLOOKUP(B429,'Recetas y precios'!$A$5:$B$54,2,FALSE),""))</f>
        <v/>
      </c>
      <c r="D429" s="6" t="n"/>
      <c r="E429" s="6" t="n"/>
      <c r="F429" s="11" t="n"/>
      <c r="G429" s="17">
        <f>E429*F429</f>
        <v/>
      </c>
      <c r="H429" s="17">
        <f>IF(B429="",0,E429*IFERROR(VLOOKUP(B429,'Recetas y precios'!$A$5:$T$54,20,FALSE),0))</f>
        <v/>
      </c>
      <c r="I429" s="27" t="n"/>
      <c r="J429" s="17">
        <f>G429*I429</f>
        <v/>
      </c>
      <c r="K429" s="17">
        <f>G429-H429-J429</f>
        <v/>
      </c>
      <c r="L429" s="29">
        <f>IF(G429&gt;0,K429/G429,"")</f>
        <v/>
      </c>
      <c r="M429" s="6" t="n"/>
    </row>
    <row r="430">
      <c r="A430" s="32" t="n"/>
      <c r="B430" s="6" t="n"/>
      <c r="C430">
        <f>IF(B430="","",IFERROR(VLOOKUP(B430,'Recetas y precios'!$A$5:$B$54,2,FALSE),""))</f>
        <v/>
      </c>
      <c r="D430" s="6" t="n"/>
      <c r="E430" s="6" t="n"/>
      <c r="F430" s="11" t="n"/>
      <c r="G430" s="17">
        <f>E430*F430</f>
        <v/>
      </c>
      <c r="H430" s="17">
        <f>IF(B430="",0,E430*IFERROR(VLOOKUP(B430,'Recetas y precios'!$A$5:$T$54,20,FALSE),0))</f>
        <v/>
      </c>
      <c r="I430" s="27" t="n"/>
      <c r="J430" s="17">
        <f>G430*I430</f>
        <v/>
      </c>
      <c r="K430" s="17">
        <f>G430-H430-J430</f>
        <v/>
      </c>
      <c r="L430" s="29">
        <f>IF(G430&gt;0,K430/G430,"")</f>
        <v/>
      </c>
      <c r="M430" s="6" t="n"/>
    </row>
    <row r="431">
      <c r="A431" s="32" t="n"/>
      <c r="B431" s="6" t="n"/>
      <c r="C431">
        <f>IF(B431="","",IFERROR(VLOOKUP(B431,'Recetas y precios'!$A$5:$B$54,2,FALSE),""))</f>
        <v/>
      </c>
      <c r="D431" s="6" t="n"/>
      <c r="E431" s="6" t="n"/>
      <c r="F431" s="11" t="n"/>
      <c r="G431" s="17">
        <f>E431*F431</f>
        <v/>
      </c>
      <c r="H431" s="17">
        <f>IF(B431="",0,E431*IFERROR(VLOOKUP(B431,'Recetas y precios'!$A$5:$T$54,20,FALSE),0))</f>
        <v/>
      </c>
      <c r="I431" s="27" t="n"/>
      <c r="J431" s="17">
        <f>G431*I431</f>
        <v/>
      </c>
      <c r="K431" s="17">
        <f>G431-H431-J431</f>
        <v/>
      </c>
      <c r="L431" s="29">
        <f>IF(G431&gt;0,K431/G431,"")</f>
        <v/>
      </c>
      <c r="M431" s="6" t="n"/>
    </row>
    <row r="432">
      <c r="A432" s="32" t="n"/>
      <c r="B432" s="6" t="n"/>
      <c r="C432">
        <f>IF(B432="","",IFERROR(VLOOKUP(B432,'Recetas y precios'!$A$5:$B$54,2,FALSE),""))</f>
        <v/>
      </c>
      <c r="D432" s="6" t="n"/>
      <c r="E432" s="6" t="n"/>
      <c r="F432" s="11" t="n"/>
      <c r="G432" s="17">
        <f>E432*F432</f>
        <v/>
      </c>
      <c r="H432" s="17">
        <f>IF(B432="",0,E432*IFERROR(VLOOKUP(B432,'Recetas y precios'!$A$5:$T$54,20,FALSE),0))</f>
        <v/>
      </c>
      <c r="I432" s="27" t="n"/>
      <c r="J432" s="17">
        <f>G432*I432</f>
        <v/>
      </c>
      <c r="K432" s="17">
        <f>G432-H432-J432</f>
        <v/>
      </c>
      <c r="L432" s="29">
        <f>IF(G432&gt;0,K432/G432,"")</f>
        <v/>
      </c>
      <c r="M432" s="6" t="n"/>
    </row>
    <row r="433">
      <c r="A433" s="32" t="n"/>
      <c r="B433" s="6" t="n"/>
      <c r="C433">
        <f>IF(B433="","",IFERROR(VLOOKUP(B433,'Recetas y precios'!$A$5:$B$54,2,FALSE),""))</f>
        <v/>
      </c>
      <c r="D433" s="6" t="n"/>
      <c r="E433" s="6" t="n"/>
      <c r="F433" s="11" t="n"/>
      <c r="G433" s="17">
        <f>E433*F433</f>
        <v/>
      </c>
      <c r="H433" s="17">
        <f>IF(B433="",0,E433*IFERROR(VLOOKUP(B433,'Recetas y precios'!$A$5:$T$54,20,FALSE),0))</f>
        <v/>
      </c>
      <c r="I433" s="27" t="n"/>
      <c r="J433" s="17">
        <f>G433*I433</f>
        <v/>
      </c>
      <c r="K433" s="17">
        <f>G433-H433-J433</f>
        <v/>
      </c>
      <c r="L433" s="29">
        <f>IF(G433&gt;0,K433/G433,"")</f>
        <v/>
      </c>
      <c r="M433" s="6" t="n"/>
    </row>
    <row r="434">
      <c r="A434" s="32" t="n"/>
      <c r="B434" s="6" t="n"/>
      <c r="C434">
        <f>IF(B434="","",IFERROR(VLOOKUP(B434,'Recetas y precios'!$A$5:$B$54,2,FALSE),""))</f>
        <v/>
      </c>
      <c r="D434" s="6" t="n"/>
      <c r="E434" s="6" t="n"/>
      <c r="F434" s="11" t="n"/>
      <c r="G434" s="17">
        <f>E434*F434</f>
        <v/>
      </c>
      <c r="H434" s="17">
        <f>IF(B434="",0,E434*IFERROR(VLOOKUP(B434,'Recetas y precios'!$A$5:$T$54,20,FALSE),0))</f>
        <v/>
      </c>
      <c r="I434" s="27" t="n"/>
      <c r="J434" s="17">
        <f>G434*I434</f>
        <v/>
      </c>
      <c r="K434" s="17">
        <f>G434-H434-J434</f>
        <v/>
      </c>
      <c r="L434" s="29">
        <f>IF(G434&gt;0,K434/G434,"")</f>
        <v/>
      </c>
      <c r="M434" s="6" t="n"/>
    </row>
    <row r="435">
      <c r="A435" s="32" t="n"/>
      <c r="B435" s="6" t="n"/>
      <c r="C435">
        <f>IF(B435="","",IFERROR(VLOOKUP(B435,'Recetas y precios'!$A$5:$B$54,2,FALSE),""))</f>
        <v/>
      </c>
      <c r="D435" s="6" t="n"/>
      <c r="E435" s="6" t="n"/>
      <c r="F435" s="11" t="n"/>
      <c r="G435" s="17">
        <f>E435*F435</f>
        <v/>
      </c>
      <c r="H435" s="17">
        <f>IF(B435="",0,E435*IFERROR(VLOOKUP(B435,'Recetas y precios'!$A$5:$T$54,20,FALSE),0))</f>
        <v/>
      </c>
      <c r="I435" s="27" t="n"/>
      <c r="J435" s="17">
        <f>G435*I435</f>
        <v/>
      </c>
      <c r="K435" s="17">
        <f>G435-H435-J435</f>
        <v/>
      </c>
      <c r="L435" s="29">
        <f>IF(G435&gt;0,K435/G435,"")</f>
        <v/>
      </c>
      <c r="M435" s="6" t="n"/>
    </row>
    <row r="436">
      <c r="A436" s="32" t="n"/>
      <c r="B436" s="6" t="n"/>
      <c r="C436">
        <f>IF(B436="","",IFERROR(VLOOKUP(B436,'Recetas y precios'!$A$5:$B$54,2,FALSE),""))</f>
        <v/>
      </c>
      <c r="D436" s="6" t="n"/>
      <c r="E436" s="6" t="n"/>
      <c r="F436" s="11" t="n"/>
      <c r="G436" s="17">
        <f>E436*F436</f>
        <v/>
      </c>
      <c r="H436" s="17">
        <f>IF(B436="",0,E436*IFERROR(VLOOKUP(B436,'Recetas y precios'!$A$5:$T$54,20,FALSE),0))</f>
        <v/>
      </c>
      <c r="I436" s="27" t="n"/>
      <c r="J436" s="17">
        <f>G436*I436</f>
        <v/>
      </c>
      <c r="K436" s="17">
        <f>G436-H436-J436</f>
        <v/>
      </c>
      <c r="L436" s="29">
        <f>IF(G436&gt;0,K436/G436,"")</f>
        <v/>
      </c>
      <c r="M436" s="6" t="n"/>
    </row>
    <row r="437">
      <c r="A437" s="32" t="n"/>
      <c r="B437" s="6" t="n"/>
      <c r="C437">
        <f>IF(B437="","",IFERROR(VLOOKUP(B437,'Recetas y precios'!$A$5:$B$54,2,FALSE),""))</f>
        <v/>
      </c>
      <c r="D437" s="6" t="n"/>
      <c r="E437" s="6" t="n"/>
      <c r="F437" s="11" t="n"/>
      <c r="G437" s="17">
        <f>E437*F437</f>
        <v/>
      </c>
      <c r="H437" s="17">
        <f>IF(B437="",0,E437*IFERROR(VLOOKUP(B437,'Recetas y precios'!$A$5:$T$54,20,FALSE),0))</f>
        <v/>
      </c>
      <c r="I437" s="27" t="n"/>
      <c r="J437" s="17">
        <f>G437*I437</f>
        <v/>
      </c>
      <c r="K437" s="17">
        <f>G437-H437-J437</f>
        <v/>
      </c>
      <c r="L437" s="29">
        <f>IF(G437&gt;0,K437/G437,"")</f>
        <v/>
      </c>
      <c r="M437" s="6" t="n"/>
    </row>
    <row r="438">
      <c r="A438" s="32" t="n"/>
      <c r="B438" s="6" t="n"/>
      <c r="C438">
        <f>IF(B438="","",IFERROR(VLOOKUP(B438,'Recetas y precios'!$A$5:$B$54,2,FALSE),""))</f>
        <v/>
      </c>
      <c r="D438" s="6" t="n"/>
      <c r="E438" s="6" t="n"/>
      <c r="F438" s="11" t="n"/>
      <c r="G438" s="17">
        <f>E438*F438</f>
        <v/>
      </c>
      <c r="H438" s="17">
        <f>IF(B438="",0,E438*IFERROR(VLOOKUP(B438,'Recetas y precios'!$A$5:$T$54,20,FALSE),0))</f>
        <v/>
      </c>
      <c r="I438" s="27" t="n"/>
      <c r="J438" s="17">
        <f>G438*I438</f>
        <v/>
      </c>
      <c r="K438" s="17">
        <f>G438-H438-J438</f>
        <v/>
      </c>
      <c r="L438" s="29">
        <f>IF(G438&gt;0,K438/G438,"")</f>
        <v/>
      </c>
      <c r="M438" s="6" t="n"/>
    </row>
    <row r="439">
      <c r="A439" s="32" t="n"/>
      <c r="B439" s="6" t="n"/>
      <c r="C439">
        <f>IF(B439="","",IFERROR(VLOOKUP(B439,'Recetas y precios'!$A$5:$B$54,2,FALSE),""))</f>
        <v/>
      </c>
      <c r="D439" s="6" t="n"/>
      <c r="E439" s="6" t="n"/>
      <c r="F439" s="11" t="n"/>
      <c r="G439" s="17">
        <f>E439*F439</f>
        <v/>
      </c>
      <c r="H439" s="17">
        <f>IF(B439="",0,E439*IFERROR(VLOOKUP(B439,'Recetas y precios'!$A$5:$T$54,20,FALSE),0))</f>
        <v/>
      </c>
      <c r="I439" s="27" t="n"/>
      <c r="J439" s="17">
        <f>G439*I439</f>
        <v/>
      </c>
      <c r="K439" s="17">
        <f>G439-H439-J439</f>
        <v/>
      </c>
      <c r="L439" s="29">
        <f>IF(G439&gt;0,K439/G439,"")</f>
        <v/>
      </c>
      <c r="M439" s="6" t="n"/>
    </row>
    <row r="440">
      <c r="A440" s="32" t="n"/>
      <c r="B440" s="6" t="n"/>
      <c r="C440">
        <f>IF(B440="","",IFERROR(VLOOKUP(B440,'Recetas y precios'!$A$5:$B$54,2,FALSE),""))</f>
        <v/>
      </c>
      <c r="D440" s="6" t="n"/>
      <c r="E440" s="6" t="n"/>
      <c r="F440" s="11" t="n"/>
      <c r="G440" s="17">
        <f>E440*F440</f>
        <v/>
      </c>
      <c r="H440" s="17">
        <f>IF(B440="",0,E440*IFERROR(VLOOKUP(B440,'Recetas y precios'!$A$5:$T$54,20,FALSE),0))</f>
        <v/>
      </c>
      <c r="I440" s="27" t="n"/>
      <c r="J440" s="17">
        <f>G440*I440</f>
        <v/>
      </c>
      <c r="K440" s="17">
        <f>G440-H440-J440</f>
        <v/>
      </c>
      <c r="L440" s="29">
        <f>IF(G440&gt;0,K440/G440,"")</f>
        <v/>
      </c>
      <c r="M440" s="6" t="n"/>
    </row>
    <row r="441">
      <c r="A441" s="32" t="n"/>
      <c r="B441" s="6" t="n"/>
      <c r="C441">
        <f>IF(B441="","",IFERROR(VLOOKUP(B441,'Recetas y precios'!$A$5:$B$54,2,FALSE),""))</f>
        <v/>
      </c>
      <c r="D441" s="6" t="n"/>
      <c r="E441" s="6" t="n"/>
      <c r="F441" s="11" t="n"/>
      <c r="G441" s="17">
        <f>E441*F441</f>
        <v/>
      </c>
      <c r="H441" s="17">
        <f>IF(B441="",0,E441*IFERROR(VLOOKUP(B441,'Recetas y precios'!$A$5:$T$54,20,FALSE),0))</f>
        <v/>
      </c>
      <c r="I441" s="27" t="n"/>
      <c r="J441" s="17">
        <f>G441*I441</f>
        <v/>
      </c>
      <c r="K441" s="17">
        <f>G441-H441-J441</f>
        <v/>
      </c>
      <c r="L441" s="29">
        <f>IF(G441&gt;0,K441/G441,"")</f>
        <v/>
      </c>
      <c r="M441" s="6" t="n"/>
    </row>
    <row r="442">
      <c r="A442" s="32" t="n"/>
      <c r="B442" s="6" t="n"/>
      <c r="C442">
        <f>IF(B442="","",IFERROR(VLOOKUP(B442,'Recetas y precios'!$A$5:$B$54,2,FALSE),""))</f>
        <v/>
      </c>
      <c r="D442" s="6" t="n"/>
      <c r="E442" s="6" t="n"/>
      <c r="F442" s="11" t="n"/>
      <c r="G442" s="17">
        <f>E442*F442</f>
        <v/>
      </c>
      <c r="H442" s="17">
        <f>IF(B442="",0,E442*IFERROR(VLOOKUP(B442,'Recetas y precios'!$A$5:$T$54,20,FALSE),0))</f>
        <v/>
      </c>
      <c r="I442" s="27" t="n"/>
      <c r="J442" s="17">
        <f>G442*I442</f>
        <v/>
      </c>
      <c r="K442" s="17">
        <f>G442-H442-J442</f>
        <v/>
      </c>
      <c r="L442" s="29">
        <f>IF(G442&gt;0,K442/G442,"")</f>
        <v/>
      </c>
      <c r="M442" s="6" t="n"/>
    </row>
    <row r="443">
      <c r="A443" s="32" t="n"/>
      <c r="B443" s="6" t="n"/>
      <c r="C443">
        <f>IF(B443="","",IFERROR(VLOOKUP(B443,'Recetas y precios'!$A$5:$B$54,2,FALSE),""))</f>
        <v/>
      </c>
      <c r="D443" s="6" t="n"/>
      <c r="E443" s="6" t="n"/>
      <c r="F443" s="11" t="n"/>
      <c r="G443" s="17">
        <f>E443*F443</f>
        <v/>
      </c>
      <c r="H443" s="17">
        <f>IF(B443="",0,E443*IFERROR(VLOOKUP(B443,'Recetas y precios'!$A$5:$T$54,20,FALSE),0))</f>
        <v/>
      </c>
      <c r="I443" s="27" t="n"/>
      <c r="J443" s="17">
        <f>G443*I443</f>
        <v/>
      </c>
      <c r="K443" s="17">
        <f>G443-H443-J443</f>
        <v/>
      </c>
      <c r="L443" s="29">
        <f>IF(G443&gt;0,K443/G443,"")</f>
        <v/>
      </c>
      <c r="M443" s="6" t="n"/>
    </row>
    <row r="444">
      <c r="A444" s="32" t="n"/>
      <c r="B444" s="6" t="n"/>
      <c r="C444">
        <f>IF(B444="","",IFERROR(VLOOKUP(B444,'Recetas y precios'!$A$5:$B$54,2,FALSE),""))</f>
        <v/>
      </c>
      <c r="D444" s="6" t="n"/>
      <c r="E444" s="6" t="n"/>
      <c r="F444" s="11" t="n"/>
      <c r="G444" s="17">
        <f>E444*F444</f>
        <v/>
      </c>
      <c r="H444" s="17">
        <f>IF(B444="",0,E444*IFERROR(VLOOKUP(B444,'Recetas y precios'!$A$5:$T$54,20,FALSE),0))</f>
        <v/>
      </c>
      <c r="I444" s="27" t="n"/>
      <c r="J444" s="17">
        <f>G444*I444</f>
        <v/>
      </c>
      <c r="K444" s="17">
        <f>G444-H444-J444</f>
        <v/>
      </c>
      <c r="L444" s="29">
        <f>IF(G444&gt;0,K444/G444,"")</f>
        <v/>
      </c>
      <c r="M444" s="6" t="n"/>
    </row>
    <row r="445">
      <c r="A445" s="32" t="n"/>
      <c r="B445" s="6" t="n"/>
      <c r="C445">
        <f>IF(B445="","",IFERROR(VLOOKUP(B445,'Recetas y precios'!$A$5:$B$54,2,FALSE),""))</f>
        <v/>
      </c>
      <c r="D445" s="6" t="n"/>
      <c r="E445" s="6" t="n"/>
      <c r="F445" s="11" t="n"/>
      <c r="G445" s="17">
        <f>E445*F445</f>
        <v/>
      </c>
      <c r="H445" s="17">
        <f>IF(B445="",0,E445*IFERROR(VLOOKUP(B445,'Recetas y precios'!$A$5:$T$54,20,FALSE),0))</f>
        <v/>
      </c>
      <c r="I445" s="27" t="n"/>
      <c r="J445" s="17">
        <f>G445*I445</f>
        <v/>
      </c>
      <c r="K445" s="17">
        <f>G445-H445-J445</f>
        <v/>
      </c>
      <c r="L445" s="29">
        <f>IF(G445&gt;0,K445/G445,"")</f>
        <v/>
      </c>
      <c r="M445" s="6" t="n"/>
    </row>
    <row r="446">
      <c r="A446" s="32" t="n"/>
      <c r="B446" s="6" t="n"/>
      <c r="C446">
        <f>IF(B446="","",IFERROR(VLOOKUP(B446,'Recetas y precios'!$A$5:$B$54,2,FALSE),""))</f>
        <v/>
      </c>
      <c r="D446" s="6" t="n"/>
      <c r="E446" s="6" t="n"/>
      <c r="F446" s="11" t="n"/>
      <c r="G446" s="17">
        <f>E446*F446</f>
        <v/>
      </c>
      <c r="H446" s="17">
        <f>IF(B446="",0,E446*IFERROR(VLOOKUP(B446,'Recetas y precios'!$A$5:$T$54,20,FALSE),0))</f>
        <v/>
      </c>
      <c r="I446" s="27" t="n"/>
      <c r="J446" s="17">
        <f>G446*I446</f>
        <v/>
      </c>
      <c r="K446" s="17">
        <f>G446-H446-J446</f>
        <v/>
      </c>
      <c r="L446" s="29">
        <f>IF(G446&gt;0,K446/G446,"")</f>
        <v/>
      </c>
      <c r="M446" s="6" t="n"/>
    </row>
    <row r="447">
      <c r="A447" s="32" t="n"/>
      <c r="B447" s="6" t="n"/>
      <c r="C447">
        <f>IF(B447="","",IFERROR(VLOOKUP(B447,'Recetas y precios'!$A$5:$B$54,2,FALSE),""))</f>
        <v/>
      </c>
      <c r="D447" s="6" t="n"/>
      <c r="E447" s="6" t="n"/>
      <c r="F447" s="11" t="n"/>
      <c r="G447" s="17">
        <f>E447*F447</f>
        <v/>
      </c>
      <c r="H447" s="17">
        <f>IF(B447="",0,E447*IFERROR(VLOOKUP(B447,'Recetas y precios'!$A$5:$T$54,20,FALSE),0))</f>
        <v/>
      </c>
      <c r="I447" s="27" t="n"/>
      <c r="J447" s="17">
        <f>G447*I447</f>
        <v/>
      </c>
      <c r="K447" s="17">
        <f>G447-H447-J447</f>
        <v/>
      </c>
      <c r="L447" s="29">
        <f>IF(G447&gt;0,K447/G447,"")</f>
        <v/>
      </c>
      <c r="M447" s="6" t="n"/>
    </row>
    <row r="448">
      <c r="A448" s="32" t="n"/>
      <c r="B448" s="6" t="n"/>
      <c r="C448">
        <f>IF(B448="","",IFERROR(VLOOKUP(B448,'Recetas y precios'!$A$5:$B$54,2,FALSE),""))</f>
        <v/>
      </c>
      <c r="D448" s="6" t="n"/>
      <c r="E448" s="6" t="n"/>
      <c r="F448" s="11" t="n"/>
      <c r="G448" s="17">
        <f>E448*F448</f>
        <v/>
      </c>
      <c r="H448" s="17">
        <f>IF(B448="",0,E448*IFERROR(VLOOKUP(B448,'Recetas y precios'!$A$5:$T$54,20,FALSE),0))</f>
        <v/>
      </c>
      <c r="I448" s="27" t="n"/>
      <c r="J448" s="17">
        <f>G448*I448</f>
        <v/>
      </c>
      <c r="K448" s="17">
        <f>G448-H448-J448</f>
        <v/>
      </c>
      <c r="L448" s="29">
        <f>IF(G448&gt;0,K448/G448,"")</f>
        <v/>
      </c>
      <c r="M448" s="6" t="n"/>
    </row>
    <row r="449">
      <c r="A449" s="32" t="n"/>
      <c r="B449" s="6" t="n"/>
      <c r="C449">
        <f>IF(B449="","",IFERROR(VLOOKUP(B449,'Recetas y precios'!$A$5:$B$54,2,FALSE),""))</f>
        <v/>
      </c>
      <c r="D449" s="6" t="n"/>
      <c r="E449" s="6" t="n"/>
      <c r="F449" s="11" t="n"/>
      <c r="G449" s="17">
        <f>E449*F449</f>
        <v/>
      </c>
      <c r="H449" s="17">
        <f>IF(B449="",0,E449*IFERROR(VLOOKUP(B449,'Recetas y precios'!$A$5:$T$54,20,FALSE),0))</f>
        <v/>
      </c>
      <c r="I449" s="27" t="n"/>
      <c r="J449" s="17">
        <f>G449*I449</f>
        <v/>
      </c>
      <c r="K449" s="17">
        <f>G449-H449-J449</f>
        <v/>
      </c>
      <c r="L449" s="29">
        <f>IF(G449&gt;0,K449/G449,"")</f>
        <v/>
      </c>
      <c r="M449" s="6" t="n"/>
    </row>
    <row r="450">
      <c r="A450" s="32" t="n"/>
      <c r="B450" s="6" t="n"/>
      <c r="C450">
        <f>IF(B450="","",IFERROR(VLOOKUP(B450,'Recetas y precios'!$A$5:$B$54,2,FALSE),""))</f>
        <v/>
      </c>
      <c r="D450" s="6" t="n"/>
      <c r="E450" s="6" t="n"/>
      <c r="F450" s="11" t="n"/>
      <c r="G450" s="17">
        <f>E450*F450</f>
        <v/>
      </c>
      <c r="H450" s="17">
        <f>IF(B450="",0,E450*IFERROR(VLOOKUP(B450,'Recetas y precios'!$A$5:$T$54,20,FALSE),0))</f>
        <v/>
      </c>
      <c r="I450" s="27" t="n"/>
      <c r="J450" s="17">
        <f>G450*I450</f>
        <v/>
      </c>
      <c r="K450" s="17">
        <f>G450-H450-J450</f>
        <v/>
      </c>
      <c r="L450" s="29">
        <f>IF(G450&gt;0,K450/G450,"")</f>
        <v/>
      </c>
      <c r="M450" s="6" t="n"/>
    </row>
    <row r="451">
      <c r="A451" s="32" t="n"/>
      <c r="B451" s="6" t="n"/>
      <c r="C451">
        <f>IF(B451="","",IFERROR(VLOOKUP(B451,'Recetas y precios'!$A$5:$B$54,2,FALSE),""))</f>
        <v/>
      </c>
      <c r="D451" s="6" t="n"/>
      <c r="E451" s="6" t="n"/>
      <c r="F451" s="11" t="n"/>
      <c r="G451" s="17">
        <f>E451*F451</f>
        <v/>
      </c>
      <c r="H451" s="17">
        <f>IF(B451="",0,E451*IFERROR(VLOOKUP(B451,'Recetas y precios'!$A$5:$T$54,20,FALSE),0))</f>
        <v/>
      </c>
      <c r="I451" s="27" t="n"/>
      <c r="J451" s="17">
        <f>G451*I451</f>
        <v/>
      </c>
      <c r="K451" s="17">
        <f>G451-H451-J451</f>
        <v/>
      </c>
      <c r="L451" s="29">
        <f>IF(G451&gt;0,K451/G451,"")</f>
        <v/>
      </c>
      <c r="M451" s="6" t="n"/>
    </row>
    <row r="452">
      <c r="A452" s="32" t="n"/>
      <c r="B452" s="6" t="n"/>
      <c r="C452">
        <f>IF(B452="","",IFERROR(VLOOKUP(B452,'Recetas y precios'!$A$5:$B$54,2,FALSE),""))</f>
        <v/>
      </c>
      <c r="D452" s="6" t="n"/>
      <c r="E452" s="6" t="n"/>
      <c r="F452" s="11" t="n"/>
      <c r="G452" s="17">
        <f>E452*F452</f>
        <v/>
      </c>
      <c r="H452" s="17">
        <f>IF(B452="",0,E452*IFERROR(VLOOKUP(B452,'Recetas y precios'!$A$5:$T$54,20,FALSE),0))</f>
        <v/>
      </c>
      <c r="I452" s="27" t="n"/>
      <c r="J452" s="17">
        <f>G452*I452</f>
        <v/>
      </c>
      <c r="K452" s="17">
        <f>G452-H452-J452</f>
        <v/>
      </c>
      <c r="L452" s="29">
        <f>IF(G452&gt;0,K452/G452,"")</f>
        <v/>
      </c>
      <c r="M452" s="6" t="n"/>
    </row>
    <row r="453">
      <c r="A453" s="32" t="n"/>
      <c r="B453" s="6" t="n"/>
      <c r="C453">
        <f>IF(B453="","",IFERROR(VLOOKUP(B453,'Recetas y precios'!$A$5:$B$54,2,FALSE),""))</f>
        <v/>
      </c>
      <c r="D453" s="6" t="n"/>
      <c r="E453" s="6" t="n"/>
      <c r="F453" s="11" t="n"/>
      <c r="G453" s="17">
        <f>E453*F453</f>
        <v/>
      </c>
      <c r="H453" s="17">
        <f>IF(B453="",0,E453*IFERROR(VLOOKUP(B453,'Recetas y precios'!$A$5:$T$54,20,FALSE),0))</f>
        <v/>
      </c>
      <c r="I453" s="27" t="n"/>
      <c r="J453" s="17">
        <f>G453*I453</f>
        <v/>
      </c>
      <c r="K453" s="17">
        <f>G453-H453-J453</f>
        <v/>
      </c>
      <c r="L453" s="29">
        <f>IF(G453&gt;0,K453/G453,"")</f>
        <v/>
      </c>
      <c r="M453" s="6" t="n"/>
    </row>
    <row r="454">
      <c r="A454" s="32" t="n"/>
      <c r="B454" s="6" t="n"/>
      <c r="C454">
        <f>IF(B454="","",IFERROR(VLOOKUP(B454,'Recetas y precios'!$A$5:$B$54,2,FALSE),""))</f>
        <v/>
      </c>
      <c r="D454" s="6" t="n"/>
      <c r="E454" s="6" t="n"/>
      <c r="F454" s="11" t="n"/>
      <c r="G454" s="17">
        <f>E454*F454</f>
        <v/>
      </c>
      <c r="H454" s="17">
        <f>IF(B454="",0,E454*IFERROR(VLOOKUP(B454,'Recetas y precios'!$A$5:$T$54,20,FALSE),0))</f>
        <v/>
      </c>
      <c r="I454" s="27" t="n"/>
      <c r="J454" s="17">
        <f>G454*I454</f>
        <v/>
      </c>
      <c r="K454" s="17">
        <f>G454-H454-J454</f>
        <v/>
      </c>
      <c r="L454" s="29">
        <f>IF(G454&gt;0,K454/G454,"")</f>
        <v/>
      </c>
      <c r="M454" s="6" t="n"/>
    </row>
    <row r="455">
      <c r="A455" s="32" t="n"/>
      <c r="B455" s="6" t="n"/>
      <c r="C455">
        <f>IF(B455="","",IFERROR(VLOOKUP(B455,'Recetas y precios'!$A$5:$B$54,2,FALSE),""))</f>
        <v/>
      </c>
      <c r="D455" s="6" t="n"/>
      <c r="E455" s="6" t="n"/>
      <c r="F455" s="11" t="n"/>
      <c r="G455" s="17">
        <f>E455*F455</f>
        <v/>
      </c>
      <c r="H455" s="17">
        <f>IF(B455="",0,E455*IFERROR(VLOOKUP(B455,'Recetas y precios'!$A$5:$T$54,20,FALSE),0))</f>
        <v/>
      </c>
      <c r="I455" s="27" t="n"/>
      <c r="J455" s="17">
        <f>G455*I455</f>
        <v/>
      </c>
      <c r="K455" s="17">
        <f>G455-H455-J455</f>
        <v/>
      </c>
      <c r="L455" s="29">
        <f>IF(G455&gt;0,K455/G455,"")</f>
        <v/>
      </c>
      <c r="M455" s="6" t="n"/>
    </row>
    <row r="456">
      <c r="A456" s="32" t="n"/>
      <c r="B456" s="6" t="n"/>
      <c r="C456">
        <f>IF(B456="","",IFERROR(VLOOKUP(B456,'Recetas y precios'!$A$5:$B$54,2,FALSE),""))</f>
        <v/>
      </c>
      <c r="D456" s="6" t="n"/>
      <c r="E456" s="6" t="n"/>
      <c r="F456" s="11" t="n"/>
      <c r="G456" s="17">
        <f>E456*F456</f>
        <v/>
      </c>
      <c r="H456" s="17">
        <f>IF(B456="",0,E456*IFERROR(VLOOKUP(B456,'Recetas y precios'!$A$5:$T$54,20,FALSE),0))</f>
        <v/>
      </c>
      <c r="I456" s="27" t="n"/>
      <c r="J456" s="17">
        <f>G456*I456</f>
        <v/>
      </c>
      <c r="K456" s="17">
        <f>G456-H456-J456</f>
        <v/>
      </c>
      <c r="L456" s="29">
        <f>IF(G456&gt;0,K456/G456,"")</f>
        <v/>
      </c>
      <c r="M456" s="6" t="n"/>
    </row>
    <row r="457">
      <c r="A457" s="32" t="n"/>
      <c r="B457" s="6" t="n"/>
      <c r="C457">
        <f>IF(B457="","",IFERROR(VLOOKUP(B457,'Recetas y precios'!$A$5:$B$54,2,FALSE),""))</f>
        <v/>
      </c>
      <c r="D457" s="6" t="n"/>
      <c r="E457" s="6" t="n"/>
      <c r="F457" s="11" t="n"/>
      <c r="G457" s="17">
        <f>E457*F457</f>
        <v/>
      </c>
      <c r="H457" s="17">
        <f>IF(B457="",0,E457*IFERROR(VLOOKUP(B457,'Recetas y precios'!$A$5:$T$54,20,FALSE),0))</f>
        <v/>
      </c>
      <c r="I457" s="27" t="n"/>
      <c r="J457" s="17">
        <f>G457*I457</f>
        <v/>
      </c>
      <c r="K457" s="17">
        <f>G457-H457-J457</f>
        <v/>
      </c>
      <c r="L457" s="29">
        <f>IF(G457&gt;0,K457/G457,"")</f>
        <v/>
      </c>
      <c r="M457" s="6" t="n"/>
    </row>
    <row r="458">
      <c r="A458" s="32" t="n"/>
      <c r="B458" s="6" t="n"/>
      <c r="C458">
        <f>IF(B458="","",IFERROR(VLOOKUP(B458,'Recetas y precios'!$A$5:$B$54,2,FALSE),""))</f>
        <v/>
      </c>
      <c r="D458" s="6" t="n"/>
      <c r="E458" s="6" t="n"/>
      <c r="F458" s="11" t="n"/>
      <c r="G458" s="17">
        <f>E458*F458</f>
        <v/>
      </c>
      <c r="H458" s="17">
        <f>IF(B458="",0,E458*IFERROR(VLOOKUP(B458,'Recetas y precios'!$A$5:$T$54,20,FALSE),0))</f>
        <v/>
      </c>
      <c r="I458" s="27" t="n"/>
      <c r="J458" s="17">
        <f>G458*I458</f>
        <v/>
      </c>
      <c r="K458" s="17">
        <f>G458-H458-J458</f>
        <v/>
      </c>
      <c r="L458" s="29">
        <f>IF(G458&gt;0,K458/G458,"")</f>
        <v/>
      </c>
      <c r="M458" s="6" t="n"/>
    </row>
    <row r="459">
      <c r="A459" s="32" t="n"/>
      <c r="B459" s="6" t="n"/>
      <c r="C459">
        <f>IF(B459="","",IFERROR(VLOOKUP(B459,'Recetas y precios'!$A$5:$B$54,2,FALSE),""))</f>
        <v/>
      </c>
      <c r="D459" s="6" t="n"/>
      <c r="E459" s="6" t="n"/>
      <c r="F459" s="11" t="n"/>
      <c r="G459" s="17">
        <f>E459*F459</f>
        <v/>
      </c>
      <c r="H459" s="17">
        <f>IF(B459="",0,E459*IFERROR(VLOOKUP(B459,'Recetas y precios'!$A$5:$T$54,20,FALSE),0))</f>
        <v/>
      </c>
      <c r="I459" s="27" t="n"/>
      <c r="J459" s="17">
        <f>G459*I459</f>
        <v/>
      </c>
      <c r="K459" s="17">
        <f>G459-H459-J459</f>
        <v/>
      </c>
      <c r="L459" s="29">
        <f>IF(G459&gt;0,K459/G459,"")</f>
        <v/>
      </c>
      <c r="M459" s="6" t="n"/>
    </row>
    <row r="460">
      <c r="A460" s="32" t="n"/>
      <c r="B460" s="6" t="n"/>
      <c r="C460">
        <f>IF(B460="","",IFERROR(VLOOKUP(B460,'Recetas y precios'!$A$5:$B$54,2,FALSE),""))</f>
        <v/>
      </c>
      <c r="D460" s="6" t="n"/>
      <c r="E460" s="6" t="n"/>
      <c r="F460" s="11" t="n"/>
      <c r="G460" s="17">
        <f>E460*F460</f>
        <v/>
      </c>
      <c r="H460" s="17">
        <f>IF(B460="",0,E460*IFERROR(VLOOKUP(B460,'Recetas y precios'!$A$5:$T$54,20,FALSE),0))</f>
        <v/>
      </c>
      <c r="I460" s="27" t="n"/>
      <c r="J460" s="17">
        <f>G460*I460</f>
        <v/>
      </c>
      <c r="K460" s="17">
        <f>G460-H460-J460</f>
        <v/>
      </c>
      <c r="L460" s="29">
        <f>IF(G460&gt;0,K460/G460,"")</f>
        <v/>
      </c>
      <c r="M460" s="6" t="n"/>
    </row>
    <row r="461">
      <c r="A461" s="32" t="n"/>
      <c r="B461" s="6" t="n"/>
      <c r="C461">
        <f>IF(B461="","",IFERROR(VLOOKUP(B461,'Recetas y precios'!$A$5:$B$54,2,FALSE),""))</f>
        <v/>
      </c>
      <c r="D461" s="6" t="n"/>
      <c r="E461" s="6" t="n"/>
      <c r="F461" s="11" t="n"/>
      <c r="G461" s="17">
        <f>E461*F461</f>
        <v/>
      </c>
      <c r="H461" s="17">
        <f>IF(B461="",0,E461*IFERROR(VLOOKUP(B461,'Recetas y precios'!$A$5:$T$54,20,FALSE),0))</f>
        <v/>
      </c>
      <c r="I461" s="27" t="n"/>
      <c r="J461" s="17">
        <f>G461*I461</f>
        <v/>
      </c>
      <c r="K461" s="17">
        <f>G461-H461-J461</f>
        <v/>
      </c>
      <c r="L461" s="29">
        <f>IF(G461&gt;0,K461/G461,"")</f>
        <v/>
      </c>
      <c r="M461" s="6" t="n"/>
    </row>
    <row r="462">
      <c r="A462" s="32" t="n"/>
      <c r="B462" s="6" t="n"/>
      <c r="C462">
        <f>IF(B462="","",IFERROR(VLOOKUP(B462,'Recetas y precios'!$A$5:$B$54,2,FALSE),""))</f>
        <v/>
      </c>
      <c r="D462" s="6" t="n"/>
      <c r="E462" s="6" t="n"/>
      <c r="F462" s="11" t="n"/>
      <c r="G462" s="17">
        <f>E462*F462</f>
        <v/>
      </c>
      <c r="H462" s="17">
        <f>IF(B462="",0,E462*IFERROR(VLOOKUP(B462,'Recetas y precios'!$A$5:$T$54,20,FALSE),0))</f>
        <v/>
      </c>
      <c r="I462" s="27" t="n"/>
      <c r="J462" s="17">
        <f>G462*I462</f>
        <v/>
      </c>
      <c r="K462" s="17">
        <f>G462-H462-J462</f>
        <v/>
      </c>
      <c r="L462" s="29">
        <f>IF(G462&gt;0,K462/G462,"")</f>
        <v/>
      </c>
      <c r="M462" s="6" t="n"/>
    </row>
    <row r="463">
      <c r="A463" s="32" t="n"/>
      <c r="B463" s="6" t="n"/>
      <c r="C463">
        <f>IF(B463="","",IFERROR(VLOOKUP(B463,'Recetas y precios'!$A$5:$B$54,2,FALSE),""))</f>
        <v/>
      </c>
      <c r="D463" s="6" t="n"/>
      <c r="E463" s="6" t="n"/>
      <c r="F463" s="11" t="n"/>
      <c r="G463" s="17">
        <f>E463*F463</f>
        <v/>
      </c>
      <c r="H463" s="17">
        <f>IF(B463="",0,E463*IFERROR(VLOOKUP(B463,'Recetas y precios'!$A$5:$T$54,20,FALSE),0))</f>
        <v/>
      </c>
      <c r="I463" s="27" t="n"/>
      <c r="J463" s="17">
        <f>G463*I463</f>
        <v/>
      </c>
      <c r="K463" s="17">
        <f>G463-H463-J463</f>
        <v/>
      </c>
      <c r="L463" s="29">
        <f>IF(G463&gt;0,K463/G463,"")</f>
        <v/>
      </c>
      <c r="M463" s="6" t="n"/>
    </row>
    <row r="464">
      <c r="A464" s="32" t="n"/>
      <c r="B464" s="6" t="n"/>
      <c r="C464">
        <f>IF(B464="","",IFERROR(VLOOKUP(B464,'Recetas y precios'!$A$5:$B$54,2,FALSE),""))</f>
        <v/>
      </c>
      <c r="D464" s="6" t="n"/>
      <c r="E464" s="6" t="n"/>
      <c r="F464" s="11" t="n"/>
      <c r="G464" s="17">
        <f>E464*F464</f>
        <v/>
      </c>
      <c r="H464" s="17">
        <f>IF(B464="",0,E464*IFERROR(VLOOKUP(B464,'Recetas y precios'!$A$5:$T$54,20,FALSE),0))</f>
        <v/>
      </c>
      <c r="I464" s="27" t="n"/>
      <c r="J464" s="17">
        <f>G464*I464</f>
        <v/>
      </c>
      <c r="K464" s="17">
        <f>G464-H464-J464</f>
        <v/>
      </c>
      <c r="L464" s="29">
        <f>IF(G464&gt;0,K464/G464,"")</f>
        <v/>
      </c>
      <c r="M464" s="6" t="n"/>
    </row>
    <row r="465">
      <c r="A465" s="32" t="n"/>
      <c r="B465" s="6" t="n"/>
      <c r="C465">
        <f>IF(B465="","",IFERROR(VLOOKUP(B465,'Recetas y precios'!$A$5:$B$54,2,FALSE),""))</f>
        <v/>
      </c>
      <c r="D465" s="6" t="n"/>
      <c r="E465" s="6" t="n"/>
      <c r="F465" s="11" t="n"/>
      <c r="G465" s="17">
        <f>E465*F465</f>
        <v/>
      </c>
      <c r="H465" s="17">
        <f>IF(B465="",0,E465*IFERROR(VLOOKUP(B465,'Recetas y precios'!$A$5:$T$54,20,FALSE),0))</f>
        <v/>
      </c>
      <c r="I465" s="27" t="n"/>
      <c r="J465" s="17">
        <f>G465*I465</f>
        <v/>
      </c>
      <c r="K465" s="17">
        <f>G465-H465-J465</f>
        <v/>
      </c>
      <c r="L465" s="29">
        <f>IF(G465&gt;0,K465/G465,"")</f>
        <v/>
      </c>
      <c r="M465" s="6" t="n"/>
    </row>
    <row r="466">
      <c r="A466" s="32" t="n"/>
      <c r="B466" s="6" t="n"/>
      <c r="C466">
        <f>IF(B466="","",IFERROR(VLOOKUP(B466,'Recetas y precios'!$A$5:$B$54,2,FALSE),""))</f>
        <v/>
      </c>
      <c r="D466" s="6" t="n"/>
      <c r="E466" s="6" t="n"/>
      <c r="F466" s="11" t="n"/>
      <c r="G466" s="17">
        <f>E466*F466</f>
        <v/>
      </c>
      <c r="H466" s="17">
        <f>IF(B466="",0,E466*IFERROR(VLOOKUP(B466,'Recetas y precios'!$A$5:$T$54,20,FALSE),0))</f>
        <v/>
      </c>
      <c r="I466" s="27" t="n"/>
      <c r="J466" s="17">
        <f>G466*I466</f>
        <v/>
      </c>
      <c r="K466" s="17">
        <f>G466-H466-J466</f>
        <v/>
      </c>
      <c r="L466" s="29">
        <f>IF(G466&gt;0,K466/G466,"")</f>
        <v/>
      </c>
      <c r="M466" s="6" t="n"/>
    </row>
    <row r="467">
      <c r="A467" s="32" t="n"/>
      <c r="B467" s="6" t="n"/>
      <c r="C467">
        <f>IF(B467="","",IFERROR(VLOOKUP(B467,'Recetas y precios'!$A$5:$B$54,2,FALSE),""))</f>
        <v/>
      </c>
      <c r="D467" s="6" t="n"/>
      <c r="E467" s="6" t="n"/>
      <c r="F467" s="11" t="n"/>
      <c r="G467" s="17">
        <f>E467*F467</f>
        <v/>
      </c>
      <c r="H467" s="17">
        <f>IF(B467="",0,E467*IFERROR(VLOOKUP(B467,'Recetas y precios'!$A$5:$T$54,20,FALSE),0))</f>
        <v/>
      </c>
      <c r="I467" s="27" t="n"/>
      <c r="J467" s="17">
        <f>G467*I467</f>
        <v/>
      </c>
      <c r="K467" s="17">
        <f>G467-H467-J467</f>
        <v/>
      </c>
      <c r="L467" s="29">
        <f>IF(G467&gt;0,K467/G467,"")</f>
        <v/>
      </c>
      <c r="M467" s="6" t="n"/>
    </row>
    <row r="468">
      <c r="A468" s="32" t="n"/>
      <c r="B468" s="6" t="n"/>
      <c r="C468">
        <f>IF(B468="","",IFERROR(VLOOKUP(B468,'Recetas y precios'!$A$5:$B$54,2,FALSE),""))</f>
        <v/>
      </c>
      <c r="D468" s="6" t="n"/>
      <c r="E468" s="6" t="n"/>
      <c r="F468" s="11" t="n"/>
      <c r="G468" s="17">
        <f>E468*F468</f>
        <v/>
      </c>
      <c r="H468" s="17">
        <f>IF(B468="",0,E468*IFERROR(VLOOKUP(B468,'Recetas y precios'!$A$5:$T$54,20,FALSE),0))</f>
        <v/>
      </c>
      <c r="I468" s="27" t="n"/>
      <c r="J468" s="17">
        <f>G468*I468</f>
        <v/>
      </c>
      <c r="K468" s="17">
        <f>G468-H468-J468</f>
        <v/>
      </c>
      <c r="L468" s="29">
        <f>IF(G468&gt;0,K468/G468,"")</f>
        <v/>
      </c>
      <c r="M468" s="6" t="n"/>
    </row>
    <row r="469">
      <c r="A469" s="32" t="n"/>
      <c r="B469" s="6" t="n"/>
      <c r="C469">
        <f>IF(B469="","",IFERROR(VLOOKUP(B469,'Recetas y precios'!$A$5:$B$54,2,FALSE),""))</f>
        <v/>
      </c>
      <c r="D469" s="6" t="n"/>
      <c r="E469" s="6" t="n"/>
      <c r="F469" s="11" t="n"/>
      <c r="G469" s="17">
        <f>E469*F469</f>
        <v/>
      </c>
      <c r="H469" s="17">
        <f>IF(B469="",0,E469*IFERROR(VLOOKUP(B469,'Recetas y precios'!$A$5:$T$54,20,FALSE),0))</f>
        <v/>
      </c>
      <c r="I469" s="27" t="n"/>
      <c r="J469" s="17">
        <f>G469*I469</f>
        <v/>
      </c>
      <c r="K469" s="17">
        <f>G469-H469-J469</f>
        <v/>
      </c>
      <c r="L469" s="29">
        <f>IF(G469&gt;0,K469/G469,"")</f>
        <v/>
      </c>
      <c r="M469" s="6" t="n"/>
    </row>
    <row r="470">
      <c r="A470" s="32" t="n"/>
      <c r="B470" s="6" t="n"/>
      <c r="C470">
        <f>IF(B470="","",IFERROR(VLOOKUP(B470,'Recetas y precios'!$A$5:$B$54,2,FALSE),""))</f>
        <v/>
      </c>
      <c r="D470" s="6" t="n"/>
      <c r="E470" s="6" t="n"/>
      <c r="F470" s="11" t="n"/>
      <c r="G470" s="17">
        <f>E470*F470</f>
        <v/>
      </c>
      <c r="H470" s="17">
        <f>IF(B470="",0,E470*IFERROR(VLOOKUP(B470,'Recetas y precios'!$A$5:$T$54,20,FALSE),0))</f>
        <v/>
      </c>
      <c r="I470" s="27" t="n"/>
      <c r="J470" s="17">
        <f>G470*I470</f>
        <v/>
      </c>
      <c r="K470" s="17">
        <f>G470-H470-J470</f>
        <v/>
      </c>
      <c r="L470" s="29">
        <f>IF(G470&gt;0,K470/G470,"")</f>
        <v/>
      </c>
      <c r="M470" s="6" t="n"/>
    </row>
    <row r="471">
      <c r="A471" s="32" t="n"/>
      <c r="B471" s="6" t="n"/>
      <c r="C471">
        <f>IF(B471="","",IFERROR(VLOOKUP(B471,'Recetas y precios'!$A$5:$B$54,2,FALSE),""))</f>
        <v/>
      </c>
      <c r="D471" s="6" t="n"/>
      <c r="E471" s="6" t="n"/>
      <c r="F471" s="11" t="n"/>
      <c r="G471" s="17">
        <f>E471*F471</f>
        <v/>
      </c>
      <c r="H471" s="17">
        <f>IF(B471="",0,E471*IFERROR(VLOOKUP(B471,'Recetas y precios'!$A$5:$T$54,20,FALSE),0))</f>
        <v/>
      </c>
      <c r="I471" s="27" t="n"/>
      <c r="J471" s="17">
        <f>G471*I471</f>
        <v/>
      </c>
      <c r="K471" s="17">
        <f>G471-H471-J471</f>
        <v/>
      </c>
      <c r="L471" s="29">
        <f>IF(G471&gt;0,K471/G471,"")</f>
        <v/>
      </c>
      <c r="M471" s="6" t="n"/>
    </row>
    <row r="472">
      <c r="A472" s="32" t="n"/>
      <c r="B472" s="6" t="n"/>
      <c r="C472">
        <f>IF(B472="","",IFERROR(VLOOKUP(B472,'Recetas y precios'!$A$5:$B$54,2,FALSE),""))</f>
        <v/>
      </c>
      <c r="D472" s="6" t="n"/>
      <c r="E472" s="6" t="n"/>
      <c r="F472" s="11" t="n"/>
      <c r="G472" s="17">
        <f>E472*F472</f>
        <v/>
      </c>
      <c r="H472" s="17">
        <f>IF(B472="",0,E472*IFERROR(VLOOKUP(B472,'Recetas y precios'!$A$5:$T$54,20,FALSE),0))</f>
        <v/>
      </c>
      <c r="I472" s="27" t="n"/>
      <c r="J472" s="17">
        <f>G472*I472</f>
        <v/>
      </c>
      <c r="K472" s="17">
        <f>G472-H472-J472</f>
        <v/>
      </c>
      <c r="L472" s="29">
        <f>IF(G472&gt;0,K472/G472,"")</f>
        <v/>
      </c>
      <c r="M472" s="6" t="n"/>
    </row>
    <row r="473">
      <c r="A473" s="32" t="n"/>
      <c r="B473" s="6" t="n"/>
      <c r="C473">
        <f>IF(B473="","",IFERROR(VLOOKUP(B473,'Recetas y precios'!$A$5:$B$54,2,FALSE),""))</f>
        <v/>
      </c>
      <c r="D473" s="6" t="n"/>
      <c r="E473" s="6" t="n"/>
      <c r="F473" s="11" t="n"/>
      <c r="G473" s="17">
        <f>E473*F473</f>
        <v/>
      </c>
      <c r="H473" s="17">
        <f>IF(B473="",0,E473*IFERROR(VLOOKUP(B473,'Recetas y precios'!$A$5:$T$54,20,FALSE),0))</f>
        <v/>
      </c>
      <c r="I473" s="27" t="n"/>
      <c r="J473" s="17">
        <f>G473*I473</f>
        <v/>
      </c>
      <c r="K473" s="17">
        <f>G473-H473-J473</f>
        <v/>
      </c>
      <c r="L473" s="29">
        <f>IF(G473&gt;0,K473/G473,"")</f>
        <v/>
      </c>
      <c r="M473" s="6" t="n"/>
    </row>
    <row r="474">
      <c r="A474" s="32" t="n"/>
      <c r="B474" s="6" t="n"/>
      <c r="C474">
        <f>IF(B474="","",IFERROR(VLOOKUP(B474,'Recetas y precios'!$A$5:$B$54,2,FALSE),""))</f>
        <v/>
      </c>
      <c r="D474" s="6" t="n"/>
      <c r="E474" s="6" t="n"/>
      <c r="F474" s="11" t="n"/>
      <c r="G474" s="17">
        <f>E474*F474</f>
        <v/>
      </c>
      <c r="H474" s="17">
        <f>IF(B474="",0,E474*IFERROR(VLOOKUP(B474,'Recetas y precios'!$A$5:$T$54,20,FALSE),0))</f>
        <v/>
      </c>
      <c r="I474" s="27" t="n"/>
      <c r="J474" s="17">
        <f>G474*I474</f>
        <v/>
      </c>
      <c r="K474" s="17">
        <f>G474-H474-J474</f>
        <v/>
      </c>
      <c r="L474" s="29">
        <f>IF(G474&gt;0,K474/G474,"")</f>
        <v/>
      </c>
      <c r="M474" s="6" t="n"/>
    </row>
    <row r="475">
      <c r="A475" s="32" t="n"/>
      <c r="B475" s="6" t="n"/>
      <c r="C475">
        <f>IF(B475="","",IFERROR(VLOOKUP(B475,'Recetas y precios'!$A$5:$B$54,2,FALSE),""))</f>
        <v/>
      </c>
      <c r="D475" s="6" t="n"/>
      <c r="E475" s="6" t="n"/>
      <c r="F475" s="11" t="n"/>
      <c r="G475" s="17">
        <f>E475*F475</f>
        <v/>
      </c>
      <c r="H475" s="17">
        <f>IF(B475="",0,E475*IFERROR(VLOOKUP(B475,'Recetas y precios'!$A$5:$T$54,20,FALSE),0))</f>
        <v/>
      </c>
      <c r="I475" s="27" t="n"/>
      <c r="J475" s="17">
        <f>G475*I475</f>
        <v/>
      </c>
      <c r="K475" s="17">
        <f>G475-H475-J475</f>
        <v/>
      </c>
      <c r="L475" s="29">
        <f>IF(G475&gt;0,K475/G475,"")</f>
        <v/>
      </c>
      <c r="M475" s="6" t="n"/>
    </row>
    <row r="476">
      <c r="A476" s="32" t="n"/>
      <c r="B476" s="6" t="n"/>
      <c r="C476">
        <f>IF(B476="","",IFERROR(VLOOKUP(B476,'Recetas y precios'!$A$5:$B$54,2,FALSE),""))</f>
        <v/>
      </c>
      <c r="D476" s="6" t="n"/>
      <c r="E476" s="6" t="n"/>
      <c r="F476" s="11" t="n"/>
      <c r="G476" s="17">
        <f>E476*F476</f>
        <v/>
      </c>
      <c r="H476" s="17">
        <f>IF(B476="",0,E476*IFERROR(VLOOKUP(B476,'Recetas y precios'!$A$5:$T$54,20,FALSE),0))</f>
        <v/>
      </c>
      <c r="I476" s="27" t="n"/>
      <c r="J476" s="17">
        <f>G476*I476</f>
        <v/>
      </c>
      <c r="K476" s="17">
        <f>G476-H476-J476</f>
        <v/>
      </c>
      <c r="L476" s="29">
        <f>IF(G476&gt;0,K476/G476,"")</f>
        <v/>
      </c>
      <c r="M476" s="6" t="n"/>
    </row>
    <row r="477">
      <c r="A477" s="32" t="n"/>
      <c r="B477" s="6" t="n"/>
      <c r="C477">
        <f>IF(B477="","",IFERROR(VLOOKUP(B477,'Recetas y precios'!$A$5:$B$54,2,FALSE),""))</f>
        <v/>
      </c>
      <c r="D477" s="6" t="n"/>
      <c r="E477" s="6" t="n"/>
      <c r="F477" s="11" t="n"/>
      <c r="G477" s="17">
        <f>E477*F477</f>
        <v/>
      </c>
      <c r="H477" s="17">
        <f>IF(B477="",0,E477*IFERROR(VLOOKUP(B477,'Recetas y precios'!$A$5:$T$54,20,FALSE),0))</f>
        <v/>
      </c>
      <c r="I477" s="27" t="n"/>
      <c r="J477" s="17">
        <f>G477*I477</f>
        <v/>
      </c>
      <c r="K477" s="17">
        <f>G477-H477-J477</f>
        <v/>
      </c>
      <c r="L477" s="29">
        <f>IF(G477&gt;0,K477/G477,"")</f>
        <v/>
      </c>
      <c r="M477" s="6" t="n"/>
    </row>
    <row r="478">
      <c r="A478" s="32" t="n"/>
      <c r="B478" s="6" t="n"/>
      <c r="C478">
        <f>IF(B478="","",IFERROR(VLOOKUP(B478,'Recetas y precios'!$A$5:$B$54,2,FALSE),""))</f>
        <v/>
      </c>
      <c r="D478" s="6" t="n"/>
      <c r="E478" s="6" t="n"/>
      <c r="F478" s="11" t="n"/>
      <c r="G478" s="17">
        <f>E478*F478</f>
        <v/>
      </c>
      <c r="H478" s="17">
        <f>IF(B478="",0,E478*IFERROR(VLOOKUP(B478,'Recetas y precios'!$A$5:$T$54,20,FALSE),0))</f>
        <v/>
      </c>
      <c r="I478" s="27" t="n"/>
      <c r="J478" s="17">
        <f>G478*I478</f>
        <v/>
      </c>
      <c r="K478" s="17">
        <f>G478-H478-J478</f>
        <v/>
      </c>
      <c r="L478" s="29">
        <f>IF(G478&gt;0,K478/G478,"")</f>
        <v/>
      </c>
      <c r="M478" s="6" t="n"/>
    </row>
    <row r="479">
      <c r="A479" s="32" t="n"/>
      <c r="B479" s="6" t="n"/>
      <c r="C479">
        <f>IF(B479="","",IFERROR(VLOOKUP(B479,'Recetas y precios'!$A$5:$B$54,2,FALSE),""))</f>
        <v/>
      </c>
      <c r="D479" s="6" t="n"/>
      <c r="E479" s="6" t="n"/>
      <c r="F479" s="11" t="n"/>
      <c r="G479" s="17">
        <f>E479*F479</f>
        <v/>
      </c>
      <c r="H479" s="17">
        <f>IF(B479="",0,E479*IFERROR(VLOOKUP(B479,'Recetas y precios'!$A$5:$T$54,20,FALSE),0))</f>
        <v/>
      </c>
      <c r="I479" s="27" t="n"/>
      <c r="J479" s="17">
        <f>G479*I479</f>
        <v/>
      </c>
      <c r="K479" s="17">
        <f>G479-H479-J479</f>
        <v/>
      </c>
      <c r="L479" s="29">
        <f>IF(G479&gt;0,K479/G479,"")</f>
        <v/>
      </c>
      <c r="M479" s="6" t="n"/>
    </row>
    <row r="480">
      <c r="A480" s="32" t="n"/>
      <c r="B480" s="6" t="n"/>
      <c r="C480">
        <f>IF(B480="","",IFERROR(VLOOKUP(B480,'Recetas y precios'!$A$5:$B$54,2,FALSE),""))</f>
        <v/>
      </c>
      <c r="D480" s="6" t="n"/>
      <c r="E480" s="6" t="n"/>
      <c r="F480" s="11" t="n"/>
      <c r="G480" s="17">
        <f>E480*F480</f>
        <v/>
      </c>
      <c r="H480" s="17">
        <f>IF(B480="",0,E480*IFERROR(VLOOKUP(B480,'Recetas y precios'!$A$5:$T$54,20,FALSE),0))</f>
        <v/>
      </c>
      <c r="I480" s="27" t="n"/>
      <c r="J480" s="17">
        <f>G480*I480</f>
        <v/>
      </c>
      <c r="K480" s="17">
        <f>G480-H480-J480</f>
        <v/>
      </c>
      <c r="L480" s="29">
        <f>IF(G480&gt;0,K480/G480,"")</f>
        <v/>
      </c>
      <c r="M480" s="6" t="n"/>
    </row>
    <row r="481">
      <c r="A481" s="32" t="n"/>
      <c r="B481" s="6" t="n"/>
      <c r="C481">
        <f>IF(B481="","",IFERROR(VLOOKUP(B481,'Recetas y precios'!$A$5:$B$54,2,FALSE),""))</f>
        <v/>
      </c>
      <c r="D481" s="6" t="n"/>
      <c r="E481" s="6" t="n"/>
      <c r="F481" s="11" t="n"/>
      <c r="G481" s="17">
        <f>E481*F481</f>
        <v/>
      </c>
      <c r="H481" s="17">
        <f>IF(B481="",0,E481*IFERROR(VLOOKUP(B481,'Recetas y precios'!$A$5:$T$54,20,FALSE),0))</f>
        <v/>
      </c>
      <c r="I481" s="27" t="n"/>
      <c r="J481" s="17">
        <f>G481*I481</f>
        <v/>
      </c>
      <c r="K481" s="17">
        <f>G481-H481-J481</f>
        <v/>
      </c>
      <c r="L481" s="29">
        <f>IF(G481&gt;0,K481/G481,"")</f>
        <v/>
      </c>
      <c r="M481" s="6" t="n"/>
    </row>
    <row r="482">
      <c r="A482" s="32" t="n"/>
      <c r="B482" s="6" t="n"/>
      <c r="C482">
        <f>IF(B482="","",IFERROR(VLOOKUP(B482,'Recetas y precios'!$A$5:$B$54,2,FALSE),""))</f>
        <v/>
      </c>
      <c r="D482" s="6" t="n"/>
      <c r="E482" s="6" t="n"/>
      <c r="F482" s="11" t="n"/>
      <c r="G482" s="17">
        <f>E482*F482</f>
        <v/>
      </c>
      <c r="H482" s="17">
        <f>IF(B482="",0,E482*IFERROR(VLOOKUP(B482,'Recetas y precios'!$A$5:$T$54,20,FALSE),0))</f>
        <v/>
      </c>
      <c r="I482" s="27" t="n"/>
      <c r="J482" s="17">
        <f>G482*I482</f>
        <v/>
      </c>
      <c r="K482" s="17">
        <f>G482-H482-J482</f>
        <v/>
      </c>
      <c r="L482" s="29">
        <f>IF(G482&gt;0,K482/G482,"")</f>
        <v/>
      </c>
      <c r="M482" s="6" t="n"/>
    </row>
    <row r="483">
      <c r="A483" s="32" t="n"/>
      <c r="B483" s="6" t="n"/>
      <c r="C483">
        <f>IF(B483="","",IFERROR(VLOOKUP(B483,'Recetas y precios'!$A$5:$B$54,2,FALSE),""))</f>
        <v/>
      </c>
      <c r="D483" s="6" t="n"/>
      <c r="E483" s="6" t="n"/>
      <c r="F483" s="11" t="n"/>
      <c r="G483" s="17">
        <f>E483*F483</f>
        <v/>
      </c>
      <c r="H483" s="17">
        <f>IF(B483="",0,E483*IFERROR(VLOOKUP(B483,'Recetas y precios'!$A$5:$T$54,20,FALSE),0))</f>
        <v/>
      </c>
      <c r="I483" s="27" t="n"/>
      <c r="J483" s="17">
        <f>G483*I483</f>
        <v/>
      </c>
      <c r="K483" s="17">
        <f>G483-H483-J483</f>
        <v/>
      </c>
      <c r="L483" s="29">
        <f>IF(G483&gt;0,K483/G483,"")</f>
        <v/>
      </c>
      <c r="M483" s="6" t="n"/>
    </row>
    <row r="484">
      <c r="A484" s="32" t="n"/>
      <c r="B484" s="6" t="n"/>
      <c r="C484">
        <f>IF(B484="","",IFERROR(VLOOKUP(B484,'Recetas y precios'!$A$5:$B$54,2,FALSE),""))</f>
        <v/>
      </c>
      <c r="D484" s="6" t="n"/>
      <c r="E484" s="6" t="n"/>
      <c r="F484" s="11" t="n"/>
      <c r="G484" s="17">
        <f>E484*F484</f>
        <v/>
      </c>
      <c r="H484" s="17">
        <f>IF(B484="",0,E484*IFERROR(VLOOKUP(B484,'Recetas y precios'!$A$5:$T$54,20,FALSE),0))</f>
        <v/>
      </c>
      <c r="I484" s="27" t="n"/>
      <c r="J484" s="17">
        <f>G484*I484</f>
        <v/>
      </c>
      <c r="K484" s="17">
        <f>G484-H484-J484</f>
        <v/>
      </c>
      <c r="L484" s="29">
        <f>IF(G484&gt;0,K484/G484,"")</f>
        <v/>
      </c>
      <c r="M484" s="6" t="n"/>
    </row>
    <row r="485">
      <c r="A485" s="32" t="n"/>
      <c r="B485" s="6" t="n"/>
      <c r="C485">
        <f>IF(B485="","",IFERROR(VLOOKUP(B485,'Recetas y precios'!$A$5:$B$54,2,FALSE),""))</f>
        <v/>
      </c>
      <c r="D485" s="6" t="n"/>
      <c r="E485" s="6" t="n"/>
      <c r="F485" s="11" t="n"/>
      <c r="G485" s="17">
        <f>E485*F485</f>
        <v/>
      </c>
      <c r="H485" s="17">
        <f>IF(B485="",0,E485*IFERROR(VLOOKUP(B485,'Recetas y precios'!$A$5:$T$54,20,FALSE),0))</f>
        <v/>
      </c>
      <c r="I485" s="27" t="n"/>
      <c r="J485" s="17">
        <f>G485*I485</f>
        <v/>
      </c>
      <c r="K485" s="17">
        <f>G485-H485-J485</f>
        <v/>
      </c>
      <c r="L485" s="29">
        <f>IF(G485&gt;0,K485/G485,"")</f>
        <v/>
      </c>
      <c r="M485" s="6" t="n"/>
    </row>
    <row r="486">
      <c r="A486" s="32" t="n"/>
      <c r="B486" s="6" t="n"/>
      <c r="C486">
        <f>IF(B486="","",IFERROR(VLOOKUP(B486,'Recetas y precios'!$A$5:$B$54,2,FALSE),""))</f>
        <v/>
      </c>
      <c r="D486" s="6" t="n"/>
      <c r="E486" s="6" t="n"/>
      <c r="F486" s="11" t="n"/>
      <c r="G486" s="17">
        <f>E486*F486</f>
        <v/>
      </c>
      <c r="H486" s="17">
        <f>IF(B486="",0,E486*IFERROR(VLOOKUP(B486,'Recetas y precios'!$A$5:$T$54,20,FALSE),0))</f>
        <v/>
      </c>
      <c r="I486" s="27" t="n"/>
      <c r="J486" s="17">
        <f>G486*I486</f>
        <v/>
      </c>
      <c r="K486" s="17">
        <f>G486-H486-J486</f>
        <v/>
      </c>
      <c r="L486" s="29">
        <f>IF(G486&gt;0,K486/G486,"")</f>
        <v/>
      </c>
      <c r="M486" s="6" t="n"/>
    </row>
    <row r="487">
      <c r="A487" s="32" t="n"/>
      <c r="B487" s="6" t="n"/>
      <c r="C487">
        <f>IF(B487="","",IFERROR(VLOOKUP(B487,'Recetas y precios'!$A$5:$B$54,2,FALSE),""))</f>
        <v/>
      </c>
      <c r="D487" s="6" t="n"/>
      <c r="E487" s="6" t="n"/>
      <c r="F487" s="11" t="n"/>
      <c r="G487" s="17">
        <f>E487*F487</f>
        <v/>
      </c>
      <c r="H487" s="17">
        <f>IF(B487="",0,E487*IFERROR(VLOOKUP(B487,'Recetas y precios'!$A$5:$T$54,20,FALSE),0))</f>
        <v/>
      </c>
      <c r="I487" s="27" t="n"/>
      <c r="J487" s="17">
        <f>G487*I487</f>
        <v/>
      </c>
      <c r="K487" s="17">
        <f>G487-H487-J487</f>
        <v/>
      </c>
      <c r="L487" s="29">
        <f>IF(G487&gt;0,K487/G487,"")</f>
        <v/>
      </c>
      <c r="M487" s="6" t="n"/>
    </row>
    <row r="488">
      <c r="A488" s="32" t="n"/>
      <c r="B488" s="6" t="n"/>
      <c r="C488">
        <f>IF(B488="","",IFERROR(VLOOKUP(B488,'Recetas y precios'!$A$5:$B$54,2,FALSE),""))</f>
        <v/>
      </c>
      <c r="D488" s="6" t="n"/>
      <c r="E488" s="6" t="n"/>
      <c r="F488" s="11" t="n"/>
      <c r="G488" s="17">
        <f>E488*F488</f>
        <v/>
      </c>
      <c r="H488" s="17">
        <f>IF(B488="",0,E488*IFERROR(VLOOKUP(B488,'Recetas y precios'!$A$5:$T$54,20,FALSE),0))</f>
        <v/>
      </c>
      <c r="I488" s="27" t="n"/>
      <c r="J488" s="17">
        <f>G488*I488</f>
        <v/>
      </c>
      <c r="K488" s="17">
        <f>G488-H488-J488</f>
        <v/>
      </c>
      <c r="L488" s="29">
        <f>IF(G488&gt;0,K488/G488,"")</f>
        <v/>
      </c>
      <c r="M488" s="6" t="n"/>
    </row>
    <row r="489">
      <c r="A489" s="32" t="n"/>
      <c r="B489" s="6" t="n"/>
      <c r="C489">
        <f>IF(B489="","",IFERROR(VLOOKUP(B489,'Recetas y precios'!$A$5:$B$54,2,FALSE),""))</f>
        <v/>
      </c>
      <c r="D489" s="6" t="n"/>
      <c r="E489" s="6" t="n"/>
      <c r="F489" s="11" t="n"/>
      <c r="G489" s="17">
        <f>E489*F489</f>
        <v/>
      </c>
      <c r="H489" s="17">
        <f>IF(B489="",0,E489*IFERROR(VLOOKUP(B489,'Recetas y precios'!$A$5:$T$54,20,FALSE),0))</f>
        <v/>
      </c>
      <c r="I489" s="27" t="n"/>
      <c r="J489" s="17">
        <f>G489*I489</f>
        <v/>
      </c>
      <c r="K489" s="17">
        <f>G489-H489-J489</f>
        <v/>
      </c>
      <c r="L489" s="29">
        <f>IF(G489&gt;0,K489/G489,"")</f>
        <v/>
      </c>
      <c r="M489" s="6" t="n"/>
    </row>
    <row r="490">
      <c r="A490" s="32" t="n"/>
      <c r="B490" s="6" t="n"/>
      <c r="C490">
        <f>IF(B490="","",IFERROR(VLOOKUP(B490,'Recetas y precios'!$A$5:$B$54,2,FALSE),""))</f>
        <v/>
      </c>
      <c r="D490" s="6" t="n"/>
      <c r="E490" s="6" t="n"/>
      <c r="F490" s="11" t="n"/>
      <c r="G490" s="17">
        <f>E490*F490</f>
        <v/>
      </c>
      <c r="H490" s="17">
        <f>IF(B490="",0,E490*IFERROR(VLOOKUP(B490,'Recetas y precios'!$A$5:$T$54,20,FALSE),0))</f>
        <v/>
      </c>
      <c r="I490" s="27" t="n"/>
      <c r="J490" s="17">
        <f>G490*I490</f>
        <v/>
      </c>
      <c r="K490" s="17">
        <f>G490-H490-J490</f>
        <v/>
      </c>
      <c r="L490" s="29">
        <f>IF(G490&gt;0,K490/G490,"")</f>
        <v/>
      </c>
      <c r="M490" s="6" t="n"/>
    </row>
    <row r="491">
      <c r="A491" s="32" t="n"/>
      <c r="B491" s="6" t="n"/>
      <c r="C491">
        <f>IF(B491="","",IFERROR(VLOOKUP(B491,'Recetas y precios'!$A$5:$B$54,2,FALSE),""))</f>
        <v/>
      </c>
      <c r="D491" s="6" t="n"/>
      <c r="E491" s="6" t="n"/>
      <c r="F491" s="11" t="n"/>
      <c r="G491" s="17">
        <f>E491*F491</f>
        <v/>
      </c>
      <c r="H491" s="17">
        <f>IF(B491="",0,E491*IFERROR(VLOOKUP(B491,'Recetas y precios'!$A$5:$T$54,20,FALSE),0))</f>
        <v/>
      </c>
      <c r="I491" s="27" t="n"/>
      <c r="J491" s="17">
        <f>G491*I491</f>
        <v/>
      </c>
      <c r="K491" s="17">
        <f>G491-H491-J491</f>
        <v/>
      </c>
      <c r="L491" s="29">
        <f>IF(G491&gt;0,K491/G491,"")</f>
        <v/>
      </c>
      <c r="M491" s="6" t="n"/>
    </row>
    <row r="492">
      <c r="A492" s="32" t="n"/>
      <c r="B492" s="6" t="n"/>
      <c r="C492">
        <f>IF(B492="","",IFERROR(VLOOKUP(B492,'Recetas y precios'!$A$5:$B$54,2,FALSE),""))</f>
        <v/>
      </c>
      <c r="D492" s="6" t="n"/>
      <c r="E492" s="6" t="n"/>
      <c r="F492" s="11" t="n"/>
      <c r="G492" s="17">
        <f>E492*F492</f>
        <v/>
      </c>
      <c r="H492" s="17">
        <f>IF(B492="",0,E492*IFERROR(VLOOKUP(B492,'Recetas y precios'!$A$5:$T$54,20,FALSE),0))</f>
        <v/>
      </c>
      <c r="I492" s="27" t="n"/>
      <c r="J492" s="17">
        <f>G492*I492</f>
        <v/>
      </c>
      <c r="K492" s="17">
        <f>G492-H492-J492</f>
        <v/>
      </c>
      <c r="L492" s="29">
        <f>IF(G492&gt;0,K492/G492,"")</f>
        <v/>
      </c>
      <c r="M492" s="6" t="n"/>
    </row>
    <row r="493">
      <c r="A493" s="32" t="n"/>
      <c r="B493" s="6" t="n"/>
      <c r="C493">
        <f>IF(B493="","",IFERROR(VLOOKUP(B493,'Recetas y precios'!$A$5:$B$54,2,FALSE),""))</f>
        <v/>
      </c>
      <c r="D493" s="6" t="n"/>
      <c r="E493" s="6" t="n"/>
      <c r="F493" s="11" t="n"/>
      <c r="G493" s="17">
        <f>E493*F493</f>
        <v/>
      </c>
      <c r="H493" s="17">
        <f>IF(B493="",0,E493*IFERROR(VLOOKUP(B493,'Recetas y precios'!$A$5:$T$54,20,FALSE),0))</f>
        <v/>
      </c>
      <c r="I493" s="27" t="n"/>
      <c r="J493" s="17">
        <f>G493*I493</f>
        <v/>
      </c>
      <c r="K493" s="17">
        <f>G493-H493-J493</f>
        <v/>
      </c>
      <c r="L493" s="29">
        <f>IF(G493&gt;0,K493/G493,"")</f>
        <v/>
      </c>
      <c r="M493" s="6" t="n"/>
    </row>
    <row r="494">
      <c r="A494" s="32" t="n"/>
      <c r="B494" s="6" t="n"/>
      <c r="C494">
        <f>IF(B494="","",IFERROR(VLOOKUP(B494,'Recetas y precios'!$A$5:$B$54,2,FALSE),""))</f>
        <v/>
      </c>
      <c r="D494" s="6" t="n"/>
      <c r="E494" s="6" t="n"/>
      <c r="F494" s="11" t="n"/>
      <c r="G494" s="17">
        <f>E494*F494</f>
        <v/>
      </c>
      <c r="H494" s="17">
        <f>IF(B494="",0,E494*IFERROR(VLOOKUP(B494,'Recetas y precios'!$A$5:$T$54,20,FALSE),0))</f>
        <v/>
      </c>
      <c r="I494" s="27" t="n"/>
      <c r="J494" s="17">
        <f>G494*I494</f>
        <v/>
      </c>
      <c r="K494" s="17">
        <f>G494-H494-J494</f>
        <v/>
      </c>
      <c r="L494" s="29">
        <f>IF(G494&gt;0,K494/G494,"")</f>
        <v/>
      </c>
      <c r="M494" s="6" t="n"/>
    </row>
    <row r="495">
      <c r="A495" s="32" t="n"/>
      <c r="B495" s="6" t="n"/>
      <c r="C495">
        <f>IF(B495="","",IFERROR(VLOOKUP(B495,'Recetas y precios'!$A$5:$B$54,2,FALSE),""))</f>
        <v/>
      </c>
      <c r="D495" s="6" t="n"/>
      <c r="E495" s="6" t="n"/>
      <c r="F495" s="11" t="n"/>
      <c r="G495" s="17">
        <f>E495*F495</f>
        <v/>
      </c>
      <c r="H495" s="17">
        <f>IF(B495="",0,E495*IFERROR(VLOOKUP(B495,'Recetas y precios'!$A$5:$T$54,20,FALSE),0))</f>
        <v/>
      </c>
      <c r="I495" s="27" t="n"/>
      <c r="J495" s="17">
        <f>G495*I495</f>
        <v/>
      </c>
      <c r="K495" s="17">
        <f>G495-H495-J495</f>
        <v/>
      </c>
      <c r="L495" s="29">
        <f>IF(G495&gt;0,K495/G495,"")</f>
        <v/>
      </c>
      <c r="M495" s="6" t="n"/>
    </row>
    <row r="496">
      <c r="A496" s="32" t="n"/>
      <c r="B496" s="6" t="n"/>
      <c r="C496">
        <f>IF(B496="","",IFERROR(VLOOKUP(B496,'Recetas y precios'!$A$5:$B$54,2,FALSE),""))</f>
        <v/>
      </c>
      <c r="D496" s="6" t="n"/>
      <c r="E496" s="6" t="n"/>
      <c r="F496" s="11" t="n"/>
      <c r="G496" s="17">
        <f>E496*F496</f>
        <v/>
      </c>
      <c r="H496" s="17">
        <f>IF(B496="",0,E496*IFERROR(VLOOKUP(B496,'Recetas y precios'!$A$5:$T$54,20,FALSE),0))</f>
        <v/>
      </c>
      <c r="I496" s="27" t="n"/>
      <c r="J496" s="17">
        <f>G496*I496</f>
        <v/>
      </c>
      <c r="K496" s="17">
        <f>G496-H496-J496</f>
        <v/>
      </c>
      <c r="L496" s="29">
        <f>IF(G496&gt;0,K496/G496,"")</f>
        <v/>
      </c>
      <c r="M496" s="6" t="n"/>
    </row>
    <row r="497">
      <c r="A497" s="32" t="n"/>
      <c r="B497" s="6" t="n"/>
      <c r="C497">
        <f>IF(B497="","",IFERROR(VLOOKUP(B497,'Recetas y precios'!$A$5:$B$54,2,FALSE),""))</f>
        <v/>
      </c>
      <c r="D497" s="6" t="n"/>
      <c r="E497" s="6" t="n"/>
      <c r="F497" s="11" t="n"/>
      <c r="G497" s="17">
        <f>E497*F497</f>
        <v/>
      </c>
      <c r="H497" s="17">
        <f>IF(B497="",0,E497*IFERROR(VLOOKUP(B497,'Recetas y precios'!$A$5:$T$54,20,FALSE),0))</f>
        <v/>
      </c>
      <c r="I497" s="27" t="n"/>
      <c r="J497" s="17">
        <f>G497*I497</f>
        <v/>
      </c>
      <c r="K497" s="17">
        <f>G497-H497-J497</f>
        <v/>
      </c>
      <c r="L497" s="29">
        <f>IF(G497&gt;0,K497/G497,"")</f>
        <v/>
      </c>
      <c r="M497" s="6" t="n"/>
    </row>
    <row r="498">
      <c r="A498" s="32" t="n"/>
      <c r="B498" s="6" t="n"/>
      <c r="C498">
        <f>IF(B498="","",IFERROR(VLOOKUP(B498,'Recetas y precios'!$A$5:$B$54,2,FALSE),""))</f>
        <v/>
      </c>
      <c r="D498" s="6" t="n"/>
      <c r="E498" s="6" t="n"/>
      <c r="F498" s="11" t="n"/>
      <c r="G498" s="17">
        <f>E498*F498</f>
        <v/>
      </c>
      <c r="H498" s="17">
        <f>IF(B498="",0,E498*IFERROR(VLOOKUP(B498,'Recetas y precios'!$A$5:$T$54,20,FALSE),0))</f>
        <v/>
      </c>
      <c r="I498" s="27" t="n"/>
      <c r="J498" s="17">
        <f>G498*I498</f>
        <v/>
      </c>
      <c r="K498" s="17">
        <f>G498-H498-J498</f>
        <v/>
      </c>
      <c r="L498" s="29">
        <f>IF(G498&gt;0,K498/G498,"")</f>
        <v/>
      </c>
      <c r="M498" s="6" t="n"/>
    </row>
    <row r="499">
      <c r="A499" s="32" t="n"/>
      <c r="B499" s="6" t="n"/>
      <c r="C499">
        <f>IF(B499="","",IFERROR(VLOOKUP(B499,'Recetas y precios'!$A$5:$B$54,2,FALSE),""))</f>
        <v/>
      </c>
      <c r="D499" s="6" t="n"/>
      <c r="E499" s="6" t="n"/>
      <c r="F499" s="11" t="n"/>
      <c r="G499" s="17">
        <f>E499*F499</f>
        <v/>
      </c>
      <c r="H499" s="17">
        <f>IF(B499="",0,E499*IFERROR(VLOOKUP(B499,'Recetas y precios'!$A$5:$T$54,20,FALSE),0))</f>
        <v/>
      </c>
      <c r="I499" s="27" t="n"/>
      <c r="J499" s="17">
        <f>G499*I499</f>
        <v/>
      </c>
      <c r="K499" s="17">
        <f>G499-H499-J499</f>
        <v/>
      </c>
      <c r="L499" s="29">
        <f>IF(G499&gt;0,K499/G499,"")</f>
        <v/>
      </c>
      <c r="M499" s="6" t="n"/>
    </row>
    <row r="500">
      <c r="A500" s="32" t="n"/>
      <c r="B500" s="6" t="n"/>
      <c r="C500">
        <f>IF(B500="","",IFERROR(VLOOKUP(B500,'Recetas y precios'!$A$5:$B$54,2,FALSE),""))</f>
        <v/>
      </c>
      <c r="D500" s="6" t="n"/>
      <c r="E500" s="6" t="n"/>
      <c r="F500" s="11" t="n"/>
      <c r="G500" s="17">
        <f>E500*F500</f>
        <v/>
      </c>
      <c r="H500" s="17">
        <f>IF(B500="",0,E500*IFERROR(VLOOKUP(B500,'Recetas y precios'!$A$5:$T$54,20,FALSE),0))</f>
        <v/>
      </c>
      <c r="I500" s="27" t="n"/>
      <c r="J500" s="17">
        <f>G500*I500</f>
        <v/>
      </c>
      <c r="K500" s="17">
        <f>G500-H500-J500</f>
        <v/>
      </c>
      <c r="L500" s="29">
        <f>IF(G500&gt;0,K500/G500,"")</f>
        <v/>
      </c>
      <c r="M500" s="6" t="n"/>
    </row>
    <row r="501">
      <c r="A501" s="32" t="n"/>
      <c r="B501" s="6" t="n"/>
      <c r="C501">
        <f>IF(B501="","",IFERROR(VLOOKUP(B501,'Recetas y precios'!$A$5:$B$54,2,FALSE),""))</f>
        <v/>
      </c>
      <c r="D501" s="6" t="n"/>
      <c r="E501" s="6" t="n"/>
      <c r="F501" s="11" t="n"/>
      <c r="G501" s="17">
        <f>E501*F501</f>
        <v/>
      </c>
      <c r="H501" s="17">
        <f>IF(B501="",0,E501*IFERROR(VLOOKUP(B501,'Recetas y precios'!$A$5:$T$54,20,FALSE),0))</f>
        <v/>
      </c>
      <c r="I501" s="27" t="n"/>
      <c r="J501" s="17">
        <f>G501*I501</f>
        <v/>
      </c>
      <c r="K501" s="17">
        <f>G501-H501-J501</f>
        <v/>
      </c>
      <c r="L501" s="29">
        <f>IF(G501&gt;0,K501/G501,"")</f>
        <v/>
      </c>
      <c r="M501" s="6" t="n"/>
    </row>
    <row r="502">
      <c r="A502" s="32" t="n"/>
      <c r="B502" s="6" t="n"/>
      <c r="C502">
        <f>IF(B502="","",IFERROR(VLOOKUP(B502,'Recetas y precios'!$A$5:$B$54,2,FALSE),""))</f>
        <v/>
      </c>
      <c r="D502" s="6" t="n"/>
      <c r="E502" s="6" t="n"/>
      <c r="F502" s="11" t="n"/>
      <c r="G502" s="17">
        <f>E502*F502</f>
        <v/>
      </c>
      <c r="H502" s="17">
        <f>IF(B502="",0,E502*IFERROR(VLOOKUP(B502,'Recetas y precios'!$A$5:$T$54,20,FALSE),0))</f>
        <v/>
      </c>
      <c r="I502" s="27" t="n"/>
      <c r="J502" s="17">
        <f>G502*I502</f>
        <v/>
      </c>
      <c r="K502" s="17">
        <f>G502-H502-J502</f>
        <v/>
      </c>
      <c r="L502" s="29">
        <f>IF(G502&gt;0,K502/G502,"")</f>
        <v/>
      </c>
      <c r="M502" s="6" t="n"/>
    </row>
    <row r="503">
      <c r="A503" s="32" t="n"/>
      <c r="B503" s="6" t="n"/>
      <c r="C503">
        <f>IF(B503="","",IFERROR(VLOOKUP(B503,'Recetas y precios'!$A$5:$B$54,2,FALSE),""))</f>
        <v/>
      </c>
      <c r="D503" s="6" t="n"/>
      <c r="E503" s="6" t="n"/>
      <c r="F503" s="11" t="n"/>
      <c r="G503" s="17">
        <f>E503*F503</f>
        <v/>
      </c>
      <c r="H503" s="17">
        <f>IF(B503="",0,E503*IFERROR(VLOOKUP(B503,'Recetas y precios'!$A$5:$T$54,20,FALSE),0))</f>
        <v/>
      </c>
      <c r="I503" s="27" t="n"/>
      <c r="J503" s="17">
        <f>G503*I503</f>
        <v/>
      </c>
      <c r="K503" s="17">
        <f>G503-H503-J503</f>
        <v/>
      </c>
      <c r="L503" s="29">
        <f>IF(G503&gt;0,K503/G503,"")</f>
        <v/>
      </c>
      <c r="M503" s="6" t="n"/>
    </row>
    <row r="504">
      <c r="A504" s="32" t="n"/>
      <c r="B504" s="6" t="n"/>
      <c r="C504">
        <f>IF(B504="","",IFERROR(VLOOKUP(B504,'Recetas y precios'!$A$5:$B$54,2,FALSE),""))</f>
        <v/>
      </c>
      <c r="D504" s="6" t="n"/>
      <c r="E504" s="6" t="n"/>
      <c r="F504" s="11" t="n"/>
      <c r="G504" s="17">
        <f>E504*F504</f>
        <v/>
      </c>
      <c r="H504" s="17">
        <f>IF(B504="",0,E504*IFERROR(VLOOKUP(B504,'Recetas y precios'!$A$5:$T$54,20,FALSE),0))</f>
        <v/>
      </c>
      <c r="I504" s="27" t="n"/>
      <c r="J504" s="17">
        <f>G504*I504</f>
        <v/>
      </c>
      <c r="K504" s="17">
        <f>G504-H504-J504</f>
        <v/>
      </c>
      <c r="L504" s="29">
        <f>IF(G504&gt;0,K504/G504,"")</f>
        <v/>
      </c>
      <c r="M504" s="6" t="n"/>
    </row>
  </sheetData>
  <conditionalFormatting sqref="K5:K504">
    <cfRule type="cellIs" priority="1" operator="lessThan" dxfId="1">
      <formula>0</formula>
    </cfRule>
  </conditionalFormatting>
  <dataValidations count="2">
    <dataValidation sqref="D5:D504" showDropDown="0" showInputMessage="0" showErrorMessage="0" allowBlank="1" type="list">
      <formula1>"Mostrador y vitrina,Suscripción y preventa,Restaurante y hotel,Mayoreo a cafeterías,Degustación o cortesía"</formula1>
    </dataValidation>
    <dataValidation sqref="B5:B504" showDropDown="0" showInputMessage="0" showErrorMessage="0" allowBlank="1" type="whole" operator="between">
      <formula1>1</formula1>
      <formula2>50</formula2>
    </dataValidation>
  </dataValidations>
  <pageMargins left="0.75" right="0.75" top="1" bottom="1" header="0.5" footer="0.5"/>
</worksheet>
</file>

<file path=xl/worksheets/sheet9.xml><?xml version="1.0" encoding="utf-8"?>
<worksheet xmlns="http://schemas.openxmlformats.org/spreadsheetml/2006/main">
  <sheetPr>
    <tabColor rgb="004E1454"/>
    <outlinePr summaryBelow="1" summaryRight="1"/>
    <pageSetUpPr/>
  </sheetPr>
  <dimension ref="A1:G28"/>
  <sheetViews>
    <sheetView showGridLines="0" workbookViewId="0">
      <selection activeCell="A1" sqref="A1"/>
    </sheetView>
  </sheetViews>
  <sheetFormatPr baseColWidth="8" defaultRowHeight="15"/>
  <cols>
    <col width="4" customWidth="1" min="1" max="1"/>
    <col width="52" customWidth="1" min="2" max="2"/>
    <col width="18" customWidth="1" min="3" max="3"/>
    <col width="4" customWidth="1" min="4" max="4"/>
    <col width="44" customWidth="1" min="5" max="5"/>
    <col width="16" customWidth="1" min="6" max="6"/>
    <col width="14" customWidth="1" min="7" max="7"/>
  </cols>
  <sheetData>
    <row r="1">
      <c r="A1" s="1" t="inlineStr">
        <is>
          <t>Tablero</t>
        </is>
      </c>
    </row>
    <row r="2">
      <c r="A2" s="7" t="inlineStr">
        <is>
          <t>Resumen automático de Ventas y Producción. No se edita.</t>
        </is>
      </c>
    </row>
    <row r="3">
      <c r="B3" s="18" t="inlineStr">
        <is>
          <t>Ventas</t>
        </is>
      </c>
      <c r="E3" s="33" t="inlineStr">
        <is>
          <t>Canal</t>
        </is>
      </c>
      <c r="F3" s="33" t="inlineStr">
        <is>
          <t>Ingreso</t>
        </is>
      </c>
      <c r="G3" s="33" t="inlineStr">
        <is>
          <t>Piezas</t>
        </is>
      </c>
    </row>
    <row r="4">
      <c r="B4" s="9" t="inlineStr">
        <is>
          <t>Ingreso acumulado</t>
        </is>
      </c>
      <c r="C4" s="34">
        <f>SUM(Ventas!G5:G504)</f>
        <v/>
      </c>
      <c r="E4" t="inlineStr">
        <is>
          <t>Mostrador y vitrina</t>
        </is>
      </c>
      <c r="F4" s="31">
        <f>SUMIF(Ventas!$D$5:$D$504,E4,Ventas!$G$5:$G$504)</f>
        <v/>
      </c>
      <c r="G4" s="35">
        <f>SUMIF(Ventas!$D$5:$D$504,E4,Ventas!$E$5:$E$504)</f>
        <v/>
      </c>
    </row>
    <row r="5">
      <c r="B5" s="9" t="inlineStr">
        <is>
          <t>Piezas vendidos</t>
        </is>
      </c>
      <c r="C5" s="36">
        <f>SUM(Ventas!E5:E504)</f>
        <v/>
      </c>
      <c r="E5" t="inlineStr">
        <is>
          <t>Suscripción y preventa</t>
        </is>
      </c>
      <c r="F5" s="31">
        <f>SUMIF(Ventas!$D$5:$D$504,E5,Ventas!$G$5:$G$504)</f>
        <v/>
      </c>
      <c r="G5" s="35">
        <f>SUMIF(Ventas!$D$5:$D$504,E5,Ventas!$E$5:$E$504)</f>
        <v/>
      </c>
    </row>
    <row r="6">
      <c r="B6" s="9" t="inlineStr">
        <is>
          <t>Costo de lo vendido</t>
        </is>
      </c>
      <c r="C6" s="34">
        <f>SUM(Ventas!H5:H504)</f>
        <v/>
      </c>
      <c r="E6" t="inlineStr">
        <is>
          <t>Restaurante y hotel</t>
        </is>
      </c>
      <c r="F6" s="31">
        <f>SUMIF(Ventas!$D$5:$D$504,E6,Ventas!$G$5:$G$504)</f>
        <v/>
      </c>
      <c r="G6" s="35">
        <f>SUMIF(Ventas!$D$5:$D$504,E6,Ventas!$E$5:$E$504)</f>
        <v/>
      </c>
    </row>
    <row r="7">
      <c r="B7" s="9" t="inlineStr">
        <is>
          <t>Comisiones</t>
        </is>
      </c>
      <c r="C7" s="34">
        <f>SUM(Ventas!J5:J504)</f>
        <v/>
      </c>
      <c r="E7" t="inlineStr">
        <is>
          <t>Mayoreo a cafeterías</t>
        </is>
      </c>
      <c r="F7" s="31">
        <f>SUMIF(Ventas!$D$5:$D$504,E7,Ventas!$G$5:$G$504)</f>
        <v/>
      </c>
      <c r="G7" s="35">
        <f>SUMIF(Ventas!$D$5:$D$504,E7,Ventas!$E$5:$E$504)</f>
        <v/>
      </c>
    </row>
    <row r="8">
      <c r="B8" s="9" t="inlineStr">
        <is>
          <t>Utilidad neta (antes de gastos fijos)</t>
        </is>
      </c>
      <c r="C8" s="34">
        <f>SUM(Ventas!K5:K504)</f>
        <v/>
      </c>
      <c r="E8" t="inlineStr">
        <is>
          <t>Degustación o cortesía</t>
        </is>
      </c>
      <c r="F8" s="31">
        <f>SUMIF(Ventas!$D$5:$D$504,E8,Ventas!$G$5:$G$504)</f>
        <v/>
      </c>
      <c r="G8" s="35">
        <f>SUMIF(Ventas!$D$5:$D$504,E8,Ventas!$E$5:$E$504)</f>
        <v/>
      </c>
    </row>
    <row r="9">
      <c r="B9" s="9" t="inlineStr">
        <is>
          <t>Margen neto</t>
        </is>
      </c>
      <c r="C9" s="37">
        <f>IFERROR(C8/C4,0)</f>
        <v/>
      </c>
    </row>
    <row r="10">
      <c r="B10" s="9" t="inlineStr">
        <is>
          <t>Utilidad después de gastos fijos</t>
        </is>
      </c>
      <c r="C10" s="34">
        <f>C8-'Mi negocio'!C17</f>
        <v/>
      </c>
    </row>
    <row r="11">
      <c r="B11" s="18" t="inlineStr">
        <is>
          <t>Producción y merma</t>
        </is>
      </c>
      <c r="E11" s="33" t="inlineStr">
        <is>
          <t>Preparación base</t>
        </is>
      </c>
      <c r="F11" s="33" t="inlineStr">
        <is>
          <t>Costo del lote</t>
        </is>
      </c>
      <c r="G11" s="33" t="inlineStr">
        <is>
          <t>Costo unitario</t>
        </is>
      </c>
    </row>
    <row r="12">
      <c r="B12" s="9" t="inlineStr">
        <is>
          <t>Piezas buenos producidos</t>
        </is>
      </c>
      <c r="C12" s="36">
        <f>SUM(Producción!F5:F304)</f>
        <v/>
      </c>
      <c r="E12" t="inlineStr">
        <is>
          <t>C-1 · Masa madre blanca activa 100%</t>
        </is>
      </c>
      <c r="F12" s="17">
        <f>'Cultivos'!F5</f>
        <v/>
      </c>
      <c r="G12" s="12">
        <f>'Cultivos'!G5</f>
        <v/>
      </c>
    </row>
    <row r="13">
      <c r="B13" s="9" t="inlineStr">
        <is>
          <t>Piezas fallados</t>
        </is>
      </c>
      <c r="C13" s="36">
        <f>SUM(Producción!G5:G304)</f>
        <v/>
      </c>
      <c r="E13" t="inlineStr">
        <is>
          <t>C-2 · Masa madre de centeno o integral 100%</t>
        </is>
      </c>
      <c r="F13" s="17">
        <f>'Cultivos'!F6</f>
        <v/>
      </c>
      <c r="G13" s="12">
        <f>'Cultivos'!G6</f>
        <v/>
      </c>
    </row>
    <row r="14">
      <c r="B14" s="9" t="inlineStr">
        <is>
          <t>Merma real</t>
        </is>
      </c>
      <c r="C14" s="37">
        <f>IFERROR(C13/(C12+C13),0)</f>
        <v/>
      </c>
      <c r="E14" t="inlineStr">
        <is>
          <t>C-3 · Pasta madre sólida 50%</t>
        </is>
      </c>
      <c r="F14" s="17">
        <f>'Cultivos'!F7</f>
        <v/>
      </c>
      <c r="G14" s="12">
        <f>'Cultivos'!G7</f>
        <v/>
      </c>
    </row>
    <row r="15">
      <c r="B15" s="9" t="inlineStr">
        <is>
          <t>Merma supuesta</t>
        </is>
      </c>
      <c r="C15" s="37">
        <f>'Mi negocio'!$C$24</f>
        <v/>
      </c>
    </row>
    <row r="16">
      <c r="B16" s="9" t="inlineStr">
        <is>
          <t>Dinero perdido en merma</t>
        </is>
      </c>
      <c r="C16" s="34">
        <f>SUM(Producción!J5:J304)</f>
        <v/>
      </c>
    </row>
    <row r="17">
      <c r="B17" s="18" t="inlineStr">
        <is>
          <t>Punto de equilibrio</t>
        </is>
      </c>
    </row>
    <row r="18">
      <c r="B18" s="9" t="inlineStr">
        <is>
          <t>Precio promedio · Mostrador y vitrina</t>
        </is>
      </c>
      <c r="C18" s="38">
        <f>AVERAGE('Recetas y precios'!$U$5:$U$54)</f>
        <v/>
      </c>
    </row>
    <row r="19">
      <c r="B19" s="9" t="inlineStr">
        <is>
          <t>Costo total promedio (recetario)</t>
        </is>
      </c>
      <c r="C19" s="38">
        <f>AVERAGE('Recetas y precios'!$T$5:$T$54)</f>
        <v/>
      </c>
    </row>
    <row r="20">
      <c r="B20" s="9" t="inlineStr">
        <is>
          <t>Margen de contribución promedio</t>
        </is>
      </c>
      <c r="C20" s="38">
        <f>C18-C19</f>
        <v/>
      </c>
    </row>
    <row r="21">
      <c r="B21" s="9" t="inlineStr">
        <is>
          <t>Margen de contribución real de tus ventas</t>
        </is>
      </c>
      <c r="C21" s="38">
        <f>IFERROR((C4-C6-C7)/C5,0)</f>
        <v/>
      </c>
      <c r="D21" s="39" t="inlineStr">
        <is>
          <t>←</t>
        </is>
      </c>
      <c r="E21" s="7" t="inlineStr">
        <is>
          <t>En cuanto registres ventas reales, el equilibrio usa tu margen real, no el promedio del recetario.</t>
        </is>
      </c>
    </row>
    <row r="22">
      <c r="B22" s="9" t="inlineStr">
        <is>
          <t>Gastos fijos del mes</t>
        </is>
      </c>
      <c r="C22" s="34">
        <f>'Mi negocio'!C17</f>
        <v/>
      </c>
    </row>
    <row r="23">
      <c r="B23" s="9" t="inlineStr">
        <is>
          <t>PUNTO DE EQUILIBRIO (piezas al mes)</t>
        </is>
      </c>
      <c r="C23" s="40">
        <f>IFERROR(ROUNDUP(C22/IF(C21&gt;0,C21,C20),0),0)</f>
        <v/>
      </c>
    </row>
    <row r="24">
      <c r="B24" s="9" t="inlineStr">
        <is>
          <t>Avance contra el punto de equilibrio</t>
        </is>
      </c>
      <c r="C24" s="37">
        <f>IFERROR(C5/C23,0)</f>
        <v/>
      </c>
    </row>
    <row r="28">
      <c r="B28" s="41" t="inlineStr">
        <is>
          <t>Endulcora · Estudio Gastronómico · En colaboración con Levent · Masa Madre · Anexo 1</t>
        </is>
      </c>
    </row>
  </sheetData>
  <conditionalFormatting sqref="C14">
    <cfRule type="expression" priority="1" dxfId="2">
      <formula>C14&gt;C15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2026-09-24T22:10:01Z</dcterms:created>
  <dcterms:modified xmlns:dcterms="http://purl.org/dc/terms/" xmlns:xsi="http://www.w3.org/2001/XMLSchema-instance" xsi:type="dcterms:W3CDTF">2026-09-24T22:10:01Z</dcterms:modified>
</cp:coreProperties>
</file>