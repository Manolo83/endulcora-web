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Componentes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Ingredientes!$A$4:$K$859</definedName>
    <definedName function="false" hidden="true" localSheetId="1" name="_xlnm._FilterDatabase" vbProcedure="false">Insumos!$A$4:$I$143</definedName>
    <definedName function="false" hidden="true" localSheetId="5" name="_xlnm._FilterDatabase" vbProcedure="false">'Recetas y precios'!$A$4:$X$55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Ojo: el costo de cada porción incluye los gastos fijos repartidos entre estas porciones. Si produces menos, baja este número.</t>
        </r>
      </text>
    </comment>
  </commentList>
</comments>
</file>

<file path=xl/sharedStrings.xml><?xml version="1.0" encoding="utf-8"?>
<sst xmlns="http://schemas.openxmlformats.org/spreadsheetml/2006/main" count="6117" uniqueCount="1173">
  <si>
    <t xml:space="preserve">Tiramisú Douyin · Ingeniería de Cremas Fluidas, Texturas de Lava y Formatos Virales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</si>
  <si>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</si>
  <si>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</si>
  <si>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«Tiramisú Douyin». Calcula el costo real de las 51 recetas y su precio por canal con tus propios precios.</t>
  </si>
  <si>
    <t xml:space="preserve">Cómo se usa: 1) Insumos: captura presentación y precio que tú pagas (empieza por mascarpone y crema para batir: son el 70 % del costo). 2) Mi negocio: gastos fijos, sueldo, horas, merma y márgenes. 3) Recetas y precios: revisa costos y precios (se recalculan solos). 4) Registra lotes en Producción y ventas en Ventas. 5)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</si>
  <si>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</si>
  <si>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Costo del componente = Σ(cantidad × costo unitario) × factor de uso · Insumos por porción = lote ÷ porciones · Costo base = insumos + empaque + energía + mano de obra + gastos fijos · Costo total = Costo base ÷ (1 − merma) (se DIVIDE, no se suma) · Precio = Costo total ÷ (1 − margen), redondeado a los $5 superiores.</t>
  </si>
  <si>
    <t xml:space="preserve">Factor de uso: Un molde de chiffon rinde 4 discos y la receta usa 2; un jarabe rinde más de lo que el postre absorbe. Por eso el bizcocho y el jarabe se cargan solo en la fracción que entra al postre (columnas amarillas en Recetas y precios). La crema y los acabados se elaboran a la medida: factor 1.</t>
  </si>
  <si>
    <t xml:space="preserve">Hojas: Insumos (catálogo editable) · Componentes (fórmulas maestras y formatos de ensamble) · Ingredientes (cada línea del recetario normalizada, con el texto original del chef) · Mi negocio (supuestos) · Recetas y precios (hoja principal) · Producción (bitácora de lotes y merma) · Ventas (bitácora) · Tablero (resumen).</t>
  </si>
  <si>
    <t xml:space="preserve">Unidades: Todas las recetas rinden 2 porciones individuales de 330 a 390 g. El costeo es por porción.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</si>
  <si>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</si>
  <si>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</si>
  <si>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</si>
  <si>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</si>
  <si>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</si>
  <si>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</si>
  <si>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</si>
  <si>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</si>
  <si>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</si>
  <si>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</si>
  <si>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</si>
  <si>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</si>
  <si>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</si>
  <si>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</si>
  <si>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</si>
  <si>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Lácteos y huevo</t>
  </si>
  <si>
    <t xml:space="preserve">Queso mascarpone</t>
  </si>
  <si>
    <t xml:space="preserve">g</t>
  </si>
  <si>
    <t xml:space="preserve">I-002</t>
  </si>
  <si>
    <t xml:space="preserve">Queso crema tipo Philadelphia</t>
  </si>
  <si>
    <t xml:space="preserve">I-003</t>
  </si>
  <si>
    <t xml:space="preserve">Queso crema artesanal de rancho</t>
  </si>
  <si>
    <t xml:space="preserve">I-004</t>
  </si>
  <si>
    <t xml:space="preserve">Crema para batir 35% M.G.</t>
  </si>
  <si>
    <t xml:space="preserve">ml</t>
  </si>
  <si>
    <t xml:space="preserve">I-005</t>
  </si>
  <si>
    <t xml:space="preserve">Leche condensada</t>
  </si>
  <si>
    <t xml:space="preserve">I-006</t>
  </si>
  <si>
    <t xml:space="preserve">Leche evaporada</t>
  </si>
  <si>
    <t xml:space="preserve">I-007</t>
  </si>
  <si>
    <t xml:space="preserve">Leche entera</t>
  </si>
  <si>
    <t xml:space="preserve">I-008</t>
  </si>
  <si>
    <t xml:space="preserve">Leche entera en polvo</t>
  </si>
  <si>
    <t xml:space="preserve">I-009</t>
  </si>
  <si>
    <t xml:space="preserve">Polvo de leche malteada</t>
  </si>
  <si>
    <t xml:space="preserve">I-010</t>
  </si>
  <si>
    <t xml:space="preserve">Mantequilla sin sal</t>
  </si>
  <si>
    <t xml:space="preserve">I-011</t>
  </si>
  <si>
    <t xml:space="preserve">Yemas de huevo pasteurizadas</t>
  </si>
  <si>
    <t xml:space="preserve">I-012</t>
  </si>
  <si>
    <t xml:space="preserve">Claras de huevo pasteurizadas</t>
  </si>
  <si>
    <t xml:space="preserve">I-013</t>
  </si>
  <si>
    <t xml:space="preserve">Leche de coco</t>
  </si>
  <si>
    <t xml:space="preserve">I-014</t>
  </si>
  <si>
    <t xml:space="preserve">Crema de coco concentrada</t>
  </si>
  <si>
    <t xml:space="preserve">I-015</t>
  </si>
  <si>
    <t xml:space="preserve">Bebida vegetal de arroz tostado</t>
  </si>
  <si>
    <t xml:space="preserve">I-016</t>
  </si>
  <si>
    <t xml:space="preserve">Harinas y almidones</t>
  </si>
  <si>
    <t xml:space="preserve">Harina baja en proteína (pastelera)</t>
  </si>
  <si>
    <t xml:space="preserve">I-017</t>
  </si>
  <si>
    <t xml:space="preserve">Harina de arroz glutinoso</t>
  </si>
  <si>
    <t xml:space="preserve">I-018</t>
  </si>
  <si>
    <t xml:space="preserve">Harina de coco desgrasada</t>
  </si>
  <si>
    <t xml:space="preserve">I-019</t>
  </si>
  <si>
    <t xml:space="preserve">Harina kinako (soya tostada)</t>
  </si>
  <si>
    <t xml:space="preserve">I-020</t>
  </si>
  <si>
    <t xml:space="preserve">Almidón de maíz</t>
  </si>
  <si>
    <t xml:space="preserve">I-021</t>
  </si>
  <si>
    <t xml:space="preserve">Masa kataifi fresca</t>
  </si>
  <si>
    <t xml:space="preserve">I-022</t>
  </si>
  <si>
    <t xml:space="preserve">Azúcares y jarabes</t>
  </si>
  <si>
    <t xml:space="preserve">Azúcar refinada</t>
  </si>
  <si>
    <t xml:space="preserve">I-023</t>
  </si>
  <si>
    <t xml:space="preserve">Azúcar glas</t>
  </si>
  <si>
    <t xml:space="preserve">I-024</t>
  </si>
  <si>
    <t xml:space="preserve">Azúcar mascabado</t>
  </si>
  <si>
    <t xml:space="preserve">I-025</t>
  </si>
  <si>
    <t xml:space="preserve">Piloncillo</t>
  </si>
  <si>
    <t xml:space="preserve">I-026</t>
  </si>
  <si>
    <t xml:space="preserve">Jarabe simple 50/50 (elaborado)</t>
  </si>
  <si>
    <t xml:space="preserve">I-027</t>
  </si>
  <si>
    <t xml:space="preserve">Jarabe de glucosa</t>
  </si>
  <si>
    <t xml:space="preserve">I-028</t>
  </si>
  <si>
    <t xml:space="preserve">Jarabe de maple grado A</t>
  </si>
  <si>
    <t xml:space="preserve">I-029</t>
  </si>
  <si>
    <t xml:space="preserve">Jarabe kuromitsu</t>
  </si>
  <si>
    <t xml:space="preserve">I-030</t>
  </si>
  <si>
    <t xml:space="preserve">Miel de azahar o acacia</t>
  </si>
  <si>
    <t xml:space="preserve">I-031</t>
  </si>
  <si>
    <t xml:space="preserve">Caramelo o toffee líquido (elaborado)</t>
  </si>
  <si>
    <t xml:space="preserve">I-032</t>
  </si>
  <si>
    <t xml:space="preserve">Toffee crujiente</t>
  </si>
  <si>
    <t xml:space="preserve">I-033</t>
  </si>
  <si>
    <t xml:space="preserve">Aditivos y sales</t>
  </si>
  <si>
    <t xml:space="preserve">Crémor tártaro</t>
  </si>
  <si>
    <t xml:space="preserve">I-034</t>
  </si>
  <si>
    <t xml:space="preserve">Bicarbonato de sodio</t>
  </si>
  <si>
    <t xml:space="preserve">I-035</t>
  </si>
  <si>
    <t xml:space="preserve">Gelatina en polvo sin sabor</t>
  </si>
  <si>
    <t xml:space="preserve">I-036</t>
  </si>
  <si>
    <t xml:space="preserve">Agar-agar</t>
  </si>
  <si>
    <t xml:space="preserve">I-037</t>
  </si>
  <si>
    <t xml:space="preserve">Sal fina</t>
  </si>
  <si>
    <t xml:space="preserve">I-038</t>
  </si>
  <si>
    <t xml:space="preserve">Flor de sal o sal Maldon</t>
  </si>
  <si>
    <t xml:space="preserve">I-039</t>
  </si>
  <si>
    <t xml:space="preserve">Sal rosa del Himalaya</t>
  </si>
  <si>
    <t xml:space="preserve">I-040</t>
  </si>
  <si>
    <t xml:space="preserve">Aceite vegetal neutro</t>
  </si>
  <si>
    <t xml:space="preserve">I-041</t>
  </si>
  <si>
    <t xml:space="preserve">Aceite de coco desodorizado</t>
  </si>
  <si>
    <t xml:space="preserve">I-042</t>
  </si>
  <si>
    <t xml:space="preserve">Agua purificada</t>
  </si>
  <si>
    <t xml:space="preserve">I-043</t>
  </si>
  <si>
    <t xml:space="preserve">Café</t>
  </si>
  <si>
    <t xml:space="preserve">Café espresso o filtrado preparado</t>
  </si>
  <si>
    <t xml:space="preserve">I-044</t>
  </si>
  <si>
    <t xml:space="preserve">Café en grano o molido de especialidad</t>
  </si>
  <si>
    <t xml:space="preserve">I-045</t>
  </si>
  <si>
    <t xml:space="preserve">Café soluble liofilizado</t>
  </si>
  <si>
    <t xml:space="preserve">I-046</t>
  </si>
  <si>
    <t xml:space="preserve">Concentrado de café cold brew</t>
  </si>
  <si>
    <t xml:space="preserve">I-047</t>
  </si>
  <si>
    <t xml:space="preserve">Tés y polvos</t>
  </si>
  <si>
    <t xml:space="preserve">Matcha ceremonial de Uji</t>
  </si>
  <si>
    <t xml:space="preserve">I-048</t>
  </si>
  <si>
    <t xml:space="preserve">Polvo de hojicha micronizado</t>
  </si>
  <si>
    <t xml:space="preserve">I-049</t>
  </si>
  <si>
    <t xml:space="preserve">Polvo de sencha o té verde</t>
  </si>
  <si>
    <t xml:space="preserve">I-050</t>
  </si>
  <si>
    <t xml:space="preserve">Polvo de oolong molido</t>
  </si>
  <si>
    <t xml:space="preserve">I-051</t>
  </si>
  <si>
    <t xml:space="preserve">Hojas de té negro (Assam, Ceylon, Earl Grey)</t>
  </si>
  <si>
    <t xml:space="preserve">I-052</t>
  </si>
  <si>
    <t xml:space="preserve">Hojas de té oolong Tieguanyin</t>
  </si>
  <si>
    <t xml:space="preserve">I-053</t>
  </si>
  <si>
    <t xml:space="preserve">Hojas de té pu-erh</t>
  </si>
  <si>
    <t xml:space="preserve">I-054</t>
  </si>
  <si>
    <t xml:space="preserve">Té blanco Aguja de Plata</t>
  </si>
  <si>
    <t xml:space="preserve">I-055</t>
  </si>
  <si>
    <t xml:space="preserve">Hojas de té verde (sencha, genmaicha, jazmín)</t>
  </si>
  <si>
    <t xml:space="preserve">I-056</t>
  </si>
  <si>
    <t xml:space="preserve">Hojas de hojicha tostado</t>
  </si>
  <si>
    <t xml:space="preserve">I-057</t>
  </si>
  <si>
    <t xml:space="preserve">Flores secas comestibles (lavanda, jazmín, manzanilla, rosa, osmanto, loto)</t>
  </si>
  <si>
    <t xml:space="preserve">I-058</t>
  </si>
  <si>
    <t xml:space="preserve">Frutas</t>
  </si>
  <si>
    <t xml:space="preserve">Fresa fresca</t>
  </si>
  <si>
    <t xml:space="preserve">I-059</t>
  </si>
  <si>
    <t xml:space="preserve">Frambuesa fresca</t>
  </si>
  <si>
    <t xml:space="preserve">I-060</t>
  </si>
  <si>
    <t xml:space="preserve">Mora azul fresca</t>
  </si>
  <si>
    <t xml:space="preserve">I-061</t>
  </si>
  <si>
    <t xml:space="preserve">Frutos rojos mixtos</t>
  </si>
  <si>
    <t xml:space="preserve">I-062</t>
  </si>
  <si>
    <t xml:space="preserve">Mango ataulfo</t>
  </si>
  <si>
    <t xml:space="preserve">I-063</t>
  </si>
  <si>
    <t xml:space="preserve">Piña miel</t>
  </si>
  <si>
    <t xml:space="preserve">I-064</t>
  </si>
  <si>
    <t xml:space="preserve">Durazno blanco</t>
  </si>
  <si>
    <t xml:space="preserve">I-065</t>
  </si>
  <si>
    <t xml:space="preserve">Uva Shine Muscat</t>
  </si>
  <si>
    <t xml:space="preserve">I-066</t>
  </si>
  <si>
    <t xml:space="preserve">Litchi fresco o en almíbar</t>
  </si>
  <si>
    <t xml:space="preserve">I-067</t>
  </si>
  <si>
    <t xml:space="preserve">Guayaba rosa</t>
  </si>
  <si>
    <t xml:space="preserve">I-068</t>
  </si>
  <si>
    <t xml:space="preserve">Pomelo rosado o toronja</t>
  </si>
  <si>
    <t xml:space="preserve">I-069</t>
  </si>
  <si>
    <t xml:space="preserve">Coco deshidratado en hojuelas</t>
  </si>
  <si>
    <t xml:space="preserve">I-070</t>
  </si>
  <si>
    <t xml:space="preserve">Jugo puro de maracuyá</t>
  </si>
  <si>
    <t xml:space="preserve">I-071</t>
  </si>
  <si>
    <t xml:space="preserve">Jugo puro de yuzu</t>
  </si>
  <si>
    <t xml:space="preserve">I-072</t>
  </si>
  <si>
    <t xml:space="preserve">Jugo de limón</t>
  </si>
  <si>
    <t xml:space="preserve">I-073</t>
  </si>
  <si>
    <t xml:space="preserve">Limón amarillo o Meyer</t>
  </si>
  <si>
    <t xml:space="preserve">pz</t>
  </si>
  <si>
    <t xml:space="preserve">I-074</t>
  </si>
  <si>
    <t xml:space="preserve">Mandarina o naranja</t>
  </si>
  <si>
    <t xml:space="preserve">I-075</t>
  </si>
  <si>
    <t xml:space="preserve">Jugo puro de uva blanca</t>
  </si>
  <si>
    <t xml:space="preserve">I-076</t>
  </si>
  <si>
    <t xml:space="preserve">Raíz de taro</t>
  </si>
  <si>
    <t xml:space="preserve">I-077</t>
  </si>
  <si>
    <t xml:space="preserve">Aloe vera en cubos</t>
  </si>
  <si>
    <t xml:space="preserve">I-078</t>
  </si>
  <si>
    <t xml:space="preserve">Liofilizados</t>
  </si>
  <si>
    <t xml:space="preserve">Fresa liofilizada en polvo</t>
  </si>
  <si>
    <t xml:space="preserve">I-079</t>
  </si>
  <si>
    <t xml:space="preserve">Frambuesa liofilizada en polvo</t>
  </si>
  <si>
    <t xml:space="preserve">I-080</t>
  </si>
  <si>
    <t xml:space="preserve">Mora azul liofilizada en polvo</t>
  </si>
  <si>
    <t xml:space="preserve">I-081</t>
  </si>
  <si>
    <t xml:space="preserve">Frutos rojos liofilizados en polvo</t>
  </si>
  <si>
    <t xml:space="preserve">I-082</t>
  </si>
  <si>
    <t xml:space="preserve">Extracto de ube (taro morado)</t>
  </si>
  <si>
    <t xml:space="preserve">I-083</t>
  </si>
  <si>
    <t xml:space="preserve">Legumbres y granos</t>
  </si>
  <si>
    <t xml:space="preserve">Pasta de frijol rojo dulce (azuki)</t>
  </si>
  <si>
    <t xml:space="preserve">I-084</t>
  </si>
  <si>
    <t xml:space="preserve">Frijol mungo amarillo</t>
  </si>
  <si>
    <t xml:space="preserve">I-085</t>
  </si>
  <si>
    <t xml:space="preserve">Perlas de tapioca (boba)</t>
  </si>
  <si>
    <t xml:space="preserve">I-086</t>
  </si>
  <si>
    <t xml:space="preserve">Perlas de sago miniatura</t>
  </si>
  <si>
    <t xml:space="preserve">I-087</t>
  </si>
  <si>
    <t xml:space="preserve">Chocolatería</t>
  </si>
  <si>
    <t xml:space="preserve">Cobertura de chocolate oscuro 60–70%</t>
  </si>
  <si>
    <t xml:space="preserve">I-088</t>
  </si>
  <si>
    <t xml:space="preserve">Cobertura de chocolate con leche 38%</t>
  </si>
  <si>
    <t xml:space="preserve">I-089</t>
  </si>
  <si>
    <t xml:space="preserve">Cobertura de chocolate blanco 34%</t>
  </si>
  <si>
    <t xml:space="preserve">I-090</t>
  </si>
  <si>
    <t xml:space="preserve">Cobertura de chocolate ruby</t>
  </si>
  <si>
    <t xml:space="preserve">I-091</t>
  </si>
  <si>
    <t xml:space="preserve">Cacao alcalinizado en polvo</t>
  </si>
  <si>
    <t xml:space="preserve">I-092</t>
  </si>
  <si>
    <t xml:space="preserve">Cacao negro alcalinizado (black cocoa)</t>
  </si>
  <si>
    <t xml:space="preserve">I-093</t>
  </si>
  <si>
    <t xml:space="preserve">Nibs de cacao tostados</t>
  </si>
  <si>
    <t xml:space="preserve">I-094</t>
  </si>
  <si>
    <t xml:space="preserve">Crispearls o perlas crujientes de chocolate</t>
  </si>
  <si>
    <t xml:space="preserve">I-095</t>
  </si>
  <si>
    <t xml:space="preserve">Carbón activado vegetal</t>
  </si>
  <si>
    <t xml:space="preserve">I-096</t>
  </si>
  <si>
    <t xml:space="preserve">Hoja de oro comestible 24K</t>
  </si>
  <si>
    <t xml:space="preserve">I-097</t>
  </si>
  <si>
    <t xml:space="preserve">Galletería</t>
  </si>
  <si>
    <t xml:space="preserve">Galletas Lotus Biscoff</t>
  </si>
  <si>
    <t xml:space="preserve">I-098</t>
  </si>
  <si>
    <t xml:space="preserve">Crema untable Lotus Biscoff</t>
  </si>
  <si>
    <t xml:space="preserve">I-099</t>
  </si>
  <si>
    <t xml:space="preserve">Galletas Oreo</t>
  </si>
  <si>
    <t xml:space="preserve">I-100</t>
  </si>
  <si>
    <t xml:space="preserve">Galleta de mantequilla o canela (speculoos)</t>
  </si>
  <si>
    <t xml:space="preserve">I-101</t>
  </si>
  <si>
    <t xml:space="preserve">Ladyfingers o soletillas</t>
  </si>
  <si>
    <t xml:space="preserve">I-102</t>
  </si>
  <si>
    <t xml:space="preserve">Componentes elaborados</t>
  </si>
  <si>
    <t xml:space="preserve">Bizcocho chiffon elaborado</t>
  </si>
  <si>
    <t xml:space="preserve">I-103</t>
  </si>
  <si>
    <t xml:space="preserve">Curd, jalea o mermelada artesanal</t>
  </si>
  <si>
    <t xml:space="preserve">I-104</t>
  </si>
  <si>
    <t xml:space="preserve">Frutos secos</t>
  </si>
  <si>
    <t xml:space="preserve">Avellana tostada</t>
  </si>
  <si>
    <t xml:space="preserve">I-105</t>
  </si>
  <si>
    <t xml:space="preserve">Pasta pura de avellana</t>
  </si>
  <si>
    <t xml:space="preserve">I-106</t>
  </si>
  <si>
    <t xml:space="preserve">Pasta pura de pistache</t>
  </si>
  <si>
    <t xml:space="preserve">I-107</t>
  </si>
  <si>
    <t xml:space="preserve">Almendra marcona</t>
  </si>
  <si>
    <t xml:space="preserve">I-108</t>
  </si>
  <si>
    <t xml:space="preserve">Pasta pura de almendra</t>
  </si>
  <si>
    <t xml:space="preserve">I-109</t>
  </si>
  <si>
    <t xml:space="preserve">Nuez de macadamia</t>
  </si>
  <si>
    <t xml:space="preserve">I-110</t>
  </si>
  <si>
    <t xml:space="preserve">Nuez de la india (cashew)</t>
  </si>
  <si>
    <t xml:space="preserve">I-111</t>
  </si>
  <si>
    <t xml:space="preserve">Pasta de nuez de la india</t>
  </si>
  <si>
    <t xml:space="preserve">I-112</t>
  </si>
  <si>
    <t xml:space="preserve">Nuez pecán</t>
  </si>
  <si>
    <t xml:space="preserve">I-113</t>
  </si>
  <si>
    <t xml:space="preserve">Cacahuate tostado</t>
  </si>
  <si>
    <t xml:space="preserve">I-114</t>
  </si>
  <si>
    <t xml:space="preserve">Mantequilla de maní natural</t>
  </si>
  <si>
    <t xml:space="preserve">I-115</t>
  </si>
  <si>
    <t xml:space="preserve">Castaña asada o confitada</t>
  </si>
  <si>
    <t xml:space="preserve">I-116</t>
  </si>
  <si>
    <t xml:space="preserve">Pasta de castaña dulce</t>
  </si>
  <si>
    <t xml:space="preserve">I-117</t>
  </si>
  <si>
    <t xml:space="preserve">Ajonjolí blanco</t>
  </si>
  <si>
    <t xml:space="preserve">I-118</t>
  </si>
  <si>
    <t xml:space="preserve">Tahini de ajonjolí</t>
  </si>
  <si>
    <t xml:space="preserve">I-119</t>
  </si>
  <si>
    <t xml:space="preserve">Pasta de sésamo negro</t>
  </si>
  <si>
    <t xml:space="preserve">I-120</t>
  </si>
  <si>
    <t xml:space="preserve">Dátil Medjool</t>
  </si>
  <si>
    <t xml:space="preserve">I-121</t>
  </si>
  <si>
    <t xml:space="preserve">Aromas y especias</t>
  </si>
  <si>
    <t xml:space="preserve">Vaina de vainilla Bourbon</t>
  </si>
  <si>
    <t xml:space="preserve">I-122</t>
  </si>
  <si>
    <t xml:space="preserve">Extracto de vainilla</t>
  </si>
  <si>
    <t xml:space="preserve">I-123</t>
  </si>
  <si>
    <t xml:space="preserve">Extracto floral o cítrico concentrado</t>
  </si>
  <si>
    <t xml:space="preserve">I-124</t>
  </si>
  <si>
    <t xml:space="preserve">Aceite esencial comestible de bergamota</t>
  </si>
  <si>
    <t xml:space="preserve">I-125</t>
  </si>
  <si>
    <t xml:space="preserve">Canela de Ceilán molida</t>
  </si>
  <si>
    <t xml:space="preserve">I-126</t>
  </si>
  <si>
    <t xml:space="preserve">Cardamomo verde</t>
  </si>
  <si>
    <t xml:space="preserve">I-127</t>
  </si>
  <si>
    <t xml:space="preserve">Licores</t>
  </si>
  <si>
    <t xml:space="preserve">Licor de café (Kahlúa)</t>
  </si>
  <si>
    <t xml:space="preserve">I-128</t>
  </si>
  <si>
    <t xml:space="preserve">Licor Amaretto</t>
  </si>
  <si>
    <t xml:space="preserve">I-129</t>
  </si>
  <si>
    <t xml:space="preserve">Licor Baileys Irish Cream</t>
  </si>
  <si>
    <t xml:space="preserve">I-130</t>
  </si>
  <si>
    <t xml:space="preserve">Licor de avellana (Frangelico)</t>
  </si>
  <si>
    <t xml:space="preserve">I-131</t>
  </si>
  <si>
    <t xml:space="preserve">Licor de naranja (Grand Marnier o Cointreau)</t>
  </si>
  <si>
    <t xml:space="preserve">I-132</t>
  </si>
  <si>
    <t xml:space="preserve">Ron añejo</t>
  </si>
  <si>
    <t xml:space="preserve">I-133</t>
  </si>
  <si>
    <t xml:space="preserve">Ron blanco</t>
  </si>
  <si>
    <t xml:space="preserve">I-134</t>
  </si>
  <si>
    <t xml:space="preserve">Whisky de malta ahumado</t>
  </si>
  <si>
    <t xml:space="preserve">I-135</t>
  </si>
  <si>
    <t xml:space="preserve">Whisky japonés</t>
  </si>
  <si>
    <t xml:space="preserve">I-136</t>
  </si>
  <si>
    <t xml:space="preserve">Gin botánico</t>
  </si>
  <si>
    <t xml:space="preserve">I-137</t>
  </si>
  <si>
    <t xml:space="preserve">Licor de frutas o floral (litchi, durazno, cassis, saúco, yuzu, melón)</t>
  </si>
  <si>
    <t xml:space="preserve">I-138</t>
  </si>
  <si>
    <t xml:space="preserve">Licor de frutos secos (pistache, sésamo, macadamia)</t>
  </si>
  <si>
    <t xml:space="preserve">I-139</t>
  </si>
  <si>
    <t xml:space="preserve">Vinagre balsámico de Módena IGP</t>
  </si>
  <si>
    <t xml:space="preserve">Componentes madre y formatos de ensamble</t>
  </si>
  <si>
    <t xml:space="preserve">Las cuatro fórmulas maestras del Capítulo 3 y el empaque de cada formato. El empaque alimenta la hoja Recetas y precios.</t>
  </si>
  <si>
    <t xml:space="preserve">Código</t>
  </si>
  <si>
    <t xml:space="preserve">Componente madre</t>
  </si>
  <si>
    <t xml:space="preserve">Qué controla</t>
  </si>
  <si>
    <t xml:space="preserve">Costo medio por porción</t>
  </si>
  <si>
    <t xml:space="preserve">% del costo de insumos</t>
  </si>
  <si>
    <t xml:space="preserve">B</t>
  </si>
  <si>
    <t xml:space="preserve">Bizcocho chiffon asiático</t>
  </si>
  <si>
    <t xml:space="preserve">Bizcocho de aceite y agua, sin mantequilla: merengue francés flexible, miga elástica que absorbe jarabe sin desmoronarse.</t>
  </si>
  <si>
    <t xml:space="preserve">J</t>
  </si>
  <si>
    <t xml:space="preserve">Jarabe de imbibición (punch)</t>
  </si>
  <si>
    <t xml:space="preserve">Líquido aromático azucarado que hidrata el bizcocho en proporción 1:1 en peso, sin dejar charco en el fondo.</t>
  </si>
  <si>
    <t xml:space="preserve">C</t>
  </si>
  <si>
    <t xml:space="preserve">Crema fluida de mascarpone</t>
  </si>
  <si>
    <t xml:space="preserve">Emulsión de mascarpone, crema al 35 % y leche condensada montada solo al 50–60 %: la textura de lava.</t>
  </si>
  <si>
    <t xml:space="preserve">A</t>
  </si>
  <si>
    <t xml:space="preserve">Acabados y texturas</t>
  </si>
  <si>
    <t xml:space="preserve">Polvos micronizados, crujientes, craquelados y coberturas que rematan y dan el contraste de textura.</t>
  </si>
  <si>
    <t xml:space="preserve">Formato de ensamble</t>
  </si>
  <si>
    <t xml:space="preserve">Descripción</t>
  </si>
  <si>
    <t xml:space="preserve">Empaque por porción</t>
  </si>
  <si>
    <t xml:space="preserve">Nº recetas</t>
  </si>
  <si>
    <t xml:space="preserve">F-1</t>
  </si>
  <si>
    <t xml:space="preserve">Aro de acetato · cascada</t>
  </si>
  <si>
    <t xml:space="preserve">Cilindro de acetato de 10 × 10 cm que se retira frente al comensal: el efecto Liú Xīn.</t>
  </si>
  <si>
    <t xml:space="preserve">F-2</t>
  </si>
  <si>
    <t xml:space="preserve">Caja bento acrílica</t>
  </si>
  <si>
    <t xml:space="preserve">Caja transparente de 10 × 10 cm; se rompe la cubierta craquelada o se sirve con cuchara desde la tapa.</t>
  </si>
  <si>
    <t xml:space="preserve">F-3</t>
  </si>
  <si>
    <t xml:space="preserve">Vaso o copa domo</t>
  </si>
  <si>
    <t xml:space="preserve">Montaje por capas visibles a través del vidrio; no se desmolda, se come directo.</t>
  </si>
  <si>
    <t xml:space="preserve">F-4</t>
  </si>
  <si>
    <t xml:space="preserve">Molde, tarta o formato especial</t>
  </si>
  <si>
    <t xml:space="preserve">Piezas horneadas o cortadas que se presentan en plato o molde desmontable.</t>
  </si>
  <si>
    <t xml:space="preserve">Fórmula maestra · Chiffon base (molde 18 cm, 4 discos)</t>
  </si>
  <si>
    <t xml:space="preserve">Cantidad</t>
  </si>
  <si>
    <t xml:space="preserve">Costo unitario</t>
  </si>
  <si>
    <t xml:space="preserve">Costo</t>
  </si>
  <si>
    <t xml:space="preserve">Nota</t>
  </si>
  <si>
    <t xml:space="preserve">Costo de la tanda</t>
  </si>
  <si>
    <t xml:space="preserve">Horno 150 °C, 30–35 min · enfriar boca abajo · discos de 9 cm</t>
  </si>
  <si>
    <t xml:space="preserve">Fórmula maestra · Crema fluida Douyin (2 porciones)</t>
  </si>
  <si>
    <t xml:space="preserve">Montar a 50–60 % · prueba de la cinta continua</t>
  </si>
  <si>
    <t xml:space="preserve">Fórmula maestra · Jarabe de imbibición (2 porciones)</t>
  </si>
  <si>
    <t xml:space="preserve">Templar a 15–20 °C · imbibición 1:1 en peso</t>
  </si>
  <si>
    <t xml:space="preserve">Las fórmulas maestras son la mediana de las 51 fichas del chef, calculada por la edición: sirven como base para crear recetas nuevas.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</si>
  <si>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</si>
  <si>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</si>
  <si>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</si>
  <si>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</si>
  <si>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Componente</t>
  </si>
  <si>
    <t xml:space="preserve">Grupo del chef</t>
  </si>
  <si>
    <t xml:space="preserve">Texto original del chef</t>
  </si>
  <si>
    <t xml:space="preserve">Factor de uso</t>
  </si>
  <si>
    <t xml:space="preserve">Tiramisú Clásico de Cascada Douyin (Pull-Me-Up Lava Tiramisu)</t>
  </si>
  <si>
    <t xml:space="preserve">bizcocho</t>
  </si>
  <si>
    <t xml:space="preserve">Para el Bizcocho Chiffon de Vainilla (molde 18 cm, rinde para 4 discos)</t>
  </si>
  <si>
    <t xml:space="preserve">60 g Harina de trigo baja en proteína (harina para repostería o pastelera)</t>
  </si>
  <si>
    <t xml:space="preserve">40 g Yemas de huevo pasteurizadas</t>
  </si>
  <si>
    <t xml:space="preserve">80 g Claras de huevo a 4 °C</t>
  </si>
  <si>
    <t xml:space="preserve">40 g Azúcar refinada (para el merengue)</t>
  </si>
  <si>
    <t xml:space="preserve">30 ml Aceite vegetal de maíz o girasol</t>
  </si>
  <si>
    <t xml:space="preserve">35 ml Leche entera</t>
  </si>
  <si>
    <t xml:space="preserve">4 ml Extracto puro de vainilla</t>
  </si>
  <si>
    <t xml:space="preserve">1 g Sal fina</t>
  </si>
  <si>
    <t xml:space="preserve">1 g Crémor tártaro</t>
  </si>
  <si>
    <t xml:space="preserve">jarabe</t>
  </si>
  <si>
    <t xml:space="preserve">Para el Jarabe de Café Espresso (Punch)</t>
  </si>
  <si>
    <t xml:space="preserve">60 ml Café espresso doble recién extraído (tueste medio-oscuro)</t>
  </si>
  <si>
    <t xml:space="preserve">20 ml Agua purificada</t>
  </si>
  <si>
    <t xml:space="preserve">15 g Azúcar refinada</t>
  </si>
  <si>
    <t xml:space="preserve">10 ml Licor de café Kahlúa o Marsala seco</t>
  </si>
  <si>
    <t xml:space="preserve">crema</t>
  </si>
  <si>
    <t xml:space="preserve">Para la Crema Fluida de Mascarpone Douyin</t>
  </si>
  <si>
    <t xml:space="preserve">200 g Queso Mascarpone italiano a 10 °C (80% M.G.)</t>
  </si>
  <si>
    <t xml:space="preserve">200 ml Crema para batir con 35% materia grasa (bien fría a 3 °C)</t>
  </si>
  <si>
    <t xml:space="preserve">50 g Leche condensada azucarada (aporta sedosidad y brillo al flujo)</t>
  </si>
  <si>
    <t xml:space="preserve">30 g Azúcar glas tamizada</t>
  </si>
  <si>
    <t xml:space="preserve">3 g Extracto de vainilla Bourbon</t>
  </si>
  <si>
    <t xml:space="preserve">acabado</t>
  </si>
  <si>
    <t xml:space="preserve">Para el Acabado</t>
  </si>
  <si>
    <t xml:space="preserve">8 g Cacao amargo puro alcalinizado en polvo</t>
  </si>
  <si>
    <t xml:space="preserve">15 g Crispearls de chocolate negro 55%</t>
  </si>
  <si>
    <t xml:space="preserve">Espresso Doble con Cubierta Craquelada de Chocolate (Smash Tiramisu Box)</t>
  </si>
  <si>
    <t xml:space="preserve">Para el Chiffon de Café Mocha</t>
  </si>
  <si>
    <t xml:space="preserve">50 g Harina pastelera</t>
  </si>
  <si>
    <t xml:space="preserve">10 g Cacao amargo alcalinizado</t>
  </si>
  <si>
    <t xml:space="preserve">4 g Café soluble micronizado disuelto en 35 ml de leche tibia</t>
  </si>
  <si>
    <t xml:space="preserve">35 g Yemas de huevo</t>
  </si>
  <si>
    <t xml:space="preserve">75 g Claras de huevo</t>
  </si>
  <si>
    <t xml:space="preserve">40 g Azúcar refinada</t>
  </si>
  <si>
    <t xml:space="preserve">25 ml Aceite vegetal neutro</t>
  </si>
  <si>
    <t xml:space="preserve">1 g Sal</t>
  </si>
  <si>
    <t xml:space="preserve">Para el Jarabe Ristretto</t>
  </si>
  <si>
    <t xml:space="preserve">50 ml Café ristretto doble (extracción corta y densa)</t>
  </si>
  <si>
    <t xml:space="preserve">20 ml Jarabe simple 50/50 (agua y azúcar)</t>
  </si>
  <si>
    <t xml:space="preserve">5 ml Licor de avellana Frangelico o Kahlúa</t>
  </si>
  <si>
    <t xml:space="preserve">Para la Crema de Mascarpone</t>
  </si>
  <si>
    <t xml:space="preserve">120 g Queso Mascarpone a 10 °C</t>
  </si>
  <si>
    <t xml:space="preserve">120 ml Crema para batir 35% M.G. fría</t>
  </si>
  <si>
    <t xml:space="preserve">35 g Azúcar glas</t>
  </si>
  <si>
    <t xml:space="preserve">20 g Leche condensada</t>
  </si>
  <si>
    <t xml:space="preserve">2 ml Extracto de vainilla</t>
  </si>
  <si>
    <t xml:space="preserve">Para la Cubierta Craquelada (Magic Shell)</t>
  </si>
  <si>
    <t xml:space="preserve">35 g Chocolate amargo 60% cacao (troceado o en callets)</t>
  </si>
  <si>
    <t xml:space="preserve">10 g Aceite de coco refinado desodorizado (permite que el chocolate quiebre a la menor presión de cuchara)</t>
  </si>
  <si>
    <t xml:space="preserve">2 g Cacao en polvo para decorar</t>
  </si>
  <si>
    <t xml:space="preserve">Hojicha Tostado de Kioto con Crema de Leche Fluida</t>
  </si>
  <si>
    <t xml:space="preserve">Para los Ladyfingers al Hojicha (Savoiardi asiáticos)</t>
  </si>
  <si>
    <t xml:space="preserve">50 g Claras de huevo</t>
  </si>
  <si>
    <t xml:space="preserve">30 g Yemas de huevo</t>
  </si>
  <si>
    <t xml:space="preserve">45 g Harina baja en proteína</t>
  </si>
  <si>
    <t xml:space="preserve">6 g Té Hojicha en polvo micronizado fino</t>
  </si>
  <si>
    <t xml:space="preserve">Azúcar glas para espolvorear antes de hornear</t>
  </si>
  <si>
    <t xml:space="preserve">Para el Jarabe Concentrado de Hojicha</t>
  </si>
  <si>
    <t xml:space="preserve">10 g Hojas de té Hojicha de tueste oscuro</t>
  </si>
  <si>
    <t xml:space="preserve">120 ml Agua purificada hirviendo (infundir 6 min tapado y colar para obtener 80 ml de licor concentrado)</t>
  </si>
  <si>
    <t xml:space="preserve">20 g Azúcar mascabado claro</t>
  </si>
  <si>
    <t xml:space="preserve">5 ml Licor de whisky japonés o licor de té</t>
  </si>
  <si>
    <t xml:space="preserve">Para la Crema de Hojicha y Mascarpone</t>
  </si>
  <si>
    <t xml:space="preserve">180 g Queso Mascarpone</t>
  </si>
  <si>
    <t xml:space="preserve">220 ml Crema para batir 35% M.G.</t>
  </si>
  <si>
    <t xml:space="preserve">8 g Polvo de té Hojicha micronizado grado repostero</t>
  </si>
  <si>
    <t xml:space="preserve">50 g Leche condensada</t>
  </si>
  <si>
    <t xml:space="preserve">25 g Azúcar glas</t>
  </si>
  <si>
    <t xml:space="preserve">Café Dalgona Caramelizado con Toffee Crunch</t>
  </si>
  <si>
    <t xml:space="preserve">Para el Chiffon Base y Jarabe</t>
  </si>
  <si>
    <t xml:space="preserve">80 g Bizcocho Chiffon de vainilla cortado en dados de 2 cm</t>
  </si>
  <si>
    <t xml:space="preserve">40 ml Agua tibia</t>
  </si>
  <si>
    <t xml:space="preserve">20 g Jarabe de caramelo líquido</t>
  </si>
  <si>
    <t xml:space="preserve">5 ml Licor de café</t>
  </si>
  <si>
    <t xml:space="preserve">Para la Crema Base de Mascarpone</t>
  </si>
  <si>
    <t xml:space="preserve">160 g Mascarpone</t>
  </si>
  <si>
    <t xml:space="preserve">160 ml Crema para batir 35% M.G.</t>
  </si>
  <si>
    <t xml:space="preserve">40 g Leche condensada</t>
  </si>
  <si>
    <t xml:space="preserve">20 g Azúcar glas</t>
  </si>
  <si>
    <t xml:space="preserve">3 ml Vainilla</t>
  </si>
  <si>
    <t xml:space="preserve">Para la Espuma Dalgona Estable</t>
  </si>
  <si>
    <t xml:space="preserve">20 g Café soluble granulado liofilizado clásico</t>
  </si>
  <si>
    <t xml:space="preserve">30 g Azúcar refinada</t>
  </si>
  <si>
    <t xml:space="preserve">30 ml Agua purificada hirviendo</t>
  </si>
  <si>
    <t xml:space="preserve">1 g Gelatina en polvo sin sabor hidratada en 5 ml de agua (secreto de estabilidad para que la espuma no colapse en 24 h)</t>
  </si>
  <si>
    <t xml:space="preserve">Para el Honeycomb Toffee (Dalgona Candy crujiente)</t>
  </si>
  <si>
    <t xml:space="preserve">50 g Azúcar refinada</t>
  </si>
  <si>
    <t xml:space="preserve">20 g Jarabe de glucosa</t>
  </si>
  <si>
    <t xml:space="preserve">10 ml Agua</t>
  </si>
  <si>
    <t xml:space="preserve">3 g Bicarbonato de sodio tamizado</t>
  </si>
  <si>
    <t xml:space="preserve">Mocha Profundo con Sal Marina de Maldon y Nibs de Cacao Mocha Profundo con Sal Marina de Maldon y Nibs de Cacao</t>
  </si>
  <si>
    <t xml:space="preserve">Para la Base de Chiffon Oscuro</t>
  </si>
  <si>
    <t xml:space="preserve">40 g Harina baja en proteína</t>
  </si>
  <si>
    <t xml:space="preserve">18 g Cacao negro alcalinizado puro</t>
  </si>
  <si>
    <t xml:space="preserve">45 g Azúcar refinada</t>
  </si>
  <si>
    <t xml:space="preserve">30 ml Aceite vegetal</t>
  </si>
  <si>
    <t xml:space="preserve">40 ml Leche tibia</t>
  </si>
  <si>
    <t xml:space="preserve">Para el Jarabe</t>
  </si>
  <si>
    <t xml:space="preserve">50 ml Café espresso doble concentrado</t>
  </si>
  <si>
    <t xml:space="preserve">10 ml Licor de cacao oscuro o ron añejo</t>
  </si>
  <si>
    <t xml:space="preserve">Para la Crema de Mascarpone con Sal Marina</t>
  </si>
  <si>
    <t xml:space="preserve">180 g Mascarpone a 10 °C</t>
  </si>
  <si>
    <t xml:space="preserve">200 ml Crema para batir 35% M.G.</t>
  </si>
  <si>
    <t xml:space="preserve">3 g Flor de sal marina fina (disuelta en la leche condensada)</t>
  </si>
  <si>
    <t xml:space="preserve">Para el Corazón de Ganache Fluida (Lava Center)</t>
  </si>
  <si>
    <t xml:space="preserve">50 g Cobertura de chocolate amargo 70%</t>
  </si>
  <si>
    <t xml:space="preserve">50 ml Crema para batir caliente (60 °C)</t>
  </si>
  <si>
    <t xml:space="preserve">10 g Jarabe de glucosa (mantiene fluidez en frío)</t>
  </si>
  <si>
    <t xml:space="preserve">Para el Remate</t>
  </si>
  <si>
    <t xml:space="preserve">6 g Cacao en polvo amargo</t>
  </si>
  <si>
    <t xml:space="preserve">10 g Nibs de cacao criollo tostados</t>
  </si>
  <si>
    <t xml:space="preserve">2 g Escamas de sal Maldon</t>
  </si>
  <si>
    <t xml:space="preserve">Tiramisú de Caramelo Salado con Mantequilla Tostada (Beurre Noisette)</t>
  </si>
  <si>
    <t xml:space="preserve">Para el Chiffon de Azúcar Morena (4 discos de 9 cm)</t>
  </si>
  <si>
    <t xml:space="preserve">60 g Harina baja en proteína</t>
  </si>
  <si>
    <t xml:space="preserve">40 g Yemas de huevo</t>
  </si>
  <si>
    <t xml:space="preserve">80 g Claras de huevo</t>
  </si>
  <si>
    <t xml:space="preserve">45 g Azúcar mascabado claro</t>
  </si>
  <si>
    <t xml:space="preserve">30 ml Aceite vegetal neutro</t>
  </si>
  <si>
    <t xml:space="preserve">Para el Jarabe de Espresso</t>
  </si>
  <si>
    <t xml:space="preserve">50 ml Café espresso doble</t>
  </si>
  <si>
    <t xml:space="preserve">25 ml Agua purificada</t>
  </si>
  <si>
    <t xml:space="preserve">15 g Azúcar mascabado</t>
  </si>
  <si>
    <t xml:space="preserve">5 ml Licor de ron añejo</t>
  </si>
  <si>
    <t xml:space="preserve">Para la Crema Fluida al Beurre Noisette</t>
  </si>
  <si>
    <t xml:space="preserve">180 g Queso Mascarpone a 10 °C</t>
  </si>
  <si>
    <t xml:space="preserve">180 ml Crema para batir 35% M.G. fría</t>
  </si>
  <si>
    <t xml:space="preserve">35 g Mantequilla sin sal de alta calidad (cocinada a beurre noisette dorado y colada a 30 g)</t>
  </si>
  <si>
    <t xml:space="preserve">45 g Leche condensada</t>
  </si>
  <si>
    <t xml:space="preserve">2 g Sal de Colima fina</t>
  </si>
  <si>
    <t xml:space="preserve">Para la Salsa Toffee y Terminado</t>
  </si>
  <si>
    <t xml:space="preserve">60 g Azúcar mascabado</t>
  </si>
  <si>
    <t xml:space="preserve">40 ml Crema para batir caliente</t>
  </si>
  <si>
    <t xml:space="preserve">15 g Mantequilla con sal</t>
  </si>
  <si>
    <t xml:space="preserve">1 g Flor de sal</t>
  </si>
  <si>
    <t xml:space="preserve">15 g Toffee crujiente triturado a 2 mm</t>
  </si>
  <si>
    <t xml:space="preserve">2 g Cacao en polvo para tamizar</t>
  </si>
  <si>
    <t xml:space="preserve">Café con Leche Condensada estilo Vietnamita (Cà Phê Trứng Tiramisu)</t>
  </si>
  <si>
    <t xml:space="preserve">Para los Ladyfingers y Jarabe Robusta</t>
  </si>
  <si>
    <t xml:space="preserve">60 g Ladyfingers esponjosos neutros</t>
  </si>
  <si>
    <t xml:space="preserve">70 ml Café Robusta vietnamita recién extraído en filtro Phin tradicional (tueste oscuro con notas a cacao amargo)</t>
  </si>
  <si>
    <t xml:space="preserve">25 g Leche condensada</t>
  </si>
  <si>
    <t xml:space="preserve">10 ml Licor de café denso</t>
  </si>
  <si>
    <t xml:space="preserve">Para la Crema de Café de Huevo y Mascarpone</t>
  </si>
  <si>
    <t xml:space="preserve">160 g Mascarpone a 10 °C</t>
  </si>
  <si>
    <t xml:space="preserve">160 ml Crema para batir 35% M.G. fría</t>
  </si>
  <si>
    <t xml:space="preserve">70 g Leche condensada azucarada</t>
  </si>
  <si>
    <t xml:space="preserve">Para la Cubierta</t>
  </si>
  <si>
    <t xml:space="preserve">4 g Cacao amargo en polvo</t>
  </si>
  <si>
    <t xml:space="preserve">2 g Café instantáneo finamente pulverizado a mortero</t>
  </si>
  <si>
    <t xml:space="preserve">Tiramisú de Té Negro Asamés con Leche Tostada y Boba de Azúcar Morena</t>
  </si>
  <si>
    <t xml:space="preserve">Para el Chiffon de Té Negro Assam</t>
  </si>
  <si>
    <t xml:space="preserve">50 g Harina baja en proteína</t>
  </si>
  <si>
    <t xml:space="preserve">25 ml Aceite vegetal</t>
  </si>
  <si>
    <t xml:space="preserve">35 ml Infusión concentrada de té negro Assam (extraída con 8 g de hojas en 50 ml de agua hirviendo)</t>
  </si>
  <si>
    <t xml:space="preserve">Para el Jarabe Assam</t>
  </si>
  <si>
    <t xml:space="preserve">50 ml Infusión concentrada de té negro</t>
  </si>
  <si>
    <t xml:space="preserve">20 ml Jarabe de azúcar morena (Brown Sugar Syrup)</t>
  </si>
  <si>
    <t xml:space="preserve">5 ml Ron especiado</t>
  </si>
  <si>
    <t xml:space="preserve">Para la Crema de Leche Tostada y Mascarpone</t>
  </si>
  <si>
    <t xml:space="preserve">180 g Mascarpone</t>
  </si>
  <si>
    <t xml:space="preserve">180 ml Crema para batir 35% M.G.</t>
  </si>
  <si>
    <t xml:space="preserve">20 g Leche entera en polvo tostada (tostada en sartén a fuego bajo hasta dorar y oler a toffee)</t>
  </si>
  <si>
    <t xml:space="preserve">Para las Perlas de Tapioca (Brown Sugar Boba)</t>
  </si>
  <si>
    <t xml:space="preserve">60 g Perlas de tapioca negras crudas (hervidas 25 min y reposadas 20 min)</t>
  </si>
  <si>
    <t xml:space="preserve">40 g Azúcar mascabado oscuro o azúcar negro de Okinawa disuelta en 30 ml de agua hirviendo para formar el jarabe espeso</t>
  </si>
  <si>
    <t xml:space="preserve">Capuchino Frappé con Crema de Queso Salado y Canela Ceilán</t>
  </si>
  <si>
    <t xml:space="preserve">Para el Chiffon de Canela y Jarabe</t>
  </si>
  <si>
    <t xml:space="preserve">70 g Chiffon de vainilla especiado con 2 g de canela Ceilán</t>
  </si>
  <si>
    <t xml:space="preserve">50 ml Café espresso endulzado (para humedecer el bizcocho)</t>
  </si>
  <si>
    <t xml:space="preserve">Para la Granita de Espresso</t>
  </si>
  <si>
    <t xml:space="preserve">100 ml Café espresso recién hecho</t>
  </si>
  <si>
    <t xml:space="preserve">20 g Azúcar (Congelar en charola de metal y raspar con tenedor cada 45 min hasta obtener escamas congeladas finas)</t>
  </si>
  <si>
    <t xml:space="preserve">Para la Crema Fluida de Queso Salado (Cheese Foam Tiramisu)</t>
  </si>
  <si>
    <t xml:space="preserve">120 g Queso Mascarpone</t>
  </si>
  <si>
    <t xml:space="preserve">60 g Queso crema tipo Philadelphia (aporta acidez láctea característica del topping asiático)</t>
  </si>
  <si>
    <t xml:space="preserve">25 g Azúcar refinada</t>
  </si>
  <si>
    <t xml:space="preserve">3.5 g Sal marina fina molida</t>
  </si>
  <si>
    <t xml:space="preserve">3 g Canela Ceilán en polvo de alta pureza</t>
  </si>
  <si>
    <t xml:space="preserve">10 g Perlas crujientes de chocolate con leche</t>
  </si>
  <si>
    <t xml:space="preserve">Tiramisú de Avellana Tostada Gianduja con Craquelado de Chocolate con Leche</t>
  </si>
  <si>
    <t xml:space="preserve">Para el Chiffon y Jarabe</t>
  </si>
  <si>
    <t xml:space="preserve">80 g Chiffon de cacao alcalinizado (2 capas de 9.5 x 9.5 cm)</t>
  </si>
  <si>
    <t xml:space="preserve">45 ml Café espresso concentrado</t>
  </si>
  <si>
    <t xml:space="preserve">20 ml Jarabe simple</t>
  </si>
  <si>
    <t xml:space="preserve">10 ml Licor Frangelico (destilado de avellanas)</t>
  </si>
  <si>
    <t xml:space="preserve">Para la Crema Fluida de Gianduja</t>
  </si>
  <si>
    <t xml:space="preserve">45 g Pasta pura de avellana tostada 100% (sin azúcar añadida, refinada a microescala)</t>
  </si>
  <si>
    <t xml:space="preserve">35 g Leche condensada</t>
  </si>
  <si>
    <t xml:space="preserve">15 g Azúcar glas</t>
  </si>
  <si>
    <t xml:space="preserve">1 g Sal marina</t>
  </si>
  <si>
    <t xml:space="preserve">Para la Cubierta Craquelada (Ferrero Crackling Shell)</t>
  </si>
  <si>
    <t xml:space="preserve">40 g Chocolate con leche 38% cacao</t>
  </si>
  <si>
    <t xml:space="preserve">12 g Aceite de coco desodorizado</t>
  </si>
  <si>
    <t xml:space="preserve">15 g Avellanas tostadas peladas picadas en granillo de 2 mm</t>
  </si>
  <si>
    <t xml:space="preserve">Tiramisú de Matcha Ceremonial de Uji con Frijol Rojo Dulce (Ogura)</t>
  </si>
  <si>
    <t xml:space="preserve">Para el Chiffon de Matcha (4 discos de 9 cm)</t>
  </si>
  <si>
    <t xml:space="preserve">10 g Té Matcha ceremonial de Uji (tamizado fino)</t>
  </si>
  <si>
    <t xml:space="preserve">30 ml Aceite vegetal de maíz</t>
  </si>
  <si>
    <t xml:space="preserve">40 ml Leche entera tibia (para disolver el té)</t>
  </si>
  <si>
    <t xml:space="preserve">Para el Jarabe de Matcha (Punch)</t>
  </si>
  <si>
    <t xml:space="preserve">6 g Té Matcha ceremonial</t>
  </si>
  <si>
    <t xml:space="preserve">60 ml Agua purificada a 75 °C (no hirviendo, para no oxidar el té)</t>
  </si>
  <si>
    <t xml:space="preserve">20 g Azúcar refinada</t>
  </si>
  <si>
    <t xml:space="preserve">5 ml Licor de melón Midori o Kirsch</t>
  </si>
  <si>
    <t xml:space="preserve">Para la Crema Fluida de Mascarpone y Matcha</t>
  </si>
  <si>
    <t xml:space="preserve">200 g Queso Mascarpone a 10 °C</t>
  </si>
  <si>
    <t xml:space="preserve">200 ml Crema para batir 35% M.G. fría</t>
  </si>
  <si>
    <t xml:space="preserve">8 g Té Matcha ceremonial disuelto en 30 ml de crema tibia</t>
  </si>
  <si>
    <t xml:space="preserve">Para el Corazón y Acabado</t>
  </si>
  <si>
    <t xml:space="preserve">60 g Pasta de frijol rojo dulce azuki con tropezón de grano (Tsubu-an)</t>
  </si>
  <si>
    <t xml:space="preserve">6 g Polvo de Matcha ceremonial de Uji puro para el velo final</t>
  </si>
  <si>
    <t xml:space="preserve">Té Oolong Tostado de Montaña Alta (Tieguanyin) con Durazno Blanco</t>
  </si>
  <si>
    <t xml:space="preserve">Para el Chiffon de Tieguanyin</t>
  </si>
  <si>
    <t xml:space="preserve">40 ml Infusión concentrada de hojas de Tieguanyin (hervida con 10 g de té)</t>
  </si>
  <si>
    <t xml:space="preserve">Para el Jarabe Concentrado</t>
  </si>
  <si>
    <t xml:space="preserve">50 ml Infusión concentrada de Oolong</t>
  </si>
  <si>
    <t xml:space="preserve">20 ml Jarabe simple 50/50</t>
  </si>
  <si>
    <t xml:space="preserve">10 ml Licor de durazno blanco japonés (Peachtree o licor artesanal)</t>
  </si>
  <si>
    <t xml:space="preserve">Para la Crema Fluida de Oolong</t>
  </si>
  <si>
    <t xml:space="preserve">130 g Queso Mascarpone</t>
  </si>
  <si>
    <t xml:space="preserve">6 g Té Oolong molido ultra fino en molino de piedra (malla 100)</t>
  </si>
  <si>
    <t xml:space="preserve">Para el Relleno y Cubierta</t>
  </si>
  <si>
    <t xml:space="preserve">60 g Dados pequeños (3 mm) de durazno blanco salteados brevemente con una pizca de azúcar y escurridos en seco</t>
  </si>
  <si>
    <t xml:space="preserve">5 g Polvo de Oolong tamizado para decorar</t>
  </si>
  <si>
    <t xml:space="preserve">Té Negro Ceylon Milk Tea con Volcán de Tapioca y Crujiente de Galleta</t>
  </si>
  <si>
    <t xml:space="preserve">Para la Imbibición al Ceylon</t>
  </si>
  <si>
    <t xml:space="preserve">50 ml Infusión ultra concentrada de té negro Ceylon (hoja rota tipo BOP)</t>
  </si>
  <si>
    <t xml:space="preserve">20 ml Leche evaporada</t>
  </si>
  <si>
    <t xml:space="preserve">5 ml Ron añejo oscuro</t>
  </si>
  <si>
    <t xml:space="preserve">Para la Crema Fluida de Milk Tea</t>
  </si>
  <si>
    <t xml:space="preserve">25 ml Reducción densa de té negro Ceylon y leche evaporada (tipo "té de pantimedias" tradicional)</t>
  </si>
  <si>
    <t xml:space="preserve">55 g Leche condensada</t>
  </si>
  <si>
    <t xml:space="preserve">Para el Volcán de Boba</t>
  </si>
  <si>
    <t xml:space="preserve">70 g Perlas de tapioca negras cocidas (mantenidas a 35 °C en jarabe denso de piloncillo/azúcar negro)</t>
  </si>
  <si>
    <t xml:space="preserve">20 g Migajas crujientes de galleta de mantequilla horneada tostada</t>
  </si>
  <si>
    <t xml:space="preserve">Té de Jazmín Real con Nido de Leche y Perlas Cristal de Agar</t>
  </si>
  <si>
    <t xml:space="preserve">Para el Chiffon de Jazmín</t>
  </si>
  <si>
    <t xml:space="preserve">35 ml Infusión concentrada de té verde al jazmín (enfriada a 20 °C)</t>
  </si>
  <si>
    <t xml:space="preserve">50 ml Infusión fresca de jazmín (extraída a 80 °C por 4 min)</t>
  </si>
  <si>
    <t xml:space="preserve">15 g Azúcar de caña clara</t>
  </si>
  <si>
    <t xml:space="preserve">5 ml Licor de flor de saúco (St-Germain) o agua de azahar (microdosis de 1 ml)</t>
  </si>
  <si>
    <t xml:space="preserve">Para la Crema Fluida de Jazmín</t>
  </si>
  <si>
    <t xml:space="preserve">180 ml Crema para batir 35% M.G. (infusionada en frío durante 12 horas con 10 g de flores de té de jazmín y colada en frío)</t>
  </si>
  <si>
    <t xml:space="preserve">Para el Topping</t>
  </si>
  <si>
    <t xml:space="preserve">60 g Perlas cristalinas de agar-agar transparentes escurridas</t>
  </si>
  <si>
    <t xml:space="preserve">Flores secas de jazmín comestibles</t>
  </si>
  <si>
    <t xml:space="preserve">Earl Grey con Lavanda Francesa y Velo de Cacao Ruby</t>
  </si>
  <si>
    <t xml:space="preserve">Para el Chiffon de Earl Grey</t>
  </si>
  <si>
    <t xml:space="preserve">40 ml Infusión concentrada de té negro Earl Grey</t>
  </si>
  <si>
    <t xml:space="preserve">2 g Hojas de té Earl Grey pulverizadas integradas a la harina</t>
  </si>
  <si>
    <t xml:space="preserve">Para el Jarabe Perfumado</t>
  </si>
  <si>
    <t xml:space="preserve">60 ml Infusión caliente de Earl Grey</t>
  </si>
  <si>
    <t xml:space="preserve">2 g Flores secas de lavanda culinaria francesa (infundidas 3 min en el jarabe caliente y coladas)</t>
  </si>
  <si>
    <t xml:space="preserve">5 ml Gin botánico o licor cítrico</t>
  </si>
  <si>
    <t xml:space="preserve">Para la Crema Fluida de Mascarpone</t>
  </si>
  <si>
    <t xml:space="preserve">190 ml Crema para batir 35% M.G. fría</t>
  </si>
  <si>
    <t xml:space="preserve">2 gotas Aceite esencial puro de bergamota grado alimentario (o ralladura microplane de bergamota fresca)</t>
  </si>
  <si>
    <t xml:space="preserve">15 g Cobertura de chocolate Ruby rallada finamente como talco</t>
  </si>
  <si>
    <t xml:space="preserve">15 g Crispearls de chocolate Ruby con núcleo de cereal crujiente</t>
  </si>
  <si>
    <t xml:space="preserve">Té Blanco Aguja de Plata con Flor de Loto y Néctar de Litchi</t>
  </si>
  <si>
    <t xml:space="preserve">Para el Chiffon de Té Blanco</t>
  </si>
  <si>
    <t xml:space="preserve">50 g Harina baja en proteína (repostería)</t>
  </si>
  <si>
    <t xml:space="preserve">35 g Yemas de huevo pasteurizadas</t>
  </si>
  <si>
    <t xml:space="preserve">75 g Claras de huevo a 4 °C</t>
  </si>
  <si>
    <t xml:space="preserve">25 ml Aceite vegetal de girasol o maíz</t>
  </si>
  <si>
    <t xml:space="preserve">35 ml Infusión concentrada de té blanco Aguja de Plata (Bai Hao Yin Zhen, infusionado a 75 °C)</t>
  </si>
  <si>
    <t xml:space="preserve">Para el Jarabe Concentrado (Punch)</t>
  </si>
  <si>
    <t xml:space="preserve">40 ml Infusión de té blanco concentrada</t>
  </si>
  <si>
    <t xml:space="preserve">25 ml Néctar o jugo puro de litchi colado</t>
  </si>
  <si>
    <t xml:space="preserve">5 ml Licor de litchi (Kwai Feh o similar)</t>
  </si>
  <si>
    <t xml:space="preserve">Para la Crema Fluida de Mascarpone y Flor de Loto</t>
  </si>
  <si>
    <t xml:space="preserve">180 g Queso Mascarpone a 10 °C (80% M.G.)</t>
  </si>
  <si>
    <t xml:space="preserve">2 ml Extracto natural destilado de flor de loto (grado alimentario)</t>
  </si>
  <si>
    <t xml:space="preserve">20 g Azúcar glas tamizada</t>
  </si>
  <si>
    <t xml:space="preserve">Para el Gelée e Inclusiones</t>
  </si>
  <si>
    <t xml:space="preserve">50 ml Infusión ligera de té blanco endulzada con 10 g de azúcar</t>
  </si>
  <si>
    <t xml:space="preserve">1.5 g Gelatina en polvo sin sabor hidratada en 8 ml de agua (cortada en cubitos de 3 mm)</t>
  </si>
  <si>
    <t xml:space="preserve">50 g Litchis frescos o en almíbar ligero, escurridos en seco y cortados en cubos de 3 mm</t>
  </si>
  <si>
    <t xml:space="preserve">Hojicha Tostado Profundo al Carbón con Crema de Avellana y Caramelo Kuromitsu</t>
  </si>
  <si>
    <t xml:space="preserve">Para el Chiffon de Hojicha Tostado (4 discos de 9 cm)</t>
  </si>
  <si>
    <t xml:space="preserve">12 g Polvo de té Hojicha tostado oscuro al carbón (tamizado fino)</t>
  </si>
  <si>
    <t xml:space="preserve">40 ml Leche entera tibia</t>
  </si>
  <si>
    <t xml:space="preserve">Para el Jarabe Imbibidor</t>
  </si>
  <si>
    <t xml:space="preserve">50 ml Infusión concentrada de Hojicha tostado</t>
  </si>
  <si>
    <t xml:space="preserve">20 ml Jarabe Kuromitsu artesanal (azúcar negro de Okinawa y agua al 50/50 reducido)</t>
  </si>
  <si>
    <t xml:space="preserve">5 ml Whisky japonés o ron añejo</t>
  </si>
  <si>
    <t xml:space="preserve">Para la Crema Fluida de Hojicha y Mascarpone</t>
  </si>
  <si>
    <t xml:space="preserve">190 g Queso Mascarpone a 10 °C</t>
  </si>
  <si>
    <t xml:space="preserve">10 g Polvo de Hojicha micronizado disuelto en 30 ml de crema tibia</t>
  </si>
  <si>
    <t xml:space="preserve">20 g Pasta pura de avellana tostada 100%</t>
  </si>
  <si>
    <t xml:space="preserve">60 g Jarabe Kuromitsu espeso para el núcleo y veteado</t>
  </si>
  <si>
    <t xml:space="preserve">5 g Polvo de Hojicha puro para tamizar</t>
  </si>
  <si>
    <t xml:space="preserve">10 g Avellanas tostadas peladas picadas a 2 mm</t>
  </si>
  <si>
    <t xml:space="preserve">Té Pu-erh Imperial Fermentado con Cáscara de Mandarina Chenpi y Cacao Oscuro</t>
  </si>
  <si>
    <t xml:space="preserve">Para el Chiffon de Pu-erh</t>
  </si>
  <si>
    <t xml:space="preserve">40 ml Infusión concentrada de té Pu-erh cocido (Shou Pu-erh, añejado mínimo 5 años)</t>
  </si>
  <si>
    <t xml:space="preserve">2 g Cáscara de mandarina deshidratada envejecida (Chenpi) molida a polvo fino</t>
  </si>
  <si>
    <t xml:space="preserve">Para el Jarabe de Imbibición</t>
  </si>
  <si>
    <t xml:space="preserve">50 ml Infusión concentrada de Pu-erh</t>
  </si>
  <si>
    <t xml:space="preserve">20 ml Jarabe simple de azúcar morena</t>
  </si>
  <si>
    <t xml:space="preserve">5 ml Licor de naranja Grand Garnier o Cointreau</t>
  </si>
  <si>
    <t xml:space="preserve">25 ml Reducción densa de té Pu-erh (extraída a partir de 100 ml de infusión concentrada reducida a fuego bajo)</t>
  </si>
  <si>
    <t xml:space="preserve">Para el Veteado y Acabado</t>
  </si>
  <si>
    <t xml:space="preserve">40 g Mermelada densa o reducción artesanal de mandarina criolla</t>
  </si>
  <si>
    <t xml:space="preserve">6 g Cacao amargo alcalinizado en polvo</t>
  </si>
  <si>
    <t xml:space="preserve">Ralladura fresca microplane de mandarina (solo parte naranja)</t>
  </si>
  <si>
    <t xml:space="preserve">Manzanilla Silvestre con Miel de Azahar y Jalea de Limón Meyer</t>
  </si>
  <si>
    <t xml:space="preserve">Para el Chiffon de Manzanilla</t>
  </si>
  <si>
    <t xml:space="preserve">15 g Miel pura de azahar</t>
  </si>
  <si>
    <t xml:space="preserve">35 ml Infusión concentrada de flores de manzanilla (Matricaria chamomilla)</t>
  </si>
  <si>
    <t xml:space="preserve">45 ml Infusión concentrada de manzanilla</t>
  </si>
  <si>
    <t xml:space="preserve">20 g Miel pura de azahar líquida</t>
  </si>
  <si>
    <t xml:space="preserve">5 ml Licor de flor de saúco o aguardiente de manzana</t>
  </si>
  <si>
    <t xml:space="preserve">Para la Crema Fluida de Mascarpone y Miel</t>
  </si>
  <si>
    <t xml:space="preserve">40 g Miel de azahar pura</t>
  </si>
  <si>
    <t xml:space="preserve">Para el Veteado Cítrico</t>
  </si>
  <si>
    <t xml:space="preserve">50 g Jalea o curd suave de limón Meyer colado (viscosidad fluida para veteado)</t>
  </si>
  <si>
    <t xml:space="preserve">Flores secas de manzanilla seleccionadas para terminar</t>
  </si>
  <si>
    <t xml:space="preserve">Té Verde Sencha de Shizuoka con Yuzu Japonés y Glaseado de Rocío</t>
  </si>
  <si>
    <t xml:space="preserve">Para el Chiffon de Sencha (4 discos de 9 cm)</t>
  </si>
  <si>
    <t xml:space="preserve">10 g Polvo micronizado de té verde Sencha de primera cosecha</t>
  </si>
  <si>
    <t xml:space="preserve">40 ml Agua tibia purificada a 70 °C</t>
  </si>
  <si>
    <t xml:space="preserve">Para el Jarabe Imbibidor al Yuzu</t>
  </si>
  <si>
    <t xml:space="preserve">45 ml Infusión concentrada de té verde Sencha (70 °C, 2 min)</t>
  </si>
  <si>
    <t xml:space="preserve">20 ml Jugo puro de Yuzu 100% natural (sin sal)</t>
  </si>
  <si>
    <t xml:space="preserve">18 g Azúcar refinada</t>
  </si>
  <si>
    <t xml:space="preserve">5 ml Licor cítrico japonés (Yuzushu)</t>
  </si>
  <si>
    <t xml:space="preserve">Para la Crema Fluida al Sencha</t>
  </si>
  <si>
    <t xml:space="preserve">6 g Polvo de Sencha disuelto en 25 ml de crema tibia</t>
  </si>
  <si>
    <t xml:space="preserve">Para el Núcleo y Cubierta</t>
  </si>
  <si>
    <t xml:space="preserve">40 g Pasta o mermelada fluida de Yuzu puro</t>
  </si>
  <si>
    <t xml:space="preserve">4 g Polvo de Sencha fino para espolvorear</t>
  </si>
  <si>
    <t xml:space="preserve">2 g Cascarilla de Yuzu deshidratada pulverizada</t>
  </si>
  <si>
    <t xml:space="preserve">Fresa Silvestre con Glaseado de Leche Condensada y Polvo Liofilizado</t>
  </si>
  <si>
    <t xml:space="preserve">Para el Chiffon de Fresa</t>
  </si>
  <si>
    <t xml:space="preserve">10 g Fresa liofilizada molida a polvo fino (tamizada a malla 80)</t>
  </si>
  <si>
    <t xml:space="preserve">25 ml Aceite vegetal de maíz</t>
  </si>
  <si>
    <t xml:space="preserve">Para el Jarabe Imbibidor (Punch)</t>
  </si>
  <si>
    <t xml:space="preserve">45 ml Reducción colada de fresa natural (jugo traslúcido)</t>
  </si>
  <si>
    <t xml:space="preserve">15 g Azúcar de caña</t>
  </si>
  <si>
    <t xml:space="preserve">5 ml Licor de fresa silvestre (Fraise des Bois) o Kirsch</t>
  </si>
  <si>
    <t xml:space="preserve">Para la Crema Fluida de Mascarpone y Nube de Leche</t>
  </si>
  <si>
    <t xml:space="preserve">60 g Leche condensada azucarada</t>
  </si>
  <si>
    <t xml:space="preserve">2 ml Extracto natural de vainilla Tahití</t>
  </si>
  <si>
    <t xml:space="preserve">Para el Núcleo y Acabado</t>
  </si>
  <si>
    <t xml:space="preserve">60 g Fresas frescas pequeñas o silvestres, cortadas en cubitos de 3 mm y salteadas 60 s con 5 g de azúcar (escurridas en seco)</t>
  </si>
  <si>
    <t xml:space="preserve">8 g Polvo puro de fresa liofilizada para el manto superior</t>
  </si>
  <si>
    <t xml:space="preserve">Mango Pomelo Sago estilo Yang Zhi Gan Lu (</t>
  </si>
  <si>
    <t xml:space="preserve">Para el Chiffon de Mango y Coco</t>
  </si>
  <si>
    <t xml:space="preserve">50 g Harina pastelera baja en proteína</t>
  </si>
  <si>
    <t xml:space="preserve">20 ml Aceite vegetal</t>
  </si>
  <si>
    <t xml:space="preserve">20 ml Leche de coco espesa (sin azúcar)</t>
  </si>
  <si>
    <t xml:space="preserve">20 g Puré colado de mango ataulfo maduro</t>
  </si>
  <si>
    <t xml:space="preserve">Para el Jarabe Tropical</t>
  </si>
  <si>
    <t xml:space="preserve">40 ml Puré de mango diluido con agua al 50/50 y colado fino</t>
  </si>
  <si>
    <t xml:space="preserve">20 ml Leche de coco ligera</t>
  </si>
  <si>
    <t xml:space="preserve">5 ml Ron blanco</t>
  </si>
  <si>
    <t xml:space="preserve">Para la Crema Fluida de Mascarpone y Coco</t>
  </si>
  <si>
    <t xml:space="preserve">170 g Queso Mascarpone a 10 °C</t>
  </si>
  <si>
    <t xml:space="preserve">50 ml Crema de coco densa (mínimo 22% grasa vegetal)</t>
  </si>
  <si>
    <t xml:space="preserve">Para las Inclusiones y Topping</t>
  </si>
  <si>
    <t xml:space="preserve">60 g Perlas de sago miniatura cocidas (transparentes y reposadas en agua fría con una pizca de azúcar)</t>
  </si>
  <si>
    <t xml:space="preserve">40 g Gajos de pomelo rosado o toronja rubí desgranados (solo las vesículas de jugo sin pellejo amargo)</t>
  </si>
  <si>
    <t xml:space="preserve">50 g Dados de mango fresco de 4 mm</t>
  </si>
  <si>
    <t xml:space="preserve">Yuzu Japonés con Limón Meyer y Merengue Suave Flambeado</t>
  </si>
  <si>
    <t xml:space="preserve">Para el Chiffon de Limón Meyer</t>
  </si>
  <si>
    <t xml:space="preserve">Ralladura fina de 2 limones Meyer (solo piel amarilla)</t>
  </si>
  <si>
    <t xml:space="preserve">45 g Azúcar refinada (frotada previamente con la ralladura)</t>
  </si>
  <si>
    <t xml:space="preserve">Para el Jarabe Cítrico</t>
  </si>
  <si>
    <t xml:space="preserve">40 ml Agua purificada</t>
  </si>
  <si>
    <t xml:space="preserve">20 ml Jugo puro de Yuzu 100% natural</t>
  </si>
  <si>
    <t xml:space="preserve">10 ml Jugo fresco de limón Meyer colado</t>
  </si>
  <si>
    <t xml:space="preserve">5 ml Licor de Yuzu (Yuzushu) o Limoncello</t>
  </si>
  <si>
    <t xml:space="preserve">Para la Crema Fluida al Yuzu</t>
  </si>
  <si>
    <t xml:space="preserve">25 ml Jugo puro de Yuzu colado</t>
  </si>
  <si>
    <t xml:space="preserve">Para el Núcleo y Merengue</t>
  </si>
  <si>
    <t xml:space="preserve">50 g Curd sedoso de Yuzu y limón Meyer</t>
  </si>
  <si>
    <t xml:space="preserve">40 g Claras de huevo + 60 g azúcar cocida a 118 °C para merengue italiano elástico</t>
  </si>
  <si>
    <t xml:space="preserve">Durazno Blanco Miel con Infusión de Té Oolong Floral</t>
  </si>
  <si>
    <t xml:space="preserve">Para el Chiffon de Oolong Floral</t>
  </si>
  <si>
    <t xml:space="preserve">40 ml Infusión concentrada de té Oolong de alta montaña (85 °C, 5 min)</t>
  </si>
  <si>
    <t xml:space="preserve">50 ml Infusión de té Oolong concentrada</t>
  </si>
  <si>
    <t xml:space="preserve">20 ml Jarabe de cocción del durazno blanco</t>
  </si>
  <si>
    <t xml:space="preserve">5 ml Licor de durazno japonés (Peachtree)</t>
  </si>
  <si>
    <t xml:space="preserve">Para la Crema Fluida de Mascarpone y Oolong</t>
  </si>
  <si>
    <t xml:space="preserve">130 g Queso Mascarpone a 10 °C</t>
  </si>
  <si>
    <t xml:space="preserve">20 ml Infusión concentrada de Oolong reducida a la mitad</t>
  </si>
  <si>
    <t xml:space="preserve">Para el Relleno y Acabado</t>
  </si>
  <si>
    <t xml:space="preserve">80 g Duraznos blancos frescos (pelados, cocidos 2 min en jarabe al 20% y cortados en cubos de 4 mm, bien escurridos)</t>
  </si>
  <si>
    <t xml:space="preserve">30 g Gelée de Oolong (infusión de Oolong cuajada con 1.5% gelatina y picada a 2 mm)</t>
  </si>
  <si>
    <t xml:space="preserve">Flores secas de osmanto (Osmanthus) para espolvorear</t>
  </si>
  <si>
    <t xml:space="preserve">Uva Verde Shine Muscat con Crema de Queso Doble Crema y Aloe Vera</t>
  </si>
  <si>
    <t xml:space="preserve">Para el Chiffon Blanco Japonés</t>
  </si>
  <si>
    <t xml:space="preserve">25 ml Aceite vegetal de girasol</t>
  </si>
  <si>
    <t xml:space="preserve">35 ml Leche entera fría</t>
  </si>
  <si>
    <t xml:space="preserve">2 ml Extracto puro de vainilla</t>
  </si>
  <si>
    <t xml:space="preserve">40 ml Jugo puro de uva blanca sin filtrar (colado por filtro de café)</t>
  </si>
  <si>
    <t xml:space="preserve">10 g Azúcar refinada</t>
  </si>
  <si>
    <t xml:space="preserve">5 ml Licor de flor de saúco (St-Germain)</t>
  </si>
  <si>
    <t xml:space="preserve">Para la Crema Fluida de Doble Queso</t>
  </si>
  <si>
    <t xml:space="preserve">140 g Queso Mascarpone a 10 °C</t>
  </si>
  <si>
    <t xml:space="preserve">50 g Queso crema tipo Philadelphia (aporta frescura láctea ácida)</t>
  </si>
  <si>
    <t xml:space="preserve">Para el Relleno y Decoración</t>
  </si>
  <si>
    <t xml:space="preserve">90 g Uvas japonesas Shine Muscat (lavadas, secas y cortadas en mitades longitudinales)</t>
  </si>
  <si>
    <t xml:space="preserve">40 g Cubos de aloe vera cristalinos de 3 mm bien escurridos</t>
  </si>
  <si>
    <t xml:space="preserve">Frambuesa Silvestre con Rosa Damascena y Velo de Litchi</t>
  </si>
  <si>
    <t xml:space="preserve">Para el Chiffon de Frambuesa</t>
  </si>
  <si>
    <t xml:space="preserve">10 g Frambuesa liofilizada en polvo fino</t>
  </si>
  <si>
    <t xml:space="preserve">35 ml Leche entera tibia</t>
  </si>
  <si>
    <t xml:space="preserve">45 ml Jugo clarificado de frambuesa colado</t>
  </si>
  <si>
    <t xml:space="preserve">20 ml Néctar puro de litchi</t>
  </si>
  <si>
    <t xml:space="preserve">5 ml Agua destilada de rosas Damascena pura (grado alimentario)</t>
  </si>
  <si>
    <t xml:space="preserve">Para la Crema Fluida de Mascarpone y Rosa</t>
  </si>
  <si>
    <t xml:space="preserve">2 ml Extracto concentrado natural de rosa Damascena</t>
  </si>
  <si>
    <t xml:space="preserve">40 g Frambuesas frescas picadas en mitades</t>
  </si>
  <si>
    <t xml:space="preserve">20 g Pulpa de litchi en cubitos de 3 mm (bien escurridos en seco)</t>
  </si>
  <si>
    <t xml:space="preserve">8 g Polvo de frambuesa liofilizada</t>
  </si>
  <si>
    <t xml:space="preserve">Pétalos secos de rosa Damascena comestible</t>
  </si>
  <si>
    <t xml:space="preserve">Maracuyá Silvestre con Mango Ataulfo y Chispas de Cacao Amargo</t>
  </si>
  <si>
    <t xml:space="preserve">Para el Chiffon de Maracuyá</t>
  </si>
  <si>
    <t xml:space="preserve">20 ml Jugo puro de maracuyá reducido (sin semillas)</t>
  </si>
  <si>
    <t xml:space="preserve">20 ml Leche entera</t>
  </si>
  <si>
    <t xml:space="preserve">35 ml Jugo puro de maracuyá colado</t>
  </si>
  <si>
    <t xml:space="preserve">25 ml Néctar colado de mango ataulfo</t>
  </si>
  <si>
    <t xml:space="preserve">5 ml Ron blanco caribeño</t>
  </si>
  <si>
    <t xml:space="preserve">Para la Crema Fluida al Maracuyá</t>
  </si>
  <si>
    <t xml:space="preserve">25 ml Reducción espesa de maracuyá (jugo reducido con 10% azúcar a fuego bajo)</t>
  </si>
  <si>
    <t xml:space="preserve">Para el Relleno y Remate</t>
  </si>
  <si>
    <t xml:space="preserve">50 g Curd fluido de maracuyá</t>
  </si>
  <si>
    <t xml:space="preserve">50 g Dados de mango ataulfo maduro firme de 4 mm</t>
  </si>
  <si>
    <t xml:space="preserve">15 g Nibs de cacao amargo tostados</t>
  </si>
  <si>
    <t xml:space="preserve">Mora Azul Silvestre con Lavanda Francesa y Velo de Vainilla</t>
  </si>
  <si>
    <t xml:space="preserve">Para el Chiffon de Mora Azul</t>
  </si>
  <si>
    <t xml:space="preserve">10 g Mora azul liofilizada pulverizada fina</t>
  </si>
  <si>
    <t xml:space="preserve">45 ml Jugo concentrado de moras azules colado</t>
  </si>
  <si>
    <t xml:space="preserve">20 ml Infusión de flores secas de lavanda francesa (2 g de flores en 30 ml de agua por 3 min)</t>
  </si>
  <si>
    <t xml:space="preserve">5 ml Gin botánico o licor de mora (Crème de Mûre)</t>
  </si>
  <si>
    <t xml:space="preserve">Para la Crema Fluida al Mascarpone</t>
  </si>
  <si>
    <t xml:space="preserve">20 g Puré colado denso de moras azules (reducido a la mitad)</t>
  </si>
  <si>
    <t xml:space="preserve">2 ml Extracto de vainilla Tahití</t>
  </si>
  <si>
    <t xml:space="preserve">60 g Moras azules frescas pequeñas cocinadas 2 min con 10 g de azúcar (escurridas)</t>
  </si>
  <si>
    <t xml:space="preserve">8 g Polvo de mora azul liofilizada pura</t>
  </si>
  <si>
    <t xml:space="preserve">Flores secas de lavanda frotadas</t>
  </si>
  <si>
    <t xml:space="preserve">Coco Tostado con Piña Colada Caramelizada y Ron Añejo</t>
  </si>
  <si>
    <t xml:space="preserve">Para el Chiffon de Coco</t>
  </si>
  <si>
    <t xml:space="preserve">10 g Harina de coco desgrasada fina</t>
  </si>
  <si>
    <t xml:space="preserve">35 ml Leche de coco pura espesa</t>
  </si>
  <si>
    <t xml:space="preserve">Para el Jarabe al Ron</t>
  </si>
  <si>
    <t xml:space="preserve">40 ml Jugo puro de piña colado</t>
  </si>
  <si>
    <t xml:space="preserve">15 g Azúcar mascabado claro</t>
  </si>
  <si>
    <t xml:space="preserve">10 ml Ron añejo oscuro (40% ABV)</t>
  </si>
  <si>
    <t xml:space="preserve">Para la Crema Fluida al Coco Tostado</t>
  </si>
  <si>
    <t xml:space="preserve">170 ml Crema para batir 35% M.G. fría</t>
  </si>
  <si>
    <t xml:space="preserve">30 g Crema de coco concentrada tostada ligeramente en sartén hasta dorar</t>
  </si>
  <si>
    <t xml:space="preserve">Para el Núcleo y Topping</t>
  </si>
  <si>
    <t xml:space="preserve">70 g Piña miel fresca cortada en cubitos de 3 mm salteada con 10 g de mantequilla, 15 g de azúcar mascabado y flameada con 10 ml de ron (escurrida)</t>
  </si>
  <si>
    <t xml:space="preserve">20 g Hojuelas finas de coco deshidratado tostadas a 160 °C hasta tono dorado crocante</t>
  </si>
  <si>
    <t xml:space="preserve">Guayaba Rosa Criolla con Queso Crema de Rancho y Piloncillo Especiado</t>
  </si>
  <si>
    <t xml:space="preserve">Para el Chiffon de Canela</t>
  </si>
  <si>
    <t xml:space="preserve">2 g Canela Ceilán molida fina</t>
  </si>
  <si>
    <t xml:space="preserve">Para el Jarabe Imbibidor al Piloncillo</t>
  </si>
  <si>
    <t xml:space="preserve">40 ml Reducción colada sin semillas de guayaba rosa criolla</t>
  </si>
  <si>
    <t xml:space="preserve">20 ml Jarabe espeso de piloncillo (piloncillo hervido con agua y raja de canela)</t>
  </si>
  <si>
    <t xml:space="preserve">10 ml Agua purificada</t>
  </si>
  <si>
    <t xml:space="preserve">5 ml Licor de caña o tequila reposado</t>
  </si>
  <si>
    <t xml:space="preserve">110 g Queso Mascarpone a 10 °C</t>
  </si>
  <si>
    <t xml:space="preserve">50 g Queso crema artesanal de rancho o queso bola de Ocosingo suave</t>
  </si>
  <si>
    <t xml:space="preserve">1.5 g Flor de sal marina</t>
  </si>
  <si>
    <t xml:space="preserve">80 g Puré tamizado espeso de guayaba rosa cocinado con 20% de azúcar hasta punto de mermelada lisa</t>
  </si>
  <si>
    <t xml:space="preserve">20 g Migajas crujientes de galleta de canela o polvorón tostado picado fino</t>
  </si>
  <si>
    <t xml:space="preserve">Sésamo Negro Tostado (Kurogoma) con Mochi Elástico y Sal Marina</t>
  </si>
  <si>
    <t xml:space="preserve">45 ml Café espresso suave o infusión tostada</t>
  </si>
  <si>
    <t xml:space="preserve">5 ml Licor de sésamo o ron blanco</t>
  </si>
  <si>
    <t xml:space="preserve">Para la Crema Fluida de Kurogoma</t>
  </si>
  <si>
    <t xml:space="preserve">40 g Pasta de sésamo negro tostado 100% (textura fina)</t>
  </si>
  <si>
    <t xml:space="preserve">1.5 g Sal marina fina</t>
  </si>
  <si>
    <t xml:space="preserve">Para el Mochi de Leche Elástico (inclusión central)</t>
  </si>
  <si>
    <t xml:space="preserve">40 g Harina de arroz glutinoso (Mochiko o Shiratamako)</t>
  </si>
  <si>
    <t xml:space="preserve">10 g Almidón de maíz (Maicena)</t>
  </si>
  <si>
    <t xml:space="preserve">90 ml Leche entera</t>
  </si>
  <si>
    <t xml:space="preserve">10 g Mantequilla sin sal fundida</t>
  </si>
  <si>
    <t xml:space="preserve">Pistache Siciliano Puro con Nido Crujiente de Masa Kataifi</t>
  </si>
  <si>
    <t xml:space="preserve">50 ml Café filtrado ligero o espresso diluido</t>
  </si>
  <si>
    <t xml:space="preserve">10 ml Licor de pistache artesanal</t>
  </si>
  <si>
    <t xml:space="preserve">Para la Crema Fluida al Pistache</t>
  </si>
  <si>
    <t xml:space="preserve">50 g Pasta pura de pistache tostado 100%</t>
  </si>
  <si>
    <t xml:space="preserve">Para el Crujiente de Kataifi (estilo viral de Dubái)</t>
  </si>
  <si>
    <t xml:space="preserve">60 g Fideos de masa kataifi fresca cortados con tijera en tramos de 1 cm</t>
  </si>
  <si>
    <t xml:space="preserve">25 g Mantequilla sin sal clarificada fundida</t>
  </si>
  <si>
    <t xml:space="preserve">10 g Azúcar glas</t>
  </si>
  <si>
    <t xml:space="preserve">Taro Morado Dulce (Ube) con Crema de Queso Salina y Perlas de Sago</t>
  </si>
  <si>
    <t xml:space="preserve">45 ml Leche evaporada</t>
  </si>
  <si>
    <t xml:space="preserve">15 g Leche condensada</t>
  </si>
  <si>
    <t xml:space="preserve">2 ml Extracto natural de vainilla</t>
  </si>
  <si>
    <t xml:space="preserve">Para el Puré Texturizado de Taro (Relleno Denso)</t>
  </si>
  <si>
    <t xml:space="preserve">100 g Raíz de taro cocida al vapor (o puré de ube morado)</t>
  </si>
  <si>
    <t xml:space="preserve">15 ml Crema para batir caliente</t>
  </si>
  <si>
    <t xml:space="preserve">1 gota Extracto de ube (para fijar tono violáceo natural)</t>
  </si>
  <si>
    <t xml:space="preserve">Para la Crema Fluida de Queso Salado (Salted Cheese Foam)</t>
  </si>
  <si>
    <t xml:space="preserve">60 g Queso crema tipo Philadelphia</t>
  </si>
  <si>
    <t xml:space="preserve">3 g Sal marina fina molida</t>
  </si>
  <si>
    <t xml:space="preserve">Kinako (Harina de Soya Tostada) con Jarabe Kuromitsu y Nueces Pecán</t>
  </si>
  <si>
    <t xml:space="preserve">50 ml Café filtrado suave o infusión de té negro</t>
  </si>
  <si>
    <t xml:space="preserve">20 ml Jarabe Kuromitsu</t>
  </si>
  <si>
    <t xml:space="preserve">5 ml Whisky japonés (Suntory o similar)</t>
  </si>
  <si>
    <t xml:space="preserve">Para la Crema Fluida al Kinako</t>
  </si>
  <si>
    <t xml:space="preserve">15 g Harina Kinako disuelta en 30 ml de crema tibia</t>
  </si>
  <si>
    <t xml:space="preserve">50 g Jarabe Kuromitsu espeso (reducción de azúcar negro de Okinawa con agua al 60/40)</t>
  </si>
  <si>
    <t xml:space="preserve">25 g Nueces pecán tostadas a 150 °C picadas en cubos de 2 mm</t>
  </si>
  <si>
    <t xml:space="preserve">8 g Harina Kinako pura para cubrir la superficie</t>
  </si>
  <si>
    <t xml:space="preserve">Castaña Asada de Kioto (Kuri) con Crema de Vainilla Bourbon y Ron Oscuro</t>
  </si>
  <si>
    <t xml:space="preserve">45 ml Café espresso doble</t>
  </si>
  <si>
    <t xml:space="preserve">10 ml Ron oscuro añejo (40% ABV)</t>
  </si>
  <si>
    <t xml:space="preserve">Para la Crema Fluida al Mascarpone y Castaña</t>
  </si>
  <si>
    <t xml:space="preserve">60 g Crema o pasta de castañas dulce (Crème de Marrons de l'Ardèche o japonesa)</t>
  </si>
  <si>
    <t xml:space="preserve">2 ml Extracto de vainilla Bourbon pura</t>
  </si>
  <si>
    <t xml:space="preserve">Para el Núcleo y Remate</t>
  </si>
  <si>
    <t xml:space="preserve">60 g Castañas confitadas o al vapor picadas en cubitos de 3 mm</t>
  </si>
  <si>
    <t xml:space="preserve">10 g Trozos de castaña asada para coronar</t>
  </si>
  <si>
    <t xml:space="preserve">Nuez de Macadamia Tostada con Chocolate Blanco y Sal Rosa del Himalaya</t>
  </si>
  <si>
    <t xml:space="preserve">10 ml Licor Frangelico o licor de macadamia</t>
  </si>
  <si>
    <t xml:space="preserve">Para la Crema Fluida al Chocolate Blanco y Mascarpone</t>
  </si>
  <si>
    <t xml:space="preserve">60 g Cobertura de chocolate blanco 34% manteca de cacao</t>
  </si>
  <si>
    <t xml:space="preserve">2 g Sal rosa del Himalaya fina</t>
  </si>
  <si>
    <t xml:space="preserve">Para el Praliné de Núcleo y Acabado</t>
  </si>
  <si>
    <t xml:space="preserve">60 g Nueces de macadamia tostadas a 150 °C, caramelizadas con 30 g de azúcar y trituradas a tropezón de 2 mm</t>
  </si>
  <si>
    <t xml:space="preserve">10 g Nueces de macadamia enteras para rallar con microplane</t>
  </si>
  <si>
    <t xml:space="preserve">1 g Escamas finas de sal rosa</t>
  </si>
  <si>
    <t xml:space="preserve">Ajonjolí Blanco Dulce con Pasta de Dátiles Medjool y Cardamomo</t>
  </si>
  <si>
    <t xml:space="preserve">Para el Jarabe Imbibidor al Cardamomo</t>
  </si>
  <si>
    <t xml:space="preserve">50 ml Café espresso doble recién extraído</t>
  </si>
  <si>
    <t xml:space="preserve">2 g Semillas enteras de cardamomo verde machacadas (infundidas 5 min en el café caliente y coladas)</t>
  </si>
  <si>
    <t xml:space="preserve">Para la Crema Fluida al Tahini y Mascarpone</t>
  </si>
  <si>
    <t xml:space="preserve">35 g Tahini de ajonjolí blanco de molienda fina</t>
  </si>
  <si>
    <t xml:space="preserve">70 g Dátiles Medjool sin hueso, hidratados en agua tibia 10 min y procesados a pasta lisa</t>
  </si>
  <si>
    <t xml:space="preserve">15 g Ajonjolí blanco tostado al comal a fuego medio hasta dorar parejo</t>
  </si>
  <si>
    <t xml:space="preserve">Almendra Marcona Tostada con Amaretto Disaronno y Velo de Cacao</t>
  </si>
  <si>
    <t xml:space="preserve">45 ml Café espresso doble concentrado</t>
  </si>
  <si>
    <t xml:space="preserve">15 ml Agua purificada</t>
  </si>
  <si>
    <t xml:space="preserve">15 ml Licor Amaretto Disaronno original (28% ABV)</t>
  </si>
  <si>
    <t xml:space="preserve">Para la Crema Fluida al Amaretto y Almendra</t>
  </si>
  <si>
    <t xml:space="preserve">30 g Pasta pura de almendra tostada 100%</t>
  </si>
  <si>
    <t xml:space="preserve">10 ml Licor Amaretto Disaronno</t>
  </si>
  <si>
    <t xml:space="preserve">30 g Almendras Marcona laminadas, tostadas en comal a 150 °C durante 6 minutos hasta dorar</t>
  </si>
  <si>
    <t xml:space="preserve">Frijol Mungo Verde Dulce con Leche de Arroz Tostado (Genmaicha)</t>
  </si>
  <si>
    <t xml:space="preserve">50 ml Infusión concentrada de Genmaicha</t>
  </si>
  <si>
    <t xml:space="preserve">5 ml Licor de arroz japonés (Sake dulce o Mirin repostero)</t>
  </si>
  <si>
    <t xml:space="preserve">Para la Pasta de Frijol Mungo Verde (Relleno Dulce)</t>
  </si>
  <si>
    <t xml:space="preserve">100 g Frijol mungo amarillo descascarillado cocido al vapor hasta quedar suave</t>
  </si>
  <si>
    <t xml:space="preserve">15 g Mantequilla sin sal fundida</t>
  </si>
  <si>
    <t xml:space="preserve">Para la Crema Fluida al Mascarpone y Genmaicha</t>
  </si>
  <si>
    <t xml:space="preserve">110 ml Crema para batir 35% M.G. fría</t>
  </si>
  <si>
    <t xml:space="preserve">20 ml Leche espesa de arroz integral tostado</t>
  </si>
  <si>
    <t xml:space="preserve">Nuez de la India (Cashew) Tostada con Miel de Maple Puro Grado A y Canela</t>
  </si>
  <si>
    <t xml:space="preserve">40 ml Café espresso diluido o café filtrado</t>
  </si>
  <si>
    <t xml:space="preserve">25 ml Jarabe puro de maple Grado A</t>
  </si>
  <si>
    <t xml:space="preserve">10 ml Ron añejo o bourbon</t>
  </si>
  <si>
    <t xml:space="preserve">Para la Crema Fluida al Cashew y Mascarpone</t>
  </si>
  <si>
    <t xml:space="preserve">40 g Mantequilla o pasta pura de nuez de la India 100% tostada (sin sal añadida)</t>
  </si>
  <si>
    <t xml:space="preserve">40 g Jarabe puro de maple Grado A</t>
  </si>
  <si>
    <t xml:space="preserve">60 g Nueces de la India tostadas partidas en cuartos, caramelizadas en sartén con 20 ml de maple y una pizca de canela</t>
  </si>
  <si>
    <t xml:space="preserve">3 g Canela Ceilán en polvo para tamizar</t>
  </si>
  <si>
    <t xml:space="preserve">1 g Escamas de sal Maldon</t>
  </si>
  <si>
    <t xml:space="preserve">Tiramisú Craquelado de Chocolate Oscuro 70% (Smash Cake Box)</t>
  </si>
  <si>
    <t xml:space="preserve">50 ml Café ristretto doble recién extraído</t>
  </si>
  <si>
    <t xml:space="preserve">10 ml Licor de cacao oscuro o Kahlúa</t>
  </si>
  <si>
    <t xml:space="preserve">3 ml Extracto natural de vainilla Bourbon</t>
  </si>
  <si>
    <t xml:space="preserve">Para la Cubierta Craquelada (Crackling Smash Shell)</t>
  </si>
  <si>
    <t xml:space="preserve">40 g Cobertura de chocolate oscuro 70% cacao en callets</t>
  </si>
  <si>
    <t xml:space="preserve">10 g Aceite de coco refinado desodorizado (permite fractura instantánea en frío)</t>
  </si>
  <si>
    <t xml:space="preserve">Biscoff Speculoos Volcánico con Mantequilla de Galleta Fluida</t>
  </si>
  <si>
    <t xml:space="preserve">45 ml Café espresso suave</t>
  </si>
  <si>
    <t xml:space="preserve">15 g Jarabe de caramelo líquido</t>
  </si>
  <si>
    <t xml:space="preserve">5 ml Licor de café o Amaretto</t>
  </si>
  <si>
    <t xml:space="preserve">Para la Crema Fluida al Biscoff</t>
  </si>
  <si>
    <t xml:space="preserve">50 g Crema untable Lotus Biscoff suave</t>
  </si>
  <si>
    <t xml:space="preserve">60 g Crema untable Lotus Biscoff entibiada a 30 °C (fluida)</t>
  </si>
  <si>
    <t xml:space="preserve">30 g Galletas Lotus Biscoff quebradas en trozos de 3 mm</t>
  </si>
  <si>
    <t xml:space="preserve">2 galletas Biscoff enteras para coronar</t>
  </si>
  <si>
    <t xml:space="preserve">Oreo Black Cacao con Leche Malteada y Núcleo de Ganache Sedosa</t>
  </si>
  <si>
    <t xml:space="preserve">45 ml Café filtrado suave</t>
  </si>
  <si>
    <t xml:space="preserve">10 g Polvo de leche malteada (tipo Horlicks o Ovaltine clásico)</t>
  </si>
  <si>
    <t xml:space="preserve">Para la Crema Fluida al Mascarpone y Malteada</t>
  </si>
  <si>
    <t xml:space="preserve">15 g Polvo de leche malteada</t>
  </si>
  <si>
    <t xml:space="preserve">Para la Ganache Central y Cubierta</t>
  </si>
  <si>
    <t xml:space="preserve">35 g Chocolate amargo 60%</t>
  </si>
  <si>
    <t xml:space="preserve">35 ml Crema para batir caliente</t>
  </si>
  <si>
    <t xml:space="preserve">25 g Galletas Oreo (solo tapas negras, sin relleno) trituradas a polvo fino estilo arena</t>
  </si>
  <si>
    <t xml:space="preserve">Cheesecake Vasco Quemado estilo San Sebastián con Tiramisú Fluido</t>
  </si>
  <si>
    <t xml:space="preserve">Para el Glaseado de Café</t>
  </si>
  <si>
    <t xml:space="preserve">30 ml Café espresso doble recién extraído</t>
  </si>
  <si>
    <t xml:space="preserve">10 g Azúcar mascabado claro</t>
  </si>
  <si>
    <t xml:space="preserve">5 ml Licor de café Kahlúa</t>
  </si>
  <si>
    <t xml:space="preserve">Para la Crema Fluida al Mascarpone Tradicional</t>
  </si>
  <si>
    <t xml:space="preserve">2 ml Extracto de vainilla Bourbon</t>
  </si>
  <si>
    <t xml:space="preserve">8 g Cacao amargo puro alcalinizado para tamizar</t>
  </si>
  <si>
    <t xml:space="preserve">Caramelo Salado con Cacahuate Tostado Estilo Snickers Viral</t>
  </si>
  <si>
    <t xml:space="preserve">50 ml Café espresso suave</t>
  </si>
  <si>
    <t xml:space="preserve">5 ml Licor de café o whisky</t>
  </si>
  <si>
    <t xml:space="preserve">Para la Crema Fluida al Cacahuate</t>
  </si>
  <si>
    <t xml:space="preserve">35 g Mantequilla de maní tostado 100% natural sin azúcar añadida (suave)</t>
  </si>
  <si>
    <t xml:space="preserve">Para el Caramelo con Cacahuate y Cubierta Craquelada</t>
  </si>
  <si>
    <t xml:space="preserve">40 g Caramelo toffee denso con 1 g de flor de sal</t>
  </si>
  <si>
    <t xml:space="preserve">30 g Cacahuates tostados con sal partidos a la mitad</t>
  </si>
  <si>
    <t xml:space="preserve">38 g Chocolate con leche 38%</t>
  </si>
  <si>
    <t xml:space="preserve">Baileys Irish Cream con Café Cold Brew y Perlas de Chocolate Amargo</t>
  </si>
  <si>
    <t xml:space="preserve">Para el Chiffon de Café</t>
  </si>
  <si>
    <t xml:space="preserve">10 g Cacao negro alcalinizado</t>
  </si>
  <si>
    <t xml:space="preserve">45 ml Concentrado de café Cold Brew (extracción de 18 h a 4 °C)</t>
  </si>
  <si>
    <t xml:space="preserve">20 ml Licor Baileys Irish Cream original</t>
  </si>
  <si>
    <t xml:space="preserve">10 ml Jarabe simple 50/50</t>
  </si>
  <si>
    <t xml:space="preserve">Para la Crema Fluida al Baileys y Mascarpone</t>
  </si>
  <si>
    <t xml:space="preserve">35 ml Licor Baileys Irish Cream</t>
  </si>
  <si>
    <t xml:space="preserve">25 g Perlas crujientes de chocolate amargo (Crispearls)</t>
  </si>
  <si>
    <t xml:space="preserve">6 g Cacao amargo puro alcalinizado en polvo para tamizar</t>
  </si>
  <si>
    <t xml:space="preserve">Carbón Activado Black Diamond con Núcleo de Ganache de Avellana</t>
  </si>
  <si>
    <t xml:space="preserve">Para el Chiffon Negro</t>
  </si>
  <si>
    <t xml:space="preserve">5 g Polvo fino de carbón activado vegetal de bambú (malla 300)</t>
  </si>
  <si>
    <t xml:space="preserve">50 ml Café ristretto doble</t>
  </si>
  <si>
    <t xml:space="preserve">10 ml Licor Frangelico</t>
  </si>
  <si>
    <t xml:space="preserve">Para la Crema Fluida al Carbón Activado</t>
  </si>
  <si>
    <t xml:space="preserve">4 g Carbón activado vegetal disuelto en 25 ml de crema tibia</t>
  </si>
  <si>
    <t xml:space="preserve">30 g Cobertura de chocolate oscuro 60%</t>
  </si>
  <si>
    <t xml:space="preserve">20 ml Crema para batir caliente</t>
  </si>
  <si>
    <t xml:space="preserve">5 g Polvo de carbón vegetal mezclado con 3 g de cacao amargo para tamizar</t>
  </si>
  <si>
    <t xml:space="preserve">Queso Mascarpone y Doble Crema con Miel de Trufa Blanca y Avellana</t>
  </si>
  <si>
    <t xml:space="preserve">Para el Chiffon de Vainilla</t>
  </si>
  <si>
    <t xml:space="preserve">5 ml Licor de avellana</t>
  </si>
  <si>
    <t xml:space="preserve">Para la Crema Fluida al Mascarpone y Trufa Blanca</t>
  </si>
  <si>
    <t xml:space="preserve">20 g Miel pura de acacia infusionada con trufa blanca natural (sin esencias artificiales agresivas)</t>
  </si>
  <si>
    <t xml:space="preserve">30 g Avellanas del Piamonte tostadas a 150 °C, picadas en trozos de 3 mm</t>
  </si>
  <si>
    <t xml:space="preserve">Frutos Rojos Silvestres con Reducción de Balsámico de Módena IGP</t>
  </si>
  <si>
    <t xml:space="preserve">Para el Chiffon de Frutos Rojos</t>
  </si>
  <si>
    <t xml:space="preserve">12 g Polvo de frutos rojos liofilizados mixtos (frambuesa, fresa y arándano)</t>
  </si>
  <si>
    <t xml:space="preserve">45 ml Jugo concentrado y colado de frutos rojos</t>
  </si>
  <si>
    <t xml:space="preserve">15 ml Reducción de vinagre balsámico de Módena</t>
  </si>
  <si>
    <t xml:space="preserve">5 ml Licor de cassis (Crème de Cassis)</t>
  </si>
  <si>
    <t xml:space="preserve">25 g Puré colado espeso de frutos rojos (reducido al 50%)</t>
  </si>
  <si>
    <t xml:space="preserve">Para el Glaseado Balsámico y Fruta de Relleno</t>
  </si>
  <si>
    <t xml:space="preserve">40 g Reducción densa de Aceto Balsamico di Modena IGP (hervido con 10% de azúcar hasta textura de miel elástica)</t>
  </si>
  <si>
    <t xml:space="preserve">60 g Mezcla de frambuesas, moras y grosellas frescas cocinadas 1 min con 5 g de azúcar y escurridas en seco</t>
  </si>
  <si>
    <t xml:space="preserve">6 g Polvo de frambuesa liofilizada para tamizar</t>
  </si>
  <si>
    <t xml:space="preserve">Café Irlandés Ahumado con Whisky de Malta y Azúcar Mascabado al Carbón</t>
  </si>
  <si>
    <t xml:space="preserve">Para el Chiffon de Café y Mascabado</t>
  </si>
  <si>
    <t xml:space="preserve">10 g Cacao amargo</t>
  </si>
  <si>
    <t xml:space="preserve">3 g Café soluble disuelto en 35 ml de leche tibia</t>
  </si>
  <si>
    <t xml:space="preserve">45 g Azúcar mascabado oscuro</t>
  </si>
  <si>
    <t xml:space="preserve">Para el Jarabe Imbibidor al Whisky</t>
  </si>
  <si>
    <t xml:space="preserve">15 ml Jarabe simple de azúcar mascabado</t>
  </si>
  <si>
    <t xml:space="preserve">15 ml Whisky de malta ahumado escocés (tipo Laphroaig o Ardbeg con notas turbadas)</t>
  </si>
  <si>
    <t xml:space="preserve">Para la Crema Fluida al Mascarpone y Crema Irlandesa</t>
  </si>
  <si>
    <t xml:space="preserve">15 ml Whisky escocés ahumado</t>
  </si>
  <si>
    <t xml:space="preserve">Para el Caramelo y Remate</t>
  </si>
  <si>
    <t xml:space="preserve">40 g Jarabe toffee denso de azúcar mascabado oscuro cocinado a punto de hilo flojo</t>
  </si>
  <si>
    <t xml:space="preserve">4 g Cacao amargo puro alcalinizado en polvo</t>
  </si>
  <si>
    <t xml:space="preserve">2 g Café de tueste medio recién molido a textura de talco (malla 100)</t>
  </si>
  <si>
    <t xml:space="preserve">Tiramisú Imperial de Hoja de Oro 24K con Vainilla Bourbon de Madagascar</t>
  </si>
  <si>
    <t xml:space="preserve">Para el Chiffon de Vainilla Bourbon</t>
  </si>
  <si>
    <t xml:space="preserve">Semillas raspadas de 1 vaina de vainilla Bourbon de Madagascar</t>
  </si>
  <si>
    <t xml:space="preserve">50 ml Café de especialidad variedad Geisha recién filtrado (tueste ligero floral)</t>
  </si>
  <si>
    <t xml:space="preserve">Semillas raspadas de 1/2 vaina de vainilla Bourbon</t>
  </si>
  <si>
    <t xml:space="preserve">5 ml Licor de vainilla de Madagascar o ron blanco agrícola</t>
  </si>
  <si>
    <t xml:space="preserve">Para la Crema Fluida al Mascarpone y Vainilla Pura</t>
  </si>
  <si>
    <t xml:space="preserve">190 g Queso Mascarpone a 10 °C (80% M.G.)</t>
  </si>
  <si>
    <t xml:space="preserve">Semillas raspadas de 1 vaina completa de vainilla Bourbon de Madagascar (caviar negro puro)</t>
  </si>
  <si>
    <t xml:space="preserve">1 g Sal marina fina</t>
  </si>
  <si>
    <t xml:space="preserve">20 g Perlas crujientes de chocolate blanco con centro de cereal tostado (Crispearls)</t>
  </si>
  <si>
    <t xml:space="preserve">2 Hojas completas de oro puro comestible de 24 quilates (transferible con pinza de repostería)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</si>
  <si>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</si>
  <si>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</si>
  <si>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</si>
  <si>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</si>
  <si>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Renta de la cocina de producción</t>
  </si>
  <si>
    <t xml:space="preserve">Luz (refrigeración y horno)</t>
  </si>
  <si>
    <t xml:space="preserve">Agua y gas</t>
  </si>
  <si>
    <t xml:space="preserve">Internet y telefonía</t>
  </si>
  <si>
    <t xml:space="preserve">Publicidad y contenido para redes</t>
  </si>
  <si>
    <t xml:space="preserve">Permisos, cuotas y comisiones de plataforma</t>
  </si>
  <si>
    <t xml:space="preserve">Mantenimiento de equipo</t>
  </si>
  <si>
    <t xml:space="preserve">Depreciación de equipo (batidora, abatidor, refrigeración)</t>
  </si>
  <si>
    <t xml:space="preserve">Limpieza y consumibles generales</t>
  </si>
  <si>
    <t xml:space="preserve">Otros gastos fijos</t>
  </si>
  <si>
    <t xml:space="preserve">Total de gastos fijos</t>
  </si>
  <si>
    <t xml:space="preserve">Porciones producidas al mes</t>
  </si>
  <si>
    <t xml:space="preserve">≈ 33 al día, 24 días.</t>
  </si>
  <si>
    <t xml:space="preserve">Gastos fijos por porción (overhead)</t>
  </si>
  <si>
    <t xml:space="preserve">Se suma al costo de cada porción.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</si>
  <si>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</si>
  <si>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</si>
  <si>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</si>
  <si>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</si>
  <si>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</si>
  <si>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Piezas falladas, cremas cortadas y sobrantes. Compárala con tu merma real en el Tablero.</t>
  </si>
  <si>
    <t xml:space="preserve">Redondeo de precios (pesos)</t>
  </si>
  <si>
    <t xml:space="preserve">Los precios suben al múltiplo superior de esta cifra.</t>
  </si>
  <si>
    <t xml:space="preserve">Márgenes objetivo por canal</t>
  </si>
  <si>
    <t xml:space="preserve">Margen · Mostrador y pedido directo</t>
  </si>
  <si>
    <t xml:space="preserve">Rango sugerido 50–60 %.</t>
  </si>
  <si>
    <t xml:space="preserve">Margen · Domicilio y venta por redes</t>
  </si>
  <si>
    <t xml:space="preserve">Rango sugerido 55–65 %.</t>
  </si>
  <si>
    <t xml:space="preserve">Margen · Evento y pedido especial</t>
  </si>
  <si>
    <t xml:space="preserve">Rango sugerido 60–70 %.</t>
  </si>
  <si>
    <t xml:space="preserve">Margen · Mayoreo a cafeterías</t>
  </si>
  <si>
    <t xml:space="preserve">Rango sugerido 28–38 %.</t>
  </si>
  <si>
    <t xml:space="preserve">Recetas y precios</t>
  </si>
  <si>
    <t xml:space="preserve">Hoja principal. Cambia un precio en Insumos y los 51 precios se recalculan solos.</t>
  </si>
  <si>
    <t xml:space="preserve">Capítulo</t>
  </si>
  <si>
    <t xml:space="preserve">Formato</t>
  </si>
  <si>
    <t xml:space="preserve">Porciones</t>
  </si>
  <si>
    <t xml:space="preserve">Factor bizcocho</t>
  </si>
  <si>
    <t xml:space="preserve">Factor jarabe</t>
  </si>
  <si>
    <t xml:space="preserve">Insumos del lote</t>
  </si>
  <si>
    <t xml:space="preserve">Insumos por porción</t>
  </si>
  <si>
    <t xml:space="preserve">Empaque</t>
  </si>
  <si>
    <t xml:space="preserve">Energía</t>
  </si>
  <si>
    <t xml:space="preserve">Minutos</t>
  </si>
  <si>
    <t xml:space="preserve">Mano de obra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</si>
  <si>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</si>
  <si>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</si>
  <si>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</si>
  <si>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</si>
  <si>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</si>
  <si>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mostrador</t>
  </si>
  <si>
    <t xml:space="preserve">PVP domicilio</t>
  </si>
  <si>
    <t xml:space="preserve">PVP evento</t>
  </si>
  <si>
    <t xml:space="preserve">PVP mayoreo</t>
  </si>
  <si>
    <t xml:space="preserve">Utilidad mostrador</t>
  </si>
  <si>
    <t xml:space="preserve">Margen real</t>
  </si>
  <si>
    <t xml:space="preserve">Cap. 6 · Flujo clásico y cafetería asiática</t>
  </si>
  <si>
    <t xml:space="preserve">Cap. 7 · Tés orientales, flores y herbolaria</t>
  </si>
  <si>
    <t xml:space="preserve">Cap. 8 · Frutas, cítricos y perfiles tropicales</t>
  </si>
  <si>
    <t xml:space="preserve">Cap. 9 · Frutos secos, semillas y granos</t>
  </si>
  <si>
    <t xml:space="preserve">Cap. 10 · Chocolatería viral, galletas y alta técnica</t>
  </si>
  <si>
    <t xml:space="preserve">Todas las recetas rinden 2 porciones de 330–390 g. Los factores de bizcocho y jarabe cargan solo la parte que entra al postre (Capítulo 13); deja «Merma propia» vacía para usar la merma por defecto de Mi negocio.</t>
  </si>
  <si>
    <t xml:space="preserve">Producción y merma</t>
  </si>
  <si>
    <t xml:space="preserve">Una fila por lote.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</si>
  <si>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</si>
  <si>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</si>
  <si>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</si>
  <si>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</si>
  <si>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</si>
  <si>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</si>
  <si>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</si>
  <si>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</si>
  <si>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</si>
  <si>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</si>
  <si>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</si>
  <si>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</si>
  <si>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Crema cortada o sobrebatida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</si>
  <si>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</si>
  <si>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</si>
  <si>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</si>
  <si>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</si>
  <si>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</si>
  <si>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</si>
  <si>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</si>
  <si>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</si>
  <si>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</si>
  <si>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</si>
  <si>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</si>
  <si>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</si>
  <si>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Mostrador y pedido directo</t>
  </si>
  <si>
    <t xml:space="preserve">Tablero</t>
  </si>
  <si>
    <t xml:space="preserve">Resumen automático de Ventas y Producción. No se edita.</t>
  </si>
  <si>
    <t xml:space="preserve">Ingreso acumulado</t>
  </si>
  <si>
    <t xml:space="preserve">Porciones vendidas</t>
  </si>
  <si>
    <t xml:space="preserve">Domicilio y venta por redes</t>
  </si>
  <si>
    <t xml:space="preserve">Costo de lo vendido</t>
  </si>
  <si>
    <t xml:space="preserve">Evento y pedido especial</t>
  </si>
  <si>
    <t xml:space="preserve">Comisiones</t>
  </si>
  <si>
    <t xml:space="preserve">Mayoreo a cafeterías</t>
  </si>
  <si>
    <t xml:space="preserve">Utilidad neta (antes de gastos fijos)</t>
  </si>
  <si>
    <t xml:space="preserve">Degustación o cortesía</t>
  </si>
  <si>
    <t xml:space="preserve">Margen neto</t>
  </si>
  <si>
    <t xml:space="preserve">Utilidad después de gastos fijos</t>
  </si>
  <si>
    <t xml:space="preserve">Costo medio</t>
  </si>
  <si>
    <t xml:space="preserve">% del costo</t>
  </si>
  <si>
    <t xml:space="preserve">Porciones buenas producidas</t>
  </si>
  <si>
    <t xml:space="preserve">B · Bizcocho chiffon asiático</t>
  </si>
  <si>
    <t xml:space="preserve">Porciones falladas</t>
  </si>
  <si>
    <t xml:space="preserve">J · Jarabe de imbibición (punch)</t>
  </si>
  <si>
    <t xml:space="preserve">Merma real</t>
  </si>
  <si>
    <t xml:space="preserve">C · Crema fluida de mascarpone</t>
  </si>
  <si>
    <t xml:space="preserve">Merma supuesta</t>
  </si>
  <si>
    <t xml:space="preserve">A · Acabados y texturas</t>
  </si>
  <si>
    <t xml:space="preserve">Dinero perdido en merma</t>
  </si>
  <si>
    <t xml:space="preserve">Punto de equilibrio</t>
  </si>
  <si>
    <t xml:space="preserve">Precio promedio de mostrador</t>
  </si>
  <si>
    <t xml:space="preserve">Costo total promedio</t>
  </si>
  <si>
    <t xml:space="preserve">Margen de contribución por porción</t>
  </si>
  <si>
    <t xml:space="preserve">Gastos fijos del mes</t>
  </si>
  <si>
    <t xml:space="preserve">PUNTO DE EQUILIBRIO (porciones al mes)</t>
  </si>
  <si>
    <t xml:space="preserve">Avance contra el punto de equilibrio</t>
  </si>
  <si>
    <t xml:space="preserve">Endulcora · Estudio Gastronómico · En colaboración con Levent · Tiramisú Douyin · Anexo 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</si>
</sst>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0.0%"/>
    <numFmt numFmtId="170" formatCode="0.000"/>
    <numFmt numFmtId="171" formatCode="\$#,##0"/>
    <numFmt numFmtId="172" formatCode="#,##0"/>
    <numFmt numFmtId="173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9"/>
      <color rgb="FF2A1330"/>
      <name val="Arial"/>
      <family val="0"/>
      <charset val="1"/>
    </font>
    <font>
      <sz val="8"/>
      <color rgb="FF6B5470"/>
      <name val="Arial"/>
      <family val="0"/>
      <charset val="1"/>
    </font>
    <font>
      <sz val="10"/>
      <name val="Arial"/>
      <family val="2"/>
    </font>
    <font>
      <b val="true"/>
      <sz val="12"/>
      <color rgb="FF4E14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CF3E3"/>
          <bgColor rgb="FF000000"/>
        </patternFill>
      </fill>
    </dxf>
    <dxf>
      <fill>
        <patternFill patternType="solid">
          <fgColor rgb="FFEEF3E0"/>
          <bgColor rgb="FF000000"/>
        </patternFill>
      </fill>
    </dxf>
    <dxf>
      <fill>
        <patternFill patternType="solid">
          <fgColor rgb="FFF0F3DC"/>
          <bgColor rgb="FF000000"/>
        </patternFill>
      </fill>
    </dxf>
    <dxf>
      <fill>
        <patternFill patternType="solid">
          <fgColor rgb="FFF0F3DD"/>
          <bgColor rgb="FF000000"/>
        </patternFill>
      </fill>
    </dxf>
    <dxf>
      <fill>
        <patternFill patternType="solid">
          <fgColor rgb="FFF1F3DA"/>
          <bgColor rgb="FF000000"/>
        </patternFill>
      </fill>
    </dxf>
    <dxf>
      <fill>
        <patternFill patternType="solid">
          <fgColor rgb="FFF1F3DC"/>
          <bgColor rgb="FF000000"/>
        </patternFill>
      </fill>
    </dxf>
    <dxf>
      <fill>
        <patternFill patternType="solid">
          <fgColor rgb="FFF2F3D9"/>
          <bgColor rgb="FF000000"/>
        </patternFill>
      </fill>
    </dxf>
    <dxf>
      <fill>
        <patternFill patternType="solid">
          <fgColor rgb="FFF3F3D8"/>
          <bgColor rgb="FF000000"/>
        </patternFill>
      </fill>
    </dxf>
    <dxf>
      <fill>
        <patternFill patternType="solid">
          <fgColor rgb="FFF4F3D7"/>
          <bgColor rgb="FF000000"/>
        </patternFill>
      </fill>
    </dxf>
    <dxf>
      <fill>
        <patternFill patternType="solid">
          <fgColor rgb="FFF5F3D5"/>
          <bgColor rgb="FF000000"/>
        </patternFill>
      </fill>
    </dxf>
    <dxf>
      <fill>
        <patternFill patternType="solid">
          <fgColor rgb="FFF6F3D3"/>
          <bgColor rgb="FF000000"/>
        </patternFill>
      </fill>
    </dxf>
    <dxf>
      <fill>
        <patternFill patternType="solid">
          <fgColor rgb="FFF7F3D1"/>
          <bgColor rgb="FF000000"/>
        </patternFill>
      </fill>
    </dxf>
    <dxf>
      <fill>
        <patternFill patternType="solid">
          <fgColor rgb="FFF8F3D0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D"/>
          <bgColor rgb="FF000000"/>
        </patternFill>
      </fill>
    </dxf>
    <dxf>
      <fill>
        <patternFill patternType="solid">
          <fgColor rgb="FFF9F3CE"/>
          <bgColor rgb="FF000000"/>
        </patternFill>
      </fill>
    </dxf>
    <dxf>
      <fill>
        <patternFill patternType="solid">
          <fgColor rgb="FFFBF3CA"/>
          <bgColor rgb="FF000000"/>
        </patternFill>
      </fill>
    </dxf>
    <dxf>
      <fill>
        <patternFill patternType="solid">
          <fgColor rgb="FFFBF3CB"/>
          <bgColor rgb="FF000000"/>
        </patternFill>
      </fill>
    </dxf>
    <dxf>
      <fill>
        <patternFill patternType="solid">
          <fgColor rgb="FFFEEC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EF3C5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EF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60" hidden="false" customHeight="true" outlineLevel="0" collapsed="false">
      <c r="A7" s="3" t="s">
        <v>2</v>
      </c>
      <c r="B7" s="4" t="s">
        <v>6</v>
      </c>
    </row>
    <row r="8" customFormat="false" ht="60" hidden="false" customHeight="true" outlineLevel="0" collapsed="false">
      <c r="A8" s="3" t="s">
        <v>2</v>
      </c>
      <c r="B8" s="4" t="s">
        <v>7</v>
      </c>
    </row>
    <row r="9" customFormat="false" ht="60" hidden="false" customHeight="true" outlineLevel="0" collapsed="false">
      <c r="A9" s="3" t="s">
        <v>2</v>
      </c>
      <c r="B9" s="4" t="s">
        <v>8</v>
      </c>
    </row>
    <row r="10" customFormat="false" ht="15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380</v>
      </c>
      <c r="G5" s="12" t="n">
        <f aca="false">IFERROR(F5/E5,0)</f>
        <v>0.38</v>
      </c>
      <c r="H5" s="13" t="n">
        <f aca="false">COUNTIF(Ingredientes!$F:$F,C5)</f>
        <v>51</v>
      </c>
      <c r="I5" s="6"/>
    </row>
    <row r="6" customFormat="false" ht="15" hidden="false" customHeight="false" outlineLevel="0" collapsed="false">
      <c r="A6" s="9" t="s">
        <v>28</v>
      </c>
      <c r="B6" s="9" t="s">
        <v>25</v>
      </c>
      <c r="C6" s="9" t="s">
        <v>29</v>
      </c>
      <c r="D6" s="9" t="s">
        <v>27</v>
      </c>
      <c r="E6" s="10" t="n">
        <v>1000</v>
      </c>
      <c r="F6" s="11" t="n">
        <v>195</v>
      </c>
      <c r="G6" s="12" t="n">
        <f aca="false">IFERROR(F6/E6,0)</f>
        <v>0.195</v>
      </c>
      <c r="H6" s="13" t="n">
        <f aca="false">COUNTIF(Ingredientes!$F:$F,C6)</f>
        <v>3</v>
      </c>
      <c r="I6" s="6"/>
    </row>
    <row r="7" customFormat="false" ht="15" hidden="false" customHeight="false" outlineLevel="0" collapsed="false">
      <c r="A7" s="9" t="s">
        <v>30</v>
      </c>
      <c r="B7" s="9" t="s">
        <v>25</v>
      </c>
      <c r="C7" s="9" t="s">
        <v>31</v>
      </c>
      <c r="D7" s="9" t="s">
        <v>27</v>
      </c>
      <c r="E7" s="10" t="n">
        <v>1000</v>
      </c>
      <c r="F7" s="11" t="n">
        <v>150</v>
      </c>
      <c r="G7" s="12" t="n">
        <f aca="false">IFERROR(F7/E7,0)</f>
        <v>0.15</v>
      </c>
      <c r="H7" s="13" t="n">
        <f aca="false">COUNTIF(Ingredientes!$F:$F,C7)</f>
        <v>1</v>
      </c>
      <c r="I7" s="6"/>
    </row>
    <row r="8" customFormat="false" ht="15" hidden="false" customHeight="false" outlineLevel="0" collapsed="false">
      <c r="A8" s="9" t="s">
        <v>32</v>
      </c>
      <c r="B8" s="9" t="s">
        <v>25</v>
      </c>
      <c r="C8" s="9" t="s">
        <v>33</v>
      </c>
      <c r="D8" s="9" t="s">
        <v>34</v>
      </c>
      <c r="E8" s="10" t="n">
        <v>1000</v>
      </c>
      <c r="F8" s="11" t="n">
        <v>78</v>
      </c>
      <c r="G8" s="12" t="n">
        <f aca="false">IFERROR(F8/E8,0)</f>
        <v>0.078</v>
      </c>
      <c r="H8" s="13" t="n">
        <f aca="false">COUNTIF(Ingredientes!$F:$F,C8)</f>
        <v>56</v>
      </c>
      <c r="I8" s="6"/>
    </row>
    <row r="9" customFormat="false" ht="15" hidden="false" customHeight="false" outlineLevel="0" collapsed="false">
      <c r="A9" s="9" t="s">
        <v>35</v>
      </c>
      <c r="B9" s="9" t="s">
        <v>25</v>
      </c>
      <c r="C9" s="9" t="s">
        <v>36</v>
      </c>
      <c r="D9" s="9" t="s">
        <v>27</v>
      </c>
      <c r="E9" s="10" t="n">
        <v>1000</v>
      </c>
      <c r="F9" s="11" t="n">
        <v>85</v>
      </c>
      <c r="G9" s="12" t="n">
        <f aca="false">IFERROR(F9/E9,0)</f>
        <v>0.085</v>
      </c>
      <c r="H9" s="13" t="n">
        <f aca="false">COUNTIF(Ingredientes!$F:$F,C9)</f>
        <v>54</v>
      </c>
      <c r="I9" s="6"/>
    </row>
    <row r="10" customFormat="false" ht="15" hidden="false" customHeight="false" outlineLevel="0" collapsed="false">
      <c r="A10" s="9" t="s">
        <v>37</v>
      </c>
      <c r="B10" s="9" t="s">
        <v>25</v>
      </c>
      <c r="C10" s="9" t="s">
        <v>38</v>
      </c>
      <c r="D10" s="9" t="s">
        <v>34</v>
      </c>
      <c r="E10" s="10" t="n">
        <v>1000</v>
      </c>
      <c r="F10" s="11" t="n">
        <v>60</v>
      </c>
      <c r="G10" s="12" t="n">
        <f aca="false">IFERROR(F10/E10,0)</f>
        <v>0.06</v>
      </c>
      <c r="H10" s="13" t="n">
        <f aca="false">COUNTIF(Ingredientes!$F:$F,C10)</f>
        <v>2</v>
      </c>
      <c r="I10" s="6"/>
    </row>
    <row r="11" customFormat="false" ht="15" hidden="false" customHeight="false" outlineLevel="0" collapsed="false">
      <c r="A11" s="9" t="s">
        <v>39</v>
      </c>
      <c r="B11" s="9" t="s">
        <v>25</v>
      </c>
      <c r="C11" s="9" t="s">
        <v>40</v>
      </c>
      <c r="D11" s="9" t="s">
        <v>34</v>
      </c>
      <c r="E11" s="10" t="n">
        <v>1000</v>
      </c>
      <c r="F11" s="11" t="n">
        <v>28</v>
      </c>
      <c r="G11" s="12" t="n">
        <f aca="false">IFERROR(F11/E11,0)</f>
        <v>0.028</v>
      </c>
      <c r="H11" s="13" t="n">
        <f aca="false">COUNTIF(Ingredientes!$F:$F,C11)</f>
        <v>18</v>
      </c>
      <c r="I11" s="6"/>
    </row>
    <row r="12" customFormat="false" ht="15" hidden="false" customHeight="false" outlineLevel="0" collapsed="false">
      <c r="A12" s="9" t="s">
        <v>41</v>
      </c>
      <c r="B12" s="9" t="s">
        <v>25</v>
      </c>
      <c r="C12" s="9" t="s">
        <v>42</v>
      </c>
      <c r="D12" s="9" t="s">
        <v>27</v>
      </c>
      <c r="E12" s="10" t="n">
        <v>1000</v>
      </c>
      <c r="F12" s="11" t="n">
        <v>190</v>
      </c>
      <c r="G12" s="12" t="n">
        <f aca="false">IFERROR(F12/E12,0)</f>
        <v>0.19</v>
      </c>
      <c r="H12" s="13" t="n">
        <f aca="false">COUNTIF(Ingredientes!$F:$F,C12)</f>
        <v>1</v>
      </c>
      <c r="I12" s="6"/>
    </row>
    <row r="13" customFormat="false" ht="15" hidden="false" customHeight="false" outlineLevel="0" collapsed="false">
      <c r="A13" s="9" t="s">
        <v>43</v>
      </c>
      <c r="B13" s="9" t="s">
        <v>25</v>
      </c>
      <c r="C13" s="9" t="s">
        <v>44</v>
      </c>
      <c r="D13" s="9" t="s">
        <v>27</v>
      </c>
      <c r="E13" s="10" t="n">
        <v>1000</v>
      </c>
      <c r="F13" s="11" t="n">
        <v>260</v>
      </c>
      <c r="G13" s="12" t="n">
        <f aca="false">IFERROR(F13/E13,0)</f>
        <v>0.26</v>
      </c>
      <c r="H13" s="13" t="n">
        <f aca="false">COUNTIF(Ingredientes!$F:$F,C13)</f>
        <v>2</v>
      </c>
      <c r="I13" s="6"/>
    </row>
    <row r="14" customFormat="false" ht="15" hidden="false" customHeight="false" outlineLevel="0" collapsed="false">
      <c r="A14" s="9" t="s">
        <v>45</v>
      </c>
      <c r="B14" s="9" t="s">
        <v>25</v>
      </c>
      <c r="C14" s="9" t="s">
        <v>46</v>
      </c>
      <c r="D14" s="9" t="s">
        <v>27</v>
      </c>
      <c r="E14" s="10" t="n">
        <v>1000</v>
      </c>
      <c r="F14" s="11" t="n">
        <v>330</v>
      </c>
      <c r="G14" s="12" t="n">
        <f aca="false">IFERROR(F14/E14,0)</f>
        <v>0.33</v>
      </c>
      <c r="H14" s="13" t="n">
        <f aca="false">COUNTIF(Ingredientes!$F:$F,C14)</f>
        <v>5</v>
      </c>
      <c r="I14" s="6"/>
    </row>
    <row r="15" customFormat="false" ht="15" hidden="false" customHeight="false" outlineLevel="0" collapsed="false">
      <c r="A15" s="9" t="s">
        <v>47</v>
      </c>
      <c r="B15" s="9" t="s">
        <v>25</v>
      </c>
      <c r="C15" s="9" t="s">
        <v>48</v>
      </c>
      <c r="D15" s="9" t="s">
        <v>27</v>
      </c>
      <c r="E15" s="10" t="n">
        <v>1000</v>
      </c>
      <c r="F15" s="11" t="n">
        <v>130</v>
      </c>
      <c r="G15" s="12" t="n">
        <f aca="false">IFERROR(F15/E15,0)</f>
        <v>0.13</v>
      </c>
      <c r="H15" s="13" t="n">
        <f aca="false">COUNTIF(Ingredientes!$F:$F,C15)</f>
        <v>32</v>
      </c>
      <c r="I15" s="6"/>
    </row>
    <row r="16" customFormat="false" ht="15" hidden="false" customHeight="false" outlineLevel="0" collapsed="false">
      <c r="A16" s="9" t="s">
        <v>49</v>
      </c>
      <c r="B16" s="9" t="s">
        <v>25</v>
      </c>
      <c r="C16" s="9" t="s">
        <v>50</v>
      </c>
      <c r="D16" s="9" t="s">
        <v>27</v>
      </c>
      <c r="E16" s="10" t="n">
        <v>1000</v>
      </c>
      <c r="F16" s="11" t="n">
        <v>75</v>
      </c>
      <c r="G16" s="12" t="n">
        <f aca="false">IFERROR(F16/E16,0)</f>
        <v>0.075</v>
      </c>
      <c r="H16" s="13" t="n">
        <f aca="false">COUNTIF(Ingredientes!$F:$F,C16)</f>
        <v>32</v>
      </c>
      <c r="I16" s="6"/>
    </row>
    <row r="17" customFormat="false" ht="15" hidden="false" customHeight="false" outlineLevel="0" collapsed="false">
      <c r="A17" s="9" t="s">
        <v>51</v>
      </c>
      <c r="B17" s="9" t="s">
        <v>25</v>
      </c>
      <c r="C17" s="9" t="s">
        <v>52</v>
      </c>
      <c r="D17" s="9" t="s">
        <v>34</v>
      </c>
      <c r="E17" s="10" t="n">
        <v>1000</v>
      </c>
      <c r="F17" s="11" t="n">
        <v>75</v>
      </c>
      <c r="G17" s="12" t="n">
        <f aca="false">IFERROR(F17/E17,0)</f>
        <v>0.075</v>
      </c>
      <c r="H17" s="13" t="n">
        <f aca="false">COUNTIF(Ingredientes!$F:$F,C17)</f>
        <v>5</v>
      </c>
      <c r="I17" s="6"/>
    </row>
    <row r="18" customFormat="false" ht="15" hidden="false" customHeight="false" outlineLevel="0" collapsed="false">
      <c r="A18" s="9" t="s">
        <v>53</v>
      </c>
      <c r="B18" s="9" t="s">
        <v>25</v>
      </c>
      <c r="C18" s="9" t="s">
        <v>54</v>
      </c>
      <c r="D18" s="9" t="s">
        <v>27</v>
      </c>
      <c r="E18" s="10" t="n">
        <v>1000</v>
      </c>
      <c r="F18" s="11" t="n">
        <v>120</v>
      </c>
      <c r="G18" s="12" t="n">
        <f aca="false">IFERROR(F18/E18,0)</f>
        <v>0.12</v>
      </c>
      <c r="H18" s="13" t="n">
        <f aca="false">COUNTIF(Ingredientes!$F:$F,C18)</f>
        <v>2</v>
      </c>
      <c r="I18" s="6"/>
    </row>
    <row r="19" customFormat="false" ht="15" hidden="false" customHeight="false" outlineLevel="0" collapsed="false">
      <c r="A19" s="9" t="s">
        <v>55</v>
      </c>
      <c r="B19" s="9" t="s">
        <v>25</v>
      </c>
      <c r="C19" s="9" t="s">
        <v>56</v>
      </c>
      <c r="D19" s="9" t="s">
        <v>34</v>
      </c>
      <c r="E19" s="10" t="n">
        <v>1000</v>
      </c>
      <c r="F19" s="11" t="n">
        <v>60</v>
      </c>
      <c r="G19" s="12" t="n">
        <f aca="false">IFERROR(F19/E19,0)</f>
        <v>0.06</v>
      </c>
      <c r="H19" s="13" t="n">
        <f aca="false">COUNTIF(Ingredientes!$F:$F,C19)</f>
        <v>1</v>
      </c>
      <c r="I19" s="6"/>
    </row>
    <row r="20" customFormat="false" ht="15" hidden="false" customHeight="false" outlineLevel="0" collapsed="false">
      <c r="A20" s="9" t="s">
        <v>57</v>
      </c>
      <c r="B20" s="9" t="s">
        <v>58</v>
      </c>
      <c r="C20" s="9" t="s">
        <v>59</v>
      </c>
      <c r="D20" s="9" t="s">
        <v>27</v>
      </c>
      <c r="E20" s="10" t="n">
        <v>1000</v>
      </c>
      <c r="F20" s="11" t="n">
        <v>32</v>
      </c>
      <c r="G20" s="12" t="n">
        <f aca="false">IFERROR(F20/E20,0)</f>
        <v>0.032</v>
      </c>
      <c r="H20" s="13" t="n">
        <f aca="false">COUNTIF(Ingredientes!$F:$F,C20)</f>
        <v>32</v>
      </c>
      <c r="I20" s="6"/>
    </row>
    <row r="21" customFormat="false" ht="15" hidden="false" customHeight="false" outlineLevel="0" collapsed="false">
      <c r="A21" s="9" t="s">
        <v>60</v>
      </c>
      <c r="B21" s="9" t="s">
        <v>58</v>
      </c>
      <c r="C21" s="9" t="s">
        <v>61</v>
      </c>
      <c r="D21" s="9" t="s">
        <v>27</v>
      </c>
      <c r="E21" s="10" t="n">
        <v>1000</v>
      </c>
      <c r="F21" s="11" t="n">
        <v>75</v>
      </c>
      <c r="G21" s="12" t="n">
        <f aca="false">IFERROR(F21/E21,0)</f>
        <v>0.075</v>
      </c>
      <c r="H21" s="13" t="n">
        <f aca="false">COUNTIF(Ingredientes!$F:$F,C21)</f>
        <v>1</v>
      </c>
      <c r="I21" s="6"/>
    </row>
    <row r="22" customFormat="false" ht="15" hidden="false" customHeight="false" outlineLevel="0" collapsed="false">
      <c r="A22" s="9" t="s">
        <v>62</v>
      </c>
      <c r="B22" s="9" t="s">
        <v>58</v>
      </c>
      <c r="C22" s="9" t="s">
        <v>63</v>
      </c>
      <c r="D22" s="9" t="s">
        <v>27</v>
      </c>
      <c r="E22" s="10" t="n">
        <v>1000</v>
      </c>
      <c r="F22" s="11" t="n">
        <v>180</v>
      </c>
      <c r="G22" s="12" t="n">
        <f aca="false">IFERROR(F22/E22,0)</f>
        <v>0.18</v>
      </c>
      <c r="H22" s="13" t="n">
        <f aca="false">COUNTIF(Ingredientes!$F:$F,C22)</f>
        <v>1</v>
      </c>
      <c r="I22" s="6"/>
    </row>
    <row r="23" customFormat="false" ht="15" hidden="false" customHeight="false" outlineLevel="0" collapsed="false">
      <c r="A23" s="9" t="s">
        <v>64</v>
      </c>
      <c r="B23" s="9" t="s">
        <v>58</v>
      </c>
      <c r="C23" s="9" t="s">
        <v>65</v>
      </c>
      <c r="D23" s="9" t="s">
        <v>27</v>
      </c>
      <c r="E23" s="10" t="n">
        <v>1000</v>
      </c>
      <c r="F23" s="11" t="n">
        <v>320</v>
      </c>
      <c r="G23" s="12" t="n">
        <f aca="false">IFERROR(F23/E23,0)</f>
        <v>0.32</v>
      </c>
      <c r="H23" s="13" t="n">
        <f aca="false">COUNTIF(Ingredientes!$F:$F,C23)</f>
        <v>2</v>
      </c>
      <c r="I23" s="6"/>
    </row>
    <row r="24" customFormat="false" ht="15" hidden="false" customHeight="false" outlineLevel="0" collapsed="false">
      <c r="A24" s="9" t="s">
        <v>66</v>
      </c>
      <c r="B24" s="9" t="s">
        <v>58</v>
      </c>
      <c r="C24" s="9" t="s">
        <v>67</v>
      </c>
      <c r="D24" s="9" t="s">
        <v>27</v>
      </c>
      <c r="E24" s="10" t="n">
        <v>1000</v>
      </c>
      <c r="F24" s="11" t="n">
        <v>45</v>
      </c>
      <c r="G24" s="12" t="n">
        <f aca="false">IFERROR(F24/E24,0)</f>
        <v>0.045</v>
      </c>
      <c r="H24" s="13" t="n">
        <f aca="false">COUNTIF(Ingredientes!$F:$F,C24)</f>
        <v>1</v>
      </c>
      <c r="I24" s="6"/>
    </row>
    <row r="25" customFormat="false" ht="15" hidden="false" customHeight="false" outlineLevel="0" collapsed="false">
      <c r="A25" s="9" t="s">
        <v>68</v>
      </c>
      <c r="B25" s="9" t="s">
        <v>58</v>
      </c>
      <c r="C25" s="9" t="s">
        <v>69</v>
      </c>
      <c r="D25" s="9" t="s">
        <v>27</v>
      </c>
      <c r="E25" s="10" t="n">
        <v>1000</v>
      </c>
      <c r="F25" s="11" t="n">
        <v>220</v>
      </c>
      <c r="G25" s="12" t="n">
        <f aca="false">IFERROR(F25/E25,0)</f>
        <v>0.22</v>
      </c>
      <c r="H25" s="13" t="n">
        <f aca="false">COUNTIF(Ingredientes!$F:$F,C25)</f>
        <v>1</v>
      </c>
      <c r="I25" s="6"/>
    </row>
    <row r="26" customFormat="false" ht="15" hidden="false" customHeight="false" outlineLevel="0" collapsed="false">
      <c r="A26" s="9" t="s">
        <v>70</v>
      </c>
      <c r="B26" s="9" t="s">
        <v>71</v>
      </c>
      <c r="C26" s="9" t="s">
        <v>72</v>
      </c>
      <c r="D26" s="9" t="s">
        <v>27</v>
      </c>
      <c r="E26" s="10" t="n">
        <v>1000</v>
      </c>
      <c r="F26" s="11" t="n">
        <v>28</v>
      </c>
      <c r="G26" s="12" t="n">
        <f aca="false">IFERROR(F26/E26,0)</f>
        <v>0.028</v>
      </c>
      <c r="H26" s="13" t="n">
        <f aca="false">COUNTIF(Ingredientes!$F:$F,C26)</f>
        <v>55</v>
      </c>
      <c r="I26" s="6"/>
    </row>
    <row r="27" customFormat="false" ht="15" hidden="false" customHeight="false" outlineLevel="0" collapsed="false">
      <c r="A27" s="9" t="s">
        <v>73</v>
      </c>
      <c r="B27" s="9" t="s">
        <v>71</v>
      </c>
      <c r="C27" s="9" t="s">
        <v>74</v>
      </c>
      <c r="D27" s="9" t="s">
        <v>27</v>
      </c>
      <c r="E27" s="10" t="n">
        <v>1000</v>
      </c>
      <c r="F27" s="11" t="n">
        <v>45</v>
      </c>
      <c r="G27" s="12" t="n">
        <f aca="false">IFERROR(F27/E27,0)</f>
        <v>0.045</v>
      </c>
      <c r="H27" s="13" t="n">
        <f aca="false">COUNTIF(Ingredientes!$F:$F,C27)</f>
        <v>51</v>
      </c>
      <c r="I27" s="6"/>
    </row>
    <row r="28" customFormat="false" ht="15" hidden="false" customHeight="false" outlineLevel="0" collapsed="false">
      <c r="A28" s="9" t="s">
        <v>75</v>
      </c>
      <c r="B28" s="9" t="s">
        <v>71</v>
      </c>
      <c r="C28" s="9" t="s">
        <v>76</v>
      </c>
      <c r="D28" s="9" t="s">
        <v>27</v>
      </c>
      <c r="E28" s="10" t="n">
        <v>1000</v>
      </c>
      <c r="F28" s="11" t="n">
        <v>60</v>
      </c>
      <c r="G28" s="12" t="n">
        <f aca="false">IFERROR(F28/E28,0)</f>
        <v>0.06</v>
      </c>
      <c r="H28" s="13" t="n">
        <f aca="false">COUNTIF(Ingredientes!$F:$F,C28)</f>
        <v>10</v>
      </c>
      <c r="I28" s="6"/>
    </row>
    <row r="29" customFormat="false" ht="15" hidden="false" customHeight="false" outlineLevel="0" collapsed="false">
      <c r="A29" s="9" t="s">
        <v>77</v>
      </c>
      <c r="B29" s="9" t="s">
        <v>71</v>
      </c>
      <c r="C29" s="9" t="s">
        <v>78</v>
      </c>
      <c r="D29" s="9" t="s">
        <v>27</v>
      </c>
      <c r="E29" s="10" t="n">
        <v>1000</v>
      </c>
      <c r="F29" s="11" t="n">
        <v>45</v>
      </c>
      <c r="G29" s="12" t="n">
        <f aca="false">IFERROR(F29/E29,0)</f>
        <v>0.045</v>
      </c>
      <c r="H29" s="13" t="n">
        <f aca="false">COUNTIF(Ingredientes!$F:$F,C29)</f>
        <v>1</v>
      </c>
      <c r="I29" s="6"/>
    </row>
    <row r="30" customFormat="false" ht="15" hidden="false" customHeight="false" outlineLevel="0" collapsed="false">
      <c r="A30" s="9" t="s">
        <v>79</v>
      </c>
      <c r="B30" s="9" t="s">
        <v>71</v>
      </c>
      <c r="C30" s="9" t="s">
        <v>80</v>
      </c>
      <c r="D30" s="9" t="s">
        <v>34</v>
      </c>
      <c r="E30" s="10" t="n">
        <v>1000</v>
      </c>
      <c r="F30" s="11" t="n">
        <v>18</v>
      </c>
      <c r="G30" s="12" t="n">
        <f aca="false">IFERROR(F30/E30,0)</f>
        <v>0.018</v>
      </c>
      <c r="H30" s="13" t="n">
        <f aca="false">COUNTIF(Ingredientes!$F:$F,C30)</f>
        <v>14</v>
      </c>
      <c r="I30" s="6"/>
    </row>
    <row r="31" customFormat="false" ht="15" hidden="false" customHeight="false" outlineLevel="0" collapsed="false">
      <c r="A31" s="9" t="s">
        <v>81</v>
      </c>
      <c r="B31" s="9" t="s">
        <v>71</v>
      </c>
      <c r="C31" s="9" t="s">
        <v>82</v>
      </c>
      <c r="D31" s="9" t="s">
        <v>27</v>
      </c>
      <c r="E31" s="10" t="n">
        <v>1000</v>
      </c>
      <c r="F31" s="11" t="n">
        <v>90</v>
      </c>
      <c r="G31" s="12" t="n">
        <f aca="false">IFERROR(F31/E31,0)</f>
        <v>0.09</v>
      </c>
      <c r="H31" s="13" t="n">
        <f aca="false">COUNTIF(Ingredientes!$F:$F,C31)</f>
        <v>2</v>
      </c>
      <c r="I31" s="6"/>
    </row>
    <row r="32" customFormat="false" ht="15" hidden="false" customHeight="false" outlineLevel="0" collapsed="false">
      <c r="A32" s="9" t="s">
        <v>83</v>
      </c>
      <c r="B32" s="9" t="s">
        <v>71</v>
      </c>
      <c r="C32" s="9" t="s">
        <v>84</v>
      </c>
      <c r="D32" s="9" t="s">
        <v>34</v>
      </c>
      <c r="E32" s="10" t="n">
        <v>1000</v>
      </c>
      <c r="F32" s="11" t="n">
        <v>600</v>
      </c>
      <c r="G32" s="12" t="n">
        <f aca="false">IFERROR(F32/E32,0)</f>
        <v>0.6</v>
      </c>
      <c r="H32" s="13" t="n">
        <f aca="false">COUNTIF(Ingredientes!$F:$F,C32)</f>
        <v>2</v>
      </c>
      <c r="I32" s="6"/>
    </row>
    <row r="33" customFormat="false" ht="15" hidden="false" customHeight="false" outlineLevel="0" collapsed="false">
      <c r="A33" s="9" t="s">
        <v>85</v>
      </c>
      <c r="B33" s="9" t="s">
        <v>71</v>
      </c>
      <c r="C33" s="9" t="s">
        <v>86</v>
      </c>
      <c r="D33" s="9" t="s">
        <v>34</v>
      </c>
      <c r="E33" s="10" t="n">
        <v>1000</v>
      </c>
      <c r="F33" s="11" t="n">
        <v>380</v>
      </c>
      <c r="G33" s="12" t="n">
        <f aca="false">IFERROR(F33/E33,0)</f>
        <v>0.38</v>
      </c>
      <c r="H33" s="13" t="n">
        <f aca="false">COUNTIF(Ingredientes!$F:$F,C33)</f>
        <v>4</v>
      </c>
      <c r="I33" s="6"/>
    </row>
    <row r="34" customFormat="false" ht="15" hidden="false" customHeight="false" outlineLevel="0" collapsed="false">
      <c r="A34" s="9" t="s">
        <v>87</v>
      </c>
      <c r="B34" s="9" t="s">
        <v>71</v>
      </c>
      <c r="C34" s="9" t="s">
        <v>88</v>
      </c>
      <c r="D34" s="9" t="s">
        <v>27</v>
      </c>
      <c r="E34" s="10" t="n">
        <v>1000</v>
      </c>
      <c r="F34" s="11" t="n">
        <v>260</v>
      </c>
      <c r="G34" s="12" t="n">
        <f aca="false">IFERROR(F34/E34,0)</f>
        <v>0.26</v>
      </c>
      <c r="H34" s="13" t="n">
        <f aca="false">COUNTIF(Ingredientes!$F:$F,C34)</f>
        <v>5</v>
      </c>
      <c r="I34" s="6"/>
    </row>
    <row r="35" customFormat="false" ht="15" hidden="false" customHeight="false" outlineLevel="0" collapsed="false">
      <c r="A35" s="9" t="s">
        <v>89</v>
      </c>
      <c r="B35" s="9" t="s">
        <v>71</v>
      </c>
      <c r="C35" s="9" t="s">
        <v>90</v>
      </c>
      <c r="D35" s="9" t="s">
        <v>27</v>
      </c>
      <c r="E35" s="10" t="n">
        <v>1000</v>
      </c>
      <c r="F35" s="11" t="n">
        <v>150</v>
      </c>
      <c r="G35" s="12" t="n">
        <f aca="false">IFERROR(F35/E35,0)</f>
        <v>0.15</v>
      </c>
      <c r="H35" s="13" t="n">
        <f aca="false">COUNTIF(Ingredientes!$F:$F,C35)</f>
        <v>4</v>
      </c>
      <c r="I35" s="6"/>
    </row>
    <row r="36" customFormat="false" ht="15" hidden="false" customHeight="false" outlineLevel="0" collapsed="false">
      <c r="A36" s="9" t="s">
        <v>91</v>
      </c>
      <c r="B36" s="9" t="s">
        <v>71</v>
      </c>
      <c r="C36" s="9" t="s">
        <v>92</v>
      </c>
      <c r="D36" s="9" t="s">
        <v>27</v>
      </c>
      <c r="E36" s="10" t="n">
        <v>1000</v>
      </c>
      <c r="F36" s="11" t="n">
        <v>280</v>
      </c>
      <c r="G36" s="12" t="n">
        <f aca="false">IFERROR(F36/E36,0)</f>
        <v>0.28</v>
      </c>
      <c r="H36" s="13" t="n">
        <f aca="false">COUNTIF(Ingredientes!$F:$F,C36)</f>
        <v>1</v>
      </c>
      <c r="I36" s="6"/>
    </row>
    <row r="37" customFormat="false" ht="15" hidden="false" customHeight="false" outlineLevel="0" collapsed="false">
      <c r="A37" s="9" t="s">
        <v>93</v>
      </c>
      <c r="B37" s="9" t="s">
        <v>94</v>
      </c>
      <c r="C37" s="9" t="s">
        <v>95</v>
      </c>
      <c r="D37" s="9" t="s">
        <v>27</v>
      </c>
      <c r="E37" s="10" t="n">
        <v>1000</v>
      </c>
      <c r="F37" s="11" t="n">
        <v>480</v>
      </c>
      <c r="G37" s="12" t="n">
        <f aca="false">IFERROR(F37/E37,0)</f>
        <v>0.48</v>
      </c>
      <c r="H37" s="13" t="n">
        <f aca="false">COUNTIF(Ingredientes!$F:$F,C37)</f>
        <v>4</v>
      </c>
      <c r="I37" s="6"/>
    </row>
    <row r="38" customFormat="false" ht="15" hidden="false" customHeight="false" outlineLevel="0" collapsed="false">
      <c r="A38" s="9" t="s">
        <v>96</v>
      </c>
      <c r="B38" s="9" t="s">
        <v>94</v>
      </c>
      <c r="C38" s="9" t="s">
        <v>97</v>
      </c>
      <c r="D38" s="9" t="s">
        <v>27</v>
      </c>
      <c r="E38" s="10" t="n">
        <v>1000</v>
      </c>
      <c r="F38" s="11" t="n">
        <v>60</v>
      </c>
      <c r="G38" s="12" t="n">
        <f aca="false">IFERROR(F38/E38,0)</f>
        <v>0.06</v>
      </c>
      <c r="H38" s="13" t="n">
        <f aca="false">COUNTIF(Ingredientes!$F:$F,C38)</f>
        <v>1</v>
      </c>
      <c r="I38" s="6"/>
    </row>
    <row r="39" customFormat="false" ht="15" hidden="false" customHeight="false" outlineLevel="0" collapsed="false">
      <c r="A39" s="9" t="s">
        <v>98</v>
      </c>
      <c r="B39" s="9" t="s">
        <v>94</v>
      </c>
      <c r="C39" s="9" t="s">
        <v>99</v>
      </c>
      <c r="D39" s="9" t="s">
        <v>27</v>
      </c>
      <c r="E39" s="10" t="n">
        <v>1000</v>
      </c>
      <c r="F39" s="11" t="n">
        <v>420</v>
      </c>
      <c r="G39" s="12" t="n">
        <f aca="false">IFERROR(F39/E39,0)</f>
        <v>0.42</v>
      </c>
      <c r="H39" s="13" t="n">
        <f aca="false">COUNTIF(Ingredientes!$F:$F,C39)</f>
        <v>2</v>
      </c>
      <c r="I39" s="6"/>
    </row>
    <row r="40" customFormat="false" ht="15" hidden="false" customHeight="false" outlineLevel="0" collapsed="false">
      <c r="A40" s="9" t="s">
        <v>100</v>
      </c>
      <c r="B40" s="9" t="s">
        <v>94</v>
      </c>
      <c r="C40" s="9" t="s">
        <v>101</v>
      </c>
      <c r="D40" s="9" t="s">
        <v>27</v>
      </c>
      <c r="E40" s="10" t="n">
        <v>1000</v>
      </c>
      <c r="F40" s="11" t="n">
        <v>900</v>
      </c>
      <c r="G40" s="12" t="n">
        <f aca="false">IFERROR(F40/E40,0)</f>
        <v>0.9</v>
      </c>
      <c r="H40" s="13" t="n">
        <f aca="false">COUNTIF(Ingredientes!$F:$F,C40)</f>
        <v>1</v>
      </c>
      <c r="I40" s="6"/>
    </row>
    <row r="41" customFormat="false" ht="15" hidden="false" customHeight="false" outlineLevel="0" collapsed="false">
      <c r="A41" s="9" t="s">
        <v>102</v>
      </c>
      <c r="B41" s="9" t="s">
        <v>94</v>
      </c>
      <c r="C41" s="9" t="s">
        <v>103</v>
      </c>
      <c r="D41" s="9" t="s">
        <v>27</v>
      </c>
      <c r="E41" s="10" t="n">
        <v>1000</v>
      </c>
      <c r="F41" s="11" t="n">
        <v>25</v>
      </c>
      <c r="G41" s="12" t="n">
        <f aca="false">IFERROR(F41/E41,0)</f>
        <v>0.025</v>
      </c>
      <c r="H41" s="13" t="n">
        <f aca="false">COUNTIF(Ingredientes!$F:$F,C41)</f>
        <v>43</v>
      </c>
      <c r="I41" s="6"/>
    </row>
    <row r="42" customFormat="false" ht="15" hidden="false" customHeight="false" outlineLevel="0" collapsed="false">
      <c r="A42" s="9" t="s">
        <v>104</v>
      </c>
      <c r="B42" s="9" t="s">
        <v>94</v>
      </c>
      <c r="C42" s="9" t="s">
        <v>105</v>
      </c>
      <c r="D42" s="9" t="s">
        <v>27</v>
      </c>
      <c r="E42" s="10" t="n">
        <v>1000</v>
      </c>
      <c r="F42" s="11" t="n">
        <v>720</v>
      </c>
      <c r="G42" s="12" t="n">
        <f aca="false">IFERROR(F42/E42,0)</f>
        <v>0.72</v>
      </c>
      <c r="H42" s="13" t="n">
        <f aca="false">COUNTIF(Ingredientes!$F:$F,C42)</f>
        <v>6</v>
      </c>
      <c r="I42" s="6"/>
    </row>
    <row r="43" customFormat="false" ht="15" hidden="false" customHeight="false" outlineLevel="0" collapsed="false">
      <c r="A43" s="9" t="s">
        <v>106</v>
      </c>
      <c r="B43" s="9" t="s">
        <v>94</v>
      </c>
      <c r="C43" s="9" t="s">
        <v>107</v>
      </c>
      <c r="D43" s="9" t="s">
        <v>27</v>
      </c>
      <c r="E43" s="10" t="n">
        <v>1000</v>
      </c>
      <c r="F43" s="11" t="n">
        <v>120</v>
      </c>
      <c r="G43" s="12" t="n">
        <f aca="false">IFERROR(F43/E43,0)</f>
        <v>0.12</v>
      </c>
      <c r="H43" s="13" t="n">
        <f aca="false">COUNTIF(Ingredientes!$F:$F,C43)</f>
        <v>2</v>
      </c>
      <c r="I43" s="6"/>
    </row>
    <row r="44" customFormat="false" ht="15" hidden="false" customHeight="false" outlineLevel="0" collapsed="false">
      <c r="A44" s="9" t="s">
        <v>108</v>
      </c>
      <c r="B44" s="9" t="s">
        <v>94</v>
      </c>
      <c r="C44" s="9" t="s">
        <v>109</v>
      </c>
      <c r="D44" s="9" t="s">
        <v>34</v>
      </c>
      <c r="E44" s="10" t="n">
        <v>1000</v>
      </c>
      <c r="F44" s="11" t="n">
        <v>45</v>
      </c>
      <c r="G44" s="12" t="n">
        <f aca="false">IFERROR(F44/E44,0)</f>
        <v>0.045</v>
      </c>
      <c r="H44" s="13" t="n">
        <f aca="false">COUNTIF(Ingredientes!$F:$F,C44)</f>
        <v>30</v>
      </c>
      <c r="I44" s="6"/>
    </row>
    <row r="45" customFormat="false" ht="15" hidden="false" customHeight="false" outlineLevel="0" collapsed="false">
      <c r="A45" s="9" t="s">
        <v>110</v>
      </c>
      <c r="B45" s="9" t="s">
        <v>94</v>
      </c>
      <c r="C45" s="9" t="s">
        <v>111</v>
      </c>
      <c r="D45" s="9" t="s">
        <v>34</v>
      </c>
      <c r="E45" s="10" t="n">
        <v>1000</v>
      </c>
      <c r="F45" s="11" t="n">
        <v>180</v>
      </c>
      <c r="G45" s="12" t="n">
        <f aca="false">IFERROR(F45/E45,0)</f>
        <v>0.18</v>
      </c>
      <c r="H45" s="13" t="n">
        <f aca="false">COUNTIF(Ingredientes!$F:$F,C45)</f>
        <v>4</v>
      </c>
      <c r="I45" s="6"/>
    </row>
    <row r="46" customFormat="false" ht="15" hidden="false" customHeight="false" outlineLevel="0" collapsed="false">
      <c r="A46" s="9" t="s">
        <v>112</v>
      </c>
      <c r="B46" s="9" t="s">
        <v>94</v>
      </c>
      <c r="C46" s="9" t="s">
        <v>113</v>
      </c>
      <c r="D46" s="9" t="s">
        <v>34</v>
      </c>
      <c r="E46" s="10" t="n">
        <v>20000</v>
      </c>
      <c r="F46" s="11" t="n">
        <v>40</v>
      </c>
      <c r="G46" s="12" t="n">
        <f aca="false">IFERROR(F46/E46,0)</f>
        <v>0.002</v>
      </c>
      <c r="H46" s="13" t="n">
        <f aca="false">COUNTIF(Ingredientes!$F:$F,C46)</f>
        <v>21</v>
      </c>
      <c r="I46" s="6"/>
    </row>
    <row r="47" customFormat="false" ht="15" hidden="false" customHeight="false" outlineLevel="0" collapsed="false">
      <c r="A47" s="9" t="s">
        <v>114</v>
      </c>
      <c r="B47" s="9" t="s">
        <v>115</v>
      </c>
      <c r="C47" s="9" t="s">
        <v>116</v>
      </c>
      <c r="D47" s="9" t="s">
        <v>34</v>
      </c>
      <c r="E47" s="10" t="n">
        <v>1000</v>
      </c>
      <c r="F47" s="11" t="n">
        <v>145</v>
      </c>
      <c r="G47" s="12" t="n">
        <f aca="false">IFERROR(F47/E47,0)</f>
        <v>0.145</v>
      </c>
      <c r="H47" s="13" t="n">
        <f aca="false">COUNTIF(Ingredientes!$F:$F,C47)</f>
        <v>25</v>
      </c>
      <c r="I47" s="6"/>
    </row>
    <row r="48" customFormat="false" ht="15" hidden="false" customHeight="false" outlineLevel="0" collapsed="false">
      <c r="A48" s="9" t="s">
        <v>117</v>
      </c>
      <c r="B48" s="9" t="s">
        <v>115</v>
      </c>
      <c r="C48" s="9" t="s">
        <v>118</v>
      </c>
      <c r="D48" s="9" t="s">
        <v>27</v>
      </c>
      <c r="E48" s="10" t="n">
        <v>1000</v>
      </c>
      <c r="F48" s="11" t="n">
        <v>520</v>
      </c>
      <c r="G48" s="12" t="n">
        <f aca="false">IFERROR(F48/E48,0)</f>
        <v>0.52</v>
      </c>
      <c r="H48" s="13" t="n">
        <f aca="false">COUNTIF(Ingredientes!$F:$F,C48)</f>
        <v>1</v>
      </c>
      <c r="I48" s="6"/>
    </row>
    <row r="49" customFormat="false" ht="15" hidden="false" customHeight="false" outlineLevel="0" collapsed="false">
      <c r="A49" s="9" t="s">
        <v>119</v>
      </c>
      <c r="B49" s="9" t="s">
        <v>115</v>
      </c>
      <c r="C49" s="9" t="s">
        <v>120</v>
      </c>
      <c r="D49" s="9" t="s">
        <v>27</v>
      </c>
      <c r="E49" s="10" t="n">
        <v>1000</v>
      </c>
      <c r="F49" s="11" t="n">
        <v>700</v>
      </c>
      <c r="G49" s="12" t="n">
        <f aca="false">IFERROR(F49/E49,0)</f>
        <v>0.7</v>
      </c>
      <c r="H49" s="13" t="n">
        <f aca="false">COUNTIF(Ingredientes!$F:$F,C49)</f>
        <v>5</v>
      </c>
      <c r="I49" s="6"/>
    </row>
    <row r="50" customFormat="false" ht="15" hidden="false" customHeight="false" outlineLevel="0" collapsed="false">
      <c r="A50" s="9" t="s">
        <v>121</v>
      </c>
      <c r="B50" s="9" t="s">
        <v>115</v>
      </c>
      <c r="C50" s="9" t="s">
        <v>122</v>
      </c>
      <c r="D50" s="9" t="s">
        <v>34</v>
      </c>
      <c r="E50" s="10" t="n">
        <v>1000</v>
      </c>
      <c r="F50" s="11" t="n">
        <v>180</v>
      </c>
      <c r="G50" s="12" t="n">
        <f aca="false">IFERROR(F50/E50,0)</f>
        <v>0.18</v>
      </c>
      <c r="H50" s="13" t="n">
        <f aca="false">COUNTIF(Ingredientes!$F:$F,C50)</f>
        <v>1</v>
      </c>
      <c r="I50" s="6"/>
    </row>
    <row r="51" customFormat="false" ht="15" hidden="false" customHeight="false" outlineLevel="0" collapsed="false">
      <c r="A51" s="9" t="s">
        <v>123</v>
      </c>
      <c r="B51" s="9" t="s">
        <v>124</v>
      </c>
      <c r="C51" s="9" t="s">
        <v>125</v>
      </c>
      <c r="D51" s="9" t="s">
        <v>27</v>
      </c>
      <c r="E51" s="10" t="n">
        <v>100</v>
      </c>
      <c r="F51" s="11" t="n">
        <v>480</v>
      </c>
      <c r="G51" s="12" t="n">
        <f aca="false">IFERROR(F51/E51,0)</f>
        <v>4.8</v>
      </c>
      <c r="H51" s="13" t="n">
        <f aca="false">COUNTIF(Ingredientes!$F:$F,C51)</f>
        <v>4</v>
      </c>
      <c r="I51" s="6"/>
    </row>
    <row r="52" customFormat="false" ht="15" hidden="false" customHeight="false" outlineLevel="0" collapsed="false">
      <c r="A52" s="9" t="s">
        <v>126</v>
      </c>
      <c r="B52" s="9" t="s">
        <v>124</v>
      </c>
      <c r="C52" s="9" t="s">
        <v>127</v>
      </c>
      <c r="D52" s="9" t="s">
        <v>27</v>
      </c>
      <c r="E52" s="10" t="n">
        <v>100</v>
      </c>
      <c r="F52" s="11" t="n">
        <v>280</v>
      </c>
      <c r="G52" s="12" t="n">
        <f aca="false">IFERROR(F52/E52,0)</f>
        <v>2.8</v>
      </c>
      <c r="H52" s="13" t="n">
        <f aca="false">COUNTIF(Ingredientes!$F:$F,C52)</f>
        <v>5</v>
      </c>
      <c r="I52" s="6"/>
    </row>
    <row r="53" customFormat="false" ht="15" hidden="false" customHeight="false" outlineLevel="0" collapsed="false">
      <c r="A53" s="9" t="s">
        <v>128</v>
      </c>
      <c r="B53" s="9" t="s">
        <v>124</v>
      </c>
      <c r="C53" s="9" t="s">
        <v>129</v>
      </c>
      <c r="D53" s="9" t="s">
        <v>27</v>
      </c>
      <c r="E53" s="10" t="n">
        <v>100</v>
      </c>
      <c r="F53" s="11" t="n">
        <v>220</v>
      </c>
      <c r="G53" s="12" t="n">
        <f aca="false">IFERROR(F53/E53,0)</f>
        <v>2.2</v>
      </c>
      <c r="H53" s="13" t="n">
        <f aca="false">COUNTIF(Ingredientes!$F:$F,C53)</f>
        <v>3</v>
      </c>
      <c r="I53" s="6"/>
    </row>
    <row r="54" customFormat="false" ht="15" hidden="false" customHeight="false" outlineLevel="0" collapsed="false">
      <c r="A54" s="9" t="s">
        <v>130</v>
      </c>
      <c r="B54" s="9" t="s">
        <v>124</v>
      </c>
      <c r="C54" s="9" t="s">
        <v>131</v>
      </c>
      <c r="D54" s="9" t="s">
        <v>27</v>
      </c>
      <c r="E54" s="10" t="n">
        <v>100</v>
      </c>
      <c r="F54" s="11" t="n">
        <v>260</v>
      </c>
      <c r="G54" s="12" t="n">
        <f aca="false">IFERROR(F54/E54,0)</f>
        <v>2.6</v>
      </c>
      <c r="H54" s="13" t="n">
        <f aca="false">COUNTIF(Ingredientes!$F:$F,C54)</f>
        <v>2</v>
      </c>
      <c r="I54" s="6"/>
    </row>
    <row r="55" customFormat="false" ht="15" hidden="false" customHeight="false" outlineLevel="0" collapsed="false">
      <c r="A55" s="9" t="s">
        <v>132</v>
      </c>
      <c r="B55" s="9" t="s">
        <v>124</v>
      </c>
      <c r="C55" s="9" t="s">
        <v>133</v>
      </c>
      <c r="D55" s="9" t="s">
        <v>27</v>
      </c>
      <c r="E55" s="10" t="n">
        <v>1000</v>
      </c>
      <c r="F55" s="11" t="n">
        <v>600</v>
      </c>
      <c r="G55" s="12" t="n">
        <f aca="false">IFERROR(F55/E55,0)</f>
        <v>0.6</v>
      </c>
      <c r="H55" s="13" t="n">
        <f aca="false">COUNTIF(Ingredientes!$F:$F,C55)</f>
        <v>7</v>
      </c>
      <c r="I55" s="6"/>
    </row>
    <row r="56" customFormat="false" ht="15" hidden="false" customHeight="false" outlineLevel="0" collapsed="false">
      <c r="A56" s="9" t="s">
        <v>134</v>
      </c>
      <c r="B56" s="9" t="s">
        <v>124</v>
      </c>
      <c r="C56" s="9" t="s">
        <v>135</v>
      </c>
      <c r="D56" s="9" t="s">
        <v>27</v>
      </c>
      <c r="E56" s="10" t="n">
        <v>1000</v>
      </c>
      <c r="F56" s="11" t="n">
        <v>1200</v>
      </c>
      <c r="G56" s="12" t="n">
        <f aca="false">IFERROR(F56/E56,0)</f>
        <v>1.2</v>
      </c>
      <c r="H56" s="13" t="n">
        <f aca="false">COUNTIF(Ingredientes!$F:$F,C56)</f>
        <v>6</v>
      </c>
      <c r="I56" s="6"/>
    </row>
    <row r="57" customFormat="false" ht="15" hidden="false" customHeight="false" outlineLevel="0" collapsed="false">
      <c r="A57" s="9" t="s">
        <v>136</v>
      </c>
      <c r="B57" s="9" t="s">
        <v>124</v>
      </c>
      <c r="C57" s="9" t="s">
        <v>137</v>
      </c>
      <c r="D57" s="9" t="s">
        <v>27</v>
      </c>
      <c r="E57" s="10" t="n">
        <v>1000</v>
      </c>
      <c r="F57" s="11" t="n">
        <v>900</v>
      </c>
      <c r="G57" s="12" t="n">
        <f aca="false">IFERROR(F57/E57,0)</f>
        <v>0.9</v>
      </c>
      <c r="H57" s="13" t="n">
        <f aca="false">COUNTIF(Ingredientes!$F:$F,C57)</f>
        <v>3</v>
      </c>
      <c r="I57" s="6"/>
    </row>
    <row r="58" customFormat="false" ht="15" hidden="false" customHeight="false" outlineLevel="0" collapsed="false">
      <c r="A58" s="9" t="s">
        <v>138</v>
      </c>
      <c r="B58" s="9" t="s">
        <v>124</v>
      </c>
      <c r="C58" s="9" t="s">
        <v>139</v>
      </c>
      <c r="D58" s="9" t="s">
        <v>27</v>
      </c>
      <c r="E58" s="10" t="n">
        <v>1000</v>
      </c>
      <c r="F58" s="11" t="n">
        <v>2500</v>
      </c>
      <c r="G58" s="12" t="n">
        <f aca="false">IFERROR(F58/E58,0)</f>
        <v>2.5</v>
      </c>
      <c r="H58" s="13" t="n">
        <f aca="false">COUNTIF(Ingredientes!$F:$F,C58)</f>
        <v>3</v>
      </c>
      <c r="I58" s="6"/>
    </row>
    <row r="59" customFormat="false" ht="15" hidden="false" customHeight="false" outlineLevel="0" collapsed="false">
      <c r="A59" s="9" t="s">
        <v>140</v>
      </c>
      <c r="B59" s="9" t="s">
        <v>124</v>
      </c>
      <c r="C59" s="9" t="s">
        <v>141</v>
      </c>
      <c r="D59" s="9" t="s">
        <v>27</v>
      </c>
      <c r="E59" s="10" t="n">
        <v>1000</v>
      </c>
      <c r="F59" s="11" t="n">
        <v>700</v>
      </c>
      <c r="G59" s="12" t="n">
        <f aca="false">IFERROR(F59/E59,0)</f>
        <v>0.7</v>
      </c>
      <c r="H59" s="13" t="n">
        <f aca="false">COUNTIF(Ingredientes!$F:$F,C59)</f>
        <v>4</v>
      </c>
      <c r="I59" s="6"/>
    </row>
    <row r="60" customFormat="false" ht="15" hidden="false" customHeight="false" outlineLevel="0" collapsed="false">
      <c r="A60" s="9" t="s">
        <v>142</v>
      </c>
      <c r="B60" s="9" t="s">
        <v>124</v>
      </c>
      <c r="C60" s="9" t="s">
        <v>143</v>
      </c>
      <c r="D60" s="9" t="s">
        <v>27</v>
      </c>
      <c r="E60" s="10" t="n">
        <v>1000</v>
      </c>
      <c r="F60" s="11" t="n">
        <v>700</v>
      </c>
      <c r="G60" s="12" t="n">
        <f aca="false">IFERROR(F60/E60,0)</f>
        <v>0.7</v>
      </c>
      <c r="H60" s="13" t="n">
        <f aca="false">COUNTIF(Ingredientes!$F:$F,C60)</f>
        <v>2</v>
      </c>
      <c r="I60" s="6"/>
    </row>
    <row r="61" customFormat="false" ht="15" hidden="false" customHeight="false" outlineLevel="0" collapsed="false">
      <c r="A61" s="9" t="s">
        <v>144</v>
      </c>
      <c r="B61" s="9" t="s">
        <v>124</v>
      </c>
      <c r="C61" s="9" t="s">
        <v>145</v>
      </c>
      <c r="D61" s="9" t="s">
        <v>27</v>
      </c>
      <c r="E61" s="10" t="n">
        <v>100</v>
      </c>
      <c r="F61" s="11" t="n">
        <v>180</v>
      </c>
      <c r="G61" s="12" t="n">
        <f aca="false">IFERROR(F61/E61,0)</f>
        <v>1.8</v>
      </c>
      <c r="H61" s="13" t="n">
        <f aca="false">COUNTIF(Ingredientes!$F:$F,C61)</f>
        <v>9</v>
      </c>
      <c r="I61" s="6"/>
    </row>
    <row r="62" customFormat="false" ht="15" hidden="false" customHeight="false" outlineLevel="0" collapsed="false">
      <c r="A62" s="9" t="s">
        <v>146</v>
      </c>
      <c r="B62" s="9" t="s">
        <v>147</v>
      </c>
      <c r="C62" s="9" t="s">
        <v>148</v>
      </c>
      <c r="D62" s="9" t="s">
        <v>27</v>
      </c>
      <c r="E62" s="10" t="n">
        <v>1000</v>
      </c>
      <c r="F62" s="11" t="n">
        <v>70</v>
      </c>
      <c r="G62" s="12" t="n">
        <f aca="false">IFERROR(F62/E62,0)</f>
        <v>0.07</v>
      </c>
      <c r="H62" s="13" t="n">
        <f aca="false">COUNTIF(Ingredientes!$F:$F,C62)</f>
        <v>2</v>
      </c>
      <c r="I62" s="6"/>
    </row>
    <row r="63" customFormat="false" ht="15" hidden="false" customHeight="false" outlineLevel="0" collapsed="false">
      <c r="A63" s="9" t="s">
        <v>149</v>
      </c>
      <c r="B63" s="9" t="s">
        <v>147</v>
      </c>
      <c r="C63" s="9" t="s">
        <v>150</v>
      </c>
      <c r="D63" s="9" t="s">
        <v>27</v>
      </c>
      <c r="E63" s="10" t="n">
        <v>1000</v>
      </c>
      <c r="F63" s="11" t="n">
        <v>280</v>
      </c>
      <c r="G63" s="12" t="n">
        <f aca="false">IFERROR(F63/E63,0)</f>
        <v>0.28</v>
      </c>
      <c r="H63" s="13" t="n">
        <f aca="false">COUNTIF(Ingredientes!$F:$F,C63)</f>
        <v>3</v>
      </c>
      <c r="I63" s="6"/>
    </row>
    <row r="64" customFormat="false" ht="15" hidden="false" customHeight="false" outlineLevel="0" collapsed="false">
      <c r="A64" s="9" t="s">
        <v>151</v>
      </c>
      <c r="B64" s="9" t="s">
        <v>147</v>
      </c>
      <c r="C64" s="9" t="s">
        <v>152</v>
      </c>
      <c r="D64" s="9" t="s">
        <v>27</v>
      </c>
      <c r="E64" s="10" t="n">
        <v>1000</v>
      </c>
      <c r="F64" s="11" t="n">
        <v>260</v>
      </c>
      <c r="G64" s="12" t="n">
        <f aca="false">IFERROR(F64/E64,0)</f>
        <v>0.26</v>
      </c>
      <c r="H64" s="13" t="n">
        <f aca="false">COUNTIF(Ingredientes!$F:$F,C64)</f>
        <v>3</v>
      </c>
      <c r="I64" s="6"/>
    </row>
    <row r="65" customFormat="false" ht="15" hidden="false" customHeight="false" outlineLevel="0" collapsed="false">
      <c r="A65" s="9" t="s">
        <v>153</v>
      </c>
      <c r="B65" s="9" t="s">
        <v>147</v>
      </c>
      <c r="C65" s="9" t="s">
        <v>154</v>
      </c>
      <c r="D65" s="9" t="s">
        <v>27</v>
      </c>
      <c r="E65" s="10" t="n">
        <v>1000</v>
      </c>
      <c r="F65" s="11" t="n">
        <v>260</v>
      </c>
      <c r="G65" s="12" t="n">
        <f aca="false">IFERROR(F65/E65,0)</f>
        <v>0.26</v>
      </c>
      <c r="H65" s="13" t="n">
        <f aca="false">COUNTIF(Ingredientes!$F:$F,C65)</f>
        <v>2</v>
      </c>
      <c r="I65" s="6"/>
    </row>
    <row r="66" customFormat="false" ht="15" hidden="false" customHeight="false" outlineLevel="0" collapsed="false">
      <c r="A66" s="9" t="s">
        <v>155</v>
      </c>
      <c r="B66" s="9" t="s">
        <v>147</v>
      </c>
      <c r="C66" s="9" t="s">
        <v>156</v>
      </c>
      <c r="D66" s="9" t="s">
        <v>27</v>
      </c>
      <c r="E66" s="10" t="n">
        <v>1000</v>
      </c>
      <c r="F66" s="11" t="n">
        <v>45</v>
      </c>
      <c r="G66" s="12" t="n">
        <f aca="false">IFERROR(F66/E66,0)</f>
        <v>0.045</v>
      </c>
      <c r="H66" s="13" t="n">
        <f aca="false">COUNTIF(Ingredientes!$F:$F,C66)</f>
        <v>5</v>
      </c>
      <c r="I66" s="6"/>
    </row>
    <row r="67" customFormat="false" ht="15" hidden="false" customHeight="false" outlineLevel="0" collapsed="false">
      <c r="A67" s="9" t="s">
        <v>157</v>
      </c>
      <c r="B67" s="9" t="s">
        <v>147</v>
      </c>
      <c r="C67" s="9" t="s">
        <v>158</v>
      </c>
      <c r="D67" s="9" t="s">
        <v>27</v>
      </c>
      <c r="E67" s="10" t="n">
        <v>1000</v>
      </c>
      <c r="F67" s="11" t="n">
        <v>30</v>
      </c>
      <c r="G67" s="12" t="n">
        <f aca="false">IFERROR(F67/E67,0)</f>
        <v>0.03</v>
      </c>
      <c r="H67" s="13" t="n">
        <f aca="false">COUNTIF(Ingredientes!$F:$F,C67)</f>
        <v>2</v>
      </c>
      <c r="I67" s="6"/>
    </row>
    <row r="68" customFormat="false" ht="15" hidden="false" customHeight="false" outlineLevel="0" collapsed="false">
      <c r="A68" s="9" t="s">
        <v>159</v>
      </c>
      <c r="B68" s="9" t="s">
        <v>147</v>
      </c>
      <c r="C68" s="9" t="s">
        <v>160</v>
      </c>
      <c r="D68" s="9" t="s">
        <v>27</v>
      </c>
      <c r="E68" s="10" t="n">
        <v>1000</v>
      </c>
      <c r="F68" s="11" t="n">
        <v>90</v>
      </c>
      <c r="G68" s="12" t="n">
        <f aca="false">IFERROR(F68/E68,0)</f>
        <v>0.09</v>
      </c>
      <c r="H68" s="13" t="n">
        <f aca="false">COUNTIF(Ingredientes!$F:$F,C68)</f>
        <v>3</v>
      </c>
      <c r="I68" s="6"/>
    </row>
    <row r="69" customFormat="false" ht="15" hidden="false" customHeight="false" outlineLevel="0" collapsed="false">
      <c r="A69" s="9" t="s">
        <v>161</v>
      </c>
      <c r="B69" s="9" t="s">
        <v>147</v>
      </c>
      <c r="C69" s="9" t="s">
        <v>162</v>
      </c>
      <c r="D69" s="9" t="s">
        <v>27</v>
      </c>
      <c r="E69" s="10" t="n">
        <v>1000</v>
      </c>
      <c r="F69" s="11" t="n">
        <v>450</v>
      </c>
      <c r="G69" s="12" t="n">
        <f aca="false">IFERROR(F69/E69,0)</f>
        <v>0.45</v>
      </c>
      <c r="H69" s="13" t="n">
        <f aca="false">COUNTIF(Ingredientes!$F:$F,C69)</f>
        <v>1</v>
      </c>
      <c r="I69" s="6"/>
    </row>
    <row r="70" customFormat="false" ht="15" hidden="false" customHeight="false" outlineLevel="0" collapsed="false">
      <c r="A70" s="9" t="s">
        <v>163</v>
      </c>
      <c r="B70" s="9" t="s">
        <v>147</v>
      </c>
      <c r="C70" s="9" t="s">
        <v>164</v>
      </c>
      <c r="D70" s="9" t="s">
        <v>27</v>
      </c>
      <c r="E70" s="10" t="n">
        <v>1000</v>
      </c>
      <c r="F70" s="11" t="n">
        <v>180</v>
      </c>
      <c r="G70" s="12" t="n">
        <f aca="false">IFERROR(F70/E70,0)</f>
        <v>0.18</v>
      </c>
      <c r="H70" s="13" t="n">
        <f aca="false">COUNTIF(Ingredientes!$F:$F,C70)</f>
        <v>4</v>
      </c>
      <c r="I70" s="6"/>
    </row>
    <row r="71" customFormat="false" ht="15" hidden="false" customHeight="false" outlineLevel="0" collapsed="false">
      <c r="A71" s="9" t="s">
        <v>165</v>
      </c>
      <c r="B71" s="9" t="s">
        <v>147</v>
      </c>
      <c r="C71" s="9" t="s">
        <v>166</v>
      </c>
      <c r="D71" s="9" t="s">
        <v>27</v>
      </c>
      <c r="E71" s="10" t="n">
        <v>1000</v>
      </c>
      <c r="F71" s="11" t="n">
        <v>40</v>
      </c>
      <c r="G71" s="12" t="n">
        <f aca="false">IFERROR(F71/E71,0)</f>
        <v>0.04</v>
      </c>
      <c r="H71" s="13" t="n">
        <f aca="false">COUNTIF(Ingredientes!$F:$F,C71)</f>
        <v>2</v>
      </c>
      <c r="I71" s="6"/>
    </row>
    <row r="72" customFormat="false" ht="15" hidden="false" customHeight="false" outlineLevel="0" collapsed="false">
      <c r="A72" s="9" t="s">
        <v>167</v>
      </c>
      <c r="B72" s="9" t="s">
        <v>147</v>
      </c>
      <c r="C72" s="9" t="s">
        <v>168</v>
      </c>
      <c r="D72" s="9" t="s">
        <v>27</v>
      </c>
      <c r="E72" s="10" t="n">
        <v>1000</v>
      </c>
      <c r="F72" s="11" t="n">
        <v>45</v>
      </c>
      <c r="G72" s="12" t="n">
        <f aca="false">IFERROR(F72/E72,0)</f>
        <v>0.045</v>
      </c>
      <c r="H72" s="13" t="n">
        <f aca="false">COUNTIF(Ingredientes!$F:$F,C72)</f>
        <v>1</v>
      </c>
      <c r="I72" s="6"/>
    </row>
    <row r="73" customFormat="false" ht="15" hidden="false" customHeight="false" outlineLevel="0" collapsed="false">
      <c r="A73" s="9" t="s">
        <v>169</v>
      </c>
      <c r="B73" s="9" t="s">
        <v>147</v>
      </c>
      <c r="C73" s="9" t="s">
        <v>170</v>
      </c>
      <c r="D73" s="9" t="s">
        <v>27</v>
      </c>
      <c r="E73" s="10" t="n">
        <v>1000</v>
      </c>
      <c r="F73" s="11" t="n">
        <v>150</v>
      </c>
      <c r="G73" s="12" t="n">
        <f aca="false">IFERROR(F73/E73,0)</f>
        <v>0.15</v>
      </c>
      <c r="H73" s="13" t="n">
        <f aca="false">COUNTIF(Ingredientes!$F:$F,C73)</f>
        <v>1</v>
      </c>
      <c r="I73" s="6"/>
    </row>
    <row r="74" customFormat="false" ht="15" hidden="false" customHeight="false" outlineLevel="0" collapsed="false">
      <c r="A74" s="9" t="s">
        <v>171</v>
      </c>
      <c r="B74" s="9" t="s">
        <v>147</v>
      </c>
      <c r="C74" s="9" t="s">
        <v>172</v>
      </c>
      <c r="D74" s="9" t="s">
        <v>34</v>
      </c>
      <c r="E74" s="10" t="n">
        <v>1000</v>
      </c>
      <c r="F74" s="11" t="n">
        <v>180</v>
      </c>
      <c r="G74" s="12" t="n">
        <f aca="false">IFERROR(F74/E74,0)</f>
        <v>0.18</v>
      </c>
      <c r="H74" s="13" t="n">
        <f aca="false">COUNTIF(Ingredientes!$F:$F,C74)</f>
        <v>3</v>
      </c>
      <c r="I74" s="6"/>
    </row>
    <row r="75" customFormat="false" ht="15" hidden="false" customHeight="false" outlineLevel="0" collapsed="false">
      <c r="A75" s="9" t="s">
        <v>173</v>
      </c>
      <c r="B75" s="9" t="s">
        <v>147</v>
      </c>
      <c r="C75" s="9" t="s">
        <v>174</v>
      </c>
      <c r="D75" s="9" t="s">
        <v>34</v>
      </c>
      <c r="E75" s="10" t="n">
        <v>1000</v>
      </c>
      <c r="F75" s="11" t="n">
        <v>1200</v>
      </c>
      <c r="G75" s="12" t="n">
        <f aca="false">IFERROR(F75/E75,0)</f>
        <v>1.2</v>
      </c>
      <c r="H75" s="13" t="n">
        <f aca="false">COUNTIF(Ingredientes!$F:$F,C75)</f>
        <v>4</v>
      </c>
      <c r="I75" s="6"/>
    </row>
    <row r="76" customFormat="false" ht="15" hidden="false" customHeight="false" outlineLevel="0" collapsed="false">
      <c r="A76" s="9" t="s">
        <v>175</v>
      </c>
      <c r="B76" s="9" t="s">
        <v>147</v>
      </c>
      <c r="C76" s="9" t="s">
        <v>176</v>
      </c>
      <c r="D76" s="9" t="s">
        <v>34</v>
      </c>
      <c r="E76" s="10" t="n">
        <v>1000</v>
      </c>
      <c r="F76" s="11" t="n">
        <v>90</v>
      </c>
      <c r="G76" s="12" t="n">
        <f aca="false">IFERROR(F76/E76,0)</f>
        <v>0.09</v>
      </c>
      <c r="H76" s="13" t="n">
        <f aca="false">COUNTIF(Ingredientes!$F:$F,C76)</f>
        <v>1</v>
      </c>
      <c r="I76" s="6"/>
    </row>
    <row r="77" customFormat="false" ht="15" hidden="false" customHeight="false" outlineLevel="0" collapsed="false">
      <c r="A77" s="9" t="s">
        <v>177</v>
      </c>
      <c r="B77" s="9" t="s">
        <v>147</v>
      </c>
      <c r="C77" s="9" t="s">
        <v>178</v>
      </c>
      <c r="D77" s="9" t="s">
        <v>179</v>
      </c>
      <c r="E77" s="10" t="n">
        <v>1</v>
      </c>
      <c r="F77" s="11" t="n">
        <v>9</v>
      </c>
      <c r="G77" s="12" t="n">
        <f aca="false">IFERROR(F77/E77,0)</f>
        <v>9</v>
      </c>
      <c r="H77" s="13" t="n">
        <f aca="false">COUNTIF(Ingredientes!$F:$F,C77)</f>
        <v>1</v>
      </c>
      <c r="I77" s="6"/>
    </row>
    <row r="78" customFormat="false" ht="15" hidden="false" customHeight="false" outlineLevel="0" collapsed="false">
      <c r="A78" s="9" t="s">
        <v>180</v>
      </c>
      <c r="B78" s="9" t="s">
        <v>147</v>
      </c>
      <c r="C78" s="9" t="s">
        <v>181</v>
      </c>
      <c r="D78" s="9" t="s">
        <v>179</v>
      </c>
      <c r="E78" s="10" t="n">
        <v>1</v>
      </c>
      <c r="F78" s="11" t="n">
        <v>6</v>
      </c>
      <c r="G78" s="12" t="n">
        <f aca="false">IFERROR(F78/E78,0)</f>
        <v>6</v>
      </c>
      <c r="H78" s="13" t="n">
        <f aca="false">COUNTIF(Ingredientes!$F:$F,C78)</f>
        <v>2</v>
      </c>
      <c r="I78" s="6"/>
    </row>
    <row r="79" customFormat="false" ht="15" hidden="false" customHeight="false" outlineLevel="0" collapsed="false">
      <c r="A79" s="9" t="s">
        <v>182</v>
      </c>
      <c r="B79" s="9" t="s">
        <v>147</v>
      </c>
      <c r="C79" s="9" t="s">
        <v>183</v>
      </c>
      <c r="D79" s="9" t="s">
        <v>34</v>
      </c>
      <c r="E79" s="10" t="n">
        <v>1000</v>
      </c>
      <c r="F79" s="11" t="n">
        <v>60</v>
      </c>
      <c r="G79" s="12" t="n">
        <f aca="false">IFERROR(F79/E79,0)</f>
        <v>0.06</v>
      </c>
      <c r="H79" s="13" t="n">
        <f aca="false">COUNTIF(Ingredientes!$F:$F,C79)</f>
        <v>1</v>
      </c>
      <c r="I79" s="6"/>
    </row>
    <row r="80" customFormat="false" ht="15" hidden="false" customHeight="false" outlineLevel="0" collapsed="false">
      <c r="A80" s="9" t="s">
        <v>184</v>
      </c>
      <c r="B80" s="9" t="s">
        <v>147</v>
      </c>
      <c r="C80" s="9" t="s">
        <v>185</v>
      </c>
      <c r="D80" s="9" t="s">
        <v>27</v>
      </c>
      <c r="E80" s="10" t="n">
        <v>1000</v>
      </c>
      <c r="F80" s="11" t="n">
        <v>90</v>
      </c>
      <c r="G80" s="12" t="n">
        <f aca="false">IFERROR(F80/E80,0)</f>
        <v>0.09</v>
      </c>
      <c r="H80" s="13" t="n">
        <f aca="false">COUNTIF(Ingredientes!$F:$F,C80)</f>
        <v>1</v>
      </c>
      <c r="I80" s="6"/>
    </row>
    <row r="81" customFormat="false" ht="15" hidden="false" customHeight="false" outlineLevel="0" collapsed="false">
      <c r="A81" s="9" t="s">
        <v>186</v>
      </c>
      <c r="B81" s="9" t="s">
        <v>147</v>
      </c>
      <c r="C81" s="9" t="s">
        <v>187</v>
      </c>
      <c r="D81" s="9" t="s">
        <v>27</v>
      </c>
      <c r="E81" s="10" t="n">
        <v>1000</v>
      </c>
      <c r="F81" s="11" t="n">
        <v>80</v>
      </c>
      <c r="G81" s="12" t="n">
        <f aca="false">IFERROR(F81/E81,0)</f>
        <v>0.08</v>
      </c>
      <c r="H81" s="13" t="n">
        <f aca="false">COUNTIF(Ingredientes!$F:$F,C81)</f>
        <v>1</v>
      </c>
      <c r="I81" s="6"/>
    </row>
    <row r="82" customFormat="false" ht="15" hidden="false" customHeight="false" outlineLevel="0" collapsed="false">
      <c r="A82" s="9" t="s">
        <v>188</v>
      </c>
      <c r="B82" s="9" t="s">
        <v>189</v>
      </c>
      <c r="C82" s="9" t="s">
        <v>190</v>
      </c>
      <c r="D82" s="9" t="s">
        <v>27</v>
      </c>
      <c r="E82" s="10" t="n">
        <v>100</v>
      </c>
      <c r="F82" s="11" t="n">
        <v>160</v>
      </c>
      <c r="G82" s="12" t="n">
        <f aca="false">IFERROR(F82/E82,0)</f>
        <v>1.6</v>
      </c>
      <c r="H82" s="13" t="n">
        <f aca="false">COUNTIF(Ingredientes!$F:$F,C82)</f>
        <v>2</v>
      </c>
      <c r="I82" s="6"/>
    </row>
    <row r="83" customFormat="false" ht="15" hidden="false" customHeight="false" outlineLevel="0" collapsed="false">
      <c r="A83" s="9" t="s">
        <v>191</v>
      </c>
      <c r="B83" s="9" t="s">
        <v>189</v>
      </c>
      <c r="C83" s="9" t="s">
        <v>192</v>
      </c>
      <c r="D83" s="9" t="s">
        <v>27</v>
      </c>
      <c r="E83" s="10" t="n">
        <v>100</v>
      </c>
      <c r="F83" s="11" t="n">
        <v>180</v>
      </c>
      <c r="G83" s="12" t="n">
        <f aca="false">IFERROR(F83/E83,0)</f>
        <v>1.8</v>
      </c>
      <c r="H83" s="13" t="n">
        <f aca="false">COUNTIF(Ingredientes!$F:$F,C83)</f>
        <v>3</v>
      </c>
      <c r="I83" s="6"/>
    </row>
    <row r="84" customFormat="false" ht="15" hidden="false" customHeight="false" outlineLevel="0" collapsed="false">
      <c r="A84" s="9" t="s">
        <v>193</v>
      </c>
      <c r="B84" s="9" t="s">
        <v>189</v>
      </c>
      <c r="C84" s="9" t="s">
        <v>194</v>
      </c>
      <c r="D84" s="9" t="s">
        <v>27</v>
      </c>
      <c r="E84" s="10" t="n">
        <v>100</v>
      </c>
      <c r="F84" s="11" t="n">
        <v>180</v>
      </c>
      <c r="G84" s="12" t="n">
        <f aca="false">IFERROR(F84/E84,0)</f>
        <v>1.8</v>
      </c>
      <c r="H84" s="13" t="n">
        <f aca="false">COUNTIF(Ingredientes!$F:$F,C84)</f>
        <v>2</v>
      </c>
      <c r="I84" s="6"/>
    </row>
    <row r="85" customFormat="false" ht="15" hidden="false" customHeight="false" outlineLevel="0" collapsed="false">
      <c r="A85" s="9" t="s">
        <v>195</v>
      </c>
      <c r="B85" s="9" t="s">
        <v>189</v>
      </c>
      <c r="C85" s="9" t="s">
        <v>196</v>
      </c>
      <c r="D85" s="9" t="s">
        <v>27</v>
      </c>
      <c r="E85" s="10" t="n">
        <v>100</v>
      </c>
      <c r="F85" s="11" t="n">
        <v>170</v>
      </c>
      <c r="G85" s="12" t="n">
        <f aca="false">IFERROR(F85/E85,0)</f>
        <v>1.7</v>
      </c>
      <c r="H85" s="13" t="n">
        <f aca="false">COUNTIF(Ingredientes!$F:$F,C85)</f>
        <v>1</v>
      </c>
      <c r="I85" s="6"/>
    </row>
    <row r="86" customFormat="false" ht="15" hidden="false" customHeight="false" outlineLevel="0" collapsed="false">
      <c r="A86" s="9" t="s">
        <v>197</v>
      </c>
      <c r="B86" s="9" t="s">
        <v>189</v>
      </c>
      <c r="C86" s="9" t="s">
        <v>198</v>
      </c>
      <c r="D86" s="9" t="s">
        <v>34</v>
      </c>
      <c r="E86" s="10" t="n">
        <v>100</v>
      </c>
      <c r="F86" s="11" t="n">
        <v>120</v>
      </c>
      <c r="G86" s="12" t="n">
        <f aca="false">IFERROR(F86/E86,0)</f>
        <v>1.2</v>
      </c>
      <c r="H86" s="13" t="n">
        <f aca="false">COUNTIF(Ingredientes!$F:$F,C86)</f>
        <v>1</v>
      </c>
      <c r="I86" s="6"/>
    </row>
    <row r="87" customFormat="false" ht="15" hidden="false" customHeight="false" outlineLevel="0" collapsed="false">
      <c r="A87" s="9" t="s">
        <v>199</v>
      </c>
      <c r="B87" s="9" t="s">
        <v>200</v>
      </c>
      <c r="C87" s="9" t="s">
        <v>201</v>
      </c>
      <c r="D87" s="9" t="s">
        <v>27</v>
      </c>
      <c r="E87" s="10" t="n">
        <v>1000</v>
      </c>
      <c r="F87" s="11" t="n">
        <v>220</v>
      </c>
      <c r="G87" s="12" t="n">
        <f aca="false">IFERROR(F87/E87,0)</f>
        <v>0.22</v>
      </c>
      <c r="H87" s="13" t="n">
        <f aca="false">COUNTIF(Ingredientes!$F:$F,C87)</f>
        <v>1</v>
      </c>
      <c r="I87" s="6"/>
    </row>
    <row r="88" customFormat="false" ht="15" hidden="false" customHeight="false" outlineLevel="0" collapsed="false">
      <c r="A88" s="9" t="s">
        <v>202</v>
      </c>
      <c r="B88" s="9" t="s">
        <v>200</v>
      </c>
      <c r="C88" s="9" t="s">
        <v>203</v>
      </c>
      <c r="D88" s="9" t="s">
        <v>27</v>
      </c>
      <c r="E88" s="10" t="n">
        <v>1000</v>
      </c>
      <c r="F88" s="11" t="n">
        <v>70</v>
      </c>
      <c r="G88" s="12" t="n">
        <f aca="false">IFERROR(F88/E88,0)</f>
        <v>0.07</v>
      </c>
      <c r="H88" s="13" t="n">
        <f aca="false">COUNTIF(Ingredientes!$F:$F,C88)</f>
        <v>1</v>
      </c>
      <c r="I88" s="6"/>
    </row>
    <row r="89" customFormat="false" ht="15" hidden="false" customHeight="false" outlineLevel="0" collapsed="false">
      <c r="A89" s="9" t="s">
        <v>204</v>
      </c>
      <c r="B89" s="9" t="s">
        <v>200</v>
      </c>
      <c r="C89" s="9" t="s">
        <v>205</v>
      </c>
      <c r="D89" s="9" t="s">
        <v>27</v>
      </c>
      <c r="E89" s="10" t="n">
        <v>1000</v>
      </c>
      <c r="F89" s="11" t="n">
        <v>90</v>
      </c>
      <c r="G89" s="12" t="n">
        <f aca="false">IFERROR(F89/E89,0)</f>
        <v>0.09</v>
      </c>
      <c r="H89" s="13" t="n">
        <f aca="false">COUNTIF(Ingredientes!$F:$F,C89)</f>
        <v>2</v>
      </c>
      <c r="I89" s="6"/>
    </row>
    <row r="90" customFormat="false" ht="15" hidden="false" customHeight="false" outlineLevel="0" collapsed="false">
      <c r="A90" s="9" t="s">
        <v>206</v>
      </c>
      <c r="B90" s="9" t="s">
        <v>200</v>
      </c>
      <c r="C90" s="9" t="s">
        <v>207</v>
      </c>
      <c r="D90" s="9" t="s">
        <v>27</v>
      </c>
      <c r="E90" s="10" t="n">
        <v>1000</v>
      </c>
      <c r="F90" s="11" t="n">
        <v>110</v>
      </c>
      <c r="G90" s="12" t="n">
        <f aca="false">IFERROR(F90/E90,0)</f>
        <v>0.11</v>
      </c>
      <c r="H90" s="13" t="n">
        <f aca="false">COUNTIF(Ingredientes!$F:$F,C90)</f>
        <v>1</v>
      </c>
      <c r="I90" s="6"/>
    </row>
    <row r="91" customFormat="false" ht="15" hidden="false" customHeight="false" outlineLevel="0" collapsed="false">
      <c r="A91" s="9" t="s">
        <v>208</v>
      </c>
      <c r="B91" s="9" t="s">
        <v>209</v>
      </c>
      <c r="C91" s="9" t="s">
        <v>210</v>
      </c>
      <c r="D91" s="9" t="s">
        <v>27</v>
      </c>
      <c r="E91" s="10" t="n">
        <v>1000</v>
      </c>
      <c r="F91" s="11" t="n">
        <v>320</v>
      </c>
      <c r="G91" s="12" t="n">
        <f aca="false">IFERROR(F91/E91,0)</f>
        <v>0.32</v>
      </c>
      <c r="H91" s="13" t="n">
        <f aca="false">COUNTIF(Ingredientes!$F:$F,C91)</f>
        <v>5</v>
      </c>
      <c r="I91" s="6"/>
    </row>
    <row r="92" customFormat="false" ht="15" hidden="false" customHeight="false" outlineLevel="0" collapsed="false">
      <c r="A92" s="9" t="s">
        <v>211</v>
      </c>
      <c r="B92" s="9" t="s">
        <v>209</v>
      </c>
      <c r="C92" s="9" t="s">
        <v>212</v>
      </c>
      <c r="D92" s="9" t="s">
        <v>27</v>
      </c>
      <c r="E92" s="10" t="n">
        <v>1000</v>
      </c>
      <c r="F92" s="11" t="n">
        <v>300</v>
      </c>
      <c r="G92" s="12" t="n">
        <f aca="false">IFERROR(F92/E92,0)</f>
        <v>0.3</v>
      </c>
      <c r="H92" s="13" t="n">
        <f aca="false">COUNTIF(Ingredientes!$F:$F,C92)</f>
        <v>2</v>
      </c>
      <c r="I92" s="6"/>
    </row>
    <row r="93" customFormat="false" ht="15" hidden="false" customHeight="false" outlineLevel="0" collapsed="false">
      <c r="A93" s="9" t="s">
        <v>213</v>
      </c>
      <c r="B93" s="9" t="s">
        <v>209</v>
      </c>
      <c r="C93" s="9" t="s">
        <v>214</v>
      </c>
      <c r="D93" s="9" t="s">
        <v>27</v>
      </c>
      <c r="E93" s="10" t="n">
        <v>1000</v>
      </c>
      <c r="F93" s="11" t="n">
        <v>320</v>
      </c>
      <c r="G93" s="12" t="n">
        <f aca="false">IFERROR(F93/E93,0)</f>
        <v>0.32</v>
      </c>
      <c r="H93" s="13" t="n">
        <f aca="false">COUNTIF(Ingredientes!$F:$F,C93)</f>
        <v>1</v>
      </c>
      <c r="I93" s="6"/>
    </row>
    <row r="94" customFormat="false" ht="15" hidden="false" customHeight="false" outlineLevel="0" collapsed="false">
      <c r="A94" s="9" t="s">
        <v>215</v>
      </c>
      <c r="B94" s="9" t="s">
        <v>209</v>
      </c>
      <c r="C94" s="9" t="s">
        <v>216</v>
      </c>
      <c r="D94" s="9" t="s">
        <v>27</v>
      </c>
      <c r="E94" s="10" t="n">
        <v>1000</v>
      </c>
      <c r="F94" s="11" t="n">
        <v>480</v>
      </c>
      <c r="G94" s="12" t="n">
        <f aca="false">IFERROR(F94/E94,0)</f>
        <v>0.48</v>
      </c>
      <c r="H94" s="13" t="n">
        <f aca="false">COUNTIF(Ingredientes!$F:$F,C94)</f>
        <v>1</v>
      </c>
      <c r="I94" s="6"/>
    </row>
    <row r="95" customFormat="false" ht="15" hidden="false" customHeight="false" outlineLevel="0" collapsed="false">
      <c r="A95" s="9" t="s">
        <v>217</v>
      </c>
      <c r="B95" s="9" t="s">
        <v>209</v>
      </c>
      <c r="C95" s="9" t="s">
        <v>218</v>
      </c>
      <c r="D95" s="9" t="s">
        <v>27</v>
      </c>
      <c r="E95" s="10" t="n">
        <v>1000</v>
      </c>
      <c r="F95" s="11" t="n">
        <v>420</v>
      </c>
      <c r="G95" s="12" t="n">
        <f aca="false">IFERROR(F95/E95,0)</f>
        <v>0.42</v>
      </c>
      <c r="H95" s="13" t="n">
        <f aca="false">COUNTIF(Ingredientes!$F:$F,C95)</f>
        <v>13</v>
      </c>
      <c r="I95" s="6"/>
    </row>
    <row r="96" customFormat="false" ht="15" hidden="false" customHeight="false" outlineLevel="0" collapsed="false">
      <c r="A96" s="9" t="s">
        <v>219</v>
      </c>
      <c r="B96" s="9" t="s">
        <v>209</v>
      </c>
      <c r="C96" s="9" t="s">
        <v>220</v>
      </c>
      <c r="D96" s="9" t="s">
        <v>27</v>
      </c>
      <c r="E96" s="10" t="n">
        <v>1000</v>
      </c>
      <c r="F96" s="11" t="n">
        <v>520</v>
      </c>
      <c r="G96" s="12" t="n">
        <f aca="false">IFERROR(F96/E96,0)</f>
        <v>0.52</v>
      </c>
      <c r="H96" s="13" t="n">
        <f aca="false">COUNTIF(Ingredientes!$F:$F,C96)</f>
        <v>3</v>
      </c>
      <c r="I96" s="6"/>
    </row>
    <row r="97" customFormat="false" ht="15" hidden="false" customHeight="false" outlineLevel="0" collapsed="false">
      <c r="A97" s="9" t="s">
        <v>221</v>
      </c>
      <c r="B97" s="9" t="s">
        <v>209</v>
      </c>
      <c r="C97" s="9" t="s">
        <v>222</v>
      </c>
      <c r="D97" s="9" t="s">
        <v>27</v>
      </c>
      <c r="E97" s="10" t="n">
        <v>1000</v>
      </c>
      <c r="F97" s="11" t="n">
        <v>380</v>
      </c>
      <c r="G97" s="12" t="n">
        <f aca="false">IFERROR(F97/E97,0)</f>
        <v>0.38</v>
      </c>
      <c r="H97" s="13" t="n">
        <f aca="false">COUNTIF(Ingredientes!$F:$F,C97)</f>
        <v>2</v>
      </c>
      <c r="I97" s="6"/>
    </row>
    <row r="98" customFormat="false" ht="15" hidden="false" customHeight="false" outlineLevel="0" collapsed="false">
      <c r="A98" s="9" t="s">
        <v>223</v>
      </c>
      <c r="B98" s="9" t="s">
        <v>209</v>
      </c>
      <c r="C98" s="9" t="s">
        <v>224</v>
      </c>
      <c r="D98" s="9" t="s">
        <v>27</v>
      </c>
      <c r="E98" s="10" t="n">
        <v>1000</v>
      </c>
      <c r="F98" s="11" t="n">
        <v>650</v>
      </c>
      <c r="G98" s="12" t="n">
        <f aca="false">IFERROR(F98/E98,0)</f>
        <v>0.65</v>
      </c>
      <c r="H98" s="13" t="n">
        <f aca="false">COUNTIF(Ingredientes!$F:$F,C98)</f>
        <v>5</v>
      </c>
      <c r="I98" s="6"/>
    </row>
    <row r="99" customFormat="false" ht="15" hidden="false" customHeight="false" outlineLevel="0" collapsed="false">
      <c r="A99" s="9" t="s">
        <v>225</v>
      </c>
      <c r="B99" s="9" t="s">
        <v>209</v>
      </c>
      <c r="C99" s="9" t="s">
        <v>226</v>
      </c>
      <c r="D99" s="9" t="s">
        <v>27</v>
      </c>
      <c r="E99" s="10" t="n">
        <v>100</v>
      </c>
      <c r="F99" s="11" t="n">
        <v>180</v>
      </c>
      <c r="G99" s="12" t="n">
        <f aca="false">IFERROR(F99/E99,0)</f>
        <v>1.8</v>
      </c>
      <c r="H99" s="13" t="n">
        <f aca="false">COUNTIF(Ingredientes!$F:$F,C99)</f>
        <v>3</v>
      </c>
      <c r="I99" s="6"/>
    </row>
    <row r="100" customFormat="false" ht="15" hidden="false" customHeight="false" outlineLevel="0" collapsed="false">
      <c r="A100" s="9" t="s">
        <v>227</v>
      </c>
      <c r="B100" s="9" t="s">
        <v>209</v>
      </c>
      <c r="C100" s="9" t="s">
        <v>228</v>
      </c>
      <c r="D100" s="9" t="s">
        <v>179</v>
      </c>
      <c r="E100" s="10" t="n">
        <v>10</v>
      </c>
      <c r="F100" s="11" t="n">
        <v>900</v>
      </c>
      <c r="G100" s="12" t="n">
        <f aca="false">IFERROR(F100/E100,0)</f>
        <v>90</v>
      </c>
      <c r="H100" s="13" t="n">
        <f aca="false">COUNTIF(Ingredientes!$F:$F,C100)</f>
        <v>1</v>
      </c>
      <c r="I100" s="6"/>
    </row>
    <row r="101" customFormat="false" ht="15" hidden="false" customHeight="false" outlineLevel="0" collapsed="false">
      <c r="A101" s="9" t="s">
        <v>229</v>
      </c>
      <c r="B101" s="9" t="s">
        <v>230</v>
      </c>
      <c r="C101" s="9" t="s">
        <v>231</v>
      </c>
      <c r="D101" s="9" t="s">
        <v>27</v>
      </c>
      <c r="E101" s="10" t="n">
        <v>1000</v>
      </c>
      <c r="F101" s="11" t="n">
        <v>380</v>
      </c>
      <c r="G101" s="12" t="n">
        <f aca="false">IFERROR(F101/E101,0)</f>
        <v>0.38</v>
      </c>
      <c r="H101" s="13" t="n">
        <f aca="false">COUNTIF(Ingredientes!$F:$F,C101)</f>
        <v>2</v>
      </c>
      <c r="I101" s="6"/>
    </row>
    <row r="102" customFormat="false" ht="15" hidden="false" customHeight="false" outlineLevel="0" collapsed="false">
      <c r="A102" s="9" t="s">
        <v>232</v>
      </c>
      <c r="B102" s="9" t="s">
        <v>230</v>
      </c>
      <c r="C102" s="9" t="s">
        <v>233</v>
      </c>
      <c r="D102" s="9" t="s">
        <v>27</v>
      </c>
      <c r="E102" s="10" t="n">
        <v>1000</v>
      </c>
      <c r="F102" s="11" t="n">
        <v>380</v>
      </c>
      <c r="G102" s="12" t="n">
        <f aca="false">IFERROR(F102/E102,0)</f>
        <v>0.38</v>
      </c>
      <c r="H102" s="13" t="n">
        <f aca="false">COUNTIF(Ingredientes!$F:$F,C102)</f>
        <v>2</v>
      </c>
      <c r="I102" s="6"/>
    </row>
    <row r="103" customFormat="false" ht="15" hidden="false" customHeight="false" outlineLevel="0" collapsed="false">
      <c r="A103" s="9" t="s">
        <v>234</v>
      </c>
      <c r="B103" s="9" t="s">
        <v>230</v>
      </c>
      <c r="C103" s="9" t="s">
        <v>235</v>
      </c>
      <c r="D103" s="9" t="s">
        <v>27</v>
      </c>
      <c r="E103" s="10" t="n">
        <v>1000</v>
      </c>
      <c r="F103" s="11" t="n">
        <v>220</v>
      </c>
      <c r="G103" s="12" t="n">
        <f aca="false">IFERROR(F103/E103,0)</f>
        <v>0.22</v>
      </c>
      <c r="H103" s="13" t="n">
        <f aca="false">COUNTIF(Ingredientes!$F:$F,C103)</f>
        <v>1</v>
      </c>
      <c r="I103" s="6"/>
    </row>
    <row r="104" customFormat="false" ht="15" hidden="false" customHeight="false" outlineLevel="0" collapsed="false">
      <c r="A104" s="9" t="s">
        <v>236</v>
      </c>
      <c r="B104" s="9" t="s">
        <v>230</v>
      </c>
      <c r="C104" s="9" t="s">
        <v>237</v>
      </c>
      <c r="D104" s="9" t="s">
        <v>27</v>
      </c>
      <c r="E104" s="10" t="n">
        <v>1000</v>
      </c>
      <c r="F104" s="11" t="n">
        <v>300</v>
      </c>
      <c r="G104" s="12" t="n">
        <f aca="false">IFERROR(F104/E104,0)</f>
        <v>0.3</v>
      </c>
      <c r="H104" s="13" t="n">
        <f aca="false">COUNTIF(Ingredientes!$F:$F,C104)</f>
        <v>2</v>
      </c>
      <c r="I104" s="6"/>
    </row>
    <row r="105" customFormat="false" ht="15" hidden="false" customHeight="false" outlineLevel="0" collapsed="false">
      <c r="A105" s="9" t="s">
        <v>238</v>
      </c>
      <c r="B105" s="9" t="s">
        <v>230</v>
      </c>
      <c r="C105" s="9" t="s">
        <v>239</v>
      </c>
      <c r="D105" s="9" t="s">
        <v>27</v>
      </c>
      <c r="E105" s="10" t="n">
        <v>1000</v>
      </c>
      <c r="F105" s="11" t="n">
        <v>220</v>
      </c>
      <c r="G105" s="12" t="n">
        <f aca="false">IFERROR(F105/E105,0)</f>
        <v>0.22</v>
      </c>
      <c r="H105" s="13" t="n">
        <f aca="false">COUNTIF(Ingredientes!$F:$F,C105)</f>
        <v>1</v>
      </c>
      <c r="I105" s="6"/>
    </row>
    <row r="106" customFormat="false" ht="15" hidden="false" customHeight="false" outlineLevel="0" collapsed="false">
      <c r="A106" s="9" t="s">
        <v>240</v>
      </c>
      <c r="B106" s="9" t="s">
        <v>241</v>
      </c>
      <c r="C106" s="9" t="s">
        <v>242</v>
      </c>
      <c r="D106" s="9" t="s">
        <v>27</v>
      </c>
      <c r="E106" s="10" t="n">
        <v>1000</v>
      </c>
      <c r="F106" s="11" t="n">
        <v>65</v>
      </c>
      <c r="G106" s="12" t="n">
        <f aca="false">IFERROR(F106/E106,0)</f>
        <v>0.065</v>
      </c>
      <c r="H106" s="13" t="n">
        <f aca="false">COUNTIF(Ingredientes!$F:$F,C106)</f>
        <v>2</v>
      </c>
      <c r="I106" s="6"/>
    </row>
    <row r="107" customFormat="false" ht="15" hidden="false" customHeight="false" outlineLevel="0" collapsed="false">
      <c r="A107" s="9" t="s">
        <v>243</v>
      </c>
      <c r="B107" s="9" t="s">
        <v>241</v>
      </c>
      <c r="C107" s="9" t="s">
        <v>244</v>
      </c>
      <c r="D107" s="9" t="s">
        <v>27</v>
      </c>
      <c r="E107" s="10" t="n">
        <v>1000</v>
      </c>
      <c r="F107" s="11" t="n">
        <v>180</v>
      </c>
      <c r="G107" s="12" t="n">
        <f aca="false">IFERROR(F107/E107,0)</f>
        <v>0.18</v>
      </c>
      <c r="H107" s="13" t="n">
        <f aca="false">COUNTIF(Ingredientes!$F:$F,C107)</f>
        <v>5</v>
      </c>
      <c r="I107" s="6"/>
    </row>
    <row r="108" customFormat="false" ht="15" hidden="false" customHeight="false" outlineLevel="0" collapsed="false">
      <c r="A108" s="9" t="s">
        <v>245</v>
      </c>
      <c r="B108" s="9" t="s">
        <v>246</v>
      </c>
      <c r="C108" s="9" t="s">
        <v>247</v>
      </c>
      <c r="D108" s="9" t="s">
        <v>27</v>
      </c>
      <c r="E108" s="10" t="n">
        <v>1000</v>
      </c>
      <c r="F108" s="11" t="n">
        <v>520</v>
      </c>
      <c r="G108" s="12" t="n">
        <f aca="false">IFERROR(F108/E108,0)</f>
        <v>0.52</v>
      </c>
      <c r="H108" s="13" t="n">
        <f aca="false">COUNTIF(Ingredientes!$F:$F,C108)</f>
        <v>3</v>
      </c>
      <c r="I108" s="6"/>
    </row>
    <row r="109" customFormat="false" ht="15" hidden="false" customHeight="false" outlineLevel="0" collapsed="false">
      <c r="A109" s="9" t="s">
        <v>248</v>
      </c>
      <c r="B109" s="9" t="s">
        <v>246</v>
      </c>
      <c r="C109" s="9" t="s">
        <v>249</v>
      </c>
      <c r="D109" s="9" t="s">
        <v>27</v>
      </c>
      <c r="E109" s="10" t="n">
        <v>1000</v>
      </c>
      <c r="F109" s="11" t="n">
        <v>750</v>
      </c>
      <c r="G109" s="12" t="n">
        <f aca="false">IFERROR(F109/E109,0)</f>
        <v>0.75</v>
      </c>
      <c r="H109" s="13" t="n">
        <f aca="false">COUNTIF(Ingredientes!$F:$F,C109)</f>
        <v>3</v>
      </c>
      <c r="I109" s="6"/>
    </row>
    <row r="110" customFormat="false" ht="15" hidden="false" customHeight="false" outlineLevel="0" collapsed="false">
      <c r="A110" s="9" t="s">
        <v>250</v>
      </c>
      <c r="B110" s="9" t="s">
        <v>246</v>
      </c>
      <c r="C110" s="9" t="s">
        <v>251</v>
      </c>
      <c r="D110" s="9" t="s">
        <v>27</v>
      </c>
      <c r="E110" s="10" t="n">
        <v>1000</v>
      </c>
      <c r="F110" s="11" t="n">
        <v>1400</v>
      </c>
      <c r="G110" s="12" t="n">
        <f aca="false">IFERROR(F110/E110,0)</f>
        <v>1.4</v>
      </c>
      <c r="H110" s="13" t="n">
        <f aca="false">COUNTIF(Ingredientes!$F:$F,C110)</f>
        <v>1</v>
      </c>
      <c r="I110" s="6"/>
    </row>
    <row r="111" customFormat="false" ht="15" hidden="false" customHeight="false" outlineLevel="0" collapsed="false">
      <c r="A111" s="9" t="s">
        <v>252</v>
      </c>
      <c r="B111" s="9" t="s">
        <v>246</v>
      </c>
      <c r="C111" s="9" t="s">
        <v>253</v>
      </c>
      <c r="D111" s="9" t="s">
        <v>27</v>
      </c>
      <c r="E111" s="10" t="n">
        <v>1000</v>
      </c>
      <c r="F111" s="11" t="n">
        <v>600</v>
      </c>
      <c r="G111" s="12" t="n">
        <f aca="false">IFERROR(F111/E111,0)</f>
        <v>0.6</v>
      </c>
      <c r="H111" s="13" t="n">
        <f aca="false">COUNTIF(Ingredientes!$F:$F,C111)</f>
        <v>1</v>
      </c>
      <c r="I111" s="6"/>
    </row>
    <row r="112" customFormat="false" ht="15" hidden="false" customHeight="false" outlineLevel="0" collapsed="false">
      <c r="A112" s="9" t="s">
        <v>254</v>
      </c>
      <c r="B112" s="9" t="s">
        <v>246</v>
      </c>
      <c r="C112" s="9" t="s">
        <v>255</v>
      </c>
      <c r="D112" s="9" t="s">
        <v>27</v>
      </c>
      <c r="E112" s="10" t="n">
        <v>1000</v>
      </c>
      <c r="F112" s="11" t="n">
        <v>700</v>
      </c>
      <c r="G112" s="12" t="n">
        <f aca="false">IFERROR(F112/E112,0)</f>
        <v>0.7</v>
      </c>
      <c r="H112" s="13" t="n">
        <f aca="false">COUNTIF(Ingredientes!$F:$F,C112)</f>
        <v>1</v>
      </c>
      <c r="I112" s="6"/>
    </row>
    <row r="113" customFormat="false" ht="15" hidden="false" customHeight="false" outlineLevel="0" collapsed="false">
      <c r="A113" s="9" t="s">
        <v>256</v>
      </c>
      <c r="B113" s="9" t="s">
        <v>246</v>
      </c>
      <c r="C113" s="9" t="s">
        <v>257</v>
      </c>
      <c r="D113" s="9" t="s">
        <v>27</v>
      </c>
      <c r="E113" s="10" t="n">
        <v>1000</v>
      </c>
      <c r="F113" s="11" t="n">
        <v>900</v>
      </c>
      <c r="G113" s="12" t="n">
        <f aca="false">IFERROR(F113/E113,0)</f>
        <v>0.9</v>
      </c>
      <c r="H113" s="13" t="n">
        <f aca="false">COUNTIF(Ingredientes!$F:$F,C113)</f>
        <v>2</v>
      </c>
      <c r="I113" s="6"/>
    </row>
    <row r="114" customFormat="false" ht="15" hidden="false" customHeight="false" outlineLevel="0" collapsed="false">
      <c r="A114" s="9" t="s">
        <v>258</v>
      </c>
      <c r="B114" s="9" t="s">
        <v>246</v>
      </c>
      <c r="C114" s="9" t="s">
        <v>259</v>
      </c>
      <c r="D114" s="9" t="s">
        <v>27</v>
      </c>
      <c r="E114" s="10" t="n">
        <v>1000</v>
      </c>
      <c r="F114" s="11" t="n">
        <v>520</v>
      </c>
      <c r="G114" s="12" t="n">
        <f aca="false">IFERROR(F114/E114,0)</f>
        <v>0.52</v>
      </c>
      <c r="H114" s="13" t="n">
        <f aca="false">COUNTIF(Ingredientes!$F:$F,C114)</f>
        <v>1</v>
      </c>
      <c r="I114" s="6"/>
    </row>
    <row r="115" customFormat="false" ht="15" hidden="false" customHeight="false" outlineLevel="0" collapsed="false">
      <c r="A115" s="9" t="s">
        <v>260</v>
      </c>
      <c r="B115" s="9" t="s">
        <v>246</v>
      </c>
      <c r="C115" s="9" t="s">
        <v>261</v>
      </c>
      <c r="D115" s="9" t="s">
        <v>27</v>
      </c>
      <c r="E115" s="10" t="n">
        <v>1000</v>
      </c>
      <c r="F115" s="11" t="n">
        <v>700</v>
      </c>
      <c r="G115" s="12" t="n">
        <f aca="false">IFERROR(F115/E115,0)</f>
        <v>0.7</v>
      </c>
      <c r="H115" s="13" t="n">
        <f aca="false">COUNTIF(Ingredientes!$F:$F,C115)</f>
        <v>1</v>
      </c>
      <c r="I115" s="6"/>
    </row>
    <row r="116" customFormat="false" ht="15" hidden="false" customHeight="false" outlineLevel="0" collapsed="false">
      <c r="A116" s="9" t="s">
        <v>262</v>
      </c>
      <c r="B116" s="9" t="s">
        <v>246</v>
      </c>
      <c r="C116" s="9" t="s">
        <v>263</v>
      </c>
      <c r="D116" s="9" t="s">
        <v>27</v>
      </c>
      <c r="E116" s="10" t="n">
        <v>1000</v>
      </c>
      <c r="F116" s="11" t="n">
        <v>420</v>
      </c>
      <c r="G116" s="12" t="n">
        <f aca="false">IFERROR(F116/E116,0)</f>
        <v>0.42</v>
      </c>
      <c r="H116" s="13" t="n">
        <f aca="false">COUNTIF(Ingredientes!$F:$F,C116)</f>
        <v>1</v>
      </c>
      <c r="I116" s="6"/>
    </row>
    <row r="117" customFormat="false" ht="15" hidden="false" customHeight="false" outlineLevel="0" collapsed="false">
      <c r="A117" s="9" t="s">
        <v>264</v>
      </c>
      <c r="B117" s="9" t="s">
        <v>246</v>
      </c>
      <c r="C117" s="9" t="s">
        <v>265</v>
      </c>
      <c r="D117" s="9" t="s">
        <v>27</v>
      </c>
      <c r="E117" s="10" t="n">
        <v>1000</v>
      </c>
      <c r="F117" s="11" t="n">
        <v>150</v>
      </c>
      <c r="G117" s="12" t="n">
        <f aca="false">IFERROR(F117/E117,0)</f>
        <v>0.15</v>
      </c>
      <c r="H117" s="13" t="n">
        <f aca="false">COUNTIF(Ingredientes!$F:$F,C117)</f>
        <v>1</v>
      </c>
      <c r="I117" s="6"/>
    </row>
    <row r="118" customFormat="false" ht="15" hidden="false" customHeight="false" outlineLevel="0" collapsed="false">
      <c r="A118" s="9" t="s">
        <v>266</v>
      </c>
      <c r="B118" s="9" t="s">
        <v>246</v>
      </c>
      <c r="C118" s="9" t="s">
        <v>267</v>
      </c>
      <c r="D118" s="9" t="s">
        <v>27</v>
      </c>
      <c r="E118" s="10" t="n">
        <v>1000</v>
      </c>
      <c r="F118" s="11" t="n">
        <v>180</v>
      </c>
      <c r="G118" s="12" t="n">
        <f aca="false">IFERROR(F118/E118,0)</f>
        <v>0.18</v>
      </c>
      <c r="H118" s="13" t="n">
        <f aca="false">COUNTIF(Ingredientes!$F:$F,C118)</f>
        <v>1</v>
      </c>
      <c r="I118" s="6"/>
    </row>
    <row r="119" customFormat="false" ht="15" hidden="false" customHeight="false" outlineLevel="0" collapsed="false">
      <c r="A119" s="9" t="s">
        <v>268</v>
      </c>
      <c r="B119" s="9" t="s">
        <v>246</v>
      </c>
      <c r="C119" s="9" t="s">
        <v>269</v>
      </c>
      <c r="D119" s="9" t="s">
        <v>27</v>
      </c>
      <c r="E119" s="10" t="n">
        <v>1000</v>
      </c>
      <c r="F119" s="11" t="n">
        <v>480</v>
      </c>
      <c r="G119" s="12" t="n">
        <f aca="false">IFERROR(F119/E119,0)</f>
        <v>0.48</v>
      </c>
      <c r="H119" s="13" t="n">
        <f aca="false">COUNTIF(Ingredientes!$F:$F,C119)</f>
        <v>2</v>
      </c>
      <c r="I119" s="6"/>
    </row>
    <row r="120" customFormat="false" ht="15" hidden="false" customHeight="false" outlineLevel="0" collapsed="false">
      <c r="A120" s="9" t="s">
        <v>270</v>
      </c>
      <c r="B120" s="9" t="s">
        <v>246</v>
      </c>
      <c r="C120" s="9" t="s">
        <v>271</v>
      </c>
      <c r="D120" s="9" t="s">
        <v>27</v>
      </c>
      <c r="E120" s="10" t="n">
        <v>1000</v>
      </c>
      <c r="F120" s="11" t="n">
        <v>520</v>
      </c>
      <c r="G120" s="12" t="n">
        <f aca="false">IFERROR(F120/E120,0)</f>
        <v>0.52</v>
      </c>
      <c r="H120" s="13" t="n">
        <f aca="false">COUNTIF(Ingredientes!$F:$F,C120)</f>
        <v>1</v>
      </c>
      <c r="I120" s="6"/>
    </row>
    <row r="121" customFormat="false" ht="15" hidden="false" customHeight="false" outlineLevel="0" collapsed="false">
      <c r="A121" s="9" t="s">
        <v>272</v>
      </c>
      <c r="B121" s="9" t="s">
        <v>246</v>
      </c>
      <c r="C121" s="9" t="s">
        <v>273</v>
      </c>
      <c r="D121" s="9" t="s">
        <v>27</v>
      </c>
      <c r="E121" s="10" t="n">
        <v>1000</v>
      </c>
      <c r="F121" s="11" t="n">
        <v>120</v>
      </c>
      <c r="G121" s="12" t="n">
        <f aca="false">IFERROR(F121/E121,0)</f>
        <v>0.12</v>
      </c>
      <c r="H121" s="13" t="n">
        <f aca="false">COUNTIF(Ingredientes!$F:$F,C121)</f>
        <v>1</v>
      </c>
      <c r="I121" s="6"/>
    </row>
    <row r="122" customFormat="false" ht="15" hidden="false" customHeight="false" outlineLevel="0" collapsed="false">
      <c r="A122" s="9" t="s">
        <v>274</v>
      </c>
      <c r="B122" s="9" t="s">
        <v>246</v>
      </c>
      <c r="C122" s="9" t="s">
        <v>275</v>
      </c>
      <c r="D122" s="9" t="s">
        <v>27</v>
      </c>
      <c r="E122" s="10" t="n">
        <v>1000</v>
      </c>
      <c r="F122" s="11" t="n">
        <v>300</v>
      </c>
      <c r="G122" s="12" t="n">
        <f aca="false">IFERROR(F122/E122,0)</f>
        <v>0.3</v>
      </c>
      <c r="H122" s="13" t="n">
        <f aca="false">COUNTIF(Ingredientes!$F:$F,C122)</f>
        <v>1</v>
      </c>
      <c r="I122" s="6"/>
    </row>
    <row r="123" customFormat="false" ht="15" hidden="false" customHeight="false" outlineLevel="0" collapsed="false">
      <c r="A123" s="9" t="s">
        <v>276</v>
      </c>
      <c r="B123" s="9" t="s">
        <v>246</v>
      </c>
      <c r="C123" s="9" t="s">
        <v>277</v>
      </c>
      <c r="D123" s="9" t="s">
        <v>27</v>
      </c>
      <c r="E123" s="10" t="n">
        <v>1000</v>
      </c>
      <c r="F123" s="11" t="n">
        <v>480</v>
      </c>
      <c r="G123" s="12" t="n">
        <f aca="false">IFERROR(F123/E123,0)</f>
        <v>0.48</v>
      </c>
      <c r="H123" s="13" t="n">
        <f aca="false">COUNTIF(Ingredientes!$F:$F,C123)</f>
        <v>1</v>
      </c>
      <c r="I123" s="6"/>
    </row>
    <row r="124" customFormat="false" ht="15" hidden="false" customHeight="false" outlineLevel="0" collapsed="false">
      <c r="A124" s="9" t="s">
        <v>278</v>
      </c>
      <c r="B124" s="9" t="s">
        <v>246</v>
      </c>
      <c r="C124" s="9" t="s">
        <v>279</v>
      </c>
      <c r="D124" s="9" t="s">
        <v>27</v>
      </c>
      <c r="E124" s="10" t="n">
        <v>1000</v>
      </c>
      <c r="F124" s="11" t="n">
        <v>300</v>
      </c>
      <c r="G124" s="12" t="n">
        <f aca="false">IFERROR(F124/E124,0)</f>
        <v>0.3</v>
      </c>
      <c r="H124" s="13" t="n">
        <f aca="false">COUNTIF(Ingredientes!$F:$F,C124)</f>
        <v>1</v>
      </c>
      <c r="I124" s="6"/>
    </row>
    <row r="125" customFormat="false" ht="15" hidden="false" customHeight="false" outlineLevel="0" collapsed="false">
      <c r="A125" s="9" t="s">
        <v>280</v>
      </c>
      <c r="B125" s="9" t="s">
        <v>281</v>
      </c>
      <c r="C125" s="9" t="s">
        <v>282</v>
      </c>
      <c r="D125" s="9" t="s">
        <v>179</v>
      </c>
      <c r="E125" s="10" t="n">
        <v>1</v>
      </c>
      <c r="F125" s="11" t="n">
        <v>120</v>
      </c>
      <c r="G125" s="12" t="n">
        <f aca="false">IFERROR(F125/E125,0)</f>
        <v>120</v>
      </c>
      <c r="H125" s="13" t="n">
        <f aca="false">COUNTIF(Ingredientes!$F:$F,C125)</f>
        <v>3</v>
      </c>
      <c r="I125" s="6"/>
    </row>
    <row r="126" customFormat="false" ht="15" hidden="false" customHeight="false" outlineLevel="0" collapsed="false">
      <c r="A126" s="9" t="s">
        <v>283</v>
      </c>
      <c r="B126" s="9" t="s">
        <v>281</v>
      </c>
      <c r="C126" s="9" t="s">
        <v>284</v>
      </c>
      <c r="D126" s="9" t="s">
        <v>34</v>
      </c>
      <c r="E126" s="10" t="n">
        <v>1000</v>
      </c>
      <c r="F126" s="11" t="n">
        <v>450</v>
      </c>
      <c r="G126" s="12" t="n">
        <f aca="false">IFERROR(F126/E126,0)</f>
        <v>0.45</v>
      </c>
      <c r="H126" s="13" t="n">
        <f aca="false">COUNTIF(Ingredientes!$F:$F,C126)</f>
        <v>16</v>
      </c>
      <c r="I126" s="6"/>
    </row>
    <row r="127" customFormat="false" ht="15" hidden="false" customHeight="false" outlineLevel="0" collapsed="false">
      <c r="A127" s="9" t="s">
        <v>285</v>
      </c>
      <c r="B127" s="9" t="s">
        <v>281</v>
      </c>
      <c r="C127" s="9" t="s">
        <v>286</v>
      </c>
      <c r="D127" s="9" t="s">
        <v>34</v>
      </c>
      <c r="E127" s="10" t="n">
        <v>100</v>
      </c>
      <c r="F127" s="11" t="n">
        <v>180</v>
      </c>
      <c r="G127" s="12" t="n">
        <f aca="false">IFERROR(F127/E127,0)</f>
        <v>1.8</v>
      </c>
      <c r="H127" s="13" t="n">
        <f aca="false">COUNTIF(Ingredientes!$F:$F,C127)</f>
        <v>2</v>
      </c>
      <c r="I127" s="6"/>
    </row>
    <row r="128" customFormat="false" ht="15" hidden="false" customHeight="false" outlineLevel="0" collapsed="false">
      <c r="A128" s="9" t="s">
        <v>287</v>
      </c>
      <c r="B128" s="9" t="s">
        <v>281</v>
      </c>
      <c r="C128" s="9" t="s">
        <v>288</v>
      </c>
      <c r="D128" s="9" t="s">
        <v>34</v>
      </c>
      <c r="E128" s="10" t="n">
        <v>10</v>
      </c>
      <c r="F128" s="11" t="n">
        <v>180</v>
      </c>
      <c r="G128" s="12" t="n">
        <f aca="false">IFERROR(F128/E128,0)</f>
        <v>18</v>
      </c>
      <c r="H128" s="13" t="n">
        <f aca="false">COUNTIF(Ingredientes!$F:$F,C128)</f>
        <v>1</v>
      </c>
      <c r="I128" s="6"/>
    </row>
    <row r="129" customFormat="false" ht="15" hidden="false" customHeight="false" outlineLevel="0" collapsed="false">
      <c r="A129" s="9" t="s">
        <v>289</v>
      </c>
      <c r="B129" s="9" t="s">
        <v>281</v>
      </c>
      <c r="C129" s="9" t="s">
        <v>290</v>
      </c>
      <c r="D129" s="9" t="s">
        <v>27</v>
      </c>
      <c r="E129" s="10" t="n">
        <v>1000</v>
      </c>
      <c r="F129" s="11" t="n">
        <v>650</v>
      </c>
      <c r="G129" s="12" t="n">
        <f aca="false">IFERROR(F129/E129,0)</f>
        <v>0.65</v>
      </c>
      <c r="H129" s="13" t="n">
        <f aca="false">COUNTIF(Ingredientes!$F:$F,C129)</f>
        <v>3</v>
      </c>
      <c r="I129" s="6"/>
    </row>
    <row r="130" customFormat="false" ht="15" hidden="false" customHeight="false" outlineLevel="0" collapsed="false">
      <c r="A130" s="9" t="s">
        <v>291</v>
      </c>
      <c r="B130" s="9" t="s">
        <v>281</v>
      </c>
      <c r="C130" s="9" t="s">
        <v>292</v>
      </c>
      <c r="D130" s="9" t="s">
        <v>27</v>
      </c>
      <c r="E130" s="10" t="n">
        <v>100</v>
      </c>
      <c r="F130" s="11" t="n">
        <v>90</v>
      </c>
      <c r="G130" s="12" t="n">
        <f aca="false">IFERROR(F130/E130,0)</f>
        <v>0.9</v>
      </c>
      <c r="H130" s="13" t="n">
        <f aca="false">COUNTIF(Ingredientes!$F:$F,C130)</f>
        <v>1</v>
      </c>
      <c r="I130" s="6"/>
    </row>
    <row r="131" customFormat="false" ht="15" hidden="false" customHeight="false" outlineLevel="0" collapsed="false">
      <c r="A131" s="9" t="s">
        <v>293</v>
      </c>
      <c r="B131" s="9" t="s">
        <v>294</v>
      </c>
      <c r="C131" s="9" t="s">
        <v>295</v>
      </c>
      <c r="D131" s="9" t="s">
        <v>34</v>
      </c>
      <c r="E131" s="10" t="n">
        <v>750</v>
      </c>
      <c r="F131" s="11" t="n">
        <v>320</v>
      </c>
      <c r="G131" s="12" t="n">
        <f aca="false">IFERROR(F131/E131,0)</f>
        <v>0.426666666666667</v>
      </c>
      <c r="H131" s="13" t="n">
        <f aca="false">COUNTIF(Ingredientes!$F:$F,C131)</f>
        <v>6</v>
      </c>
      <c r="I131" s="6"/>
    </row>
    <row r="132" customFormat="false" ht="15" hidden="false" customHeight="false" outlineLevel="0" collapsed="false">
      <c r="A132" s="9" t="s">
        <v>296</v>
      </c>
      <c r="B132" s="9" t="s">
        <v>294</v>
      </c>
      <c r="C132" s="9" t="s">
        <v>297</v>
      </c>
      <c r="D132" s="9" t="s">
        <v>34</v>
      </c>
      <c r="E132" s="10" t="n">
        <v>750</v>
      </c>
      <c r="F132" s="11" t="n">
        <v>360</v>
      </c>
      <c r="G132" s="12" t="n">
        <f aca="false">IFERROR(F132/E132,0)</f>
        <v>0.48</v>
      </c>
      <c r="H132" s="13" t="n">
        <f aca="false">COUNTIF(Ingredientes!$F:$F,C132)</f>
        <v>2</v>
      </c>
      <c r="I132" s="6"/>
    </row>
    <row r="133" customFormat="false" ht="15" hidden="false" customHeight="false" outlineLevel="0" collapsed="false">
      <c r="A133" s="9" t="s">
        <v>298</v>
      </c>
      <c r="B133" s="9" t="s">
        <v>294</v>
      </c>
      <c r="C133" s="9" t="s">
        <v>299</v>
      </c>
      <c r="D133" s="9" t="s">
        <v>34</v>
      </c>
      <c r="E133" s="10" t="n">
        <v>750</v>
      </c>
      <c r="F133" s="11" t="n">
        <v>390</v>
      </c>
      <c r="G133" s="12" t="n">
        <f aca="false">IFERROR(F133/E133,0)</f>
        <v>0.52</v>
      </c>
      <c r="H133" s="13" t="n">
        <f aca="false">COUNTIF(Ingredientes!$F:$F,C133)</f>
        <v>2</v>
      </c>
      <c r="I133" s="6"/>
    </row>
    <row r="134" customFormat="false" ht="15" hidden="false" customHeight="false" outlineLevel="0" collapsed="false">
      <c r="A134" s="9" t="s">
        <v>300</v>
      </c>
      <c r="B134" s="9" t="s">
        <v>294</v>
      </c>
      <c r="C134" s="9" t="s">
        <v>301</v>
      </c>
      <c r="D134" s="9" t="s">
        <v>34</v>
      </c>
      <c r="E134" s="10" t="n">
        <v>700</v>
      </c>
      <c r="F134" s="11" t="n">
        <v>450</v>
      </c>
      <c r="G134" s="12" t="n">
        <f aca="false">IFERROR(F134/E134,0)</f>
        <v>0.642857142857143</v>
      </c>
      <c r="H134" s="13" t="n">
        <f aca="false">COUNTIF(Ingredientes!$F:$F,C134)</f>
        <v>5</v>
      </c>
      <c r="I134" s="6"/>
    </row>
    <row r="135" customFormat="false" ht="15" hidden="false" customHeight="false" outlineLevel="0" collapsed="false">
      <c r="A135" s="9" t="s">
        <v>302</v>
      </c>
      <c r="B135" s="9" t="s">
        <v>294</v>
      </c>
      <c r="C135" s="9" t="s">
        <v>303</v>
      </c>
      <c r="D135" s="9" t="s">
        <v>34</v>
      </c>
      <c r="E135" s="10" t="n">
        <v>700</v>
      </c>
      <c r="F135" s="11" t="n">
        <v>700</v>
      </c>
      <c r="G135" s="12" t="n">
        <f aca="false">IFERROR(F135/E135,0)</f>
        <v>1</v>
      </c>
      <c r="H135" s="13" t="n">
        <f aca="false">COUNTIF(Ingredientes!$F:$F,C135)</f>
        <v>2</v>
      </c>
      <c r="I135" s="6"/>
    </row>
    <row r="136" customFormat="false" ht="15" hidden="false" customHeight="false" outlineLevel="0" collapsed="false">
      <c r="A136" s="9" t="s">
        <v>304</v>
      </c>
      <c r="B136" s="9" t="s">
        <v>294</v>
      </c>
      <c r="C136" s="9" t="s">
        <v>305</v>
      </c>
      <c r="D136" s="9" t="s">
        <v>34</v>
      </c>
      <c r="E136" s="10" t="n">
        <v>750</v>
      </c>
      <c r="F136" s="11" t="n">
        <v>280</v>
      </c>
      <c r="G136" s="12" t="n">
        <f aca="false">IFERROR(F136/E136,0)</f>
        <v>0.373333333333333</v>
      </c>
      <c r="H136" s="13" t="n">
        <f aca="false">COUNTIF(Ingredientes!$F:$F,C136)</f>
        <v>7</v>
      </c>
      <c r="I136" s="6"/>
    </row>
    <row r="137" customFormat="false" ht="15" hidden="false" customHeight="false" outlineLevel="0" collapsed="false">
      <c r="A137" s="9" t="s">
        <v>306</v>
      </c>
      <c r="B137" s="9" t="s">
        <v>294</v>
      </c>
      <c r="C137" s="9" t="s">
        <v>307</v>
      </c>
      <c r="D137" s="9" t="s">
        <v>34</v>
      </c>
      <c r="E137" s="10" t="n">
        <v>750</v>
      </c>
      <c r="F137" s="11" t="n">
        <v>220</v>
      </c>
      <c r="G137" s="12" t="n">
        <f aca="false">IFERROR(F137/E137,0)</f>
        <v>0.293333333333333</v>
      </c>
      <c r="H137" s="13" t="n">
        <f aca="false">COUNTIF(Ingredientes!$F:$F,C137)</f>
        <v>2</v>
      </c>
      <c r="I137" s="6"/>
    </row>
    <row r="138" customFormat="false" ht="15" hidden="false" customHeight="false" outlineLevel="0" collapsed="false">
      <c r="A138" s="9" t="s">
        <v>308</v>
      </c>
      <c r="B138" s="9" t="s">
        <v>294</v>
      </c>
      <c r="C138" s="9" t="s">
        <v>309</v>
      </c>
      <c r="D138" s="9" t="s">
        <v>34</v>
      </c>
      <c r="E138" s="10" t="n">
        <v>750</v>
      </c>
      <c r="F138" s="11" t="n">
        <v>800</v>
      </c>
      <c r="G138" s="12" t="n">
        <f aca="false">IFERROR(F138/E138,0)</f>
        <v>1.06666666666667</v>
      </c>
      <c r="H138" s="13" t="n">
        <f aca="false">COUNTIF(Ingredientes!$F:$F,C138)</f>
        <v>2</v>
      </c>
      <c r="I138" s="6"/>
    </row>
    <row r="139" customFormat="false" ht="15" hidden="false" customHeight="false" outlineLevel="0" collapsed="false">
      <c r="A139" s="9" t="s">
        <v>310</v>
      </c>
      <c r="B139" s="9" t="s">
        <v>294</v>
      </c>
      <c r="C139" s="9" t="s">
        <v>311</v>
      </c>
      <c r="D139" s="9" t="s">
        <v>34</v>
      </c>
      <c r="E139" s="10" t="n">
        <v>750</v>
      </c>
      <c r="F139" s="11" t="n">
        <v>900</v>
      </c>
      <c r="G139" s="12" t="n">
        <f aca="false">IFERROR(F139/E139,0)</f>
        <v>1.2</v>
      </c>
      <c r="H139" s="13" t="n">
        <f aca="false">COUNTIF(Ingredientes!$F:$F,C139)</f>
        <v>3</v>
      </c>
      <c r="I139" s="6"/>
    </row>
    <row r="140" customFormat="false" ht="15" hidden="false" customHeight="false" outlineLevel="0" collapsed="false">
      <c r="A140" s="9" t="s">
        <v>312</v>
      </c>
      <c r="B140" s="9" t="s">
        <v>294</v>
      </c>
      <c r="C140" s="9" t="s">
        <v>313</v>
      </c>
      <c r="D140" s="9" t="s">
        <v>34</v>
      </c>
      <c r="E140" s="10" t="n">
        <v>750</v>
      </c>
      <c r="F140" s="11" t="n">
        <v>450</v>
      </c>
      <c r="G140" s="12" t="n">
        <f aca="false">IFERROR(F140/E140,0)</f>
        <v>0.6</v>
      </c>
      <c r="H140" s="13" t="n">
        <f aca="false">COUNTIF(Ingredientes!$F:$F,C140)</f>
        <v>2</v>
      </c>
      <c r="I140" s="6"/>
    </row>
    <row r="141" customFormat="false" ht="15" hidden="false" customHeight="false" outlineLevel="0" collapsed="false">
      <c r="A141" s="9" t="s">
        <v>314</v>
      </c>
      <c r="B141" s="9" t="s">
        <v>294</v>
      </c>
      <c r="C141" s="9" t="s">
        <v>315</v>
      </c>
      <c r="D141" s="9" t="s">
        <v>34</v>
      </c>
      <c r="E141" s="10" t="n">
        <v>750</v>
      </c>
      <c r="F141" s="11" t="n">
        <v>400</v>
      </c>
      <c r="G141" s="12" t="n">
        <f aca="false">IFERROR(F141/E141,0)</f>
        <v>0.533333333333333</v>
      </c>
      <c r="H141" s="13" t="n">
        <f aca="false">COUNTIF(Ingredientes!$F:$F,C141)</f>
        <v>15</v>
      </c>
      <c r="I141" s="6"/>
    </row>
    <row r="142" customFormat="false" ht="15" hidden="false" customHeight="false" outlineLevel="0" collapsed="false">
      <c r="A142" s="9" t="s">
        <v>316</v>
      </c>
      <c r="B142" s="9" t="s">
        <v>294</v>
      </c>
      <c r="C142" s="9" t="s">
        <v>317</v>
      </c>
      <c r="D142" s="9" t="s">
        <v>34</v>
      </c>
      <c r="E142" s="10" t="n">
        <v>750</v>
      </c>
      <c r="F142" s="11" t="n">
        <v>520</v>
      </c>
      <c r="G142" s="12" t="n">
        <f aca="false">IFERROR(F142/E142,0)</f>
        <v>0.693333333333333</v>
      </c>
      <c r="H142" s="13" t="n">
        <f aca="false">COUNTIF(Ingredientes!$F:$F,C142)</f>
        <v>2</v>
      </c>
      <c r="I142" s="6"/>
    </row>
    <row r="143" customFormat="false" ht="15" hidden="false" customHeight="false" outlineLevel="0" collapsed="false">
      <c r="A143" s="9" t="s">
        <v>318</v>
      </c>
      <c r="B143" s="9" t="s">
        <v>294</v>
      </c>
      <c r="C143" s="9" t="s">
        <v>319</v>
      </c>
      <c r="D143" s="9" t="s">
        <v>34</v>
      </c>
      <c r="E143" s="10" t="n">
        <v>250</v>
      </c>
      <c r="F143" s="11" t="n">
        <v>180</v>
      </c>
      <c r="G143" s="12" t="n">
        <f aca="false">IFERROR(F143/E143,0)</f>
        <v>0.72</v>
      </c>
      <c r="H143" s="13" t="n">
        <f aca="false">COUNTIF(Ingredientes!$F:$F,C143)</f>
        <v>2</v>
      </c>
      <c r="I143" s="6"/>
    </row>
  </sheetData>
  <autoFilter ref="A4:I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320</v>
      </c>
    </row>
    <row r="2" customFormat="false" ht="15" hidden="false" customHeight="false" outlineLevel="0" collapsed="false">
      <c r="A2" s="7" t="s">
        <v>321</v>
      </c>
    </row>
    <row r="4" customFormat="false" ht="30" hidden="false" customHeight="true" outlineLevel="0" collapsed="false">
      <c r="A4" s="8" t="s">
        <v>322</v>
      </c>
      <c r="B4" s="8" t="s">
        <v>323</v>
      </c>
      <c r="C4" s="8" t="s">
        <v>324</v>
      </c>
      <c r="D4" s="8" t="s">
        <v>325</v>
      </c>
      <c r="E4" s="8" t="s">
        <v>326</v>
      </c>
      <c r="F4" s="8"/>
      <c r="G4" s="8"/>
    </row>
    <row r="5" customFormat="false" ht="27.75" hidden="false" customHeight="true" outlineLevel="0" collapsed="false">
      <c r="A5" s="3" t="s">
        <v>327</v>
      </c>
      <c r="B5" s="13" t="s">
        <v>328</v>
      </c>
      <c r="C5" s="14" t="s">
        <v>329</v>
      </c>
      <c r="D5" s="15" t="n">
        <f aca="false">IFERROR(SUMIF(Ingredientes!$C:$C,"bizcocho",Ingredientes!$K:$K)/SUM('Recetas y precios'!$E$5:$E$55),0)</f>
        <v>2.90751965219421</v>
      </c>
      <c r="E5" s="16" t="n">
        <f aca="false">IFERROR(D5/SUM($D$5:$D$8),0)</f>
        <v>0.0419479597740706</v>
      </c>
    </row>
    <row r="6" customFormat="false" ht="27.75" hidden="false" customHeight="true" outlineLevel="0" collapsed="false">
      <c r="A6" s="3" t="s">
        <v>330</v>
      </c>
      <c r="B6" s="13" t="s">
        <v>331</v>
      </c>
      <c r="C6" s="14" t="s">
        <v>332</v>
      </c>
      <c r="D6" s="15" t="n">
        <f aca="false">IFERROR(SUMIF(Ingredientes!$C:$C,"jarabe",Ingredientes!$K:$K)/SUM('Recetas y precios'!$E$5:$E$55),0)</f>
        <v>5.57550267040149</v>
      </c>
      <c r="E6" s="16" t="n">
        <f aca="false">IFERROR(D6/SUM($D$5:$D$8),0)</f>
        <v>0.0804400278298111</v>
      </c>
    </row>
    <row r="7" customFormat="false" ht="27.75" hidden="false" customHeight="true" outlineLevel="0" collapsed="false">
      <c r="A7" s="3" t="s">
        <v>333</v>
      </c>
      <c r="B7" s="13" t="s">
        <v>334</v>
      </c>
      <c r="C7" s="14" t="s">
        <v>335</v>
      </c>
      <c r="D7" s="15" t="n">
        <f aca="false">IFERROR(SUMIF(Ingredientes!$C:$C,"crema",Ingredientes!$K:$K)/SUM('Recetas y precios'!$E$5:$E$55),0)</f>
        <v>48.4912009803922</v>
      </c>
      <c r="E7" s="16" t="n">
        <f aca="false">IFERROR(D7/SUM($D$5:$D$8),0)</f>
        <v>0.699602132211484</v>
      </c>
    </row>
    <row r="8" customFormat="false" ht="27.75" hidden="false" customHeight="true" outlineLevel="0" collapsed="false">
      <c r="A8" s="3" t="s">
        <v>336</v>
      </c>
      <c r="B8" s="13" t="s">
        <v>337</v>
      </c>
      <c r="C8" s="14" t="s">
        <v>338</v>
      </c>
      <c r="D8" s="15" t="n">
        <f aca="false">IFERROR(SUMIF(Ingredientes!$C:$C,"acabado",Ingredientes!$K:$K)/SUM('Recetas y precios'!$E$5:$E$55),0)</f>
        <v>12.3383169934641</v>
      </c>
      <c r="E8" s="16" t="n">
        <f aca="false">IFERROR(D8/SUM($D$5:$D$8),0)</f>
        <v>0.178009880184634</v>
      </c>
    </row>
    <row r="10" customFormat="false" ht="30" hidden="false" customHeight="true" outlineLevel="0" collapsed="false">
      <c r="A10" s="8" t="s">
        <v>322</v>
      </c>
      <c r="B10" s="8" t="s">
        <v>339</v>
      </c>
      <c r="C10" s="8" t="s">
        <v>340</v>
      </c>
      <c r="D10" s="8" t="s">
        <v>341</v>
      </c>
      <c r="E10" s="8" t="s">
        <v>342</v>
      </c>
      <c r="F10" s="8"/>
      <c r="G10" s="8"/>
    </row>
    <row r="11" customFormat="false" ht="25.5" hidden="false" customHeight="true" outlineLevel="0" collapsed="false">
      <c r="A11" s="3" t="s">
        <v>343</v>
      </c>
      <c r="B11" s="13" t="s">
        <v>344</v>
      </c>
      <c r="C11" s="14" t="s">
        <v>345</v>
      </c>
      <c r="D11" s="17" t="n">
        <v>9</v>
      </c>
      <c r="E11" s="13" t="n">
        <f aca="false">COUNTIF('Recetas y precios'!$D:$D,A11)</f>
        <v>26</v>
      </c>
    </row>
    <row r="12" customFormat="false" ht="25.5" hidden="false" customHeight="true" outlineLevel="0" collapsed="false">
      <c r="A12" s="3" t="s">
        <v>346</v>
      </c>
      <c r="B12" s="13" t="s">
        <v>347</v>
      </c>
      <c r="C12" s="14" t="s">
        <v>348</v>
      </c>
      <c r="D12" s="17" t="n">
        <v>16</v>
      </c>
      <c r="E12" s="13" t="n">
        <f aca="false">COUNTIF('Recetas y precios'!$D:$D,A12)</f>
        <v>14</v>
      </c>
    </row>
    <row r="13" customFormat="false" ht="25.5" hidden="false" customHeight="true" outlineLevel="0" collapsed="false">
      <c r="A13" s="3" t="s">
        <v>349</v>
      </c>
      <c r="B13" s="13" t="s">
        <v>350</v>
      </c>
      <c r="C13" s="14" t="s">
        <v>351</v>
      </c>
      <c r="D13" s="17" t="n">
        <v>12</v>
      </c>
      <c r="E13" s="13" t="n">
        <f aca="false">COUNTIF('Recetas y precios'!$D:$D,A13)</f>
        <v>10</v>
      </c>
    </row>
    <row r="14" customFormat="false" ht="25.5" hidden="false" customHeight="true" outlineLevel="0" collapsed="false">
      <c r="A14" s="3" t="s">
        <v>352</v>
      </c>
      <c r="B14" s="13" t="s">
        <v>353</v>
      </c>
      <c r="C14" s="14" t="s">
        <v>354</v>
      </c>
      <c r="D14" s="17" t="n">
        <v>11</v>
      </c>
      <c r="E14" s="13" t="n">
        <f aca="false">COUNTIF('Recetas y precios'!$D:$D,A14)</f>
        <v>1</v>
      </c>
    </row>
    <row r="17" customFormat="false" ht="15" hidden="false" customHeight="false" outlineLevel="0" collapsed="false">
      <c r="A17" s="18" t="s">
        <v>355</v>
      </c>
    </row>
    <row r="18" customFormat="false" ht="30" hidden="false" customHeight="true" outlineLevel="0" collapsed="false">
      <c r="A18" s="8"/>
      <c r="B18" s="8" t="s">
        <v>17</v>
      </c>
      <c r="C18" s="8" t="s">
        <v>356</v>
      </c>
      <c r="D18" s="8" t="s">
        <v>18</v>
      </c>
      <c r="E18" s="8" t="s">
        <v>357</v>
      </c>
      <c r="F18" s="8" t="s">
        <v>358</v>
      </c>
      <c r="G18" s="8" t="s">
        <v>359</v>
      </c>
    </row>
    <row r="19" customFormat="false" ht="15" hidden="false" customHeight="false" outlineLevel="0" collapsed="false">
      <c r="B19" s="0" t="s">
        <v>59</v>
      </c>
      <c r="C19" s="19" t="n">
        <v>50</v>
      </c>
      <c r="D19" s="13" t="s">
        <v>27</v>
      </c>
      <c r="E19" s="12" t="n">
        <f aca="false">IFERROR(VLOOKUP(B19,Insumos!$C$5:$G$143,5,FALSE()),0)</f>
        <v>0.032</v>
      </c>
      <c r="F19" s="15" t="n">
        <f aca="false">C19*E19</f>
        <v>1.6</v>
      </c>
    </row>
    <row r="20" customFormat="false" ht="15" hidden="false" customHeight="false" outlineLevel="0" collapsed="false">
      <c r="B20" s="0" t="s">
        <v>48</v>
      </c>
      <c r="C20" s="19" t="n">
        <v>35</v>
      </c>
      <c r="D20" s="13" t="s">
        <v>27</v>
      </c>
      <c r="E20" s="12" t="n">
        <f aca="false">IFERROR(VLOOKUP(B20,Insumos!$C$5:$G$143,5,FALSE()),0)</f>
        <v>0.13</v>
      </c>
      <c r="F20" s="15" t="n">
        <f aca="false">C20*E20</f>
        <v>4.55</v>
      </c>
    </row>
    <row r="21" customFormat="false" ht="15" hidden="false" customHeight="false" outlineLevel="0" collapsed="false">
      <c r="B21" s="0" t="s">
        <v>50</v>
      </c>
      <c r="C21" s="19" t="n">
        <v>75</v>
      </c>
      <c r="D21" s="13" t="s">
        <v>27</v>
      </c>
      <c r="E21" s="12" t="n">
        <f aca="false">IFERROR(VLOOKUP(B21,Insumos!$C$5:$G$143,5,FALSE()),0)</f>
        <v>0.075</v>
      </c>
      <c r="F21" s="15" t="n">
        <f aca="false">C21*E21</f>
        <v>5.625</v>
      </c>
    </row>
    <row r="22" customFormat="false" ht="15" hidden="false" customHeight="false" outlineLevel="0" collapsed="false">
      <c r="B22" s="0" t="s">
        <v>72</v>
      </c>
      <c r="C22" s="19" t="n">
        <v>40</v>
      </c>
      <c r="D22" s="13" t="s">
        <v>27</v>
      </c>
      <c r="E22" s="12" t="n">
        <f aca="false">IFERROR(VLOOKUP(B22,Insumos!$C$5:$G$143,5,FALSE()),0)</f>
        <v>0.028</v>
      </c>
      <c r="F22" s="15" t="n">
        <f aca="false">C22*E22</f>
        <v>1.12</v>
      </c>
    </row>
    <row r="23" customFormat="false" ht="15" hidden="false" customHeight="false" outlineLevel="0" collapsed="false">
      <c r="B23" s="0" t="s">
        <v>109</v>
      </c>
      <c r="C23" s="19" t="n">
        <v>25</v>
      </c>
      <c r="D23" s="13" t="s">
        <v>34</v>
      </c>
      <c r="E23" s="12" t="n">
        <f aca="false">IFERROR(VLOOKUP(B23,Insumos!$C$5:$G$143,5,FALSE()),0)</f>
        <v>0.045</v>
      </c>
      <c r="F23" s="15" t="n">
        <f aca="false">C23*E23</f>
        <v>1.125</v>
      </c>
    </row>
    <row r="24" customFormat="false" ht="15" hidden="false" customHeight="false" outlineLevel="0" collapsed="false">
      <c r="B24" s="0" t="s">
        <v>40</v>
      </c>
      <c r="C24" s="19" t="n">
        <v>35</v>
      </c>
      <c r="D24" s="13" t="s">
        <v>34</v>
      </c>
      <c r="E24" s="12" t="n">
        <f aca="false">IFERROR(VLOOKUP(B24,Insumos!$C$5:$G$143,5,FALSE()),0)</f>
        <v>0.028</v>
      </c>
      <c r="F24" s="15" t="n">
        <f aca="false">C24*E24</f>
        <v>0.98</v>
      </c>
    </row>
    <row r="25" customFormat="false" ht="15" hidden="false" customHeight="false" outlineLevel="0" collapsed="false">
      <c r="B25" s="0" t="s">
        <v>103</v>
      </c>
      <c r="C25" s="19" t="n">
        <v>1</v>
      </c>
      <c r="D25" s="13" t="s">
        <v>27</v>
      </c>
      <c r="E25" s="12" t="n">
        <f aca="false">IFERROR(VLOOKUP(B25,Insumos!$C$5:$G$143,5,FALSE()),0)</f>
        <v>0.025</v>
      </c>
      <c r="F25" s="15" t="n">
        <f aca="false">C25*E25</f>
        <v>0.025</v>
      </c>
    </row>
    <row r="26" customFormat="false" ht="15" hidden="false" customHeight="false" outlineLevel="0" collapsed="false">
      <c r="B26" s="0" t="s">
        <v>95</v>
      </c>
      <c r="C26" s="19" t="n">
        <v>1</v>
      </c>
      <c r="D26" s="13" t="s">
        <v>27</v>
      </c>
      <c r="E26" s="12" t="n">
        <f aca="false">IFERROR(VLOOKUP(B26,Insumos!$C$5:$G$143,5,FALSE()),0)</f>
        <v>0.48</v>
      </c>
      <c r="F26" s="15" t="n">
        <f aca="false">C26*E26</f>
        <v>0.48</v>
      </c>
    </row>
    <row r="27" customFormat="false" ht="15" hidden="false" customHeight="false" outlineLevel="0" collapsed="false">
      <c r="B27" s="20" t="s">
        <v>360</v>
      </c>
      <c r="F27" s="21" t="n">
        <f aca="false">SUM(F19:F26)</f>
        <v>15.505</v>
      </c>
      <c r="G27" s="7" t="s">
        <v>361</v>
      </c>
    </row>
    <row r="29" customFormat="false" ht="15" hidden="false" customHeight="false" outlineLevel="0" collapsed="false">
      <c r="A29" s="18" t="s">
        <v>362</v>
      </c>
    </row>
    <row r="30" customFormat="false" ht="30" hidden="false" customHeight="true" outlineLevel="0" collapsed="false">
      <c r="A30" s="8"/>
      <c r="B30" s="8" t="s">
        <v>17</v>
      </c>
      <c r="C30" s="8" t="s">
        <v>356</v>
      </c>
      <c r="D30" s="8" t="s">
        <v>18</v>
      </c>
      <c r="E30" s="8" t="s">
        <v>357</v>
      </c>
      <c r="F30" s="8" t="s">
        <v>358</v>
      </c>
      <c r="G30" s="8" t="s">
        <v>359</v>
      </c>
    </row>
    <row r="31" customFormat="false" ht="15" hidden="false" customHeight="false" outlineLevel="0" collapsed="false">
      <c r="B31" s="0" t="s">
        <v>26</v>
      </c>
      <c r="C31" s="19" t="n">
        <v>180</v>
      </c>
      <c r="D31" s="13" t="s">
        <v>27</v>
      </c>
      <c r="E31" s="12" t="n">
        <f aca="false">IFERROR(VLOOKUP(B31,Insumos!$C$5:$G$143,5,FALSE()),0)</f>
        <v>0.38</v>
      </c>
      <c r="F31" s="15" t="n">
        <f aca="false">C31*E31</f>
        <v>68.4</v>
      </c>
    </row>
    <row r="32" customFormat="false" ht="15" hidden="false" customHeight="false" outlineLevel="0" collapsed="false">
      <c r="B32" s="0" t="s">
        <v>33</v>
      </c>
      <c r="C32" s="19" t="n">
        <v>180</v>
      </c>
      <c r="D32" s="13" t="s">
        <v>34</v>
      </c>
      <c r="E32" s="12" t="n">
        <f aca="false">IFERROR(VLOOKUP(B32,Insumos!$C$5:$G$143,5,FALSE()),0)</f>
        <v>0.078</v>
      </c>
      <c r="F32" s="15" t="n">
        <f aca="false">C32*E32</f>
        <v>14.04</v>
      </c>
    </row>
    <row r="33" customFormat="false" ht="15" hidden="false" customHeight="false" outlineLevel="0" collapsed="false">
      <c r="B33" s="0" t="s">
        <v>36</v>
      </c>
      <c r="C33" s="19" t="n">
        <v>45</v>
      </c>
      <c r="D33" s="13" t="s">
        <v>27</v>
      </c>
      <c r="E33" s="12" t="n">
        <f aca="false">IFERROR(VLOOKUP(B33,Insumos!$C$5:$G$143,5,FALSE()),0)</f>
        <v>0.085</v>
      </c>
      <c r="F33" s="15" t="n">
        <f aca="false">C33*E33</f>
        <v>3.825</v>
      </c>
    </row>
    <row r="34" customFormat="false" ht="15" hidden="false" customHeight="false" outlineLevel="0" collapsed="false">
      <c r="B34" s="0" t="s">
        <v>74</v>
      </c>
      <c r="C34" s="19" t="n">
        <v>20</v>
      </c>
      <c r="D34" s="13" t="s">
        <v>27</v>
      </c>
      <c r="E34" s="12" t="n">
        <f aca="false">IFERROR(VLOOKUP(B34,Insumos!$C$5:$G$143,5,FALSE()),0)</f>
        <v>0.045</v>
      </c>
      <c r="F34" s="15" t="n">
        <f aca="false">C34*E34</f>
        <v>0.9</v>
      </c>
    </row>
    <row r="35" customFormat="false" ht="15" hidden="false" customHeight="false" outlineLevel="0" collapsed="false">
      <c r="B35" s="0" t="s">
        <v>103</v>
      </c>
      <c r="C35" s="19" t="n">
        <v>1</v>
      </c>
      <c r="D35" s="13" t="s">
        <v>27</v>
      </c>
      <c r="E35" s="12" t="n">
        <f aca="false">IFERROR(VLOOKUP(B35,Insumos!$C$5:$G$143,5,FALSE()),0)</f>
        <v>0.025</v>
      </c>
      <c r="F35" s="15" t="n">
        <f aca="false">C35*E35</f>
        <v>0.025</v>
      </c>
    </row>
    <row r="36" customFormat="false" ht="15" hidden="false" customHeight="false" outlineLevel="0" collapsed="false">
      <c r="B36" s="20" t="s">
        <v>360</v>
      </c>
      <c r="F36" s="21" t="n">
        <f aca="false">SUM(F31:F35)</f>
        <v>87.19</v>
      </c>
      <c r="G36" s="7" t="s">
        <v>363</v>
      </c>
    </row>
    <row r="38" customFormat="false" ht="15" hidden="false" customHeight="false" outlineLevel="0" collapsed="false">
      <c r="A38" s="18" t="s">
        <v>364</v>
      </c>
    </row>
    <row r="39" customFormat="false" ht="30" hidden="false" customHeight="true" outlineLevel="0" collapsed="false">
      <c r="A39" s="8"/>
      <c r="B39" s="8" t="s">
        <v>17</v>
      </c>
      <c r="C39" s="8" t="s">
        <v>356</v>
      </c>
      <c r="D39" s="8" t="s">
        <v>18</v>
      </c>
      <c r="E39" s="8" t="s">
        <v>357</v>
      </c>
      <c r="F39" s="8" t="s">
        <v>358</v>
      </c>
      <c r="G39" s="8" t="s">
        <v>359</v>
      </c>
    </row>
    <row r="40" customFormat="false" ht="15" hidden="false" customHeight="false" outlineLevel="0" collapsed="false">
      <c r="B40" s="0" t="s">
        <v>116</v>
      </c>
      <c r="C40" s="19" t="n">
        <v>50</v>
      </c>
      <c r="D40" s="13" t="s">
        <v>34</v>
      </c>
      <c r="E40" s="12" t="n">
        <f aca="false">IFERROR(VLOOKUP(B40,Insumos!$C$5:$G$143,5,FALSE()),0)</f>
        <v>0.145</v>
      </c>
      <c r="F40" s="15" t="n">
        <f aca="false">C40*E40</f>
        <v>7.25</v>
      </c>
    </row>
    <row r="41" customFormat="false" ht="15" hidden="false" customHeight="false" outlineLevel="0" collapsed="false">
      <c r="B41" s="0" t="s">
        <v>80</v>
      </c>
      <c r="C41" s="19" t="n">
        <v>20</v>
      </c>
      <c r="D41" s="13" t="s">
        <v>34</v>
      </c>
      <c r="E41" s="12" t="n">
        <f aca="false">IFERROR(VLOOKUP(B41,Insumos!$C$5:$G$143,5,FALSE()),0)</f>
        <v>0.018</v>
      </c>
      <c r="F41" s="15" t="n">
        <f aca="false">C41*E41</f>
        <v>0.36</v>
      </c>
    </row>
    <row r="42" customFormat="false" ht="15" hidden="false" customHeight="false" outlineLevel="0" collapsed="false">
      <c r="B42" s="0" t="s">
        <v>295</v>
      </c>
      <c r="C42" s="19" t="n">
        <v>5</v>
      </c>
      <c r="D42" s="13" t="s">
        <v>34</v>
      </c>
      <c r="E42" s="12" t="n">
        <f aca="false">IFERROR(VLOOKUP(B42,Insumos!$C$5:$G$143,5,FALSE()),0)</f>
        <v>0.426666666666667</v>
      </c>
      <c r="F42" s="15" t="n">
        <f aca="false">C42*E42</f>
        <v>2.13333333333333</v>
      </c>
    </row>
    <row r="43" customFormat="false" ht="15" hidden="false" customHeight="false" outlineLevel="0" collapsed="false">
      <c r="B43" s="20" t="s">
        <v>360</v>
      </c>
      <c r="F43" s="21" t="n">
        <f aca="false">SUM(F40:F42)</f>
        <v>9.74333333333333</v>
      </c>
      <c r="G43" s="7" t="s">
        <v>365</v>
      </c>
    </row>
    <row r="45" customFormat="false" ht="15" hidden="false" customHeight="false" outlineLevel="0" collapsed="false">
      <c r="A45" s="7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K8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367</v>
      </c>
    </row>
    <row r="2" customFormat="false" ht="15" hidden="false" customHeight="false" outlineLevel="0" collapsed="false">
      <c r="A2" s="7" t="s">
        <v>368</v>
      </c>
    </row>
    <row r="4" customFormat="false" ht="30" hidden="false" customHeight="true" outlineLevel="0" collapsed="false">
      <c r="A4" s="8" t="s">
        <v>369</v>
      </c>
      <c r="B4" s="8" t="s">
        <v>370</v>
      </c>
      <c r="C4" s="8" t="s">
        <v>371</v>
      </c>
      <c r="D4" s="8" t="s">
        <v>372</v>
      </c>
      <c r="E4" s="8" t="s">
        <v>373</v>
      </c>
      <c r="F4" s="8" t="s">
        <v>17</v>
      </c>
      <c r="G4" s="8" t="s">
        <v>356</v>
      </c>
      <c r="H4" s="8" t="s">
        <v>18</v>
      </c>
      <c r="I4" s="8" t="s">
        <v>357</v>
      </c>
      <c r="J4" s="8" t="s">
        <v>374</v>
      </c>
      <c r="K4" s="8" t="s">
        <v>358</v>
      </c>
    </row>
    <row r="5" customFormat="false" ht="15" hidden="false" customHeight="false" outlineLevel="0" collapsed="false">
      <c r="A5" s="0" t="n">
        <v>1</v>
      </c>
      <c r="B5" s="22" t="s">
        <v>375</v>
      </c>
      <c r="C5" s="13" t="s">
        <v>376</v>
      </c>
      <c r="D5" s="23" t="s">
        <v>377</v>
      </c>
      <c r="E5" s="23" t="s">
        <v>378</v>
      </c>
      <c r="F5" s="24" t="s">
        <v>59</v>
      </c>
      <c r="G5" s="19" t="n">
        <v>60</v>
      </c>
      <c r="H5" s="13" t="s">
        <v>27</v>
      </c>
      <c r="I5" s="12" t="n">
        <f aca="false">IFERROR(VLOOKUP(F5,Insumos!$C$5:$G$143,5,FALSE()),0)</f>
        <v>0.032</v>
      </c>
      <c r="J5" s="25" t="n">
        <f aca="false">IF(C5="bizcocho",VLOOKUP(A5,'Recetas y precios'!$A$5:$G$55,6,FALSE()),IF(C5="jarabe",VLOOKUP(A5,'Recetas y precios'!$A$5:$G$55,7,FALSE()),1))</f>
        <v>0.309</v>
      </c>
      <c r="K5" s="15" t="n">
        <f aca="false">G5*I5*J5</f>
        <v>0.59328</v>
      </c>
    </row>
    <row r="6" customFormat="false" ht="15" hidden="false" customHeight="false" outlineLevel="0" collapsed="false">
      <c r="A6" s="0" t="n">
        <v>1</v>
      </c>
      <c r="B6" s="22" t="s">
        <v>375</v>
      </c>
      <c r="C6" s="13" t="s">
        <v>376</v>
      </c>
      <c r="D6" s="23" t="s">
        <v>377</v>
      </c>
      <c r="E6" s="23" t="s">
        <v>379</v>
      </c>
      <c r="F6" s="24" t="s">
        <v>48</v>
      </c>
      <c r="G6" s="19" t="n">
        <v>40</v>
      </c>
      <c r="H6" s="13" t="s">
        <v>27</v>
      </c>
      <c r="I6" s="12" t="n">
        <f aca="false">IFERROR(VLOOKUP(F6,Insumos!$C$5:$G$143,5,FALSE()),0)</f>
        <v>0.13</v>
      </c>
      <c r="J6" s="25" t="n">
        <f aca="false">IF(C6="bizcocho",VLOOKUP(A6,'Recetas y precios'!$A$5:$G$55,6,FALSE()),IF(C6="jarabe",VLOOKUP(A6,'Recetas y precios'!$A$5:$G$55,7,FALSE()),1))</f>
        <v>0.309</v>
      </c>
      <c r="K6" s="15" t="n">
        <f aca="false">G6*I6*J6</f>
        <v>1.6068</v>
      </c>
    </row>
    <row r="7" customFormat="false" ht="15" hidden="false" customHeight="false" outlineLevel="0" collapsed="false">
      <c r="A7" s="0" t="n">
        <v>1</v>
      </c>
      <c r="B7" s="22" t="s">
        <v>375</v>
      </c>
      <c r="C7" s="13" t="s">
        <v>376</v>
      </c>
      <c r="D7" s="23" t="s">
        <v>377</v>
      </c>
      <c r="E7" s="23" t="s">
        <v>380</v>
      </c>
      <c r="F7" s="24" t="s">
        <v>50</v>
      </c>
      <c r="G7" s="19" t="n">
        <v>80</v>
      </c>
      <c r="H7" s="13" t="s">
        <v>27</v>
      </c>
      <c r="I7" s="12" t="n">
        <f aca="false">IFERROR(VLOOKUP(F7,Insumos!$C$5:$G$143,5,FALSE()),0)</f>
        <v>0.075</v>
      </c>
      <c r="J7" s="25" t="n">
        <f aca="false">IF(C7="bizcocho",VLOOKUP(A7,'Recetas y precios'!$A$5:$G$55,6,FALSE()),IF(C7="jarabe",VLOOKUP(A7,'Recetas y precios'!$A$5:$G$55,7,FALSE()),1))</f>
        <v>0.309</v>
      </c>
      <c r="K7" s="15" t="n">
        <f aca="false">G7*I7*J7</f>
        <v>1.854</v>
      </c>
    </row>
    <row r="8" customFormat="false" ht="15" hidden="false" customHeight="false" outlineLevel="0" collapsed="false">
      <c r="A8" s="0" t="n">
        <v>1</v>
      </c>
      <c r="B8" s="22" t="s">
        <v>375</v>
      </c>
      <c r="C8" s="13" t="s">
        <v>376</v>
      </c>
      <c r="D8" s="23" t="s">
        <v>377</v>
      </c>
      <c r="E8" s="23" t="s">
        <v>381</v>
      </c>
      <c r="F8" s="24" t="s">
        <v>72</v>
      </c>
      <c r="G8" s="19" t="n">
        <v>40</v>
      </c>
      <c r="H8" s="13" t="s">
        <v>27</v>
      </c>
      <c r="I8" s="12" t="n">
        <f aca="false">IFERROR(VLOOKUP(F8,Insumos!$C$5:$G$143,5,FALSE()),0)</f>
        <v>0.028</v>
      </c>
      <c r="J8" s="25" t="n">
        <f aca="false">IF(C8="bizcocho",VLOOKUP(A8,'Recetas y precios'!$A$5:$G$55,6,FALSE()),IF(C8="jarabe",VLOOKUP(A8,'Recetas y precios'!$A$5:$G$55,7,FALSE()),1))</f>
        <v>0.309</v>
      </c>
      <c r="K8" s="15" t="n">
        <f aca="false">G8*I8*J8</f>
        <v>0.34608</v>
      </c>
    </row>
    <row r="9" customFormat="false" ht="15" hidden="false" customHeight="false" outlineLevel="0" collapsed="false">
      <c r="A9" s="0" t="n">
        <v>1</v>
      </c>
      <c r="B9" s="22" t="s">
        <v>375</v>
      </c>
      <c r="C9" s="13" t="s">
        <v>376</v>
      </c>
      <c r="D9" s="23" t="s">
        <v>377</v>
      </c>
      <c r="E9" s="23" t="s">
        <v>382</v>
      </c>
      <c r="F9" s="24" t="s">
        <v>109</v>
      </c>
      <c r="G9" s="19" t="n">
        <v>30</v>
      </c>
      <c r="H9" s="13" t="s">
        <v>34</v>
      </c>
      <c r="I9" s="12" t="n">
        <f aca="false">IFERROR(VLOOKUP(F9,Insumos!$C$5:$G$143,5,FALSE()),0)</f>
        <v>0.045</v>
      </c>
      <c r="J9" s="25" t="n">
        <f aca="false">IF(C9="bizcocho",VLOOKUP(A9,'Recetas y precios'!$A$5:$G$55,6,FALSE()),IF(C9="jarabe",VLOOKUP(A9,'Recetas y precios'!$A$5:$G$55,7,FALSE()),1))</f>
        <v>0.309</v>
      </c>
      <c r="K9" s="15" t="n">
        <f aca="false">G9*I9*J9</f>
        <v>0.41715</v>
      </c>
    </row>
    <row r="10" customFormat="false" ht="15" hidden="false" customHeight="false" outlineLevel="0" collapsed="false">
      <c r="A10" s="0" t="n">
        <v>1</v>
      </c>
      <c r="B10" s="22" t="s">
        <v>375</v>
      </c>
      <c r="C10" s="13" t="s">
        <v>376</v>
      </c>
      <c r="D10" s="23" t="s">
        <v>377</v>
      </c>
      <c r="E10" s="23" t="s">
        <v>383</v>
      </c>
      <c r="F10" s="24" t="s">
        <v>40</v>
      </c>
      <c r="G10" s="19" t="n">
        <v>35</v>
      </c>
      <c r="H10" s="13" t="s">
        <v>34</v>
      </c>
      <c r="I10" s="12" t="n">
        <f aca="false">IFERROR(VLOOKUP(F10,Insumos!$C$5:$G$143,5,FALSE()),0)</f>
        <v>0.028</v>
      </c>
      <c r="J10" s="25" t="n">
        <f aca="false">IF(C10="bizcocho",VLOOKUP(A10,'Recetas y precios'!$A$5:$G$55,6,FALSE()),IF(C10="jarabe",VLOOKUP(A10,'Recetas y precios'!$A$5:$G$55,7,FALSE()),1))</f>
        <v>0.309</v>
      </c>
      <c r="K10" s="15" t="n">
        <f aca="false">G10*I10*J10</f>
        <v>0.30282</v>
      </c>
    </row>
    <row r="11" customFormat="false" ht="15" hidden="false" customHeight="false" outlineLevel="0" collapsed="false">
      <c r="A11" s="0" t="n">
        <v>1</v>
      </c>
      <c r="B11" s="22" t="s">
        <v>375</v>
      </c>
      <c r="C11" s="13" t="s">
        <v>376</v>
      </c>
      <c r="D11" s="23" t="s">
        <v>377</v>
      </c>
      <c r="E11" s="23" t="s">
        <v>384</v>
      </c>
      <c r="F11" s="24" t="s">
        <v>284</v>
      </c>
      <c r="G11" s="19" t="n">
        <v>4</v>
      </c>
      <c r="H11" s="13" t="s">
        <v>34</v>
      </c>
      <c r="I11" s="12" t="n">
        <f aca="false">IFERROR(VLOOKUP(F11,Insumos!$C$5:$G$143,5,FALSE()),0)</f>
        <v>0.45</v>
      </c>
      <c r="J11" s="25" t="n">
        <f aca="false">IF(C11="bizcocho",VLOOKUP(A11,'Recetas y precios'!$A$5:$G$55,6,FALSE()),IF(C11="jarabe",VLOOKUP(A11,'Recetas y precios'!$A$5:$G$55,7,FALSE()),1))</f>
        <v>0.309</v>
      </c>
      <c r="K11" s="15" t="n">
        <f aca="false">G11*I11*J11</f>
        <v>0.5562</v>
      </c>
    </row>
    <row r="12" customFormat="false" ht="15" hidden="false" customHeight="false" outlineLevel="0" collapsed="false">
      <c r="A12" s="0" t="n">
        <v>1</v>
      </c>
      <c r="B12" s="22" t="s">
        <v>375</v>
      </c>
      <c r="C12" s="13" t="s">
        <v>376</v>
      </c>
      <c r="D12" s="23" t="s">
        <v>377</v>
      </c>
      <c r="E12" s="23" t="s">
        <v>385</v>
      </c>
      <c r="F12" s="24" t="s">
        <v>103</v>
      </c>
      <c r="G12" s="19" t="n">
        <v>1</v>
      </c>
      <c r="H12" s="13" t="s">
        <v>27</v>
      </c>
      <c r="I12" s="12" t="n">
        <f aca="false">IFERROR(VLOOKUP(F12,Insumos!$C$5:$G$143,5,FALSE()),0)</f>
        <v>0.025</v>
      </c>
      <c r="J12" s="25" t="n">
        <f aca="false">IF(C12="bizcocho",VLOOKUP(A12,'Recetas y precios'!$A$5:$G$55,6,FALSE()),IF(C12="jarabe",VLOOKUP(A12,'Recetas y precios'!$A$5:$G$55,7,FALSE()),1))</f>
        <v>0.309</v>
      </c>
      <c r="K12" s="15" t="n">
        <f aca="false">G12*I12*J12</f>
        <v>0.007725</v>
      </c>
    </row>
    <row r="13" customFormat="false" ht="15" hidden="false" customHeight="false" outlineLevel="0" collapsed="false">
      <c r="A13" s="0" t="n">
        <v>1</v>
      </c>
      <c r="B13" s="22" t="s">
        <v>375</v>
      </c>
      <c r="C13" s="13" t="s">
        <v>376</v>
      </c>
      <c r="D13" s="23" t="s">
        <v>377</v>
      </c>
      <c r="E13" s="23" t="s">
        <v>386</v>
      </c>
      <c r="F13" s="24" t="s">
        <v>95</v>
      </c>
      <c r="G13" s="19" t="n">
        <v>1</v>
      </c>
      <c r="H13" s="13" t="s">
        <v>27</v>
      </c>
      <c r="I13" s="12" t="n">
        <f aca="false">IFERROR(VLOOKUP(F13,Insumos!$C$5:$G$143,5,FALSE()),0)</f>
        <v>0.48</v>
      </c>
      <c r="J13" s="25" t="n">
        <f aca="false">IF(C13="bizcocho",VLOOKUP(A13,'Recetas y precios'!$A$5:$G$55,6,FALSE()),IF(C13="jarabe",VLOOKUP(A13,'Recetas y precios'!$A$5:$G$55,7,FALSE()),1))</f>
        <v>0.309</v>
      </c>
      <c r="K13" s="15" t="n">
        <f aca="false">G13*I13*J13</f>
        <v>0.14832</v>
      </c>
    </row>
    <row r="14" customFormat="false" ht="15" hidden="false" customHeight="false" outlineLevel="0" collapsed="false">
      <c r="A14" s="0" t="n">
        <v>1</v>
      </c>
      <c r="B14" s="22" t="s">
        <v>375</v>
      </c>
      <c r="C14" s="13" t="s">
        <v>387</v>
      </c>
      <c r="D14" s="23" t="s">
        <v>388</v>
      </c>
      <c r="E14" s="23" t="s">
        <v>389</v>
      </c>
      <c r="F14" s="24" t="s">
        <v>116</v>
      </c>
      <c r="G14" s="19" t="n">
        <v>60</v>
      </c>
      <c r="H14" s="13" t="s">
        <v>34</v>
      </c>
      <c r="I14" s="12" t="n">
        <f aca="false">IFERROR(VLOOKUP(F14,Insumos!$C$5:$G$143,5,FALSE()),0)</f>
        <v>0.145</v>
      </c>
      <c r="J14" s="25" t="n">
        <f aca="false">IF(C14="bizcocho",VLOOKUP(A14,'Recetas y precios'!$A$5:$G$55,6,FALSE()),IF(C14="jarabe",VLOOKUP(A14,'Recetas y precios'!$A$5:$G$55,7,FALSE()),1))</f>
        <v>0.762</v>
      </c>
      <c r="K14" s="15" t="n">
        <f aca="false">G14*I14*J14</f>
        <v>6.6294</v>
      </c>
    </row>
    <row r="15" customFormat="false" ht="15" hidden="false" customHeight="false" outlineLevel="0" collapsed="false">
      <c r="A15" s="0" t="n">
        <v>1</v>
      </c>
      <c r="B15" s="22" t="s">
        <v>375</v>
      </c>
      <c r="C15" s="13" t="s">
        <v>387</v>
      </c>
      <c r="D15" s="23" t="s">
        <v>388</v>
      </c>
      <c r="E15" s="23" t="s">
        <v>390</v>
      </c>
      <c r="F15" s="24" t="s">
        <v>113</v>
      </c>
      <c r="G15" s="19" t="n">
        <v>20</v>
      </c>
      <c r="H15" s="13" t="s">
        <v>34</v>
      </c>
      <c r="I15" s="12" t="n">
        <f aca="false">IFERROR(VLOOKUP(F15,Insumos!$C$5:$G$143,5,FALSE()),0)</f>
        <v>0.002</v>
      </c>
      <c r="J15" s="25" t="n">
        <f aca="false">IF(C15="bizcocho",VLOOKUP(A15,'Recetas y precios'!$A$5:$G$55,6,FALSE()),IF(C15="jarabe",VLOOKUP(A15,'Recetas y precios'!$A$5:$G$55,7,FALSE()),1))</f>
        <v>0.762</v>
      </c>
      <c r="K15" s="15" t="n">
        <f aca="false">G15*I15*J15</f>
        <v>0.03048</v>
      </c>
    </row>
    <row r="16" customFormat="false" ht="15" hidden="false" customHeight="false" outlineLevel="0" collapsed="false">
      <c r="A16" s="0" t="n">
        <v>1</v>
      </c>
      <c r="B16" s="22" t="s">
        <v>375</v>
      </c>
      <c r="C16" s="13" t="s">
        <v>387</v>
      </c>
      <c r="D16" s="23" t="s">
        <v>388</v>
      </c>
      <c r="E16" s="23" t="s">
        <v>391</v>
      </c>
      <c r="F16" s="24" t="s">
        <v>72</v>
      </c>
      <c r="G16" s="19" t="n">
        <v>15</v>
      </c>
      <c r="H16" s="13" t="s">
        <v>27</v>
      </c>
      <c r="I16" s="12" t="n">
        <f aca="false">IFERROR(VLOOKUP(F16,Insumos!$C$5:$G$143,5,FALSE()),0)</f>
        <v>0.028</v>
      </c>
      <c r="J16" s="25" t="n">
        <f aca="false">IF(C16="bizcocho",VLOOKUP(A16,'Recetas y precios'!$A$5:$G$55,6,FALSE()),IF(C16="jarabe",VLOOKUP(A16,'Recetas y precios'!$A$5:$G$55,7,FALSE()),1))</f>
        <v>0.762</v>
      </c>
      <c r="K16" s="15" t="n">
        <f aca="false">G16*I16*J16</f>
        <v>0.32004</v>
      </c>
    </row>
    <row r="17" customFormat="false" ht="15" hidden="false" customHeight="false" outlineLevel="0" collapsed="false">
      <c r="A17" s="0" t="n">
        <v>1</v>
      </c>
      <c r="B17" s="22" t="s">
        <v>375</v>
      </c>
      <c r="C17" s="13" t="s">
        <v>387</v>
      </c>
      <c r="D17" s="23" t="s">
        <v>388</v>
      </c>
      <c r="E17" s="23" t="s">
        <v>392</v>
      </c>
      <c r="F17" s="24" t="s">
        <v>295</v>
      </c>
      <c r="G17" s="19" t="n">
        <v>10</v>
      </c>
      <c r="H17" s="13" t="s">
        <v>34</v>
      </c>
      <c r="I17" s="12" t="n">
        <f aca="false">IFERROR(VLOOKUP(F17,Insumos!$C$5:$G$143,5,FALSE()),0)</f>
        <v>0.426666666666667</v>
      </c>
      <c r="J17" s="25" t="n">
        <f aca="false">IF(C17="bizcocho",VLOOKUP(A17,'Recetas y precios'!$A$5:$G$55,6,FALSE()),IF(C17="jarabe",VLOOKUP(A17,'Recetas y precios'!$A$5:$G$55,7,FALSE()),1))</f>
        <v>0.762</v>
      </c>
      <c r="K17" s="15" t="n">
        <f aca="false">G17*I17*J17</f>
        <v>3.2512</v>
      </c>
    </row>
    <row r="18" customFormat="false" ht="15" hidden="false" customHeight="false" outlineLevel="0" collapsed="false">
      <c r="A18" s="0" t="n">
        <v>1</v>
      </c>
      <c r="B18" s="22" t="s">
        <v>375</v>
      </c>
      <c r="C18" s="13" t="s">
        <v>393</v>
      </c>
      <c r="D18" s="23" t="s">
        <v>394</v>
      </c>
      <c r="E18" s="23" t="s">
        <v>395</v>
      </c>
      <c r="F18" s="24" t="s">
        <v>26</v>
      </c>
      <c r="G18" s="19" t="n">
        <v>200</v>
      </c>
      <c r="H18" s="13" t="s">
        <v>27</v>
      </c>
      <c r="I18" s="12" t="n">
        <f aca="false">IFERROR(VLOOKUP(F18,Insumos!$C$5:$G$143,5,FALSE()),0)</f>
        <v>0.38</v>
      </c>
      <c r="J18" s="25" t="n">
        <f aca="false">IF(C18="bizcocho",VLOOKUP(A18,'Recetas y precios'!$A$5:$G$55,6,FALSE()),IF(C18="jarabe",VLOOKUP(A18,'Recetas y precios'!$A$5:$G$55,7,FALSE()),1))</f>
        <v>1</v>
      </c>
      <c r="K18" s="15" t="n">
        <f aca="false">G18*I18*J18</f>
        <v>76</v>
      </c>
    </row>
    <row r="19" customFormat="false" ht="15" hidden="false" customHeight="false" outlineLevel="0" collapsed="false">
      <c r="A19" s="0" t="n">
        <v>1</v>
      </c>
      <c r="B19" s="22" t="s">
        <v>375</v>
      </c>
      <c r="C19" s="13" t="s">
        <v>393</v>
      </c>
      <c r="D19" s="23" t="s">
        <v>394</v>
      </c>
      <c r="E19" s="23" t="s">
        <v>396</v>
      </c>
      <c r="F19" s="24" t="s">
        <v>33</v>
      </c>
      <c r="G19" s="19" t="n">
        <v>200</v>
      </c>
      <c r="H19" s="13" t="s">
        <v>34</v>
      </c>
      <c r="I19" s="12" t="n">
        <f aca="false">IFERROR(VLOOKUP(F19,Insumos!$C$5:$G$143,5,FALSE()),0)</f>
        <v>0.078</v>
      </c>
      <c r="J19" s="25" t="n">
        <f aca="false">IF(C19="bizcocho",VLOOKUP(A19,'Recetas y precios'!$A$5:$G$55,6,FALSE()),IF(C19="jarabe",VLOOKUP(A19,'Recetas y precios'!$A$5:$G$55,7,FALSE()),1))</f>
        <v>1</v>
      </c>
      <c r="K19" s="15" t="n">
        <f aca="false">G19*I19*J19</f>
        <v>15.6</v>
      </c>
    </row>
    <row r="20" customFormat="false" ht="15" hidden="false" customHeight="false" outlineLevel="0" collapsed="false">
      <c r="A20" s="0" t="n">
        <v>1</v>
      </c>
      <c r="B20" s="22" t="s">
        <v>375</v>
      </c>
      <c r="C20" s="13" t="s">
        <v>393</v>
      </c>
      <c r="D20" s="23" t="s">
        <v>394</v>
      </c>
      <c r="E20" s="23" t="s">
        <v>397</v>
      </c>
      <c r="F20" s="24" t="s">
        <v>36</v>
      </c>
      <c r="G20" s="19" t="n">
        <v>50</v>
      </c>
      <c r="H20" s="13" t="s">
        <v>27</v>
      </c>
      <c r="I20" s="12" t="n">
        <f aca="false">IFERROR(VLOOKUP(F20,Insumos!$C$5:$G$143,5,FALSE()),0)</f>
        <v>0.085</v>
      </c>
      <c r="J20" s="25" t="n">
        <f aca="false">IF(C20="bizcocho",VLOOKUP(A20,'Recetas y precios'!$A$5:$G$55,6,FALSE()),IF(C20="jarabe",VLOOKUP(A20,'Recetas y precios'!$A$5:$G$55,7,FALSE()),1))</f>
        <v>1</v>
      </c>
      <c r="K20" s="15" t="n">
        <f aca="false">G20*I20*J20</f>
        <v>4.25</v>
      </c>
    </row>
    <row r="21" customFormat="false" ht="15" hidden="false" customHeight="false" outlineLevel="0" collapsed="false">
      <c r="A21" s="0" t="n">
        <v>1</v>
      </c>
      <c r="B21" s="22" t="s">
        <v>375</v>
      </c>
      <c r="C21" s="13" t="s">
        <v>393</v>
      </c>
      <c r="D21" s="23" t="s">
        <v>394</v>
      </c>
      <c r="E21" s="23" t="s">
        <v>398</v>
      </c>
      <c r="F21" s="24" t="s">
        <v>74</v>
      </c>
      <c r="G21" s="19" t="n">
        <v>30</v>
      </c>
      <c r="H21" s="13" t="s">
        <v>27</v>
      </c>
      <c r="I21" s="12" t="n">
        <f aca="false">IFERROR(VLOOKUP(F21,Insumos!$C$5:$G$143,5,FALSE()),0)</f>
        <v>0.045</v>
      </c>
      <c r="J21" s="25" t="n">
        <f aca="false">IF(C21="bizcocho",VLOOKUP(A21,'Recetas y precios'!$A$5:$G$55,6,FALSE()),IF(C21="jarabe",VLOOKUP(A21,'Recetas y precios'!$A$5:$G$55,7,FALSE()),1))</f>
        <v>1</v>
      </c>
      <c r="K21" s="15" t="n">
        <f aca="false">G21*I21*J21</f>
        <v>1.35</v>
      </c>
    </row>
    <row r="22" customFormat="false" ht="15" hidden="false" customHeight="false" outlineLevel="0" collapsed="false">
      <c r="A22" s="0" t="n">
        <v>1</v>
      </c>
      <c r="B22" s="22" t="s">
        <v>375</v>
      </c>
      <c r="C22" s="13" t="s">
        <v>393</v>
      </c>
      <c r="D22" s="23" t="s">
        <v>394</v>
      </c>
      <c r="E22" s="23" t="s">
        <v>399</v>
      </c>
      <c r="F22" s="24" t="s">
        <v>284</v>
      </c>
      <c r="G22" s="19" t="n">
        <v>3</v>
      </c>
      <c r="H22" s="13" t="s">
        <v>34</v>
      </c>
      <c r="I22" s="12" t="n">
        <f aca="false">IFERROR(VLOOKUP(F22,Insumos!$C$5:$G$143,5,FALSE()),0)</f>
        <v>0.45</v>
      </c>
      <c r="J22" s="25" t="n">
        <f aca="false">IF(C22="bizcocho",VLOOKUP(A22,'Recetas y precios'!$A$5:$G$55,6,FALSE()),IF(C22="jarabe",VLOOKUP(A22,'Recetas y precios'!$A$5:$G$55,7,FALSE()),1))</f>
        <v>1</v>
      </c>
      <c r="K22" s="15" t="n">
        <f aca="false">G22*I22*J22</f>
        <v>1.35</v>
      </c>
    </row>
    <row r="23" customFormat="false" ht="15" hidden="false" customHeight="false" outlineLevel="0" collapsed="false">
      <c r="A23" s="0" t="n">
        <v>1</v>
      </c>
      <c r="B23" s="22" t="s">
        <v>375</v>
      </c>
      <c r="C23" s="13" t="s">
        <v>400</v>
      </c>
      <c r="D23" s="23" t="s">
        <v>401</v>
      </c>
      <c r="E23" s="23" t="s">
        <v>402</v>
      </c>
      <c r="F23" s="24" t="s">
        <v>218</v>
      </c>
      <c r="G23" s="19" t="n">
        <v>8</v>
      </c>
      <c r="H23" s="13" t="s">
        <v>27</v>
      </c>
      <c r="I23" s="12" t="n">
        <f aca="false">IFERROR(VLOOKUP(F23,Insumos!$C$5:$G$143,5,FALSE()),0)</f>
        <v>0.42</v>
      </c>
      <c r="J23" s="25" t="n">
        <f aca="false">IF(C23="bizcocho",VLOOKUP(A23,'Recetas y precios'!$A$5:$G$55,6,FALSE()),IF(C23="jarabe",VLOOKUP(A23,'Recetas y precios'!$A$5:$G$55,7,FALSE()),1))</f>
        <v>1</v>
      </c>
      <c r="K23" s="15" t="n">
        <f aca="false">G23*I23*J23</f>
        <v>3.36</v>
      </c>
    </row>
    <row r="24" customFormat="false" ht="15" hidden="false" customHeight="false" outlineLevel="0" collapsed="false">
      <c r="A24" s="0" t="n">
        <v>1</v>
      </c>
      <c r="B24" s="22" t="s">
        <v>375</v>
      </c>
      <c r="C24" s="13" t="s">
        <v>400</v>
      </c>
      <c r="D24" s="23" t="s">
        <v>401</v>
      </c>
      <c r="E24" s="23" t="s">
        <v>403</v>
      </c>
      <c r="F24" s="24" t="s">
        <v>224</v>
      </c>
      <c r="G24" s="19" t="n">
        <v>15</v>
      </c>
      <c r="H24" s="13" t="s">
        <v>27</v>
      </c>
      <c r="I24" s="12" t="n">
        <f aca="false">IFERROR(VLOOKUP(F24,Insumos!$C$5:$G$143,5,FALSE()),0)</f>
        <v>0.65</v>
      </c>
      <c r="J24" s="25" t="n">
        <f aca="false">IF(C24="bizcocho",VLOOKUP(A24,'Recetas y precios'!$A$5:$G$55,6,FALSE()),IF(C24="jarabe",VLOOKUP(A24,'Recetas y precios'!$A$5:$G$55,7,FALSE()),1))</f>
        <v>1</v>
      </c>
      <c r="K24" s="15" t="n">
        <f aca="false">G24*I24*J24</f>
        <v>9.75</v>
      </c>
    </row>
    <row r="25" customFormat="false" ht="15" hidden="false" customHeight="false" outlineLevel="0" collapsed="false">
      <c r="A25" s="0" t="n">
        <v>2</v>
      </c>
      <c r="B25" s="22" t="s">
        <v>404</v>
      </c>
      <c r="C25" s="13" t="s">
        <v>376</v>
      </c>
      <c r="D25" s="23" t="s">
        <v>405</v>
      </c>
      <c r="E25" s="23" t="s">
        <v>406</v>
      </c>
      <c r="F25" s="24" t="s">
        <v>59</v>
      </c>
      <c r="G25" s="19" t="n">
        <v>50</v>
      </c>
      <c r="H25" s="13" t="s">
        <v>27</v>
      </c>
      <c r="I25" s="12" t="n">
        <f aca="false">IFERROR(VLOOKUP(F25,Insumos!$C$5:$G$143,5,FALSE()),0)</f>
        <v>0.032</v>
      </c>
      <c r="J25" s="25" t="n">
        <f aca="false">IF(C25="bizcocho",VLOOKUP(A25,'Recetas y precios'!$A$5:$G$55,6,FALSE()),IF(C25="jarabe",VLOOKUP(A25,'Recetas y precios'!$A$5:$G$55,7,FALSE()),1))</f>
        <v>0.333</v>
      </c>
      <c r="K25" s="15" t="n">
        <f aca="false">G25*I25*J25</f>
        <v>0.5328</v>
      </c>
    </row>
    <row r="26" customFormat="false" ht="15" hidden="false" customHeight="false" outlineLevel="0" collapsed="false">
      <c r="A26" s="0" t="n">
        <v>2</v>
      </c>
      <c r="B26" s="22" t="s">
        <v>404</v>
      </c>
      <c r="C26" s="13" t="s">
        <v>376</v>
      </c>
      <c r="D26" s="23" t="s">
        <v>405</v>
      </c>
      <c r="E26" s="23" t="s">
        <v>407</v>
      </c>
      <c r="F26" s="24" t="s">
        <v>218</v>
      </c>
      <c r="G26" s="19" t="n">
        <v>10</v>
      </c>
      <c r="H26" s="13" t="s">
        <v>27</v>
      </c>
      <c r="I26" s="12" t="n">
        <f aca="false">IFERROR(VLOOKUP(F26,Insumos!$C$5:$G$143,5,FALSE()),0)</f>
        <v>0.42</v>
      </c>
      <c r="J26" s="25" t="n">
        <f aca="false">IF(C26="bizcocho",VLOOKUP(A26,'Recetas y precios'!$A$5:$G$55,6,FALSE()),IF(C26="jarabe",VLOOKUP(A26,'Recetas y precios'!$A$5:$G$55,7,FALSE()),1))</f>
        <v>0.333</v>
      </c>
      <c r="K26" s="15" t="n">
        <f aca="false">G26*I26*J26</f>
        <v>1.3986</v>
      </c>
    </row>
    <row r="27" customFormat="false" ht="15" hidden="false" customHeight="false" outlineLevel="0" collapsed="false">
      <c r="A27" s="0" t="n">
        <v>2</v>
      </c>
      <c r="B27" s="22" t="s">
        <v>404</v>
      </c>
      <c r="C27" s="13" t="s">
        <v>376</v>
      </c>
      <c r="D27" s="23" t="s">
        <v>405</v>
      </c>
      <c r="E27" s="23" t="s">
        <v>408</v>
      </c>
      <c r="F27" s="24" t="s">
        <v>120</v>
      </c>
      <c r="G27" s="19" t="n">
        <v>4</v>
      </c>
      <c r="H27" s="13" t="s">
        <v>27</v>
      </c>
      <c r="I27" s="12" t="n">
        <f aca="false">IFERROR(VLOOKUP(F27,Insumos!$C$5:$G$143,5,FALSE()),0)</f>
        <v>0.7</v>
      </c>
      <c r="J27" s="25" t="n">
        <f aca="false">IF(C27="bizcocho",VLOOKUP(A27,'Recetas y precios'!$A$5:$G$55,6,FALSE()),IF(C27="jarabe",VLOOKUP(A27,'Recetas y precios'!$A$5:$G$55,7,FALSE()),1))</f>
        <v>0.333</v>
      </c>
      <c r="K27" s="15" t="n">
        <f aca="false">G27*I27*J27</f>
        <v>0.9324</v>
      </c>
    </row>
    <row r="28" customFormat="false" ht="15" hidden="false" customHeight="false" outlineLevel="0" collapsed="false">
      <c r="A28" s="0" t="n">
        <v>2</v>
      </c>
      <c r="B28" s="22" t="s">
        <v>404</v>
      </c>
      <c r="C28" s="13" t="s">
        <v>376</v>
      </c>
      <c r="D28" s="23" t="s">
        <v>405</v>
      </c>
      <c r="E28" s="23" t="s">
        <v>409</v>
      </c>
      <c r="F28" s="24" t="s">
        <v>48</v>
      </c>
      <c r="G28" s="19" t="n">
        <v>35</v>
      </c>
      <c r="H28" s="13" t="s">
        <v>27</v>
      </c>
      <c r="I28" s="12" t="n">
        <f aca="false">IFERROR(VLOOKUP(F28,Insumos!$C$5:$G$143,5,FALSE()),0)</f>
        <v>0.13</v>
      </c>
      <c r="J28" s="25" t="n">
        <f aca="false">IF(C28="bizcocho",VLOOKUP(A28,'Recetas y precios'!$A$5:$G$55,6,FALSE()),IF(C28="jarabe",VLOOKUP(A28,'Recetas y precios'!$A$5:$G$55,7,FALSE()),1))</f>
        <v>0.333</v>
      </c>
      <c r="K28" s="15" t="n">
        <f aca="false">G28*I28*J28</f>
        <v>1.51515</v>
      </c>
    </row>
    <row r="29" customFormat="false" ht="15" hidden="false" customHeight="false" outlineLevel="0" collapsed="false">
      <c r="A29" s="0" t="n">
        <v>2</v>
      </c>
      <c r="B29" s="22" t="s">
        <v>404</v>
      </c>
      <c r="C29" s="13" t="s">
        <v>376</v>
      </c>
      <c r="D29" s="23" t="s">
        <v>405</v>
      </c>
      <c r="E29" s="23" t="s">
        <v>410</v>
      </c>
      <c r="F29" s="24" t="s">
        <v>50</v>
      </c>
      <c r="G29" s="19" t="n">
        <v>75</v>
      </c>
      <c r="H29" s="13" t="s">
        <v>27</v>
      </c>
      <c r="I29" s="12" t="n">
        <f aca="false">IFERROR(VLOOKUP(F29,Insumos!$C$5:$G$143,5,FALSE()),0)</f>
        <v>0.075</v>
      </c>
      <c r="J29" s="25" t="n">
        <f aca="false">IF(C29="bizcocho",VLOOKUP(A29,'Recetas y precios'!$A$5:$G$55,6,FALSE()),IF(C29="jarabe",VLOOKUP(A29,'Recetas y precios'!$A$5:$G$55,7,FALSE()),1))</f>
        <v>0.333</v>
      </c>
      <c r="K29" s="15" t="n">
        <f aca="false">G29*I29*J29</f>
        <v>1.873125</v>
      </c>
    </row>
    <row r="30" customFormat="false" ht="15" hidden="false" customHeight="false" outlineLevel="0" collapsed="false">
      <c r="A30" s="0" t="n">
        <v>2</v>
      </c>
      <c r="B30" s="22" t="s">
        <v>404</v>
      </c>
      <c r="C30" s="13" t="s">
        <v>376</v>
      </c>
      <c r="D30" s="23" t="s">
        <v>405</v>
      </c>
      <c r="E30" s="23" t="s">
        <v>411</v>
      </c>
      <c r="F30" s="24" t="s">
        <v>72</v>
      </c>
      <c r="G30" s="19" t="n">
        <v>40</v>
      </c>
      <c r="H30" s="13" t="s">
        <v>27</v>
      </c>
      <c r="I30" s="12" t="n">
        <f aca="false">IFERROR(VLOOKUP(F30,Insumos!$C$5:$G$143,5,FALSE()),0)</f>
        <v>0.028</v>
      </c>
      <c r="J30" s="25" t="n">
        <f aca="false">IF(C30="bizcocho",VLOOKUP(A30,'Recetas y precios'!$A$5:$G$55,6,FALSE()),IF(C30="jarabe",VLOOKUP(A30,'Recetas y precios'!$A$5:$G$55,7,FALSE()),1))</f>
        <v>0.333</v>
      </c>
      <c r="K30" s="15" t="n">
        <f aca="false">G30*I30*J30</f>
        <v>0.37296</v>
      </c>
    </row>
    <row r="31" customFormat="false" ht="15" hidden="false" customHeight="false" outlineLevel="0" collapsed="false">
      <c r="A31" s="0" t="n">
        <v>2</v>
      </c>
      <c r="B31" s="22" t="s">
        <v>404</v>
      </c>
      <c r="C31" s="13" t="s">
        <v>376</v>
      </c>
      <c r="D31" s="23" t="s">
        <v>405</v>
      </c>
      <c r="E31" s="23" t="s">
        <v>412</v>
      </c>
      <c r="F31" s="24" t="s">
        <v>109</v>
      </c>
      <c r="G31" s="19" t="n">
        <v>25</v>
      </c>
      <c r="H31" s="13" t="s">
        <v>34</v>
      </c>
      <c r="I31" s="12" t="n">
        <f aca="false">IFERROR(VLOOKUP(F31,Insumos!$C$5:$G$143,5,FALSE()),0)</f>
        <v>0.045</v>
      </c>
      <c r="J31" s="25" t="n">
        <f aca="false">IF(C31="bizcocho",VLOOKUP(A31,'Recetas y precios'!$A$5:$G$55,6,FALSE()),IF(C31="jarabe",VLOOKUP(A31,'Recetas y precios'!$A$5:$G$55,7,FALSE()),1))</f>
        <v>0.333</v>
      </c>
      <c r="K31" s="15" t="n">
        <f aca="false">G31*I31*J31</f>
        <v>0.374625</v>
      </c>
    </row>
    <row r="32" customFormat="false" ht="15" hidden="false" customHeight="false" outlineLevel="0" collapsed="false">
      <c r="A32" s="0" t="n">
        <v>2</v>
      </c>
      <c r="B32" s="22" t="s">
        <v>404</v>
      </c>
      <c r="C32" s="13" t="s">
        <v>376</v>
      </c>
      <c r="D32" s="23" t="s">
        <v>405</v>
      </c>
      <c r="E32" s="23" t="s">
        <v>413</v>
      </c>
      <c r="F32" s="24" t="s">
        <v>103</v>
      </c>
      <c r="G32" s="19" t="n">
        <v>1</v>
      </c>
      <c r="H32" s="13" t="s">
        <v>27</v>
      </c>
      <c r="I32" s="12" t="n">
        <f aca="false">IFERROR(VLOOKUP(F32,Insumos!$C$5:$G$143,5,FALSE()),0)</f>
        <v>0.025</v>
      </c>
      <c r="J32" s="25" t="n">
        <f aca="false">IF(C32="bizcocho",VLOOKUP(A32,'Recetas y precios'!$A$5:$G$55,6,FALSE()),IF(C32="jarabe",VLOOKUP(A32,'Recetas y precios'!$A$5:$G$55,7,FALSE()),1))</f>
        <v>0.333</v>
      </c>
      <c r="K32" s="15" t="n">
        <f aca="false">G32*I32*J32</f>
        <v>0.008325</v>
      </c>
    </row>
    <row r="33" customFormat="false" ht="15" hidden="false" customHeight="false" outlineLevel="0" collapsed="false">
      <c r="A33" s="0" t="n">
        <v>2</v>
      </c>
      <c r="B33" s="22" t="s">
        <v>404</v>
      </c>
      <c r="C33" s="13" t="s">
        <v>387</v>
      </c>
      <c r="D33" s="23" t="s">
        <v>414</v>
      </c>
      <c r="E33" s="23" t="s">
        <v>415</v>
      </c>
      <c r="F33" s="24" t="s">
        <v>116</v>
      </c>
      <c r="G33" s="19" t="n">
        <v>50</v>
      </c>
      <c r="H33" s="13" t="s">
        <v>34</v>
      </c>
      <c r="I33" s="12" t="n">
        <f aca="false">IFERROR(VLOOKUP(F33,Insumos!$C$5:$G$143,5,FALSE()),0)</f>
        <v>0.145</v>
      </c>
      <c r="J33" s="25" t="n">
        <f aca="false">IF(C33="bizcocho",VLOOKUP(A33,'Recetas y precios'!$A$5:$G$55,6,FALSE()),IF(C33="jarabe",VLOOKUP(A33,'Recetas y precios'!$A$5:$G$55,7,FALSE()),1))</f>
        <v>0.933</v>
      </c>
      <c r="K33" s="15" t="n">
        <f aca="false">G33*I33*J33</f>
        <v>6.76425</v>
      </c>
    </row>
    <row r="34" customFormat="false" ht="15" hidden="false" customHeight="false" outlineLevel="0" collapsed="false">
      <c r="A34" s="0" t="n">
        <v>2</v>
      </c>
      <c r="B34" s="22" t="s">
        <v>404</v>
      </c>
      <c r="C34" s="13" t="s">
        <v>387</v>
      </c>
      <c r="D34" s="23" t="s">
        <v>414</v>
      </c>
      <c r="E34" s="23" t="s">
        <v>416</v>
      </c>
      <c r="F34" s="24" t="s">
        <v>80</v>
      </c>
      <c r="G34" s="19" t="n">
        <v>20</v>
      </c>
      <c r="H34" s="13" t="s">
        <v>34</v>
      </c>
      <c r="I34" s="12" t="n">
        <f aca="false">IFERROR(VLOOKUP(F34,Insumos!$C$5:$G$143,5,FALSE()),0)</f>
        <v>0.018</v>
      </c>
      <c r="J34" s="25" t="n">
        <f aca="false">IF(C34="bizcocho",VLOOKUP(A34,'Recetas y precios'!$A$5:$G$55,6,FALSE()),IF(C34="jarabe",VLOOKUP(A34,'Recetas y precios'!$A$5:$G$55,7,FALSE()),1))</f>
        <v>0.933</v>
      </c>
      <c r="K34" s="15" t="n">
        <f aca="false">G34*I34*J34</f>
        <v>0.33588</v>
      </c>
    </row>
    <row r="35" customFormat="false" ht="15" hidden="false" customHeight="false" outlineLevel="0" collapsed="false">
      <c r="A35" s="0" t="n">
        <v>2</v>
      </c>
      <c r="B35" s="22" t="s">
        <v>404</v>
      </c>
      <c r="C35" s="13" t="s">
        <v>387</v>
      </c>
      <c r="D35" s="23" t="s">
        <v>414</v>
      </c>
      <c r="E35" s="23" t="s">
        <v>417</v>
      </c>
      <c r="F35" s="24" t="s">
        <v>301</v>
      </c>
      <c r="G35" s="19" t="n">
        <v>5</v>
      </c>
      <c r="H35" s="13" t="s">
        <v>34</v>
      </c>
      <c r="I35" s="12" t="n">
        <f aca="false">IFERROR(VLOOKUP(F35,Insumos!$C$5:$G$143,5,FALSE()),0)</f>
        <v>0.642857142857143</v>
      </c>
      <c r="J35" s="25" t="n">
        <f aca="false">IF(C35="bizcocho",VLOOKUP(A35,'Recetas y precios'!$A$5:$G$55,6,FALSE()),IF(C35="jarabe",VLOOKUP(A35,'Recetas y precios'!$A$5:$G$55,7,FALSE()),1))</f>
        <v>0.933</v>
      </c>
      <c r="K35" s="15" t="n">
        <f aca="false">G35*I35*J35</f>
        <v>2.99892857142857</v>
      </c>
    </row>
    <row r="36" customFormat="false" ht="15" hidden="false" customHeight="false" outlineLevel="0" collapsed="false">
      <c r="A36" s="0" t="n">
        <v>2</v>
      </c>
      <c r="B36" s="22" t="s">
        <v>404</v>
      </c>
      <c r="C36" s="13" t="s">
        <v>393</v>
      </c>
      <c r="D36" s="23" t="s">
        <v>418</v>
      </c>
      <c r="E36" s="23" t="s">
        <v>419</v>
      </c>
      <c r="F36" s="24" t="s">
        <v>26</v>
      </c>
      <c r="G36" s="19" t="n">
        <v>120</v>
      </c>
      <c r="H36" s="13" t="s">
        <v>27</v>
      </c>
      <c r="I36" s="12" t="n">
        <f aca="false">IFERROR(VLOOKUP(F36,Insumos!$C$5:$G$143,5,FALSE()),0)</f>
        <v>0.38</v>
      </c>
      <c r="J36" s="25" t="n">
        <f aca="false">IF(C36="bizcocho",VLOOKUP(A36,'Recetas y precios'!$A$5:$G$55,6,FALSE()),IF(C36="jarabe",VLOOKUP(A36,'Recetas y precios'!$A$5:$G$55,7,FALSE()),1))</f>
        <v>1</v>
      </c>
      <c r="K36" s="15" t="n">
        <f aca="false">G36*I36*J36</f>
        <v>45.6</v>
      </c>
    </row>
    <row r="37" customFormat="false" ht="15" hidden="false" customHeight="false" outlineLevel="0" collapsed="false">
      <c r="A37" s="0" t="n">
        <v>2</v>
      </c>
      <c r="B37" s="22" t="s">
        <v>404</v>
      </c>
      <c r="C37" s="13" t="s">
        <v>393</v>
      </c>
      <c r="D37" s="23" t="s">
        <v>418</v>
      </c>
      <c r="E37" s="23" t="s">
        <v>420</v>
      </c>
      <c r="F37" s="24" t="s">
        <v>33</v>
      </c>
      <c r="G37" s="19" t="n">
        <v>120</v>
      </c>
      <c r="H37" s="13" t="s">
        <v>34</v>
      </c>
      <c r="I37" s="12" t="n">
        <f aca="false">IFERROR(VLOOKUP(F37,Insumos!$C$5:$G$143,5,FALSE()),0)</f>
        <v>0.078</v>
      </c>
      <c r="J37" s="25" t="n">
        <f aca="false">IF(C37="bizcocho",VLOOKUP(A37,'Recetas y precios'!$A$5:$G$55,6,FALSE()),IF(C37="jarabe",VLOOKUP(A37,'Recetas y precios'!$A$5:$G$55,7,FALSE()),1))</f>
        <v>1</v>
      </c>
      <c r="K37" s="15" t="n">
        <f aca="false">G37*I37*J37</f>
        <v>9.36</v>
      </c>
    </row>
    <row r="38" customFormat="false" ht="15" hidden="false" customHeight="false" outlineLevel="0" collapsed="false">
      <c r="A38" s="0" t="n">
        <v>2</v>
      </c>
      <c r="B38" s="22" t="s">
        <v>404</v>
      </c>
      <c r="C38" s="13" t="s">
        <v>393</v>
      </c>
      <c r="D38" s="23" t="s">
        <v>418</v>
      </c>
      <c r="E38" s="23" t="s">
        <v>421</v>
      </c>
      <c r="F38" s="24" t="s">
        <v>74</v>
      </c>
      <c r="G38" s="19" t="n">
        <v>35</v>
      </c>
      <c r="H38" s="13" t="s">
        <v>27</v>
      </c>
      <c r="I38" s="12" t="n">
        <f aca="false">IFERROR(VLOOKUP(F38,Insumos!$C$5:$G$143,5,FALSE()),0)</f>
        <v>0.045</v>
      </c>
      <c r="J38" s="25" t="n">
        <f aca="false">IF(C38="bizcocho",VLOOKUP(A38,'Recetas y precios'!$A$5:$G$55,6,FALSE()),IF(C38="jarabe",VLOOKUP(A38,'Recetas y precios'!$A$5:$G$55,7,FALSE()),1))</f>
        <v>1</v>
      </c>
      <c r="K38" s="15" t="n">
        <f aca="false">G38*I38*J38</f>
        <v>1.575</v>
      </c>
    </row>
    <row r="39" customFormat="false" ht="15" hidden="false" customHeight="false" outlineLevel="0" collapsed="false">
      <c r="A39" s="0" t="n">
        <v>2</v>
      </c>
      <c r="B39" s="22" t="s">
        <v>404</v>
      </c>
      <c r="C39" s="13" t="s">
        <v>393</v>
      </c>
      <c r="D39" s="23" t="s">
        <v>418</v>
      </c>
      <c r="E39" s="23" t="s">
        <v>422</v>
      </c>
      <c r="F39" s="24" t="s">
        <v>36</v>
      </c>
      <c r="G39" s="19" t="n">
        <v>20</v>
      </c>
      <c r="H39" s="13" t="s">
        <v>27</v>
      </c>
      <c r="I39" s="12" t="n">
        <f aca="false">IFERROR(VLOOKUP(F39,Insumos!$C$5:$G$143,5,FALSE()),0)</f>
        <v>0.085</v>
      </c>
      <c r="J39" s="25" t="n">
        <f aca="false">IF(C39="bizcocho",VLOOKUP(A39,'Recetas y precios'!$A$5:$G$55,6,FALSE()),IF(C39="jarabe",VLOOKUP(A39,'Recetas y precios'!$A$5:$G$55,7,FALSE()),1))</f>
        <v>1</v>
      </c>
      <c r="K39" s="15" t="n">
        <f aca="false">G39*I39*J39</f>
        <v>1.7</v>
      </c>
    </row>
    <row r="40" customFormat="false" ht="15" hidden="false" customHeight="false" outlineLevel="0" collapsed="false">
      <c r="A40" s="0" t="n">
        <v>2</v>
      </c>
      <c r="B40" s="22" t="s">
        <v>404</v>
      </c>
      <c r="C40" s="13" t="s">
        <v>393</v>
      </c>
      <c r="D40" s="23" t="s">
        <v>418</v>
      </c>
      <c r="E40" s="23" t="s">
        <v>423</v>
      </c>
      <c r="F40" s="24" t="s">
        <v>284</v>
      </c>
      <c r="G40" s="19" t="n">
        <v>2</v>
      </c>
      <c r="H40" s="13" t="s">
        <v>34</v>
      </c>
      <c r="I40" s="12" t="n">
        <f aca="false">IFERROR(VLOOKUP(F40,Insumos!$C$5:$G$143,5,FALSE()),0)</f>
        <v>0.45</v>
      </c>
      <c r="J40" s="25" t="n">
        <f aca="false">IF(C40="bizcocho",VLOOKUP(A40,'Recetas y precios'!$A$5:$G$55,6,FALSE()),IF(C40="jarabe",VLOOKUP(A40,'Recetas y precios'!$A$5:$G$55,7,FALSE()),1))</f>
        <v>1</v>
      </c>
      <c r="K40" s="15" t="n">
        <f aca="false">G40*I40*J40</f>
        <v>0.9</v>
      </c>
    </row>
    <row r="41" customFormat="false" ht="15" hidden="false" customHeight="false" outlineLevel="0" collapsed="false">
      <c r="A41" s="0" t="n">
        <v>2</v>
      </c>
      <c r="B41" s="22" t="s">
        <v>404</v>
      </c>
      <c r="C41" s="13" t="s">
        <v>400</v>
      </c>
      <c r="D41" s="23" t="s">
        <v>424</v>
      </c>
      <c r="E41" s="23" t="s">
        <v>425</v>
      </c>
      <c r="F41" s="24" t="s">
        <v>210</v>
      </c>
      <c r="G41" s="19" t="n">
        <v>35</v>
      </c>
      <c r="H41" s="13" t="s">
        <v>27</v>
      </c>
      <c r="I41" s="12" t="n">
        <f aca="false">IFERROR(VLOOKUP(F41,Insumos!$C$5:$G$143,5,FALSE()),0)</f>
        <v>0.32</v>
      </c>
      <c r="J41" s="25" t="n">
        <f aca="false">IF(C41="bizcocho",VLOOKUP(A41,'Recetas y precios'!$A$5:$G$55,6,FALSE()),IF(C41="jarabe",VLOOKUP(A41,'Recetas y precios'!$A$5:$G$55,7,FALSE()),1))</f>
        <v>1</v>
      </c>
      <c r="K41" s="15" t="n">
        <f aca="false">G41*I41*J41</f>
        <v>11.2</v>
      </c>
    </row>
    <row r="42" customFormat="false" ht="15" hidden="false" customHeight="false" outlineLevel="0" collapsed="false">
      <c r="A42" s="0" t="n">
        <v>2</v>
      </c>
      <c r="B42" s="22" t="s">
        <v>404</v>
      </c>
      <c r="C42" s="13" t="s">
        <v>400</v>
      </c>
      <c r="D42" s="23" t="s">
        <v>424</v>
      </c>
      <c r="E42" s="23" t="s">
        <v>426</v>
      </c>
      <c r="F42" s="24" t="s">
        <v>111</v>
      </c>
      <c r="G42" s="19" t="n">
        <v>10</v>
      </c>
      <c r="H42" s="13" t="s">
        <v>34</v>
      </c>
      <c r="I42" s="12" t="n">
        <f aca="false">IFERROR(VLOOKUP(F42,Insumos!$C$5:$G$143,5,FALSE()),0)</f>
        <v>0.18</v>
      </c>
      <c r="J42" s="25" t="n">
        <f aca="false">IF(C42="bizcocho",VLOOKUP(A42,'Recetas y precios'!$A$5:$G$55,6,FALSE()),IF(C42="jarabe",VLOOKUP(A42,'Recetas y precios'!$A$5:$G$55,7,FALSE()),1))</f>
        <v>1</v>
      </c>
      <c r="K42" s="15" t="n">
        <f aca="false">G42*I42*J42</f>
        <v>1.8</v>
      </c>
    </row>
    <row r="43" customFormat="false" ht="15" hidden="false" customHeight="false" outlineLevel="0" collapsed="false">
      <c r="A43" s="0" t="n">
        <v>2</v>
      </c>
      <c r="B43" s="22" t="s">
        <v>404</v>
      </c>
      <c r="C43" s="13" t="s">
        <v>400</v>
      </c>
      <c r="D43" s="23" t="s">
        <v>424</v>
      </c>
      <c r="E43" s="23" t="s">
        <v>427</v>
      </c>
      <c r="F43" s="24" t="s">
        <v>218</v>
      </c>
      <c r="G43" s="19" t="n">
        <v>2</v>
      </c>
      <c r="H43" s="13" t="s">
        <v>27</v>
      </c>
      <c r="I43" s="12" t="n">
        <f aca="false">IFERROR(VLOOKUP(F43,Insumos!$C$5:$G$143,5,FALSE()),0)</f>
        <v>0.42</v>
      </c>
      <c r="J43" s="25" t="n">
        <f aca="false">IF(C43="bizcocho",VLOOKUP(A43,'Recetas y precios'!$A$5:$G$55,6,FALSE()),IF(C43="jarabe",VLOOKUP(A43,'Recetas y precios'!$A$5:$G$55,7,FALSE()),1))</f>
        <v>1</v>
      </c>
      <c r="K43" s="15" t="n">
        <f aca="false">G43*I43*J43</f>
        <v>0.84</v>
      </c>
    </row>
    <row r="44" customFormat="false" ht="15" hidden="false" customHeight="false" outlineLevel="0" collapsed="false">
      <c r="A44" s="0" t="n">
        <v>3</v>
      </c>
      <c r="B44" s="22" t="s">
        <v>428</v>
      </c>
      <c r="C44" s="13" t="s">
        <v>376</v>
      </c>
      <c r="D44" s="23" t="s">
        <v>429</v>
      </c>
      <c r="E44" s="23" t="s">
        <v>430</v>
      </c>
      <c r="F44" s="24" t="s">
        <v>50</v>
      </c>
      <c r="G44" s="19" t="n">
        <v>50</v>
      </c>
      <c r="H44" s="13" t="s">
        <v>27</v>
      </c>
      <c r="I44" s="12" t="n">
        <f aca="false">IFERROR(VLOOKUP(F44,Insumos!$C$5:$G$143,5,FALSE()),0)</f>
        <v>0.075</v>
      </c>
      <c r="J44" s="25" t="n">
        <f aca="false">IF(C44="bizcocho",VLOOKUP(A44,'Recetas y precios'!$A$5:$G$55,6,FALSE()),IF(C44="jarabe",VLOOKUP(A44,'Recetas y precios'!$A$5:$G$55,7,FALSE()),1))</f>
        <v>0.407</v>
      </c>
      <c r="K44" s="15" t="n">
        <f aca="false">G44*I44*J44</f>
        <v>1.52625</v>
      </c>
    </row>
    <row r="45" customFormat="false" ht="15" hidden="false" customHeight="false" outlineLevel="0" collapsed="false">
      <c r="A45" s="0" t="n">
        <v>3</v>
      </c>
      <c r="B45" s="22" t="s">
        <v>428</v>
      </c>
      <c r="C45" s="13" t="s">
        <v>376</v>
      </c>
      <c r="D45" s="23" t="s">
        <v>429</v>
      </c>
      <c r="E45" s="23" t="s">
        <v>431</v>
      </c>
      <c r="F45" s="24" t="s">
        <v>48</v>
      </c>
      <c r="G45" s="19" t="n">
        <v>30</v>
      </c>
      <c r="H45" s="13" t="s">
        <v>27</v>
      </c>
      <c r="I45" s="12" t="n">
        <f aca="false">IFERROR(VLOOKUP(F45,Insumos!$C$5:$G$143,5,FALSE()),0)</f>
        <v>0.13</v>
      </c>
      <c r="J45" s="25" t="n">
        <f aca="false">IF(C45="bizcocho",VLOOKUP(A45,'Recetas y precios'!$A$5:$G$55,6,FALSE()),IF(C45="jarabe",VLOOKUP(A45,'Recetas y precios'!$A$5:$G$55,7,FALSE()),1))</f>
        <v>0.407</v>
      </c>
      <c r="K45" s="15" t="n">
        <f aca="false">G45*I45*J45</f>
        <v>1.5873</v>
      </c>
    </row>
    <row r="46" customFormat="false" ht="15" hidden="false" customHeight="false" outlineLevel="0" collapsed="false">
      <c r="A46" s="0" t="n">
        <v>3</v>
      </c>
      <c r="B46" s="22" t="s">
        <v>428</v>
      </c>
      <c r="C46" s="13" t="s">
        <v>376</v>
      </c>
      <c r="D46" s="23" t="s">
        <v>429</v>
      </c>
      <c r="E46" s="23" t="s">
        <v>411</v>
      </c>
      <c r="F46" s="24" t="s">
        <v>72</v>
      </c>
      <c r="G46" s="19" t="n">
        <v>40</v>
      </c>
      <c r="H46" s="13" t="s">
        <v>27</v>
      </c>
      <c r="I46" s="12" t="n">
        <f aca="false">IFERROR(VLOOKUP(F46,Insumos!$C$5:$G$143,5,FALSE()),0)</f>
        <v>0.028</v>
      </c>
      <c r="J46" s="25" t="n">
        <f aca="false">IF(C46="bizcocho",VLOOKUP(A46,'Recetas y precios'!$A$5:$G$55,6,FALSE()),IF(C46="jarabe",VLOOKUP(A46,'Recetas y precios'!$A$5:$G$55,7,FALSE()),1))</f>
        <v>0.407</v>
      </c>
      <c r="K46" s="15" t="n">
        <f aca="false">G46*I46*J46</f>
        <v>0.45584</v>
      </c>
    </row>
    <row r="47" customFormat="false" ht="15" hidden="false" customHeight="false" outlineLevel="0" collapsed="false">
      <c r="A47" s="0" t="n">
        <v>3</v>
      </c>
      <c r="B47" s="22" t="s">
        <v>428</v>
      </c>
      <c r="C47" s="13" t="s">
        <v>376</v>
      </c>
      <c r="D47" s="23" t="s">
        <v>429</v>
      </c>
      <c r="E47" s="23" t="s">
        <v>432</v>
      </c>
      <c r="F47" s="24" t="s">
        <v>59</v>
      </c>
      <c r="G47" s="19" t="n">
        <v>45</v>
      </c>
      <c r="H47" s="13" t="s">
        <v>27</v>
      </c>
      <c r="I47" s="12" t="n">
        <f aca="false">IFERROR(VLOOKUP(F47,Insumos!$C$5:$G$143,5,FALSE()),0)</f>
        <v>0.032</v>
      </c>
      <c r="J47" s="25" t="n">
        <f aca="false">IF(C47="bizcocho",VLOOKUP(A47,'Recetas y precios'!$A$5:$G$55,6,FALSE()),IF(C47="jarabe",VLOOKUP(A47,'Recetas y precios'!$A$5:$G$55,7,FALSE()),1))</f>
        <v>0.407</v>
      </c>
      <c r="K47" s="15" t="n">
        <f aca="false">G47*I47*J47</f>
        <v>0.58608</v>
      </c>
    </row>
    <row r="48" customFormat="false" ht="15" hidden="false" customHeight="false" outlineLevel="0" collapsed="false">
      <c r="A48" s="0" t="n">
        <v>3</v>
      </c>
      <c r="B48" s="22" t="s">
        <v>428</v>
      </c>
      <c r="C48" s="13" t="s">
        <v>376</v>
      </c>
      <c r="D48" s="23" t="s">
        <v>429</v>
      </c>
      <c r="E48" s="23" t="s">
        <v>433</v>
      </c>
      <c r="F48" s="24" t="s">
        <v>127</v>
      </c>
      <c r="G48" s="19" t="n">
        <v>6</v>
      </c>
      <c r="H48" s="13" t="s">
        <v>27</v>
      </c>
      <c r="I48" s="12" t="n">
        <f aca="false">IFERROR(VLOOKUP(F48,Insumos!$C$5:$G$143,5,FALSE()),0)</f>
        <v>2.8</v>
      </c>
      <c r="J48" s="25" t="n">
        <f aca="false">IF(C48="bizcocho",VLOOKUP(A48,'Recetas y precios'!$A$5:$G$55,6,FALSE()),IF(C48="jarabe",VLOOKUP(A48,'Recetas y precios'!$A$5:$G$55,7,FALSE()),1))</f>
        <v>0.407</v>
      </c>
      <c r="K48" s="15" t="n">
        <f aca="false">G48*I48*J48</f>
        <v>6.8376</v>
      </c>
    </row>
    <row r="49" customFormat="false" ht="15" hidden="false" customHeight="false" outlineLevel="0" collapsed="false">
      <c r="A49" s="0" t="n">
        <v>3</v>
      </c>
      <c r="B49" s="22" t="s">
        <v>428</v>
      </c>
      <c r="C49" s="13" t="s">
        <v>376</v>
      </c>
      <c r="D49" s="23" t="s">
        <v>429</v>
      </c>
      <c r="E49" s="23" t="s">
        <v>434</v>
      </c>
      <c r="F49" s="24" t="s">
        <v>74</v>
      </c>
      <c r="G49" s="19" t="n">
        <v>1</v>
      </c>
      <c r="H49" s="13" t="s">
        <v>27</v>
      </c>
      <c r="I49" s="12" t="n">
        <f aca="false">IFERROR(VLOOKUP(F49,Insumos!$C$5:$G$143,5,FALSE()),0)</f>
        <v>0.045</v>
      </c>
      <c r="J49" s="25" t="n">
        <f aca="false">IF(C49="bizcocho",VLOOKUP(A49,'Recetas y precios'!$A$5:$G$55,6,FALSE()),IF(C49="jarabe",VLOOKUP(A49,'Recetas y precios'!$A$5:$G$55,7,FALSE()),1))</f>
        <v>0.407</v>
      </c>
      <c r="K49" s="15" t="n">
        <f aca="false">G49*I49*J49</f>
        <v>0.018315</v>
      </c>
    </row>
    <row r="50" customFormat="false" ht="15" hidden="false" customHeight="false" outlineLevel="0" collapsed="false">
      <c r="A50" s="0" t="n">
        <v>3</v>
      </c>
      <c r="B50" s="22" t="s">
        <v>428</v>
      </c>
      <c r="C50" s="13" t="s">
        <v>387</v>
      </c>
      <c r="D50" s="23" t="s">
        <v>435</v>
      </c>
      <c r="E50" s="23" t="s">
        <v>436</v>
      </c>
      <c r="F50" s="24" t="s">
        <v>143</v>
      </c>
      <c r="G50" s="19" t="n">
        <v>10</v>
      </c>
      <c r="H50" s="13" t="s">
        <v>27</v>
      </c>
      <c r="I50" s="12" t="n">
        <f aca="false">IFERROR(VLOOKUP(F50,Insumos!$C$5:$G$143,5,FALSE()),0)</f>
        <v>0.7</v>
      </c>
      <c r="J50" s="25" t="n">
        <f aca="false">IF(C50="bizcocho",VLOOKUP(A50,'Recetas y precios'!$A$5:$G$55,6,FALSE()),IF(C50="jarabe",VLOOKUP(A50,'Recetas y precios'!$A$5:$G$55,7,FALSE()),1))</f>
        <v>1</v>
      </c>
      <c r="K50" s="15" t="n">
        <f aca="false">G50*I50*J50</f>
        <v>7</v>
      </c>
    </row>
    <row r="51" customFormat="false" ht="15" hidden="false" customHeight="false" outlineLevel="0" collapsed="false">
      <c r="A51" s="0" t="n">
        <v>3</v>
      </c>
      <c r="B51" s="22" t="s">
        <v>428</v>
      </c>
      <c r="C51" s="13" t="s">
        <v>387</v>
      </c>
      <c r="D51" s="23" t="s">
        <v>435</v>
      </c>
      <c r="E51" s="23" t="s">
        <v>437</v>
      </c>
      <c r="F51" s="24" t="s">
        <v>113</v>
      </c>
      <c r="G51" s="19" t="n">
        <v>120</v>
      </c>
      <c r="H51" s="13" t="s">
        <v>34</v>
      </c>
      <c r="I51" s="12" t="n">
        <f aca="false">IFERROR(VLOOKUP(F51,Insumos!$C$5:$G$143,5,FALSE()),0)</f>
        <v>0.002</v>
      </c>
      <c r="J51" s="25" t="n">
        <f aca="false">IF(C51="bizcocho",VLOOKUP(A51,'Recetas y precios'!$A$5:$G$55,6,FALSE()),IF(C51="jarabe",VLOOKUP(A51,'Recetas y precios'!$A$5:$G$55,7,FALSE()),1))</f>
        <v>1</v>
      </c>
      <c r="K51" s="15" t="n">
        <f aca="false">G51*I51*J51</f>
        <v>0.24</v>
      </c>
    </row>
    <row r="52" customFormat="false" ht="15" hidden="false" customHeight="false" outlineLevel="0" collapsed="false">
      <c r="A52" s="0" t="n">
        <v>3</v>
      </c>
      <c r="B52" s="22" t="s">
        <v>428</v>
      </c>
      <c r="C52" s="13" t="s">
        <v>387</v>
      </c>
      <c r="D52" s="23" t="s">
        <v>435</v>
      </c>
      <c r="E52" s="23" t="s">
        <v>438</v>
      </c>
      <c r="F52" s="24" t="s">
        <v>76</v>
      </c>
      <c r="G52" s="19" t="n">
        <v>20</v>
      </c>
      <c r="H52" s="13" t="s">
        <v>27</v>
      </c>
      <c r="I52" s="12" t="n">
        <f aca="false">IFERROR(VLOOKUP(F52,Insumos!$C$5:$G$143,5,FALSE()),0)</f>
        <v>0.06</v>
      </c>
      <c r="J52" s="25" t="n">
        <f aca="false">IF(C52="bizcocho",VLOOKUP(A52,'Recetas y precios'!$A$5:$G$55,6,FALSE()),IF(C52="jarabe",VLOOKUP(A52,'Recetas y precios'!$A$5:$G$55,7,FALSE()),1))</f>
        <v>1</v>
      </c>
      <c r="K52" s="15" t="n">
        <f aca="false">G52*I52*J52</f>
        <v>1.2</v>
      </c>
    </row>
    <row r="53" customFormat="false" ht="15" hidden="false" customHeight="false" outlineLevel="0" collapsed="false">
      <c r="A53" s="0" t="n">
        <v>3</v>
      </c>
      <c r="B53" s="22" t="s">
        <v>428</v>
      </c>
      <c r="C53" s="13" t="s">
        <v>387</v>
      </c>
      <c r="D53" s="23" t="s">
        <v>435</v>
      </c>
      <c r="E53" s="23" t="s">
        <v>439</v>
      </c>
      <c r="F53" s="24" t="s">
        <v>311</v>
      </c>
      <c r="G53" s="19" t="n">
        <v>5</v>
      </c>
      <c r="H53" s="13" t="s">
        <v>34</v>
      </c>
      <c r="I53" s="12" t="n">
        <f aca="false">IFERROR(VLOOKUP(F53,Insumos!$C$5:$G$143,5,FALSE()),0)</f>
        <v>1.2</v>
      </c>
      <c r="J53" s="25" t="n">
        <f aca="false">IF(C53="bizcocho",VLOOKUP(A53,'Recetas y precios'!$A$5:$G$55,6,FALSE()),IF(C53="jarabe",VLOOKUP(A53,'Recetas y precios'!$A$5:$G$55,7,FALSE()),1))</f>
        <v>1</v>
      </c>
      <c r="K53" s="15" t="n">
        <f aca="false">G53*I53*J53</f>
        <v>6</v>
      </c>
    </row>
    <row r="54" customFormat="false" ht="15" hidden="false" customHeight="false" outlineLevel="0" collapsed="false">
      <c r="A54" s="0" t="n">
        <v>3</v>
      </c>
      <c r="B54" s="22" t="s">
        <v>428</v>
      </c>
      <c r="C54" s="13" t="s">
        <v>393</v>
      </c>
      <c r="D54" s="23" t="s">
        <v>440</v>
      </c>
      <c r="E54" s="23" t="s">
        <v>441</v>
      </c>
      <c r="F54" s="24" t="s">
        <v>26</v>
      </c>
      <c r="G54" s="19" t="n">
        <v>180</v>
      </c>
      <c r="H54" s="13" t="s">
        <v>27</v>
      </c>
      <c r="I54" s="12" t="n">
        <f aca="false">IFERROR(VLOOKUP(F54,Insumos!$C$5:$G$143,5,FALSE()),0)</f>
        <v>0.38</v>
      </c>
      <c r="J54" s="25" t="n">
        <f aca="false">IF(C54="bizcocho",VLOOKUP(A54,'Recetas y precios'!$A$5:$G$55,6,FALSE()),IF(C54="jarabe",VLOOKUP(A54,'Recetas y precios'!$A$5:$G$55,7,FALSE()),1))</f>
        <v>1</v>
      </c>
      <c r="K54" s="15" t="n">
        <f aca="false">G54*I54*J54</f>
        <v>68.4</v>
      </c>
    </row>
    <row r="55" customFormat="false" ht="15" hidden="false" customHeight="false" outlineLevel="0" collapsed="false">
      <c r="A55" s="0" t="n">
        <v>3</v>
      </c>
      <c r="B55" s="22" t="s">
        <v>428</v>
      </c>
      <c r="C55" s="13" t="s">
        <v>393</v>
      </c>
      <c r="D55" s="23" t="s">
        <v>440</v>
      </c>
      <c r="E55" s="23" t="s">
        <v>442</v>
      </c>
      <c r="F55" s="24" t="s">
        <v>33</v>
      </c>
      <c r="G55" s="19" t="n">
        <v>220</v>
      </c>
      <c r="H55" s="13" t="s">
        <v>34</v>
      </c>
      <c r="I55" s="12" t="n">
        <f aca="false">IFERROR(VLOOKUP(F55,Insumos!$C$5:$G$143,5,FALSE()),0)</f>
        <v>0.078</v>
      </c>
      <c r="J55" s="25" t="n">
        <f aca="false">IF(C55="bizcocho",VLOOKUP(A55,'Recetas y precios'!$A$5:$G$55,6,FALSE()),IF(C55="jarabe",VLOOKUP(A55,'Recetas y precios'!$A$5:$G$55,7,FALSE()),1))</f>
        <v>1</v>
      </c>
      <c r="K55" s="15" t="n">
        <f aca="false">G55*I55*J55</f>
        <v>17.16</v>
      </c>
    </row>
    <row r="56" customFormat="false" ht="15" hidden="false" customHeight="false" outlineLevel="0" collapsed="false">
      <c r="A56" s="0" t="n">
        <v>3</v>
      </c>
      <c r="B56" s="22" t="s">
        <v>428</v>
      </c>
      <c r="C56" s="13" t="s">
        <v>393</v>
      </c>
      <c r="D56" s="23" t="s">
        <v>440</v>
      </c>
      <c r="E56" s="23" t="s">
        <v>443</v>
      </c>
      <c r="F56" s="24" t="s">
        <v>127</v>
      </c>
      <c r="G56" s="19" t="n">
        <v>8</v>
      </c>
      <c r="H56" s="13" t="s">
        <v>27</v>
      </c>
      <c r="I56" s="12" t="n">
        <f aca="false">IFERROR(VLOOKUP(F56,Insumos!$C$5:$G$143,5,FALSE()),0)</f>
        <v>2.8</v>
      </c>
      <c r="J56" s="25" t="n">
        <f aca="false">IF(C56="bizcocho",VLOOKUP(A56,'Recetas y precios'!$A$5:$G$55,6,FALSE()),IF(C56="jarabe",VLOOKUP(A56,'Recetas y precios'!$A$5:$G$55,7,FALSE()),1))</f>
        <v>1</v>
      </c>
      <c r="K56" s="15" t="n">
        <f aca="false">G56*I56*J56</f>
        <v>22.4</v>
      </c>
    </row>
    <row r="57" customFormat="false" ht="15" hidden="false" customHeight="false" outlineLevel="0" collapsed="false">
      <c r="A57" s="0" t="n">
        <v>3</v>
      </c>
      <c r="B57" s="22" t="s">
        <v>428</v>
      </c>
      <c r="C57" s="13" t="s">
        <v>393</v>
      </c>
      <c r="D57" s="23" t="s">
        <v>440</v>
      </c>
      <c r="E57" s="23" t="s">
        <v>444</v>
      </c>
      <c r="F57" s="24" t="s">
        <v>36</v>
      </c>
      <c r="G57" s="19" t="n">
        <v>50</v>
      </c>
      <c r="H57" s="13" t="s">
        <v>27</v>
      </c>
      <c r="I57" s="12" t="n">
        <f aca="false">IFERROR(VLOOKUP(F57,Insumos!$C$5:$G$143,5,FALSE()),0)</f>
        <v>0.085</v>
      </c>
      <c r="J57" s="25" t="n">
        <f aca="false">IF(C57="bizcocho",VLOOKUP(A57,'Recetas y precios'!$A$5:$G$55,6,FALSE()),IF(C57="jarabe",VLOOKUP(A57,'Recetas y precios'!$A$5:$G$55,7,FALSE()),1))</f>
        <v>1</v>
      </c>
      <c r="K57" s="15" t="n">
        <f aca="false">G57*I57*J57</f>
        <v>4.25</v>
      </c>
    </row>
    <row r="58" customFormat="false" ht="15" hidden="false" customHeight="false" outlineLevel="0" collapsed="false">
      <c r="A58" s="0" t="n">
        <v>3</v>
      </c>
      <c r="B58" s="22" t="s">
        <v>428</v>
      </c>
      <c r="C58" s="13" t="s">
        <v>393</v>
      </c>
      <c r="D58" s="23" t="s">
        <v>440</v>
      </c>
      <c r="E58" s="23" t="s">
        <v>445</v>
      </c>
      <c r="F58" s="24" t="s">
        <v>74</v>
      </c>
      <c r="G58" s="19" t="n">
        <v>25</v>
      </c>
      <c r="H58" s="13" t="s">
        <v>27</v>
      </c>
      <c r="I58" s="12" t="n">
        <f aca="false">IFERROR(VLOOKUP(F58,Insumos!$C$5:$G$143,5,FALSE()),0)</f>
        <v>0.045</v>
      </c>
      <c r="J58" s="25" t="n">
        <f aca="false">IF(C58="bizcocho",VLOOKUP(A58,'Recetas y precios'!$A$5:$G$55,6,FALSE()),IF(C58="jarabe",VLOOKUP(A58,'Recetas y precios'!$A$5:$G$55,7,FALSE()),1))</f>
        <v>1</v>
      </c>
      <c r="K58" s="15" t="n">
        <f aca="false">G58*I58*J58</f>
        <v>1.125</v>
      </c>
    </row>
    <row r="59" customFormat="false" ht="15" hidden="false" customHeight="false" outlineLevel="0" collapsed="false">
      <c r="A59" s="0" t="n">
        <v>4</v>
      </c>
      <c r="B59" s="22" t="s">
        <v>446</v>
      </c>
      <c r="C59" s="13" t="s">
        <v>376</v>
      </c>
      <c r="D59" s="23" t="s">
        <v>447</v>
      </c>
      <c r="E59" s="23" t="s">
        <v>448</v>
      </c>
      <c r="F59" s="24" t="s">
        <v>242</v>
      </c>
      <c r="G59" s="19" t="n">
        <v>80</v>
      </c>
      <c r="H59" s="13" t="s">
        <v>27</v>
      </c>
      <c r="I59" s="12" t="n">
        <f aca="false">IFERROR(VLOOKUP(F59,Insumos!$C$5:$G$143,5,FALSE()),0)</f>
        <v>0.065</v>
      </c>
      <c r="J59" s="25" t="n">
        <f aca="false">IF(C59="bizcocho",VLOOKUP(A59,'Recetas y precios'!$A$5:$G$55,6,FALSE()),IF(C59="jarabe",VLOOKUP(A59,'Recetas y precios'!$A$5:$G$55,7,FALSE()),1))</f>
        <v>0.552</v>
      </c>
      <c r="K59" s="15" t="n">
        <f aca="false">G59*I59*J59</f>
        <v>2.8704</v>
      </c>
    </row>
    <row r="60" customFormat="false" ht="15" hidden="false" customHeight="false" outlineLevel="0" collapsed="false">
      <c r="A60" s="0" t="n">
        <v>4</v>
      </c>
      <c r="B60" s="22" t="s">
        <v>446</v>
      </c>
      <c r="C60" s="13" t="s">
        <v>376</v>
      </c>
      <c r="D60" s="23" t="s">
        <v>447</v>
      </c>
      <c r="E60" s="23" t="s">
        <v>449</v>
      </c>
      <c r="F60" s="24" t="s">
        <v>113</v>
      </c>
      <c r="G60" s="19" t="n">
        <v>40</v>
      </c>
      <c r="H60" s="13" t="s">
        <v>34</v>
      </c>
      <c r="I60" s="12" t="n">
        <f aca="false">IFERROR(VLOOKUP(F60,Insumos!$C$5:$G$143,5,FALSE()),0)</f>
        <v>0.002</v>
      </c>
      <c r="J60" s="25" t="n">
        <f aca="false">IF(C60="bizcocho",VLOOKUP(A60,'Recetas y precios'!$A$5:$G$55,6,FALSE()),IF(C60="jarabe",VLOOKUP(A60,'Recetas y precios'!$A$5:$G$55,7,FALSE()),1))</f>
        <v>0.552</v>
      </c>
      <c r="K60" s="15" t="n">
        <f aca="false">G60*I60*J60</f>
        <v>0.04416</v>
      </c>
    </row>
    <row r="61" customFormat="false" ht="15" hidden="false" customHeight="false" outlineLevel="0" collapsed="false">
      <c r="A61" s="0" t="n">
        <v>4</v>
      </c>
      <c r="B61" s="22" t="s">
        <v>446</v>
      </c>
      <c r="C61" s="13" t="s">
        <v>376</v>
      </c>
      <c r="D61" s="23" t="s">
        <v>447</v>
      </c>
      <c r="E61" s="23" t="s">
        <v>450</v>
      </c>
      <c r="F61" s="24" t="s">
        <v>90</v>
      </c>
      <c r="G61" s="19" t="n">
        <v>20</v>
      </c>
      <c r="H61" s="13" t="s">
        <v>27</v>
      </c>
      <c r="I61" s="12" t="n">
        <f aca="false">IFERROR(VLOOKUP(F61,Insumos!$C$5:$G$143,5,FALSE()),0)</f>
        <v>0.15</v>
      </c>
      <c r="J61" s="25" t="n">
        <f aca="false">IF(C61="bizcocho",VLOOKUP(A61,'Recetas y precios'!$A$5:$G$55,6,FALSE()),IF(C61="jarabe",VLOOKUP(A61,'Recetas y precios'!$A$5:$G$55,7,FALSE()),1))</f>
        <v>0.552</v>
      </c>
      <c r="K61" s="15" t="n">
        <f aca="false">G61*I61*J61</f>
        <v>1.656</v>
      </c>
    </row>
    <row r="62" customFormat="false" ht="15" hidden="false" customHeight="false" outlineLevel="0" collapsed="false">
      <c r="A62" s="0" t="n">
        <v>4</v>
      </c>
      <c r="B62" s="22" t="s">
        <v>446</v>
      </c>
      <c r="C62" s="13" t="s">
        <v>376</v>
      </c>
      <c r="D62" s="23" t="s">
        <v>447</v>
      </c>
      <c r="E62" s="23" t="s">
        <v>451</v>
      </c>
      <c r="F62" s="24" t="s">
        <v>295</v>
      </c>
      <c r="G62" s="19" t="n">
        <v>5</v>
      </c>
      <c r="H62" s="13" t="s">
        <v>34</v>
      </c>
      <c r="I62" s="12" t="n">
        <f aca="false">IFERROR(VLOOKUP(F62,Insumos!$C$5:$G$143,5,FALSE()),0)</f>
        <v>0.426666666666667</v>
      </c>
      <c r="J62" s="25" t="n">
        <f aca="false">IF(C62="bizcocho",VLOOKUP(A62,'Recetas y precios'!$A$5:$G$55,6,FALSE()),IF(C62="jarabe",VLOOKUP(A62,'Recetas y precios'!$A$5:$G$55,7,FALSE()),1))</f>
        <v>0.552</v>
      </c>
      <c r="K62" s="15" t="n">
        <f aca="false">G62*I62*J62</f>
        <v>1.1776</v>
      </c>
    </row>
    <row r="63" customFormat="false" ht="15" hidden="false" customHeight="false" outlineLevel="0" collapsed="false">
      <c r="A63" s="0" t="n">
        <v>4</v>
      </c>
      <c r="B63" s="22" t="s">
        <v>446</v>
      </c>
      <c r="C63" s="13" t="s">
        <v>393</v>
      </c>
      <c r="D63" s="23" t="s">
        <v>452</v>
      </c>
      <c r="E63" s="23" t="s">
        <v>453</v>
      </c>
      <c r="F63" s="24" t="s">
        <v>26</v>
      </c>
      <c r="G63" s="19" t="n">
        <v>160</v>
      </c>
      <c r="H63" s="13" t="s">
        <v>27</v>
      </c>
      <c r="I63" s="12" t="n">
        <f aca="false">IFERROR(VLOOKUP(F63,Insumos!$C$5:$G$143,5,FALSE()),0)</f>
        <v>0.38</v>
      </c>
      <c r="J63" s="25" t="n">
        <f aca="false">IF(C63="bizcocho",VLOOKUP(A63,'Recetas y precios'!$A$5:$G$55,6,FALSE()),IF(C63="jarabe",VLOOKUP(A63,'Recetas y precios'!$A$5:$G$55,7,FALSE()),1))</f>
        <v>1</v>
      </c>
      <c r="K63" s="15" t="n">
        <f aca="false">G63*I63*J63</f>
        <v>60.8</v>
      </c>
    </row>
    <row r="64" customFormat="false" ht="15" hidden="false" customHeight="false" outlineLevel="0" collapsed="false">
      <c r="A64" s="0" t="n">
        <v>4</v>
      </c>
      <c r="B64" s="22" t="s">
        <v>446</v>
      </c>
      <c r="C64" s="13" t="s">
        <v>393</v>
      </c>
      <c r="D64" s="23" t="s">
        <v>452</v>
      </c>
      <c r="E64" s="23" t="s">
        <v>454</v>
      </c>
      <c r="F64" s="24" t="s">
        <v>33</v>
      </c>
      <c r="G64" s="19" t="n">
        <v>160</v>
      </c>
      <c r="H64" s="13" t="s">
        <v>34</v>
      </c>
      <c r="I64" s="12" t="n">
        <f aca="false">IFERROR(VLOOKUP(F64,Insumos!$C$5:$G$143,5,FALSE()),0)</f>
        <v>0.078</v>
      </c>
      <c r="J64" s="25" t="n">
        <f aca="false">IF(C64="bizcocho",VLOOKUP(A64,'Recetas y precios'!$A$5:$G$55,6,FALSE()),IF(C64="jarabe",VLOOKUP(A64,'Recetas y precios'!$A$5:$G$55,7,FALSE()),1))</f>
        <v>1</v>
      </c>
      <c r="K64" s="15" t="n">
        <f aca="false">G64*I64*J64</f>
        <v>12.48</v>
      </c>
    </row>
    <row r="65" customFormat="false" ht="15" hidden="false" customHeight="false" outlineLevel="0" collapsed="false">
      <c r="A65" s="0" t="n">
        <v>4</v>
      </c>
      <c r="B65" s="22" t="s">
        <v>446</v>
      </c>
      <c r="C65" s="13" t="s">
        <v>393</v>
      </c>
      <c r="D65" s="23" t="s">
        <v>452</v>
      </c>
      <c r="E65" s="23" t="s">
        <v>455</v>
      </c>
      <c r="F65" s="24" t="s">
        <v>36</v>
      </c>
      <c r="G65" s="19" t="n">
        <v>40</v>
      </c>
      <c r="H65" s="13" t="s">
        <v>27</v>
      </c>
      <c r="I65" s="12" t="n">
        <f aca="false">IFERROR(VLOOKUP(F65,Insumos!$C$5:$G$143,5,FALSE()),0)</f>
        <v>0.085</v>
      </c>
      <c r="J65" s="25" t="n">
        <f aca="false">IF(C65="bizcocho",VLOOKUP(A65,'Recetas y precios'!$A$5:$G$55,6,FALSE()),IF(C65="jarabe",VLOOKUP(A65,'Recetas y precios'!$A$5:$G$55,7,FALSE()),1))</f>
        <v>1</v>
      </c>
      <c r="K65" s="15" t="n">
        <f aca="false">G65*I65*J65</f>
        <v>3.4</v>
      </c>
    </row>
    <row r="66" customFormat="false" ht="15" hidden="false" customHeight="false" outlineLevel="0" collapsed="false">
      <c r="A66" s="0" t="n">
        <v>4</v>
      </c>
      <c r="B66" s="22" t="s">
        <v>446</v>
      </c>
      <c r="C66" s="13" t="s">
        <v>393</v>
      </c>
      <c r="D66" s="23" t="s">
        <v>452</v>
      </c>
      <c r="E66" s="23" t="s">
        <v>456</v>
      </c>
      <c r="F66" s="24" t="s">
        <v>74</v>
      </c>
      <c r="G66" s="19" t="n">
        <v>20</v>
      </c>
      <c r="H66" s="13" t="s">
        <v>27</v>
      </c>
      <c r="I66" s="12" t="n">
        <f aca="false">IFERROR(VLOOKUP(F66,Insumos!$C$5:$G$143,5,FALSE()),0)</f>
        <v>0.045</v>
      </c>
      <c r="J66" s="25" t="n">
        <f aca="false">IF(C66="bizcocho",VLOOKUP(A66,'Recetas y precios'!$A$5:$G$55,6,FALSE()),IF(C66="jarabe",VLOOKUP(A66,'Recetas y precios'!$A$5:$G$55,7,FALSE()),1))</f>
        <v>1</v>
      </c>
      <c r="K66" s="15" t="n">
        <f aca="false">G66*I66*J66</f>
        <v>0.9</v>
      </c>
    </row>
    <row r="67" customFormat="false" ht="15" hidden="false" customHeight="false" outlineLevel="0" collapsed="false">
      <c r="A67" s="0" t="n">
        <v>4</v>
      </c>
      <c r="B67" s="22" t="s">
        <v>446</v>
      </c>
      <c r="C67" s="13" t="s">
        <v>393</v>
      </c>
      <c r="D67" s="23" t="s">
        <v>452</v>
      </c>
      <c r="E67" s="23" t="s">
        <v>457</v>
      </c>
      <c r="F67" s="24" t="s">
        <v>284</v>
      </c>
      <c r="G67" s="19" t="n">
        <v>3</v>
      </c>
      <c r="H67" s="13" t="s">
        <v>34</v>
      </c>
      <c r="I67" s="12" t="n">
        <f aca="false">IFERROR(VLOOKUP(F67,Insumos!$C$5:$G$143,5,FALSE()),0)</f>
        <v>0.45</v>
      </c>
      <c r="J67" s="25" t="n">
        <f aca="false">IF(C67="bizcocho",VLOOKUP(A67,'Recetas y precios'!$A$5:$G$55,6,FALSE()),IF(C67="jarabe",VLOOKUP(A67,'Recetas y precios'!$A$5:$G$55,7,FALSE()),1))</f>
        <v>1</v>
      </c>
      <c r="K67" s="15" t="n">
        <f aca="false">G67*I67*J67</f>
        <v>1.35</v>
      </c>
    </row>
    <row r="68" customFormat="false" ht="15" hidden="false" customHeight="false" outlineLevel="0" collapsed="false">
      <c r="A68" s="0" t="n">
        <v>4</v>
      </c>
      <c r="B68" s="22" t="s">
        <v>446</v>
      </c>
      <c r="C68" s="13" t="s">
        <v>400</v>
      </c>
      <c r="D68" s="23" t="s">
        <v>458</v>
      </c>
      <c r="E68" s="23" t="s">
        <v>459</v>
      </c>
      <c r="F68" s="24" t="s">
        <v>120</v>
      </c>
      <c r="G68" s="19" t="n">
        <v>20</v>
      </c>
      <c r="H68" s="13" t="s">
        <v>27</v>
      </c>
      <c r="I68" s="12" t="n">
        <f aca="false">IFERROR(VLOOKUP(F68,Insumos!$C$5:$G$143,5,FALSE()),0)</f>
        <v>0.7</v>
      </c>
      <c r="J68" s="25" t="n">
        <f aca="false">IF(C68="bizcocho",VLOOKUP(A68,'Recetas y precios'!$A$5:$G$55,6,FALSE()),IF(C68="jarabe",VLOOKUP(A68,'Recetas y precios'!$A$5:$G$55,7,FALSE()),1))</f>
        <v>1</v>
      </c>
      <c r="K68" s="15" t="n">
        <f aca="false">G68*I68*J68</f>
        <v>14</v>
      </c>
    </row>
    <row r="69" customFormat="false" ht="15" hidden="false" customHeight="false" outlineLevel="0" collapsed="false">
      <c r="A69" s="0" t="n">
        <v>4</v>
      </c>
      <c r="B69" s="22" t="s">
        <v>446</v>
      </c>
      <c r="C69" s="13" t="s">
        <v>400</v>
      </c>
      <c r="D69" s="23" t="s">
        <v>458</v>
      </c>
      <c r="E69" s="23" t="s">
        <v>460</v>
      </c>
      <c r="F69" s="24" t="s">
        <v>72</v>
      </c>
      <c r="G69" s="19" t="n">
        <v>30</v>
      </c>
      <c r="H69" s="13" t="s">
        <v>27</v>
      </c>
      <c r="I69" s="12" t="n">
        <f aca="false">IFERROR(VLOOKUP(F69,Insumos!$C$5:$G$143,5,FALSE()),0)</f>
        <v>0.028</v>
      </c>
      <c r="J69" s="25" t="n">
        <f aca="false">IF(C69="bizcocho",VLOOKUP(A69,'Recetas y precios'!$A$5:$G$55,6,FALSE()),IF(C69="jarabe",VLOOKUP(A69,'Recetas y precios'!$A$5:$G$55,7,FALSE()),1))</f>
        <v>1</v>
      </c>
      <c r="K69" s="15" t="n">
        <f aca="false">G69*I69*J69</f>
        <v>0.84</v>
      </c>
    </row>
    <row r="70" customFormat="false" ht="15" hidden="false" customHeight="false" outlineLevel="0" collapsed="false">
      <c r="A70" s="0" t="n">
        <v>4</v>
      </c>
      <c r="B70" s="22" t="s">
        <v>446</v>
      </c>
      <c r="C70" s="13" t="s">
        <v>400</v>
      </c>
      <c r="D70" s="23" t="s">
        <v>458</v>
      </c>
      <c r="E70" s="23" t="s">
        <v>461</v>
      </c>
      <c r="F70" s="24" t="s">
        <v>113</v>
      </c>
      <c r="G70" s="19" t="n">
        <v>30</v>
      </c>
      <c r="H70" s="13" t="s">
        <v>34</v>
      </c>
      <c r="I70" s="12" t="n">
        <f aca="false">IFERROR(VLOOKUP(F70,Insumos!$C$5:$G$143,5,FALSE()),0)</f>
        <v>0.002</v>
      </c>
      <c r="J70" s="25" t="n">
        <f aca="false">IF(C70="bizcocho",VLOOKUP(A70,'Recetas y precios'!$A$5:$G$55,6,FALSE()),IF(C70="jarabe",VLOOKUP(A70,'Recetas y precios'!$A$5:$G$55,7,FALSE()),1))</f>
        <v>1</v>
      </c>
      <c r="K70" s="15" t="n">
        <f aca="false">G70*I70*J70</f>
        <v>0.06</v>
      </c>
    </row>
    <row r="71" customFormat="false" ht="15" hidden="false" customHeight="false" outlineLevel="0" collapsed="false">
      <c r="A71" s="0" t="n">
        <v>4</v>
      </c>
      <c r="B71" s="22" t="s">
        <v>446</v>
      </c>
      <c r="C71" s="13" t="s">
        <v>400</v>
      </c>
      <c r="D71" s="23" t="s">
        <v>458</v>
      </c>
      <c r="E71" s="23" t="s">
        <v>462</v>
      </c>
      <c r="F71" s="24" t="s">
        <v>99</v>
      </c>
      <c r="G71" s="19" t="n">
        <v>1</v>
      </c>
      <c r="H71" s="13" t="s">
        <v>27</v>
      </c>
      <c r="I71" s="12" t="n">
        <f aca="false">IFERROR(VLOOKUP(F71,Insumos!$C$5:$G$143,5,FALSE()),0)</f>
        <v>0.42</v>
      </c>
      <c r="J71" s="25" t="n">
        <f aca="false">IF(C71="bizcocho",VLOOKUP(A71,'Recetas y precios'!$A$5:$G$55,6,FALSE()),IF(C71="jarabe",VLOOKUP(A71,'Recetas y precios'!$A$5:$G$55,7,FALSE()),1))</f>
        <v>1</v>
      </c>
      <c r="K71" s="15" t="n">
        <f aca="false">G71*I71*J71</f>
        <v>0.42</v>
      </c>
    </row>
    <row r="72" customFormat="false" ht="15" hidden="false" customHeight="false" outlineLevel="0" collapsed="false">
      <c r="A72" s="0" t="n">
        <v>4</v>
      </c>
      <c r="B72" s="22" t="s">
        <v>446</v>
      </c>
      <c r="C72" s="13" t="s">
        <v>400</v>
      </c>
      <c r="D72" s="23" t="s">
        <v>463</v>
      </c>
      <c r="E72" s="23" t="s">
        <v>464</v>
      </c>
      <c r="F72" s="24" t="s">
        <v>72</v>
      </c>
      <c r="G72" s="19" t="n">
        <v>50</v>
      </c>
      <c r="H72" s="13" t="s">
        <v>27</v>
      </c>
      <c r="I72" s="12" t="n">
        <f aca="false">IFERROR(VLOOKUP(F72,Insumos!$C$5:$G$143,5,FALSE()),0)</f>
        <v>0.028</v>
      </c>
      <c r="J72" s="25" t="n">
        <f aca="false">IF(C72="bizcocho",VLOOKUP(A72,'Recetas y precios'!$A$5:$G$55,6,FALSE()),IF(C72="jarabe",VLOOKUP(A72,'Recetas y precios'!$A$5:$G$55,7,FALSE()),1))</f>
        <v>1</v>
      </c>
      <c r="K72" s="15" t="n">
        <f aca="false">G72*I72*J72</f>
        <v>1.4</v>
      </c>
    </row>
    <row r="73" customFormat="false" ht="15" hidden="false" customHeight="false" outlineLevel="0" collapsed="false">
      <c r="A73" s="0" t="n">
        <v>4</v>
      </c>
      <c r="B73" s="22" t="s">
        <v>446</v>
      </c>
      <c r="C73" s="13" t="s">
        <v>400</v>
      </c>
      <c r="D73" s="23" t="s">
        <v>463</v>
      </c>
      <c r="E73" s="23" t="s">
        <v>465</v>
      </c>
      <c r="F73" s="24" t="s">
        <v>82</v>
      </c>
      <c r="G73" s="19" t="n">
        <v>20</v>
      </c>
      <c r="H73" s="13" t="s">
        <v>27</v>
      </c>
      <c r="I73" s="12" t="n">
        <f aca="false">IFERROR(VLOOKUP(F73,Insumos!$C$5:$G$143,5,FALSE()),0)</f>
        <v>0.09</v>
      </c>
      <c r="J73" s="25" t="n">
        <f aca="false">IF(C73="bizcocho",VLOOKUP(A73,'Recetas y precios'!$A$5:$G$55,6,FALSE()),IF(C73="jarabe",VLOOKUP(A73,'Recetas y precios'!$A$5:$G$55,7,FALSE()),1))</f>
        <v>1</v>
      </c>
      <c r="K73" s="15" t="n">
        <f aca="false">G73*I73*J73</f>
        <v>1.8</v>
      </c>
    </row>
    <row r="74" customFormat="false" ht="15" hidden="false" customHeight="false" outlineLevel="0" collapsed="false">
      <c r="A74" s="0" t="n">
        <v>4</v>
      </c>
      <c r="B74" s="22" t="s">
        <v>446</v>
      </c>
      <c r="C74" s="13" t="s">
        <v>400</v>
      </c>
      <c r="D74" s="23" t="s">
        <v>463</v>
      </c>
      <c r="E74" s="23" t="s">
        <v>466</v>
      </c>
      <c r="F74" s="24" t="s">
        <v>113</v>
      </c>
      <c r="G74" s="19" t="n">
        <v>10</v>
      </c>
      <c r="H74" s="13" t="s">
        <v>34</v>
      </c>
      <c r="I74" s="12" t="n">
        <f aca="false">IFERROR(VLOOKUP(F74,Insumos!$C$5:$G$143,5,FALSE()),0)</f>
        <v>0.002</v>
      </c>
      <c r="J74" s="25" t="n">
        <f aca="false">IF(C74="bizcocho",VLOOKUP(A74,'Recetas y precios'!$A$5:$G$55,6,FALSE()),IF(C74="jarabe",VLOOKUP(A74,'Recetas y precios'!$A$5:$G$55,7,FALSE()),1))</f>
        <v>1</v>
      </c>
      <c r="K74" s="15" t="n">
        <f aca="false">G74*I74*J74</f>
        <v>0.02</v>
      </c>
    </row>
    <row r="75" customFormat="false" ht="15" hidden="false" customHeight="false" outlineLevel="0" collapsed="false">
      <c r="A75" s="0" t="n">
        <v>4</v>
      </c>
      <c r="B75" s="22" t="s">
        <v>446</v>
      </c>
      <c r="C75" s="13" t="s">
        <v>400</v>
      </c>
      <c r="D75" s="23" t="s">
        <v>463</v>
      </c>
      <c r="E75" s="23" t="s">
        <v>467</v>
      </c>
      <c r="F75" s="24" t="s">
        <v>97</v>
      </c>
      <c r="G75" s="19" t="n">
        <v>3</v>
      </c>
      <c r="H75" s="13" t="s">
        <v>27</v>
      </c>
      <c r="I75" s="12" t="n">
        <f aca="false">IFERROR(VLOOKUP(F75,Insumos!$C$5:$G$143,5,FALSE()),0)</f>
        <v>0.06</v>
      </c>
      <c r="J75" s="25" t="n">
        <f aca="false">IF(C75="bizcocho",VLOOKUP(A75,'Recetas y precios'!$A$5:$G$55,6,FALSE()),IF(C75="jarabe",VLOOKUP(A75,'Recetas y precios'!$A$5:$G$55,7,FALSE()),1))</f>
        <v>1</v>
      </c>
      <c r="K75" s="15" t="n">
        <f aca="false">G75*I75*J75</f>
        <v>0.18</v>
      </c>
    </row>
    <row r="76" customFormat="false" ht="15" hidden="false" customHeight="false" outlineLevel="0" collapsed="false">
      <c r="A76" s="0" t="n">
        <v>5</v>
      </c>
      <c r="B76" s="22" t="s">
        <v>468</v>
      </c>
      <c r="C76" s="13" t="s">
        <v>376</v>
      </c>
      <c r="D76" s="23" t="s">
        <v>469</v>
      </c>
      <c r="E76" s="23" t="s">
        <v>470</v>
      </c>
      <c r="F76" s="24" t="s">
        <v>59</v>
      </c>
      <c r="G76" s="19" t="n">
        <v>40</v>
      </c>
      <c r="H76" s="13" t="s">
        <v>27</v>
      </c>
      <c r="I76" s="12" t="n">
        <f aca="false">IFERROR(VLOOKUP(F76,Insumos!$C$5:$G$143,5,FALSE()),0)</f>
        <v>0.032</v>
      </c>
      <c r="J76" s="25" t="n">
        <f aca="false">IF(C76="bizcocho",VLOOKUP(A76,'Recetas y precios'!$A$5:$G$55,6,FALSE()),IF(C76="jarabe",VLOOKUP(A76,'Recetas y precios'!$A$5:$G$55,7,FALSE()),1))</f>
        <v>0.282</v>
      </c>
      <c r="K76" s="15" t="n">
        <f aca="false">G76*I76*J76</f>
        <v>0.36096</v>
      </c>
    </row>
    <row r="77" customFormat="false" ht="15" hidden="false" customHeight="false" outlineLevel="0" collapsed="false">
      <c r="A77" s="0" t="n">
        <v>5</v>
      </c>
      <c r="B77" s="22" t="s">
        <v>468</v>
      </c>
      <c r="C77" s="13" t="s">
        <v>376</v>
      </c>
      <c r="D77" s="23" t="s">
        <v>469</v>
      </c>
      <c r="E77" s="23" t="s">
        <v>471</v>
      </c>
      <c r="F77" s="24" t="s">
        <v>220</v>
      </c>
      <c r="G77" s="19" t="n">
        <v>18</v>
      </c>
      <c r="H77" s="13" t="s">
        <v>27</v>
      </c>
      <c r="I77" s="12" t="n">
        <f aca="false">IFERROR(VLOOKUP(F77,Insumos!$C$5:$G$143,5,FALSE()),0)</f>
        <v>0.52</v>
      </c>
      <c r="J77" s="25" t="n">
        <f aca="false">IF(C77="bizcocho",VLOOKUP(A77,'Recetas y precios'!$A$5:$G$55,6,FALSE()),IF(C77="jarabe",VLOOKUP(A77,'Recetas y precios'!$A$5:$G$55,7,FALSE()),1))</f>
        <v>0.282</v>
      </c>
      <c r="K77" s="15" t="n">
        <f aca="false">G77*I77*J77</f>
        <v>2.63952</v>
      </c>
    </row>
    <row r="78" customFormat="false" ht="15" hidden="false" customHeight="false" outlineLevel="0" collapsed="false">
      <c r="A78" s="0" t="n">
        <v>5</v>
      </c>
      <c r="B78" s="22" t="s">
        <v>468</v>
      </c>
      <c r="C78" s="13" t="s">
        <v>376</v>
      </c>
      <c r="D78" s="23" t="s">
        <v>469</v>
      </c>
      <c r="E78" s="23" t="s">
        <v>409</v>
      </c>
      <c r="F78" s="24" t="s">
        <v>48</v>
      </c>
      <c r="G78" s="19" t="n">
        <v>35</v>
      </c>
      <c r="H78" s="13" t="s">
        <v>27</v>
      </c>
      <c r="I78" s="12" t="n">
        <f aca="false">IFERROR(VLOOKUP(F78,Insumos!$C$5:$G$143,5,FALSE()),0)</f>
        <v>0.13</v>
      </c>
      <c r="J78" s="25" t="n">
        <f aca="false">IF(C78="bizcocho",VLOOKUP(A78,'Recetas y precios'!$A$5:$G$55,6,FALSE()),IF(C78="jarabe",VLOOKUP(A78,'Recetas y precios'!$A$5:$G$55,7,FALSE()),1))</f>
        <v>0.282</v>
      </c>
      <c r="K78" s="15" t="n">
        <f aca="false">G78*I78*J78</f>
        <v>1.2831</v>
      </c>
    </row>
    <row r="79" customFormat="false" ht="15" hidden="false" customHeight="false" outlineLevel="0" collapsed="false">
      <c r="A79" s="0" t="n">
        <v>5</v>
      </c>
      <c r="B79" s="22" t="s">
        <v>468</v>
      </c>
      <c r="C79" s="13" t="s">
        <v>376</v>
      </c>
      <c r="D79" s="23" t="s">
        <v>469</v>
      </c>
      <c r="E79" s="23" t="s">
        <v>410</v>
      </c>
      <c r="F79" s="24" t="s">
        <v>50</v>
      </c>
      <c r="G79" s="19" t="n">
        <v>75</v>
      </c>
      <c r="H79" s="13" t="s">
        <v>27</v>
      </c>
      <c r="I79" s="12" t="n">
        <f aca="false">IFERROR(VLOOKUP(F79,Insumos!$C$5:$G$143,5,FALSE()),0)</f>
        <v>0.075</v>
      </c>
      <c r="J79" s="25" t="n">
        <f aca="false">IF(C79="bizcocho",VLOOKUP(A79,'Recetas y precios'!$A$5:$G$55,6,FALSE()),IF(C79="jarabe",VLOOKUP(A79,'Recetas y precios'!$A$5:$G$55,7,FALSE()),1))</f>
        <v>0.282</v>
      </c>
      <c r="K79" s="15" t="n">
        <f aca="false">G79*I79*J79</f>
        <v>1.58625</v>
      </c>
    </row>
    <row r="80" customFormat="false" ht="15" hidden="false" customHeight="false" outlineLevel="0" collapsed="false">
      <c r="A80" s="0" t="n">
        <v>5</v>
      </c>
      <c r="B80" s="22" t="s">
        <v>468</v>
      </c>
      <c r="C80" s="13" t="s">
        <v>376</v>
      </c>
      <c r="D80" s="23" t="s">
        <v>469</v>
      </c>
      <c r="E80" s="23" t="s">
        <v>472</v>
      </c>
      <c r="F80" s="24" t="s">
        <v>72</v>
      </c>
      <c r="G80" s="19" t="n">
        <v>45</v>
      </c>
      <c r="H80" s="13" t="s">
        <v>27</v>
      </c>
      <c r="I80" s="12" t="n">
        <f aca="false">IFERROR(VLOOKUP(F80,Insumos!$C$5:$G$143,5,FALSE()),0)</f>
        <v>0.028</v>
      </c>
      <c r="J80" s="25" t="n">
        <f aca="false">IF(C80="bizcocho",VLOOKUP(A80,'Recetas y precios'!$A$5:$G$55,6,FALSE()),IF(C80="jarabe",VLOOKUP(A80,'Recetas y precios'!$A$5:$G$55,7,FALSE()),1))</f>
        <v>0.282</v>
      </c>
      <c r="K80" s="15" t="n">
        <f aca="false">G80*I80*J80</f>
        <v>0.35532</v>
      </c>
    </row>
    <row r="81" customFormat="false" ht="15" hidden="false" customHeight="false" outlineLevel="0" collapsed="false">
      <c r="A81" s="0" t="n">
        <v>5</v>
      </c>
      <c r="B81" s="22" t="s">
        <v>468</v>
      </c>
      <c r="C81" s="13" t="s">
        <v>376</v>
      </c>
      <c r="D81" s="23" t="s">
        <v>469</v>
      </c>
      <c r="E81" s="23" t="s">
        <v>473</v>
      </c>
      <c r="F81" s="24" t="s">
        <v>109</v>
      </c>
      <c r="G81" s="19" t="n">
        <v>30</v>
      </c>
      <c r="H81" s="13" t="s">
        <v>34</v>
      </c>
      <c r="I81" s="12" t="n">
        <f aca="false">IFERROR(VLOOKUP(F81,Insumos!$C$5:$G$143,5,FALSE()),0)</f>
        <v>0.045</v>
      </c>
      <c r="J81" s="25" t="n">
        <f aca="false">IF(C81="bizcocho",VLOOKUP(A81,'Recetas y precios'!$A$5:$G$55,6,FALSE()),IF(C81="jarabe",VLOOKUP(A81,'Recetas y precios'!$A$5:$G$55,7,FALSE()),1))</f>
        <v>0.282</v>
      </c>
      <c r="K81" s="15" t="n">
        <f aca="false">G81*I81*J81</f>
        <v>0.3807</v>
      </c>
    </row>
    <row r="82" customFormat="false" ht="15" hidden="false" customHeight="false" outlineLevel="0" collapsed="false">
      <c r="A82" s="0" t="n">
        <v>5</v>
      </c>
      <c r="B82" s="22" t="s">
        <v>468</v>
      </c>
      <c r="C82" s="13" t="s">
        <v>376</v>
      </c>
      <c r="D82" s="23" t="s">
        <v>469</v>
      </c>
      <c r="E82" s="23" t="s">
        <v>474</v>
      </c>
      <c r="F82" s="24" t="s">
        <v>40</v>
      </c>
      <c r="G82" s="19" t="n">
        <v>40</v>
      </c>
      <c r="H82" s="13" t="s">
        <v>34</v>
      </c>
      <c r="I82" s="12" t="n">
        <f aca="false">IFERROR(VLOOKUP(F82,Insumos!$C$5:$G$143,5,FALSE()),0)</f>
        <v>0.028</v>
      </c>
      <c r="J82" s="25" t="n">
        <f aca="false">IF(C82="bizcocho",VLOOKUP(A82,'Recetas y precios'!$A$5:$G$55,6,FALSE()),IF(C82="jarabe",VLOOKUP(A82,'Recetas y precios'!$A$5:$G$55,7,FALSE()),1))</f>
        <v>0.282</v>
      </c>
      <c r="K82" s="15" t="n">
        <f aca="false">G82*I82*J82</f>
        <v>0.31584</v>
      </c>
    </row>
    <row r="83" customFormat="false" ht="15" hidden="false" customHeight="false" outlineLevel="0" collapsed="false">
      <c r="A83" s="0" t="n">
        <v>5</v>
      </c>
      <c r="B83" s="22" t="s">
        <v>468</v>
      </c>
      <c r="C83" s="13" t="s">
        <v>376</v>
      </c>
      <c r="D83" s="23" t="s">
        <v>469</v>
      </c>
      <c r="E83" s="23" t="s">
        <v>413</v>
      </c>
      <c r="F83" s="24" t="s">
        <v>103</v>
      </c>
      <c r="G83" s="19" t="n">
        <v>1</v>
      </c>
      <c r="H83" s="13" t="s">
        <v>27</v>
      </c>
      <c r="I83" s="12" t="n">
        <f aca="false">IFERROR(VLOOKUP(F83,Insumos!$C$5:$G$143,5,FALSE()),0)</f>
        <v>0.025</v>
      </c>
      <c r="J83" s="25" t="n">
        <f aca="false">IF(C83="bizcocho",VLOOKUP(A83,'Recetas y precios'!$A$5:$G$55,6,FALSE()),IF(C83="jarabe",VLOOKUP(A83,'Recetas y precios'!$A$5:$G$55,7,FALSE()),1))</f>
        <v>0.282</v>
      </c>
      <c r="K83" s="15" t="n">
        <f aca="false">G83*I83*J83</f>
        <v>0.00705</v>
      </c>
    </row>
    <row r="84" customFormat="false" ht="15" hidden="false" customHeight="false" outlineLevel="0" collapsed="false">
      <c r="A84" s="0" t="n">
        <v>5</v>
      </c>
      <c r="B84" s="22" t="s">
        <v>468</v>
      </c>
      <c r="C84" s="13" t="s">
        <v>387</v>
      </c>
      <c r="D84" s="23" t="s">
        <v>475</v>
      </c>
      <c r="E84" s="23" t="s">
        <v>476</v>
      </c>
      <c r="F84" s="24" t="s">
        <v>116</v>
      </c>
      <c r="G84" s="19" t="n">
        <v>50</v>
      </c>
      <c r="H84" s="13" t="s">
        <v>34</v>
      </c>
      <c r="I84" s="12" t="n">
        <f aca="false">IFERROR(VLOOKUP(F84,Insumos!$C$5:$G$143,5,FALSE()),0)</f>
        <v>0.145</v>
      </c>
      <c r="J84" s="25" t="n">
        <f aca="false">IF(C84="bizcocho",VLOOKUP(A84,'Recetas y precios'!$A$5:$G$55,6,FALSE()),IF(C84="jarabe",VLOOKUP(A84,'Recetas y precios'!$A$5:$G$55,7,FALSE()),1))</f>
        <v>0.737</v>
      </c>
      <c r="K84" s="15" t="n">
        <f aca="false">G84*I84*J84</f>
        <v>5.34325</v>
      </c>
    </row>
    <row r="85" customFormat="false" ht="15" hidden="false" customHeight="false" outlineLevel="0" collapsed="false">
      <c r="A85" s="0" t="n">
        <v>5</v>
      </c>
      <c r="B85" s="22" t="s">
        <v>468</v>
      </c>
      <c r="C85" s="13" t="s">
        <v>387</v>
      </c>
      <c r="D85" s="23" t="s">
        <v>475</v>
      </c>
      <c r="E85" s="23" t="s">
        <v>390</v>
      </c>
      <c r="F85" s="24" t="s">
        <v>113</v>
      </c>
      <c r="G85" s="19" t="n">
        <v>20</v>
      </c>
      <c r="H85" s="13" t="s">
        <v>34</v>
      </c>
      <c r="I85" s="12" t="n">
        <f aca="false">IFERROR(VLOOKUP(F85,Insumos!$C$5:$G$143,5,FALSE()),0)</f>
        <v>0.002</v>
      </c>
      <c r="J85" s="25" t="n">
        <f aca="false">IF(C85="bizcocho",VLOOKUP(A85,'Recetas y precios'!$A$5:$G$55,6,FALSE()),IF(C85="jarabe",VLOOKUP(A85,'Recetas y precios'!$A$5:$G$55,7,FALSE()),1))</f>
        <v>0.737</v>
      </c>
      <c r="K85" s="15" t="n">
        <f aca="false">G85*I85*J85</f>
        <v>0.02948</v>
      </c>
    </row>
    <row r="86" customFormat="false" ht="15" hidden="false" customHeight="false" outlineLevel="0" collapsed="false">
      <c r="A86" s="0" t="n">
        <v>5</v>
      </c>
      <c r="B86" s="22" t="s">
        <v>468</v>
      </c>
      <c r="C86" s="13" t="s">
        <v>387</v>
      </c>
      <c r="D86" s="23" t="s">
        <v>475</v>
      </c>
      <c r="E86" s="23" t="s">
        <v>391</v>
      </c>
      <c r="F86" s="24" t="s">
        <v>72</v>
      </c>
      <c r="G86" s="19" t="n">
        <v>15</v>
      </c>
      <c r="H86" s="13" t="s">
        <v>27</v>
      </c>
      <c r="I86" s="12" t="n">
        <f aca="false">IFERROR(VLOOKUP(F86,Insumos!$C$5:$G$143,5,FALSE()),0)</f>
        <v>0.028</v>
      </c>
      <c r="J86" s="25" t="n">
        <f aca="false">IF(C86="bizcocho",VLOOKUP(A86,'Recetas y precios'!$A$5:$G$55,6,FALSE()),IF(C86="jarabe",VLOOKUP(A86,'Recetas y precios'!$A$5:$G$55,7,FALSE()),1))</f>
        <v>0.737</v>
      </c>
      <c r="K86" s="15" t="n">
        <f aca="false">G86*I86*J86</f>
        <v>0.30954</v>
      </c>
    </row>
    <row r="87" customFormat="false" ht="15" hidden="false" customHeight="false" outlineLevel="0" collapsed="false">
      <c r="A87" s="0" t="n">
        <v>5</v>
      </c>
      <c r="B87" s="22" t="s">
        <v>468</v>
      </c>
      <c r="C87" s="13" t="s">
        <v>387</v>
      </c>
      <c r="D87" s="23" t="s">
        <v>475</v>
      </c>
      <c r="E87" s="23" t="s">
        <v>477</v>
      </c>
      <c r="F87" s="24" t="s">
        <v>315</v>
      </c>
      <c r="G87" s="19" t="n">
        <v>10</v>
      </c>
      <c r="H87" s="13" t="s">
        <v>34</v>
      </c>
      <c r="I87" s="12" t="n">
        <f aca="false">IFERROR(VLOOKUP(F87,Insumos!$C$5:$G$143,5,FALSE()),0)</f>
        <v>0.533333333333333</v>
      </c>
      <c r="J87" s="25" t="n">
        <f aca="false">IF(C87="bizcocho",VLOOKUP(A87,'Recetas y precios'!$A$5:$G$55,6,FALSE()),IF(C87="jarabe",VLOOKUP(A87,'Recetas y precios'!$A$5:$G$55,7,FALSE()),1))</f>
        <v>0.737</v>
      </c>
      <c r="K87" s="15" t="n">
        <f aca="false">G87*I87*J87</f>
        <v>3.93066666666667</v>
      </c>
    </row>
    <row r="88" customFormat="false" ht="15" hidden="false" customHeight="false" outlineLevel="0" collapsed="false">
      <c r="A88" s="0" t="n">
        <v>5</v>
      </c>
      <c r="B88" s="22" t="s">
        <v>468</v>
      </c>
      <c r="C88" s="13" t="s">
        <v>393</v>
      </c>
      <c r="D88" s="23" t="s">
        <v>478</v>
      </c>
      <c r="E88" s="23" t="s">
        <v>479</v>
      </c>
      <c r="F88" s="24" t="s">
        <v>26</v>
      </c>
      <c r="G88" s="19" t="n">
        <v>180</v>
      </c>
      <c r="H88" s="13" t="s">
        <v>27</v>
      </c>
      <c r="I88" s="12" t="n">
        <f aca="false">IFERROR(VLOOKUP(F88,Insumos!$C$5:$G$143,5,FALSE()),0)</f>
        <v>0.38</v>
      </c>
      <c r="J88" s="25" t="n">
        <f aca="false">IF(C88="bizcocho",VLOOKUP(A88,'Recetas y precios'!$A$5:$G$55,6,FALSE()),IF(C88="jarabe",VLOOKUP(A88,'Recetas y precios'!$A$5:$G$55,7,FALSE()),1))</f>
        <v>1</v>
      </c>
      <c r="K88" s="15" t="n">
        <f aca="false">G88*I88*J88</f>
        <v>68.4</v>
      </c>
    </row>
    <row r="89" customFormat="false" ht="15" hidden="false" customHeight="false" outlineLevel="0" collapsed="false">
      <c r="A89" s="0" t="n">
        <v>5</v>
      </c>
      <c r="B89" s="22" t="s">
        <v>468</v>
      </c>
      <c r="C89" s="13" t="s">
        <v>393</v>
      </c>
      <c r="D89" s="23" t="s">
        <v>478</v>
      </c>
      <c r="E89" s="23" t="s">
        <v>480</v>
      </c>
      <c r="F89" s="24" t="s">
        <v>33</v>
      </c>
      <c r="G89" s="19" t="n">
        <v>200</v>
      </c>
      <c r="H89" s="13" t="s">
        <v>34</v>
      </c>
      <c r="I89" s="12" t="n">
        <f aca="false">IFERROR(VLOOKUP(F89,Insumos!$C$5:$G$143,5,FALSE()),0)</f>
        <v>0.078</v>
      </c>
      <c r="J89" s="25" t="n">
        <f aca="false">IF(C89="bizcocho",VLOOKUP(A89,'Recetas y precios'!$A$5:$G$55,6,FALSE()),IF(C89="jarabe",VLOOKUP(A89,'Recetas y precios'!$A$5:$G$55,7,FALSE()),1))</f>
        <v>1</v>
      </c>
      <c r="K89" s="15" t="n">
        <f aca="false">G89*I89*J89</f>
        <v>15.6</v>
      </c>
    </row>
    <row r="90" customFormat="false" ht="15" hidden="false" customHeight="false" outlineLevel="0" collapsed="false">
      <c r="A90" s="0" t="n">
        <v>5</v>
      </c>
      <c r="B90" s="22" t="s">
        <v>468</v>
      </c>
      <c r="C90" s="13" t="s">
        <v>393</v>
      </c>
      <c r="D90" s="23" t="s">
        <v>478</v>
      </c>
      <c r="E90" s="23" t="s">
        <v>455</v>
      </c>
      <c r="F90" s="24" t="s">
        <v>36</v>
      </c>
      <c r="G90" s="19" t="n">
        <v>40</v>
      </c>
      <c r="H90" s="13" t="s">
        <v>27</v>
      </c>
      <c r="I90" s="12" t="n">
        <f aca="false">IFERROR(VLOOKUP(F90,Insumos!$C$5:$G$143,5,FALSE()),0)</f>
        <v>0.085</v>
      </c>
      <c r="J90" s="25" t="n">
        <f aca="false">IF(C90="bizcocho",VLOOKUP(A90,'Recetas y precios'!$A$5:$G$55,6,FALSE()),IF(C90="jarabe",VLOOKUP(A90,'Recetas y precios'!$A$5:$G$55,7,FALSE()),1))</f>
        <v>1</v>
      </c>
      <c r="K90" s="15" t="n">
        <f aca="false">G90*I90*J90</f>
        <v>3.4</v>
      </c>
    </row>
    <row r="91" customFormat="false" ht="15" hidden="false" customHeight="false" outlineLevel="0" collapsed="false">
      <c r="A91" s="0" t="n">
        <v>5</v>
      </c>
      <c r="B91" s="22" t="s">
        <v>468</v>
      </c>
      <c r="C91" s="13" t="s">
        <v>393</v>
      </c>
      <c r="D91" s="23" t="s">
        <v>478</v>
      </c>
      <c r="E91" s="23" t="s">
        <v>445</v>
      </c>
      <c r="F91" s="24" t="s">
        <v>74</v>
      </c>
      <c r="G91" s="19" t="n">
        <v>25</v>
      </c>
      <c r="H91" s="13" t="s">
        <v>27</v>
      </c>
      <c r="I91" s="12" t="n">
        <f aca="false">IFERROR(VLOOKUP(F91,Insumos!$C$5:$G$143,5,FALSE()),0)</f>
        <v>0.045</v>
      </c>
      <c r="J91" s="25" t="n">
        <f aca="false">IF(C91="bizcocho",VLOOKUP(A91,'Recetas y precios'!$A$5:$G$55,6,FALSE()),IF(C91="jarabe",VLOOKUP(A91,'Recetas y precios'!$A$5:$G$55,7,FALSE()),1))</f>
        <v>1</v>
      </c>
      <c r="K91" s="15" t="n">
        <f aca="false">G91*I91*J91</f>
        <v>1.125</v>
      </c>
    </row>
    <row r="92" customFormat="false" ht="15" hidden="false" customHeight="false" outlineLevel="0" collapsed="false">
      <c r="A92" s="0" t="n">
        <v>5</v>
      </c>
      <c r="B92" s="22" t="s">
        <v>468</v>
      </c>
      <c r="C92" s="13" t="s">
        <v>393</v>
      </c>
      <c r="D92" s="23" t="s">
        <v>478</v>
      </c>
      <c r="E92" s="23" t="s">
        <v>481</v>
      </c>
      <c r="F92" s="24" t="s">
        <v>105</v>
      </c>
      <c r="G92" s="19" t="n">
        <v>3</v>
      </c>
      <c r="H92" s="13" t="s">
        <v>27</v>
      </c>
      <c r="I92" s="12" t="n">
        <f aca="false">IFERROR(VLOOKUP(F92,Insumos!$C$5:$G$143,5,FALSE()),0)</f>
        <v>0.72</v>
      </c>
      <c r="J92" s="25" t="n">
        <f aca="false">IF(C92="bizcocho",VLOOKUP(A92,'Recetas y precios'!$A$5:$G$55,6,FALSE()),IF(C92="jarabe",VLOOKUP(A92,'Recetas y precios'!$A$5:$G$55,7,FALSE()),1))</f>
        <v>1</v>
      </c>
      <c r="K92" s="15" t="n">
        <f aca="false">G92*I92*J92</f>
        <v>2.16</v>
      </c>
    </row>
    <row r="93" customFormat="false" ht="15" hidden="false" customHeight="false" outlineLevel="0" collapsed="false">
      <c r="A93" s="0" t="n">
        <v>5</v>
      </c>
      <c r="B93" s="22" t="s">
        <v>468</v>
      </c>
      <c r="C93" s="13" t="s">
        <v>393</v>
      </c>
      <c r="D93" s="23" t="s">
        <v>482</v>
      </c>
      <c r="E93" s="23" t="s">
        <v>483</v>
      </c>
      <c r="F93" s="24" t="s">
        <v>210</v>
      </c>
      <c r="G93" s="19" t="n">
        <v>50</v>
      </c>
      <c r="H93" s="13" t="s">
        <v>27</v>
      </c>
      <c r="I93" s="12" t="n">
        <f aca="false">IFERROR(VLOOKUP(F93,Insumos!$C$5:$G$143,5,FALSE()),0)</f>
        <v>0.32</v>
      </c>
      <c r="J93" s="25" t="n">
        <f aca="false">IF(C93="bizcocho",VLOOKUP(A93,'Recetas y precios'!$A$5:$G$55,6,FALSE()),IF(C93="jarabe",VLOOKUP(A93,'Recetas y precios'!$A$5:$G$55,7,FALSE()),1))</f>
        <v>1</v>
      </c>
      <c r="K93" s="15" t="n">
        <f aca="false">G93*I93*J93</f>
        <v>16</v>
      </c>
    </row>
    <row r="94" customFormat="false" ht="15" hidden="false" customHeight="false" outlineLevel="0" collapsed="false">
      <c r="A94" s="0" t="n">
        <v>5</v>
      </c>
      <c r="B94" s="22" t="s">
        <v>468</v>
      </c>
      <c r="C94" s="13" t="s">
        <v>393</v>
      </c>
      <c r="D94" s="23" t="s">
        <v>482</v>
      </c>
      <c r="E94" s="23" t="s">
        <v>484</v>
      </c>
      <c r="F94" s="24" t="s">
        <v>33</v>
      </c>
      <c r="G94" s="19" t="n">
        <v>50</v>
      </c>
      <c r="H94" s="13" t="s">
        <v>34</v>
      </c>
      <c r="I94" s="12" t="n">
        <f aca="false">IFERROR(VLOOKUP(F94,Insumos!$C$5:$G$143,5,FALSE()),0)</f>
        <v>0.078</v>
      </c>
      <c r="J94" s="25" t="n">
        <f aca="false">IF(C94="bizcocho",VLOOKUP(A94,'Recetas y precios'!$A$5:$G$55,6,FALSE()),IF(C94="jarabe",VLOOKUP(A94,'Recetas y precios'!$A$5:$G$55,7,FALSE()),1))</f>
        <v>1</v>
      </c>
      <c r="K94" s="15" t="n">
        <f aca="false">G94*I94*J94</f>
        <v>3.9</v>
      </c>
    </row>
    <row r="95" customFormat="false" ht="15" hidden="false" customHeight="false" outlineLevel="0" collapsed="false">
      <c r="A95" s="0" t="n">
        <v>5</v>
      </c>
      <c r="B95" s="22" t="s">
        <v>468</v>
      </c>
      <c r="C95" s="13" t="s">
        <v>393</v>
      </c>
      <c r="D95" s="23" t="s">
        <v>482</v>
      </c>
      <c r="E95" s="23" t="s">
        <v>485</v>
      </c>
      <c r="F95" s="24" t="s">
        <v>82</v>
      </c>
      <c r="G95" s="19" t="n">
        <v>10</v>
      </c>
      <c r="H95" s="13" t="s">
        <v>27</v>
      </c>
      <c r="I95" s="12" t="n">
        <f aca="false">IFERROR(VLOOKUP(F95,Insumos!$C$5:$G$143,5,FALSE()),0)</f>
        <v>0.09</v>
      </c>
      <c r="J95" s="25" t="n">
        <f aca="false">IF(C95="bizcocho",VLOOKUP(A95,'Recetas y precios'!$A$5:$G$55,6,FALSE()),IF(C95="jarabe",VLOOKUP(A95,'Recetas y precios'!$A$5:$G$55,7,FALSE()),1))</f>
        <v>1</v>
      </c>
      <c r="K95" s="15" t="n">
        <f aca="false">G95*I95*J95</f>
        <v>0.9</v>
      </c>
    </row>
    <row r="96" customFormat="false" ht="15" hidden="false" customHeight="false" outlineLevel="0" collapsed="false">
      <c r="A96" s="0" t="n">
        <v>5</v>
      </c>
      <c r="B96" s="22" t="s">
        <v>468</v>
      </c>
      <c r="C96" s="13" t="s">
        <v>400</v>
      </c>
      <c r="D96" s="23" t="s">
        <v>486</v>
      </c>
      <c r="E96" s="23" t="s">
        <v>487</v>
      </c>
      <c r="F96" s="24" t="s">
        <v>218</v>
      </c>
      <c r="G96" s="19" t="n">
        <v>6</v>
      </c>
      <c r="H96" s="13" t="s">
        <v>27</v>
      </c>
      <c r="I96" s="12" t="n">
        <f aca="false">IFERROR(VLOOKUP(F96,Insumos!$C$5:$G$143,5,FALSE()),0)</f>
        <v>0.42</v>
      </c>
      <c r="J96" s="25" t="n">
        <f aca="false">IF(C96="bizcocho",VLOOKUP(A96,'Recetas y precios'!$A$5:$G$55,6,FALSE()),IF(C96="jarabe",VLOOKUP(A96,'Recetas y precios'!$A$5:$G$55,7,FALSE()),1))</f>
        <v>1</v>
      </c>
      <c r="K96" s="15" t="n">
        <f aca="false">G96*I96*J96</f>
        <v>2.52</v>
      </c>
    </row>
    <row r="97" customFormat="false" ht="15" hidden="false" customHeight="false" outlineLevel="0" collapsed="false">
      <c r="A97" s="0" t="n">
        <v>5</v>
      </c>
      <c r="B97" s="22" t="s">
        <v>468</v>
      </c>
      <c r="C97" s="13" t="s">
        <v>400</v>
      </c>
      <c r="D97" s="23" t="s">
        <v>486</v>
      </c>
      <c r="E97" s="23" t="s">
        <v>488</v>
      </c>
      <c r="F97" s="24" t="s">
        <v>222</v>
      </c>
      <c r="G97" s="19" t="n">
        <v>10</v>
      </c>
      <c r="H97" s="13" t="s">
        <v>27</v>
      </c>
      <c r="I97" s="12" t="n">
        <f aca="false">IFERROR(VLOOKUP(F97,Insumos!$C$5:$G$143,5,FALSE()),0)</f>
        <v>0.38</v>
      </c>
      <c r="J97" s="25" t="n">
        <f aca="false">IF(C97="bizcocho",VLOOKUP(A97,'Recetas y precios'!$A$5:$G$55,6,FALSE()),IF(C97="jarabe",VLOOKUP(A97,'Recetas y precios'!$A$5:$G$55,7,FALSE()),1))</f>
        <v>1</v>
      </c>
      <c r="K97" s="15" t="n">
        <f aca="false">G97*I97*J97</f>
        <v>3.8</v>
      </c>
    </row>
    <row r="98" customFormat="false" ht="15" hidden="false" customHeight="false" outlineLevel="0" collapsed="false">
      <c r="A98" s="0" t="n">
        <v>5</v>
      </c>
      <c r="B98" s="22" t="s">
        <v>468</v>
      </c>
      <c r="C98" s="13" t="s">
        <v>400</v>
      </c>
      <c r="D98" s="23" t="s">
        <v>486</v>
      </c>
      <c r="E98" s="23" t="s">
        <v>489</v>
      </c>
      <c r="F98" s="24" t="s">
        <v>105</v>
      </c>
      <c r="G98" s="19" t="n">
        <v>2</v>
      </c>
      <c r="H98" s="13" t="s">
        <v>27</v>
      </c>
      <c r="I98" s="12" t="n">
        <f aca="false">IFERROR(VLOOKUP(F98,Insumos!$C$5:$G$143,5,FALSE()),0)</f>
        <v>0.72</v>
      </c>
      <c r="J98" s="25" t="n">
        <f aca="false">IF(C98="bizcocho",VLOOKUP(A98,'Recetas y precios'!$A$5:$G$55,6,FALSE()),IF(C98="jarabe",VLOOKUP(A98,'Recetas y precios'!$A$5:$G$55,7,FALSE()),1))</f>
        <v>1</v>
      </c>
      <c r="K98" s="15" t="n">
        <f aca="false">G98*I98*J98</f>
        <v>1.44</v>
      </c>
    </row>
    <row r="99" customFormat="false" ht="15" hidden="false" customHeight="false" outlineLevel="0" collapsed="false">
      <c r="A99" s="0" t="n">
        <v>6</v>
      </c>
      <c r="B99" s="22" t="s">
        <v>490</v>
      </c>
      <c r="C99" s="13" t="s">
        <v>376</v>
      </c>
      <c r="D99" s="23" t="s">
        <v>491</v>
      </c>
      <c r="E99" s="23" t="s">
        <v>492</v>
      </c>
      <c r="F99" s="24" t="s">
        <v>59</v>
      </c>
      <c r="G99" s="19" t="n">
        <v>60</v>
      </c>
      <c r="H99" s="13" t="s">
        <v>27</v>
      </c>
      <c r="I99" s="12" t="n">
        <f aca="false">IFERROR(VLOOKUP(F99,Insumos!$C$5:$G$143,5,FALSE()),0)</f>
        <v>0.032</v>
      </c>
      <c r="J99" s="25" t="n">
        <f aca="false">IF(C99="bizcocho",VLOOKUP(A99,'Recetas y precios'!$A$5:$G$55,6,FALSE()),IF(C99="jarabe",VLOOKUP(A99,'Recetas y precios'!$A$5:$G$55,7,FALSE()),1))</f>
        <v>0.309</v>
      </c>
      <c r="K99" s="15" t="n">
        <f aca="false">G99*I99*J99</f>
        <v>0.59328</v>
      </c>
    </row>
    <row r="100" customFormat="false" ht="15" hidden="false" customHeight="false" outlineLevel="0" collapsed="false">
      <c r="A100" s="0" t="n">
        <v>6</v>
      </c>
      <c r="B100" s="22" t="s">
        <v>490</v>
      </c>
      <c r="C100" s="13" t="s">
        <v>376</v>
      </c>
      <c r="D100" s="23" t="s">
        <v>491</v>
      </c>
      <c r="E100" s="23" t="s">
        <v>493</v>
      </c>
      <c r="F100" s="24" t="s">
        <v>48</v>
      </c>
      <c r="G100" s="19" t="n">
        <v>40</v>
      </c>
      <c r="H100" s="13" t="s">
        <v>27</v>
      </c>
      <c r="I100" s="12" t="n">
        <f aca="false">IFERROR(VLOOKUP(F100,Insumos!$C$5:$G$143,5,FALSE()),0)</f>
        <v>0.13</v>
      </c>
      <c r="J100" s="25" t="n">
        <f aca="false">IF(C100="bizcocho",VLOOKUP(A100,'Recetas y precios'!$A$5:$G$55,6,FALSE()),IF(C100="jarabe",VLOOKUP(A100,'Recetas y precios'!$A$5:$G$55,7,FALSE()),1))</f>
        <v>0.309</v>
      </c>
      <c r="K100" s="15" t="n">
        <f aca="false">G100*I100*J100</f>
        <v>1.6068</v>
      </c>
    </row>
    <row r="101" customFormat="false" ht="15" hidden="false" customHeight="false" outlineLevel="0" collapsed="false">
      <c r="A101" s="0" t="n">
        <v>6</v>
      </c>
      <c r="B101" s="22" t="s">
        <v>490</v>
      </c>
      <c r="C101" s="13" t="s">
        <v>376</v>
      </c>
      <c r="D101" s="23" t="s">
        <v>491</v>
      </c>
      <c r="E101" s="23" t="s">
        <v>494</v>
      </c>
      <c r="F101" s="24" t="s">
        <v>50</v>
      </c>
      <c r="G101" s="19" t="n">
        <v>80</v>
      </c>
      <c r="H101" s="13" t="s">
        <v>27</v>
      </c>
      <c r="I101" s="12" t="n">
        <f aca="false">IFERROR(VLOOKUP(F101,Insumos!$C$5:$G$143,5,FALSE()),0)</f>
        <v>0.075</v>
      </c>
      <c r="J101" s="25" t="n">
        <f aca="false">IF(C101="bizcocho",VLOOKUP(A101,'Recetas y precios'!$A$5:$G$55,6,FALSE()),IF(C101="jarabe",VLOOKUP(A101,'Recetas y precios'!$A$5:$G$55,7,FALSE()),1))</f>
        <v>0.309</v>
      </c>
      <c r="K101" s="15" t="n">
        <f aca="false">G101*I101*J101</f>
        <v>1.854</v>
      </c>
    </row>
    <row r="102" customFormat="false" ht="15" hidden="false" customHeight="false" outlineLevel="0" collapsed="false">
      <c r="A102" s="0" t="n">
        <v>6</v>
      </c>
      <c r="B102" s="22" t="s">
        <v>490</v>
      </c>
      <c r="C102" s="13" t="s">
        <v>376</v>
      </c>
      <c r="D102" s="23" t="s">
        <v>491</v>
      </c>
      <c r="E102" s="23" t="s">
        <v>495</v>
      </c>
      <c r="F102" s="24" t="s">
        <v>76</v>
      </c>
      <c r="G102" s="19" t="n">
        <v>45</v>
      </c>
      <c r="H102" s="13" t="s">
        <v>27</v>
      </c>
      <c r="I102" s="12" t="n">
        <f aca="false">IFERROR(VLOOKUP(F102,Insumos!$C$5:$G$143,5,FALSE()),0)</f>
        <v>0.06</v>
      </c>
      <c r="J102" s="25" t="n">
        <f aca="false">IF(C102="bizcocho",VLOOKUP(A102,'Recetas y precios'!$A$5:$G$55,6,FALSE()),IF(C102="jarabe",VLOOKUP(A102,'Recetas y precios'!$A$5:$G$55,7,FALSE()),1))</f>
        <v>0.309</v>
      </c>
      <c r="K102" s="15" t="n">
        <f aca="false">G102*I102*J102</f>
        <v>0.8343</v>
      </c>
    </row>
    <row r="103" customFormat="false" ht="15" hidden="false" customHeight="false" outlineLevel="0" collapsed="false">
      <c r="A103" s="0" t="n">
        <v>6</v>
      </c>
      <c r="B103" s="22" t="s">
        <v>490</v>
      </c>
      <c r="C103" s="13" t="s">
        <v>376</v>
      </c>
      <c r="D103" s="23" t="s">
        <v>491</v>
      </c>
      <c r="E103" s="23" t="s">
        <v>496</v>
      </c>
      <c r="F103" s="24" t="s">
        <v>109</v>
      </c>
      <c r="G103" s="19" t="n">
        <v>30</v>
      </c>
      <c r="H103" s="13" t="s">
        <v>34</v>
      </c>
      <c r="I103" s="12" t="n">
        <f aca="false">IFERROR(VLOOKUP(F103,Insumos!$C$5:$G$143,5,FALSE()),0)</f>
        <v>0.045</v>
      </c>
      <c r="J103" s="25" t="n">
        <f aca="false">IF(C103="bizcocho",VLOOKUP(A103,'Recetas y precios'!$A$5:$G$55,6,FALSE()),IF(C103="jarabe",VLOOKUP(A103,'Recetas y precios'!$A$5:$G$55,7,FALSE()),1))</f>
        <v>0.309</v>
      </c>
      <c r="K103" s="15" t="n">
        <f aca="false">G103*I103*J103</f>
        <v>0.41715</v>
      </c>
    </row>
    <row r="104" customFormat="false" ht="15" hidden="false" customHeight="false" outlineLevel="0" collapsed="false">
      <c r="A104" s="0" t="n">
        <v>6</v>
      </c>
      <c r="B104" s="22" t="s">
        <v>490</v>
      </c>
      <c r="C104" s="13" t="s">
        <v>376</v>
      </c>
      <c r="D104" s="23" t="s">
        <v>491</v>
      </c>
      <c r="E104" s="23" t="s">
        <v>383</v>
      </c>
      <c r="F104" s="24" t="s">
        <v>40</v>
      </c>
      <c r="G104" s="19" t="n">
        <v>35</v>
      </c>
      <c r="H104" s="13" t="s">
        <v>34</v>
      </c>
      <c r="I104" s="12" t="n">
        <f aca="false">IFERROR(VLOOKUP(F104,Insumos!$C$5:$G$143,5,FALSE()),0)</f>
        <v>0.028</v>
      </c>
      <c r="J104" s="25" t="n">
        <f aca="false">IF(C104="bizcocho",VLOOKUP(A104,'Recetas y precios'!$A$5:$G$55,6,FALSE()),IF(C104="jarabe",VLOOKUP(A104,'Recetas y precios'!$A$5:$G$55,7,FALSE()),1))</f>
        <v>0.309</v>
      </c>
      <c r="K104" s="15" t="n">
        <f aca="false">G104*I104*J104</f>
        <v>0.30282</v>
      </c>
    </row>
    <row r="105" customFormat="false" ht="15" hidden="false" customHeight="false" outlineLevel="0" collapsed="false">
      <c r="A105" s="0" t="n">
        <v>6</v>
      </c>
      <c r="B105" s="22" t="s">
        <v>490</v>
      </c>
      <c r="C105" s="13" t="s">
        <v>376</v>
      </c>
      <c r="D105" s="23" t="s">
        <v>491</v>
      </c>
      <c r="E105" s="23" t="s">
        <v>385</v>
      </c>
      <c r="F105" s="24" t="s">
        <v>103</v>
      </c>
      <c r="G105" s="19" t="n">
        <v>1</v>
      </c>
      <c r="H105" s="13" t="s">
        <v>27</v>
      </c>
      <c r="I105" s="12" t="n">
        <f aca="false">IFERROR(VLOOKUP(F105,Insumos!$C$5:$G$143,5,FALSE()),0)</f>
        <v>0.025</v>
      </c>
      <c r="J105" s="25" t="n">
        <f aca="false">IF(C105="bizcocho",VLOOKUP(A105,'Recetas y precios'!$A$5:$G$55,6,FALSE()),IF(C105="jarabe",VLOOKUP(A105,'Recetas y precios'!$A$5:$G$55,7,FALSE()),1))</f>
        <v>0.309</v>
      </c>
      <c r="K105" s="15" t="n">
        <f aca="false">G105*I105*J105</f>
        <v>0.007725</v>
      </c>
    </row>
    <row r="106" customFormat="false" ht="15" hidden="false" customHeight="false" outlineLevel="0" collapsed="false">
      <c r="A106" s="0" t="n">
        <v>6</v>
      </c>
      <c r="B106" s="22" t="s">
        <v>490</v>
      </c>
      <c r="C106" s="13" t="s">
        <v>387</v>
      </c>
      <c r="D106" s="23" t="s">
        <v>497</v>
      </c>
      <c r="E106" s="23" t="s">
        <v>498</v>
      </c>
      <c r="F106" s="24" t="s">
        <v>116</v>
      </c>
      <c r="G106" s="19" t="n">
        <v>50</v>
      </c>
      <c r="H106" s="13" t="s">
        <v>34</v>
      </c>
      <c r="I106" s="12" t="n">
        <f aca="false">IFERROR(VLOOKUP(F106,Insumos!$C$5:$G$143,5,FALSE()),0)</f>
        <v>0.145</v>
      </c>
      <c r="J106" s="25" t="n">
        <f aca="false">IF(C106="bizcocho",VLOOKUP(A106,'Recetas y precios'!$A$5:$G$55,6,FALSE()),IF(C106="jarabe",VLOOKUP(A106,'Recetas y precios'!$A$5:$G$55,7,FALSE()),1))</f>
        <v>0.789</v>
      </c>
      <c r="K106" s="15" t="n">
        <f aca="false">G106*I106*J106</f>
        <v>5.72025</v>
      </c>
    </row>
    <row r="107" customFormat="false" ht="15" hidden="false" customHeight="false" outlineLevel="0" collapsed="false">
      <c r="A107" s="0" t="n">
        <v>6</v>
      </c>
      <c r="B107" s="22" t="s">
        <v>490</v>
      </c>
      <c r="C107" s="13" t="s">
        <v>387</v>
      </c>
      <c r="D107" s="23" t="s">
        <v>497</v>
      </c>
      <c r="E107" s="23" t="s">
        <v>499</v>
      </c>
      <c r="F107" s="24" t="s">
        <v>113</v>
      </c>
      <c r="G107" s="19" t="n">
        <v>25</v>
      </c>
      <c r="H107" s="13" t="s">
        <v>34</v>
      </c>
      <c r="I107" s="12" t="n">
        <f aca="false">IFERROR(VLOOKUP(F107,Insumos!$C$5:$G$143,5,FALSE()),0)</f>
        <v>0.002</v>
      </c>
      <c r="J107" s="25" t="n">
        <f aca="false">IF(C107="bizcocho",VLOOKUP(A107,'Recetas y precios'!$A$5:$G$55,6,FALSE()),IF(C107="jarabe",VLOOKUP(A107,'Recetas y precios'!$A$5:$G$55,7,FALSE()),1))</f>
        <v>0.789</v>
      </c>
      <c r="K107" s="15" t="n">
        <f aca="false">G107*I107*J107</f>
        <v>0.03945</v>
      </c>
    </row>
    <row r="108" customFormat="false" ht="15" hidden="false" customHeight="false" outlineLevel="0" collapsed="false">
      <c r="A108" s="0" t="n">
        <v>6</v>
      </c>
      <c r="B108" s="22" t="s">
        <v>490</v>
      </c>
      <c r="C108" s="13" t="s">
        <v>387</v>
      </c>
      <c r="D108" s="23" t="s">
        <v>497</v>
      </c>
      <c r="E108" s="23" t="s">
        <v>500</v>
      </c>
      <c r="F108" s="24" t="s">
        <v>76</v>
      </c>
      <c r="G108" s="19" t="n">
        <v>15</v>
      </c>
      <c r="H108" s="13" t="s">
        <v>27</v>
      </c>
      <c r="I108" s="12" t="n">
        <f aca="false">IFERROR(VLOOKUP(F108,Insumos!$C$5:$G$143,5,FALSE()),0)</f>
        <v>0.06</v>
      </c>
      <c r="J108" s="25" t="n">
        <f aca="false">IF(C108="bizcocho",VLOOKUP(A108,'Recetas y precios'!$A$5:$G$55,6,FALSE()),IF(C108="jarabe",VLOOKUP(A108,'Recetas y precios'!$A$5:$G$55,7,FALSE()),1))</f>
        <v>0.789</v>
      </c>
      <c r="K108" s="15" t="n">
        <f aca="false">G108*I108*J108</f>
        <v>0.7101</v>
      </c>
    </row>
    <row r="109" customFormat="false" ht="15" hidden="false" customHeight="false" outlineLevel="0" collapsed="false">
      <c r="A109" s="0" t="n">
        <v>6</v>
      </c>
      <c r="B109" s="22" t="s">
        <v>490</v>
      </c>
      <c r="C109" s="13" t="s">
        <v>387</v>
      </c>
      <c r="D109" s="23" t="s">
        <v>497</v>
      </c>
      <c r="E109" s="23" t="s">
        <v>501</v>
      </c>
      <c r="F109" s="24" t="s">
        <v>305</v>
      </c>
      <c r="G109" s="19" t="n">
        <v>5</v>
      </c>
      <c r="H109" s="13" t="s">
        <v>34</v>
      </c>
      <c r="I109" s="12" t="n">
        <f aca="false">IFERROR(VLOOKUP(F109,Insumos!$C$5:$G$143,5,FALSE()),0)</f>
        <v>0.373333333333333</v>
      </c>
      <c r="J109" s="25" t="n">
        <f aca="false">IF(C109="bizcocho",VLOOKUP(A109,'Recetas y precios'!$A$5:$G$55,6,FALSE()),IF(C109="jarabe",VLOOKUP(A109,'Recetas y precios'!$A$5:$G$55,7,FALSE()),1))</f>
        <v>0.789</v>
      </c>
      <c r="K109" s="15" t="n">
        <f aca="false">G109*I109*J109</f>
        <v>1.4728</v>
      </c>
    </row>
    <row r="110" customFormat="false" ht="15" hidden="false" customHeight="false" outlineLevel="0" collapsed="false">
      <c r="A110" s="0" t="n">
        <v>6</v>
      </c>
      <c r="B110" s="22" t="s">
        <v>490</v>
      </c>
      <c r="C110" s="13" t="s">
        <v>393</v>
      </c>
      <c r="D110" s="23" t="s">
        <v>502</v>
      </c>
      <c r="E110" s="23" t="s">
        <v>503</v>
      </c>
      <c r="F110" s="24" t="s">
        <v>26</v>
      </c>
      <c r="G110" s="19" t="n">
        <v>180</v>
      </c>
      <c r="H110" s="13" t="s">
        <v>27</v>
      </c>
      <c r="I110" s="12" t="n">
        <f aca="false">IFERROR(VLOOKUP(F110,Insumos!$C$5:$G$143,5,FALSE()),0)</f>
        <v>0.38</v>
      </c>
      <c r="J110" s="25" t="n">
        <f aca="false">IF(C110="bizcocho",VLOOKUP(A110,'Recetas y precios'!$A$5:$G$55,6,FALSE()),IF(C110="jarabe",VLOOKUP(A110,'Recetas y precios'!$A$5:$G$55,7,FALSE()),1))</f>
        <v>1</v>
      </c>
      <c r="K110" s="15" t="n">
        <f aca="false">G110*I110*J110</f>
        <v>68.4</v>
      </c>
    </row>
    <row r="111" customFormat="false" ht="15" hidden="false" customHeight="false" outlineLevel="0" collapsed="false">
      <c r="A111" s="0" t="n">
        <v>6</v>
      </c>
      <c r="B111" s="22" t="s">
        <v>490</v>
      </c>
      <c r="C111" s="13" t="s">
        <v>393</v>
      </c>
      <c r="D111" s="23" t="s">
        <v>502</v>
      </c>
      <c r="E111" s="23" t="s">
        <v>504</v>
      </c>
      <c r="F111" s="24" t="s">
        <v>33</v>
      </c>
      <c r="G111" s="19" t="n">
        <v>180</v>
      </c>
      <c r="H111" s="13" t="s">
        <v>34</v>
      </c>
      <c r="I111" s="12" t="n">
        <f aca="false">IFERROR(VLOOKUP(F111,Insumos!$C$5:$G$143,5,FALSE()),0)</f>
        <v>0.078</v>
      </c>
      <c r="J111" s="25" t="n">
        <f aca="false">IF(C111="bizcocho",VLOOKUP(A111,'Recetas y precios'!$A$5:$G$55,6,FALSE()),IF(C111="jarabe",VLOOKUP(A111,'Recetas y precios'!$A$5:$G$55,7,FALSE()),1))</f>
        <v>1</v>
      </c>
      <c r="K111" s="15" t="n">
        <f aca="false">G111*I111*J111</f>
        <v>14.04</v>
      </c>
    </row>
    <row r="112" customFormat="false" ht="15" hidden="false" customHeight="false" outlineLevel="0" collapsed="false">
      <c r="A112" s="0" t="n">
        <v>6</v>
      </c>
      <c r="B112" s="22" t="s">
        <v>490</v>
      </c>
      <c r="C112" s="13" t="s">
        <v>393</v>
      </c>
      <c r="D112" s="23" t="s">
        <v>502</v>
      </c>
      <c r="E112" s="23" t="s">
        <v>505</v>
      </c>
      <c r="F112" s="24" t="s">
        <v>46</v>
      </c>
      <c r="G112" s="19" t="n">
        <v>35</v>
      </c>
      <c r="H112" s="13" t="s">
        <v>27</v>
      </c>
      <c r="I112" s="12" t="n">
        <f aca="false">IFERROR(VLOOKUP(F112,Insumos!$C$5:$G$143,5,FALSE()),0)</f>
        <v>0.33</v>
      </c>
      <c r="J112" s="25" t="n">
        <f aca="false">IF(C112="bizcocho",VLOOKUP(A112,'Recetas y precios'!$A$5:$G$55,6,FALSE()),IF(C112="jarabe",VLOOKUP(A112,'Recetas y precios'!$A$5:$G$55,7,FALSE()),1))</f>
        <v>1</v>
      </c>
      <c r="K112" s="15" t="n">
        <f aca="false">G112*I112*J112</f>
        <v>11.55</v>
      </c>
    </row>
    <row r="113" customFormat="false" ht="15" hidden="false" customHeight="false" outlineLevel="0" collapsed="false">
      <c r="A113" s="0" t="n">
        <v>6</v>
      </c>
      <c r="B113" s="22" t="s">
        <v>490</v>
      </c>
      <c r="C113" s="13" t="s">
        <v>393</v>
      </c>
      <c r="D113" s="23" t="s">
        <v>502</v>
      </c>
      <c r="E113" s="23" t="s">
        <v>506</v>
      </c>
      <c r="F113" s="24" t="s">
        <v>36</v>
      </c>
      <c r="G113" s="19" t="n">
        <v>45</v>
      </c>
      <c r="H113" s="13" t="s">
        <v>27</v>
      </c>
      <c r="I113" s="12" t="n">
        <f aca="false">IFERROR(VLOOKUP(F113,Insumos!$C$5:$G$143,5,FALSE()),0)</f>
        <v>0.085</v>
      </c>
      <c r="J113" s="25" t="n">
        <f aca="false">IF(C113="bizcocho",VLOOKUP(A113,'Recetas y precios'!$A$5:$G$55,6,FALSE()),IF(C113="jarabe",VLOOKUP(A113,'Recetas y precios'!$A$5:$G$55,7,FALSE()),1))</f>
        <v>1</v>
      </c>
      <c r="K113" s="15" t="n">
        <f aca="false">G113*I113*J113</f>
        <v>3.825</v>
      </c>
    </row>
    <row r="114" customFormat="false" ht="15" hidden="false" customHeight="false" outlineLevel="0" collapsed="false">
      <c r="A114" s="0" t="n">
        <v>6</v>
      </c>
      <c r="B114" s="22" t="s">
        <v>490</v>
      </c>
      <c r="C114" s="13" t="s">
        <v>393</v>
      </c>
      <c r="D114" s="23" t="s">
        <v>502</v>
      </c>
      <c r="E114" s="23" t="s">
        <v>445</v>
      </c>
      <c r="F114" s="24" t="s">
        <v>74</v>
      </c>
      <c r="G114" s="19" t="n">
        <v>25</v>
      </c>
      <c r="H114" s="13" t="s">
        <v>27</v>
      </c>
      <c r="I114" s="12" t="n">
        <f aca="false">IFERROR(VLOOKUP(F114,Insumos!$C$5:$G$143,5,FALSE()),0)</f>
        <v>0.045</v>
      </c>
      <c r="J114" s="25" t="n">
        <f aca="false">IF(C114="bizcocho",VLOOKUP(A114,'Recetas y precios'!$A$5:$G$55,6,FALSE()),IF(C114="jarabe",VLOOKUP(A114,'Recetas y precios'!$A$5:$G$55,7,FALSE()),1))</f>
        <v>1</v>
      </c>
      <c r="K114" s="15" t="n">
        <f aca="false">G114*I114*J114</f>
        <v>1.125</v>
      </c>
    </row>
    <row r="115" customFormat="false" ht="15" hidden="false" customHeight="false" outlineLevel="0" collapsed="false">
      <c r="A115" s="0" t="n">
        <v>6</v>
      </c>
      <c r="B115" s="22" t="s">
        <v>490</v>
      </c>
      <c r="C115" s="13" t="s">
        <v>393</v>
      </c>
      <c r="D115" s="23" t="s">
        <v>502</v>
      </c>
      <c r="E115" s="23" t="s">
        <v>507</v>
      </c>
      <c r="F115" s="24" t="s">
        <v>103</v>
      </c>
      <c r="G115" s="19" t="n">
        <v>2</v>
      </c>
      <c r="H115" s="13" t="s">
        <v>27</v>
      </c>
      <c r="I115" s="12" t="n">
        <f aca="false">IFERROR(VLOOKUP(F115,Insumos!$C$5:$G$143,5,FALSE()),0)</f>
        <v>0.025</v>
      </c>
      <c r="J115" s="25" t="n">
        <f aca="false">IF(C115="bizcocho",VLOOKUP(A115,'Recetas y precios'!$A$5:$G$55,6,FALSE()),IF(C115="jarabe",VLOOKUP(A115,'Recetas y precios'!$A$5:$G$55,7,FALSE()),1))</f>
        <v>1</v>
      </c>
      <c r="K115" s="15" t="n">
        <f aca="false">G115*I115*J115</f>
        <v>0.05</v>
      </c>
    </row>
    <row r="116" customFormat="false" ht="15" hidden="false" customHeight="false" outlineLevel="0" collapsed="false">
      <c r="A116" s="0" t="n">
        <v>6</v>
      </c>
      <c r="B116" s="22" t="s">
        <v>490</v>
      </c>
      <c r="C116" s="13" t="s">
        <v>400</v>
      </c>
      <c r="D116" s="23" t="s">
        <v>508</v>
      </c>
      <c r="E116" s="23" t="s">
        <v>509</v>
      </c>
      <c r="F116" s="24" t="s">
        <v>76</v>
      </c>
      <c r="G116" s="19" t="n">
        <v>60</v>
      </c>
      <c r="H116" s="13" t="s">
        <v>27</v>
      </c>
      <c r="I116" s="12" t="n">
        <f aca="false">IFERROR(VLOOKUP(F116,Insumos!$C$5:$G$143,5,FALSE()),0)</f>
        <v>0.06</v>
      </c>
      <c r="J116" s="25" t="n">
        <f aca="false">IF(C116="bizcocho",VLOOKUP(A116,'Recetas y precios'!$A$5:$G$55,6,FALSE()),IF(C116="jarabe",VLOOKUP(A116,'Recetas y precios'!$A$5:$G$55,7,FALSE()),1))</f>
        <v>1</v>
      </c>
      <c r="K116" s="15" t="n">
        <f aca="false">G116*I116*J116</f>
        <v>3.6</v>
      </c>
    </row>
    <row r="117" customFormat="false" ht="15" hidden="false" customHeight="false" outlineLevel="0" collapsed="false">
      <c r="A117" s="0" t="n">
        <v>6</v>
      </c>
      <c r="B117" s="22" t="s">
        <v>490</v>
      </c>
      <c r="C117" s="13" t="s">
        <v>400</v>
      </c>
      <c r="D117" s="23" t="s">
        <v>508</v>
      </c>
      <c r="E117" s="23" t="s">
        <v>510</v>
      </c>
      <c r="F117" s="24" t="s">
        <v>33</v>
      </c>
      <c r="G117" s="19" t="n">
        <v>40</v>
      </c>
      <c r="H117" s="13" t="s">
        <v>34</v>
      </c>
      <c r="I117" s="12" t="n">
        <f aca="false">IFERROR(VLOOKUP(F117,Insumos!$C$5:$G$143,5,FALSE()),0)</f>
        <v>0.078</v>
      </c>
      <c r="J117" s="25" t="n">
        <f aca="false">IF(C117="bizcocho",VLOOKUP(A117,'Recetas y precios'!$A$5:$G$55,6,FALSE()),IF(C117="jarabe",VLOOKUP(A117,'Recetas y precios'!$A$5:$G$55,7,FALSE()),1))</f>
        <v>1</v>
      </c>
      <c r="K117" s="15" t="n">
        <f aca="false">G117*I117*J117</f>
        <v>3.12</v>
      </c>
    </row>
    <row r="118" customFormat="false" ht="15" hidden="false" customHeight="false" outlineLevel="0" collapsed="false">
      <c r="A118" s="0" t="n">
        <v>6</v>
      </c>
      <c r="B118" s="22" t="s">
        <v>490</v>
      </c>
      <c r="C118" s="13" t="s">
        <v>400</v>
      </c>
      <c r="D118" s="23" t="s">
        <v>508</v>
      </c>
      <c r="E118" s="23" t="s">
        <v>511</v>
      </c>
      <c r="F118" s="24" t="s">
        <v>46</v>
      </c>
      <c r="G118" s="19" t="n">
        <v>15</v>
      </c>
      <c r="H118" s="13" t="s">
        <v>27</v>
      </c>
      <c r="I118" s="12" t="n">
        <f aca="false">IFERROR(VLOOKUP(F118,Insumos!$C$5:$G$143,5,FALSE()),0)</f>
        <v>0.33</v>
      </c>
      <c r="J118" s="25" t="n">
        <f aca="false">IF(C118="bizcocho",VLOOKUP(A118,'Recetas y precios'!$A$5:$G$55,6,FALSE()),IF(C118="jarabe",VLOOKUP(A118,'Recetas y precios'!$A$5:$G$55,7,FALSE()),1))</f>
        <v>1</v>
      </c>
      <c r="K118" s="15" t="n">
        <f aca="false">G118*I118*J118</f>
        <v>4.95</v>
      </c>
    </row>
    <row r="119" customFormat="false" ht="15" hidden="false" customHeight="false" outlineLevel="0" collapsed="false">
      <c r="A119" s="0" t="n">
        <v>6</v>
      </c>
      <c r="B119" s="22" t="s">
        <v>490</v>
      </c>
      <c r="C119" s="13" t="s">
        <v>400</v>
      </c>
      <c r="D119" s="23" t="s">
        <v>508</v>
      </c>
      <c r="E119" s="23" t="s">
        <v>512</v>
      </c>
      <c r="F119" s="24" t="s">
        <v>105</v>
      </c>
      <c r="G119" s="19" t="n">
        <v>1</v>
      </c>
      <c r="H119" s="13" t="s">
        <v>27</v>
      </c>
      <c r="I119" s="12" t="n">
        <f aca="false">IFERROR(VLOOKUP(F119,Insumos!$C$5:$G$143,5,FALSE()),0)</f>
        <v>0.72</v>
      </c>
      <c r="J119" s="25" t="n">
        <f aca="false">IF(C119="bizcocho",VLOOKUP(A119,'Recetas y precios'!$A$5:$G$55,6,FALSE()),IF(C119="jarabe",VLOOKUP(A119,'Recetas y precios'!$A$5:$G$55,7,FALSE()),1))</f>
        <v>1</v>
      </c>
      <c r="K119" s="15" t="n">
        <f aca="false">G119*I119*J119</f>
        <v>0.72</v>
      </c>
    </row>
    <row r="120" customFormat="false" ht="15" hidden="false" customHeight="false" outlineLevel="0" collapsed="false">
      <c r="A120" s="0" t="n">
        <v>6</v>
      </c>
      <c r="B120" s="22" t="s">
        <v>490</v>
      </c>
      <c r="C120" s="13" t="s">
        <v>400</v>
      </c>
      <c r="D120" s="23" t="s">
        <v>508</v>
      </c>
      <c r="E120" s="23" t="s">
        <v>513</v>
      </c>
      <c r="F120" s="24" t="s">
        <v>92</v>
      </c>
      <c r="G120" s="19" t="n">
        <v>15</v>
      </c>
      <c r="H120" s="13" t="s">
        <v>27</v>
      </c>
      <c r="I120" s="12" t="n">
        <f aca="false">IFERROR(VLOOKUP(F120,Insumos!$C$5:$G$143,5,FALSE()),0)</f>
        <v>0.28</v>
      </c>
      <c r="J120" s="25" t="n">
        <f aca="false">IF(C120="bizcocho",VLOOKUP(A120,'Recetas y precios'!$A$5:$G$55,6,FALSE()),IF(C120="jarabe",VLOOKUP(A120,'Recetas y precios'!$A$5:$G$55,7,FALSE()),1))</f>
        <v>1</v>
      </c>
      <c r="K120" s="15" t="n">
        <f aca="false">G120*I120*J120</f>
        <v>4.2</v>
      </c>
    </row>
    <row r="121" customFormat="false" ht="15" hidden="false" customHeight="false" outlineLevel="0" collapsed="false">
      <c r="A121" s="0" t="n">
        <v>6</v>
      </c>
      <c r="B121" s="22" t="s">
        <v>490</v>
      </c>
      <c r="C121" s="13" t="s">
        <v>400</v>
      </c>
      <c r="D121" s="23" t="s">
        <v>508</v>
      </c>
      <c r="E121" s="23" t="s">
        <v>514</v>
      </c>
      <c r="F121" s="24" t="s">
        <v>218</v>
      </c>
      <c r="G121" s="19" t="n">
        <v>2</v>
      </c>
      <c r="H121" s="13" t="s">
        <v>27</v>
      </c>
      <c r="I121" s="12" t="n">
        <f aca="false">IFERROR(VLOOKUP(F121,Insumos!$C$5:$G$143,5,FALSE()),0)</f>
        <v>0.42</v>
      </c>
      <c r="J121" s="25" t="n">
        <f aca="false">IF(C121="bizcocho",VLOOKUP(A121,'Recetas y precios'!$A$5:$G$55,6,FALSE()),IF(C121="jarabe",VLOOKUP(A121,'Recetas y precios'!$A$5:$G$55,7,FALSE()),1))</f>
        <v>1</v>
      </c>
      <c r="K121" s="15" t="n">
        <f aca="false">G121*I121*J121</f>
        <v>0.84</v>
      </c>
    </row>
    <row r="122" customFormat="false" ht="15" hidden="false" customHeight="false" outlineLevel="0" collapsed="false">
      <c r="A122" s="0" t="n">
        <v>7</v>
      </c>
      <c r="B122" s="22" t="s">
        <v>515</v>
      </c>
      <c r="C122" s="13" t="s">
        <v>376</v>
      </c>
      <c r="D122" s="23" t="s">
        <v>516</v>
      </c>
      <c r="E122" s="23" t="s">
        <v>517</v>
      </c>
      <c r="F122" s="24" t="s">
        <v>239</v>
      </c>
      <c r="G122" s="19" t="n">
        <v>60</v>
      </c>
      <c r="H122" s="13" t="s">
        <v>27</v>
      </c>
      <c r="I122" s="12" t="n">
        <f aca="false">IFERROR(VLOOKUP(F122,Insumos!$C$5:$G$143,5,FALSE()),0)</f>
        <v>0.22</v>
      </c>
      <c r="J122" s="25" t="n">
        <f aca="false">IF(C122="bizcocho",VLOOKUP(A122,'Recetas y precios'!$A$5:$G$55,6,FALSE()),IF(C122="jarabe",VLOOKUP(A122,'Recetas y precios'!$A$5:$G$55,7,FALSE()),1))</f>
        <v>0.364</v>
      </c>
      <c r="K122" s="15" t="n">
        <f aca="false">G122*I122*J122</f>
        <v>4.8048</v>
      </c>
    </row>
    <row r="123" customFormat="false" ht="15" hidden="false" customHeight="false" outlineLevel="0" collapsed="false">
      <c r="A123" s="0" t="n">
        <v>7</v>
      </c>
      <c r="B123" s="22" t="s">
        <v>515</v>
      </c>
      <c r="C123" s="13" t="s">
        <v>376</v>
      </c>
      <c r="D123" s="23" t="s">
        <v>516</v>
      </c>
      <c r="E123" s="23" t="s">
        <v>518</v>
      </c>
      <c r="F123" s="24" t="s">
        <v>116</v>
      </c>
      <c r="G123" s="19" t="n">
        <v>70</v>
      </c>
      <c r="H123" s="13" t="s">
        <v>34</v>
      </c>
      <c r="I123" s="12" t="n">
        <f aca="false">IFERROR(VLOOKUP(F123,Insumos!$C$5:$G$143,5,FALSE()),0)</f>
        <v>0.145</v>
      </c>
      <c r="J123" s="25" t="n">
        <f aca="false">IF(C123="bizcocho",VLOOKUP(A123,'Recetas y precios'!$A$5:$G$55,6,FALSE()),IF(C123="jarabe",VLOOKUP(A123,'Recetas y precios'!$A$5:$G$55,7,FALSE()),1))</f>
        <v>0.364</v>
      </c>
      <c r="K123" s="15" t="n">
        <f aca="false">G123*I123*J123</f>
        <v>3.6946</v>
      </c>
    </row>
    <row r="124" customFormat="false" ht="15" hidden="false" customHeight="false" outlineLevel="0" collapsed="false">
      <c r="A124" s="0" t="n">
        <v>7</v>
      </c>
      <c r="B124" s="22" t="s">
        <v>515</v>
      </c>
      <c r="C124" s="13" t="s">
        <v>376</v>
      </c>
      <c r="D124" s="23" t="s">
        <v>516</v>
      </c>
      <c r="E124" s="23" t="s">
        <v>519</v>
      </c>
      <c r="F124" s="24" t="s">
        <v>36</v>
      </c>
      <c r="G124" s="19" t="n">
        <v>25</v>
      </c>
      <c r="H124" s="13" t="s">
        <v>27</v>
      </c>
      <c r="I124" s="12" t="n">
        <f aca="false">IFERROR(VLOOKUP(F124,Insumos!$C$5:$G$143,5,FALSE()),0)</f>
        <v>0.085</v>
      </c>
      <c r="J124" s="25" t="n">
        <f aca="false">IF(C124="bizcocho",VLOOKUP(A124,'Recetas y precios'!$A$5:$G$55,6,FALSE()),IF(C124="jarabe",VLOOKUP(A124,'Recetas y precios'!$A$5:$G$55,7,FALSE()),1))</f>
        <v>0.364</v>
      </c>
      <c r="K124" s="15" t="n">
        <f aca="false">G124*I124*J124</f>
        <v>0.7735</v>
      </c>
    </row>
    <row r="125" customFormat="false" ht="15" hidden="false" customHeight="false" outlineLevel="0" collapsed="false">
      <c r="A125" s="0" t="n">
        <v>7</v>
      </c>
      <c r="B125" s="22" t="s">
        <v>515</v>
      </c>
      <c r="C125" s="13" t="s">
        <v>376</v>
      </c>
      <c r="D125" s="23" t="s">
        <v>516</v>
      </c>
      <c r="E125" s="23" t="s">
        <v>520</v>
      </c>
      <c r="F125" s="24" t="s">
        <v>295</v>
      </c>
      <c r="G125" s="19" t="n">
        <v>10</v>
      </c>
      <c r="H125" s="13" t="s">
        <v>34</v>
      </c>
      <c r="I125" s="12" t="n">
        <f aca="false">IFERROR(VLOOKUP(F125,Insumos!$C$5:$G$143,5,FALSE()),0)</f>
        <v>0.426666666666667</v>
      </c>
      <c r="J125" s="25" t="n">
        <f aca="false">IF(C125="bizcocho",VLOOKUP(A125,'Recetas y precios'!$A$5:$G$55,6,FALSE()),IF(C125="jarabe",VLOOKUP(A125,'Recetas y precios'!$A$5:$G$55,7,FALSE()),1))</f>
        <v>0.364</v>
      </c>
      <c r="K125" s="15" t="n">
        <f aca="false">G125*I125*J125</f>
        <v>1.55306666666667</v>
      </c>
    </row>
    <row r="126" customFormat="false" ht="15" hidden="false" customHeight="false" outlineLevel="0" collapsed="false">
      <c r="A126" s="0" t="n">
        <v>7</v>
      </c>
      <c r="B126" s="22" t="s">
        <v>515</v>
      </c>
      <c r="C126" s="13" t="s">
        <v>393</v>
      </c>
      <c r="D126" s="23" t="s">
        <v>521</v>
      </c>
      <c r="E126" s="23" t="s">
        <v>522</v>
      </c>
      <c r="F126" s="24" t="s">
        <v>26</v>
      </c>
      <c r="G126" s="19" t="n">
        <v>160</v>
      </c>
      <c r="H126" s="13" t="s">
        <v>27</v>
      </c>
      <c r="I126" s="12" t="n">
        <f aca="false">IFERROR(VLOOKUP(F126,Insumos!$C$5:$G$143,5,FALSE()),0)</f>
        <v>0.38</v>
      </c>
      <c r="J126" s="25" t="n">
        <f aca="false">IF(C126="bizcocho",VLOOKUP(A126,'Recetas y precios'!$A$5:$G$55,6,FALSE()),IF(C126="jarabe",VLOOKUP(A126,'Recetas y precios'!$A$5:$G$55,7,FALSE()),1))</f>
        <v>1</v>
      </c>
      <c r="K126" s="15" t="n">
        <f aca="false">G126*I126*J126</f>
        <v>60.8</v>
      </c>
    </row>
    <row r="127" customFormat="false" ht="15" hidden="false" customHeight="false" outlineLevel="0" collapsed="false">
      <c r="A127" s="0" t="n">
        <v>7</v>
      </c>
      <c r="B127" s="22" t="s">
        <v>515</v>
      </c>
      <c r="C127" s="13" t="s">
        <v>393</v>
      </c>
      <c r="D127" s="23" t="s">
        <v>521</v>
      </c>
      <c r="E127" s="23" t="s">
        <v>523</v>
      </c>
      <c r="F127" s="24" t="s">
        <v>33</v>
      </c>
      <c r="G127" s="19" t="n">
        <v>160</v>
      </c>
      <c r="H127" s="13" t="s">
        <v>34</v>
      </c>
      <c r="I127" s="12" t="n">
        <f aca="false">IFERROR(VLOOKUP(F127,Insumos!$C$5:$G$143,5,FALSE()),0)</f>
        <v>0.078</v>
      </c>
      <c r="J127" s="25" t="n">
        <f aca="false">IF(C127="bizcocho",VLOOKUP(A127,'Recetas y precios'!$A$5:$G$55,6,FALSE()),IF(C127="jarabe",VLOOKUP(A127,'Recetas y precios'!$A$5:$G$55,7,FALSE()),1))</f>
        <v>1</v>
      </c>
      <c r="K127" s="15" t="n">
        <f aca="false">G127*I127*J127</f>
        <v>12.48</v>
      </c>
    </row>
    <row r="128" customFormat="false" ht="15" hidden="false" customHeight="false" outlineLevel="0" collapsed="false">
      <c r="A128" s="0" t="n">
        <v>7</v>
      </c>
      <c r="B128" s="22" t="s">
        <v>515</v>
      </c>
      <c r="C128" s="13" t="s">
        <v>393</v>
      </c>
      <c r="D128" s="23" t="s">
        <v>521</v>
      </c>
      <c r="E128" s="23" t="s">
        <v>379</v>
      </c>
      <c r="F128" s="24" t="s">
        <v>48</v>
      </c>
      <c r="G128" s="19" t="n">
        <v>40</v>
      </c>
      <c r="H128" s="13" t="s">
        <v>27</v>
      </c>
      <c r="I128" s="12" t="n">
        <f aca="false">IFERROR(VLOOKUP(F128,Insumos!$C$5:$G$143,5,FALSE()),0)</f>
        <v>0.13</v>
      </c>
      <c r="J128" s="25" t="n">
        <f aca="false">IF(C128="bizcocho",VLOOKUP(A128,'Recetas y precios'!$A$5:$G$55,6,FALSE()),IF(C128="jarabe",VLOOKUP(A128,'Recetas y precios'!$A$5:$G$55,7,FALSE()),1))</f>
        <v>1</v>
      </c>
      <c r="K128" s="15" t="n">
        <f aca="false">G128*I128*J128</f>
        <v>5.2</v>
      </c>
    </row>
    <row r="129" customFormat="false" ht="15" hidden="false" customHeight="false" outlineLevel="0" collapsed="false">
      <c r="A129" s="0" t="n">
        <v>7</v>
      </c>
      <c r="B129" s="22" t="s">
        <v>515</v>
      </c>
      <c r="C129" s="13" t="s">
        <v>393</v>
      </c>
      <c r="D129" s="23" t="s">
        <v>521</v>
      </c>
      <c r="E129" s="23" t="s">
        <v>524</v>
      </c>
      <c r="F129" s="24" t="s">
        <v>36</v>
      </c>
      <c r="G129" s="19" t="n">
        <v>70</v>
      </c>
      <c r="H129" s="13" t="s">
        <v>27</v>
      </c>
      <c r="I129" s="12" t="n">
        <f aca="false">IFERROR(VLOOKUP(F129,Insumos!$C$5:$G$143,5,FALSE()),0)</f>
        <v>0.085</v>
      </c>
      <c r="J129" s="25" t="n">
        <f aca="false">IF(C129="bizcocho",VLOOKUP(A129,'Recetas y precios'!$A$5:$G$55,6,FALSE()),IF(C129="jarabe",VLOOKUP(A129,'Recetas y precios'!$A$5:$G$55,7,FALSE()),1))</f>
        <v>1</v>
      </c>
      <c r="K129" s="15" t="n">
        <f aca="false">G129*I129*J129</f>
        <v>5.95</v>
      </c>
    </row>
    <row r="130" customFormat="false" ht="15" hidden="false" customHeight="false" outlineLevel="0" collapsed="false">
      <c r="A130" s="0" t="n">
        <v>7</v>
      </c>
      <c r="B130" s="22" t="s">
        <v>515</v>
      </c>
      <c r="C130" s="13" t="s">
        <v>393</v>
      </c>
      <c r="D130" s="23" t="s">
        <v>521</v>
      </c>
      <c r="E130" s="23" t="s">
        <v>391</v>
      </c>
      <c r="F130" s="24" t="s">
        <v>72</v>
      </c>
      <c r="G130" s="19" t="n">
        <v>15</v>
      </c>
      <c r="H130" s="13" t="s">
        <v>27</v>
      </c>
      <c r="I130" s="12" t="n">
        <f aca="false">IFERROR(VLOOKUP(F130,Insumos!$C$5:$G$143,5,FALSE()),0)</f>
        <v>0.028</v>
      </c>
      <c r="J130" s="25" t="n">
        <f aca="false">IF(C130="bizcocho",VLOOKUP(A130,'Recetas y precios'!$A$5:$G$55,6,FALSE()),IF(C130="jarabe",VLOOKUP(A130,'Recetas y precios'!$A$5:$G$55,7,FALSE()),1))</f>
        <v>1</v>
      </c>
      <c r="K130" s="15" t="n">
        <f aca="false">G130*I130*J130</f>
        <v>0.42</v>
      </c>
    </row>
    <row r="131" customFormat="false" ht="15" hidden="false" customHeight="false" outlineLevel="0" collapsed="false">
      <c r="A131" s="0" t="n">
        <v>7</v>
      </c>
      <c r="B131" s="22" t="s">
        <v>515</v>
      </c>
      <c r="C131" s="13" t="s">
        <v>393</v>
      </c>
      <c r="D131" s="23" t="s">
        <v>521</v>
      </c>
      <c r="E131" s="23" t="s">
        <v>423</v>
      </c>
      <c r="F131" s="24" t="s">
        <v>284</v>
      </c>
      <c r="G131" s="19" t="n">
        <v>2</v>
      </c>
      <c r="H131" s="13" t="s">
        <v>34</v>
      </c>
      <c r="I131" s="12" t="n">
        <f aca="false">IFERROR(VLOOKUP(F131,Insumos!$C$5:$G$143,5,FALSE()),0)</f>
        <v>0.45</v>
      </c>
      <c r="J131" s="25" t="n">
        <f aca="false">IF(C131="bizcocho",VLOOKUP(A131,'Recetas y precios'!$A$5:$G$55,6,FALSE()),IF(C131="jarabe",VLOOKUP(A131,'Recetas y precios'!$A$5:$G$55,7,FALSE()),1))</f>
        <v>1</v>
      </c>
      <c r="K131" s="15" t="n">
        <f aca="false">G131*I131*J131</f>
        <v>0.9</v>
      </c>
    </row>
    <row r="132" customFormat="false" ht="15" hidden="false" customHeight="false" outlineLevel="0" collapsed="false">
      <c r="A132" s="0" t="n">
        <v>7</v>
      </c>
      <c r="B132" s="22" t="s">
        <v>515</v>
      </c>
      <c r="C132" s="13" t="s">
        <v>400</v>
      </c>
      <c r="D132" s="23" t="s">
        <v>525</v>
      </c>
      <c r="E132" s="23" t="s">
        <v>526</v>
      </c>
      <c r="F132" s="24" t="s">
        <v>218</v>
      </c>
      <c r="G132" s="19" t="n">
        <v>4</v>
      </c>
      <c r="H132" s="13" t="s">
        <v>27</v>
      </c>
      <c r="I132" s="12" t="n">
        <f aca="false">IFERROR(VLOOKUP(F132,Insumos!$C$5:$G$143,5,FALSE()),0)</f>
        <v>0.42</v>
      </c>
      <c r="J132" s="25" t="n">
        <f aca="false">IF(C132="bizcocho",VLOOKUP(A132,'Recetas y precios'!$A$5:$G$55,6,FALSE()),IF(C132="jarabe",VLOOKUP(A132,'Recetas y precios'!$A$5:$G$55,7,FALSE()),1))</f>
        <v>1</v>
      </c>
      <c r="K132" s="15" t="n">
        <f aca="false">G132*I132*J132</f>
        <v>1.68</v>
      </c>
    </row>
    <row r="133" customFormat="false" ht="15" hidden="false" customHeight="false" outlineLevel="0" collapsed="false">
      <c r="A133" s="0" t="n">
        <v>7</v>
      </c>
      <c r="B133" s="22" t="s">
        <v>515</v>
      </c>
      <c r="C133" s="13" t="s">
        <v>400</v>
      </c>
      <c r="D133" s="23" t="s">
        <v>525</v>
      </c>
      <c r="E133" s="23" t="s">
        <v>527</v>
      </c>
      <c r="F133" s="24" t="s">
        <v>120</v>
      </c>
      <c r="G133" s="19" t="n">
        <v>2</v>
      </c>
      <c r="H133" s="13" t="s">
        <v>27</v>
      </c>
      <c r="I133" s="12" t="n">
        <f aca="false">IFERROR(VLOOKUP(F133,Insumos!$C$5:$G$143,5,FALSE()),0)</f>
        <v>0.7</v>
      </c>
      <c r="J133" s="25" t="n">
        <f aca="false">IF(C133="bizcocho",VLOOKUP(A133,'Recetas y precios'!$A$5:$G$55,6,FALSE()),IF(C133="jarabe",VLOOKUP(A133,'Recetas y precios'!$A$5:$G$55,7,FALSE()),1))</f>
        <v>1</v>
      </c>
      <c r="K133" s="15" t="n">
        <f aca="false">G133*I133*J133</f>
        <v>1.4</v>
      </c>
    </row>
    <row r="134" customFormat="false" ht="15" hidden="false" customHeight="false" outlineLevel="0" collapsed="false">
      <c r="A134" s="0" t="n">
        <v>8</v>
      </c>
      <c r="B134" s="22" t="s">
        <v>528</v>
      </c>
      <c r="C134" s="13" t="s">
        <v>376</v>
      </c>
      <c r="D134" s="23" t="s">
        <v>529</v>
      </c>
      <c r="E134" s="23" t="s">
        <v>530</v>
      </c>
      <c r="F134" s="24" t="s">
        <v>59</v>
      </c>
      <c r="G134" s="19" t="n">
        <v>50</v>
      </c>
      <c r="H134" s="13" t="s">
        <v>27</v>
      </c>
      <c r="I134" s="12" t="n">
        <f aca="false">IFERROR(VLOOKUP(F134,Insumos!$C$5:$G$143,5,FALSE()),0)</f>
        <v>0.032</v>
      </c>
      <c r="J134" s="25" t="n">
        <f aca="false">IF(C134="bizcocho",VLOOKUP(A134,'Recetas y precios'!$A$5:$G$55,6,FALSE()),IF(C134="jarabe",VLOOKUP(A134,'Recetas y precios'!$A$5:$G$55,7,FALSE()),1))</f>
        <v>0.352</v>
      </c>
      <c r="K134" s="15" t="n">
        <f aca="false">G134*I134*J134</f>
        <v>0.5632</v>
      </c>
    </row>
    <row r="135" customFormat="false" ht="15" hidden="false" customHeight="false" outlineLevel="0" collapsed="false">
      <c r="A135" s="0" t="n">
        <v>8</v>
      </c>
      <c r="B135" s="22" t="s">
        <v>528</v>
      </c>
      <c r="C135" s="13" t="s">
        <v>376</v>
      </c>
      <c r="D135" s="23" t="s">
        <v>529</v>
      </c>
      <c r="E135" s="23" t="s">
        <v>409</v>
      </c>
      <c r="F135" s="24" t="s">
        <v>48</v>
      </c>
      <c r="G135" s="19" t="n">
        <v>35</v>
      </c>
      <c r="H135" s="13" t="s">
        <v>27</v>
      </c>
      <c r="I135" s="12" t="n">
        <f aca="false">IFERROR(VLOOKUP(F135,Insumos!$C$5:$G$143,5,FALSE()),0)</f>
        <v>0.13</v>
      </c>
      <c r="J135" s="25" t="n">
        <f aca="false">IF(C135="bizcocho",VLOOKUP(A135,'Recetas y precios'!$A$5:$G$55,6,FALSE()),IF(C135="jarabe",VLOOKUP(A135,'Recetas y precios'!$A$5:$G$55,7,FALSE()),1))</f>
        <v>0.352</v>
      </c>
      <c r="K135" s="15" t="n">
        <f aca="false">G135*I135*J135</f>
        <v>1.6016</v>
      </c>
    </row>
    <row r="136" customFormat="false" ht="15" hidden="false" customHeight="false" outlineLevel="0" collapsed="false">
      <c r="A136" s="0" t="n">
        <v>8</v>
      </c>
      <c r="B136" s="22" t="s">
        <v>528</v>
      </c>
      <c r="C136" s="13" t="s">
        <v>376</v>
      </c>
      <c r="D136" s="23" t="s">
        <v>529</v>
      </c>
      <c r="E136" s="23" t="s">
        <v>410</v>
      </c>
      <c r="F136" s="24" t="s">
        <v>50</v>
      </c>
      <c r="G136" s="19" t="n">
        <v>75</v>
      </c>
      <c r="H136" s="13" t="s">
        <v>27</v>
      </c>
      <c r="I136" s="12" t="n">
        <f aca="false">IFERROR(VLOOKUP(F136,Insumos!$C$5:$G$143,5,FALSE()),0)</f>
        <v>0.075</v>
      </c>
      <c r="J136" s="25" t="n">
        <f aca="false">IF(C136="bizcocho",VLOOKUP(A136,'Recetas y precios'!$A$5:$G$55,6,FALSE()),IF(C136="jarabe",VLOOKUP(A136,'Recetas y precios'!$A$5:$G$55,7,FALSE()),1))</f>
        <v>0.352</v>
      </c>
      <c r="K136" s="15" t="n">
        <f aca="false">G136*I136*J136</f>
        <v>1.98</v>
      </c>
    </row>
    <row r="137" customFormat="false" ht="15" hidden="false" customHeight="false" outlineLevel="0" collapsed="false">
      <c r="A137" s="0" t="n">
        <v>8</v>
      </c>
      <c r="B137" s="22" t="s">
        <v>528</v>
      </c>
      <c r="C137" s="13" t="s">
        <v>376</v>
      </c>
      <c r="D137" s="23" t="s">
        <v>529</v>
      </c>
      <c r="E137" s="23" t="s">
        <v>411</v>
      </c>
      <c r="F137" s="24" t="s">
        <v>72</v>
      </c>
      <c r="G137" s="19" t="n">
        <v>40</v>
      </c>
      <c r="H137" s="13" t="s">
        <v>27</v>
      </c>
      <c r="I137" s="12" t="n">
        <f aca="false">IFERROR(VLOOKUP(F137,Insumos!$C$5:$G$143,5,FALSE()),0)</f>
        <v>0.028</v>
      </c>
      <c r="J137" s="25" t="n">
        <f aca="false">IF(C137="bizcocho",VLOOKUP(A137,'Recetas y precios'!$A$5:$G$55,6,FALSE()),IF(C137="jarabe",VLOOKUP(A137,'Recetas y precios'!$A$5:$G$55,7,FALSE()),1))</f>
        <v>0.352</v>
      </c>
      <c r="K137" s="15" t="n">
        <f aca="false">G137*I137*J137</f>
        <v>0.39424</v>
      </c>
    </row>
    <row r="138" customFormat="false" ht="15" hidden="false" customHeight="false" outlineLevel="0" collapsed="false">
      <c r="A138" s="0" t="n">
        <v>8</v>
      </c>
      <c r="B138" s="22" t="s">
        <v>528</v>
      </c>
      <c r="C138" s="13" t="s">
        <v>376</v>
      </c>
      <c r="D138" s="23" t="s">
        <v>529</v>
      </c>
      <c r="E138" s="23" t="s">
        <v>531</v>
      </c>
      <c r="F138" s="24" t="s">
        <v>109</v>
      </c>
      <c r="G138" s="19" t="n">
        <v>25</v>
      </c>
      <c r="H138" s="13" t="s">
        <v>34</v>
      </c>
      <c r="I138" s="12" t="n">
        <f aca="false">IFERROR(VLOOKUP(F138,Insumos!$C$5:$G$143,5,FALSE()),0)</f>
        <v>0.045</v>
      </c>
      <c r="J138" s="25" t="n">
        <f aca="false">IF(C138="bizcocho",VLOOKUP(A138,'Recetas y precios'!$A$5:$G$55,6,FALSE()),IF(C138="jarabe",VLOOKUP(A138,'Recetas y precios'!$A$5:$G$55,7,FALSE()),1))</f>
        <v>0.352</v>
      </c>
      <c r="K138" s="15" t="n">
        <f aca="false">G138*I138*J138</f>
        <v>0.396</v>
      </c>
    </row>
    <row r="139" customFormat="false" ht="15" hidden="false" customHeight="false" outlineLevel="0" collapsed="false">
      <c r="A139" s="0" t="n">
        <v>8</v>
      </c>
      <c r="B139" s="22" t="s">
        <v>528</v>
      </c>
      <c r="C139" s="13" t="s">
        <v>376</v>
      </c>
      <c r="D139" s="23" t="s">
        <v>529</v>
      </c>
      <c r="E139" s="23" t="s">
        <v>532</v>
      </c>
      <c r="F139" s="24" t="s">
        <v>133</v>
      </c>
      <c r="G139" s="19" t="n">
        <v>1.05</v>
      </c>
      <c r="H139" s="13" t="s">
        <v>27</v>
      </c>
      <c r="I139" s="12" t="n">
        <f aca="false">IFERROR(VLOOKUP(F139,Insumos!$C$5:$G$143,5,FALSE()),0)</f>
        <v>0.6</v>
      </c>
      <c r="J139" s="25" t="n">
        <f aca="false">IF(C139="bizcocho",VLOOKUP(A139,'Recetas y precios'!$A$5:$G$55,6,FALSE()),IF(C139="jarabe",VLOOKUP(A139,'Recetas y precios'!$A$5:$G$55,7,FALSE()),1))</f>
        <v>0.352</v>
      </c>
      <c r="K139" s="15" t="n">
        <f aca="false">G139*I139*J139</f>
        <v>0.22176</v>
      </c>
    </row>
    <row r="140" customFormat="false" ht="15" hidden="false" customHeight="false" outlineLevel="0" collapsed="false">
      <c r="A140" s="0" t="n">
        <v>8</v>
      </c>
      <c r="B140" s="22" t="s">
        <v>528</v>
      </c>
      <c r="C140" s="13" t="s">
        <v>376</v>
      </c>
      <c r="D140" s="23" t="s">
        <v>529</v>
      </c>
      <c r="E140" s="23" t="s">
        <v>413</v>
      </c>
      <c r="F140" s="24" t="s">
        <v>103</v>
      </c>
      <c r="G140" s="19" t="n">
        <v>1</v>
      </c>
      <c r="H140" s="13" t="s">
        <v>27</v>
      </c>
      <c r="I140" s="12" t="n">
        <f aca="false">IFERROR(VLOOKUP(F140,Insumos!$C$5:$G$143,5,FALSE()),0)</f>
        <v>0.025</v>
      </c>
      <c r="J140" s="25" t="n">
        <f aca="false">IF(C140="bizcocho",VLOOKUP(A140,'Recetas y precios'!$A$5:$G$55,6,FALSE()),IF(C140="jarabe",VLOOKUP(A140,'Recetas y precios'!$A$5:$G$55,7,FALSE()),1))</f>
        <v>0.352</v>
      </c>
      <c r="K140" s="15" t="n">
        <f aca="false">G140*I140*J140</f>
        <v>0.0088</v>
      </c>
    </row>
    <row r="141" customFormat="false" ht="15" hidden="false" customHeight="false" outlineLevel="0" collapsed="false">
      <c r="A141" s="0" t="n">
        <v>8</v>
      </c>
      <c r="B141" s="22" t="s">
        <v>528</v>
      </c>
      <c r="C141" s="13" t="s">
        <v>387</v>
      </c>
      <c r="D141" s="23" t="s">
        <v>533</v>
      </c>
      <c r="E141" s="23" t="s">
        <v>534</v>
      </c>
      <c r="F141" s="24" t="s">
        <v>133</v>
      </c>
      <c r="G141" s="19" t="n">
        <v>1.5</v>
      </c>
      <c r="H141" s="13" t="s">
        <v>27</v>
      </c>
      <c r="I141" s="12" t="n">
        <f aca="false">IFERROR(VLOOKUP(F141,Insumos!$C$5:$G$143,5,FALSE()),0)</f>
        <v>0.6</v>
      </c>
      <c r="J141" s="25" t="n">
        <f aca="false">IF(C141="bizcocho",VLOOKUP(A141,'Recetas y precios'!$A$5:$G$55,6,FALSE()),IF(C141="jarabe",VLOOKUP(A141,'Recetas y precios'!$A$5:$G$55,7,FALSE()),1))</f>
        <v>1</v>
      </c>
      <c r="K141" s="15" t="n">
        <f aca="false">G141*I141*J141</f>
        <v>0.9</v>
      </c>
    </row>
    <row r="142" customFormat="false" ht="15" hidden="false" customHeight="false" outlineLevel="0" collapsed="false">
      <c r="A142" s="0" t="n">
        <v>8</v>
      </c>
      <c r="B142" s="22" t="s">
        <v>528</v>
      </c>
      <c r="C142" s="13" t="s">
        <v>387</v>
      </c>
      <c r="D142" s="23" t="s">
        <v>533</v>
      </c>
      <c r="E142" s="23" t="s">
        <v>535</v>
      </c>
      <c r="F142" s="24" t="s">
        <v>80</v>
      </c>
      <c r="G142" s="19" t="n">
        <v>20</v>
      </c>
      <c r="H142" s="13" t="s">
        <v>34</v>
      </c>
      <c r="I142" s="12" t="n">
        <f aca="false">IFERROR(VLOOKUP(F142,Insumos!$C$5:$G$143,5,FALSE()),0)</f>
        <v>0.018</v>
      </c>
      <c r="J142" s="25" t="n">
        <f aca="false">IF(C142="bizcocho",VLOOKUP(A142,'Recetas y precios'!$A$5:$G$55,6,FALSE()),IF(C142="jarabe",VLOOKUP(A142,'Recetas y precios'!$A$5:$G$55,7,FALSE()),1))</f>
        <v>1</v>
      </c>
      <c r="K142" s="15" t="n">
        <f aca="false">G142*I142*J142</f>
        <v>0.36</v>
      </c>
    </row>
    <row r="143" customFormat="false" ht="15" hidden="false" customHeight="false" outlineLevel="0" collapsed="false">
      <c r="A143" s="0" t="n">
        <v>8</v>
      </c>
      <c r="B143" s="22" t="s">
        <v>528</v>
      </c>
      <c r="C143" s="13" t="s">
        <v>387</v>
      </c>
      <c r="D143" s="23" t="s">
        <v>533</v>
      </c>
      <c r="E143" s="23" t="s">
        <v>536</v>
      </c>
      <c r="F143" s="24" t="s">
        <v>305</v>
      </c>
      <c r="G143" s="19" t="n">
        <v>5</v>
      </c>
      <c r="H143" s="13" t="s">
        <v>34</v>
      </c>
      <c r="I143" s="12" t="n">
        <f aca="false">IFERROR(VLOOKUP(F143,Insumos!$C$5:$G$143,5,FALSE()),0)</f>
        <v>0.373333333333333</v>
      </c>
      <c r="J143" s="25" t="n">
        <f aca="false">IF(C143="bizcocho",VLOOKUP(A143,'Recetas y precios'!$A$5:$G$55,6,FALSE()),IF(C143="jarabe",VLOOKUP(A143,'Recetas y precios'!$A$5:$G$55,7,FALSE()),1))</f>
        <v>1</v>
      </c>
      <c r="K143" s="15" t="n">
        <f aca="false">G143*I143*J143</f>
        <v>1.86666666666667</v>
      </c>
    </row>
    <row r="144" customFormat="false" ht="15" hidden="false" customHeight="false" outlineLevel="0" collapsed="false">
      <c r="A144" s="0" t="n">
        <v>8</v>
      </c>
      <c r="B144" s="22" t="s">
        <v>528</v>
      </c>
      <c r="C144" s="13" t="s">
        <v>393</v>
      </c>
      <c r="D144" s="23" t="s">
        <v>537</v>
      </c>
      <c r="E144" s="23" t="s">
        <v>538</v>
      </c>
      <c r="F144" s="24" t="s">
        <v>26</v>
      </c>
      <c r="G144" s="19" t="n">
        <v>180</v>
      </c>
      <c r="H144" s="13" t="s">
        <v>27</v>
      </c>
      <c r="I144" s="12" t="n">
        <f aca="false">IFERROR(VLOOKUP(F144,Insumos!$C$5:$G$143,5,FALSE()),0)</f>
        <v>0.38</v>
      </c>
      <c r="J144" s="25" t="n">
        <f aca="false">IF(C144="bizcocho",VLOOKUP(A144,'Recetas y precios'!$A$5:$G$55,6,FALSE()),IF(C144="jarabe",VLOOKUP(A144,'Recetas y precios'!$A$5:$G$55,7,FALSE()),1))</f>
        <v>1</v>
      </c>
      <c r="K144" s="15" t="n">
        <f aca="false">G144*I144*J144</f>
        <v>68.4</v>
      </c>
    </row>
    <row r="145" customFormat="false" ht="15" hidden="false" customHeight="false" outlineLevel="0" collapsed="false">
      <c r="A145" s="0" t="n">
        <v>8</v>
      </c>
      <c r="B145" s="22" t="s">
        <v>528</v>
      </c>
      <c r="C145" s="13" t="s">
        <v>393</v>
      </c>
      <c r="D145" s="23" t="s">
        <v>537</v>
      </c>
      <c r="E145" s="23" t="s">
        <v>539</v>
      </c>
      <c r="F145" s="24" t="s">
        <v>33</v>
      </c>
      <c r="G145" s="19" t="n">
        <v>180</v>
      </c>
      <c r="H145" s="13" t="s">
        <v>34</v>
      </c>
      <c r="I145" s="12" t="n">
        <f aca="false">IFERROR(VLOOKUP(F145,Insumos!$C$5:$G$143,5,FALSE()),0)</f>
        <v>0.078</v>
      </c>
      <c r="J145" s="25" t="n">
        <f aca="false">IF(C145="bizcocho",VLOOKUP(A145,'Recetas y precios'!$A$5:$G$55,6,FALSE()),IF(C145="jarabe",VLOOKUP(A145,'Recetas y precios'!$A$5:$G$55,7,FALSE()),1))</f>
        <v>1</v>
      </c>
      <c r="K145" s="15" t="n">
        <f aca="false">G145*I145*J145</f>
        <v>14.04</v>
      </c>
    </row>
    <row r="146" customFormat="false" ht="15" hidden="false" customHeight="false" outlineLevel="0" collapsed="false">
      <c r="A146" s="0" t="n">
        <v>8</v>
      </c>
      <c r="B146" s="22" t="s">
        <v>528</v>
      </c>
      <c r="C146" s="13" t="s">
        <v>393</v>
      </c>
      <c r="D146" s="23" t="s">
        <v>537</v>
      </c>
      <c r="E146" s="23" t="s">
        <v>540</v>
      </c>
      <c r="F146" s="24" t="s">
        <v>42</v>
      </c>
      <c r="G146" s="19" t="n">
        <v>20</v>
      </c>
      <c r="H146" s="13" t="s">
        <v>27</v>
      </c>
      <c r="I146" s="12" t="n">
        <f aca="false">IFERROR(VLOOKUP(F146,Insumos!$C$5:$G$143,5,FALSE()),0)</f>
        <v>0.19</v>
      </c>
      <c r="J146" s="25" t="n">
        <f aca="false">IF(C146="bizcocho",VLOOKUP(A146,'Recetas y precios'!$A$5:$G$55,6,FALSE()),IF(C146="jarabe",VLOOKUP(A146,'Recetas y precios'!$A$5:$G$55,7,FALSE()),1))</f>
        <v>1</v>
      </c>
      <c r="K146" s="15" t="n">
        <f aca="false">G146*I146*J146</f>
        <v>3.8</v>
      </c>
    </row>
    <row r="147" customFormat="false" ht="15" hidden="false" customHeight="false" outlineLevel="0" collapsed="false">
      <c r="A147" s="0" t="n">
        <v>8</v>
      </c>
      <c r="B147" s="22" t="s">
        <v>528</v>
      </c>
      <c r="C147" s="13" t="s">
        <v>393</v>
      </c>
      <c r="D147" s="23" t="s">
        <v>537</v>
      </c>
      <c r="E147" s="23" t="s">
        <v>444</v>
      </c>
      <c r="F147" s="24" t="s">
        <v>36</v>
      </c>
      <c r="G147" s="19" t="n">
        <v>50</v>
      </c>
      <c r="H147" s="13" t="s">
        <v>27</v>
      </c>
      <c r="I147" s="12" t="n">
        <f aca="false">IFERROR(VLOOKUP(F147,Insumos!$C$5:$G$143,5,FALSE()),0)</f>
        <v>0.085</v>
      </c>
      <c r="J147" s="25" t="n">
        <f aca="false">IF(C147="bizcocho",VLOOKUP(A147,'Recetas y precios'!$A$5:$G$55,6,FALSE()),IF(C147="jarabe",VLOOKUP(A147,'Recetas y precios'!$A$5:$G$55,7,FALSE()),1))</f>
        <v>1</v>
      </c>
      <c r="K147" s="15" t="n">
        <f aca="false">G147*I147*J147</f>
        <v>4.25</v>
      </c>
    </row>
    <row r="148" customFormat="false" ht="15" hidden="false" customHeight="false" outlineLevel="0" collapsed="false">
      <c r="A148" s="0" t="n">
        <v>8</v>
      </c>
      <c r="B148" s="22" t="s">
        <v>528</v>
      </c>
      <c r="C148" s="13" t="s">
        <v>393</v>
      </c>
      <c r="D148" s="23" t="s">
        <v>537</v>
      </c>
      <c r="E148" s="23" t="s">
        <v>456</v>
      </c>
      <c r="F148" s="24" t="s">
        <v>74</v>
      </c>
      <c r="G148" s="19" t="n">
        <v>20</v>
      </c>
      <c r="H148" s="13" t="s">
        <v>27</v>
      </c>
      <c r="I148" s="12" t="n">
        <f aca="false">IFERROR(VLOOKUP(F148,Insumos!$C$5:$G$143,5,FALSE()),0)</f>
        <v>0.045</v>
      </c>
      <c r="J148" s="25" t="n">
        <f aca="false">IF(C148="bizcocho",VLOOKUP(A148,'Recetas y precios'!$A$5:$G$55,6,FALSE()),IF(C148="jarabe",VLOOKUP(A148,'Recetas y precios'!$A$5:$G$55,7,FALSE()),1))</f>
        <v>1</v>
      </c>
      <c r="K148" s="15" t="n">
        <f aca="false">G148*I148*J148</f>
        <v>0.9</v>
      </c>
    </row>
    <row r="149" customFormat="false" ht="15" hidden="false" customHeight="false" outlineLevel="0" collapsed="false">
      <c r="A149" s="0" t="n">
        <v>8</v>
      </c>
      <c r="B149" s="22" t="s">
        <v>528</v>
      </c>
      <c r="C149" s="13" t="s">
        <v>400</v>
      </c>
      <c r="D149" s="23" t="s">
        <v>541</v>
      </c>
      <c r="E149" s="23" t="s">
        <v>542</v>
      </c>
      <c r="F149" s="24" t="s">
        <v>205</v>
      </c>
      <c r="G149" s="19" t="n">
        <v>60</v>
      </c>
      <c r="H149" s="13" t="s">
        <v>27</v>
      </c>
      <c r="I149" s="12" t="n">
        <f aca="false">IFERROR(VLOOKUP(F149,Insumos!$C$5:$G$143,5,FALSE()),0)</f>
        <v>0.09</v>
      </c>
      <c r="J149" s="25" t="n">
        <f aca="false">IF(C149="bizcocho",VLOOKUP(A149,'Recetas y precios'!$A$5:$G$55,6,FALSE()),IF(C149="jarabe",VLOOKUP(A149,'Recetas y precios'!$A$5:$G$55,7,FALSE()),1))</f>
        <v>1</v>
      </c>
      <c r="K149" s="15" t="n">
        <f aca="false">G149*I149*J149</f>
        <v>5.4</v>
      </c>
    </row>
    <row r="150" customFormat="false" ht="15" hidden="false" customHeight="false" outlineLevel="0" collapsed="false">
      <c r="A150" s="0" t="n">
        <v>8</v>
      </c>
      <c r="B150" s="22" t="s">
        <v>528</v>
      </c>
      <c r="C150" s="13" t="s">
        <v>400</v>
      </c>
      <c r="D150" s="23" t="s">
        <v>541</v>
      </c>
      <c r="E150" s="23" t="s">
        <v>543</v>
      </c>
      <c r="F150" s="24" t="s">
        <v>76</v>
      </c>
      <c r="G150" s="19" t="n">
        <v>40</v>
      </c>
      <c r="H150" s="13" t="s">
        <v>27</v>
      </c>
      <c r="I150" s="12" t="n">
        <f aca="false">IFERROR(VLOOKUP(F150,Insumos!$C$5:$G$143,5,FALSE()),0)</f>
        <v>0.06</v>
      </c>
      <c r="J150" s="25" t="n">
        <f aca="false">IF(C150="bizcocho",VLOOKUP(A150,'Recetas y precios'!$A$5:$G$55,6,FALSE()),IF(C150="jarabe",VLOOKUP(A150,'Recetas y precios'!$A$5:$G$55,7,FALSE()),1))</f>
        <v>1</v>
      </c>
      <c r="K150" s="15" t="n">
        <f aca="false">G150*I150*J150</f>
        <v>2.4</v>
      </c>
    </row>
    <row r="151" customFormat="false" ht="15" hidden="false" customHeight="false" outlineLevel="0" collapsed="false">
      <c r="A151" s="0" t="n">
        <v>9</v>
      </c>
      <c r="B151" s="22" t="s">
        <v>544</v>
      </c>
      <c r="C151" s="13" t="s">
        <v>376</v>
      </c>
      <c r="D151" s="23" t="s">
        <v>545</v>
      </c>
      <c r="E151" s="23" t="s">
        <v>546</v>
      </c>
      <c r="F151" s="24" t="s">
        <v>59</v>
      </c>
      <c r="G151" s="19" t="n">
        <v>70</v>
      </c>
      <c r="H151" s="13" t="s">
        <v>27</v>
      </c>
      <c r="I151" s="12" t="n">
        <f aca="false">IFERROR(VLOOKUP(F151,Insumos!$C$5:$G$143,5,FALSE()),0)</f>
        <v>0.032</v>
      </c>
      <c r="J151" s="25" t="n">
        <f aca="false">IF(C151="bizcocho",VLOOKUP(A151,'Recetas y precios'!$A$5:$G$55,6,FALSE()),IF(C151="jarabe",VLOOKUP(A151,'Recetas y precios'!$A$5:$G$55,7,FALSE()),1))</f>
        <v>0.583</v>
      </c>
      <c r="K151" s="15" t="n">
        <f aca="false">G151*I151*J151</f>
        <v>1.30592</v>
      </c>
    </row>
    <row r="152" customFormat="false" ht="15" hidden="false" customHeight="false" outlineLevel="0" collapsed="false">
      <c r="A152" s="0" t="n">
        <v>9</v>
      </c>
      <c r="B152" s="22" t="s">
        <v>544</v>
      </c>
      <c r="C152" s="13" t="s">
        <v>376</v>
      </c>
      <c r="D152" s="23" t="s">
        <v>545</v>
      </c>
      <c r="E152" s="23" t="s">
        <v>547</v>
      </c>
      <c r="F152" s="24" t="s">
        <v>116</v>
      </c>
      <c r="G152" s="19" t="n">
        <v>50</v>
      </c>
      <c r="H152" s="13" t="s">
        <v>34</v>
      </c>
      <c r="I152" s="12" t="n">
        <f aca="false">IFERROR(VLOOKUP(F152,Insumos!$C$5:$G$143,5,FALSE()),0)</f>
        <v>0.145</v>
      </c>
      <c r="J152" s="25" t="n">
        <f aca="false">IF(C152="bizcocho",VLOOKUP(A152,'Recetas y precios'!$A$5:$G$55,6,FALSE()),IF(C152="jarabe",VLOOKUP(A152,'Recetas y precios'!$A$5:$G$55,7,FALSE()),1))</f>
        <v>0.583</v>
      </c>
      <c r="K152" s="15" t="n">
        <f aca="false">G152*I152*J152</f>
        <v>4.22675</v>
      </c>
    </row>
    <row r="153" customFormat="false" ht="15" hidden="false" customHeight="false" outlineLevel="0" collapsed="false">
      <c r="A153" s="0" t="n">
        <v>9</v>
      </c>
      <c r="B153" s="22" t="s">
        <v>544</v>
      </c>
      <c r="C153" s="13" t="s">
        <v>400</v>
      </c>
      <c r="D153" s="23" t="s">
        <v>548</v>
      </c>
      <c r="E153" s="23" t="s">
        <v>549</v>
      </c>
      <c r="F153" s="24" t="s">
        <v>116</v>
      </c>
      <c r="G153" s="19" t="n">
        <v>100</v>
      </c>
      <c r="H153" s="13" t="s">
        <v>34</v>
      </c>
      <c r="I153" s="12" t="n">
        <f aca="false">IFERROR(VLOOKUP(F153,Insumos!$C$5:$G$143,5,FALSE()),0)</f>
        <v>0.145</v>
      </c>
      <c r="J153" s="25" t="n">
        <f aca="false">IF(C153="bizcocho",VLOOKUP(A153,'Recetas y precios'!$A$5:$G$55,6,FALSE()),IF(C153="jarabe",VLOOKUP(A153,'Recetas y precios'!$A$5:$G$55,7,FALSE()),1))</f>
        <v>1</v>
      </c>
      <c r="K153" s="15" t="n">
        <f aca="false">G153*I153*J153</f>
        <v>14.5</v>
      </c>
    </row>
    <row r="154" customFormat="false" ht="15" hidden="false" customHeight="false" outlineLevel="0" collapsed="false">
      <c r="A154" s="0" t="n">
        <v>9</v>
      </c>
      <c r="B154" s="22" t="s">
        <v>544</v>
      </c>
      <c r="C154" s="13" t="s">
        <v>400</v>
      </c>
      <c r="D154" s="23" t="s">
        <v>548</v>
      </c>
      <c r="E154" s="23" t="s">
        <v>550</v>
      </c>
      <c r="F154" s="24" t="s">
        <v>72</v>
      </c>
      <c r="G154" s="19" t="n">
        <v>20</v>
      </c>
      <c r="H154" s="13" t="s">
        <v>27</v>
      </c>
      <c r="I154" s="12" t="n">
        <f aca="false">IFERROR(VLOOKUP(F154,Insumos!$C$5:$G$143,5,FALSE()),0)</f>
        <v>0.028</v>
      </c>
      <c r="J154" s="25" t="n">
        <f aca="false">IF(C154="bizcocho",VLOOKUP(A154,'Recetas y precios'!$A$5:$G$55,6,FALSE()),IF(C154="jarabe",VLOOKUP(A154,'Recetas y precios'!$A$5:$G$55,7,FALSE()),1))</f>
        <v>1</v>
      </c>
      <c r="K154" s="15" t="n">
        <f aca="false">G154*I154*J154</f>
        <v>0.56</v>
      </c>
    </row>
    <row r="155" customFormat="false" ht="15" hidden="false" customHeight="false" outlineLevel="0" collapsed="false">
      <c r="A155" s="0" t="n">
        <v>9</v>
      </c>
      <c r="B155" s="22" t="s">
        <v>544</v>
      </c>
      <c r="C155" s="13" t="s">
        <v>393</v>
      </c>
      <c r="D155" s="23" t="s">
        <v>551</v>
      </c>
      <c r="E155" s="23" t="s">
        <v>552</v>
      </c>
      <c r="F155" s="24" t="s">
        <v>26</v>
      </c>
      <c r="G155" s="19" t="n">
        <v>120</v>
      </c>
      <c r="H155" s="13" t="s">
        <v>27</v>
      </c>
      <c r="I155" s="12" t="n">
        <f aca="false">IFERROR(VLOOKUP(F155,Insumos!$C$5:$G$143,5,FALSE()),0)</f>
        <v>0.38</v>
      </c>
      <c r="J155" s="25" t="n">
        <f aca="false">IF(C155="bizcocho",VLOOKUP(A155,'Recetas y precios'!$A$5:$G$55,6,FALSE()),IF(C155="jarabe",VLOOKUP(A155,'Recetas y precios'!$A$5:$G$55,7,FALSE()),1))</f>
        <v>1</v>
      </c>
      <c r="K155" s="15" t="n">
        <f aca="false">G155*I155*J155</f>
        <v>45.6</v>
      </c>
    </row>
    <row r="156" customFormat="false" ht="15" hidden="false" customHeight="false" outlineLevel="0" collapsed="false">
      <c r="A156" s="0" t="n">
        <v>9</v>
      </c>
      <c r="B156" s="22" t="s">
        <v>544</v>
      </c>
      <c r="C156" s="13" t="s">
        <v>393</v>
      </c>
      <c r="D156" s="23" t="s">
        <v>551</v>
      </c>
      <c r="E156" s="23" t="s">
        <v>553</v>
      </c>
      <c r="F156" s="24" t="s">
        <v>29</v>
      </c>
      <c r="G156" s="19" t="n">
        <v>60</v>
      </c>
      <c r="H156" s="13" t="s">
        <v>27</v>
      </c>
      <c r="I156" s="12" t="n">
        <f aca="false">IFERROR(VLOOKUP(F156,Insumos!$C$5:$G$143,5,FALSE()),0)</f>
        <v>0.195</v>
      </c>
      <c r="J156" s="25" t="n">
        <f aca="false">IF(C156="bizcocho",VLOOKUP(A156,'Recetas y precios'!$A$5:$G$55,6,FALSE()),IF(C156="jarabe",VLOOKUP(A156,'Recetas y precios'!$A$5:$G$55,7,FALSE()),1))</f>
        <v>1</v>
      </c>
      <c r="K156" s="15" t="n">
        <f aca="false">G156*I156*J156</f>
        <v>11.7</v>
      </c>
    </row>
    <row r="157" customFormat="false" ht="15" hidden="false" customHeight="false" outlineLevel="0" collapsed="false">
      <c r="A157" s="0" t="n">
        <v>9</v>
      </c>
      <c r="B157" s="22" t="s">
        <v>544</v>
      </c>
      <c r="C157" s="13" t="s">
        <v>393</v>
      </c>
      <c r="D157" s="23" t="s">
        <v>551</v>
      </c>
      <c r="E157" s="23" t="s">
        <v>504</v>
      </c>
      <c r="F157" s="24" t="s">
        <v>33</v>
      </c>
      <c r="G157" s="19" t="n">
        <v>180</v>
      </c>
      <c r="H157" s="13" t="s">
        <v>34</v>
      </c>
      <c r="I157" s="12" t="n">
        <f aca="false">IFERROR(VLOOKUP(F157,Insumos!$C$5:$G$143,5,FALSE()),0)</f>
        <v>0.078</v>
      </c>
      <c r="J157" s="25" t="n">
        <f aca="false">IF(C157="bizcocho",VLOOKUP(A157,'Recetas y precios'!$A$5:$G$55,6,FALSE()),IF(C157="jarabe",VLOOKUP(A157,'Recetas y precios'!$A$5:$G$55,7,FALSE()),1))</f>
        <v>1</v>
      </c>
      <c r="K157" s="15" t="n">
        <f aca="false">G157*I157*J157</f>
        <v>14.04</v>
      </c>
    </row>
    <row r="158" customFormat="false" ht="15" hidden="false" customHeight="false" outlineLevel="0" collapsed="false">
      <c r="A158" s="0" t="n">
        <v>9</v>
      </c>
      <c r="B158" s="22" t="s">
        <v>544</v>
      </c>
      <c r="C158" s="13" t="s">
        <v>393</v>
      </c>
      <c r="D158" s="23" t="s">
        <v>551</v>
      </c>
      <c r="E158" s="23" t="s">
        <v>455</v>
      </c>
      <c r="F158" s="24" t="s">
        <v>36</v>
      </c>
      <c r="G158" s="19" t="n">
        <v>40</v>
      </c>
      <c r="H158" s="13" t="s">
        <v>27</v>
      </c>
      <c r="I158" s="12" t="n">
        <f aca="false">IFERROR(VLOOKUP(F158,Insumos!$C$5:$G$143,5,FALSE()),0)</f>
        <v>0.085</v>
      </c>
      <c r="J158" s="25" t="n">
        <f aca="false">IF(C158="bizcocho",VLOOKUP(A158,'Recetas y precios'!$A$5:$G$55,6,FALSE()),IF(C158="jarabe",VLOOKUP(A158,'Recetas y precios'!$A$5:$G$55,7,FALSE()),1))</f>
        <v>1</v>
      </c>
      <c r="K158" s="15" t="n">
        <f aca="false">G158*I158*J158</f>
        <v>3.4</v>
      </c>
    </row>
    <row r="159" customFormat="false" ht="15" hidden="false" customHeight="false" outlineLevel="0" collapsed="false">
      <c r="A159" s="0" t="n">
        <v>9</v>
      </c>
      <c r="B159" s="22" t="s">
        <v>544</v>
      </c>
      <c r="C159" s="13" t="s">
        <v>393</v>
      </c>
      <c r="D159" s="23" t="s">
        <v>551</v>
      </c>
      <c r="E159" s="23" t="s">
        <v>554</v>
      </c>
      <c r="F159" s="24" t="s">
        <v>72</v>
      </c>
      <c r="G159" s="19" t="n">
        <v>25</v>
      </c>
      <c r="H159" s="13" t="s">
        <v>27</v>
      </c>
      <c r="I159" s="12" t="n">
        <f aca="false">IFERROR(VLOOKUP(F159,Insumos!$C$5:$G$143,5,FALSE()),0)</f>
        <v>0.028</v>
      </c>
      <c r="J159" s="25" t="n">
        <f aca="false">IF(C159="bizcocho",VLOOKUP(A159,'Recetas y precios'!$A$5:$G$55,6,FALSE()),IF(C159="jarabe",VLOOKUP(A159,'Recetas y precios'!$A$5:$G$55,7,FALSE()),1))</f>
        <v>1</v>
      </c>
      <c r="K159" s="15" t="n">
        <f aca="false">G159*I159*J159</f>
        <v>0.7</v>
      </c>
    </row>
    <row r="160" customFormat="false" ht="15" hidden="false" customHeight="false" outlineLevel="0" collapsed="false">
      <c r="A160" s="0" t="n">
        <v>9</v>
      </c>
      <c r="B160" s="22" t="s">
        <v>544</v>
      </c>
      <c r="C160" s="13" t="s">
        <v>393</v>
      </c>
      <c r="D160" s="23" t="s">
        <v>551</v>
      </c>
      <c r="E160" s="23" t="s">
        <v>555</v>
      </c>
      <c r="F160" s="24" t="s">
        <v>103</v>
      </c>
      <c r="G160" s="19" t="n">
        <v>3.5</v>
      </c>
      <c r="H160" s="13" t="s">
        <v>27</v>
      </c>
      <c r="I160" s="12" t="n">
        <f aca="false">IFERROR(VLOOKUP(F160,Insumos!$C$5:$G$143,5,FALSE()),0)</f>
        <v>0.025</v>
      </c>
      <c r="J160" s="25" t="n">
        <f aca="false">IF(C160="bizcocho",VLOOKUP(A160,'Recetas y precios'!$A$5:$G$55,6,FALSE()),IF(C160="jarabe",VLOOKUP(A160,'Recetas y precios'!$A$5:$G$55,7,FALSE()),1))</f>
        <v>1</v>
      </c>
      <c r="K160" s="15" t="n">
        <f aca="false">G160*I160*J160</f>
        <v>0.0875</v>
      </c>
    </row>
    <row r="161" customFormat="false" ht="15" hidden="false" customHeight="false" outlineLevel="0" collapsed="false">
      <c r="A161" s="0" t="n">
        <v>9</v>
      </c>
      <c r="B161" s="22" t="s">
        <v>544</v>
      </c>
      <c r="C161" s="13" t="s">
        <v>400</v>
      </c>
      <c r="D161" s="23" t="s">
        <v>486</v>
      </c>
      <c r="E161" s="23" t="s">
        <v>556</v>
      </c>
      <c r="F161" s="24" t="s">
        <v>290</v>
      </c>
      <c r="G161" s="19" t="n">
        <v>3</v>
      </c>
      <c r="H161" s="13" t="s">
        <v>27</v>
      </c>
      <c r="I161" s="12" t="n">
        <f aca="false">IFERROR(VLOOKUP(F161,Insumos!$C$5:$G$143,5,FALSE()),0)</f>
        <v>0.65</v>
      </c>
      <c r="J161" s="25" t="n">
        <f aca="false">IF(C161="bizcocho",VLOOKUP(A161,'Recetas y precios'!$A$5:$G$55,6,FALSE()),IF(C161="jarabe",VLOOKUP(A161,'Recetas y precios'!$A$5:$G$55,7,FALSE()),1))</f>
        <v>1</v>
      </c>
      <c r="K161" s="15" t="n">
        <f aca="false">G161*I161*J161</f>
        <v>1.95</v>
      </c>
    </row>
    <row r="162" customFormat="false" ht="15" hidden="false" customHeight="false" outlineLevel="0" collapsed="false">
      <c r="A162" s="0" t="n">
        <v>9</v>
      </c>
      <c r="B162" s="22" t="s">
        <v>544</v>
      </c>
      <c r="C162" s="13" t="s">
        <v>400</v>
      </c>
      <c r="D162" s="23" t="s">
        <v>486</v>
      </c>
      <c r="E162" s="23" t="s">
        <v>557</v>
      </c>
      <c r="F162" s="24" t="s">
        <v>224</v>
      </c>
      <c r="G162" s="19" t="n">
        <v>10</v>
      </c>
      <c r="H162" s="13" t="s">
        <v>27</v>
      </c>
      <c r="I162" s="12" t="n">
        <f aca="false">IFERROR(VLOOKUP(F162,Insumos!$C$5:$G$143,5,FALSE()),0)</f>
        <v>0.65</v>
      </c>
      <c r="J162" s="25" t="n">
        <f aca="false">IF(C162="bizcocho",VLOOKUP(A162,'Recetas y precios'!$A$5:$G$55,6,FALSE()),IF(C162="jarabe",VLOOKUP(A162,'Recetas y precios'!$A$5:$G$55,7,FALSE()),1))</f>
        <v>1</v>
      </c>
      <c r="K162" s="15" t="n">
        <f aca="false">G162*I162*J162</f>
        <v>6.5</v>
      </c>
    </row>
    <row r="163" customFormat="false" ht="15" hidden="false" customHeight="false" outlineLevel="0" collapsed="false">
      <c r="A163" s="0" t="n">
        <v>10</v>
      </c>
      <c r="B163" s="22" t="s">
        <v>558</v>
      </c>
      <c r="C163" s="13" t="s">
        <v>376</v>
      </c>
      <c r="D163" s="23" t="s">
        <v>559</v>
      </c>
      <c r="E163" s="23" t="s">
        <v>560</v>
      </c>
      <c r="F163" s="24" t="s">
        <v>242</v>
      </c>
      <c r="G163" s="19" t="n">
        <v>80</v>
      </c>
      <c r="H163" s="13" t="s">
        <v>27</v>
      </c>
      <c r="I163" s="12" t="n">
        <f aca="false">IFERROR(VLOOKUP(F163,Insumos!$C$5:$G$143,5,FALSE()),0)</f>
        <v>0.065</v>
      </c>
      <c r="J163" s="25" t="n">
        <f aca="false">IF(C163="bizcocho",VLOOKUP(A163,'Recetas y precios'!$A$5:$G$55,6,FALSE()),IF(C163="jarabe",VLOOKUP(A163,'Recetas y precios'!$A$5:$G$55,7,FALSE()),1))</f>
        <v>0.516</v>
      </c>
      <c r="K163" s="15" t="n">
        <f aca="false">G163*I163*J163</f>
        <v>2.6832</v>
      </c>
    </row>
    <row r="164" customFormat="false" ht="15" hidden="false" customHeight="false" outlineLevel="0" collapsed="false">
      <c r="A164" s="0" t="n">
        <v>10</v>
      </c>
      <c r="B164" s="22" t="s">
        <v>558</v>
      </c>
      <c r="C164" s="13" t="s">
        <v>376</v>
      </c>
      <c r="D164" s="23" t="s">
        <v>559</v>
      </c>
      <c r="E164" s="23" t="s">
        <v>561</v>
      </c>
      <c r="F164" s="24" t="s">
        <v>116</v>
      </c>
      <c r="G164" s="19" t="n">
        <v>45</v>
      </c>
      <c r="H164" s="13" t="s">
        <v>34</v>
      </c>
      <c r="I164" s="12" t="n">
        <f aca="false">IFERROR(VLOOKUP(F164,Insumos!$C$5:$G$143,5,FALSE()),0)</f>
        <v>0.145</v>
      </c>
      <c r="J164" s="25" t="n">
        <f aca="false">IF(C164="bizcocho",VLOOKUP(A164,'Recetas y precios'!$A$5:$G$55,6,FALSE()),IF(C164="jarabe",VLOOKUP(A164,'Recetas y precios'!$A$5:$G$55,7,FALSE()),1))</f>
        <v>0.516</v>
      </c>
      <c r="K164" s="15" t="n">
        <f aca="false">G164*I164*J164</f>
        <v>3.3669</v>
      </c>
    </row>
    <row r="165" customFormat="false" ht="15" hidden="false" customHeight="false" outlineLevel="0" collapsed="false">
      <c r="A165" s="0" t="n">
        <v>10</v>
      </c>
      <c r="B165" s="22" t="s">
        <v>558</v>
      </c>
      <c r="C165" s="13" t="s">
        <v>376</v>
      </c>
      <c r="D165" s="23" t="s">
        <v>559</v>
      </c>
      <c r="E165" s="23" t="s">
        <v>562</v>
      </c>
      <c r="F165" s="24" t="s">
        <v>80</v>
      </c>
      <c r="G165" s="19" t="n">
        <v>20</v>
      </c>
      <c r="H165" s="13" t="s">
        <v>34</v>
      </c>
      <c r="I165" s="12" t="n">
        <f aca="false">IFERROR(VLOOKUP(F165,Insumos!$C$5:$G$143,5,FALSE()),0)</f>
        <v>0.018</v>
      </c>
      <c r="J165" s="25" t="n">
        <f aca="false">IF(C165="bizcocho",VLOOKUP(A165,'Recetas y precios'!$A$5:$G$55,6,FALSE()),IF(C165="jarabe",VLOOKUP(A165,'Recetas y precios'!$A$5:$G$55,7,FALSE()),1))</f>
        <v>0.516</v>
      </c>
      <c r="K165" s="15" t="n">
        <f aca="false">G165*I165*J165</f>
        <v>0.18576</v>
      </c>
    </row>
    <row r="166" customFormat="false" ht="15" hidden="false" customHeight="false" outlineLevel="0" collapsed="false">
      <c r="A166" s="0" t="n">
        <v>10</v>
      </c>
      <c r="B166" s="22" t="s">
        <v>558</v>
      </c>
      <c r="C166" s="13" t="s">
        <v>376</v>
      </c>
      <c r="D166" s="23" t="s">
        <v>559</v>
      </c>
      <c r="E166" s="23" t="s">
        <v>563</v>
      </c>
      <c r="F166" s="24" t="s">
        <v>301</v>
      </c>
      <c r="G166" s="19" t="n">
        <v>10</v>
      </c>
      <c r="H166" s="13" t="s">
        <v>34</v>
      </c>
      <c r="I166" s="12" t="n">
        <f aca="false">IFERROR(VLOOKUP(F166,Insumos!$C$5:$G$143,5,FALSE()),0)</f>
        <v>0.642857142857143</v>
      </c>
      <c r="J166" s="25" t="n">
        <f aca="false">IF(C166="bizcocho",VLOOKUP(A166,'Recetas y precios'!$A$5:$G$55,6,FALSE()),IF(C166="jarabe",VLOOKUP(A166,'Recetas y precios'!$A$5:$G$55,7,FALSE()),1))</f>
        <v>0.516</v>
      </c>
      <c r="K166" s="15" t="n">
        <f aca="false">G166*I166*J166</f>
        <v>3.31714285714286</v>
      </c>
    </row>
    <row r="167" customFormat="false" ht="15" hidden="false" customHeight="false" outlineLevel="0" collapsed="false">
      <c r="A167" s="0" t="n">
        <v>10</v>
      </c>
      <c r="B167" s="22" t="s">
        <v>558</v>
      </c>
      <c r="C167" s="13" t="s">
        <v>393</v>
      </c>
      <c r="D167" s="23" t="s">
        <v>564</v>
      </c>
      <c r="E167" s="23" t="s">
        <v>552</v>
      </c>
      <c r="F167" s="24" t="s">
        <v>26</v>
      </c>
      <c r="G167" s="19" t="n">
        <v>120</v>
      </c>
      <c r="H167" s="13" t="s">
        <v>27</v>
      </c>
      <c r="I167" s="12" t="n">
        <f aca="false">IFERROR(VLOOKUP(F167,Insumos!$C$5:$G$143,5,FALSE()),0)</f>
        <v>0.38</v>
      </c>
      <c r="J167" s="25" t="n">
        <f aca="false">IF(C167="bizcocho",VLOOKUP(A167,'Recetas y precios'!$A$5:$G$55,6,FALSE()),IF(C167="jarabe",VLOOKUP(A167,'Recetas y precios'!$A$5:$G$55,7,FALSE()),1))</f>
        <v>1</v>
      </c>
      <c r="K167" s="15" t="n">
        <f aca="false">G167*I167*J167</f>
        <v>45.6</v>
      </c>
    </row>
    <row r="168" customFormat="false" ht="15" hidden="false" customHeight="false" outlineLevel="0" collapsed="false">
      <c r="A168" s="0" t="n">
        <v>10</v>
      </c>
      <c r="B168" s="22" t="s">
        <v>558</v>
      </c>
      <c r="C168" s="13" t="s">
        <v>393</v>
      </c>
      <c r="D168" s="23" t="s">
        <v>564</v>
      </c>
      <c r="E168" s="23" t="s">
        <v>420</v>
      </c>
      <c r="F168" s="24" t="s">
        <v>33</v>
      </c>
      <c r="G168" s="19" t="n">
        <v>120</v>
      </c>
      <c r="H168" s="13" t="s">
        <v>34</v>
      </c>
      <c r="I168" s="12" t="n">
        <f aca="false">IFERROR(VLOOKUP(F168,Insumos!$C$5:$G$143,5,FALSE()),0)</f>
        <v>0.078</v>
      </c>
      <c r="J168" s="25" t="n">
        <f aca="false">IF(C168="bizcocho",VLOOKUP(A168,'Recetas y precios'!$A$5:$G$55,6,FALSE()),IF(C168="jarabe",VLOOKUP(A168,'Recetas y precios'!$A$5:$G$55,7,FALSE()),1))</f>
        <v>1</v>
      </c>
      <c r="K168" s="15" t="n">
        <f aca="false">G168*I168*J168</f>
        <v>9.36</v>
      </c>
    </row>
    <row r="169" customFormat="false" ht="15" hidden="false" customHeight="false" outlineLevel="0" collapsed="false">
      <c r="A169" s="0" t="n">
        <v>10</v>
      </c>
      <c r="B169" s="22" t="s">
        <v>558</v>
      </c>
      <c r="C169" s="13" t="s">
        <v>393</v>
      </c>
      <c r="D169" s="23" t="s">
        <v>564</v>
      </c>
      <c r="E169" s="23" t="s">
        <v>565</v>
      </c>
      <c r="F169" s="24" t="s">
        <v>249</v>
      </c>
      <c r="G169" s="19" t="n">
        <v>45</v>
      </c>
      <c r="H169" s="13" t="s">
        <v>27</v>
      </c>
      <c r="I169" s="12" t="n">
        <f aca="false">IFERROR(VLOOKUP(F169,Insumos!$C$5:$G$143,5,FALSE()),0)</f>
        <v>0.75</v>
      </c>
      <c r="J169" s="25" t="n">
        <f aca="false">IF(C169="bizcocho",VLOOKUP(A169,'Recetas y precios'!$A$5:$G$55,6,FALSE()),IF(C169="jarabe",VLOOKUP(A169,'Recetas y precios'!$A$5:$G$55,7,FALSE()),1))</f>
        <v>1</v>
      </c>
      <c r="K169" s="15" t="n">
        <f aca="false">G169*I169*J169</f>
        <v>33.75</v>
      </c>
    </row>
    <row r="170" customFormat="false" ht="15" hidden="false" customHeight="false" outlineLevel="0" collapsed="false">
      <c r="A170" s="0" t="n">
        <v>10</v>
      </c>
      <c r="B170" s="22" t="s">
        <v>558</v>
      </c>
      <c r="C170" s="13" t="s">
        <v>393</v>
      </c>
      <c r="D170" s="23" t="s">
        <v>564</v>
      </c>
      <c r="E170" s="23" t="s">
        <v>566</v>
      </c>
      <c r="F170" s="24" t="s">
        <v>36</v>
      </c>
      <c r="G170" s="19" t="n">
        <v>35</v>
      </c>
      <c r="H170" s="13" t="s">
        <v>27</v>
      </c>
      <c r="I170" s="12" t="n">
        <f aca="false">IFERROR(VLOOKUP(F170,Insumos!$C$5:$G$143,5,FALSE()),0)</f>
        <v>0.085</v>
      </c>
      <c r="J170" s="25" t="n">
        <f aca="false">IF(C170="bizcocho",VLOOKUP(A170,'Recetas y precios'!$A$5:$G$55,6,FALSE()),IF(C170="jarabe",VLOOKUP(A170,'Recetas y precios'!$A$5:$G$55,7,FALSE()),1))</f>
        <v>1</v>
      </c>
      <c r="K170" s="15" t="n">
        <f aca="false">G170*I170*J170</f>
        <v>2.975</v>
      </c>
    </row>
    <row r="171" customFormat="false" ht="15" hidden="false" customHeight="false" outlineLevel="0" collapsed="false">
      <c r="A171" s="0" t="n">
        <v>10</v>
      </c>
      <c r="B171" s="22" t="s">
        <v>558</v>
      </c>
      <c r="C171" s="13" t="s">
        <v>393</v>
      </c>
      <c r="D171" s="23" t="s">
        <v>564</v>
      </c>
      <c r="E171" s="23" t="s">
        <v>567</v>
      </c>
      <c r="F171" s="24" t="s">
        <v>74</v>
      </c>
      <c r="G171" s="19" t="n">
        <v>15</v>
      </c>
      <c r="H171" s="13" t="s">
        <v>27</v>
      </c>
      <c r="I171" s="12" t="n">
        <f aca="false">IFERROR(VLOOKUP(F171,Insumos!$C$5:$G$143,5,FALSE()),0)</f>
        <v>0.045</v>
      </c>
      <c r="J171" s="25" t="n">
        <f aca="false">IF(C171="bizcocho",VLOOKUP(A171,'Recetas y precios'!$A$5:$G$55,6,FALSE()),IF(C171="jarabe",VLOOKUP(A171,'Recetas y precios'!$A$5:$G$55,7,FALSE()),1))</f>
        <v>1</v>
      </c>
      <c r="K171" s="15" t="n">
        <f aca="false">G171*I171*J171</f>
        <v>0.675</v>
      </c>
    </row>
    <row r="172" customFormat="false" ht="15" hidden="false" customHeight="false" outlineLevel="0" collapsed="false">
      <c r="A172" s="0" t="n">
        <v>10</v>
      </c>
      <c r="B172" s="22" t="s">
        <v>558</v>
      </c>
      <c r="C172" s="13" t="s">
        <v>393</v>
      </c>
      <c r="D172" s="23" t="s">
        <v>564</v>
      </c>
      <c r="E172" s="23" t="s">
        <v>568</v>
      </c>
      <c r="F172" s="24" t="s">
        <v>103</v>
      </c>
      <c r="G172" s="19" t="n">
        <v>1</v>
      </c>
      <c r="H172" s="13" t="s">
        <v>27</v>
      </c>
      <c r="I172" s="12" t="n">
        <f aca="false">IFERROR(VLOOKUP(F172,Insumos!$C$5:$G$143,5,FALSE()),0)</f>
        <v>0.025</v>
      </c>
      <c r="J172" s="25" t="n">
        <f aca="false">IF(C172="bizcocho",VLOOKUP(A172,'Recetas y precios'!$A$5:$G$55,6,FALSE()),IF(C172="jarabe",VLOOKUP(A172,'Recetas y precios'!$A$5:$G$55,7,FALSE()),1))</f>
        <v>1</v>
      </c>
      <c r="K172" s="15" t="n">
        <f aca="false">G172*I172*J172</f>
        <v>0.025</v>
      </c>
    </row>
    <row r="173" customFormat="false" ht="15" hidden="false" customHeight="false" outlineLevel="0" collapsed="false">
      <c r="A173" s="0" t="n">
        <v>10</v>
      </c>
      <c r="B173" s="22" t="s">
        <v>558</v>
      </c>
      <c r="C173" s="13" t="s">
        <v>400</v>
      </c>
      <c r="D173" s="23" t="s">
        <v>569</v>
      </c>
      <c r="E173" s="23" t="s">
        <v>570</v>
      </c>
      <c r="F173" s="24" t="s">
        <v>212</v>
      </c>
      <c r="G173" s="19" t="n">
        <v>40</v>
      </c>
      <c r="H173" s="13" t="s">
        <v>27</v>
      </c>
      <c r="I173" s="12" t="n">
        <f aca="false">IFERROR(VLOOKUP(F173,Insumos!$C$5:$G$143,5,FALSE()),0)</f>
        <v>0.3</v>
      </c>
      <c r="J173" s="25" t="n">
        <f aca="false">IF(C173="bizcocho",VLOOKUP(A173,'Recetas y precios'!$A$5:$G$55,6,FALSE()),IF(C173="jarabe",VLOOKUP(A173,'Recetas y precios'!$A$5:$G$55,7,FALSE()),1))</f>
        <v>1</v>
      </c>
      <c r="K173" s="15" t="n">
        <f aca="false">G173*I173*J173</f>
        <v>12</v>
      </c>
    </row>
    <row r="174" customFormat="false" ht="15" hidden="false" customHeight="false" outlineLevel="0" collapsed="false">
      <c r="A174" s="0" t="n">
        <v>10</v>
      </c>
      <c r="B174" s="22" t="s">
        <v>558</v>
      </c>
      <c r="C174" s="13" t="s">
        <v>400</v>
      </c>
      <c r="D174" s="23" t="s">
        <v>569</v>
      </c>
      <c r="E174" s="23" t="s">
        <v>571</v>
      </c>
      <c r="F174" s="24" t="s">
        <v>111</v>
      </c>
      <c r="G174" s="19" t="n">
        <v>12</v>
      </c>
      <c r="H174" s="13" t="s">
        <v>34</v>
      </c>
      <c r="I174" s="12" t="n">
        <f aca="false">IFERROR(VLOOKUP(F174,Insumos!$C$5:$G$143,5,FALSE()),0)</f>
        <v>0.18</v>
      </c>
      <c r="J174" s="25" t="n">
        <f aca="false">IF(C174="bizcocho",VLOOKUP(A174,'Recetas y precios'!$A$5:$G$55,6,FALSE()),IF(C174="jarabe",VLOOKUP(A174,'Recetas y precios'!$A$5:$G$55,7,FALSE()),1))</f>
        <v>1</v>
      </c>
      <c r="K174" s="15" t="n">
        <f aca="false">G174*I174*J174</f>
        <v>2.16</v>
      </c>
    </row>
    <row r="175" customFormat="false" ht="15" hidden="false" customHeight="false" outlineLevel="0" collapsed="false">
      <c r="A175" s="0" t="n">
        <v>10</v>
      </c>
      <c r="B175" s="22" t="s">
        <v>558</v>
      </c>
      <c r="C175" s="13" t="s">
        <v>400</v>
      </c>
      <c r="D175" s="23" t="s">
        <v>569</v>
      </c>
      <c r="E175" s="23" t="s">
        <v>572</v>
      </c>
      <c r="F175" s="24" t="s">
        <v>247</v>
      </c>
      <c r="G175" s="19" t="n">
        <v>15</v>
      </c>
      <c r="H175" s="13" t="s">
        <v>27</v>
      </c>
      <c r="I175" s="12" t="n">
        <f aca="false">IFERROR(VLOOKUP(F175,Insumos!$C$5:$G$143,5,FALSE()),0)</f>
        <v>0.52</v>
      </c>
      <c r="J175" s="25" t="n">
        <f aca="false">IF(C175="bizcocho",VLOOKUP(A175,'Recetas y precios'!$A$5:$G$55,6,FALSE()),IF(C175="jarabe",VLOOKUP(A175,'Recetas y precios'!$A$5:$G$55,7,FALSE()),1))</f>
        <v>1</v>
      </c>
      <c r="K175" s="15" t="n">
        <f aca="false">G175*I175*J175</f>
        <v>7.8</v>
      </c>
    </row>
    <row r="176" customFormat="false" ht="15" hidden="false" customHeight="false" outlineLevel="0" collapsed="false">
      <c r="A176" s="0" t="n">
        <v>11</v>
      </c>
      <c r="B176" s="22" t="s">
        <v>573</v>
      </c>
      <c r="C176" s="13" t="s">
        <v>376</v>
      </c>
      <c r="D176" s="23" t="s">
        <v>574</v>
      </c>
      <c r="E176" s="23" t="s">
        <v>530</v>
      </c>
      <c r="F176" s="24" t="s">
        <v>59</v>
      </c>
      <c r="G176" s="19" t="n">
        <v>50</v>
      </c>
      <c r="H176" s="13" t="s">
        <v>27</v>
      </c>
      <c r="I176" s="12" t="n">
        <f aca="false">IFERROR(VLOOKUP(F176,Insumos!$C$5:$G$143,5,FALSE()),0)</f>
        <v>0.032</v>
      </c>
      <c r="J176" s="25" t="n">
        <f aca="false">IF(C176="bizcocho",VLOOKUP(A176,'Recetas y precios'!$A$5:$G$55,6,FALSE()),IF(C176="jarabe",VLOOKUP(A176,'Recetas y precios'!$A$5:$G$55,7,FALSE()),1))</f>
        <v>0.27</v>
      </c>
      <c r="K176" s="15" t="n">
        <f aca="false">G176*I176*J176</f>
        <v>0.432</v>
      </c>
    </row>
    <row r="177" customFormat="false" ht="15" hidden="false" customHeight="false" outlineLevel="0" collapsed="false">
      <c r="A177" s="0" t="n">
        <v>11</v>
      </c>
      <c r="B177" s="22" t="s">
        <v>573</v>
      </c>
      <c r="C177" s="13" t="s">
        <v>376</v>
      </c>
      <c r="D177" s="23" t="s">
        <v>574</v>
      </c>
      <c r="E177" s="23" t="s">
        <v>575</v>
      </c>
      <c r="F177" s="24" t="s">
        <v>125</v>
      </c>
      <c r="G177" s="19" t="n">
        <v>10</v>
      </c>
      <c r="H177" s="13" t="s">
        <v>27</v>
      </c>
      <c r="I177" s="12" t="n">
        <f aca="false">IFERROR(VLOOKUP(F177,Insumos!$C$5:$G$143,5,FALSE()),0)</f>
        <v>4.8</v>
      </c>
      <c r="J177" s="25" t="n">
        <f aca="false">IF(C177="bizcocho",VLOOKUP(A177,'Recetas y precios'!$A$5:$G$55,6,FALSE()),IF(C177="jarabe",VLOOKUP(A177,'Recetas y precios'!$A$5:$G$55,7,FALSE()),1))</f>
        <v>0.27</v>
      </c>
      <c r="K177" s="15" t="n">
        <f aca="false">G177*I177*J177</f>
        <v>12.96</v>
      </c>
    </row>
    <row r="178" customFormat="false" ht="15" hidden="false" customHeight="false" outlineLevel="0" collapsed="false">
      <c r="A178" s="0" t="n">
        <v>11</v>
      </c>
      <c r="B178" s="22" t="s">
        <v>573</v>
      </c>
      <c r="C178" s="13" t="s">
        <v>376</v>
      </c>
      <c r="D178" s="23" t="s">
        <v>574</v>
      </c>
      <c r="E178" s="23" t="s">
        <v>493</v>
      </c>
      <c r="F178" s="24" t="s">
        <v>48</v>
      </c>
      <c r="G178" s="19" t="n">
        <v>40</v>
      </c>
      <c r="H178" s="13" t="s">
        <v>27</v>
      </c>
      <c r="I178" s="12" t="n">
        <f aca="false">IFERROR(VLOOKUP(F178,Insumos!$C$5:$G$143,5,FALSE()),0)</f>
        <v>0.13</v>
      </c>
      <c r="J178" s="25" t="n">
        <f aca="false">IF(C178="bizcocho",VLOOKUP(A178,'Recetas y precios'!$A$5:$G$55,6,FALSE()),IF(C178="jarabe",VLOOKUP(A178,'Recetas y precios'!$A$5:$G$55,7,FALSE()),1))</f>
        <v>0.27</v>
      </c>
      <c r="K178" s="15" t="n">
        <f aca="false">G178*I178*J178</f>
        <v>1.404</v>
      </c>
    </row>
    <row r="179" customFormat="false" ht="15" hidden="false" customHeight="false" outlineLevel="0" collapsed="false">
      <c r="A179" s="0" t="n">
        <v>11</v>
      </c>
      <c r="B179" s="22" t="s">
        <v>573</v>
      </c>
      <c r="C179" s="13" t="s">
        <v>376</v>
      </c>
      <c r="D179" s="23" t="s">
        <v>574</v>
      </c>
      <c r="E179" s="23" t="s">
        <v>380</v>
      </c>
      <c r="F179" s="24" t="s">
        <v>50</v>
      </c>
      <c r="G179" s="19" t="n">
        <v>80</v>
      </c>
      <c r="H179" s="13" t="s">
        <v>27</v>
      </c>
      <c r="I179" s="12" t="n">
        <f aca="false">IFERROR(VLOOKUP(F179,Insumos!$C$5:$G$143,5,FALSE()),0)</f>
        <v>0.075</v>
      </c>
      <c r="J179" s="25" t="n">
        <f aca="false">IF(C179="bizcocho",VLOOKUP(A179,'Recetas y precios'!$A$5:$G$55,6,FALSE()),IF(C179="jarabe",VLOOKUP(A179,'Recetas y precios'!$A$5:$G$55,7,FALSE()),1))</f>
        <v>0.27</v>
      </c>
      <c r="K179" s="15" t="n">
        <f aca="false">G179*I179*J179</f>
        <v>1.62</v>
      </c>
    </row>
    <row r="180" customFormat="false" ht="15" hidden="false" customHeight="false" outlineLevel="0" collapsed="false">
      <c r="A180" s="0" t="n">
        <v>11</v>
      </c>
      <c r="B180" s="22" t="s">
        <v>573</v>
      </c>
      <c r="C180" s="13" t="s">
        <v>376</v>
      </c>
      <c r="D180" s="23" t="s">
        <v>574</v>
      </c>
      <c r="E180" s="23" t="s">
        <v>472</v>
      </c>
      <c r="F180" s="24" t="s">
        <v>72</v>
      </c>
      <c r="G180" s="19" t="n">
        <v>45</v>
      </c>
      <c r="H180" s="13" t="s">
        <v>27</v>
      </c>
      <c r="I180" s="12" t="n">
        <f aca="false">IFERROR(VLOOKUP(F180,Insumos!$C$5:$G$143,5,FALSE()),0)</f>
        <v>0.028</v>
      </c>
      <c r="J180" s="25" t="n">
        <f aca="false">IF(C180="bizcocho",VLOOKUP(A180,'Recetas y precios'!$A$5:$G$55,6,FALSE()),IF(C180="jarabe",VLOOKUP(A180,'Recetas y precios'!$A$5:$G$55,7,FALSE()),1))</f>
        <v>0.27</v>
      </c>
      <c r="K180" s="15" t="n">
        <f aca="false">G180*I180*J180</f>
        <v>0.3402</v>
      </c>
    </row>
    <row r="181" customFormat="false" ht="15" hidden="false" customHeight="false" outlineLevel="0" collapsed="false">
      <c r="A181" s="0" t="n">
        <v>11</v>
      </c>
      <c r="B181" s="22" t="s">
        <v>573</v>
      </c>
      <c r="C181" s="13" t="s">
        <v>376</v>
      </c>
      <c r="D181" s="23" t="s">
        <v>574</v>
      </c>
      <c r="E181" s="23" t="s">
        <v>576</v>
      </c>
      <c r="F181" s="24" t="s">
        <v>109</v>
      </c>
      <c r="G181" s="19" t="n">
        <v>30</v>
      </c>
      <c r="H181" s="13" t="s">
        <v>34</v>
      </c>
      <c r="I181" s="12" t="n">
        <f aca="false">IFERROR(VLOOKUP(F181,Insumos!$C$5:$G$143,5,FALSE()),0)</f>
        <v>0.045</v>
      </c>
      <c r="J181" s="25" t="n">
        <f aca="false">IF(C181="bizcocho",VLOOKUP(A181,'Recetas y precios'!$A$5:$G$55,6,FALSE()),IF(C181="jarabe",VLOOKUP(A181,'Recetas y precios'!$A$5:$G$55,7,FALSE()),1))</f>
        <v>0.27</v>
      </c>
      <c r="K181" s="15" t="n">
        <f aca="false">G181*I181*J181</f>
        <v>0.3645</v>
      </c>
    </row>
    <row r="182" customFormat="false" ht="15" hidden="false" customHeight="false" outlineLevel="0" collapsed="false">
      <c r="A182" s="0" t="n">
        <v>11</v>
      </c>
      <c r="B182" s="22" t="s">
        <v>573</v>
      </c>
      <c r="C182" s="13" t="s">
        <v>376</v>
      </c>
      <c r="D182" s="23" t="s">
        <v>574</v>
      </c>
      <c r="E182" s="23" t="s">
        <v>577</v>
      </c>
      <c r="F182" s="24" t="s">
        <v>40</v>
      </c>
      <c r="G182" s="19" t="n">
        <v>40</v>
      </c>
      <c r="H182" s="13" t="s">
        <v>34</v>
      </c>
      <c r="I182" s="12" t="n">
        <f aca="false">IFERROR(VLOOKUP(F182,Insumos!$C$5:$G$143,5,FALSE()),0)</f>
        <v>0.028</v>
      </c>
      <c r="J182" s="25" t="n">
        <f aca="false">IF(C182="bizcocho",VLOOKUP(A182,'Recetas y precios'!$A$5:$G$55,6,FALSE()),IF(C182="jarabe",VLOOKUP(A182,'Recetas y precios'!$A$5:$G$55,7,FALSE()),1))</f>
        <v>0.27</v>
      </c>
      <c r="K182" s="15" t="n">
        <f aca="false">G182*I182*J182</f>
        <v>0.3024</v>
      </c>
    </row>
    <row r="183" customFormat="false" ht="15" hidden="false" customHeight="false" outlineLevel="0" collapsed="false">
      <c r="A183" s="0" t="n">
        <v>11</v>
      </c>
      <c r="B183" s="22" t="s">
        <v>573</v>
      </c>
      <c r="C183" s="13" t="s">
        <v>376</v>
      </c>
      <c r="D183" s="23" t="s">
        <v>574</v>
      </c>
      <c r="E183" s="23" t="s">
        <v>385</v>
      </c>
      <c r="F183" s="24" t="s">
        <v>103</v>
      </c>
      <c r="G183" s="19" t="n">
        <v>1</v>
      </c>
      <c r="H183" s="13" t="s">
        <v>27</v>
      </c>
      <c r="I183" s="12" t="n">
        <f aca="false">IFERROR(VLOOKUP(F183,Insumos!$C$5:$G$143,5,FALSE()),0)</f>
        <v>0.025</v>
      </c>
      <c r="J183" s="25" t="n">
        <f aca="false">IF(C183="bizcocho",VLOOKUP(A183,'Recetas y precios'!$A$5:$G$55,6,FALSE()),IF(C183="jarabe",VLOOKUP(A183,'Recetas y precios'!$A$5:$G$55,7,FALSE()),1))</f>
        <v>0.27</v>
      </c>
      <c r="K183" s="15" t="n">
        <f aca="false">G183*I183*J183</f>
        <v>0.00675</v>
      </c>
    </row>
    <row r="184" customFormat="false" ht="15" hidden="false" customHeight="false" outlineLevel="0" collapsed="false">
      <c r="A184" s="0" t="n">
        <v>11</v>
      </c>
      <c r="B184" s="22" t="s">
        <v>573</v>
      </c>
      <c r="C184" s="13" t="s">
        <v>387</v>
      </c>
      <c r="D184" s="23" t="s">
        <v>578</v>
      </c>
      <c r="E184" s="23" t="s">
        <v>579</v>
      </c>
      <c r="F184" s="24" t="s">
        <v>125</v>
      </c>
      <c r="G184" s="19" t="n">
        <v>6</v>
      </c>
      <c r="H184" s="13" t="s">
        <v>27</v>
      </c>
      <c r="I184" s="12" t="n">
        <f aca="false">IFERROR(VLOOKUP(F184,Insumos!$C$5:$G$143,5,FALSE()),0)</f>
        <v>4.8</v>
      </c>
      <c r="J184" s="25" t="n">
        <f aca="false">IF(C184="bizcocho",VLOOKUP(A184,'Recetas y precios'!$A$5:$G$55,6,FALSE()),IF(C184="jarabe",VLOOKUP(A184,'Recetas y precios'!$A$5:$G$55,7,FALSE()),1))</f>
        <v>0.769</v>
      </c>
      <c r="K184" s="15" t="n">
        <f aca="false">G184*I184*J184</f>
        <v>22.1472</v>
      </c>
    </row>
    <row r="185" customFormat="false" ht="15" hidden="false" customHeight="false" outlineLevel="0" collapsed="false">
      <c r="A185" s="0" t="n">
        <v>11</v>
      </c>
      <c r="B185" s="22" t="s">
        <v>573</v>
      </c>
      <c r="C185" s="13" t="s">
        <v>387</v>
      </c>
      <c r="D185" s="23" t="s">
        <v>578</v>
      </c>
      <c r="E185" s="23" t="s">
        <v>580</v>
      </c>
      <c r="F185" s="24" t="s">
        <v>113</v>
      </c>
      <c r="G185" s="19" t="n">
        <v>60</v>
      </c>
      <c r="H185" s="13" t="s">
        <v>34</v>
      </c>
      <c r="I185" s="12" t="n">
        <f aca="false">IFERROR(VLOOKUP(F185,Insumos!$C$5:$G$143,5,FALSE()),0)</f>
        <v>0.002</v>
      </c>
      <c r="J185" s="25" t="n">
        <f aca="false">IF(C185="bizcocho",VLOOKUP(A185,'Recetas y precios'!$A$5:$G$55,6,FALSE()),IF(C185="jarabe",VLOOKUP(A185,'Recetas y precios'!$A$5:$G$55,7,FALSE()),1))</f>
        <v>0.769</v>
      </c>
      <c r="K185" s="15" t="n">
        <f aca="false">G185*I185*J185</f>
        <v>0.09228</v>
      </c>
    </row>
    <row r="186" customFormat="false" ht="15" hidden="false" customHeight="false" outlineLevel="0" collapsed="false">
      <c r="A186" s="0" t="n">
        <v>11</v>
      </c>
      <c r="B186" s="22" t="s">
        <v>573</v>
      </c>
      <c r="C186" s="13" t="s">
        <v>387</v>
      </c>
      <c r="D186" s="23" t="s">
        <v>578</v>
      </c>
      <c r="E186" s="23" t="s">
        <v>581</v>
      </c>
      <c r="F186" s="24" t="s">
        <v>72</v>
      </c>
      <c r="G186" s="19" t="n">
        <v>20</v>
      </c>
      <c r="H186" s="13" t="s">
        <v>27</v>
      </c>
      <c r="I186" s="12" t="n">
        <f aca="false">IFERROR(VLOOKUP(F186,Insumos!$C$5:$G$143,5,FALSE()),0)</f>
        <v>0.028</v>
      </c>
      <c r="J186" s="25" t="n">
        <f aca="false">IF(C186="bizcocho",VLOOKUP(A186,'Recetas y precios'!$A$5:$G$55,6,FALSE()),IF(C186="jarabe",VLOOKUP(A186,'Recetas y precios'!$A$5:$G$55,7,FALSE()),1))</f>
        <v>0.769</v>
      </c>
      <c r="K186" s="15" t="n">
        <f aca="false">G186*I186*J186</f>
        <v>0.43064</v>
      </c>
    </row>
    <row r="187" customFormat="false" ht="15" hidden="false" customHeight="false" outlineLevel="0" collapsed="false">
      <c r="A187" s="0" t="n">
        <v>11</v>
      </c>
      <c r="B187" s="22" t="s">
        <v>573</v>
      </c>
      <c r="C187" s="13" t="s">
        <v>387</v>
      </c>
      <c r="D187" s="23" t="s">
        <v>578</v>
      </c>
      <c r="E187" s="23" t="s">
        <v>582</v>
      </c>
      <c r="F187" s="24" t="s">
        <v>315</v>
      </c>
      <c r="G187" s="19" t="n">
        <v>5</v>
      </c>
      <c r="H187" s="13" t="s">
        <v>34</v>
      </c>
      <c r="I187" s="12" t="n">
        <f aca="false">IFERROR(VLOOKUP(F187,Insumos!$C$5:$G$143,5,FALSE()),0)</f>
        <v>0.533333333333333</v>
      </c>
      <c r="J187" s="25" t="n">
        <f aca="false">IF(C187="bizcocho",VLOOKUP(A187,'Recetas y precios'!$A$5:$G$55,6,FALSE()),IF(C187="jarabe",VLOOKUP(A187,'Recetas y precios'!$A$5:$G$55,7,FALSE()),1))</f>
        <v>0.769</v>
      </c>
      <c r="K187" s="15" t="n">
        <f aca="false">G187*I187*J187</f>
        <v>2.05066666666667</v>
      </c>
    </row>
    <row r="188" customFormat="false" ht="15" hidden="false" customHeight="false" outlineLevel="0" collapsed="false">
      <c r="A188" s="0" t="n">
        <v>11</v>
      </c>
      <c r="B188" s="22" t="s">
        <v>573</v>
      </c>
      <c r="C188" s="13" t="s">
        <v>393</v>
      </c>
      <c r="D188" s="23" t="s">
        <v>583</v>
      </c>
      <c r="E188" s="23" t="s">
        <v>584</v>
      </c>
      <c r="F188" s="24" t="s">
        <v>26</v>
      </c>
      <c r="G188" s="19" t="n">
        <v>200</v>
      </c>
      <c r="H188" s="13" t="s">
        <v>27</v>
      </c>
      <c r="I188" s="12" t="n">
        <f aca="false">IFERROR(VLOOKUP(F188,Insumos!$C$5:$G$143,5,FALSE()),0)</f>
        <v>0.38</v>
      </c>
      <c r="J188" s="25" t="n">
        <f aca="false">IF(C188="bizcocho",VLOOKUP(A188,'Recetas y precios'!$A$5:$G$55,6,FALSE()),IF(C188="jarabe",VLOOKUP(A188,'Recetas y precios'!$A$5:$G$55,7,FALSE()),1))</f>
        <v>1</v>
      </c>
      <c r="K188" s="15" t="n">
        <f aca="false">G188*I188*J188</f>
        <v>76</v>
      </c>
    </row>
    <row r="189" customFormat="false" ht="15" hidden="false" customHeight="false" outlineLevel="0" collapsed="false">
      <c r="A189" s="0" t="n">
        <v>11</v>
      </c>
      <c r="B189" s="22" t="s">
        <v>573</v>
      </c>
      <c r="C189" s="13" t="s">
        <v>393</v>
      </c>
      <c r="D189" s="23" t="s">
        <v>583</v>
      </c>
      <c r="E189" s="23" t="s">
        <v>585</v>
      </c>
      <c r="F189" s="24" t="s">
        <v>33</v>
      </c>
      <c r="G189" s="19" t="n">
        <v>200</v>
      </c>
      <c r="H189" s="13" t="s">
        <v>34</v>
      </c>
      <c r="I189" s="12" t="n">
        <f aca="false">IFERROR(VLOOKUP(F189,Insumos!$C$5:$G$143,5,FALSE()),0)</f>
        <v>0.078</v>
      </c>
      <c r="J189" s="25" t="n">
        <f aca="false">IF(C189="bizcocho",VLOOKUP(A189,'Recetas y precios'!$A$5:$G$55,6,FALSE()),IF(C189="jarabe",VLOOKUP(A189,'Recetas y precios'!$A$5:$G$55,7,FALSE()),1))</f>
        <v>1</v>
      </c>
      <c r="K189" s="15" t="n">
        <f aca="false">G189*I189*J189</f>
        <v>15.6</v>
      </c>
    </row>
    <row r="190" customFormat="false" ht="15" hidden="false" customHeight="false" outlineLevel="0" collapsed="false">
      <c r="A190" s="0" t="n">
        <v>11</v>
      </c>
      <c r="B190" s="22" t="s">
        <v>573</v>
      </c>
      <c r="C190" s="13" t="s">
        <v>393</v>
      </c>
      <c r="D190" s="23" t="s">
        <v>583</v>
      </c>
      <c r="E190" s="23" t="s">
        <v>586</v>
      </c>
      <c r="F190" s="24" t="s">
        <v>125</v>
      </c>
      <c r="G190" s="19" t="n">
        <v>8</v>
      </c>
      <c r="H190" s="13" t="s">
        <v>27</v>
      </c>
      <c r="I190" s="12" t="n">
        <f aca="false">IFERROR(VLOOKUP(F190,Insumos!$C$5:$G$143,5,FALSE()),0)</f>
        <v>4.8</v>
      </c>
      <c r="J190" s="25" t="n">
        <f aca="false">IF(C190="bizcocho",VLOOKUP(A190,'Recetas y precios'!$A$5:$G$55,6,FALSE()),IF(C190="jarabe",VLOOKUP(A190,'Recetas y precios'!$A$5:$G$55,7,FALSE()),1))</f>
        <v>1</v>
      </c>
      <c r="K190" s="15" t="n">
        <f aca="false">G190*I190*J190</f>
        <v>38.4</v>
      </c>
    </row>
    <row r="191" customFormat="false" ht="15" hidden="false" customHeight="false" outlineLevel="0" collapsed="false">
      <c r="A191" s="0" t="n">
        <v>11</v>
      </c>
      <c r="B191" s="22" t="s">
        <v>573</v>
      </c>
      <c r="C191" s="13" t="s">
        <v>393</v>
      </c>
      <c r="D191" s="23" t="s">
        <v>583</v>
      </c>
      <c r="E191" s="23" t="s">
        <v>444</v>
      </c>
      <c r="F191" s="24" t="s">
        <v>36</v>
      </c>
      <c r="G191" s="19" t="n">
        <v>50</v>
      </c>
      <c r="H191" s="13" t="s">
        <v>27</v>
      </c>
      <c r="I191" s="12" t="n">
        <f aca="false">IFERROR(VLOOKUP(F191,Insumos!$C$5:$G$143,5,FALSE()),0)</f>
        <v>0.085</v>
      </c>
      <c r="J191" s="25" t="n">
        <f aca="false">IF(C191="bizcocho",VLOOKUP(A191,'Recetas y precios'!$A$5:$G$55,6,FALSE()),IF(C191="jarabe",VLOOKUP(A191,'Recetas y precios'!$A$5:$G$55,7,FALSE()),1))</f>
        <v>1</v>
      </c>
      <c r="K191" s="15" t="n">
        <f aca="false">G191*I191*J191</f>
        <v>4.25</v>
      </c>
    </row>
    <row r="192" customFormat="false" ht="15" hidden="false" customHeight="false" outlineLevel="0" collapsed="false">
      <c r="A192" s="0" t="n">
        <v>11</v>
      </c>
      <c r="B192" s="22" t="s">
        <v>573</v>
      </c>
      <c r="C192" s="13" t="s">
        <v>393</v>
      </c>
      <c r="D192" s="23" t="s">
        <v>583</v>
      </c>
      <c r="E192" s="23" t="s">
        <v>445</v>
      </c>
      <c r="F192" s="24" t="s">
        <v>74</v>
      </c>
      <c r="G192" s="19" t="n">
        <v>25</v>
      </c>
      <c r="H192" s="13" t="s">
        <v>27</v>
      </c>
      <c r="I192" s="12" t="n">
        <f aca="false">IFERROR(VLOOKUP(F192,Insumos!$C$5:$G$143,5,FALSE()),0)</f>
        <v>0.045</v>
      </c>
      <c r="J192" s="25" t="n">
        <f aca="false">IF(C192="bizcocho",VLOOKUP(A192,'Recetas y precios'!$A$5:$G$55,6,FALSE()),IF(C192="jarabe",VLOOKUP(A192,'Recetas y precios'!$A$5:$G$55,7,FALSE()),1))</f>
        <v>1</v>
      </c>
      <c r="K192" s="15" t="n">
        <f aca="false">G192*I192*J192</f>
        <v>1.125</v>
      </c>
    </row>
    <row r="193" customFormat="false" ht="15" hidden="false" customHeight="false" outlineLevel="0" collapsed="false">
      <c r="A193" s="0" t="n">
        <v>11</v>
      </c>
      <c r="B193" s="22" t="s">
        <v>573</v>
      </c>
      <c r="C193" s="13" t="s">
        <v>400</v>
      </c>
      <c r="D193" s="23" t="s">
        <v>587</v>
      </c>
      <c r="E193" s="23" t="s">
        <v>588</v>
      </c>
      <c r="F193" s="24" t="s">
        <v>201</v>
      </c>
      <c r="G193" s="19" t="n">
        <v>60</v>
      </c>
      <c r="H193" s="13" t="s">
        <v>27</v>
      </c>
      <c r="I193" s="12" t="n">
        <f aca="false">IFERROR(VLOOKUP(F193,Insumos!$C$5:$G$143,5,FALSE()),0)</f>
        <v>0.22</v>
      </c>
      <c r="J193" s="25" t="n">
        <f aca="false">IF(C193="bizcocho",VLOOKUP(A193,'Recetas y precios'!$A$5:$G$55,6,FALSE()),IF(C193="jarabe",VLOOKUP(A193,'Recetas y precios'!$A$5:$G$55,7,FALSE()),1))</f>
        <v>1</v>
      </c>
      <c r="K193" s="15" t="n">
        <f aca="false">G193*I193*J193</f>
        <v>13.2</v>
      </c>
    </row>
    <row r="194" customFormat="false" ht="15" hidden="false" customHeight="false" outlineLevel="0" collapsed="false">
      <c r="A194" s="0" t="n">
        <v>11</v>
      </c>
      <c r="B194" s="22" t="s">
        <v>573</v>
      </c>
      <c r="C194" s="13" t="s">
        <v>400</v>
      </c>
      <c r="D194" s="23" t="s">
        <v>587</v>
      </c>
      <c r="E194" s="23" t="s">
        <v>589</v>
      </c>
      <c r="F194" s="24" t="s">
        <v>125</v>
      </c>
      <c r="G194" s="19" t="n">
        <v>6</v>
      </c>
      <c r="H194" s="13" t="s">
        <v>27</v>
      </c>
      <c r="I194" s="12" t="n">
        <f aca="false">IFERROR(VLOOKUP(F194,Insumos!$C$5:$G$143,5,FALSE()),0)</f>
        <v>4.8</v>
      </c>
      <c r="J194" s="25" t="n">
        <f aca="false">IF(C194="bizcocho",VLOOKUP(A194,'Recetas y precios'!$A$5:$G$55,6,FALSE()),IF(C194="jarabe",VLOOKUP(A194,'Recetas y precios'!$A$5:$G$55,7,FALSE()),1))</f>
        <v>1</v>
      </c>
      <c r="K194" s="15" t="n">
        <f aca="false">G194*I194*J194</f>
        <v>28.8</v>
      </c>
    </row>
    <row r="195" customFormat="false" ht="15" hidden="false" customHeight="false" outlineLevel="0" collapsed="false">
      <c r="A195" s="0" t="n">
        <v>12</v>
      </c>
      <c r="B195" s="22" t="s">
        <v>590</v>
      </c>
      <c r="C195" s="13" t="s">
        <v>376</v>
      </c>
      <c r="D195" s="23" t="s">
        <v>591</v>
      </c>
      <c r="E195" s="23" t="s">
        <v>530</v>
      </c>
      <c r="F195" s="24" t="s">
        <v>59</v>
      </c>
      <c r="G195" s="19" t="n">
        <v>50</v>
      </c>
      <c r="H195" s="13" t="s">
        <v>27</v>
      </c>
      <c r="I195" s="12" t="n">
        <f aca="false">IFERROR(VLOOKUP(F195,Insumos!$C$5:$G$143,5,FALSE()),0)</f>
        <v>0.032</v>
      </c>
      <c r="J195" s="25" t="n">
        <f aca="false">IF(C195="bizcocho",VLOOKUP(A195,'Recetas y precios'!$A$5:$G$55,6,FALSE()),IF(C195="jarabe",VLOOKUP(A195,'Recetas y precios'!$A$5:$G$55,7,FALSE()),1))</f>
        <v>0.352</v>
      </c>
      <c r="K195" s="15" t="n">
        <f aca="false">G195*I195*J195</f>
        <v>0.5632</v>
      </c>
    </row>
    <row r="196" customFormat="false" ht="15" hidden="false" customHeight="false" outlineLevel="0" collapsed="false">
      <c r="A196" s="0" t="n">
        <v>12</v>
      </c>
      <c r="B196" s="22" t="s">
        <v>590</v>
      </c>
      <c r="C196" s="13" t="s">
        <v>376</v>
      </c>
      <c r="D196" s="23" t="s">
        <v>591</v>
      </c>
      <c r="E196" s="23" t="s">
        <v>409</v>
      </c>
      <c r="F196" s="24" t="s">
        <v>48</v>
      </c>
      <c r="G196" s="19" t="n">
        <v>35</v>
      </c>
      <c r="H196" s="13" t="s">
        <v>27</v>
      </c>
      <c r="I196" s="12" t="n">
        <f aca="false">IFERROR(VLOOKUP(F196,Insumos!$C$5:$G$143,5,FALSE()),0)</f>
        <v>0.13</v>
      </c>
      <c r="J196" s="25" t="n">
        <f aca="false">IF(C196="bizcocho",VLOOKUP(A196,'Recetas y precios'!$A$5:$G$55,6,FALSE()),IF(C196="jarabe",VLOOKUP(A196,'Recetas y precios'!$A$5:$G$55,7,FALSE()),1))</f>
        <v>0.352</v>
      </c>
      <c r="K196" s="15" t="n">
        <f aca="false">G196*I196*J196</f>
        <v>1.6016</v>
      </c>
    </row>
    <row r="197" customFormat="false" ht="15" hidden="false" customHeight="false" outlineLevel="0" collapsed="false">
      <c r="A197" s="0" t="n">
        <v>12</v>
      </c>
      <c r="B197" s="22" t="s">
        <v>590</v>
      </c>
      <c r="C197" s="13" t="s">
        <v>376</v>
      </c>
      <c r="D197" s="23" t="s">
        <v>591</v>
      </c>
      <c r="E197" s="23" t="s">
        <v>410</v>
      </c>
      <c r="F197" s="24" t="s">
        <v>50</v>
      </c>
      <c r="G197" s="19" t="n">
        <v>75</v>
      </c>
      <c r="H197" s="13" t="s">
        <v>27</v>
      </c>
      <c r="I197" s="12" t="n">
        <f aca="false">IFERROR(VLOOKUP(F197,Insumos!$C$5:$G$143,5,FALSE()),0)</f>
        <v>0.075</v>
      </c>
      <c r="J197" s="25" t="n">
        <f aca="false">IF(C197="bizcocho",VLOOKUP(A197,'Recetas y precios'!$A$5:$G$55,6,FALSE()),IF(C197="jarabe",VLOOKUP(A197,'Recetas y precios'!$A$5:$G$55,7,FALSE()),1))</f>
        <v>0.352</v>
      </c>
      <c r="K197" s="15" t="n">
        <f aca="false">G197*I197*J197</f>
        <v>1.98</v>
      </c>
    </row>
    <row r="198" customFormat="false" ht="15" hidden="false" customHeight="false" outlineLevel="0" collapsed="false">
      <c r="A198" s="0" t="n">
        <v>12</v>
      </c>
      <c r="B198" s="22" t="s">
        <v>590</v>
      </c>
      <c r="C198" s="13" t="s">
        <v>376</v>
      </c>
      <c r="D198" s="23" t="s">
        <v>591</v>
      </c>
      <c r="E198" s="23" t="s">
        <v>411</v>
      </c>
      <c r="F198" s="24" t="s">
        <v>72</v>
      </c>
      <c r="G198" s="19" t="n">
        <v>40</v>
      </c>
      <c r="H198" s="13" t="s">
        <v>27</v>
      </c>
      <c r="I198" s="12" t="n">
        <f aca="false">IFERROR(VLOOKUP(F198,Insumos!$C$5:$G$143,5,FALSE()),0)</f>
        <v>0.028</v>
      </c>
      <c r="J198" s="25" t="n">
        <f aca="false">IF(C198="bizcocho",VLOOKUP(A198,'Recetas y precios'!$A$5:$G$55,6,FALSE()),IF(C198="jarabe",VLOOKUP(A198,'Recetas y precios'!$A$5:$G$55,7,FALSE()),1))</f>
        <v>0.352</v>
      </c>
      <c r="K198" s="15" t="n">
        <f aca="false">G198*I198*J198</f>
        <v>0.39424</v>
      </c>
    </row>
    <row r="199" customFormat="false" ht="15" hidden="false" customHeight="false" outlineLevel="0" collapsed="false">
      <c r="A199" s="0" t="n">
        <v>12</v>
      </c>
      <c r="B199" s="22" t="s">
        <v>590</v>
      </c>
      <c r="C199" s="13" t="s">
        <v>376</v>
      </c>
      <c r="D199" s="23" t="s">
        <v>591</v>
      </c>
      <c r="E199" s="23" t="s">
        <v>531</v>
      </c>
      <c r="F199" s="24" t="s">
        <v>109</v>
      </c>
      <c r="G199" s="19" t="n">
        <v>25</v>
      </c>
      <c r="H199" s="13" t="s">
        <v>34</v>
      </c>
      <c r="I199" s="12" t="n">
        <f aca="false">IFERROR(VLOOKUP(F199,Insumos!$C$5:$G$143,5,FALSE()),0)</f>
        <v>0.045</v>
      </c>
      <c r="J199" s="25" t="n">
        <f aca="false">IF(C199="bizcocho",VLOOKUP(A199,'Recetas y precios'!$A$5:$G$55,6,FALSE()),IF(C199="jarabe",VLOOKUP(A199,'Recetas y precios'!$A$5:$G$55,7,FALSE()),1))</f>
        <v>0.352</v>
      </c>
      <c r="K199" s="15" t="n">
        <f aca="false">G199*I199*J199</f>
        <v>0.396</v>
      </c>
    </row>
    <row r="200" customFormat="false" ht="15" hidden="false" customHeight="false" outlineLevel="0" collapsed="false">
      <c r="A200" s="0" t="n">
        <v>12</v>
      </c>
      <c r="B200" s="22" t="s">
        <v>590</v>
      </c>
      <c r="C200" s="13" t="s">
        <v>376</v>
      </c>
      <c r="D200" s="23" t="s">
        <v>591</v>
      </c>
      <c r="E200" s="23" t="s">
        <v>592</v>
      </c>
      <c r="F200" s="24" t="s">
        <v>135</v>
      </c>
      <c r="G200" s="19" t="n">
        <v>1.2</v>
      </c>
      <c r="H200" s="13" t="s">
        <v>27</v>
      </c>
      <c r="I200" s="12" t="n">
        <f aca="false">IFERROR(VLOOKUP(F200,Insumos!$C$5:$G$143,5,FALSE()),0)</f>
        <v>1.2</v>
      </c>
      <c r="J200" s="25" t="n">
        <f aca="false">IF(C200="bizcocho",VLOOKUP(A200,'Recetas y precios'!$A$5:$G$55,6,FALSE()),IF(C200="jarabe",VLOOKUP(A200,'Recetas y precios'!$A$5:$G$55,7,FALSE()),1))</f>
        <v>0.352</v>
      </c>
      <c r="K200" s="15" t="n">
        <f aca="false">G200*I200*J200</f>
        <v>0.50688</v>
      </c>
    </row>
    <row r="201" customFormat="false" ht="15" hidden="false" customHeight="false" outlineLevel="0" collapsed="false">
      <c r="A201" s="0" t="n">
        <v>12</v>
      </c>
      <c r="B201" s="22" t="s">
        <v>590</v>
      </c>
      <c r="C201" s="13" t="s">
        <v>376</v>
      </c>
      <c r="D201" s="23" t="s">
        <v>591</v>
      </c>
      <c r="E201" s="23" t="s">
        <v>413</v>
      </c>
      <c r="F201" s="24" t="s">
        <v>103</v>
      </c>
      <c r="G201" s="19" t="n">
        <v>1</v>
      </c>
      <c r="H201" s="13" t="s">
        <v>27</v>
      </c>
      <c r="I201" s="12" t="n">
        <f aca="false">IFERROR(VLOOKUP(F201,Insumos!$C$5:$G$143,5,FALSE()),0)</f>
        <v>0.025</v>
      </c>
      <c r="J201" s="25" t="n">
        <f aca="false">IF(C201="bizcocho",VLOOKUP(A201,'Recetas y precios'!$A$5:$G$55,6,FALSE()),IF(C201="jarabe",VLOOKUP(A201,'Recetas y precios'!$A$5:$G$55,7,FALSE()),1))</f>
        <v>0.352</v>
      </c>
      <c r="K201" s="15" t="n">
        <f aca="false">G201*I201*J201</f>
        <v>0.0088</v>
      </c>
    </row>
    <row r="202" customFormat="false" ht="15" hidden="false" customHeight="false" outlineLevel="0" collapsed="false">
      <c r="A202" s="0" t="n">
        <v>12</v>
      </c>
      <c r="B202" s="22" t="s">
        <v>590</v>
      </c>
      <c r="C202" s="13" t="s">
        <v>387</v>
      </c>
      <c r="D202" s="23" t="s">
        <v>593</v>
      </c>
      <c r="E202" s="23" t="s">
        <v>594</v>
      </c>
      <c r="F202" s="24" t="s">
        <v>135</v>
      </c>
      <c r="G202" s="19" t="n">
        <v>1.5</v>
      </c>
      <c r="H202" s="13" t="s">
        <v>27</v>
      </c>
      <c r="I202" s="12" t="n">
        <f aca="false">IFERROR(VLOOKUP(F202,Insumos!$C$5:$G$143,5,FALSE()),0)</f>
        <v>1.2</v>
      </c>
      <c r="J202" s="25" t="n">
        <f aca="false">IF(C202="bizcocho",VLOOKUP(A202,'Recetas y precios'!$A$5:$G$55,6,FALSE()),IF(C202="jarabe",VLOOKUP(A202,'Recetas y precios'!$A$5:$G$55,7,FALSE()),1))</f>
        <v>1</v>
      </c>
      <c r="K202" s="15" t="n">
        <f aca="false">G202*I202*J202</f>
        <v>1.8</v>
      </c>
    </row>
    <row r="203" customFormat="false" ht="15" hidden="false" customHeight="false" outlineLevel="0" collapsed="false">
      <c r="A203" s="0" t="n">
        <v>12</v>
      </c>
      <c r="B203" s="22" t="s">
        <v>590</v>
      </c>
      <c r="C203" s="13" t="s">
        <v>387</v>
      </c>
      <c r="D203" s="23" t="s">
        <v>593</v>
      </c>
      <c r="E203" s="23" t="s">
        <v>595</v>
      </c>
      <c r="F203" s="24" t="s">
        <v>80</v>
      </c>
      <c r="G203" s="19" t="n">
        <v>20</v>
      </c>
      <c r="H203" s="13" t="s">
        <v>34</v>
      </c>
      <c r="I203" s="12" t="n">
        <f aca="false">IFERROR(VLOOKUP(F203,Insumos!$C$5:$G$143,5,FALSE()),0)</f>
        <v>0.018</v>
      </c>
      <c r="J203" s="25" t="n">
        <f aca="false">IF(C203="bizcocho",VLOOKUP(A203,'Recetas y precios'!$A$5:$G$55,6,FALSE()),IF(C203="jarabe",VLOOKUP(A203,'Recetas y precios'!$A$5:$G$55,7,FALSE()),1))</f>
        <v>1</v>
      </c>
      <c r="K203" s="15" t="n">
        <f aca="false">G203*I203*J203</f>
        <v>0.36</v>
      </c>
    </row>
    <row r="204" customFormat="false" ht="15" hidden="false" customHeight="false" outlineLevel="0" collapsed="false">
      <c r="A204" s="0" t="n">
        <v>12</v>
      </c>
      <c r="B204" s="22" t="s">
        <v>590</v>
      </c>
      <c r="C204" s="13" t="s">
        <v>387</v>
      </c>
      <c r="D204" s="23" t="s">
        <v>593</v>
      </c>
      <c r="E204" s="23" t="s">
        <v>596</v>
      </c>
      <c r="F204" s="24" t="s">
        <v>315</v>
      </c>
      <c r="G204" s="19" t="n">
        <v>10</v>
      </c>
      <c r="H204" s="13" t="s">
        <v>34</v>
      </c>
      <c r="I204" s="12" t="n">
        <f aca="false">IFERROR(VLOOKUP(F204,Insumos!$C$5:$G$143,5,FALSE()),0)</f>
        <v>0.533333333333333</v>
      </c>
      <c r="J204" s="25" t="n">
        <f aca="false">IF(C204="bizcocho",VLOOKUP(A204,'Recetas y precios'!$A$5:$G$55,6,FALSE()),IF(C204="jarabe",VLOOKUP(A204,'Recetas y precios'!$A$5:$G$55,7,FALSE()),1))</f>
        <v>1</v>
      </c>
      <c r="K204" s="15" t="n">
        <f aca="false">G204*I204*J204</f>
        <v>5.33333333333333</v>
      </c>
    </row>
    <row r="205" customFormat="false" ht="15" hidden="false" customHeight="false" outlineLevel="0" collapsed="false">
      <c r="A205" s="0" t="n">
        <v>12</v>
      </c>
      <c r="B205" s="22" t="s">
        <v>590</v>
      </c>
      <c r="C205" s="13" t="s">
        <v>393</v>
      </c>
      <c r="D205" s="23" t="s">
        <v>597</v>
      </c>
      <c r="E205" s="23" t="s">
        <v>598</v>
      </c>
      <c r="F205" s="24" t="s">
        <v>26</v>
      </c>
      <c r="G205" s="19" t="n">
        <v>130</v>
      </c>
      <c r="H205" s="13" t="s">
        <v>27</v>
      </c>
      <c r="I205" s="12" t="n">
        <f aca="false">IFERROR(VLOOKUP(F205,Insumos!$C$5:$G$143,5,FALSE()),0)</f>
        <v>0.38</v>
      </c>
      <c r="J205" s="25" t="n">
        <f aca="false">IF(C205="bizcocho",VLOOKUP(A205,'Recetas y precios'!$A$5:$G$55,6,FALSE()),IF(C205="jarabe",VLOOKUP(A205,'Recetas y precios'!$A$5:$G$55,7,FALSE()),1))</f>
        <v>1</v>
      </c>
      <c r="K205" s="15" t="n">
        <f aca="false">G205*I205*J205</f>
        <v>49.4</v>
      </c>
    </row>
    <row r="206" customFormat="false" ht="15" hidden="false" customHeight="false" outlineLevel="0" collapsed="false">
      <c r="A206" s="0" t="n">
        <v>12</v>
      </c>
      <c r="B206" s="22" t="s">
        <v>590</v>
      </c>
      <c r="C206" s="13" t="s">
        <v>393</v>
      </c>
      <c r="D206" s="23" t="s">
        <v>597</v>
      </c>
      <c r="E206" s="23" t="s">
        <v>420</v>
      </c>
      <c r="F206" s="24" t="s">
        <v>33</v>
      </c>
      <c r="G206" s="19" t="n">
        <v>120</v>
      </c>
      <c r="H206" s="13" t="s">
        <v>34</v>
      </c>
      <c r="I206" s="12" t="n">
        <f aca="false">IFERROR(VLOOKUP(F206,Insumos!$C$5:$G$143,5,FALSE()),0)</f>
        <v>0.078</v>
      </c>
      <c r="J206" s="25" t="n">
        <f aca="false">IF(C206="bizcocho",VLOOKUP(A206,'Recetas y precios'!$A$5:$G$55,6,FALSE()),IF(C206="jarabe",VLOOKUP(A206,'Recetas y precios'!$A$5:$G$55,7,FALSE()),1))</f>
        <v>1</v>
      </c>
      <c r="K206" s="15" t="n">
        <f aca="false">G206*I206*J206</f>
        <v>9.36</v>
      </c>
    </row>
    <row r="207" customFormat="false" ht="15" hidden="false" customHeight="false" outlineLevel="0" collapsed="false">
      <c r="A207" s="0" t="n">
        <v>12</v>
      </c>
      <c r="B207" s="22" t="s">
        <v>590</v>
      </c>
      <c r="C207" s="13" t="s">
        <v>393</v>
      </c>
      <c r="D207" s="23" t="s">
        <v>597</v>
      </c>
      <c r="E207" s="23" t="s">
        <v>599</v>
      </c>
      <c r="F207" s="24" t="s">
        <v>131</v>
      </c>
      <c r="G207" s="19" t="n">
        <v>6</v>
      </c>
      <c r="H207" s="13" t="s">
        <v>27</v>
      </c>
      <c r="I207" s="12" t="n">
        <f aca="false">IFERROR(VLOOKUP(F207,Insumos!$C$5:$G$143,5,FALSE()),0)</f>
        <v>2.6</v>
      </c>
      <c r="J207" s="25" t="n">
        <f aca="false">IF(C207="bizcocho",VLOOKUP(A207,'Recetas y precios'!$A$5:$G$55,6,FALSE()),IF(C207="jarabe",VLOOKUP(A207,'Recetas y precios'!$A$5:$G$55,7,FALSE()),1))</f>
        <v>1</v>
      </c>
      <c r="K207" s="15" t="n">
        <f aca="false">G207*I207*J207</f>
        <v>15.6</v>
      </c>
    </row>
    <row r="208" customFormat="false" ht="15" hidden="false" customHeight="false" outlineLevel="0" collapsed="false">
      <c r="A208" s="0" t="n">
        <v>12</v>
      </c>
      <c r="B208" s="22" t="s">
        <v>590</v>
      </c>
      <c r="C208" s="13" t="s">
        <v>393</v>
      </c>
      <c r="D208" s="23" t="s">
        <v>597</v>
      </c>
      <c r="E208" s="23" t="s">
        <v>506</v>
      </c>
      <c r="F208" s="24" t="s">
        <v>36</v>
      </c>
      <c r="G208" s="19" t="n">
        <v>45</v>
      </c>
      <c r="H208" s="13" t="s">
        <v>27</v>
      </c>
      <c r="I208" s="12" t="n">
        <f aca="false">IFERROR(VLOOKUP(F208,Insumos!$C$5:$G$143,5,FALSE()),0)</f>
        <v>0.085</v>
      </c>
      <c r="J208" s="25" t="n">
        <f aca="false">IF(C208="bizcocho",VLOOKUP(A208,'Recetas y precios'!$A$5:$G$55,6,FALSE()),IF(C208="jarabe",VLOOKUP(A208,'Recetas y precios'!$A$5:$G$55,7,FALSE()),1))</f>
        <v>1</v>
      </c>
      <c r="K208" s="15" t="n">
        <f aca="false">G208*I208*J208</f>
        <v>3.825</v>
      </c>
    </row>
    <row r="209" customFormat="false" ht="15" hidden="false" customHeight="false" outlineLevel="0" collapsed="false">
      <c r="A209" s="0" t="n">
        <v>12</v>
      </c>
      <c r="B209" s="22" t="s">
        <v>590</v>
      </c>
      <c r="C209" s="13" t="s">
        <v>393</v>
      </c>
      <c r="D209" s="23" t="s">
        <v>597</v>
      </c>
      <c r="E209" s="23" t="s">
        <v>567</v>
      </c>
      <c r="F209" s="24" t="s">
        <v>74</v>
      </c>
      <c r="G209" s="19" t="n">
        <v>15</v>
      </c>
      <c r="H209" s="13" t="s">
        <v>27</v>
      </c>
      <c r="I209" s="12" t="n">
        <f aca="false">IFERROR(VLOOKUP(F209,Insumos!$C$5:$G$143,5,FALSE()),0)</f>
        <v>0.045</v>
      </c>
      <c r="J209" s="25" t="n">
        <f aca="false">IF(C209="bizcocho",VLOOKUP(A209,'Recetas y precios'!$A$5:$G$55,6,FALSE()),IF(C209="jarabe",VLOOKUP(A209,'Recetas y precios'!$A$5:$G$55,7,FALSE()),1))</f>
        <v>1</v>
      </c>
      <c r="K209" s="15" t="n">
        <f aca="false">G209*I209*J209</f>
        <v>0.675</v>
      </c>
    </row>
    <row r="210" customFormat="false" ht="15" hidden="false" customHeight="false" outlineLevel="0" collapsed="false">
      <c r="A210" s="0" t="n">
        <v>12</v>
      </c>
      <c r="B210" s="22" t="s">
        <v>590</v>
      </c>
      <c r="C210" s="13" t="s">
        <v>400</v>
      </c>
      <c r="D210" s="23" t="s">
        <v>600</v>
      </c>
      <c r="E210" s="23" t="s">
        <v>601</v>
      </c>
      <c r="F210" s="24" t="s">
        <v>160</v>
      </c>
      <c r="G210" s="19" t="n">
        <v>60</v>
      </c>
      <c r="H210" s="13" t="s">
        <v>27</v>
      </c>
      <c r="I210" s="12" t="n">
        <f aca="false">IFERROR(VLOOKUP(F210,Insumos!$C$5:$G$143,5,FALSE()),0)</f>
        <v>0.09</v>
      </c>
      <c r="J210" s="25" t="n">
        <f aca="false">IF(C210="bizcocho",VLOOKUP(A210,'Recetas y precios'!$A$5:$G$55,6,FALSE()),IF(C210="jarabe",VLOOKUP(A210,'Recetas y precios'!$A$5:$G$55,7,FALSE()),1))</f>
        <v>1</v>
      </c>
      <c r="K210" s="15" t="n">
        <f aca="false">G210*I210*J210</f>
        <v>5.4</v>
      </c>
    </row>
    <row r="211" customFormat="false" ht="15" hidden="false" customHeight="false" outlineLevel="0" collapsed="false">
      <c r="A211" s="0" t="n">
        <v>12</v>
      </c>
      <c r="B211" s="22" t="s">
        <v>590</v>
      </c>
      <c r="C211" s="13" t="s">
        <v>400</v>
      </c>
      <c r="D211" s="23" t="s">
        <v>600</v>
      </c>
      <c r="E211" s="23" t="s">
        <v>602</v>
      </c>
      <c r="F211" s="24" t="s">
        <v>131</v>
      </c>
      <c r="G211" s="19" t="n">
        <v>5</v>
      </c>
      <c r="H211" s="13" t="s">
        <v>27</v>
      </c>
      <c r="I211" s="12" t="n">
        <f aca="false">IFERROR(VLOOKUP(F211,Insumos!$C$5:$G$143,5,FALSE()),0)</f>
        <v>2.6</v>
      </c>
      <c r="J211" s="25" t="n">
        <f aca="false">IF(C211="bizcocho",VLOOKUP(A211,'Recetas y precios'!$A$5:$G$55,6,FALSE()),IF(C211="jarabe",VLOOKUP(A211,'Recetas y precios'!$A$5:$G$55,7,FALSE()),1))</f>
        <v>1</v>
      </c>
      <c r="K211" s="15" t="n">
        <f aca="false">G211*I211*J211</f>
        <v>13</v>
      </c>
    </row>
    <row r="212" customFormat="false" ht="15" hidden="false" customHeight="false" outlineLevel="0" collapsed="false">
      <c r="A212" s="0" t="n">
        <v>13</v>
      </c>
      <c r="B212" s="22" t="s">
        <v>603</v>
      </c>
      <c r="C212" s="13" t="s">
        <v>387</v>
      </c>
      <c r="D212" s="23" t="s">
        <v>604</v>
      </c>
      <c r="E212" s="23" t="s">
        <v>605</v>
      </c>
      <c r="F212" s="24" t="s">
        <v>133</v>
      </c>
      <c r="G212" s="19" t="n">
        <v>1.5</v>
      </c>
      <c r="H212" s="13" t="s">
        <v>27</v>
      </c>
      <c r="I212" s="12" t="n">
        <f aca="false">IFERROR(VLOOKUP(F212,Insumos!$C$5:$G$143,5,FALSE()),0)</f>
        <v>0.6</v>
      </c>
      <c r="J212" s="25" t="n">
        <f aca="false">IF(C212="bizcocho",VLOOKUP(A212,'Recetas y precios'!$A$5:$G$55,6,FALSE()),IF(C212="jarabe",VLOOKUP(A212,'Recetas y precios'!$A$5:$G$55,7,FALSE()),1))</f>
        <v>1</v>
      </c>
      <c r="K212" s="15" t="n">
        <f aca="false">G212*I212*J212</f>
        <v>0.9</v>
      </c>
    </row>
    <row r="213" customFormat="false" ht="15" hidden="false" customHeight="false" outlineLevel="0" collapsed="false">
      <c r="A213" s="0" t="n">
        <v>13</v>
      </c>
      <c r="B213" s="22" t="s">
        <v>603</v>
      </c>
      <c r="C213" s="13" t="s">
        <v>387</v>
      </c>
      <c r="D213" s="23" t="s">
        <v>604</v>
      </c>
      <c r="E213" s="23" t="s">
        <v>606</v>
      </c>
      <c r="F213" s="24" t="s">
        <v>38</v>
      </c>
      <c r="G213" s="19" t="n">
        <v>20</v>
      </c>
      <c r="H213" s="13" t="s">
        <v>34</v>
      </c>
      <c r="I213" s="12" t="n">
        <f aca="false">IFERROR(VLOOKUP(F213,Insumos!$C$5:$G$143,5,FALSE()),0)</f>
        <v>0.06</v>
      </c>
      <c r="J213" s="25" t="n">
        <f aca="false">IF(C213="bizcocho",VLOOKUP(A213,'Recetas y precios'!$A$5:$G$55,6,FALSE()),IF(C213="jarabe",VLOOKUP(A213,'Recetas y precios'!$A$5:$G$55,7,FALSE()),1))</f>
        <v>1</v>
      </c>
      <c r="K213" s="15" t="n">
        <f aca="false">G213*I213*J213</f>
        <v>1.2</v>
      </c>
    </row>
    <row r="214" customFormat="false" ht="15" hidden="false" customHeight="false" outlineLevel="0" collapsed="false">
      <c r="A214" s="0" t="n">
        <v>13</v>
      </c>
      <c r="B214" s="22" t="s">
        <v>603</v>
      </c>
      <c r="C214" s="13" t="s">
        <v>387</v>
      </c>
      <c r="D214" s="23" t="s">
        <v>604</v>
      </c>
      <c r="E214" s="23" t="s">
        <v>391</v>
      </c>
      <c r="F214" s="24" t="s">
        <v>72</v>
      </c>
      <c r="G214" s="19" t="n">
        <v>15</v>
      </c>
      <c r="H214" s="13" t="s">
        <v>27</v>
      </c>
      <c r="I214" s="12" t="n">
        <f aca="false">IFERROR(VLOOKUP(F214,Insumos!$C$5:$G$143,5,FALSE()),0)</f>
        <v>0.028</v>
      </c>
      <c r="J214" s="25" t="n">
        <f aca="false">IF(C214="bizcocho",VLOOKUP(A214,'Recetas y precios'!$A$5:$G$55,6,FALSE()),IF(C214="jarabe",VLOOKUP(A214,'Recetas y precios'!$A$5:$G$55,7,FALSE()),1))</f>
        <v>1</v>
      </c>
      <c r="K214" s="15" t="n">
        <f aca="false">G214*I214*J214</f>
        <v>0.42</v>
      </c>
    </row>
    <row r="215" customFormat="false" ht="15" hidden="false" customHeight="false" outlineLevel="0" collapsed="false">
      <c r="A215" s="0" t="n">
        <v>13</v>
      </c>
      <c r="B215" s="22" t="s">
        <v>603</v>
      </c>
      <c r="C215" s="13" t="s">
        <v>387</v>
      </c>
      <c r="D215" s="23" t="s">
        <v>604</v>
      </c>
      <c r="E215" s="23" t="s">
        <v>607</v>
      </c>
      <c r="F215" s="24" t="s">
        <v>305</v>
      </c>
      <c r="G215" s="19" t="n">
        <v>5</v>
      </c>
      <c r="H215" s="13" t="s">
        <v>34</v>
      </c>
      <c r="I215" s="12" t="n">
        <f aca="false">IFERROR(VLOOKUP(F215,Insumos!$C$5:$G$143,5,FALSE()),0)</f>
        <v>0.373333333333333</v>
      </c>
      <c r="J215" s="25" t="n">
        <f aca="false">IF(C215="bizcocho",VLOOKUP(A215,'Recetas y precios'!$A$5:$G$55,6,FALSE()),IF(C215="jarabe",VLOOKUP(A215,'Recetas y precios'!$A$5:$G$55,7,FALSE()),1))</f>
        <v>1</v>
      </c>
      <c r="K215" s="15" t="n">
        <f aca="false">G215*I215*J215</f>
        <v>1.86666666666667</v>
      </c>
    </row>
    <row r="216" customFormat="false" ht="15" hidden="false" customHeight="false" outlineLevel="0" collapsed="false">
      <c r="A216" s="0" t="n">
        <v>13</v>
      </c>
      <c r="B216" s="22" t="s">
        <v>603</v>
      </c>
      <c r="C216" s="13" t="s">
        <v>393</v>
      </c>
      <c r="D216" s="23" t="s">
        <v>608</v>
      </c>
      <c r="E216" s="23" t="s">
        <v>479</v>
      </c>
      <c r="F216" s="24" t="s">
        <v>26</v>
      </c>
      <c r="G216" s="19" t="n">
        <v>180</v>
      </c>
      <c r="H216" s="13" t="s">
        <v>27</v>
      </c>
      <c r="I216" s="12" t="n">
        <f aca="false">IFERROR(VLOOKUP(F216,Insumos!$C$5:$G$143,5,FALSE()),0)</f>
        <v>0.38</v>
      </c>
      <c r="J216" s="25" t="n">
        <f aca="false">IF(C216="bizcocho",VLOOKUP(A216,'Recetas y precios'!$A$5:$G$55,6,FALSE()),IF(C216="jarabe",VLOOKUP(A216,'Recetas y precios'!$A$5:$G$55,7,FALSE()),1))</f>
        <v>1</v>
      </c>
      <c r="K216" s="15" t="n">
        <f aca="false">G216*I216*J216</f>
        <v>68.4</v>
      </c>
    </row>
    <row r="217" customFormat="false" ht="15" hidden="false" customHeight="false" outlineLevel="0" collapsed="false">
      <c r="A217" s="0" t="n">
        <v>13</v>
      </c>
      <c r="B217" s="22" t="s">
        <v>603</v>
      </c>
      <c r="C217" s="13" t="s">
        <v>393</v>
      </c>
      <c r="D217" s="23" t="s">
        <v>608</v>
      </c>
      <c r="E217" s="23" t="s">
        <v>504</v>
      </c>
      <c r="F217" s="24" t="s">
        <v>33</v>
      </c>
      <c r="G217" s="19" t="n">
        <v>180</v>
      </c>
      <c r="H217" s="13" t="s">
        <v>34</v>
      </c>
      <c r="I217" s="12" t="n">
        <f aca="false">IFERROR(VLOOKUP(F217,Insumos!$C$5:$G$143,5,FALSE()),0)</f>
        <v>0.078</v>
      </c>
      <c r="J217" s="25" t="n">
        <f aca="false">IF(C217="bizcocho",VLOOKUP(A217,'Recetas y precios'!$A$5:$G$55,6,FALSE()),IF(C217="jarabe",VLOOKUP(A217,'Recetas y precios'!$A$5:$G$55,7,FALSE()),1))</f>
        <v>1</v>
      </c>
      <c r="K217" s="15" t="n">
        <f aca="false">G217*I217*J217</f>
        <v>14.04</v>
      </c>
    </row>
    <row r="218" customFormat="false" ht="15" hidden="false" customHeight="false" outlineLevel="0" collapsed="false">
      <c r="A218" s="0" t="n">
        <v>13</v>
      </c>
      <c r="B218" s="22" t="s">
        <v>603</v>
      </c>
      <c r="C218" s="13" t="s">
        <v>393</v>
      </c>
      <c r="D218" s="23" t="s">
        <v>608</v>
      </c>
      <c r="E218" s="23" t="s">
        <v>609</v>
      </c>
      <c r="F218" s="24" t="s">
        <v>133</v>
      </c>
      <c r="G218" s="19" t="n">
        <v>0.75</v>
      </c>
      <c r="H218" s="13" t="s">
        <v>27</v>
      </c>
      <c r="I218" s="12" t="n">
        <f aca="false">IFERROR(VLOOKUP(F218,Insumos!$C$5:$G$143,5,FALSE()),0)</f>
        <v>0.6</v>
      </c>
      <c r="J218" s="25" t="n">
        <f aca="false">IF(C218="bizcocho",VLOOKUP(A218,'Recetas y precios'!$A$5:$G$55,6,FALSE()),IF(C218="jarabe",VLOOKUP(A218,'Recetas y precios'!$A$5:$G$55,7,FALSE()),1))</f>
        <v>1</v>
      </c>
      <c r="K218" s="15" t="n">
        <f aca="false">G218*I218*J218</f>
        <v>0.45</v>
      </c>
    </row>
    <row r="219" customFormat="false" ht="15" hidden="false" customHeight="false" outlineLevel="0" collapsed="false">
      <c r="A219" s="0" t="n">
        <v>13</v>
      </c>
      <c r="B219" s="22" t="s">
        <v>603</v>
      </c>
      <c r="C219" s="13" t="s">
        <v>393</v>
      </c>
      <c r="D219" s="23" t="s">
        <v>608</v>
      </c>
      <c r="E219" s="23" t="s">
        <v>610</v>
      </c>
      <c r="F219" s="24" t="s">
        <v>36</v>
      </c>
      <c r="G219" s="19" t="n">
        <v>55</v>
      </c>
      <c r="H219" s="13" t="s">
        <v>27</v>
      </c>
      <c r="I219" s="12" t="n">
        <f aca="false">IFERROR(VLOOKUP(F219,Insumos!$C$5:$G$143,5,FALSE()),0)</f>
        <v>0.085</v>
      </c>
      <c r="J219" s="25" t="n">
        <f aca="false">IF(C219="bizcocho",VLOOKUP(A219,'Recetas y precios'!$A$5:$G$55,6,FALSE()),IF(C219="jarabe",VLOOKUP(A219,'Recetas y precios'!$A$5:$G$55,7,FALSE()),1))</f>
        <v>1</v>
      </c>
      <c r="K219" s="15" t="n">
        <f aca="false">G219*I219*J219</f>
        <v>4.675</v>
      </c>
    </row>
    <row r="220" customFormat="false" ht="15" hidden="false" customHeight="false" outlineLevel="0" collapsed="false">
      <c r="A220" s="0" t="n">
        <v>13</v>
      </c>
      <c r="B220" s="22" t="s">
        <v>603</v>
      </c>
      <c r="C220" s="13" t="s">
        <v>393</v>
      </c>
      <c r="D220" s="23" t="s">
        <v>608</v>
      </c>
      <c r="E220" s="23" t="s">
        <v>456</v>
      </c>
      <c r="F220" s="24" t="s">
        <v>74</v>
      </c>
      <c r="G220" s="19" t="n">
        <v>20</v>
      </c>
      <c r="H220" s="13" t="s">
        <v>27</v>
      </c>
      <c r="I220" s="12" t="n">
        <f aca="false">IFERROR(VLOOKUP(F220,Insumos!$C$5:$G$143,5,FALSE()),0)</f>
        <v>0.045</v>
      </c>
      <c r="J220" s="25" t="n">
        <f aca="false">IF(C220="bizcocho",VLOOKUP(A220,'Recetas y precios'!$A$5:$G$55,6,FALSE()),IF(C220="jarabe",VLOOKUP(A220,'Recetas y precios'!$A$5:$G$55,7,FALSE()),1))</f>
        <v>1</v>
      </c>
      <c r="K220" s="15" t="n">
        <f aca="false">G220*I220*J220</f>
        <v>0.9</v>
      </c>
    </row>
    <row r="221" customFormat="false" ht="15" hidden="false" customHeight="false" outlineLevel="0" collapsed="false">
      <c r="A221" s="0" t="n">
        <v>13</v>
      </c>
      <c r="B221" s="22" t="s">
        <v>603</v>
      </c>
      <c r="C221" s="13" t="s">
        <v>393</v>
      </c>
      <c r="D221" s="23" t="s">
        <v>608</v>
      </c>
      <c r="E221" s="23" t="s">
        <v>385</v>
      </c>
      <c r="F221" s="24" t="s">
        <v>103</v>
      </c>
      <c r="G221" s="19" t="n">
        <v>1</v>
      </c>
      <c r="H221" s="13" t="s">
        <v>27</v>
      </c>
      <c r="I221" s="12" t="n">
        <f aca="false">IFERROR(VLOOKUP(F221,Insumos!$C$5:$G$143,5,FALSE()),0)</f>
        <v>0.025</v>
      </c>
      <c r="J221" s="25" t="n">
        <f aca="false">IF(C221="bizcocho",VLOOKUP(A221,'Recetas y precios'!$A$5:$G$55,6,FALSE()),IF(C221="jarabe",VLOOKUP(A221,'Recetas y precios'!$A$5:$G$55,7,FALSE()),1))</f>
        <v>1</v>
      </c>
      <c r="K221" s="15" t="n">
        <f aca="false">G221*I221*J221</f>
        <v>0.025</v>
      </c>
    </row>
    <row r="222" customFormat="false" ht="15" hidden="false" customHeight="false" outlineLevel="0" collapsed="false">
      <c r="A222" s="0" t="n">
        <v>13</v>
      </c>
      <c r="B222" s="22" t="s">
        <v>603</v>
      </c>
      <c r="C222" s="13" t="s">
        <v>400</v>
      </c>
      <c r="D222" s="23" t="s">
        <v>611</v>
      </c>
      <c r="E222" s="23" t="s">
        <v>612</v>
      </c>
      <c r="F222" s="24" t="s">
        <v>205</v>
      </c>
      <c r="G222" s="19" t="n">
        <v>70</v>
      </c>
      <c r="H222" s="13" t="s">
        <v>27</v>
      </c>
      <c r="I222" s="12" t="n">
        <f aca="false">IFERROR(VLOOKUP(F222,Insumos!$C$5:$G$143,5,FALSE()),0)</f>
        <v>0.09</v>
      </c>
      <c r="J222" s="25" t="n">
        <f aca="false">IF(C222="bizcocho",VLOOKUP(A222,'Recetas y precios'!$A$5:$G$55,6,FALSE()),IF(C222="jarabe",VLOOKUP(A222,'Recetas y precios'!$A$5:$G$55,7,FALSE()),1))</f>
        <v>1</v>
      </c>
      <c r="K222" s="15" t="n">
        <f aca="false">G222*I222*J222</f>
        <v>6.3</v>
      </c>
    </row>
    <row r="223" customFormat="false" ht="15" hidden="false" customHeight="false" outlineLevel="0" collapsed="false">
      <c r="A223" s="0" t="n">
        <v>13</v>
      </c>
      <c r="B223" s="22" t="s">
        <v>603</v>
      </c>
      <c r="C223" s="13" t="s">
        <v>400</v>
      </c>
      <c r="D223" s="23" t="s">
        <v>611</v>
      </c>
      <c r="E223" s="23" t="s">
        <v>613</v>
      </c>
      <c r="F223" s="24" t="s">
        <v>237</v>
      </c>
      <c r="G223" s="19" t="n">
        <v>20</v>
      </c>
      <c r="H223" s="13" t="s">
        <v>27</v>
      </c>
      <c r="I223" s="12" t="n">
        <f aca="false">IFERROR(VLOOKUP(F223,Insumos!$C$5:$G$143,5,FALSE()),0)</f>
        <v>0.3</v>
      </c>
      <c r="J223" s="25" t="n">
        <f aca="false">IF(C223="bizcocho",VLOOKUP(A223,'Recetas y precios'!$A$5:$G$55,6,FALSE()),IF(C223="jarabe",VLOOKUP(A223,'Recetas y precios'!$A$5:$G$55,7,FALSE()),1))</f>
        <v>1</v>
      </c>
      <c r="K223" s="15" t="n">
        <f aca="false">G223*I223*J223</f>
        <v>6</v>
      </c>
    </row>
    <row r="224" customFormat="false" ht="15" hidden="false" customHeight="false" outlineLevel="0" collapsed="false">
      <c r="A224" s="0" t="n">
        <v>14</v>
      </c>
      <c r="B224" s="22" t="s">
        <v>614</v>
      </c>
      <c r="C224" s="13" t="s">
        <v>376</v>
      </c>
      <c r="D224" s="23" t="s">
        <v>615</v>
      </c>
      <c r="E224" s="23" t="s">
        <v>530</v>
      </c>
      <c r="F224" s="24" t="s">
        <v>59</v>
      </c>
      <c r="G224" s="19" t="n">
        <v>50</v>
      </c>
      <c r="H224" s="13" t="s">
        <v>27</v>
      </c>
      <c r="I224" s="12" t="n">
        <f aca="false">IFERROR(VLOOKUP(F224,Insumos!$C$5:$G$143,5,FALSE()),0)</f>
        <v>0.032</v>
      </c>
      <c r="J224" s="25" t="n">
        <f aca="false">IF(C224="bizcocho",VLOOKUP(A224,'Recetas y precios'!$A$5:$G$55,6,FALSE()),IF(C224="jarabe",VLOOKUP(A224,'Recetas y precios'!$A$5:$G$55,7,FALSE()),1))</f>
        <v>0.308</v>
      </c>
      <c r="K224" s="15" t="n">
        <f aca="false">G224*I224*J224</f>
        <v>0.4928</v>
      </c>
    </row>
    <row r="225" customFormat="false" ht="15" hidden="false" customHeight="false" outlineLevel="0" collapsed="false">
      <c r="A225" s="0" t="n">
        <v>14</v>
      </c>
      <c r="B225" s="22" t="s">
        <v>614</v>
      </c>
      <c r="C225" s="13" t="s">
        <v>376</v>
      </c>
      <c r="D225" s="23" t="s">
        <v>615</v>
      </c>
      <c r="E225" s="23" t="s">
        <v>409</v>
      </c>
      <c r="F225" s="24" t="s">
        <v>48</v>
      </c>
      <c r="G225" s="19" t="n">
        <v>35</v>
      </c>
      <c r="H225" s="13" t="s">
        <v>27</v>
      </c>
      <c r="I225" s="12" t="n">
        <f aca="false">IFERROR(VLOOKUP(F225,Insumos!$C$5:$G$143,5,FALSE()),0)</f>
        <v>0.13</v>
      </c>
      <c r="J225" s="25" t="n">
        <f aca="false">IF(C225="bizcocho",VLOOKUP(A225,'Recetas y precios'!$A$5:$G$55,6,FALSE()),IF(C225="jarabe",VLOOKUP(A225,'Recetas y precios'!$A$5:$G$55,7,FALSE()),1))</f>
        <v>0.308</v>
      </c>
      <c r="K225" s="15" t="n">
        <f aca="false">G225*I225*J225</f>
        <v>1.4014</v>
      </c>
    </row>
    <row r="226" customFormat="false" ht="15" hidden="false" customHeight="false" outlineLevel="0" collapsed="false">
      <c r="A226" s="0" t="n">
        <v>14</v>
      </c>
      <c r="B226" s="22" t="s">
        <v>614</v>
      </c>
      <c r="C226" s="13" t="s">
        <v>376</v>
      </c>
      <c r="D226" s="23" t="s">
        <v>615</v>
      </c>
      <c r="E226" s="23" t="s">
        <v>410</v>
      </c>
      <c r="F226" s="24" t="s">
        <v>50</v>
      </c>
      <c r="G226" s="19" t="n">
        <v>75</v>
      </c>
      <c r="H226" s="13" t="s">
        <v>27</v>
      </c>
      <c r="I226" s="12" t="n">
        <f aca="false">IFERROR(VLOOKUP(F226,Insumos!$C$5:$G$143,5,FALSE()),0)</f>
        <v>0.075</v>
      </c>
      <c r="J226" s="25" t="n">
        <f aca="false">IF(C226="bizcocho",VLOOKUP(A226,'Recetas y precios'!$A$5:$G$55,6,FALSE()),IF(C226="jarabe",VLOOKUP(A226,'Recetas y precios'!$A$5:$G$55,7,FALSE()),1))</f>
        <v>0.308</v>
      </c>
      <c r="K226" s="15" t="n">
        <f aca="false">G226*I226*J226</f>
        <v>1.7325</v>
      </c>
    </row>
    <row r="227" customFormat="false" ht="15" hidden="false" customHeight="false" outlineLevel="0" collapsed="false">
      <c r="A227" s="0" t="n">
        <v>14</v>
      </c>
      <c r="B227" s="22" t="s">
        <v>614</v>
      </c>
      <c r="C227" s="13" t="s">
        <v>376</v>
      </c>
      <c r="D227" s="23" t="s">
        <v>615</v>
      </c>
      <c r="E227" s="23" t="s">
        <v>411</v>
      </c>
      <c r="F227" s="24" t="s">
        <v>72</v>
      </c>
      <c r="G227" s="19" t="n">
        <v>40</v>
      </c>
      <c r="H227" s="13" t="s">
        <v>27</v>
      </c>
      <c r="I227" s="12" t="n">
        <f aca="false">IFERROR(VLOOKUP(F227,Insumos!$C$5:$G$143,5,FALSE()),0)</f>
        <v>0.028</v>
      </c>
      <c r="J227" s="25" t="n">
        <f aca="false">IF(C227="bizcocho",VLOOKUP(A227,'Recetas y precios'!$A$5:$G$55,6,FALSE()),IF(C227="jarabe",VLOOKUP(A227,'Recetas y precios'!$A$5:$G$55,7,FALSE()),1))</f>
        <v>0.308</v>
      </c>
      <c r="K227" s="15" t="n">
        <f aca="false">G227*I227*J227</f>
        <v>0.34496</v>
      </c>
    </row>
    <row r="228" customFormat="false" ht="15" hidden="false" customHeight="false" outlineLevel="0" collapsed="false">
      <c r="A228" s="0" t="n">
        <v>14</v>
      </c>
      <c r="B228" s="22" t="s">
        <v>614</v>
      </c>
      <c r="C228" s="13" t="s">
        <v>376</v>
      </c>
      <c r="D228" s="23" t="s">
        <v>615</v>
      </c>
      <c r="E228" s="23" t="s">
        <v>531</v>
      </c>
      <c r="F228" s="24" t="s">
        <v>109</v>
      </c>
      <c r="G228" s="19" t="n">
        <v>25</v>
      </c>
      <c r="H228" s="13" t="s">
        <v>34</v>
      </c>
      <c r="I228" s="12" t="n">
        <f aca="false">IFERROR(VLOOKUP(F228,Insumos!$C$5:$G$143,5,FALSE()),0)</f>
        <v>0.045</v>
      </c>
      <c r="J228" s="25" t="n">
        <f aca="false">IF(C228="bizcocho",VLOOKUP(A228,'Recetas y precios'!$A$5:$G$55,6,FALSE()),IF(C228="jarabe",VLOOKUP(A228,'Recetas y precios'!$A$5:$G$55,7,FALSE()),1))</f>
        <v>0.308</v>
      </c>
      <c r="K228" s="15" t="n">
        <f aca="false">G228*I228*J228</f>
        <v>0.3465</v>
      </c>
    </row>
    <row r="229" customFormat="false" ht="15" hidden="false" customHeight="false" outlineLevel="0" collapsed="false">
      <c r="A229" s="0" t="n">
        <v>14</v>
      </c>
      <c r="B229" s="22" t="s">
        <v>614</v>
      </c>
      <c r="C229" s="13" t="s">
        <v>376</v>
      </c>
      <c r="D229" s="23" t="s">
        <v>615</v>
      </c>
      <c r="E229" s="23" t="s">
        <v>616</v>
      </c>
      <c r="F229" s="24" t="s">
        <v>141</v>
      </c>
      <c r="G229" s="19" t="n">
        <v>1.05</v>
      </c>
      <c r="H229" s="13" t="s">
        <v>27</v>
      </c>
      <c r="I229" s="12" t="n">
        <f aca="false">IFERROR(VLOOKUP(F229,Insumos!$C$5:$G$143,5,FALSE()),0)</f>
        <v>0.7</v>
      </c>
      <c r="J229" s="25" t="n">
        <f aca="false">IF(C229="bizcocho",VLOOKUP(A229,'Recetas y precios'!$A$5:$G$55,6,FALSE()),IF(C229="jarabe",VLOOKUP(A229,'Recetas y precios'!$A$5:$G$55,7,FALSE()),1))</f>
        <v>0.308</v>
      </c>
      <c r="K229" s="15" t="n">
        <f aca="false">G229*I229*J229</f>
        <v>0.22638</v>
      </c>
    </row>
    <row r="230" customFormat="false" ht="15" hidden="false" customHeight="false" outlineLevel="0" collapsed="false">
      <c r="A230" s="0" t="n">
        <v>14</v>
      </c>
      <c r="B230" s="22" t="s">
        <v>614</v>
      </c>
      <c r="C230" s="13" t="s">
        <v>376</v>
      </c>
      <c r="D230" s="23" t="s">
        <v>615</v>
      </c>
      <c r="E230" s="23" t="s">
        <v>413</v>
      </c>
      <c r="F230" s="24" t="s">
        <v>103</v>
      </c>
      <c r="G230" s="19" t="n">
        <v>1</v>
      </c>
      <c r="H230" s="13" t="s">
        <v>27</v>
      </c>
      <c r="I230" s="12" t="n">
        <f aca="false">IFERROR(VLOOKUP(F230,Insumos!$C$5:$G$143,5,FALSE()),0)</f>
        <v>0.025</v>
      </c>
      <c r="J230" s="25" t="n">
        <f aca="false">IF(C230="bizcocho",VLOOKUP(A230,'Recetas y precios'!$A$5:$G$55,6,FALSE()),IF(C230="jarabe",VLOOKUP(A230,'Recetas y precios'!$A$5:$G$55,7,FALSE()),1))</f>
        <v>0.308</v>
      </c>
      <c r="K230" s="15" t="n">
        <f aca="false">G230*I230*J230</f>
        <v>0.0077</v>
      </c>
    </row>
    <row r="231" customFormat="false" ht="15" hidden="false" customHeight="false" outlineLevel="0" collapsed="false">
      <c r="A231" s="0" t="n">
        <v>14</v>
      </c>
      <c r="B231" s="22" t="s">
        <v>614</v>
      </c>
      <c r="C231" s="13" t="s">
        <v>387</v>
      </c>
      <c r="D231" s="23" t="s">
        <v>475</v>
      </c>
      <c r="E231" s="23" t="s">
        <v>617</v>
      </c>
      <c r="F231" s="24" t="s">
        <v>141</v>
      </c>
      <c r="G231" s="19" t="n">
        <v>1.5</v>
      </c>
      <c r="H231" s="13" t="s">
        <v>27</v>
      </c>
      <c r="I231" s="12" t="n">
        <f aca="false">IFERROR(VLOOKUP(F231,Insumos!$C$5:$G$143,5,FALSE()),0)</f>
        <v>0.7</v>
      </c>
      <c r="J231" s="25" t="n">
        <f aca="false">IF(C231="bizcocho",VLOOKUP(A231,'Recetas y precios'!$A$5:$G$55,6,FALSE()),IF(C231="jarabe",VLOOKUP(A231,'Recetas y precios'!$A$5:$G$55,7,FALSE()),1))</f>
        <v>1</v>
      </c>
      <c r="K231" s="15" t="n">
        <f aca="false">G231*I231*J231</f>
        <v>1.05</v>
      </c>
    </row>
    <row r="232" customFormat="false" ht="15" hidden="false" customHeight="false" outlineLevel="0" collapsed="false">
      <c r="A232" s="0" t="n">
        <v>14</v>
      </c>
      <c r="B232" s="22" t="s">
        <v>614</v>
      </c>
      <c r="C232" s="13" t="s">
        <v>387</v>
      </c>
      <c r="D232" s="23" t="s">
        <v>475</v>
      </c>
      <c r="E232" s="23" t="s">
        <v>618</v>
      </c>
      <c r="F232" s="24" t="s">
        <v>72</v>
      </c>
      <c r="G232" s="19" t="n">
        <v>15</v>
      </c>
      <c r="H232" s="13" t="s">
        <v>27</v>
      </c>
      <c r="I232" s="12" t="n">
        <f aca="false">IFERROR(VLOOKUP(F232,Insumos!$C$5:$G$143,5,FALSE()),0)</f>
        <v>0.028</v>
      </c>
      <c r="J232" s="25" t="n">
        <f aca="false">IF(C232="bizcocho",VLOOKUP(A232,'Recetas y precios'!$A$5:$G$55,6,FALSE()),IF(C232="jarabe",VLOOKUP(A232,'Recetas y precios'!$A$5:$G$55,7,FALSE()),1))</f>
        <v>1</v>
      </c>
      <c r="K232" s="15" t="n">
        <f aca="false">G232*I232*J232</f>
        <v>0.42</v>
      </c>
    </row>
    <row r="233" customFormat="false" ht="15" hidden="false" customHeight="false" outlineLevel="0" collapsed="false">
      <c r="A233" s="0" t="n">
        <v>14</v>
      </c>
      <c r="B233" s="22" t="s">
        <v>614</v>
      </c>
      <c r="C233" s="13" t="s">
        <v>387</v>
      </c>
      <c r="D233" s="23" t="s">
        <v>475</v>
      </c>
      <c r="E233" s="23" t="s">
        <v>619</v>
      </c>
      <c r="F233" s="24" t="s">
        <v>315</v>
      </c>
      <c r="G233" s="19" t="n">
        <v>5</v>
      </c>
      <c r="H233" s="13" t="s">
        <v>34</v>
      </c>
      <c r="I233" s="12" t="n">
        <f aca="false">IFERROR(VLOOKUP(F233,Insumos!$C$5:$G$143,5,FALSE()),0)</f>
        <v>0.533333333333333</v>
      </c>
      <c r="J233" s="25" t="n">
        <f aca="false">IF(C233="bizcocho",VLOOKUP(A233,'Recetas y precios'!$A$5:$G$55,6,FALSE()),IF(C233="jarabe",VLOOKUP(A233,'Recetas y precios'!$A$5:$G$55,7,FALSE()),1))</f>
        <v>1</v>
      </c>
      <c r="K233" s="15" t="n">
        <f aca="false">G233*I233*J233</f>
        <v>2.66666666666667</v>
      </c>
    </row>
    <row r="234" customFormat="false" ht="15" hidden="false" customHeight="false" outlineLevel="0" collapsed="false">
      <c r="A234" s="0" t="n">
        <v>14</v>
      </c>
      <c r="B234" s="22" t="s">
        <v>614</v>
      </c>
      <c r="C234" s="13" t="s">
        <v>393</v>
      </c>
      <c r="D234" s="23" t="s">
        <v>620</v>
      </c>
      <c r="E234" s="23" t="s">
        <v>479</v>
      </c>
      <c r="F234" s="24" t="s">
        <v>26</v>
      </c>
      <c r="G234" s="19" t="n">
        <v>180</v>
      </c>
      <c r="H234" s="13" t="s">
        <v>27</v>
      </c>
      <c r="I234" s="12" t="n">
        <f aca="false">IFERROR(VLOOKUP(F234,Insumos!$C$5:$G$143,5,FALSE()),0)</f>
        <v>0.38</v>
      </c>
      <c r="J234" s="25" t="n">
        <f aca="false">IF(C234="bizcocho",VLOOKUP(A234,'Recetas y precios'!$A$5:$G$55,6,FALSE()),IF(C234="jarabe",VLOOKUP(A234,'Recetas y precios'!$A$5:$G$55,7,FALSE()),1))</f>
        <v>1</v>
      </c>
      <c r="K234" s="15" t="n">
        <f aca="false">G234*I234*J234</f>
        <v>68.4</v>
      </c>
    </row>
    <row r="235" customFormat="false" ht="15" hidden="false" customHeight="false" outlineLevel="0" collapsed="false">
      <c r="A235" s="0" t="n">
        <v>14</v>
      </c>
      <c r="B235" s="22" t="s">
        <v>614</v>
      </c>
      <c r="C235" s="13" t="s">
        <v>393</v>
      </c>
      <c r="D235" s="23" t="s">
        <v>620</v>
      </c>
      <c r="E235" s="23" t="s">
        <v>621</v>
      </c>
      <c r="F235" s="24" t="s">
        <v>33</v>
      </c>
      <c r="G235" s="19" t="n">
        <v>180</v>
      </c>
      <c r="H235" s="13" t="s">
        <v>34</v>
      </c>
      <c r="I235" s="12" t="n">
        <f aca="false">IFERROR(VLOOKUP(F235,Insumos!$C$5:$G$143,5,FALSE()),0)</f>
        <v>0.078</v>
      </c>
      <c r="J235" s="25" t="n">
        <f aca="false">IF(C235="bizcocho",VLOOKUP(A235,'Recetas y precios'!$A$5:$G$55,6,FALSE()),IF(C235="jarabe",VLOOKUP(A235,'Recetas y precios'!$A$5:$G$55,7,FALSE()),1))</f>
        <v>1</v>
      </c>
      <c r="K235" s="15" t="n">
        <f aca="false">G235*I235*J235</f>
        <v>14.04</v>
      </c>
    </row>
    <row r="236" customFormat="false" ht="15" hidden="false" customHeight="false" outlineLevel="0" collapsed="false">
      <c r="A236" s="0" t="n">
        <v>14</v>
      </c>
      <c r="B236" s="22" t="s">
        <v>614</v>
      </c>
      <c r="C236" s="13" t="s">
        <v>393</v>
      </c>
      <c r="D236" s="23" t="s">
        <v>620</v>
      </c>
      <c r="E236" s="23" t="s">
        <v>444</v>
      </c>
      <c r="F236" s="24" t="s">
        <v>36</v>
      </c>
      <c r="G236" s="19" t="n">
        <v>50</v>
      </c>
      <c r="H236" s="13" t="s">
        <v>27</v>
      </c>
      <c r="I236" s="12" t="n">
        <f aca="false">IFERROR(VLOOKUP(F236,Insumos!$C$5:$G$143,5,FALSE()),0)</f>
        <v>0.085</v>
      </c>
      <c r="J236" s="25" t="n">
        <f aca="false">IF(C236="bizcocho",VLOOKUP(A236,'Recetas y precios'!$A$5:$G$55,6,FALSE()),IF(C236="jarabe",VLOOKUP(A236,'Recetas y precios'!$A$5:$G$55,7,FALSE()),1))</f>
        <v>1</v>
      </c>
      <c r="K236" s="15" t="n">
        <f aca="false">G236*I236*J236</f>
        <v>4.25</v>
      </c>
    </row>
    <row r="237" customFormat="false" ht="15" hidden="false" customHeight="false" outlineLevel="0" collapsed="false">
      <c r="A237" s="0" t="n">
        <v>14</v>
      </c>
      <c r="B237" s="22" t="s">
        <v>614</v>
      </c>
      <c r="C237" s="13" t="s">
        <v>393</v>
      </c>
      <c r="D237" s="23" t="s">
        <v>620</v>
      </c>
      <c r="E237" s="23" t="s">
        <v>456</v>
      </c>
      <c r="F237" s="24" t="s">
        <v>74</v>
      </c>
      <c r="G237" s="19" t="n">
        <v>20</v>
      </c>
      <c r="H237" s="13" t="s">
        <v>27</v>
      </c>
      <c r="I237" s="12" t="n">
        <f aca="false">IFERROR(VLOOKUP(F237,Insumos!$C$5:$G$143,5,FALSE()),0)</f>
        <v>0.045</v>
      </c>
      <c r="J237" s="25" t="n">
        <f aca="false">IF(C237="bizcocho",VLOOKUP(A237,'Recetas y precios'!$A$5:$G$55,6,FALSE()),IF(C237="jarabe",VLOOKUP(A237,'Recetas y precios'!$A$5:$G$55,7,FALSE()),1))</f>
        <v>1</v>
      </c>
      <c r="K237" s="15" t="n">
        <f aca="false">G237*I237*J237</f>
        <v>0.9</v>
      </c>
    </row>
    <row r="238" customFormat="false" ht="15" hidden="false" customHeight="false" outlineLevel="0" collapsed="false">
      <c r="A238" s="0" t="n">
        <v>14</v>
      </c>
      <c r="B238" s="22" t="s">
        <v>614</v>
      </c>
      <c r="C238" s="13" t="s">
        <v>400</v>
      </c>
      <c r="D238" s="23" t="s">
        <v>622</v>
      </c>
      <c r="E238" s="23" t="s">
        <v>623</v>
      </c>
      <c r="F238" s="24" t="s">
        <v>101</v>
      </c>
      <c r="G238" s="19" t="n">
        <v>60</v>
      </c>
      <c r="H238" s="13" t="s">
        <v>27</v>
      </c>
      <c r="I238" s="12" t="n">
        <f aca="false">IFERROR(VLOOKUP(F238,Insumos!$C$5:$G$143,5,FALSE()),0)</f>
        <v>0.9</v>
      </c>
      <c r="J238" s="25" t="n">
        <f aca="false">IF(C238="bizcocho",VLOOKUP(A238,'Recetas y precios'!$A$5:$G$55,6,FALSE()),IF(C238="jarabe",VLOOKUP(A238,'Recetas y precios'!$A$5:$G$55,7,FALSE()),1))</f>
        <v>1</v>
      </c>
      <c r="K238" s="15" t="n">
        <f aca="false">G238*I238*J238</f>
        <v>54</v>
      </c>
    </row>
    <row r="239" customFormat="false" ht="15" hidden="false" customHeight="false" outlineLevel="0" collapsed="false">
      <c r="A239" s="0" t="n">
        <v>14</v>
      </c>
      <c r="B239" s="22" t="s">
        <v>614</v>
      </c>
      <c r="C239" s="13" t="s">
        <v>400</v>
      </c>
      <c r="D239" s="23" t="s">
        <v>622</v>
      </c>
      <c r="E239" s="23" t="s">
        <v>624</v>
      </c>
      <c r="F239" s="24" t="s">
        <v>145</v>
      </c>
      <c r="G239" s="19" t="n">
        <v>1</v>
      </c>
      <c r="H239" s="13" t="s">
        <v>27</v>
      </c>
      <c r="I239" s="12" t="n">
        <f aca="false">IFERROR(VLOOKUP(F239,Insumos!$C$5:$G$143,5,FALSE()),0)</f>
        <v>1.8</v>
      </c>
      <c r="J239" s="25" t="n">
        <f aca="false">IF(C239="bizcocho",VLOOKUP(A239,'Recetas y precios'!$A$5:$G$55,6,FALSE()),IF(C239="jarabe",VLOOKUP(A239,'Recetas y precios'!$A$5:$G$55,7,FALSE()),1))</f>
        <v>1</v>
      </c>
      <c r="K239" s="15" t="n">
        <f aca="false">G239*I239*J239</f>
        <v>1.8</v>
      </c>
    </row>
    <row r="240" customFormat="false" ht="15" hidden="false" customHeight="false" outlineLevel="0" collapsed="false">
      <c r="A240" s="0" t="n">
        <v>15</v>
      </c>
      <c r="B240" s="22" t="s">
        <v>625</v>
      </c>
      <c r="C240" s="13" t="s">
        <v>376</v>
      </c>
      <c r="D240" s="23" t="s">
        <v>626</v>
      </c>
      <c r="E240" s="23" t="s">
        <v>530</v>
      </c>
      <c r="F240" s="24" t="s">
        <v>59</v>
      </c>
      <c r="G240" s="19" t="n">
        <v>50</v>
      </c>
      <c r="H240" s="13" t="s">
        <v>27</v>
      </c>
      <c r="I240" s="12" t="n">
        <f aca="false">IFERROR(VLOOKUP(F240,Insumos!$C$5:$G$143,5,FALSE()),0)</f>
        <v>0.032</v>
      </c>
      <c r="J240" s="25" t="n">
        <f aca="false">IF(C240="bizcocho",VLOOKUP(A240,'Recetas y precios'!$A$5:$G$55,6,FALSE()),IF(C240="jarabe",VLOOKUP(A240,'Recetas y precios'!$A$5:$G$55,7,FALSE()),1))</f>
        <v>0.349</v>
      </c>
      <c r="K240" s="15" t="n">
        <f aca="false">G240*I240*J240</f>
        <v>0.5584</v>
      </c>
    </row>
    <row r="241" customFormat="false" ht="15" hidden="false" customHeight="false" outlineLevel="0" collapsed="false">
      <c r="A241" s="0" t="n">
        <v>15</v>
      </c>
      <c r="B241" s="22" t="s">
        <v>625</v>
      </c>
      <c r="C241" s="13" t="s">
        <v>376</v>
      </c>
      <c r="D241" s="23" t="s">
        <v>626</v>
      </c>
      <c r="E241" s="23" t="s">
        <v>409</v>
      </c>
      <c r="F241" s="24" t="s">
        <v>48</v>
      </c>
      <c r="G241" s="19" t="n">
        <v>35</v>
      </c>
      <c r="H241" s="13" t="s">
        <v>27</v>
      </c>
      <c r="I241" s="12" t="n">
        <f aca="false">IFERROR(VLOOKUP(F241,Insumos!$C$5:$G$143,5,FALSE()),0)</f>
        <v>0.13</v>
      </c>
      <c r="J241" s="25" t="n">
        <f aca="false">IF(C241="bizcocho",VLOOKUP(A241,'Recetas y precios'!$A$5:$G$55,6,FALSE()),IF(C241="jarabe",VLOOKUP(A241,'Recetas y precios'!$A$5:$G$55,7,FALSE()),1))</f>
        <v>0.349</v>
      </c>
      <c r="K241" s="15" t="n">
        <f aca="false">G241*I241*J241</f>
        <v>1.58795</v>
      </c>
    </row>
    <row r="242" customFormat="false" ht="15" hidden="false" customHeight="false" outlineLevel="0" collapsed="false">
      <c r="A242" s="0" t="n">
        <v>15</v>
      </c>
      <c r="B242" s="22" t="s">
        <v>625</v>
      </c>
      <c r="C242" s="13" t="s">
        <v>376</v>
      </c>
      <c r="D242" s="23" t="s">
        <v>626</v>
      </c>
      <c r="E242" s="23" t="s">
        <v>410</v>
      </c>
      <c r="F242" s="24" t="s">
        <v>50</v>
      </c>
      <c r="G242" s="19" t="n">
        <v>75</v>
      </c>
      <c r="H242" s="13" t="s">
        <v>27</v>
      </c>
      <c r="I242" s="12" t="n">
        <f aca="false">IFERROR(VLOOKUP(F242,Insumos!$C$5:$G$143,5,FALSE()),0)</f>
        <v>0.075</v>
      </c>
      <c r="J242" s="25" t="n">
        <f aca="false">IF(C242="bizcocho",VLOOKUP(A242,'Recetas y precios'!$A$5:$G$55,6,FALSE()),IF(C242="jarabe",VLOOKUP(A242,'Recetas y precios'!$A$5:$G$55,7,FALSE()),1))</f>
        <v>0.349</v>
      </c>
      <c r="K242" s="15" t="n">
        <f aca="false">G242*I242*J242</f>
        <v>1.963125</v>
      </c>
    </row>
    <row r="243" customFormat="false" ht="15" hidden="false" customHeight="false" outlineLevel="0" collapsed="false">
      <c r="A243" s="0" t="n">
        <v>15</v>
      </c>
      <c r="B243" s="22" t="s">
        <v>625</v>
      </c>
      <c r="C243" s="13" t="s">
        <v>376</v>
      </c>
      <c r="D243" s="23" t="s">
        <v>626</v>
      </c>
      <c r="E243" s="23" t="s">
        <v>411</v>
      </c>
      <c r="F243" s="24" t="s">
        <v>72</v>
      </c>
      <c r="G243" s="19" t="n">
        <v>40</v>
      </c>
      <c r="H243" s="13" t="s">
        <v>27</v>
      </c>
      <c r="I243" s="12" t="n">
        <f aca="false">IFERROR(VLOOKUP(F243,Insumos!$C$5:$G$143,5,FALSE()),0)</f>
        <v>0.028</v>
      </c>
      <c r="J243" s="25" t="n">
        <f aca="false">IF(C243="bizcocho",VLOOKUP(A243,'Recetas y precios'!$A$5:$G$55,6,FALSE()),IF(C243="jarabe",VLOOKUP(A243,'Recetas y precios'!$A$5:$G$55,7,FALSE()),1))</f>
        <v>0.349</v>
      </c>
      <c r="K243" s="15" t="n">
        <f aca="false">G243*I243*J243</f>
        <v>0.39088</v>
      </c>
    </row>
    <row r="244" customFormat="false" ht="15" hidden="false" customHeight="false" outlineLevel="0" collapsed="false">
      <c r="A244" s="0" t="n">
        <v>15</v>
      </c>
      <c r="B244" s="22" t="s">
        <v>625</v>
      </c>
      <c r="C244" s="13" t="s">
        <v>376</v>
      </c>
      <c r="D244" s="23" t="s">
        <v>626</v>
      </c>
      <c r="E244" s="23" t="s">
        <v>531</v>
      </c>
      <c r="F244" s="24" t="s">
        <v>109</v>
      </c>
      <c r="G244" s="19" t="n">
        <v>25</v>
      </c>
      <c r="H244" s="13" t="s">
        <v>34</v>
      </c>
      <c r="I244" s="12" t="n">
        <f aca="false">IFERROR(VLOOKUP(F244,Insumos!$C$5:$G$143,5,FALSE()),0)</f>
        <v>0.045</v>
      </c>
      <c r="J244" s="25" t="n">
        <f aca="false">IF(C244="bizcocho",VLOOKUP(A244,'Recetas y precios'!$A$5:$G$55,6,FALSE()),IF(C244="jarabe",VLOOKUP(A244,'Recetas y precios'!$A$5:$G$55,7,FALSE()),1))</f>
        <v>0.349</v>
      </c>
      <c r="K244" s="15" t="n">
        <f aca="false">G244*I244*J244</f>
        <v>0.392625</v>
      </c>
    </row>
    <row r="245" customFormat="false" ht="15" hidden="false" customHeight="false" outlineLevel="0" collapsed="false">
      <c r="A245" s="0" t="n">
        <v>15</v>
      </c>
      <c r="B245" s="22" t="s">
        <v>625</v>
      </c>
      <c r="C245" s="13" t="s">
        <v>376</v>
      </c>
      <c r="D245" s="23" t="s">
        <v>626</v>
      </c>
      <c r="E245" s="23" t="s">
        <v>627</v>
      </c>
      <c r="F245" s="24" t="s">
        <v>133</v>
      </c>
      <c r="G245" s="19" t="n">
        <v>1.2</v>
      </c>
      <c r="H245" s="13" t="s">
        <v>27</v>
      </c>
      <c r="I245" s="12" t="n">
        <f aca="false">IFERROR(VLOOKUP(F245,Insumos!$C$5:$G$143,5,FALSE()),0)</f>
        <v>0.6</v>
      </c>
      <c r="J245" s="25" t="n">
        <f aca="false">IF(C245="bizcocho",VLOOKUP(A245,'Recetas y precios'!$A$5:$G$55,6,FALSE()),IF(C245="jarabe",VLOOKUP(A245,'Recetas y precios'!$A$5:$G$55,7,FALSE()),1))</f>
        <v>0.349</v>
      </c>
      <c r="K245" s="15" t="n">
        <f aca="false">G245*I245*J245</f>
        <v>0.25128</v>
      </c>
    </row>
    <row r="246" customFormat="false" ht="15" hidden="false" customHeight="false" outlineLevel="0" collapsed="false">
      <c r="A246" s="0" t="n">
        <v>15</v>
      </c>
      <c r="B246" s="22" t="s">
        <v>625</v>
      </c>
      <c r="C246" s="13" t="s">
        <v>376</v>
      </c>
      <c r="D246" s="23" t="s">
        <v>626</v>
      </c>
      <c r="E246" s="23" t="s">
        <v>628</v>
      </c>
      <c r="F246" s="24" t="s">
        <v>133</v>
      </c>
      <c r="G246" s="19" t="n">
        <v>2</v>
      </c>
      <c r="H246" s="13" t="s">
        <v>27</v>
      </c>
      <c r="I246" s="12" t="n">
        <f aca="false">IFERROR(VLOOKUP(F246,Insumos!$C$5:$G$143,5,FALSE()),0)</f>
        <v>0.6</v>
      </c>
      <c r="J246" s="25" t="n">
        <f aca="false">IF(C246="bizcocho",VLOOKUP(A246,'Recetas y precios'!$A$5:$G$55,6,FALSE()),IF(C246="jarabe",VLOOKUP(A246,'Recetas y precios'!$A$5:$G$55,7,FALSE()),1))</f>
        <v>0.349</v>
      </c>
      <c r="K246" s="15" t="n">
        <f aca="false">G246*I246*J246</f>
        <v>0.4188</v>
      </c>
    </row>
    <row r="247" customFormat="false" ht="15" hidden="false" customHeight="false" outlineLevel="0" collapsed="false">
      <c r="A247" s="0" t="n">
        <v>15</v>
      </c>
      <c r="B247" s="22" t="s">
        <v>625</v>
      </c>
      <c r="C247" s="13" t="s">
        <v>376</v>
      </c>
      <c r="D247" s="23" t="s">
        <v>626</v>
      </c>
      <c r="E247" s="23" t="s">
        <v>413</v>
      </c>
      <c r="F247" s="24" t="s">
        <v>103</v>
      </c>
      <c r="G247" s="19" t="n">
        <v>1</v>
      </c>
      <c r="H247" s="13" t="s">
        <v>27</v>
      </c>
      <c r="I247" s="12" t="n">
        <f aca="false">IFERROR(VLOOKUP(F247,Insumos!$C$5:$G$143,5,FALSE()),0)</f>
        <v>0.025</v>
      </c>
      <c r="J247" s="25" t="n">
        <f aca="false">IF(C247="bizcocho",VLOOKUP(A247,'Recetas y precios'!$A$5:$G$55,6,FALSE()),IF(C247="jarabe",VLOOKUP(A247,'Recetas y precios'!$A$5:$G$55,7,FALSE()),1))</f>
        <v>0.349</v>
      </c>
      <c r="K247" s="15" t="n">
        <f aca="false">G247*I247*J247</f>
        <v>0.008725</v>
      </c>
    </row>
    <row r="248" customFormat="false" ht="15" hidden="false" customHeight="false" outlineLevel="0" collapsed="false">
      <c r="A248" s="0" t="n">
        <v>15</v>
      </c>
      <c r="B248" s="22" t="s">
        <v>625</v>
      </c>
      <c r="C248" s="13" t="s">
        <v>387</v>
      </c>
      <c r="D248" s="23" t="s">
        <v>629</v>
      </c>
      <c r="E248" s="23" t="s">
        <v>630</v>
      </c>
      <c r="F248" s="24" t="s">
        <v>133</v>
      </c>
      <c r="G248" s="19" t="n">
        <v>1.8</v>
      </c>
      <c r="H248" s="13" t="s">
        <v>27</v>
      </c>
      <c r="I248" s="12" t="n">
        <f aca="false">IFERROR(VLOOKUP(F248,Insumos!$C$5:$G$143,5,FALSE()),0)</f>
        <v>0.6</v>
      </c>
      <c r="J248" s="25" t="n">
        <f aca="false">IF(C248="bizcocho",VLOOKUP(A248,'Recetas y precios'!$A$5:$G$55,6,FALSE()),IF(C248="jarabe",VLOOKUP(A248,'Recetas y precios'!$A$5:$G$55,7,FALSE()),1))</f>
        <v>1</v>
      </c>
      <c r="K248" s="15" t="n">
        <f aca="false">G248*I248*J248</f>
        <v>1.08</v>
      </c>
    </row>
    <row r="249" customFormat="false" ht="15" hidden="false" customHeight="false" outlineLevel="0" collapsed="false">
      <c r="A249" s="0" t="n">
        <v>15</v>
      </c>
      <c r="B249" s="22" t="s">
        <v>625</v>
      </c>
      <c r="C249" s="13" t="s">
        <v>387</v>
      </c>
      <c r="D249" s="23" t="s">
        <v>629</v>
      </c>
      <c r="E249" s="23" t="s">
        <v>631</v>
      </c>
      <c r="F249" s="24" t="s">
        <v>145</v>
      </c>
      <c r="G249" s="19" t="n">
        <v>2</v>
      </c>
      <c r="H249" s="13" t="s">
        <v>27</v>
      </c>
      <c r="I249" s="12" t="n">
        <f aca="false">IFERROR(VLOOKUP(F249,Insumos!$C$5:$G$143,5,FALSE()),0)</f>
        <v>1.8</v>
      </c>
      <c r="J249" s="25" t="n">
        <f aca="false">IF(C249="bizcocho",VLOOKUP(A249,'Recetas y precios'!$A$5:$G$55,6,FALSE()),IF(C249="jarabe",VLOOKUP(A249,'Recetas y precios'!$A$5:$G$55,7,FALSE()),1))</f>
        <v>1</v>
      </c>
      <c r="K249" s="15" t="n">
        <f aca="false">G249*I249*J249</f>
        <v>3.6</v>
      </c>
    </row>
    <row r="250" customFormat="false" ht="15" hidden="false" customHeight="false" outlineLevel="0" collapsed="false">
      <c r="A250" s="0" t="n">
        <v>15</v>
      </c>
      <c r="B250" s="22" t="s">
        <v>625</v>
      </c>
      <c r="C250" s="13" t="s">
        <v>387</v>
      </c>
      <c r="D250" s="23" t="s">
        <v>629</v>
      </c>
      <c r="E250" s="23" t="s">
        <v>581</v>
      </c>
      <c r="F250" s="24" t="s">
        <v>72</v>
      </c>
      <c r="G250" s="19" t="n">
        <v>20</v>
      </c>
      <c r="H250" s="13" t="s">
        <v>27</v>
      </c>
      <c r="I250" s="12" t="n">
        <f aca="false">IFERROR(VLOOKUP(F250,Insumos!$C$5:$G$143,5,FALSE()),0)</f>
        <v>0.028</v>
      </c>
      <c r="J250" s="25" t="n">
        <f aca="false">IF(C250="bizcocho",VLOOKUP(A250,'Recetas y precios'!$A$5:$G$55,6,FALSE()),IF(C250="jarabe",VLOOKUP(A250,'Recetas y precios'!$A$5:$G$55,7,FALSE()),1))</f>
        <v>1</v>
      </c>
      <c r="K250" s="15" t="n">
        <f aca="false">G250*I250*J250</f>
        <v>0.56</v>
      </c>
    </row>
    <row r="251" customFormat="false" ht="15" hidden="false" customHeight="false" outlineLevel="0" collapsed="false">
      <c r="A251" s="0" t="n">
        <v>15</v>
      </c>
      <c r="B251" s="22" t="s">
        <v>625</v>
      </c>
      <c r="C251" s="13" t="s">
        <v>387</v>
      </c>
      <c r="D251" s="23" t="s">
        <v>629</v>
      </c>
      <c r="E251" s="23" t="s">
        <v>632</v>
      </c>
      <c r="F251" s="24" t="s">
        <v>313</v>
      </c>
      <c r="G251" s="19" t="n">
        <v>5</v>
      </c>
      <c r="H251" s="13" t="s">
        <v>34</v>
      </c>
      <c r="I251" s="12" t="n">
        <f aca="false">IFERROR(VLOOKUP(F251,Insumos!$C$5:$G$143,5,FALSE()),0)</f>
        <v>0.6</v>
      </c>
      <c r="J251" s="25" t="n">
        <f aca="false">IF(C251="bizcocho",VLOOKUP(A251,'Recetas y precios'!$A$5:$G$55,6,FALSE()),IF(C251="jarabe",VLOOKUP(A251,'Recetas y precios'!$A$5:$G$55,7,FALSE()),1))</f>
        <v>1</v>
      </c>
      <c r="K251" s="15" t="n">
        <f aca="false">G251*I251*J251</f>
        <v>3</v>
      </c>
    </row>
    <row r="252" customFormat="false" ht="15" hidden="false" customHeight="false" outlineLevel="0" collapsed="false">
      <c r="A252" s="0" t="n">
        <v>15</v>
      </c>
      <c r="B252" s="22" t="s">
        <v>625</v>
      </c>
      <c r="C252" s="13" t="s">
        <v>393</v>
      </c>
      <c r="D252" s="23" t="s">
        <v>633</v>
      </c>
      <c r="E252" s="23" t="s">
        <v>479</v>
      </c>
      <c r="F252" s="24" t="s">
        <v>26</v>
      </c>
      <c r="G252" s="19" t="n">
        <v>180</v>
      </c>
      <c r="H252" s="13" t="s">
        <v>27</v>
      </c>
      <c r="I252" s="12" t="n">
        <f aca="false">IFERROR(VLOOKUP(F252,Insumos!$C$5:$G$143,5,FALSE()),0)</f>
        <v>0.38</v>
      </c>
      <c r="J252" s="25" t="n">
        <f aca="false">IF(C252="bizcocho",VLOOKUP(A252,'Recetas y precios'!$A$5:$G$55,6,FALSE()),IF(C252="jarabe",VLOOKUP(A252,'Recetas y precios'!$A$5:$G$55,7,FALSE()),1))</f>
        <v>1</v>
      </c>
      <c r="K252" s="15" t="n">
        <f aca="false">G252*I252*J252</f>
        <v>68.4</v>
      </c>
    </row>
    <row r="253" customFormat="false" ht="15" hidden="false" customHeight="false" outlineLevel="0" collapsed="false">
      <c r="A253" s="0" t="n">
        <v>15</v>
      </c>
      <c r="B253" s="22" t="s">
        <v>625</v>
      </c>
      <c r="C253" s="13" t="s">
        <v>393</v>
      </c>
      <c r="D253" s="23" t="s">
        <v>633</v>
      </c>
      <c r="E253" s="23" t="s">
        <v>634</v>
      </c>
      <c r="F253" s="24" t="s">
        <v>33</v>
      </c>
      <c r="G253" s="19" t="n">
        <v>190</v>
      </c>
      <c r="H253" s="13" t="s">
        <v>34</v>
      </c>
      <c r="I253" s="12" t="n">
        <f aca="false">IFERROR(VLOOKUP(F253,Insumos!$C$5:$G$143,5,FALSE()),0)</f>
        <v>0.078</v>
      </c>
      <c r="J253" s="25" t="n">
        <f aca="false">IF(C253="bizcocho",VLOOKUP(A253,'Recetas y precios'!$A$5:$G$55,6,FALSE()),IF(C253="jarabe",VLOOKUP(A253,'Recetas y precios'!$A$5:$G$55,7,FALSE()),1))</f>
        <v>1</v>
      </c>
      <c r="K253" s="15" t="n">
        <f aca="false">G253*I253*J253</f>
        <v>14.82</v>
      </c>
    </row>
    <row r="254" customFormat="false" ht="15" hidden="false" customHeight="false" outlineLevel="0" collapsed="false">
      <c r="A254" s="0" t="n">
        <v>15</v>
      </c>
      <c r="B254" s="22" t="s">
        <v>625</v>
      </c>
      <c r="C254" s="13" t="s">
        <v>393</v>
      </c>
      <c r="D254" s="23" t="s">
        <v>633</v>
      </c>
      <c r="E254" s="23" t="s">
        <v>635</v>
      </c>
      <c r="F254" s="24" t="s">
        <v>288</v>
      </c>
      <c r="G254" s="19" t="n">
        <v>2</v>
      </c>
      <c r="H254" s="13" t="s">
        <v>34</v>
      </c>
      <c r="I254" s="12" t="n">
        <f aca="false">IFERROR(VLOOKUP(F254,Insumos!$C$5:$G$143,5,FALSE()),0)</f>
        <v>18</v>
      </c>
      <c r="J254" s="25" t="n">
        <f aca="false">IF(C254="bizcocho",VLOOKUP(A254,'Recetas y precios'!$A$5:$G$55,6,FALSE()),IF(C254="jarabe",VLOOKUP(A254,'Recetas y precios'!$A$5:$G$55,7,FALSE()),1))</f>
        <v>1</v>
      </c>
      <c r="K254" s="15" t="n">
        <f aca="false">G254*I254*J254</f>
        <v>36</v>
      </c>
    </row>
    <row r="255" customFormat="false" ht="15" hidden="false" customHeight="false" outlineLevel="0" collapsed="false">
      <c r="A255" s="0" t="n">
        <v>15</v>
      </c>
      <c r="B255" s="22" t="s">
        <v>625</v>
      </c>
      <c r="C255" s="13" t="s">
        <v>393</v>
      </c>
      <c r="D255" s="23" t="s">
        <v>633</v>
      </c>
      <c r="E255" s="23" t="s">
        <v>506</v>
      </c>
      <c r="F255" s="24" t="s">
        <v>36</v>
      </c>
      <c r="G255" s="19" t="n">
        <v>45</v>
      </c>
      <c r="H255" s="13" t="s">
        <v>27</v>
      </c>
      <c r="I255" s="12" t="n">
        <f aca="false">IFERROR(VLOOKUP(F255,Insumos!$C$5:$G$143,5,FALSE()),0)</f>
        <v>0.085</v>
      </c>
      <c r="J255" s="25" t="n">
        <f aca="false">IF(C255="bizcocho",VLOOKUP(A255,'Recetas y precios'!$A$5:$G$55,6,FALSE()),IF(C255="jarabe",VLOOKUP(A255,'Recetas y precios'!$A$5:$G$55,7,FALSE()),1))</f>
        <v>1</v>
      </c>
      <c r="K255" s="15" t="n">
        <f aca="false">G255*I255*J255</f>
        <v>3.825</v>
      </c>
    </row>
    <row r="256" customFormat="false" ht="15" hidden="false" customHeight="false" outlineLevel="0" collapsed="false">
      <c r="A256" s="0" t="n">
        <v>15</v>
      </c>
      <c r="B256" s="22" t="s">
        <v>625</v>
      </c>
      <c r="C256" s="13" t="s">
        <v>393</v>
      </c>
      <c r="D256" s="23" t="s">
        <v>633</v>
      </c>
      <c r="E256" s="23" t="s">
        <v>445</v>
      </c>
      <c r="F256" s="24" t="s">
        <v>74</v>
      </c>
      <c r="G256" s="19" t="n">
        <v>25</v>
      </c>
      <c r="H256" s="13" t="s">
        <v>27</v>
      </c>
      <c r="I256" s="12" t="n">
        <f aca="false">IFERROR(VLOOKUP(F256,Insumos!$C$5:$G$143,5,FALSE()),0)</f>
        <v>0.045</v>
      </c>
      <c r="J256" s="25" t="n">
        <f aca="false">IF(C256="bizcocho",VLOOKUP(A256,'Recetas y precios'!$A$5:$G$55,6,FALSE()),IF(C256="jarabe",VLOOKUP(A256,'Recetas y precios'!$A$5:$G$55,7,FALSE()),1))</f>
        <v>1</v>
      </c>
      <c r="K256" s="15" t="n">
        <f aca="false">G256*I256*J256</f>
        <v>1.125</v>
      </c>
    </row>
    <row r="257" customFormat="false" ht="15" hidden="false" customHeight="false" outlineLevel="0" collapsed="false">
      <c r="A257" s="0" t="n">
        <v>15</v>
      </c>
      <c r="B257" s="22" t="s">
        <v>625</v>
      </c>
      <c r="C257" s="13" t="s">
        <v>400</v>
      </c>
      <c r="D257" s="23" t="s">
        <v>401</v>
      </c>
      <c r="E257" s="23" t="s">
        <v>636</v>
      </c>
      <c r="F257" s="24" t="s">
        <v>216</v>
      </c>
      <c r="G257" s="19" t="n">
        <v>15</v>
      </c>
      <c r="H257" s="13" t="s">
        <v>27</v>
      </c>
      <c r="I257" s="12" t="n">
        <f aca="false">IFERROR(VLOOKUP(F257,Insumos!$C$5:$G$143,5,FALSE()),0)</f>
        <v>0.48</v>
      </c>
      <c r="J257" s="25" t="n">
        <f aca="false">IF(C257="bizcocho",VLOOKUP(A257,'Recetas y precios'!$A$5:$G$55,6,FALSE()),IF(C257="jarabe",VLOOKUP(A257,'Recetas y precios'!$A$5:$G$55,7,FALSE()),1))</f>
        <v>1</v>
      </c>
      <c r="K257" s="15" t="n">
        <f aca="false">G257*I257*J257</f>
        <v>7.2</v>
      </c>
    </row>
    <row r="258" customFormat="false" ht="15" hidden="false" customHeight="false" outlineLevel="0" collapsed="false">
      <c r="A258" s="0" t="n">
        <v>15</v>
      </c>
      <c r="B258" s="22" t="s">
        <v>625</v>
      </c>
      <c r="C258" s="13" t="s">
        <v>400</v>
      </c>
      <c r="D258" s="23" t="s">
        <v>401</v>
      </c>
      <c r="E258" s="23" t="s">
        <v>637</v>
      </c>
      <c r="F258" s="24" t="s">
        <v>224</v>
      </c>
      <c r="G258" s="19" t="n">
        <v>15</v>
      </c>
      <c r="H258" s="13" t="s">
        <v>27</v>
      </c>
      <c r="I258" s="12" t="n">
        <f aca="false">IFERROR(VLOOKUP(F258,Insumos!$C$5:$G$143,5,FALSE()),0)</f>
        <v>0.65</v>
      </c>
      <c r="J258" s="25" t="n">
        <f aca="false">IF(C258="bizcocho",VLOOKUP(A258,'Recetas y precios'!$A$5:$G$55,6,FALSE()),IF(C258="jarabe",VLOOKUP(A258,'Recetas y precios'!$A$5:$G$55,7,FALSE()),1))</f>
        <v>1</v>
      </c>
      <c r="K258" s="15" t="n">
        <f aca="false">G258*I258*J258</f>
        <v>9.75</v>
      </c>
    </row>
    <row r="259" customFormat="false" ht="15" hidden="false" customHeight="false" outlineLevel="0" collapsed="false">
      <c r="A259" s="0" t="n">
        <v>16</v>
      </c>
      <c r="B259" s="22" t="s">
        <v>638</v>
      </c>
      <c r="C259" s="13" t="s">
        <v>376</v>
      </c>
      <c r="D259" s="23" t="s">
        <v>639</v>
      </c>
      <c r="E259" s="23" t="s">
        <v>640</v>
      </c>
      <c r="F259" s="24" t="s">
        <v>59</v>
      </c>
      <c r="G259" s="19" t="n">
        <v>50</v>
      </c>
      <c r="H259" s="13" t="s">
        <v>27</v>
      </c>
      <c r="I259" s="12" t="n">
        <f aca="false">IFERROR(VLOOKUP(F259,Insumos!$C$5:$G$143,5,FALSE()),0)</f>
        <v>0.032</v>
      </c>
      <c r="J259" s="25" t="n">
        <f aca="false">IF(C259="bizcocho",VLOOKUP(A259,'Recetas y precios'!$A$5:$G$55,6,FALSE()),IF(C259="jarabe",VLOOKUP(A259,'Recetas y precios'!$A$5:$G$55,7,FALSE()),1))</f>
        <v>0.329</v>
      </c>
      <c r="K259" s="15" t="n">
        <f aca="false">G259*I259*J259</f>
        <v>0.5264</v>
      </c>
    </row>
    <row r="260" customFormat="false" ht="15" hidden="false" customHeight="false" outlineLevel="0" collapsed="false">
      <c r="A260" s="0" t="n">
        <v>16</v>
      </c>
      <c r="B260" s="22" t="s">
        <v>638</v>
      </c>
      <c r="C260" s="13" t="s">
        <v>376</v>
      </c>
      <c r="D260" s="23" t="s">
        <v>639</v>
      </c>
      <c r="E260" s="23" t="s">
        <v>641</v>
      </c>
      <c r="F260" s="24" t="s">
        <v>48</v>
      </c>
      <c r="G260" s="19" t="n">
        <v>35</v>
      </c>
      <c r="H260" s="13" t="s">
        <v>27</v>
      </c>
      <c r="I260" s="12" t="n">
        <f aca="false">IFERROR(VLOOKUP(F260,Insumos!$C$5:$G$143,5,FALSE()),0)</f>
        <v>0.13</v>
      </c>
      <c r="J260" s="25" t="n">
        <f aca="false">IF(C260="bizcocho",VLOOKUP(A260,'Recetas y precios'!$A$5:$G$55,6,FALSE()),IF(C260="jarabe",VLOOKUP(A260,'Recetas y precios'!$A$5:$G$55,7,FALSE()),1))</f>
        <v>0.329</v>
      </c>
      <c r="K260" s="15" t="n">
        <f aca="false">G260*I260*J260</f>
        <v>1.49695</v>
      </c>
    </row>
    <row r="261" customFormat="false" ht="15" hidden="false" customHeight="false" outlineLevel="0" collapsed="false">
      <c r="A261" s="0" t="n">
        <v>16</v>
      </c>
      <c r="B261" s="22" t="s">
        <v>638</v>
      </c>
      <c r="C261" s="13" t="s">
        <v>376</v>
      </c>
      <c r="D261" s="23" t="s">
        <v>639</v>
      </c>
      <c r="E261" s="23" t="s">
        <v>642</v>
      </c>
      <c r="F261" s="24" t="s">
        <v>50</v>
      </c>
      <c r="G261" s="19" t="n">
        <v>75</v>
      </c>
      <c r="H261" s="13" t="s">
        <v>27</v>
      </c>
      <c r="I261" s="12" t="n">
        <f aca="false">IFERROR(VLOOKUP(F261,Insumos!$C$5:$G$143,5,FALSE()),0)</f>
        <v>0.075</v>
      </c>
      <c r="J261" s="25" t="n">
        <f aca="false">IF(C261="bizcocho",VLOOKUP(A261,'Recetas y precios'!$A$5:$G$55,6,FALSE()),IF(C261="jarabe",VLOOKUP(A261,'Recetas y precios'!$A$5:$G$55,7,FALSE()),1))</f>
        <v>0.329</v>
      </c>
      <c r="K261" s="15" t="n">
        <f aca="false">G261*I261*J261</f>
        <v>1.850625</v>
      </c>
    </row>
    <row r="262" customFormat="false" ht="15" hidden="false" customHeight="false" outlineLevel="0" collapsed="false">
      <c r="A262" s="0" t="n">
        <v>16</v>
      </c>
      <c r="B262" s="22" t="s">
        <v>638</v>
      </c>
      <c r="C262" s="13" t="s">
        <v>376</v>
      </c>
      <c r="D262" s="23" t="s">
        <v>639</v>
      </c>
      <c r="E262" s="23" t="s">
        <v>411</v>
      </c>
      <c r="F262" s="24" t="s">
        <v>72</v>
      </c>
      <c r="G262" s="19" t="n">
        <v>40</v>
      </c>
      <c r="H262" s="13" t="s">
        <v>27</v>
      </c>
      <c r="I262" s="12" t="n">
        <f aca="false">IFERROR(VLOOKUP(F262,Insumos!$C$5:$G$143,5,FALSE()),0)</f>
        <v>0.028</v>
      </c>
      <c r="J262" s="25" t="n">
        <f aca="false">IF(C262="bizcocho",VLOOKUP(A262,'Recetas y precios'!$A$5:$G$55,6,FALSE()),IF(C262="jarabe",VLOOKUP(A262,'Recetas y precios'!$A$5:$G$55,7,FALSE()),1))</f>
        <v>0.329</v>
      </c>
      <c r="K262" s="15" t="n">
        <f aca="false">G262*I262*J262</f>
        <v>0.36848</v>
      </c>
    </row>
    <row r="263" customFormat="false" ht="15" hidden="false" customHeight="false" outlineLevel="0" collapsed="false">
      <c r="A263" s="0" t="n">
        <v>16</v>
      </c>
      <c r="B263" s="22" t="s">
        <v>638</v>
      </c>
      <c r="C263" s="13" t="s">
        <v>376</v>
      </c>
      <c r="D263" s="23" t="s">
        <v>639</v>
      </c>
      <c r="E263" s="23" t="s">
        <v>643</v>
      </c>
      <c r="F263" s="24" t="s">
        <v>109</v>
      </c>
      <c r="G263" s="19" t="n">
        <v>25</v>
      </c>
      <c r="H263" s="13" t="s">
        <v>34</v>
      </c>
      <c r="I263" s="12" t="n">
        <f aca="false">IFERROR(VLOOKUP(F263,Insumos!$C$5:$G$143,5,FALSE()),0)</f>
        <v>0.045</v>
      </c>
      <c r="J263" s="25" t="n">
        <f aca="false">IF(C263="bizcocho",VLOOKUP(A263,'Recetas y precios'!$A$5:$G$55,6,FALSE()),IF(C263="jarabe",VLOOKUP(A263,'Recetas y precios'!$A$5:$G$55,7,FALSE()),1))</f>
        <v>0.329</v>
      </c>
      <c r="K263" s="15" t="n">
        <f aca="false">G263*I263*J263</f>
        <v>0.370125</v>
      </c>
    </row>
    <row r="264" customFormat="false" ht="15" hidden="false" customHeight="false" outlineLevel="0" collapsed="false">
      <c r="A264" s="0" t="n">
        <v>16</v>
      </c>
      <c r="B264" s="22" t="s">
        <v>638</v>
      </c>
      <c r="C264" s="13" t="s">
        <v>376</v>
      </c>
      <c r="D264" s="23" t="s">
        <v>639</v>
      </c>
      <c r="E264" s="23" t="s">
        <v>644</v>
      </c>
      <c r="F264" s="24" t="s">
        <v>139</v>
      </c>
      <c r="G264" s="19" t="n">
        <v>1.05</v>
      </c>
      <c r="H264" s="13" t="s">
        <v>27</v>
      </c>
      <c r="I264" s="12" t="n">
        <f aca="false">IFERROR(VLOOKUP(F264,Insumos!$C$5:$G$143,5,FALSE()),0)</f>
        <v>2.5</v>
      </c>
      <c r="J264" s="25" t="n">
        <f aca="false">IF(C264="bizcocho",VLOOKUP(A264,'Recetas y precios'!$A$5:$G$55,6,FALSE()),IF(C264="jarabe",VLOOKUP(A264,'Recetas y precios'!$A$5:$G$55,7,FALSE()),1))</f>
        <v>0.329</v>
      </c>
      <c r="K264" s="15" t="n">
        <f aca="false">G264*I264*J264</f>
        <v>0.863625</v>
      </c>
    </row>
    <row r="265" customFormat="false" ht="15" hidden="false" customHeight="false" outlineLevel="0" collapsed="false">
      <c r="A265" s="0" t="n">
        <v>16</v>
      </c>
      <c r="B265" s="22" t="s">
        <v>638</v>
      </c>
      <c r="C265" s="13" t="s">
        <v>376</v>
      </c>
      <c r="D265" s="23" t="s">
        <v>639</v>
      </c>
      <c r="E265" s="23" t="s">
        <v>385</v>
      </c>
      <c r="F265" s="24" t="s">
        <v>103</v>
      </c>
      <c r="G265" s="19" t="n">
        <v>1</v>
      </c>
      <c r="H265" s="13" t="s">
        <v>27</v>
      </c>
      <c r="I265" s="12" t="n">
        <f aca="false">IFERROR(VLOOKUP(F265,Insumos!$C$5:$G$143,5,FALSE()),0)</f>
        <v>0.025</v>
      </c>
      <c r="J265" s="25" t="n">
        <f aca="false">IF(C265="bizcocho",VLOOKUP(A265,'Recetas y precios'!$A$5:$G$55,6,FALSE()),IF(C265="jarabe",VLOOKUP(A265,'Recetas y precios'!$A$5:$G$55,7,FALSE()),1))</f>
        <v>0.329</v>
      </c>
      <c r="K265" s="15" t="n">
        <f aca="false">G265*I265*J265</f>
        <v>0.008225</v>
      </c>
    </row>
    <row r="266" customFormat="false" ht="15" hidden="false" customHeight="false" outlineLevel="0" collapsed="false">
      <c r="A266" s="0" t="n">
        <v>16</v>
      </c>
      <c r="B266" s="22" t="s">
        <v>638</v>
      </c>
      <c r="C266" s="13" t="s">
        <v>376</v>
      </c>
      <c r="D266" s="23" t="s">
        <v>639</v>
      </c>
      <c r="E266" s="23" t="s">
        <v>386</v>
      </c>
      <c r="F266" s="24" t="s">
        <v>95</v>
      </c>
      <c r="G266" s="19" t="n">
        <v>1</v>
      </c>
      <c r="H266" s="13" t="s">
        <v>27</v>
      </c>
      <c r="I266" s="12" t="n">
        <f aca="false">IFERROR(VLOOKUP(F266,Insumos!$C$5:$G$143,5,FALSE()),0)</f>
        <v>0.48</v>
      </c>
      <c r="J266" s="25" t="n">
        <f aca="false">IF(C266="bizcocho",VLOOKUP(A266,'Recetas y precios'!$A$5:$G$55,6,FALSE()),IF(C266="jarabe",VLOOKUP(A266,'Recetas y precios'!$A$5:$G$55,7,FALSE()),1))</f>
        <v>0.329</v>
      </c>
      <c r="K266" s="15" t="n">
        <f aca="false">G266*I266*J266</f>
        <v>0.15792</v>
      </c>
    </row>
    <row r="267" customFormat="false" ht="15" hidden="false" customHeight="false" outlineLevel="0" collapsed="false">
      <c r="A267" s="0" t="n">
        <v>16</v>
      </c>
      <c r="B267" s="22" t="s">
        <v>638</v>
      </c>
      <c r="C267" s="13" t="s">
        <v>387</v>
      </c>
      <c r="D267" s="23" t="s">
        <v>645</v>
      </c>
      <c r="E267" s="23" t="s">
        <v>646</v>
      </c>
      <c r="F267" s="24" t="s">
        <v>139</v>
      </c>
      <c r="G267" s="19" t="n">
        <v>1.2</v>
      </c>
      <c r="H267" s="13" t="s">
        <v>27</v>
      </c>
      <c r="I267" s="12" t="n">
        <f aca="false">IFERROR(VLOOKUP(F267,Insumos!$C$5:$G$143,5,FALSE()),0)</f>
        <v>2.5</v>
      </c>
      <c r="J267" s="25" t="n">
        <f aca="false">IF(C267="bizcocho",VLOOKUP(A267,'Recetas y precios'!$A$5:$G$55,6,FALSE()),IF(C267="jarabe",VLOOKUP(A267,'Recetas y precios'!$A$5:$G$55,7,FALSE()),1))</f>
        <v>1</v>
      </c>
      <c r="K267" s="15" t="n">
        <f aca="false">G267*I267*J267</f>
        <v>3</v>
      </c>
    </row>
    <row r="268" customFormat="false" ht="15" hidden="false" customHeight="false" outlineLevel="0" collapsed="false">
      <c r="A268" s="0" t="n">
        <v>16</v>
      </c>
      <c r="B268" s="22" t="s">
        <v>638</v>
      </c>
      <c r="C268" s="13" t="s">
        <v>387</v>
      </c>
      <c r="D268" s="23" t="s">
        <v>645</v>
      </c>
      <c r="E268" s="23" t="s">
        <v>647</v>
      </c>
      <c r="F268" s="24" t="s">
        <v>164</v>
      </c>
      <c r="G268" s="19" t="n">
        <v>25</v>
      </c>
      <c r="H268" s="13" t="s">
        <v>27</v>
      </c>
      <c r="I268" s="12" t="n">
        <f aca="false">IFERROR(VLOOKUP(F268,Insumos!$C$5:$G$143,5,FALSE()),0)</f>
        <v>0.18</v>
      </c>
      <c r="J268" s="25" t="n">
        <f aca="false">IF(C268="bizcocho",VLOOKUP(A268,'Recetas y precios'!$A$5:$G$55,6,FALSE()),IF(C268="jarabe",VLOOKUP(A268,'Recetas y precios'!$A$5:$G$55,7,FALSE()),1))</f>
        <v>1</v>
      </c>
      <c r="K268" s="15" t="n">
        <f aca="false">G268*I268*J268</f>
        <v>4.5</v>
      </c>
    </row>
    <row r="269" customFormat="false" ht="15" hidden="false" customHeight="false" outlineLevel="0" collapsed="false">
      <c r="A269" s="0" t="n">
        <v>16</v>
      </c>
      <c r="B269" s="22" t="s">
        <v>638</v>
      </c>
      <c r="C269" s="13" t="s">
        <v>387</v>
      </c>
      <c r="D269" s="23" t="s">
        <v>645</v>
      </c>
      <c r="E269" s="23" t="s">
        <v>618</v>
      </c>
      <c r="F269" s="24" t="s">
        <v>72</v>
      </c>
      <c r="G269" s="19" t="n">
        <v>15</v>
      </c>
      <c r="H269" s="13" t="s">
        <v>27</v>
      </c>
      <c r="I269" s="12" t="n">
        <f aca="false">IFERROR(VLOOKUP(F269,Insumos!$C$5:$G$143,5,FALSE()),0)</f>
        <v>0.028</v>
      </c>
      <c r="J269" s="25" t="n">
        <f aca="false">IF(C269="bizcocho",VLOOKUP(A269,'Recetas y precios'!$A$5:$G$55,6,FALSE()),IF(C269="jarabe",VLOOKUP(A269,'Recetas y precios'!$A$5:$G$55,7,FALSE()),1))</f>
        <v>1</v>
      </c>
      <c r="K269" s="15" t="n">
        <f aca="false">G269*I269*J269</f>
        <v>0.42</v>
      </c>
    </row>
    <row r="270" customFormat="false" ht="15" hidden="false" customHeight="false" outlineLevel="0" collapsed="false">
      <c r="A270" s="0" t="n">
        <v>16</v>
      </c>
      <c r="B270" s="22" t="s">
        <v>638</v>
      </c>
      <c r="C270" s="13" t="s">
        <v>387</v>
      </c>
      <c r="D270" s="23" t="s">
        <v>645</v>
      </c>
      <c r="E270" s="23" t="s">
        <v>648</v>
      </c>
      <c r="F270" s="24" t="s">
        <v>315</v>
      </c>
      <c r="G270" s="19" t="n">
        <v>5</v>
      </c>
      <c r="H270" s="13" t="s">
        <v>34</v>
      </c>
      <c r="I270" s="12" t="n">
        <f aca="false">IFERROR(VLOOKUP(F270,Insumos!$C$5:$G$143,5,FALSE()),0)</f>
        <v>0.533333333333333</v>
      </c>
      <c r="J270" s="25" t="n">
        <f aca="false">IF(C270="bizcocho",VLOOKUP(A270,'Recetas y precios'!$A$5:$G$55,6,FALSE()),IF(C270="jarabe",VLOOKUP(A270,'Recetas y precios'!$A$5:$G$55,7,FALSE()),1))</f>
        <v>1</v>
      </c>
      <c r="K270" s="15" t="n">
        <f aca="false">G270*I270*J270</f>
        <v>2.66666666666667</v>
      </c>
    </row>
    <row r="271" customFormat="false" ht="15" hidden="false" customHeight="false" outlineLevel="0" collapsed="false">
      <c r="A271" s="0" t="n">
        <v>16</v>
      </c>
      <c r="B271" s="22" t="s">
        <v>638</v>
      </c>
      <c r="C271" s="13" t="s">
        <v>393</v>
      </c>
      <c r="D271" s="23" t="s">
        <v>649</v>
      </c>
      <c r="E271" s="23" t="s">
        <v>650</v>
      </c>
      <c r="F271" s="24" t="s">
        <v>26</v>
      </c>
      <c r="G271" s="19" t="n">
        <v>180</v>
      </c>
      <c r="H271" s="13" t="s">
        <v>27</v>
      </c>
      <c r="I271" s="12" t="n">
        <f aca="false">IFERROR(VLOOKUP(F271,Insumos!$C$5:$G$143,5,FALSE()),0)</f>
        <v>0.38</v>
      </c>
      <c r="J271" s="25" t="n">
        <f aca="false">IF(C271="bizcocho",VLOOKUP(A271,'Recetas y precios'!$A$5:$G$55,6,FALSE()),IF(C271="jarabe",VLOOKUP(A271,'Recetas y precios'!$A$5:$G$55,7,FALSE()),1))</f>
        <v>1</v>
      </c>
      <c r="K271" s="15" t="n">
        <f aca="false">G271*I271*J271</f>
        <v>68.4</v>
      </c>
    </row>
    <row r="272" customFormat="false" ht="15" hidden="false" customHeight="false" outlineLevel="0" collapsed="false">
      <c r="A272" s="0" t="n">
        <v>16</v>
      </c>
      <c r="B272" s="22" t="s">
        <v>638</v>
      </c>
      <c r="C272" s="13" t="s">
        <v>393</v>
      </c>
      <c r="D272" s="23" t="s">
        <v>649</v>
      </c>
      <c r="E272" s="23" t="s">
        <v>634</v>
      </c>
      <c r="F272" s="24" t="s">
        <v>33</v>
      </c>
      <c r="G272" s="19" t="n">
        <v>190</v>
      </c>
      <c r="H272" s="13" t="s">
        <v>34</v>
      </c>
      <c r="I272" s="12" t="n">
        <f aca="false">IFERROR(VLOOKUP(F272,Insumos!$C$5:$G$143,5,FALSE()),0)</f>
        <v>0.078</v>
      </c>
      <c r="J272" s="25" t="n">
        <f aca="false">IF(C272="bizcocho",VLOOKUP(A272,'Recetas y precios'!$A$5:$G$55,6,FALSE()),IF(C272="jarabe",VLOOKUP(A272,'Recetas y precios'!$A$5:$G$55,7,FALSE()),1))</f>
        <v>1</v>
      </c>
      <c r="K272" s="15" t="n">
        <f aca="false">G272*I272*J272</f>
        <v>14.82</v>
      </c>
    </row>
    <row r="273" customFormat="false" ht="15" hidden="false" customHeight="false" outlineLevel="0" collapsed="false">
      <c r="A273" s="0" t="n">
        <v>16</v>
      </c>
      <c r="B273" s="22" t="s">
        <v>638</v>
      </c>
      <c r="C273" s="13" t="s">
        <v>393</v>
      </c>
      <c r="D273" s="23" t="s">
        <v>649</v>
      </c>
      <c r="E273" s="23" t="s">
        <v>651</v>
      </c>
      <c r="F273" s="24" t="s">
        <v>286</v>
      </c>
      <c r="G273" s="19" t="n">
        <v>2</v>
      </c>
      <c r="H273" s="13" t="s">
        <v>34</v>
      </c>
      <c r="I273" s="12" t="n">
        <f aca="false">IFERROR(VLOOKUP(F273,Insumos!$C$5:$G$143,5,FALSE()),0)</f>
        <v>1.8</v>
      </c>
      <c r="J273" s="25" t="n">
        <f aca="false">IF(C273="bizcocho",VLOOKUP(A273,'Recetas y precios'!$A$5:$G$55,6,FALSE()),IF(C273="jarabe",VLOOKUP(A273,'Recetas y precios'!$A$5:$G$55,7,FALSE()),1))</f>
        <v>1</v>
      </c>
      <c r="K273" s="15" t="n">
        <f aca="false">G273*I273*J273</f>
        <v>3.6</v>
      </c>
    </row>
    <row r="274" customFormat="false" ht="15" hidden="false" customHeight="false" outlineLevel="0" collapsed="false">
      <c r="A274" s="0" t="n">
        <v>16</v>
      </c>
      <c r="B274" s="22" t="s">
        <v>638</v>
      </c>
      <c r="C274" s="13" t="s">
        <v>393</v>
      </c>
      <c r="D274" s="23" t="s">
        <v>649</v>
      </c>
      <c r="E274" s="23" t="s">
        <v>444</v>
      </c>
      <c r="F274" s="24" t="s">
        <v>36</v>
      </c>
      <c r="G274" s="19" t="n">
        <v>50</v>
      </c>
      <c r="H274" s="13" t="s">
        <v>27</v>
      </c>
      <c r="I274" s="12" t="n">
        <f aca="false">IFERROR(VLOOKUP(F274,Insumos!$C$5:$G$143,5,FALSE()),0)</f>
        <v>0.085</v>
      </c>
      <c r="J274" s="25" t="n">
        <f aca="false">IF(C274="bizcocho",VLOOKUP(A274,'Recetas y precios'!$A$5:$G$55,6,FALSE()),IF(C274="jarabe",VLOOKUP(A274,'Recetas y precios'!$A$5:$G$55,7,FALSE()),1))</f>
        <v>1</v>
      </c>
      <c r="K274" s="15" t="n">
        <f aca="false">G274*I274*J274</f>
        <v>4.25</v>
      </c>
    </row>
    <row r="275" customFormat="false" ht="15" hidden="false" customHeight="false" outlineLevel="0" collapsed="false">
      <c r="A275" s="0" t="n">
        <v>16</v>
      </c>
      <c r="B275" s="22" t="s">
        <v>638</v>
      </c>
      <c r="C275" s="13" t="s">
        <v>393</v>
      </c>
      <c r="D275" s="23" t="s">
        <v>649</v>
      </c>
      <c r="E275" s="23" t="s">
        <v>652</v>
      </c>
      <c r="F275" s="24" t="s">
        <v>74</v>
      </c>
      <c r="G275" s="19" t="n">
        <v>20</v>
      </c>
      <c r="H275" s="13" t="s">
        <v>27</v>
      </c>
      <c r="I275" s="12" t="n">
        <f aca="false">IFERROR(VLOOKUP(F275,Insumos!$C$5:$G$143,5,FALSE()),0)</f>
        <v>0.045</v>
      </c>
      <c r="J275" s="25" t="n">
        <f aca="false">IF(C275="bizcocho",VLOOKUP(A275,'Recetas y precios'!$A$5:$G$55,6,FALSE()),IF(C275="jarabe",VLOOKUP(A275,'Recetas y precios'!$A$5:$G$55,7,FALSE()),1))</f>
        <v>1</v>
      </c>
      <c r="K275" s="15" t="n">
        <f aca="false">G275*I275*J275</f>
        <v>0.9</v>
      </c>
    </row>
    <row r="276" customFormat="false" ht="15" hidden="false" customHeight="false" outlineLevel="0" collapsed="false">
      <c r="A276" s="0" t="n">
        <v>16</v>
      </c>
      <c r="B276" s="22" t="s">
        <v>638</v>
      </c>
      <c r="C276" s="13" t="s">
        <v>400</v>
      </c>
      <c r="D276" s="23" t="s">
        <v>653</v>
      </c>
      <c r="E276" s="23" t="s">
        <v>654</v>
      </c>
      <c r="F276" s="24" t="s">
        <v>139</v>
      </c>
      <c r="G276" s="19" t="n">
        <v>1.5</v>
      </c>
      <c r="H276" s="13" t="s">
        <v>27</v>
      </c>
      <c r="I276" s="12" t="n">
        <f aca="false">IFERROR(VLOOKUP(F276,Insumos!$C$5:$G$143,5,FALSE()),0)</f>
        <v>2.5</v>
      </c>
      <c r="J276" s="25" t="n">
        <f aca="false">IF(C276="bizcocho",VLOOKUP(A276,'Recetas y precios'!$A$5:$G$55,6,FALSE()),IF(C276="jarabe",VLOOKUP(A276,'Recetas y precios'!$A$5:$G$55,7,FALSE()),1))</f>
        <v>1</v>
      </c>
      <c r="K276" s="15" t="n">
        <f aca="false">G276*I276*J276</f>
        <v>3.75</v>
      </c>
    </row>
    <row r="277" customFormat="false" ht="15" hidden="false" customHeight="false" outlineLevel="0" collapsed="false">
      <c r="A277" s="0" t="n">
        <v>16</v>
      </c>
      <c r="B277" s="22" t="s">
        <v>638</v>
      </c>
      <c r="C277" s="13" t="s">
        <v>400</v>
      </c>
      <c r="D277" s="23" t="s">
        <v>653</v>
      </c>
      <c r="E277" s="23" t="s">
        <v>655</v>
      </c>
      <c r="F277" s="24" t="s">
        <v>99</v>
      </c>
      <c r="G277" s="19" t="n">
        <v>1.5</v>
      </c>
      <c r="H277" s="13" t="s">
        <v>27</v>
      </c>
      <c r="I277" s="12" t="n">
        <f aca="false">IFERROR(VLOOKUP(F277,Insumos!$C$5:$G$143,5,FALSE()),0)</f>
        <v>0.42</v>
      </c>
      <c r="J277" s="25" t="n">
        <f aca="false">IF(C277="bizcocho",VLOOKUP(A277,'Recetas y precios'!$A$5:$G$55,6,FALSE()),IF(C277="jarabe",VLOOKUP(A277,'Recetas y precios'!$A$5:$G$55,7,FALSE()),1))</f>
        <v>1</v>
      </c>
      <c r="K277" s="15" t="n">
        <f aca="false">G277*I277*J277</f>
        <v>0.63</v>
      </c>
    </row>
    <row r="278" customFormat="false" ht="15" hidden="false" customHeight="false" outlineLevel="0" collapsed="false">
      <c r="A278" s="0" t="n">
        <v>16</v>
      </c>
      <c r="B278" s="22" t="s">
        <v>638</v>
      </c>
      <c r="C278" s="13" t="s">
        <v>400</v>
      </c>
      <c r="D278" s="23" t="s">
        <v>653</v>
      </c>
      <c r="E278" s="23" t="s">
        <v>656</v>
      </c>
      <c r="F278" s="24" t="s">
        <v>164</v>
      </c>
      <c r="G278" s="19" t="n">
        <v>50</v>
      </c>
      <c r="H278" s="13" t="s">
        <v>27</v>
      </c>
      <c r="I278" s="12" t="n">
        <f aca="false">IFERROR(VLOOKUP(F278,Insumos!$C$5:$G$143,5,FALSE()),0)</f>
        <v>0.18</v>
      </c>
      <c r="J278" s="25" t="n">
        <f aca="false">IF(C278="bizcocho",VLOOKUP(A278,'Recetas y precios'!$A$5:$G$55,6,FALSE()),IF(C278="jarabe",VLOOKUP(A278,'Recetas y precios'!$A$5:$G$55,7,FALSE()),1))</f>
        <v>1</v>
      </c>
      <c r="K278" s="15" t="n">
        <f aca="false">G278*I278*J278</f>
        <v>9</v>
      </c>
    </row>
    <row r="279" customFormat="false" ht="15" hidden="false" customHeight="false" outlineLevel="0" collapsed="false">
      <c r="A279" s="0" t="n">
        <v>17</v>
      </c>
      <c r="B279" s="22" t="s">
        <v>657</v>
      </c>
      <c r="C279" s="13" t="s">
        <v>376</v>
      </c>
      <c r="D279" s="23" t="s">
        <v>658</v>
      </c>
      <c r="E279" s="23" t="s">
        <v>530</v>
      </c>
      <c r="F279" s="24" t="s">
        <v>59</v>
      </c>
      <c r="G279" s="19" t="n">
        <v>50</v>
      </c>
      <c r="H279" s="13" t="s">
        <v>27</v>
      </c>
      <c r="I279" s="12" t="n">
        <f aca="false">IFERROR(VLOOKUP(F279,Insumos!$C$5:$G$143,5,FALSE()),0)</f>
        <v>0.032</v>
      </c>
      <c r="J279" s="25" t="n">
        <f aca="false">IF(C279="bizcocho",VLOOKUP(A279,'Recetas y precios'!$A$5:$G$55,6,FALSE()),IF(C279="jarabe",VLOOKUP(A279,'Recetas y precios'!$A$5:$G$55,7,FALSE()),1))</f>
        <v>0.285</v>
      </c>
      <c r="K279" s="15" t="n">
        <f aca="false">G279*I279*J279</f>
        <v>0.456</v>
      </c>
    </row>
    <row r="280" customFormat="false" ht="15" hidden="false" customHeight="false" outlineLevel="0" collapsed="false">
      <c r="A280" s="0" t="n">
        <v>17</v>
      </c>
      <c r="B280" s="22" t="s">
        <v>657</v>
      </c>
      <c r="C280" s="13" t="s">
        <v>376</v>
      </c>
      <c r="D280" s="23" t="s">
        <v>658</v>
      </c>
      <c r="E280" s="23" t="s">
        <v>659</v>
      </c>
      <c r="F280" s="24" t="s">
        <v>127</v>
      </c>
      <c r="G280" s="19" t="n">
        <v>12</v>
      </c>
      <c r="H280" s="13" t="s">
        <v>27</v>
      </c>
      <c r="I280" s="12" t="n">
        <f aca="false">IFERROR(VLOOKUP(F280,Insumos!$C$5:$G$143,5,FALSE()),0)</f>
        <v>2.8</v>
      </c>
      <c r="J280" s="25" t="n">
        <f aca="false">IF(C280="bizcocho",VLOOKUP(A280,'Recetas y precios'!$A$5:$G$55,6,FALSE()),IF(C280="jarabe",VLOOKUP(A280,'Recetas y precios'!$A$5:$G$55,7,FALSE()),1))</f>
        <v>0.285</v>
      </c>
      <c r="K280" s="15" t="n">
        <f aca="false">G280*I280*J280</f>
        <v>9.576</v>
      </c>
    </row>
    <row r="281" customFormat="false" ht="15" hidden="false" customHeight="false" outlineLevel="0" collapsed="false">
      <c r="A281" s="0" t="n">
        <v>17</v>
      </c>
      <c r="B281" s="22" t="s">
        <v>657</v>
      </c>
      <c r="C281" s="13" t="s">
        <v>376</v>
      </c>
      <c r="D281" s="23" t="s">
        <v>658</v>
      </c>
      <c r="E281" s="23" t="s">
        <v>493</v>
      </c>
      <c r="F281" s="24" t="s">
        <v>48</v>
      </c>
      <c r="G281" s="19" t="n">
        <v>40</v>
      </c>
      <c r="H281" s="13" t="s">
        <v>27</v>
      </c>
      <c r="I281" s="12" t="n">
        <f aca="false">IFERROR(VLOOKUP(F281,Insumos!$C$5:$G$143,5,FALSE()),0)</f>
        <v>0.13</v>
      </c>
      <c r="J281" s="25" t="n">
        <f aca="false">IF(C281="bizcocho",VLOOKUP(A281,'Recetas y precios'!$A$5:$G$55,6,FALSE()),IF(C281="jarabe",VLOOKUP(A281,'Recetas y precios'!$A$5:$G$55,7,FALSE()),1))</f>
        <v>0.285</v>
      </c>
      <c r="K281" s="15" t="n">
        <f aca="false">G281*I281*J281</f>
        <v>1.482</v>
      </c>
    </row>
    <row r="282" customFormat="false" ht="15" hidden="false" customHeight="false" outlineLevel="0" collapsed="false">
      <c r="A282" s="0" t="n">
        <v>17</v>
      </c>
      <c r="B282" s="22" t="s">
        <v>657</v>
      </c>
      <c r="C282" s="13" t="s">
        <v>376</v>
      </c>
      <c r="D282" s="23" t="s">
        <v>658</v>
      </c>
      <c r="E282" s="23" t="s">
        <v>494</v>
      </c>
      <c r="F282" s="24" t="s">
        <v>50</v>
      </c>
      <c r="G282" s="19" t="n">
        <v>80</v>
      </c>
      <c r="H282" s="13" t="s">
        <v>27</v>
      </c>
      <c r="I282" s="12" t="n">
        <f aca="false">IFERROR(VLOOKUP(F282,Insumos!$C$5:$G$143,5,FALSE()),0)</f>
        <v>0.075</v>
      </c>
      <c r="J282" s="25" t="n">
        <f aca="false">IF(C282="bizcocho",VLOOKUP(A282,'Recetas y precios'!$A$5:$G$55,6,FALSE()),IF(C282="jarabe",VLOOKUP(A282,'Recetas y precios'!$A$5:$G$55,7,FALSE()),1))</f>
        <v>0.285</v>
      </c>
      <c r="K282" s="15" t="n">
        <f aca="false">G282*I282*J282</f>
        <v>1.71</v>
      </c>
    </row>
    <row r="283" customFormat="false" ht="15" hidden="false" customHeight="false" outlineLevel="0" collapsed="false">
      <c r="A283" s="0" t="n">
        <v>17</v>
      </c>
      <c r="B283" s="22" t="s">
        <v>657</v>
      </c>
      <c r="C283" s="13" t="s">
        <v>376</v>
      </c>
      <c r="D283" s="23" t="s">
        <v>658</v>
      </c>
      <c r="E283" s="23" t="s">
        <v>495</v>
      </c>
      <c r="F283" s="24" t="s">
        <v>76</v>
      </c>
      <c r="G283" s="19" t="n">
        <v>45</v>
      </c>
      <c r="H283" s="13" t="s">
        <v>27</v>
      </c>
      <c r="I283" s="12" t="n">
        <f aca="false">IFERROR(VLOOKUP(F283,Insumos!$C$5:$G$143,5,FALSE()),0)</f>
        <v>0.06</v>
      </c>
      <c r="J283" s="25" t="n">
        <f aca="false">IF(C283="bizcocho",VLOOKUP(A283,'Recetas y precios'!$A$5:$G$55,6,FALSE()),IF(C283="jarabe",VLOOKUP(A283,'Recetas y precios'!$A$5:$G$55,7,FALSE()),1))</f>
        <v>0.285</v>
      </c>
      <c r="K283" s="15" t="n">
        <f aca="false">G283*I283*J283</f>
        <v>0.7695</v>
      </c>
    </row>
    <row r="284" customFormat="false" ht="15" hidden="false" customHeight="false" outlineLevel="0" collapsed="false">
      <c r="A284" s="0" t="n">
        <v>17</v>
      </c>
      <c r="B284" s="22" t="s">
        <v>657</v>
      </c>
      <c r="C284" s="13" t="s">
        <v>376</v>
      </c>
      <c r="D284" s="23" t="s">
        <v>658</v>
      </c>
      <c r="E284" s="23" t="s">
        <v>473</v>
      </c>
      <c r="F284" s="24" t="s">
        <v>109</v>
      </c>
      <c r="G284" s="19" t="n">
        <v>30</v>
      </c>
      <c r="H284" s="13" t="s">
        <v>34</v>
      </c>
      <c r="I284" s="12" t="n">
        <f aca="false">IFERROR(VLOOKUP(F284,Insumos!$C$5:$G$143,5,FALSE()),0)</f>
        <v>0.045</v>
      </c>
      <c r="J284" s="25" t="n">
        <f aca="false">IF(C284="bizcocho",VLOOKUP(A284,'Recetas y precios'!$A$5:$G$55,6,FALSE()),IF(C284="jarabe",VLOOKUP(A284,'Recetas y precios'!$A$5:$G$55,7,FALSE()),1))</f>
        <v>0.285</v>
      </c>
      <c r="K284" s="15" t="n">
        <f aca="false">G284*I284*J284</f>
        <v>0.38475</v>
      </c>
    </row>
    <row r="285" customFormat="false" ht="15" hidden="false" customHeight="false" outlineLevel="0" collapsed="false">
      <c r="A285" s="0" t="n">
        <v>17</v>
      </c>
      <c r="B285" s="22" t="s">
        <v>657</v>
      </c>
      <c r="C285" s="13" t="s">
        <v>376</v>
      </c>
      <c r="D285" s="23" t="s">
        <v>658</v>
      </c>
      <c r="E285" s="23" t="s">
        <v>660</v>
      </c>
      <c r="F285" s="24" t="s">
        <v>40</v>
      </c>
      <c r="G285" s="19" t="n">
        <v>40</v>
      </c>
      <c r="H285" s="13" t="s">
        <v>34</v>
      </c>
      <c r="I285" s="12" t="n">
        <f aca="false">IFERROR(VLOOKUP(F285,Insumos!$C$5:$G$143,5,FALSE()),0)</f>
        <v>0.028</v>
      </c>
      <c r="J285" s="25" t="n">
        <f aca="false">IF(C285="bizcocho",VLOOKUP(A285,'Recetas y precios'!$A$5:$G$55,6,FALSE()),IF(C285="jarabe",VLOOKUP(A285,'Recetas y precios'!$A$5:$G$55,7,FALSE()),1))</f>
        <v>0.285</v>
      </c>
      <c r="K285" s="15" t="n">
        <f aca="false">G285*I285*J285</f>
        <v>0.3192</v>
      </c>
    </row>
    <row r="286" customFormat="false" ht="15" hidden="false" customHeight="false" outlineLevel="0" collapsed="false">
      <c r="A286" s="0" t="n">
        <v>17</v>
      </c>
      <c r="B286" s="22" t="s">
        <v>657</v>
      </c>
      <c r="C286" s="13" t="s">
        <v>376</v>
      </c>
      <c r="D286" s="23" t="s">
        <v>658</v>
      </c>
      <c r="E286" s="23" t="s">
        <v>385</v>
      </c>
      <c r="F286" s="24" t="s">
        <v>103</v>
      </c>
      <c r="G286" s="19" t="n">
        <v>1</v>
      </c>
      <c r="H286" s="13" t="s">
        <v>27</v>
      </c>
      <c r="I286" s="12" t="n">
        <f aca="false">IFERROR(VLOOKUP(F286,Insumos!$C$5:$G$143,5,FALSE()),0)</f>
        <v>0.025</v>
      </c>
      <c r="J286" s="25" t="n">
        <f aca="false">IF(C286="bizcocho",VLOOKUP(A286,'Recetas y precios'!$A$5:$G$55,6,FALSE()),IF(C286="jarabe",VLOOKUP(A286,'Recetas y precios'!$A$5:$G$55,7,FALSE()),1))</f>
        <v>0.285</v>
      </c>
      <c r="K286" s="15" t="n">
        <f aca="false">G286*I286*J286</f>
        <v>0.007125</v>
      </c>
    </row>
    <row r="287" customFormat="false" ht="15" hidden="false" customHeight="false" outlineLevel="0" collapsed="false">
      <c r="A287" s="0" t="n">
        <v>17</v>
      </c>
      <c r="B287" s="22" t="s">
        <v>657</v>
      </c>
      <c r="C287" s="13" t="s">
        <v>387</v>
      </c>
      <c r="D287" s="23" t="s">
        <v>661</v>
      </c>
      <c r="E287" s="23" t="s">
        <v>662</v>
      </c>
      <c r="F287" s="24" t="s">
        <v>143</v>
      </c>
      <c r="G287" s="19" t="n">
        <v>1.5</v>
      </c>
      <c r="H287" s="13" t="s">
        <v>27</v>
      </c>
      <c r="I287" s="12" t="n">
        <f aca="false">IFERROR(VLOOKUP(F287,Insumos!$C$5:$G$143,5,FALSE()),0)</f>
        <v>0.7</v>
      </c>
      <c r="J287" s="25" t="n">
        <f aca="false">IF(C287="bizcocho",VLOOKUP(A287,'Recetas y precios'!$A$5:$G$55,6,FALSE()),IF(C287="jarabe",VLOOKUP(A287,'Recetas y precios'!$A$5:$G$55,7,FALSE()),1))</f>
        <v>1</v>
      </c>
      <c r="K287" s="15" t="n">
        <f aca="false">G287*I287*J287</f>
        <v>1.05</v>
      </c>
    </row>
    <row r="288" customFormat="false" ht="15" hidden="false" customHeight="false" outlineLevel="0" collapsed="false">
      <c r="A288" s="0" t="n">
        <v>17</v>
      </c>
      <c r="B288" s="22" t="s">
        <v>657</v>
      </c>
      <c r="C288" s="13" t="s">
        <v>387</v>
      </c>
      <c r="D288" s="23" t="s">
        <v>661</v>
      </c>
      <c r="E288" s="23" t="s">
        <v>663</v>
      </c>
      <c r="F288" s="24" t="s">
        <v>86</v>
      </c>
      <c r="G288" s="19" t="n">
        <v>20</v>
      </c>
      <c r="H288" s="13" t="s">
        <v>34</v>
      </c>
      <c r="I288" s="12" t="n">
        <f aca="false">IFERROR(VLOOKUP(F288,Insumos!$C$5:$G$143,5,FALSE()),0)</f>
        <v>0.38</v>
      </c>
      <c r="J288" s="25" t="n">
        <f aca="false">IF(C288="bizcocho",VLOOKUP(A288,'Recetas y precios'!$A$5:$G$55,6,FALSE()),IF(C288="jarabe",VLOOKUP(A288,'Recetas y precios'!$A$5:$G$55,7,FALSE()),1))</f>
        <v>1</v>
      </c>
      <c r="K288" s="15" t="n">
        <f aca="false">G288*I288*J288</f>
        <v>7.6</v>
      </c>
    </row>
    <row r="289" customFormat="false" ht="15" hidden="false" customHeight="false" outlineLevel="0" collapsed="false">
      <c r="A289" s="0" t="n">
        <v>17</v>
      </c>
      <c r="B289" s="22" t="s">
        <v>657</v>
      </c>
      <c r="C289" s="13" t="s">
        <v>387</v>
      </c>
      <c r="D289" s="23" t="s">
        <v>661</v>
      </c>
      <c r="E289" s="23" t="s">
        <v>664</v>
      </c>
      <c r="F289" s="24" t="s">
        <v>311</v>
      </c>
      <c r="G289" s="19" t="n">
        <v>5</v>
      </c>
      <c r="H289" s="13" t="s">
        <v>34</v>
      </c>
      <c r="I289" s="12" t="n">
        <f aca="false">IFERROR(VLOOKUP(F289,Insumos!$C$5:$G$143,5,FALSE()),0)</f>
        <v>1.2</v>
      </c>
      <c r="J289" s="25" t="n">
        <f aca="false">IF(C289="bizcocho",VLOOKUP(A289,'Recetas y precios'!$A$5:$G$55,6,FALSE()),IF(C289="jarabe",VLOOKUP(A289,'Recetas y precios'!$A$5:$G$55,7,FALSE()),1))</f>
        <v>1</v>
      </c>
      <c r="K289" s="15" t="n">
        <f aca="false">G289*I289*J289</f>
        <v>6</v>
      </c>
    </row>
    <row r="290" customFormat="false" ht="15" hidden="false" customHeight="false" outlineLevel="0" collapsed="false">
      <c r="A290" s="0" t="n">
        <v>17</v>
      </c>
      <c r="B290" s="22" t="s">
        <v>657</v>
      </c>
      <c r="C290" s="13" t="s">
        <v>393</v>
      </c>
      <c r="D290" s="23" t="s">
        <v>665</v>
      </c>
      <c r="E290" s="23" t="s">
        <v>666</v>
      </c>
      <c r="F290" s="24" t="s">
        <v>26</v>
      </c>
      <c r="G290" s="19" t="n">
        <v>190</v>
      </c>
      <c r="H290" s="13" t="s">
        <v>27</v>
      </c>
      <c r="I290" s="12" t="n">
        <f aca="false">IFERROR(VLOOKUP(F290,Insumos!$C$5:$G$143,5,FALSE()),0)</f>
        <v>0.38</v>
      </c>
      <c r="J290" s="25" t="n">
        <f aca="false">IF(C290="bizcocho",VLOOKUP(A290,'Recetas y precios'!$A$5:$G$55,6,FALSE()),IF(C290="jarabe",VLOOKUP(A290,'Recetas y precios'!$A$5:$G$55,7,FALSE()),1))</f>
        <v>1</v>
      </c>
      <c r="K290" s="15" t="n">
        <f aca="false">G290*I290*J290</f>
        <v>72.2</v>
      </c>
    </row>
    <row r="291" customFormat="false" ht="15" hidden="false" customHeight="false" outlineLevel="0" collapsed="false">
      <c r="A291" s="0" t="n">
        <v>17</v>
      </c>
      <c r="B291" s="22" t="s">
        <v>657</v>
      </c>
      <c r="C291" s="13" t="s">
        <v>393</v>
      </c>
      <c r="D291" s="23" t="s">
        <v>665</v>
      </c>
      <c r="E291" s="23" t="s">
        <v>634</v>
      </c>
      <c r="F291" s="24" t="s">
        <v>33</v>
      </c>
      <c r="G291" s="19" t="n">
        <v>190</v>
      </c>
      <c r="H291" s="13" t="s">
        <v>34</v>
      </c>
      <c r="I291" s="12" t="n">
        <f aca="false">IFERROR(VLOOKUP(F291,Insumos!$C$5:$G$143,5,FALSE()),0)</f>
        <v>0.078</v>
      </c>
      <c r="J291" s="25" t="n">
        <f aca="false">IF(C291="bizcocho",VLOOKUP(A291,'Recetas y precios'!$A$5:$G$55,6,FALSE()),IF(C291="jarabe",VLOOKUP(A291,'Recetas y precios'!$A$5:$G$55,7,FALSE()),1))</f>
        <v>1</v>
      </c>
      <c r="K291" s="15" t="n">
        <f aca="false">G291*I291*J291</f>
        <v>14.82</v>
      </c>
    </row>
    <row r="292" customFormat="false" ht="15" hidden="false" customHeight="false" outlineLevel="0" collapsed="false">
      <c r="A292" s="0" t="n">
        <v>17</v>
      </c>
      <c r="B292" s="22" t="s">
        <v>657</v>
      </c>
      <c r="C292" s="13" t="s">
        <v>393</v>
      </c>
      <c r="D292" s="23" t="s">
        <v>665</v>
      </c>
      <c r="E292" s="23" t="s">
        <v>667</v>
      </c>
      <c r="F292" s="24" t="s">
        <v>127</v>
      </c>
      <c r="G292" s="19" t="n">
        <v>10</v>
      </c>
      <c r="H292" s="13" t="s">
        <v>27</v>
      </c>
      <c r="I292" s="12" t="n">
        <f aca="false">IFERROR(VLOOKUP(F292,Insumos!$C$5:$G$143,5,FALSE()),0)</f>
        <v>2.8</v>
      </c>
      <c r="J292" s="25" t="n">
        <f aca="false">IF(C292="bizcocho",VLOOKUP(A292,'Recetas y precios'!$A$5:$G$55,6,FALSE()),IF(C292="jarabe",VLOOKUP(A292,'Recetas y precios'!$A$5:$G$55,7,FALSE()),1))</f>
        <v>1</v>
      </c>
      <c r="K292" s="15" t="n">
        <f aca="false">G292*I292*J292</f>
        <v>28</v>
      </c>
    </row>
    <row r="293" customFormat="false" ht="15" hidden="false" customHeight="false" outlineLevel="0" collapsed="false">
      <c r="A293" s="0" t="n">
        <v>17</v>
      </c>
      <c r="B293" s="22" t="s">
        <v>657</v>
      </c>
      <c r="C293" s="13" t="s">
        <v>393</v>
      </c>
      <c r="D293" s="23" t="s">
        <v>665</v>
      </c>
      <c r="E293" s="23" t="s">
        <v>668</v>
      </c>
      <c r="F293" s="24" t="s">
        <v>249</v>
      </c>
      <c r="G293" s="19" t="n">
        <v>20</v>
      </c>
      <c r="H293" s="13" t="s">
        <v>27</v>
      </c>
      <c r="I293" s="12" t="n">
        <f aca="false">IFERROR(VLOOKUP(F293,Insumos!$C$5:$G$143,5,FALSE()),0)</f>
        <v>0.75</v>
      </c>
      <c r="J293" s="25" t="n">
        <f aca="false">IF(C293="bizcocho",VLOOKUP(A293,'Recetas y precios'!$A$5:$G$55,6,FALSE()),IF(C293="jarabe",VLOOKUP(A293,'Recetas y precios'!$A$5:$G$55,7,FALSE()),1))</f>
        <v>1</v>
      </c>
      <c r="K293" s="15" t="n">
        <f aca="false">G293*I293*J293</f>
        <v>15</v>
      </c>
    </row>
    <row r="294" customFormat="false" ht="15" hidden="false" customHeight="false" outlineLevel="0" collapsed="false">
      <c r="A294" s="0" t="n">
        <v>17</v>
      </c>
      <c r="B294" s="22" t="s">
        <v>657</v>
      </c>
      <c r="C294" s="13" t="s">
        <v>393</v>
      </c>
      <c r="D294" s="23" t="s">
        <v>665</v>
      </c>
      <c r="E294" s="23" t="s">
        <v>444</v>
      </c>
      <c r="F294" s="24" t="s">
        <v>36</v>
      </c>
      <c r="G294" s="19" t="n">
        <v>50</v>
      </c>
      <c r="H294" s="13" t="s">
        <v>27</v>
      </c>
      <c r="I294" s="12" t="n">
        <f aca="false">IFERROR(VLOOKUP(F294,Insumos!$C$5:$G$143,5,FALSE()),0)</f>
        <v>0.085</v>
      </c>
      <c r="J294" s="25" t="n">
        <f aca="false">IF(C294="bizcocho",VLOOKUP(A294,'Recetas y precios'!$A$5:$G$55,6,FALSE()),IF(C294="jarabe",VLOOKUP(A294,'Recetas y precios'!$A$5:$G$55,7,FALSE()),1))</f>
        <v>1</v>
      </c>
      <c r="K294" s="15" t="n">
        <f aca="false">G294*I294*J294</f>
        <v>4.25</v>
      </c>
    </row>
    <row r="295" customFormat="false" ht="15" hidden="false" customHeight="false" outlineLevel="0" collapsed="false">
      <c r="A295" s="0" t="n">
        <v>17</v>
      </c>
      <c r="B295" s="22" t="s">
        <v>657</v>
      </c>
      <c r="C295" s="13" t="s">
        <v>393</v>
      </c>
      <c r="D295" s="23" t="s">
        <v>665</v>
      </c>
      <c r="E295" s="23" t="s">
        <v>456</v>
      </c>
      <c r="F295" s="24" t="s">
        <v>74</v>
      </c>
      <c r="G295" s="19" t="n">
        <v>20</v>
      </c>
      <c r="H295" s="13" t="s">
        <v>27</v>
      </c>
      <c r="I295" s="12" t="n">
        <f aca="false">IFERROR(VLOOKUP(F295,Insumos!$C$5:$G$143,5,FALSE()),0)</f>
        <v>0.045</v>
      </c>
      <c r="J295" s="25" t="n">
        <f aca="false">IF(C295="bizcocho",VLOOKUP(A295,'Recetas y precios'!$A$5:$G$55,6,FALSE()),IF(C295="jarabe",VLOOKUP(A295,'Recetas y precios'!$A$5:$G$55,7,FALSE()),1))</f>
        <v>1</v>
      </c>
      <c r="K295" s="15" t="n">
        <f aca="false">G295*I295*J295</f>
        <v>0.9</v>
      </c>
    </row>
    <row r="296" customFormat="false" ht="15" hidden="false" customHeight="false" outlineLevel="0" collapsed="false">
      <c r="A296" s="0" t="n">
        <v>17</v>
      </c>
      <c r="B296" s="22" t="s">
        <v>657</v>
      </c>
      <c r="C296" s="13" t="s">
        <v>400</v>
      </c>
      <c r="D296" s="23" t="s">
        <v>401</v>
      </c>
      <c r="E296" s="23" t="s">
        <v>669</v>
      </c>
      <c r="F296" s="24" t="s">
        <v>86</v>
      </c>
      <c r="G296" s="19" t="n">
        <v>60</v>
      </c>
      <c r="H296" s="13" t="s">
        <v>34</v>
      </c>
      <c r="I296" s="12" t="n">
        <f aca="false">IFERROR(VLOOKUP(F296,Insumos!$C$5:$G$143,5,FALSE()),0)</f>
        <v>0.38</v>
      </c>
      <c r="J296" s="25" t="n">
        <f aca="false">IF(C296="bizcocho",VLOOKUP(A296,'Recetas y precios'!$A$5:$G$55,6,FALSE()),IF(C296="jarabe",VLOOKUP(A296,'Recetas y precios'!$A$5:$G$55,7,FALSE()),1))</f>
        <v>1</v>
      </c>
      <c r="K296" s="15" t="n">
        <f aca="false">G296*I296*J296</f>
        <v>22.8</v>
      </c>
    </row>
    <row r="297" customFormat="false" ht="15" hidden="false" customHeight="false" outlineLevel="0" collapsed="false">
      <c r="A297" s="0" t="n">
        <v>17</v>
      </c>
      <c r="B297" s="22" t="s">
        <v>657</v>
      </c>
      <c r="C297" s="13" t="s">
        <v>400</v>
      </c>
      <c r="D297" s="23" t="s">
        <v>401</v>
      </c>
      <c r="E297" s="23" t="s">
        <v>670</v>
      </c>
      <c r="F297" s="24" t="s">
        <v>127</v>
      </c>
      <c r="G297" s="19" t="n">
        <v>5</v>
      </c>
      <c r="H297" s="13" t="s">
        <v>27</v>
      </c>
      <c r="I297" s="12" t="n">
        <f aca="false">IFERROR(VLOOKUP(F297,Insumos!$C$5:$G$143,5,FALSE()),0)</f>
        <v>2.8</v>
      </c>
      <c r="J297" s="25" t="n">
        <f aca="false">IF(C297="bizcocho",VLOOKUP(A297,'Recetas y precios'!$A$5:$G$55,6,FALSE()),IF(C297="jarabe",VLOOKUP(A297,'Recetas y precios'!$A$5:$G$55,7,FALSE()),1))</f>
        <v>1</v>
      </c>
      <c r="K297" s="15" t="n">
        <f aca="false">G297*I297*J297</f>
        <v>14</v>
      </c>
    </row>
    <row r="298" customFormat="false" ht="15" hidden="false" customHeight="false" outlineLevel="0" collapsed="false">
      <c r="A298" s="0" t="n">
        <v>17</v>
      </c>
      <c r="B298" s="22" t="s">
        <v>657</v>
      </c>
      <c r="C298" s="13" t="s">
        <v>400</v>
      </c>
      <c r="D298" s="23" t="s">
        <v>401</v>
      </c>
      <c r="E298" s="23" t="s">
        <v>671</v>
      </c>
      <c r="F298" s="24" t="s">
        <v>247</v>
      </c>
      <c r="G298" s="19" t="n">
        <v>10</v>
      </c>
      <c r="H298" s="13" t="s">
        <v>27</v>
      </c>
      <c r="I298" s="12" t="n">
        <f aca="false">IFERROR(VLOOKUP(F298,Insumos!$C$5:$G$143,5,FALSE()),0)</f>
        <v>0.52</v>
      </c>
      <c r="J298" s="25" t="n">
        <f aca="false">IF(C298="bizcocho",VLOOKUP(A298,'Recetas y precios'!$A$5:$G$55,6,FALSE()),IF(C298="jarabe",VLOOKUP(A298,'Recetas y precios'!$A$5:$G$55,7,FALSE()),1))</f>
        <v>1</v>
      </c>
      <c r="K298" s="15" t="n">
        <f aca="false">G298*I298*J298</f>
        <v>5.2</v>
      </c>
    </row>
    <row r="299" customFormat="false" ht="15" hidden="false" customHeight="false" outlineLevel="0" collapsed="false">
      <c r="A299" s="0" t="n">
        <v>18</v>
      </c>
      <c r="B299" s="22" t="s">
        <v>672</v>
      </c>
      <c r="C299" s="13" t="s">
        <v>376</v>
      </c>
      <c r="D299" s="23" t="s">
        <v>673</v>
      </c>
      <c r="E299" s="23" t="s">
        <v>530</v>
      </c>
      <c r="F299" s="24" t="s">
        <v>59</v>
      </c>
      <c r="G299" s="19" t="n">
        <v>50</v>
      </c>
      <c r="H299" s="13" t="s">
        <v>27</v>
      </c>
      <c r="I299" s="12" t="n">
        <f aca="false">IFERROR(VLOOKUP(F299,Insumos!$C$5:$G$143,5,FALSE()),0)</f>
        <v>0.032</v>
      </c>
      <c r="J299" s="25" t="n">
        <f aca="false">IF(C299="bizcocho",VLOOKUP(A299,'Recetas y precios'!$A$5:$G$55,6,FALSE()),IF(C299="jarabe",VLOOKUP(A299,'Recetas y precios'!$A$5:$G$55,7,FALSE()),1))</f>
        <v>0.352</v>
      </c>
      <c r="K299" s="15" t="n">
        <f aca="false">G299*I299*J299</f>
        <v>0.5632</v>
      </c>
    </row>
    <row r="300" customFormat="false" ht="15" hidden="false" customHeight="false" outlineLevel="0" collapsed="false">
      <c r="A300" s="0" t="n">
        <v>18</v>
      </c>
      <c r="B300" s="22" t="s">
        <v>672</v>
      </c>
      <c r="C300" s="13" t="s">
        <v>376</v>
      </c>
      <c r="D300" s="23" t="s">
        <v>673</v>
      </c>
      <c r="E300" s="23" t="s">
        <v>409</v>
      </c>
      <c r="F300" s="24" t="s">
        <v>48</v>
      </c>
      <c r="G300" s="19" t="n">
        <v>35</v>
      </c>
      <c r="H300" s="13" t="s">
        <v>27</v>
      </c>
      <c r="I300" s="12" t="n">
        <f aca="false">IFERROR(VLOOKUP(F300,Insumos!$C$5:$G$143,5,FALSE()),0)</f>
        <v>0.13</v>
      </c>
      <c r="J300" s="25" t="n">
        <f aca="false">IF(C300="bizcocho",VLOOKUP(A300,'Recetas y precios'!$A$5:$G$55,6,FALSE()),IF(C300="jarabe",VLOOKUP(A300,'Recetas y precios'!$A$5:$G$55,7,FALSE()),1))</f>
        <v>0.352</v>
      </c>
      <c r="K300" s="15" t="n">
        <f aca="false">G300*I300*J300</f>
        <v>1.6016</v>
      </c>
    </row>
    <row r="301" customFormat="false" ht="15" hidden="false" customHeight="false" outlineLevel="0" collapsed="false">
      <c r="A301" s="0" t="n">
        <v>18</v>
      </c>
      <c r="B301" s="22" t="s">
        <v>672</v>
      </c>
      <c r="C301" s="13" t="s">
        <v>376</v>
      </c>
      <c r="D301" s="23" t="s">
        <v>673</v>
      </c>
      <c r="E301" s="23" t="s">
        <v>410</v>
      </c>
      <c r="F301" s="24" t="s">
        <v>50</v>
      </c>
      <c r="G301" s="19" t="n">
        <v>75</v>
      </c>
      <c r="H301" s="13" t="s">
        <v>27</v>
      </c>
      <c r="I301" s="12" t="n">
        <f aca="false">IFERROR(VLOOKUP(F301,Insumos!$C$5:$G$143,5,FALSE()),0)</f>
        <v>0.075</v>
      </c>
      <c r="J301" s="25" t="n">
        <f aca="false">IF(C301="bizcocho",VLOOKUP(A301,'Recetas y precios'!$A$5:$G$55,6,FALSE()),IF(C301="jarabe",VLOOKUP(A301,'Recetas y precios'!$A$5:$G$55,7,FALSE()),1))</f>
        <v>0.352</v>
      </c>
      <c r="K301" s="15" t="n">
        <f aca="false">G301*I301*J301</f>
        <v>1.98</v>
      </c>
    </row>
    <row r="302" customFormat="false" ht="15" hidden="false" customHeight="false" outlineLevel="0" collapsed="false">
      <c r="A302" s="0" t="n">
        <v>18</v>
      </c>
      <c r="B302" s="22" t="s">
        <v>672</v>
      </c>
      <c r="C302" s="13" t="s">
        <v>376</v>
      </c>
      <c r="D302" s="23" t="s">
        <v>673</v>
      </c>
      <c r="E302" s="23" t="s">
        <v>411</v>
      </c>
      <c r="F302" s="24" t="s">
        <v>72</v>
      </c>
      <c r="G302" s="19" t="n">
        <v>40</v>
      </c>
      <c r="H302" s="13" t="s">
        <v>27</v>
      </c>
      <c r="I302" s="12" t="n">
        <f aca="false">IFERROR(VLOOKUP(F302,Insumos!$C$5:$G$143,5,FALSE()),0)</f>
        <v>0.028</v>
      </c>
      <c r="J302" s="25" t="n">
        <f aca="false">IF(C302="bizcocho",VLOOKUP(A302,'Recetas y precios'!$A$5:$G$55,6,FALSE()),IF(C302="jarabe",VLOOKUP(A302,'Recetas y precios'!$A$5:$G$55,7,FALSE()),1))</f>
        <v>0.352</v>
      </c>
      <c r="K302" s="15" t="n">
        <f aca="false">G302*I302*J302</f>
        <v>0.39424</v>
      </c>
    </row>
    <row r="303" customFormat="false" ht="15" hidden="false" customHeight="false" outlineLevel="0" collapsed="false">
      <c r="A303" s="0" t="n">
        <v>18</v>
      </c>
      <c r="B303" s="22" t="s">
        <v>672</v>
      </c>
      <c r="C303" s="13" t="s">
        <v>376</v>
      </c>
      <c r="D303" s="23" t="s">
        <v>673</v>
      </c>
      <c r="E303" s="23" t="s">
        <v>531</v>
      </c>
      <c r="F303" s="24" t="s">
        <v>109</v>
      </c>
      <c r="G303" s="19" t="n">
        <v>25</v>
      </c>
      <c r="H303" s="13" t="s">
        <v>34</v>
      </c>
      <c r="I303" s="12" t="n">
        <f aca="false">IFERROR(VLOOKUP(F303,Insumos!$C$5:$G$143,5,FALSE()),0)</f>
        <v>0.045</v>
      </c>
      <c r="J303" s="25" t="n">
        <f aca="false">IF(C303="bizcocho",VLOOKUP(A303,'Recetas y precios'!$A$5:$G$55,6,FALSE()),IF(C303="jarabe",VLOOKUP(A303,'Recetas y precios'!$A$5:$G$55,7,FALSE()),1))</f>
        <v>0.352</v>
      </c>
      <c r="K303" s="15" t="n">
        <f aca="false">G303*I303*J303</f>
        <v>0.396</v>
      </c>
    </row>
    <row r="304" customFormat="false" ht="15" hidden="false" customHeight="false" outlineLevel="0" collapsed="false">
      <c r="A304" s="0" t="n">
        <v>18</v>
      </c>
      <c r="B304" s="22" t="s">
        <v>672</v>
      </c>
      <c r="C304" s="13" t="s">
        <v>376</v>
      </c>
      <c r="D304" s="23" t="s">
        <v>673</v>
      </c>
      <c r="E304" s="23" t="s">
        <v>674</v>
      </c>
      <c r="F304" s="24" t="s">
        <v>137</v>
      </c>
      <c r="G304" s="19" t="n">
        <v>1.2</v>
      </c>
      <c r="H304" s="13" t="s">
        <v>27</v>
      </c>
      <c r="I304" s="12" t="n">
        <f aca="false">IFERROR(VLOOKUP(F304,Insumos!$C$5:$G$143,5,FALSE()),0)</f>
        <v>0.9</v>
      </c>
      <c r="J304" s="25" t="n">
        <f aca="false">IF(C304="bizcocho",VLOOKUP(A304,'Recetas y precios'!$A$5:$G$55,6,FALSE()),IF(C304="jarabe",VLOOKUP(A304,'Recetas y precios'!$A$5:$G$55,7,FALSE()),1))</f>
        <v>0.352</v>
      </c>
      <c r="K304" s="15" t="n">
        <f aca="false">G304*I304*J304</f>
        <v>0.38016</v>
      </c>
    </row>
    <row r="305" customFormat="false" ht="15" hidden="false" customHeight="false" outlineLevel="0" collapsed="false">
      <c r="A305" s="0" t="n">
        <v>18</v>
      </c>
      <c r="B305" s="22" t="s">
        <v>672</v>
      </c>
      <c r="C305" s="13" t="s">
        <v>376</v>
      </c>
      <c r="D305" s="23" t="s">
        <v>673</v>
      </c>
      <c r="E305" s="23" t="s">
        <v>675</v>
      </c>
      <c r="F305" s="24" t="s">
        <v>181</v>
      </c>
      <c r="G305" s="19" t="n">
        <v>1</v>
      </c>
      <c r="H305" s="13" t="s">
        <v>179</v>
      </c>
      <c r="I305" s="12" t="n">
        <f aca="false">IFERROR(VLOOKUP(F305,Insumos!$C$5:$G$143,5,FALSE()),0)</f>
        <v>6</v>
      </c>
      <c r="J305" s="25" t="n">
        <f aca="false">IF(C305="bizcocho",VLOOKUP(A305,'Recetas y precios'!$A$5:$G$55,6,FALSE()),IF(C305="jarabe",VLOOKUP(A305,'Recetas y precios'!$A$5:$G$55,7,FALSE()),1))</f>
        <v>0.352</v>
      </c>
      <c r="K305" s="15" t="n">
        <f aca="false">G305*I305*J305</f>
        <v>2.112</v>
      </c>
    </row>
    <row r="306" customFormat="false" ht="15" hidden="false" customHeight="false" outlineLevel="0" collapsed="false">
      <c r="A306" s="0" t="n">
        <v>18</v>
      </c>
      <c r="B306" s="22" t="s">
        <v>672</v>
      </c>
      <c r="C306" s="13" t="s">
        <v>376</v>
      </c>
      <c r="D306" s="23" t="s">
        <v>673</v>
      </c>
      <c r="E306" s="23" t="s">
        <v>413</v>
      </c>
      <c r="F306" s="24" t="s">
        <v>103</v>
      </c>
      <c r="G306" s="19" t="n">
        <v>1</v>
      </c>
      <c r="H306" s="13" t="s">
        <v>27</v>
      </c>
      <c r="I306" s="12" t="n">
        <f aca="false">IFERROR(VLOOKUP(F306,Insumos!$C$5:$G$143,5,FALSE()),0)</f>
        <v>0.025</v>
      </c>
      <c r="J306" s="25" t="n">
        <f aca="false">IF(C306="bizcocho",VLOOKUP(A306,'Recetas y precios'!$A$5:$G$55,6,FALSE()),IF(C306="jarabe",VLOOKUP(A306,'Recetas y precios'!$A$5:$G$55,7,FALSE()),1))</f>
        <v>0.352</v>
      </c>
      <c r="K306" s="15" t="n">
        <f aca="false">G306*I306*J306</f>
        <v>0.0088</v>
      </c>
    </row>
    <row r="307" customFormat="false" ht="15" hidden="false" customHeight="false" outlineLevel="0" collapsed="false">
      <c r="A307" s="0" t="n">
        <v>18</v>
      </c>
      <c r="B307" s="22" t="s">
        <v>672</v>
      </c>
      <c r="C307" s="13" t="s">
        <v>387</v>
      </c>
      <c r="D307" s="23" t="s">
        <v>676</v>
      </c>
      <c r="E307" s="23" t="s">
        <v>677</v>
      </c>
      <c r="F307" s="24" t="s">
        <v>137</v>
      </c>
      <c r="G307" s="19" t="n">
        <v>1.5</v>
      </c>
      <c r="H307" s="13" t="s">
        <v>27</v>
      </c>
      <c r="I307" s="12" t="n">
        <f aca="false">IFERROR(VLOOKUP(F307,Insumos!$C$5:$G$143,5,FALSE()),0)</f>
        <v>0.9</v>
      </c>
      <c r="J307" s="25" t="n">
        <f aca="false">IF(C307="bizcocho",VLOOKUP(A307,'Recetas y precios'!$A$5:$G$55,6,FALSE()),IF(C307="jarabe",VLOOKUP(A307,'Recetas y precios'!$A$5:$G$55,7,FALSE()),1))</f>
        <v>1</v>
      </c>
      <c r="K307" s="15" t="n">
        <f aca="false">G307*I307*J307</f>
        <v>1.35</v>
      </c>
    </row>
    <row r="308" customFormat="false" ht="15" hidden="false" customHeight="false" outlineLevel="0" collapsed="false">
      <c r="A308" s="0" t="n">
        <v>18</v>
      </c>
      <c r="B308" s="22" t="s">
        <v>672</v>
      </c>
      <c r="C308" s="13" t="s">
        <v>387</v>
      </c>
      <c r="D308" s="23" t="s">
        <v>676</v>
      </c>
      <c r="E308" s="23" t="s">
        <v>678</v>
      </c>
      <c r="F308" s="24" t="s">
        <v>80</v>
      </c>
      <c r="G308" s="19" t="n">
        <v>20</v>
      </c>
      <c r="H308" s="13" t="s">
        <v>34</v>
      </c>
      <c r="I308" s="12" t="n">
        <f aca="false">IFERROR(VLOOKUP(F308,Insumos!$C$5:$G$143,5,FALSE()),0)</f>
        <v>0.018</v>
      </c>
      <c r="J308" s="25" t="n">
        <f aca="false">IF(C308="bizcocho",VLOOKUP(A308,'Recetas y precios'!$A$5:$G$55,6,FALSE()),IF(C308="jarabe",VLOOKUP(A308,'Recetas y precios'!$A$5:$G$55,7,FALSE()),1))</f>
        <v>1</v>
      </c>
      <c r="K308" s="15" t="n">
        <f aca="false">G308*I308*J308</f>
        <v>0.36</v>
      </c>
    </row>
    <row r="309" customFormat="false" ht="15" hidden="false" customHeight="false" outlineLevel="0" collapsed="false">
      <c r="A309" s="0" t="n">
        <v>18</v>
      </c>
      <c r="B309" s="22" t="s">
        <v>672</v>
      </c>
      <c r="C309" s="13" t="s">
        <v>387</v>
      </c>
      <c r="D309" s="23" t="s">
        <v>676</v>
      </c>
      <c r="E309" s="23" t="s">
        <v>679</v>
      </c>
      <c r="F309" s="24" t="s">
        <v>303</v>
      </c>
      <c r="G309" s="19" t="n">
        <v>5</v>
      </c>
      <c r="H309" s="13" t="s">
        <v>34</v>
      </c>
      <c r="I309" s="12" t="n">
        <f aca="false">IFERROR(VLOOKUP(F309,Insumos!$C$5:$G$143,5,FALSE()),0)</f>
        <v>1</v>
      </c>
      <c r="J309" s="25" t="n">
        <f aca="false">IF(C309="bizcocho",VLOOKUP(A309,'Recetas y precios'!$A$5:$G$55,6,FALSE()),IF(C309="jarabe",VLOOKUP(A309,'Recetas y precios'!$A$5:$G$55,7,FALSE()),1))</f>
        <v>1</v>
      </c>
      <c r="K309" s="15" t="n">
        <f aca="false">G309*I309*J309</f>
        <v>5</v>
      </c>
    </row>
    <row r="310" customFormat="false" ht="15" hidden="false" customHeight="false" outlineLevel="0" collapsed="false">
      <c r="A310" s="0" t="n">
        <v>18</v>
      </c>
      <c r="B310" s="22" t="s">
        <v>672</v>
      </c>
      <c r="C310" s="13" t="s">
        <v>393</v>
      </c>
      <c r="D310" s="23" t="s">
        <v>633</v>
      </c>
      <c r="E310" s="23" t="s">
        <v>598</v>
      </c>
      <c r="F310" s="24" t="s">
        <v>26</v>
      </c>
      <c r="G310" s="19" t="n">
        <v>130</v>
      </c>
      <c r="H310" s="13" t="s">
        <v>27</v>
      </c>
      <c r="I310" s="12" t="n">
        <f aca="false">IFERROR(VLOOKUP(F310,Insumos!$C$5:$G$143,5,FALSE()),0)</f>
        <v>0.38</v>
      </c>
      <c r="J310" s="25" t="n">
        <f aca="false">IF(C310="bizcocho",VLOOKUP(A310,'Recetas y precios'!$A$5:$G$55,6,FALSE()),IF(C310="jarabe",VLOOKUP(A310,'Recetas y precios'!$A$5:$G$55,7,FALSE()),1))</f>
        <v>1</v>
      </c>
      <c r="K310" s="15" t="n">
        <f aca="false">G310*I310*J310</f>
        <v>49.4</v>
      </c>
    </row>
    <row r="311" customFormat="false" ht="15" hidden="false" customHeight="false" outlineLevel="0" collapsed="false">
      <c r="A311" s="0" t="n">
        <v>18</v>
      </c>
      <c r="B311" s="22" t="s">
        <v>672</v>
      </c>
      <c r="C311" s="13" t="s">
        <v>393</v>
      </c>
      <c r="D311" s="23" t="s">
        <v>633</v>
      </c>
      <c r="E311" s="23" t="s">
        <v>420</v>
      </c>
      <c r="F311" s="24" t="s">
        <v>33</v>
      </c>
      <c r="G311" s="19" t="n">
        <v>120</v>
      </c>
      <c r="H311" s="13" t="s">
        <v>34</v>
      </c>
      <c r="I311" s="12" t="n">
        <f aca="false">IFERROR(VLOOKUP(F311,Insumos!$C$5:$G$143,5,FALSE()),0)</f>
        <v>0.078</v>
      </c>
      <c r="J311" s="25" t="n">
        <f aca="false">IF(C311="bizcocho",VLOOKUP(A311,'Recetas y precios'!$A$5:$G$55,6,FALSE()),IF(C311="jarabe",VLOOKUP(A311,'Recetas y precios'!$A$5:$G$55,7,FALSE()),1))</f>
        <v>1</v>
      </c>
      <c r="K311" s="15" t="n">
        <f aca="false">G311*I311*J311</f>
        <v>9.36</v>
      </c>
    </row>
    <row r="312" customFormat="false" ht="15" hidden="false" customHeight="false" outlineLevel="0" collapsed="false">
      <c r="A312" s="0" t="n">
        <v>18</v>
      </c>
      <c r="B312" s="22" t="s">
        <v>672</v>
      </c>
      <c r="C312" s="13" t="s">
        <v>393</v>
      </c>
      <c r="D312" s="23" t="s">
        <v>633</v>
      </c>
      <c r="E312" s="23" t="s">
        <v>680</v>
      </c>
      <c r="F312" s="24" t="s">
        <v>137</v>
      </c>
      <c r="G312" s="19" t="n">
        <v>0.75</v>
      </c>
      <c r="H312" s="13" t="s">
        <v>27</v>
      </c>
      <c r="I312" s="12" t="n">
        <f aca="false">IFERROR(VLOOKUP(F312,Insumos!$C$5:$G$143,5,FALSE()),0)</f>
        <v>0.9</v>
      </c>
      <c r="J312" s="25" t="n">
        <f aca="false">IF(C312="bizcocho",VLOOKUP(A312,'Recetas y precios'!$A$5:$G$55,6,FALSE()),IF(C312="jarabe",VLOOKUP(A312,'Recetas y precios'!$A$5:$G$55,7,FALSE()),1))</f>
        <v>1</v>
      </c>
      <c r="K312" s="15" t="n">
        <f aca="false">G312*I312*J312</f>
        <v>0.675</v>
      </c>
    </row>
    <row r="313" customFormat="false" ht="15" hidden="false" customHeight="false" outlineLevel="0" collapsed="false">
      <c r="A313" s="0" t="n">
        <v>18</v>
      </c>
      <c r="B313" s="22" t="s">
        <v>672</v>
      </c>
      <c r="C313" s="13" t="s">
        <v>393</v>
      </c>
      <c r="D313" s="23" t="s">
        <v>633</v>
      </c>
      <c r="E313" s="23" t="s">
        <v>506</v>
      </c>
      <c r="F313" s="24" t="s">
        <v>36</v>
      </c>
      <c r="G313" s="19" t="n">
        <v>45</v>
      </c>
      <c r="H313" s="13" t="s">
        <v>27</v>
      </c>
      <c r="I313" s="12" t="n">
        <f aca="false">IFERROR(VLOOKUP(F313,Insumos!$C$5:$G$143,5,FALSE()),0)</f>
        <v>0.085</v>
      </c>
      <c r="J313" s="25" t="n">
        <f aca="false">IF(C313="bizcocho",VLOOKUP(A313,'Recetas y precios'!$A$5:$G$55,6,FALSE()),IF(C313="jarabe",VLOOKUP(A313,'Recetas y precios'!$A$5:$G$55,7,FALSE()),1))</f>
        <v>1</v>
      </c>
      <c r="K313" s="15" t="n">
        <f aca="false">G313*I313*J313</f>
        <v>3.825</v>
      </c>
    </row>
    <row r="314" customFormat="false" ht="15" hidden="false" customHeight="false" outlineLevel="0" collapsed="false">
      <c r="A314" s="0" t="n">
        <v>18</v>
      </c>
      <c r="B314" s="22" t="s">
        <v>672</v>
      </c>
      <c r="C314" s="13" t="s">
        <v>393</v>
      </c>
      <c r="D314" s="23" t="s">
        <v>633</v>
      </c>
      <c r="E314" s="23" t="s">
        <v>456</v>
      </c>
      <c r="F314" s="24" t="s">
        <v>74</v>
      </c>
      <c r="G314" s="19" t="n">
        <v>20</v>
      </c>
      <c r="H314" s="13" t="s">
        <v>27</v>
      </c>
      <c r="I314" s="12" t="n">
        <f aca="false">IFERROR(VLOOKUP(F314,Insumos!$C$5:$G$143,5,FALSE()),0)</f>
        <v>0.045</v>
      </c>
      <c r="J314" s="25" t="n">
        <f aca="false">IF(C314="bizcocho",VLOOKUP(A314,'Recetas y precios'!$A$5:$G$55,6,FALSE()),IF(C314="jarabe",VLOOKUP(A314,'Recetas y precios'!$A$5:$G$55,7,FALSE()),1))</f>
        <v>1</v>
      </c>
      <c r="K314" s="15" t="n">
        <f aca="false">G314*I314*J314</f>
        <v>0.9</v>
      </c>
    </row>
    <row r="315" customFormat="false" ht="15" hidden="false" customHeight="false" outlineLevel="0" collapsed="false">
      <c r="A315" s="0" t="n">
        <v>18</v>
      </c>
      <c r="B315" s="22" t="s">
        <v>672</v>
      </c>
      <c r="C315" s="13" t="s">
        <v>400</v>
      </c>
      <c r="D315" s="23" t="s">
        <v>681</v>
      </c>
      <c r="E315" s="23" t="s">
        <v>682</v>
      </c>
      <c r="F315" s="24" t="s">
        <v>244</v>
      </c>
      <c r="G315" s="19" t="n">
        <v>40</v>
      </c>
      <c r="H315" s="13" t="s">
        <v>27</v>
      </c>
      <c r="I315" s="12" t="n">
        <f aca="false">IFERROR(VLOOKUP(F315,Insumos!$C$5:$G$143,5,FALSE()),0)</f>
        <v>0.18</v>
      </c>
      <c r="J315" s="25" t="n">
        <f aca="false">IF(C315="bizcocho",VLOOKUP(A315,'Recetas y precios'!$A$5:$G$55,6,FALSE()),IF(C315="jarabe",VLOOKUP(A315,'Recetas y precios'!$A$5:$G$55,7,FALSE()),1))</f>
        <v>1</v>
      </c>
      <c r="K315" s="15" t="n">
        <f aca="false">G315*I315*J315</f>
        <v>7.2</v>
      </c>
    </row>
    <row r="316" customFormat="false" ht="15" hidden="false" customHeight="false" outlineLevel="0" collapsed="false">
      <c r="A316" s="0" t="n">
        <v>18</v>
      </c>
      <c r="B316" s="22" t="s">
        <v>672</v>
      </c>
      <c r="C316" s="13" t="s">
        <v>400</v>
      </c>
      <c r="D316" s="23" t="s">
        <v>681</v>
      </c>
      <c r="E316" s="23" t="s">
        <v>683</v>
      </c>
      <c r="F316" s="24" t="s">
        <v>218</v>
      </c>
      <c r="G316" s="19" t="n">
        <v>6</v>
      </c>
      <c r="H316" s="13" t="s">
        <v>27</v>
      </c>
      <c r="I316" s="12" t="n">
        <f aca="false">IFERROR(VLOOKUP(F316,Insumos!$C$5:$G$143,5,FALSE()),0)</f>
        <v>0.42</v>
      </c>
      <c r="J316" s="25" t="n">
        <f aca="false">IF(C316="bizcocho",VLOOKUP(A316,'Recetas y precios'!$A$5:$G$55,6,FALSE()),IF(C316="jarabe",VLOOKUP(A316,'Recetas y precios'!$A$5:$G$55,7,FALSE()),1))</f>
        <v>1</v>
      </c>
      <c r="K316" s="15" t="n">
        <f aca="false">G316*I316*J316</f>
        <v>2.52</v>
      </c>
    </row>
    <row r="317" customFormat="false" ht="15" hidden="false" customHeight="false" outlineLevel="0" collapsed="false">
      <c r="A317" s="0" t="n">
        <v>18</v>
      </c>
      <c r="B317" s="22" t="s">
        <v>672</v>
      </c>
      <c r="C317" s="13" t="s">
        <v>400</v>
      </c>
      <c r="D317" s="23" t="s">
        <v>681</v>
      </c>
      <c r="E317" s="23" t="s">
        <v>684</v>
      </c>
      <c r="F317" s="24" t="s">
        <v>181</v>
      </c>
      <c r="G317" s="19" t="n">
        <v>1</v>
      </c>
      <c r="H317" s="13" t="s">
        <v>179</v>
      </c>
      <c r="I317" s="12" t="n">
        <f aca="false">IFERROR(VLOOKUP(F317,Insumos!$C$5:$G$143,5,FALSE()),0)</f>
        <v>6</v>
      </c>
      <c r="J317" s="25" t="n">
        <f aca="false">IF(C317="bizcocho",VLOOKUP(A317,'Recetas y precios'!$A$5:$G$55,6,FALSE()),IF(C317="jarabe",VLOOKUP(A317,'Recetas y precios'!$A$5:$G$55,7,FALSE()),1))</f>
        <v>1</v>
      </c>
      <c r="K317" s="15" t="n">
        <f aca="false">G317*I317*J317</f>
        <v>6</v>
      </c>
    </row>
    <row r="318" customFormat="false" ht="15" hidden="false" customHeight="false" outlineLevel="0" collapsed="false">
      <c r="A318" s="0" t="n">
        <v>19</v>
      </c>
      <c r="B318" s="22" t="s">
        <v>685</v>
      </c>
      <c r="C318" s="13" t="s">
        <v>376</v>
      </c>
      <c r="D318" s="23" t="s">
        <v>686</v>
      </c>
      <c r="E318" s="23" t="s">
        <v>530</v>
      </c>
      <c r="F318" s="24" t="s">
        <v>59</v>
      </c>
      <c r="G318" s="19" t="n">
        <v>50</v>
      </c>
      <c r="H318" s="13" t="s">
        <v>27</v>
      </c>
      <c r="I318" s="12" t="n">
        <f aca="false">IFERROR(VLOOKUP(F318,Insumos!$C$5:$G$143,5,FALSE()),0)</f>
        <v>0.032</v>
      </c>
      <c r="J318" s="25" t="n">
        <f aca="false">IF(C318="bizcocho",VLOOKUP(A318,'Recetas y precios'!$A$5:$G$55,6,FALSE()),IF(C318="jarabe",VLOOKUP(A318,'Recetas y precios'!$A$5:$G$55,7,FALSE()),1))</f>
        <v>0.323</v>
      </c>
      <c r="K318" s="15" t="n">
        <f aca="false">G318*I318*J318</f>
        <v>0.5168</v>
      </c>
    </row>
    <row r="319" customFormat="false" ht="15" hidden="false" customHeight="false" outlineLevel="0" collapsed="false">
      <c r="A319" s="0" t="n">
        <v>19</v>
      </c>
      <c r="B319" s="22" t="s">
        <v>685</v>
      </c>
      <c r="C319" s="13" t="s">
        <v>376</v>
      </c>
      <c r="D319" s="23" t="s">
        <v>686</v>
      </c>
      <c r="E319" s="23" t="s">
        <v>409</v>
      </c>
      <c r="F319" s="24" t="s">
        <v>48</v>
      </c>
      <c r="G319" s="19" t="n">
        <v>35</v>
      </c>
      <c r="H319" s="13" t="s">
        <v>27</v>
      </c>
      <c r="I319" s="12" t="n">
        <f aca="false">IFERROR(VLOOKUP(F319,Insumos!$C$5:$G$143,5,FALSE()),0)</f>
        <v>0.13</v>
      </c>
      <c r="J319" s="25" t="n">
        <f aca="false">IF(C319="bizcocho",VLOOKUP(A319,'Recetas y precios'!$A$5:$G$55,6,FALSE()),IF(C319="jarabe",VLOOKUP(A319,'Recetas y precios'!$A$5:$G$55,7,FALSE()),1))</f>
        <v>0.323</v>
      </c>
      <c r="K319" s="15" t="n">
        <f aca="false">G319*I319*J319</f>
        <v>1.46965</v>
      </c>
    </row>
    <row r="320" customFormat="false" ht="15" hidden="false" customHeight="false" outlineLevel="0" collapsed="false">
      <c r="A320" s="0" t="n">
        <v>19</v>
      </c>
      <c r="B320" s="22" t="s">
        <v>685</v>
      </c>
      <c r="C320" s="13" t="s">
        <v>376</v>
      </c>
      <c r="D320" s="23" t="s">
        <v>686</v>
      </c>
      <c r="E320" s="23" t="s">
        <v>410</v>
      </c>
      <c r="F320" s="24" t="s">
        <v>50</v>
      </c>
      <c r="G320" s="19" t="n">
        <v>75</v>
      </c>
      <c r="H320" s="13" t="s">
        <v>27</v>
      </c>
      <c r="I320" s="12" t="n">
        <f aca="false">IFERROR(VLOOKUP(F320,Insumos!$C$5:$G$143,5,FALSE()),0)</f>
        <v>0.075</v>
      </c>
      <c r="J320" s="25" t="n">
        <f aca="false">IF(C320="bizcocho",VLOOKUP(A320,'Recetas y precios'!$A$5:$G$55,6,FALSE()),IF(C320="jarabe",VLOOKUP(A320,'Recetas y precios'!$A$5:$G$55,7,FALSE()),1))</f>
        <v>0.323</v>
      </c>
      <c r="K320" s="15" t="n">
        <f aca="false">G320*I320*J320</f>
        <v>1.816875</v>
      </c>
    </row>
    <row r="321" customFormat="false" ht="15" hidden="false" customHeight="false" outlineLevel="0" collapsed="false">
      <c r="A321" s="0" t="n">
        <v>19</v>
      </c>
      <c r="B321" s="22" t="s">
        <v>685</v>
      </c>
      <c r="C321" s="13" t="s">
        <v>376</v>
      </c>
      <c r="D321" s="23" t="s">
        <v>686</v>
      </c>
      <c r="E321" s="23" t="s">
        <v>460</v>
      </c>
      <c r="F321" s="24" t="s">
        <v>72</v>
      </c>
      <c r="G321" s="19" t="n">
        <v>30</v>
      </c>
      <c r="H321" s="13" t="s">
        <v>27</v>
      </c>
      <c r="I321" s="12" t="n">
        <f aca="false">IFERROR(VLOOKUP(F321,Insumos!$C$5:$G$143,5,FALSE()),0)</f>
        <v>0.028</v>
      </c>
      <c r="J321" s="25" t="n">
        <f aca="false">IF(C321="bizcocho",VLOOKUP(A321,'Recetas y precios'!$A$5:$G$55,6,FALSE()),IF(C321="jarabe",VLOOKUP(A321,'Recetas y precios'!$A$5:$G$55,7,FALSE()),1))</f>
        <v>0.323</v>
      </c>
      <c r="K321" s="15" t="n">
        <f aca="false">G321*I321*J321</f>
        <v>0.27132</v>
      </c>
    </row>
    <row r="322" customFormat="false" ht="15" hidden="false" customHeight="false" outlineLevel="0" collapsed="false">
      <c r="A322" s="0" t="n">
        <v>19</v>
      </c>
      <c r="B322" s="22" t="s">
        <v>685</v>
      </c>
      <c r="C322" s="13" t="s">
        <v>376</v>
      </c>
      <c r="D322" s="23" t="s">
        <v>686</v>
      </c>
      <c r="E322" s="23" t="s">
        <v>687</v>
      </c>
      <c r="F322" s="24" t="s">
        <v>88</v>
      </c>
      <c r="G322" s="19" t="n">
        <v>15</v>
      </c>
      <c r="H322" s="13" t="s">
        <v>27</v>
      </c>
      <c r="I322" s="12" t="n">
        <f aca="false">IFERROR(VLOOKUP(F322,Insumos!$C$5:$G$143,5,FALSE()),0)</f>
        <v>0.26</v>
      </c>
      <c r="J322" s="25" t="n">
        <f aca="false">IF(C322="bizcocho",VLOOKUP(A322,'Recetas y precios'!$A$5:$G$55,6,FALSE()),IF(C322="jarabe",VLOOKUP(A322,'Recetas y precios'!$A$5:$G$55,7,FALSE()),1))</f>
        <v>0.323</v>
      </c>
      <c r="K322" s="15" t="n">
        <f aca="false">G322*I322*J322</f>
        <v>1.2597</v>
      </c>
    </row>
    <row r="323" customFormat="false" ht="15" hidden="false" customHeight="false" outlineLevel="0" collapsed="false">
      <c r="A323" s="0" t="n">
        <v>19</v>
      </c>
      <c r="B323" s="22" t="s">
        <v>685</v>
      </c>
      <c r="C323" s="13" t="s">
        <v>376</v>
      </c>
      <c r="D323" s="23" t="s">
        <v>686</v>
      </c>
      <c r="E323" s="23" t="s">
        <v>412</v>
      </c>
      <c r="F323" s="24" t="s">
        <v>109</v>
      </c>
      <c r="G323" s="19" t="n">
        <v>25</v>
      </c>
      <c r="H323" s="13" t="s">
        <v>34</v>
      </c>
      <c r="I323" s="12" t="n">
        <f aca="false">IFERROR(VLOOKUP(F323,Insumos!$C$5:$G$143,5,FALSE()),0)</f>
        <v>0.045</v>
      </c>
      <c r="J323" s="25" t="n">
        <f aca="false">IF(C323="bizcocho",VLOOKUP(A323,'Recetas y precios'!$A$5:$G$55,6,FALSE()),IF(C323="jarabe",VLOOKUP(A323,'Recetas y precios'!$A$5:$G$55,7,FALSE()),1))</f>
        <v>0.323</v>
      </c>
      <c r="K323" s="15" t="n">
        <f aca="false">G323*I323*J323</f>
        <v>0.363375</v>
      </c>
    </row>
    <row r="324" customFormat="false" ht="15" hidden="false" customHeight="false" outlineLevel="0" collapsed="false">
      <c r="A324" s="0" t="n">
        <v>19</v>
      </c>
      <c r="B324" s="22" t="s">
        <v>685</v>
      </c>
      <c r="C324" s="13" t="s">
        <v>376</v>
      </c>
      <c r="D324" s="23" t="s">
        <v>686</v>
      </c>
      <c r="E324" s="23" t="s">
        <v>688</v>
      </c>
      <c r="F324" s="24" t="s">
        <v>145</v>
      </c>
      <c r="G324" s="19" t="n">
        <v>1.05</v>
      </c>
      <c r="H324" s="13" t="s">
        <v>27</v>
      </c>
      <c r="I324" s="12" t="n">
        <f aca="false">IFERROR(VLOOKUP(F324,Insumos!$C$5:$G$143,5,FALSE()),0)</f>
        <v>1.8</v>
      </c>
      <c r="J324" s="25" t="n">
        <f aca="false">IF(C324="bizcocho",VLOOKUP(A324,'Recetas y precios'!$A$5:$G$55,6,FALSE()),IF(C324="jarabe",VLOOKUP(A324,'Recetas y precios'!$A$5:$G$55,7,FALSE()),1))</f>
        <v>0.323</v>
      </c>
      <c r="K324" s="15" t="n">
        <f aca="false">G324*I324*J324</f>
        <v>0.61047</v>
      </c>
    </row>
    <row r="325" customFormat="false" ht="15" hidden="false" customHeight="false" outlineLevel="0" collapsed="false">
      <c r="A325" s="0" t="n">
        <v>19</v>
      </c>
      <c r="B325" s="22" t="s">
        <v>685</v>
      </c>
      <c r="C325" s="13" t="s">
        <v>376</v>
      </c>
      <c r="D325" s="23" t="s">
        <v>686</v>
      </c>
      <c r="E325" s="23" t="s">
        <v>413</v>
      </c>
      <c r="F325" s="24" t="s">
        <v>103</v>
      </c>
      <c r="G325" s="19" t="n">
        <v>1</v>
      </c>
      <c r="H325" s="13" t="s">
        <v>27</v>
      </c>
      <c r="I325" s="12" t="n">
        <f aca="false">IFERROR(VLOOKUP(F325,Insumos!$C$5:$G$143,5,FALSE()),0)</f>
        <v>0.025</v>
      </c>
      <c r="J325" s="25" t="n">
        <f aca="false">IF(C325="bizcocho",VLOOKUP(A325,'Recetas y precios'!$A$5:$G$55,6,FALSE()),IF(C325="jarabe",VLOOKUP(A325,'Recetas y precios'!$A$5:$G$55,7,FALSE()),1))</f>
        <v>0.323</v>
      </c>
      <c r="K325" s="15" t="n">
        <f aca="false">G325*I325*J325</f>
        <v>0.008075</v>
      </c>
    </row>
    <row r="326" customFormat="false" ht="15" hidden="false" customHeight="false" outlineLevel="0" collapsed="false">
      <c r="A326" s="0" t="n">
        <v>19</v>
      </c>
      <c r="B326" s="22" t="s">
        <v>685</v>
      </c>
      <c r="C326" s="13" t="s">
        <v>387</v>
      </c>
      <c r="D326" s="23" t="s">
        <v>593</v>
      </c>
      <c r="E326" s="23" t="s">
        <v>689</v>
      </c>
      <c r="F326" s="24" t="s">
        <v>145</v>
      </c>
      <c r="G326" s="19" t="n">
        <v>1.35</v>
      </c>
      <c r="H326" s="13" t="s">
        <v>27</v>
      </c>
      <c r="I326" s="12" t="n">
        <f aca="false">IFERROR(VLOOKUP(F326,Insumos!$C$5:$G$143,5,FALSE()),0)</f>
        <v>1.8</v>
      </c>
      <c r="J326" s="25" t="n">
        <f aca="false">IF(C326="bizcocho",VLOOKUP(A326,'Recetas y precios'!$A$5:$G$55,6,FALSE()),IF(C326="jarabe",VLOOKUP(A326,'Recetas y precios'!$A$5:$G$55,7,FALSE()),1))</f>
        <v>1</v>
      </c>
      <c r="K326" s="15" t="n">
        <f aca="false">G326*I326*J326</f>
        <v>2.43</v>
      </c>
    </row>
    <row r="327" customFormat="false" ht="15" hidden="false" customHeight="false" outlineLevel="0" collapsed="false">
      <c r="A327" s="0" t="n">
        <v>19</v>
      </c>
      <c r="B327" s="22" t="s">
        <v>685</v>
      </c>
      <c r="C327" s="13" t="s">
        <v>387</v>
      </c>
      <c r="D327" s="23" t="s">
        <v>593</v>
      </c>
      <c r="E327" s="23" t="s">
        <v>690</v>
      </c>
      <c r="F327" s="24" t="s">
        <v>88</v>
      </c>
      <c r="G327" s="19" t="n">
        <v>20</v>
      </c>
      <c r="H327" s="13" t="s">
        <v>27</v>
      </c>
      <c r="I327" s="12" t="n">
        <f aca="false">IFERROR(VLOOKUP(F327,Insumos!$C$5:$G$143,5,FALSE()),0)</f>
        <v>0.26</v>
      </c>
      <c r="J327" s="25" t="n">
        <f aca="false">IF(C327="bizcocho",VLOOKUP(A327,'Recetas y precios'!$A$5:$G$55,6,FALSE()),IF(C327="jarabe",VLOOKUP(A327,'Recetas y precios'!$A$5:$G$55,7,FALSE()),1))</f>
        <v>1</v>
      </c>
      <c r="K327" s="15" t="n">
        <f aca="false">G327*I327*J327</f>
        <v>5.2</v>
      </c>
    </row>
    <row r="328" customFormat="false" ht="15" hidden="false" customHeight="false" outlineLevel="0" collapsed="false">
      <c r="A328" s="0" t="n">
        <v>19</v>
      </c>
      <c r="B328" s="22" t="s">
        <v>685</v>
      </c>
      <c r="C328" s="13" t="s">
        <v>387</v>
      </c>
      <c r="D328" s="23" t="s">
        <v>593</v>
      </c>
      <c r="E328" s="23" t="s">
        <v>691</v>
      </c>
      <c r="F328" s="24" t="s">
        <v>315</v>
      </c>
      <c r="G328" s="19" t="n">
        <v>5</v>
      </c>
      <c r="H328" s="13" t="s">
        <v>34</v>
      </c>
      <c r="I328" s="12" t="n">
        <f aca="false">IFERROR(VLOOKUP(F328,Insumos!$C$5:$G$143,5,FALSE()),0)</f>
        <v>0.533333333333333</v>
      </c>
      <c r="J328" s="25" t="n">
        <f aca="false">IF(C328="bizcocho",VLOOKUP(A328,'Recetas y precios'!$A$5:$G$55,6,FALSE()),IF(C328="jarabe",VLOOKUP(A328,'Recetas y precios'!$A$5:$G$55,7,FALSE()),1))</f>
        <v>1</v>
      </c>
      <c r="K328" s="15" t="n">
        <f aca="false">G328*I328*J328</f>
        <v>2.66666666666667</v>
      </c>
    </row>
    <row r="329" customFormat="false" ht="15" hidden="false" customHeight="false" outlineLevel="0" collapsed="false">
      <c r="A329" s="0" t="n">
        <v>19</v>
      </c>
      <c r="B329" s="22" t="s">
        <v>685</v>
      </c>
      <c r="C329" s="13" t="s">
        <v>393</v>
      </c>
      <c r="D329" s="23" t="s">
        <v>692</v>
      </c>
      <c r="E329" s="23" t="s">
        <v>479</v>
      </c>
      <c r="F329" s="24" t="s">
        <v>26</v>
      </c>
      <c r="G329" s="19" t="n">
        <v>180</v>
      </c>
      <c r="H329" s="13" t="s">
        <v>27</v>
      </c>
      <c r="I329" s="12" t="n">
        <f aca="false">IFERROR(VLOOKUP(F329,Insumos!$C$5:$G$143,5,FALSE()),0)</f>
        <v>0.38</v>
      </c>
      <c r="J329" s="25" t="n">
        <f aca="false">IF(C329="bizcocho",VLOOKUP(A329,'Recetas y precios'!$A$5:$G$55,6,FALSE()),IF(C329="jarabe",VLOOKUP(A329,'Recetas y precios'!$A$5:$G$55,7,FALSE()),1))</f>
        <v>1</v>
      </c>
      <c r="K329" s="15" t="n">
        <f aca="false">G329*I329*J329</f>
        <v>68.4</v>
      </c>
    </row>
    <row r="330" customFormat="false" ht="15" hidden="false" customHeight="false" outlineLevel="0" collapsed="false">
      <c r="A330" s="0" t="n">
        <v>19</v>
      </c>
      <c r="B330" s="22" t="s">
        <v>685</v>
      </c>
      <c r="C330" s="13" t="s">
        <v>393</v>
      </c>
      <c r="D330" s="23" t="s">
        <v>692</v>
      </c>
      <c r="E330" s="23" t="s">
        <v>504</v>
      </c>
      <c r="F330" s="24" t="s">
        <v>33</v>
      </c>
      <c r="G330" s="19" t="n">
        <v>180</v>
      </c>
      <c r="H330" s="13" t="s">
        <v>34</v>
      </c>
      <c r="I330" s="12" t="n">
        <f aca="false">IFERROR(VLOOKUP(F330,Insumos!$C$5:$G$143,5,FALSE()),0)</f>
        <v>0.078</v>
      </c>
      <c r="J330" s="25" t="n">
        <f aca="false">IF(C330="bizcocho",VLOOKUP(A330,'Recetas y precios'!$A$5:$G$55,6,FALSE()),IF(C330="jarabe",VLOOKUP(A330,'Recetas y precios'!$A$5:$G$55,7,FALSE()),1))</f>
        <v>1</v>
      </c>
      <c r="K330" s="15" t="n">
        <f aca="false">G330*I330*J330</f>
        <v>14.04</v>
      </c>
    </row>
    <row r="331" customFormat="false" ht="15" hidden="false" customHeight="false" outlineLevel="0" collapsed="false">
      <c r="A331" s="0" t="n">
        <v>19</v>
      </c>
      <c r="B331" s="22" t="s">
        <v>685</v>
      </c>
      <c r="C331" s="13" t="s">
        <v>393</v>
      </c>
      <c r="D331" s="23" t="s">
        <v>692</v>
      </c>
      <c r="E331" s="23" t="s">
        <v>693</v>
      </c>
      <c r="F331" s="24" t="s">
        <v>88</v>
      </c>
      <c r="G331" s="19" t="n">
        <v>40</v>
      </c>
      <c r="H331" s="13" t="s">
        <v>27</v>
      </c>
      <c r="I331" s="12" t="n">
        <f aca="false">IFERROR(VLOOKUP(F331,Insumos!$C$5:$G$143,5,FALSE()),0)</f>
        <v>0.26</v>
      </c>
      <c r="J331" s="25" t="n">
        <f aca="false">IF(C331="bizcocho",VLOOKUP(A331,'Recetas y precios'!$A$5:$G$55,6,FALSE()),IF(C331="jarabe",VLOOKUP(A331,'Recetas y precios'!$A$5:$G$55,7,FALSE()),1))</f>
        <v>1</v>
      </c>
      <c r="K331" s="15" t="n">
        <f aca="false">G331*I331*J331</f>
        <v>10.4</v>
      </c>
    </row>
    <row r="332" customFormat="false" ht="15" hidden="false" customHeight="false" outlineLevel="0" collapsed="false">
      <c r="A332" s="0" t="n">
        <v>19</v>
      </c>
      <c r="B332" s="22" t="s">
        <v>685</v>
      </c>
      <c r="C332" s="13" t="s">
        <v>393</v>
      </c>
      <c r="D332" s="23" t="s">
        <v>692</v>
      </c>
      <c r="E332" s="23" t="s">
        <v>519</v>
      </c>
      <c r="F332" s="24" t="s">
        <v>36</v>
      </c>
      <c r="G332" s="19" t="n">
        <v>25</v>
      </c>
      <c r="H332" s="13" t="s">
        <v>27</v>
      </c>
      <c r="I332" s="12" t="n">
        <f aca="false">IFERROR(VLOOKUP(F332,Insumos!$C$5:$G$143,5,FALSE()),0)</f>
        <v>0.085</v>
      </c>
      <c r="J332" s="25" t="n">
        <f aca="false">IF(C332="bizcocho",VLOOKUP(A332,'Recetas y precios'!$A$5:$G$55,6,FALSE()),IF(C332="jarabe",VLOOKUP(A332,'Recetas y precios'!$A$5:$G$55,7,FALSE()),1))</f>
        <v>1</v>
      </c>
      <c r="K332" s="15" t="n">
        <f aca="false">G332*I332*J332</f>
        <v>2.125</v>
      </c>
    </row>
    <row r="333" customFormat="false" ht="15" hidden="false" customHeight="false" outlineLevel="0" collapsed="false">
      <c r="A333" s="0" t="n">
        <v>19</v>
      </c>
      <c r="B333" s="22" t="s">
        <v>685</v>
      </c>
      <c r="C333" s="13" t="s">
        <v>393</v>
      </c>
      <c r="D333" s="23" t="s">
        <v>692</v>
      </c>
      <c r="E333" s="23" t="s">
        <v>567</v>
      </c>
      <c r="F333" s="24" t="s">
        <v>74</v>
      </c>
      <c r="G333" s="19" t="n">
        <v>15</v>
      </c>
      <c r="H333" s="13" t="s">
        <v>27</v>
      </c>
      <c r="I333" s="12" t="n">
        <f aca="false">IFERROR(VLOOKUP(F333,Insumos!$C$5:$G$143,5,FALSE()),0)</f>
        <v>0.045</v>
      </c>
      <c r="J333" s="25" t="n">
        <f aca="false">IF(C333="bizcocho",VLOOKUP(A333,'Recetas y precios'!$A$5:$G$55,6,FALSE()),IF(C333="jarabe",VLOOKUP(A333,'Recetas y precios'!$A$5:$G$55,7,FALSE()),1))</f>
        <v>1</v>
      </c>
      <c r="K333" s="15" t="n">
        <f aca="false">G333*I333*J333</f>
        <v>0.675</v>
      </c>
    </row>
    <row r="334" customFormat="false" ht="15" hidden="false" customHeight="false" outlineLevel="0" collapsed="false">
      <c r="A334" s="0" t="n">
        <v>19</v>
      </c>
      <c r="B334" s="22" t="s">
        <v>685</v>
      </c>
      <c r="C334" s="13" t="s">
        <v>400</v>
      </c>
      <c r="D334" s="23" t="s">
        <v>694</v>
      </c>
      <c r="E334" s="23" t="s">
        <v>695</v>
      </c>
      <c r="F334" s="24" t="s">
        <v>244</v>
      </c>
      <c r="G334" s="19" t="n">
        <v>50</v>
      </c>
      <c r="H334" s="13" t="s">
        <v>27</v>
      </c>
      <c r="I334" s="12" t="n">
        <f aca="false">IFERROR(VLOOKUP(F334,Insumos!$C$5:$G$143,5,FALSE()),0)</f>
        <v>0.18</v>
      </c>
      <c r="J334" s="25" t="n">
        <f aca="false">IF(C334="bizcocho",VLOOKUP(A334,'Recetas y precios'!$A$5:$G$55,6,FALSE()),IF(C334="jarabe",VLOOKUP(A334,'Recetas y precios'!$A$5:$G$55,7,FALSE()),1))</f>
        <v>1</v>
      </c>
      <c r="K334" s="15" t="n">
        <f aca="false">G334*I334*J334</f>
        <v>9</v>
      </c>
    </row>
    <row r="335" customFormat="false" ht="15" hidden="false" customHeight="false" outlineLevel="0" collapsed="false">
      <c r="A335" s="0" t="n">
        <v>19</v>
      </c>
      <c r="B335" s="22" t="s">
        <v>685</v>
      </c>
      <c r="C335" s="13" t="s">
        <v>400</v>
      </c>
      <c r="D335" s="23" t="s">
        <v>694</v>
      </c>
      <c r="E335" s="23" t="s">
        <v>696</v>
      </c>
      <c r="F335" s="24" t="s">
        <v>145</v>
      </c>
      <c r="G335" s="19" t="n">
        <v>1</v>
      </c>
      <c r="H335" s="13" t="s">
        <v>27</v>
      </c>
      <c r="I335" s="12" t="n">
        <f aca="false">IFERROR(VLOOKUP(F335,Insumos!$C$5:$G$143,5,FALSE()),0)</f>
        <v>1.8</v>
      </c>
      <c r="J335" s="25" t="n">
        <f aca="false">IF(C335="bizcocho",VLOOKUP(A335,'Recetas y precios'!$A$5:$G$55,6,FALSE()),IF(C335="jarabe",VLOOKUP(A335,'Recetas y precios'!$A$5:$G$55,7,FALSE()),1))</f>
        <v>1</v>
      </c>
      <c r="K335" s="15" t="n">
        <f aca="false">G335*I335*J335</f>
        <v>1.8</v>
      </c>
    </row>
    <row r="336" customFormat="false" ht="15" hidden="false" customHeight="false" outlineLevel="0" collapsed="false">
      <c r="A336" s="0" t="n">
        <v>20</v>
      </c>
      <c r="B336" s="22" t="s">
        <v>697</v>
      </c>
      <c r="C336" s="13" t="s">
        <v>376</v>
      </c>
      <c r="D336" s="23" t="s">
        <v>698</v>
      </c>
      <c r="E336" s="23" t="s">
        <v>530</v>
      </c>
      <c r="F336" s="24" t="s">
        <v>59</v>
      </c>
      <c r="G336" s="19" t="n">
        <v>50</v>
      </c>
      <c r="H336" s="13" t="s">
        <v>27</v>
      </c>
      <c r="I336" s="12" t="n">
        <f aca="false">IFERROR(VLOOKUP(F336,Insumos!$C$5:$G$143,5,FALSE()),0)</f>
        <v>0.032</v>
      </c>
      <c r="J336" s="25" t="n">
        <f aca="false">IF(C336="bizcocho",VLOOKUP(A336,'Recetas y precios'!$A$5:$G$55,6,FALSE()),IF(C336="jarabe",VLOOKUP(A336,'Recetas y precios'!$A$5:$G$55,7,FALSE()),1))</f>
        <v>0.275</v>
      </c>
      <c r="K336" s="15" t="n">
        <f aca="false">G336*I336*J336</f>
        <v>0.44</v>
      </c>
    </row>
    <row r="337" customFormat="false" ht="15" hidden="false" customHeight="false" outlineLevel="0" collapsed="false">
      <c r="A337" s="0" t="n">
        <v>20</v>
      </c>
      <c r="B337" s="22" t="s">
        <v>697</v>
      </c>
      <c r="C337" s="13" t="s">
        <v>376</v>
      </c>
      <c r="D337" s="23" t="s">
        <v>698</v>
      </c>
      <c r="E337" s="23" t="s">
        <v>699</v>
      </c>
      <c r="F337" s="24" t="s">
        <v>129</v>
      </c>
      <c r="G337" s="19" t="n">
        <v>10</v>
      </c>
      <c r="H337" s="13" t="s">
        <v>27</v>
      </c>
      <c r="I337" s="12" t="n">
        <f aca="false">IFERROR(VLOOKUP(F337,Insumos!$C$5:$G$143,5,FALSE()),0)</f>
        <v>2.2</v>
      </c>
      <c r="J337" s="25" t="n">
        <f aca="false">IF(C337="bizcocho",VLOOKUP(A337,'Recetas y precios'!$A$5:$G$55,6,FALSE()),IF(C337="jarabe",VLOOKUP(A337,'Recetas y precios'!$A$5:$G$55,7,FALSE()),1))</f>
        <v>0.275</v>
      </c>
      <c r="K337" s="15" t="n">
        <f aca="false">G337*I337*J337</f>
        <v>6.05</v>
      </c>
    </row>
    <row r="338" customFormat="false" ht="15" hidden="false" customHeight="false" outlineLevel="0" collapsed="false">
      <c r="A338" s="0" t="n">
        <v>20</v>
      </c>
      <c r="B338" s="22" t="s">
        <v>697</v>
      </c>
      <c r="C338" s="13" t="s">
        <v>376</v>
      </c>
      <c r="D338" s="23" t="s">
        <v>698</v>
      </c>
      <c r="E338" s="23" t="s">
        <v>493</v>
      </c>
      <c r="F338" s="24" t="s">
        <v>48</v>
      </c>
      <c r="G338" s="19" t="n">
        <v>40</v>
      </c>
      <c r="H338" s="13" t="s">
        <v>27</v>
      </c>
      <c r="I338" s="12" t="n">
        <f aca="false">IFERROR(VLOOKUP(F338,Insumos!$C$5:$G$143,5,FALSE()),0)</f>
        <v>0.13</v>
      </c>
      <c r="J338" s="25" t="n">
        <f aca="false">IF(C338="bizcocho",VLOOKUP(A338,'Recetas y precios'!$A$5:$G$55,6,FALSE()),IF(C338="jarabe",VLOOKUP(A338,'Recetas y precios'!$A$5:$G$55,7,FALSE()),1))</f>
        <v>0.275</v>
      </c>
      <c r="K338" s="15" t="n">
        <f aca="false">G338*I338*J338</f>
        <v>1.43</v>
      </c>
    </row>
    <row r="339" customFormat="false" ht="15" hidden="false" customHeight="false" outlineLevel="0" collapsed="false">
      <c r="A339" s="0" t="n">
        <v>20</v>
      </c>
      <c r="B339" s="22" t="s">
        <v>697</v>
      </c>
      <c r="C339" s="13" t="s">
        <v>376</v>
      </c>
      <c r="D339" s="23" t="s">
        <v>698</v>
      </c>
      <c r="E339" s="23" t="s">
        <v>380</v>
      </c>
      <c r="F339" s="24" t="s">
        <v>50</v>
      </c>
      <c r="G339" s="19" t="n">
        <v>80</v>
      </c>
      <c r="H339" s="13" t="s">
        <v>27</v>
      </c>
      <c r="I339" s="12" t="n">
        <f aca="false">IFERROR(VLOOKUP(F339,Insumos!$C$5:$G$143,5,FALSE()),0)</f>
        <v>0.075</v>
      </c>
      <c r="J339" s="25" t="n">
        <f aca="false">IF(C339="bizcocho",VLOOKUP(A339,'Recetas y precios'!$A$5:$G$55,6,FALSE()),IF(C339="jarabe",VLOOKUP(A339,'Recetas y precios'!$A$5:$G$55,7,FALSE()),1))</f>
        <v>0.275</v>
      </c>
      <c r="K339" s="15" t="n">
        <f aca="false">G339*I339*J339</f>
        <v>1.65</v>
      </c>
    </row>
    <row r="340" customFormat="false" ht="15" hidden="false" customHeight="false" outlineLevel="0" collapsed="false">
      <c r="A340" s="0" t="n">
        <v>20</v>
      </c>
      <c r="B340" s="22" t="s">
        <v>697</v>
      </c>
      <c r="C340" s="13" t="s">
        <v>376</v>
      </c>
      <c r="D340" s="23" t="s">
        <v>698</v>
      </c>
      <c r="E340" s="23" t="s">
        <v>472</v>
      </c>
      <c r="F340" s="24" t="s">
        <v>72</v>
      </c>
      <c r="G340" s="19" t="n">
        <v>45</v>
      </c>
      <c r="H340" s="13" t="s">
        <v>27</v>
      </c>
      <c r="I340" s="12" t="n">
        <f aca="false">IFERROR(VLOOKUP(F340,Insumos!$C$5:$G$143,5,FALSE()),0)</f>
        <v>0.028</v>
      </c>
      <c r="J340" s="25" t="n">
        <f aca="false">IF(C340="bizcocho",VLOOKUP(A340,'Recetas y precios'!$A$5:$G$55,6,FALSE()),IF(C340="jarabe",VLOOKUP(A340,'Recetas y precios'!$A$5:$G$55,7,FALSE()),1))</f>
        <v>0.275</v>
      </c>
      <c r="K340" s="15" t="n">
        <f aca="false">G340*I340*J340</f>
        <v>0.3465</v>
      </c>
    </row>
    <row r="341" customFormat="false" ht="15" hidden="false" customHeight="false" outlineLevel="0" collapsed="false">
      <c r="A341" s="0" t="n">
        <v>20</v>
      </c>
      <c r="B341" s="22" t="s">
        <v>697</v>
      </c>
      <c r="C341" s="13" t="s">
        <v>376</v>
      </c>
      <c r="D341" s="23" t="s">
        <v>698</v>
      </c>
      <c r="E341" s="23" t="s">
        <v>531</v>
      </c>
      <c r="F341" s="24" t="s">
        <v>109</v>
      </c>
      <c r="G341" s="19" t="n">
        <v>25</v>
      </c>
      <c r="H341" s="13" t="s">
        <v>34</v>
      </c>
      <c r="I341" s="12" t="n">
        <f aca="false">IFERROR(VLOOKUP(F341,Insumos!$C$5:$G$143,5,FALSE()),0)</f>
        <v>0.045</v>
      </c>
      <c r="J341" s="25" t="n">
        <f aca="false">IF(C341="bizcocho",VLOOKUP(A341,'Recetas y precios'!$A$5:$G$55,6,FALSE()),IF(C341="jarabe",VLOOKUP(A341,'Recetas y precios'!$A$5:$G$55,7,FALSE()),1))</f>
        <v>0.275</v>
      </c>
      <c r="K341" s="15" t="n">
        <f aca="false">G341*I341*J341</f>
        <v>0.309375</v>
      </c>
    </row>
    <row r="342" customFormat="false" ht="15" hidden="false" customHeight="false" outlineLevel="0" collapsed="false">
      <c r="A342" s="0" t="n">
        <v>20</v>
      </c>
      <c r="B342" s="22" t="s">
        <v>697</v>
      </c>
      <c r="C342" s="13" t="s">
        <v>376</v>
      </c>
      <c r="D342" s="23" t="s">
        <v>698</v>
      </c>
      <c r="E342" s="23" t="s">
        <v>700</v>
      </c>
      <c r="F342" s="24" t="s">
        <v>113</v>
      </c>
      <c r="G342" s="19" t="n">
        <v>40</v>
      </c>
      <c r="H342" s="13" t="s">
        <v>34</v>
      </c>
      <c r="I342" s="12" t="n">
        <f aca="false">IFERROR(VLOOKUP(F342,Insumos!$C$5:$G$143,5,FALSE()),0)</f>
        <v>0.002</v>
      </c>
      <c r="J342" s="25" t="n">
        <f aca="false">IF(C342="bizcocho",VLOOKUP(A342,'Recetas y precios'!$A$5:$G$55,6,FALSE()),IF(C342="jarabe",VLOOKUP(A342,'Recetas y precios'!$A$5:$G$55,7,FALSE()),1))</f>
        <v>0.275</v>
      </c>
      <c r="K342" s="15" t="n">
        <f aca="false">G342*I342*J342</f>
        <v>0.022</v>
      </c>
    </row>
    <row r="343" customFormat="false" ht="15" hidden="false" customHeight="false" outlineLevel="0" collapsed="false">
      <c r="A343" s="0" t="n">
        <v>20</v>
      </c>
      <c r="B343" s="22" t="s">
        <v>697</v>
      </c>
      <c r="C343" s="13" t="s">
        <v>376</v>
      </c>
      <c r="D343" s="23" t="s">
        <v>698</v>
      </c>
      <c r="E343" s="23" t="s">
        <v>385</v>
      </c>
      <c r="F343" s="24" t="s">
        <v>103</v>
      </c>
      <c r="G343" s="19" t="n">
        <v>1</v>
      </c>
      <c r="H343" s="13" t="s">
        <v>27</v>
      </c>
      <c r="I343" s="12" t="n">
        <f aca="false">IFERROR(VLOOKUP(F343,Insumos!$C$5:$G$143,5,FALSE()),0)</f>
        <v>0.025</v>
      </c>
      <c r="J343" s="25" t="n">
        <f aca="false">IF(C343="bizcocho",VLOOKUP(A343,'Recetas y precios'!$A$5:$G$55,6,FALSE()),IF(C343="jarabe",VLOOKUP(A343,'Recetas y precios'!$A$5:$G$55,7,FALSE()),1))</f>
        <v>0.275</v>
      </c>
      <c r="K343" s="15" t="n">
        <f aca="false">G343*I343*J343</f>
        <v>0.006875</v>
      </c>
    </row>
    <row r="344" customFormat="false" ht="15" hidden="false" customHeight="false" outlineLevel="0" collapsed="false">
      <c r="A344" s="0" t="n">
        <v>20</v>
      </c>
      <c r="B344" s="22" t="s">
        <v>697</v>
      </c>
      <c r="C344" s="13" t="s">
        <v>387</v>
      </c>
      <c r="D344" s="23" t="s">
        <v>701</v>
      </c>
      <c r="E344" s="23" t="s">
        <v>702</v>
      </c>
      <c r="F344" s="24" t="s">
        <v>141</v>
      </c>
      <c r="G344" s="19" t="n">
        <v>1.35</v>
      </c>
      <c r="H344" s="13" t="s">
        <v>27</v>
      </c>
      <c r="I344" s="12" t="n">
        <f aca="false">IFERROR(VLOOKUP(F344,Insumos!$C$5:$G$143,5,FALSE()),0)</f>
        <v>0.7</v>
      </c>
      <c r="J344" s="25" t="n">
        <f aca="false">IF(C344="bizcocho",VLOOKUP(A344,'Recetas y precios'!$A$5:$G$55,6,FALSE()),IF(C344="jarabe",VLOOKUP(A344,'Recetas y precios'!$A$5:$G$55,7,FALSE()),1))</f>
        <v>1</v>
      </c>
      <c r="K344" s="15" t="n">
        <f aca="false">G344*I344*J344</f>
        <v>0.945</v>
      </c>
    </row>
    <row r="345" customFormat="false" ht="15" hidden="false" customHeight="false" outlineLevel="0" collapsed="false">
      <c r="A345" s="0" t="n">
        <v>20</v>
      </c>
      <c r="B345" s="22" t="s">
        <v>697</v>
      </c>
      <c r="C345" s="13" t="s">
        <v>387</v>
      </c>
      <c r="D345" s="23" t="s">
        <v>701</v>
      </c>
      <c r="E345" s="23" t="s">
        <v>703</v>
      </c>
      <c r="F345" s="24" t="s">
        <v>174</v>
      </c>
      <c r="G345" s="19" t="n">
        <v>20</v>
      </c>
      <c r="H345" s="13" t="s">
        <v>34</v>
      </c>
      <c r="I345" s="12" t="n">
        <f aca="false">IFERROR(VLOOKUP(F345,Insumos!$C$5:$G$143,5,FALSE()),0)</f>
        <v>1.2</v>
      </c>
      <c r="J345" s="25" t="n">
        <f aca="false">IF(C345="bizcocho",VLOOKUP(A345,'Recetas y precios'!$A$5:$G$55,6,FALSE()),IF(C345="jarabe",VLOOKUP(A345,'Recetas y precios'!$A$5:$G$55,7,FALSE()),1))</f>
        <v>1</v>
      </c>
      <c r="K345" s="15" t="n">
        <f aca="false">G345*I345*J345</f>
        <v>24</v>
      </c>
    </row>
    <row r="346" customFormat="false" ht="15" hidden="false" customHeight="false" outlineLevel="0" collapsed="false">
      <c r="A346" s="0" t="n">
        <v>20</v>
      </c>
      <c r="B346" s="22" t="s">
        <v>697</v>
      </c>
      <c r="C346" s="13" t="s">
        <v>387</v>
      </c>
      <c r="D346" s="23" t="s">
        <v>701</v>
      </c>
      <c r="E346" s="23" t="s">
        <v>704</v>
      </c>
      <c r="F346" s="24" t="s">
        <v>72</v>
      </c>
      <c r="G346" s="19" t="n">
        <v>18</v>
      </c>
      <c r="H346" s="13" t="s">
        <v>27</v>
      </c>
      <c r="I346" s="12" t="n">
        <f aca="false">IFERROR(VLOOKUP(F346,Insumos!$C$5:$G$143,5,FALSE()),0)</f>
        <v>0.028</v>
      </c>
      <c r="J346" s="25" t="n">
        <f aca="false">IF(C346="bizcocho",VLOOKUP(A346,'Recetas y precios'!$A$5:$G$55,6,FALSE()),IF(C346="jarabe",VLOOKUP(A346,'Recetas y precios'!$A$5:$G$55,7,FALSE()),1))</f>
        <v>1</v>
      </c>
      <c r="K346" s="15" t="n">
        <f aca="false">G346*I346*J346</f>
        <v>0.504</v>
      </c>
    </row>
    <row r="347" customFormat="false" ht="15" hidden="false" customHeight="false" outlineLevel="0" collapsed="false">
      <c r="A347" s="0" t="n">
        <v>20</v>
      </c>
      <c r="B347" s="22" t="s">
        <v>697</v>
      </c>
      <c r="C347" s="13" t="s">
        <v>387</v>
      </c>
      <c r="D347" s="23" t="s">
        <v>701</v>
      </c>
      <c r="E347" s="23" t="s">
        <v>705</v>
      </c>
      <c r="F347" s="24" t="s">
        <v>303</v>
      </c>
      <c r="G347" s="19" t="n">
        <v>5</v>
      </c>
      <c r="H347" s="13" t="s">
        <v>34</v>
      </c>
      <c r="I347" s="12" t="n">
        <f aca="false">IFERROR(VLOOKUP(F347,Insumos!$C$5:$G$143,5,FALSE()),0)</f>
        <v>1</v>
      </c>
      <c r="J347" s="25" t="n">
        <f aca="false">IF(C347="bizcocho",VLOOKUP(A347,'Recetas y precios'!$A$5:$G$55,6,FALSE()),IF(C347="jarabe",VLOOKUP(A347,'Recetas y precios'!$A$5:$G$55,7,FALSE()),1))</f>
        <v>1</v>
      </c>
      <c r="K347" s="15" t="n">
        <f aca="false">G347*I347*J347</f>
        <v>5</v>
      </c>
    </row>
    <row r="348" customFormat="false" ht="15" hidden="false" customHeight="false" outlineLevel="0" collapsed="false">
      <c r="A348" s="0" t="n">
        <v>20</v>
      </c>
      <c r="B348" s="22" t="s">
        <v>697</v>
      </c>
      <c r="C348" s="13" t="s">
        <v>393</v>
      </c>
      <c r="D348" s="23" t="s">
        <v>706</v>
      </c>
      <c r="E348" s="23" t="s">
        <v>503</v>
      </c>
      <c r="F348" s="24" t="s">
        <v>26</v>
      </c>
      <c r="G348" s="19" t="n">
        <v>180</v>
      </c>
      <c r="H348" s="13" t="s">
        <v>27</v>
      </c>
      <c r="I348" s="12" t="n">
        <f aca="false">IFERROR(VLOOKUP(F348,Insumos!$C$5:$G$143,5,FALSE()),0)</f>
        <v>0.38</v>
      </c>
      <c r="J348" s="25" t="n">
        <f aca="false">IF(C348="bizcocho",VLOOKUP(A348,'Recetas y precios'!$A$5:$G$55,6,FALSE()),IF(C348="jarabe",VLOOKUP(A348,'Recetas y precios'!$A$5:$G$55,7,FALSE()),1))</f>
        <v>1</v>
      </c>
      <c r="K348" s="15" t="n">
        <f aca="false">G348*I348*J348</f>
        <v>68.4</v>
      </c>
    </row>
    <row r="349" customFormat="false" ht="15" hidden="false" customHeight="false" outlineLevel="0" collapsed="false">
      <c r="A349" s="0" t="n">
        <v>20</v>
      </c>
      <c r="B349" s="22" t="s">
        <v>697</v>
      </c>
      <c r="C349" s="13" t="s">
        <v>393</v>
      </c>
      <c r="D349" s="23" t="s">
        <v>706</v>
      </c>
      <c r="E349" s="23" t="s">
        <v>634</v>
      </c>
      <c r="F349" s="24" t="s">
        <v>33</v>
      </c>
      <c r="G349" s="19" t="n">
        <v>190</v>
      </c>
      <c r="H349" s="13" t="s">
        <v>34</v>
      </c>
      <c r="I349" s="12" t="n">
        <f aca="false">IFERROR(VLOOKUP(F349,Insumos!$C$5:$G$143,5,FALSE()),0)</f>
        <v>0.078</v>
      </c>
      <c r="J349" s="25" t="n">
        <f aca="false">IF(C349="bizcocho",VLOOKUP(A349,'Recetas y precios'!$A$5:$G$55,6,FALSE()),IF(C349="jarabe",VLOOKUP(A349,'Recetas y precios'!$A$5:$G$55,7,FALSE()),1))</f>
        <v>1</v>
      </c>
      <c r="K349" s="15" t="n">
        <f aca="false">G349*I349*J349</f>
        <v>14.82</v>
      </c>
    </row>
    <row r="350" customFormat="false" ht="15" hidden="false" customHeight="false" outlineLevel="0" collapsed="false">
      <c r="A350" s="0" t="n">
        <v>20</v>
      </c>
      <c r="B350" s="22" t="s">
        <v>697</v>
      </c>
      <c r="C350" s="13" t="s">
        <v>393</v>
      </c>
      <c r="D350" s="23" t="s">
        <v>706</v>
      </c>
      <c r="E350" s="23" t="s">
        <v>707</v>
      </c>
      <c r="F350" s="24" t="s">
        <v>129</v>
      </c>
      <c r="G350" s="19" t="n">
        <v>6</v>
      </c>
      <c r="H350" s="13" t="s">
        <v>27</v>
      </c>
      <c r="I350" s="12" t="n">
        <f aca="false">IFERROR(VLOOKUP(F350,Insumos!$C$5:$G$143,5,FALSE()),0)</f>
        <v>2.2</v>
      </c>
      <c r="J350" s="25" t="n">
        <f aca="false">IF(C350="bizcocho",VLOOKUP(A350,'Recetas y precios'!$A$5:$G$55,6,FALSE()),IF(C350="jarabe",VLOOKUP(A350,'Recetas y precios'!$A$5:$G$55,7,FALSE()),1))</f>
        <v>1</v>
      </c>
      <c r="K350" s="15" t="n">
        <f aca="false">G350*I350*J350</f>
        <v>13.2</v>
      </c>
    </row>
    <row r="351" customFormat="false" ht="15" hidden="false" customHeight="false" outlineLevel="0" collapsed="false">
      <c r="A351" s="0" t="n">
        <v>20</v>
      </c>
      <c r="B351" s="22" t="s">
        <v>697</v>
      </c>
      <c r="C351" s="13" t="s">
        <v>393</v>
      </c>
      <c r="D351" s="23" t="s">
        <v>706</v>
      </c>
      <c r="E351" s="23" t="s">
        <v>444</v>
      </c>
      <c r="F351" s="24" t="s">
        <v>36</v>
      </c>
      <c r="G351" s="19" t="n">
        <v>50</v>
      </c>
      <c r="H351" s="13" t="s">
        <v>27</v>
      </c>
      <c r="I351" s="12" t="n">
        <f aca="false">IFERROR(VLOOKUP(F351,Insumos!$C$5:$G$143,5,FALSE()),0)</f>
        <v>0.085</v>
      </c>
      <c r="J351" s="25" t="n">
        <f aca="false">IF(C351="bizcocho",VLOOKUP(A351,'Recetas y precios'!$A$5:$G$55,6,FALSE()),IF(C351="jarabe",VLOOKUP(A351,'Recetas y precios'!$A$5:$G$55,7,FALSE()),1))</f>
        <v>1</v>
      </c>
      <c r="K351" s="15" t="n">
        <f aca="false">G351*I351*J351</f>
        <v>4.25</v>
      </c>
    </row>
    <row r="352" customFormat="false" ht="15" hidden="false" customHeight="false" outlineLevel="0" collapsed="false">
      <c r="A352" s="0" t="n">
        <v>20</v>
      </c>
      <c r="B352" s="22" t="s">
        <v>697</v>
      </c>
      <c r="C352" s="13" t="s">
        <v>393</v>
      </c>
      <c r="D352" s="23" t="s">
        <v>706</v>
      </c>
      <c r="E352" s="23" t="s">
        <v>456</v>
      </c>
      <c r="F352" s="24" t="s">
        <v>74</v>
      </c>
      <c r="G352" s="19" t="n">
        <v>20</v>
      </c>
      <c r="H352" s="13" t="s">
        <v>27</v>
      </c>
      <c r="I352" s="12" t="n">
        <f aca="false">IFERROR(VLOOKUP(F352,Insumos!$C$5:$G$143,5,FALSE()),0)</f>
        <v>0.045</v>
      </c>
      <c r="J352" s="25" t="n">
        <f aca="false">IF(C352="bizcocho",VLOOKUP(A352,'Recetas y precios'!$A$5:$G$55,6,FALSE()),IF(C352="jarabe",VLOOKUP(A352,'Recetas y precios'!$A$5:$G$55,7,FALSE()),1))</f>
        <v>1</v>
      </c>
      <c r="K352" s="15" t="n">
        <f aca="false">G352*I352*J352</f>
        <v>0.9</v>
      </c>
    </row>
    <row r="353" customFormat="false" ht="15" hidden="false" customHeight="false" outlineLevel="0" collapsed="false">
      <c r="A353" s="0" t="n">
        <v>20</v>
      </c>
      <c r="B353" s="22" t="s">
        <v>697</v>
      </c>
      <c r="C353" s="13" t="s">
        <v>400</v>
      </c>
      <c r="D353" s="23" t="s">
        <v>708</v>
      </c>
      <c r="E353" s="23" t="s">
        <v>709</v>
      </c>
      <c r="F353" s="24" t="s">
        <v>244</v>
      </c>
      <c r="G353" s="19" t="n">
        <v>40</v>
      </c>
      <c r="H353" s="13" t="s">
        <v>27</v>
      </c>
      <c r="I353" s="12" t="n">
        <f aca="false">IFERROR(VLOOKUP(F353,Insumos!$C$5:$G$143,5,FALSE()),0)</f>
        <v>0.18</v>
      </c>
      <c r="J353" s="25" t="n">
        <f aca="false">IF(C353="bizcocho",VLOOKUP(A353,'Recetas y precios'!$A$5:$G$55,6,FALSE()),IF(C353="jarabe",VLOOKUP(A353,'Recetas y precios'!$A$5:$G$55,7,FALSE()),1))</f>
        <v>1</v>
      </c>
      <c r="K353" s="15" t="n">
        <f aca="false">G353*I353*J353</f>
        <v>7.2</v>
      </c>
    </row>
    <row r="354" customFormat="false" ht="15" hidden="false" customHeight="false" outlineLevel="0" collapsed="false">
      <c r="A354" s="0" t="n">
        <v>20</v>
      </c>
      <c r="B354" s="22" t="s">
        <v>697</v>
      </c>
      <c r="C354" s="13" t="s">
        <v>400</v>
      </c>
      <c r="D354" s="23" t="s">
        <v>708</v>
      </c>
      <c r="E354" s="23" t="s">
        <v>710</v>
      </c>
      <c r="F354" s="24" t="s">
        <v>129</v>
      </c>
      <c r="G354" s="19" t="n">
        <v>4</v>
      </c>
      <c r="H354" s="13" t="s">
        <v>27</v>
      </c>
      <c r="I354" s="12" t="n">
        <f aca="false">IFERROR(VLOOKUP(F354,Insumos!$C$5:$G$143,5,FALSE()),0)</f>
        <v>2.2</v>
      </c>
      <c r="J354" s="25" t="n">
        <f aca="false">IF(C354="bizcocho",VLOOKUP(A354,'Recetas y precios'!$A$5:$G$55,6,FALSE()),IF(C354="jarabe",VLOOKUP(A354,'Recetas y precios'!$A$5:$G$55,7,FALSE()),1))</f>
        <v>1</v>
      </c>
      <c r="K354" s="15" t="n">
        <f aca="false">G354*I354*J354</f>
        <v>8.8</v>
      </c>
    </row>
    <row r="355" customFormat="false" ht="15" hidden="false" customHeight="false" outlineLevel="0" collapsed="false">
      <c r="A355" s="0" t="n">
        <v>20</v>
      </c>
      <c r="B355" s="22" t="s">
        <v>697</v>
      </c>
      <c r="C355" s="13" t="s">
        <v>400</v>
      </c>
      <c r="D355" s="23" t="s">
        <v>708</v>
      </c>
      <c r="E355" s="23" t="s">
        <v>711</v>
      </c>
      <c r="F355" s="24" t="s">
        <v>174</v>
      </c>
      <c r="G355" s="19" t="n">
        <v>2</v>
      </c>
      <c r="H355" s="13" t="s">
        <v>34</v>
      </c>
      <c r="I355" s="12" t="n">
        <f aca="false">IFERROR(VLOOKUP(F355,Insumos!$C$5:$G$143,5,FALSE()),0)</f>
        <v>1.2</v>
      </c>
      <c r="J355" s="25" t="n">
        <f aca="false">IF(C355="bizcocho",VLOOKUP(A355,'Recetas y precios'!$A$5:$G$55,6,FALSE()),IF(C355="jarabe",VLOOKUP(A355,'Recetas y precios'!$A$5:$G$55,7,FALSE()),1))</f>
        <v>1</v>
      </c>
      <c r="K355" s="15" t="n">
        <f aca="false">G355*I355*J355</f>
        <v>2.4</v>
      </c>
    </row>
    <row r="356" customFormat="false" ht="15" hidden="false" customHeight="false" outlineLevel="0" collapsed="false">
      <c r="A356" s="0" t="n">
        <v>21</v>
      </c>
      <c r="B356" s="22" t="s">
        <v>712</v>
      </c>
      <c r="C356" s="13" t="s">
        <v>376</v>
      </c>
      <c r="D356" s="23" t="s">
        <v>713</v>
      </c>
      <c r="E356" s="23" t="s">
        <v>530</v>
      </c>
      <c r="F356" s="24" t="s">
        <v>59</v>
      </c>
      <c r="G356" s="19" t="n">
        <v>50</v>
      </c>
      <c r="H356" s="13" t="s">
        <v>27</v>
      </c>
      <c r="I356" s="12" t="n">
        <f aca="false">IFERROR(VLOOKUP(F356,Insumos!$C$5:$G$143,5,FALSE()),0)</f>
        <v>0.032</v>
      </c>
      <c r="J356" s="25" t="n">
        <f aca="false">IF(C356="bizcocho",VLOOKUP(A356,'Recetas y precios'!$A$5:$G$55,6,FALSE()),IF(C356="jarabe",VLOOKUP(A356,'Recetas y precios'!$A$5:$G$55,7,FALSE()),1))</f>
        <v>0.279</v>
      </c>
      <c r="K356" s="15" t="n">
        <f aca="false">G356*I356*J356</f>
        <v>0.4464</v>
      </c>
    </row>
    <row r="357" customFormat="false" ht="15" hidden="false" customHeight="false" outlineLevel="0" collapsed="false">
      <c r="A357" s="0" t="n">
        <v>21</v>
      </c>
      <c r="B357" s="22" t="s">
        <v>712</v>
      </c>
      <c r="C357" s="13" t="s">
        <v>376</v>
      </c>
      <c r="D357" s="23" t="s">
        <v>713</v>
      </c>
      <c r="E357" s="23" t="s">
        <v>714</v>
      </c>
      <c r="F357" s="24" t="s">
        <v>190</v>
      </c>
      <c r="G357" s="19" t="n">
        <v>10</v>
      </c>
      <c r="H357" s="13" t="s">
        <v>27</v>
      </c>
      <c r="I357" s="12" t="n">
        <f aca="false">IFERROR(VLOOKUP(F357,Insumos!$C$5:$G$143,5,FALSE()),0)</f>
        <v>1.6</v>
      </c>
      <c r="J357" s="25" t="n">
        <f aca="false">IF(C357="bizcocho",VLOOKUP(A357,'Recetas y precios'!$A$5:$G$55,6,FALSE()),IF(C357="jarabe",VLOOKUP(A357,'Recetas y precios'!$A$5:$G$55,7,FALSE()),1))</f>
        <v>0.279</v>
      </c>
      <c r="K357" s="15" t="n">
        <f aca="false">G357*I357*J357</f>
        <v>4.464</v>
      </c>
    </row>
    <row r="358" customFormat="false" ht="15" hidden="false" customHeight="false" outlineLevel="0" collapsed="false">
      <c r="A358" s="0" t="n">
        <v>21</v>
      </c>
      <c r="B358" s="22" t="s">
        <v>712</v>
      </c>
      <c r="C358" s="13" t="s">
        <v>376</v>
      </c>
      <c r="D358" s="23" t="s">
        <v>713</v>
      </c>
      <c r="E358" s="23" t="s">
        <v>379</v>
      </c>
      <c r="F358" s="24" t="s">
        <v>48</v>
      </c>
      <c r="G358" s="19" t="n">
        <v>40</v>
      </c>
      <c r="H358" s="13" t="s">
        <v>27</v>
      </c>
      <c r="I358" s="12" t="n">
        <f aca="false">IFERROR(VLOOKUP(F358,Insumos!$C$5:$G$143,5,FALSE()),0)</f>
        <v>0.13</v>
      </c>
      <c r="J358" s="25" t="n">
        <f aca="false">IF(C358="bizcocho",VLOOKUP(A358,'Recetas y precios'!$A$5:$G$55,6,FALSE()),IF(C358="jarabe",VLOOKUP(A358,'Recetas y precios'!$A$5:$G$55,7,FALSE()),1))</f>
        <v>0.279</v>
      </c>
      <c r="K358" s="15" t="n">
        <f aca="false">G358*I358*J358</f>
        <v>1.4508</v>
      </c>
    </row>
    <row r="359" customFormat="false" ht="15" hidden="false" customHeight="false" outlineLevel="0" collapsed="false">
      <c r="A359" s="0" t="n">
        <v>21</v>
      </c>
      <c r="B359" s="22" t="s">
        <v>712</v>
      </c>
      <c r="C359" s="13" t="s">
        <v>376</v>
      </c>
      <c r="D359" s="23" t="s">
        <v>713</v>
      </c>
      <c r="E359" s="23" t="s">
        <v>380</v>
      </c>
      <c r="F359" s="24" t="s">
        <v>50</v>
      </c>
      <c r="G359" s="19" t="n">
        <v>80</v>
      </c>
      <c r="H359" s="13" t="s">
        <v>27</v>
      </c>
      <c r="I359" s="12" t="n">
        <f aca="false">IFERROR(VLOOKUP(F359,Insumos!$C$5:$G$143,5,FALSE()),0)</f>
        <v>0.075</v>
      </c>
      <c r="J359" s="25" t="n">
        <f aca="false">IF(C359="bizcocho",VLOOKUP(A359,'Recetas y precios'!$A$5:$G$55,6,FALSE()),IF(C359="jarabe",VLOOKUP(A359,'Recetas y precios'!$A$5:$G$55,7,FALSE()),1))</f>
        <v>0.279</v>
      </c>
      <c r="K359" s="15" t="n">
        <f aca="false">G359*I359*J359</f>
        <v>1.674</v>
      </c>
    </row>
    <row r="360" customFormat="false" ht="15" hidden="false" customHeight="false" outlineLevel="0" collapsed="false">
      <c r="A360" s="0" t="n">
        <v>21</v>
      </c>
      <c r="B360" s="22" t="s">
        <v>712</v>
      </c>
      <c r="C360" s="13" t="s">
        <v>376</v>
      </c>
      <c r="D360" s="23" t="s">
        <v>713</v>
      </c>
      <c r="E360" s="23" t="s">
        <v>472</v>
      </c>
      <c r="F360" s="24" t="s">
        <v>72</v>
      </c>
      <c r="G360" s="19" t="n">
        <v>45</v>
      </c>
      <c r="H360" s="13" t="s">
        <v>27</v>
      </c>
      <c r="I360" s="12" t="n">
        <f aca="false">IFERROR(VLOOKUP(F360,Insumos!$C$5:$G$143,5,FALSE()),0)</f>
        <v>0.028</v>
      </c>
      <c r="J360" s="25" t="n">
        <f aca="false">IF(C360="bizcocho",VLOOKUP(A360,'Recetas y precios'!$A$5:$G$55,6,FALSE()),IF(C360="jarabe",VLOOKUP(A360,'Recetas y precios'!$A$5:$G$55,7,FALSE()),1))</f>
        <v>0.279</v>
      </c>
      <c r="K360" s="15" t="n">
        <f aca="false">G360*I360*J360</f>
        <v>0.35154</v>
      </c>
    </row>
    <row r="361" customFormat="false" ht="15" hidden="false" customHeight="false" outlineLevel="0" collapsed="false">
      <c r="A361" s="0" t="n">
        <v>21</v>
      </c>
      <c r="B361" s="22" t="s">
        <v>712</v>
      </c>
      <c r="C361" s="13" t="s">
        <v>376</v>
      </c>
      <c r="D361" s="23" t="s">
        <v>713</v>
      </c>
      <c r="E361" s="23" t="s">
        <v>715</v>
      </c>
      <c r="F361" s="24" t="s">
        <v>109</v>
      </c>
      <c r="G361" s="19" t="n">
        <v>25</v>
      </c>
      <c r="H361" s="13" t="s">
        <v>34</v>
      </c>
      <c r="I361" s="12" t="n">
        <f aca="false">IFERROR(VLOOKUP(F361,Insumos!$C$5:$G$143,5,FALSE()),0)</f>
        <v>0.045</v>
      </c>
      <c r="J361" s="25" t="n">
        <f aca="false">IF(C361="bizcocho",VLOOKUP(A361,'Recetas y precios'!$A$5:$G$55,6,FALSE()),IF(C361="jarabe",VLOOKUP(A361,'Recetas y precios'!$A$5:$G$55,7,FALSE()),1))</f>
        <v>0.279</v>
      </c>
      <c r="K361" s="15" t="n">
        <f aca="false">G361*I361*J361</f>
        <v>0.313875</v>
      </c>
    </row>
    <row r="362" customFormat="false" ht="15" hidden="false" customHeight="false" outlineLevel="0" collapsed="false">
      <c r="A362" s="0" t="n">
        <v>21</v>
      </c>
      <c r="B362" s="22" t="s">
        <v>712</v>
      </c>
      <c r="C362" s="13" t="s">
        <v>376</v>
      </c>
      <c r="D362" s="23" t="s">
        <v>713</v>
      </c>
      <c r="E362" s="23" t="s">
        <v>383</v>
      </c>
      <c r="F362" s="24" t="s">
        <v>40</v>
      </c>
      <c r="G362" s="19" t="n">
        <v>35</v>
      </c>
      <c r="H362" s="13" t="s">
        <v>34</v>
      </c>
      <c r="I362" s="12" t="n">
        <f aca="false">IFERROR(VLOOKUP(F362,Insumos!$C$5:$G$143,5,FALSE()),0)</f>
        <v>0.028</v>
      </c>
      <c r="J362" s="25" t="n">
        <f aca="false">IF(C362="bizcocho",VLOOKUP(A362,'Recetas y precios'!$A$5:$G$55,6,FALSE()),IF(C362="jarabe",VLOOKUP(A362,'Recetas y precios'!$A$5:$G$55,7,FALSE()),1))</f>
        <v>0.279</v>
      </c>
      <c r="K362" s="15" t="n">
        <f aca="false">G362*I362*J362</f>
        <v>0.27342</v>
      </c>
    </row>
    <row r="363" customFormat="false" ht="15" hidden="false" customHeight="false" outlineLevel="0" collapsed="false">
      <c r="A363" s="0" t="n">
        <v>21</v>
      </c>
      <c r="B363" s="22" t="s">
        <v>712</v>
      </c>
      <c r="C363" s="13" t="s">
        <v>376</v>
      </c>
      <c r="D363" s="23" t="s">
        <v>713</v>
      </c>
      <c r="E363" s="23" t="s">
        <v>385</v>
      </c>
      <c r="F363" s="24" t="s">
        <v>103</v>
      </c>
      <c r="G363" s="19" t="n">
        <v>1</v>
      </c>
      <c r="H363" s="13" t="s">
        <v>27</v>
      </c>
      <c r="I363" s="12" t="n">
        <f aca="false">IFERROR(VLOOKUP(F363,Insumos!$C$5:$G$143,5,FALSE()),0)</f>
        <v>0.025</v>
      </c>
      <c r="J363" s="25" t="n">
        <f aca="false">IF(C363="bizcocho",VLOOKUP(A363,'Recetas y precios'!$A$5:$G$55,6,FALSE()),IF(C363="jarabe",VLOOKUP(A363,'Recetas y precios'!$A$5:$G$55,7,FALSE()),1))</f>
        <v>0.279</v>
      </c>
      <c r="K363" s="15" t="n">
        <f aca="false">G363*I363*J363</f>
        <v>0.006975</v>
      </c>
    </row>
    <row r="364" customFormat="false" ht="15" hidden="false" customHeight="false" outlineLevel="0" collapsed="false">
      <c r="A364" s="0" t="n">
        <v>21</v>
      </c>
      <c r="B364" s="22" t="s">
        <v>712</v>
      </c>
      <c r="C364" s="13" t="s">
        <v>376</v>
      </c>
      <c r="D364" s="23" t="s">
        <v>713</v>
      </c>
      <c r="E364" s="23" t="s">
        <v>386</v>
      </c>
      <c r="F364" s="24" t="s">
        <v>95</v>
      </c>
      <c r="G364" s="19" t="n">
        <v>1</v>
      </c>
      <c r="H364" s="13" t="s">
        <v>27</v>
      </c>
      <c r="I364" s="12" t="n">
        <f aca="false">IFERROR(VLOOKUP(F364,Insumos!$C$5:$G$143,5,FALSE()),0)</f>
        <v>0.48</v>
      </c>
      <c r="J364" s="25" t="n">
        <f aca="false">IF(C364="bizcocho",VLOOKUP(A364,'Recetas y precios'!$A$5:$G$55,6,FALSE()),IF(C364="jarabe",VLOOKUP(A364,'Recetas y precios'!$A$5:$G$55,7,FALSE()),1))</f>
        <v>0.279</v>
      </c>
      <c r="K364" s="15" t="n">
        <f aca="false">G364*I364*J364</f>
        <v>0.13392</v>
      </c>
    </row>
    <row r="365" customFormat="false" ht="15" hidden="false" customHeight="false" outlineLevel="0" collapsed="false">
      <c r="A365" s="0" t="n">
        <v>21</v>
      </c>
      <c r="B365" s="22" t="s">
        <v>712</v>
      </c>
      <c r="C365" s="13" t="s">
        <v>387</v>
      </c>
      <c r="D365" s="23" t="s">
        <v>716</v>
      </c>
      <c r="E365" s="23" t="s">
        <v>717</v>
      </c>
      <c r="F365" s="24" t="s">
        <v>148</v>
      </c>
      <c r="G365" s="19" t="n">
        <v>45</v>
      </c>
      <c r="H365" s="13" t="s">
        <v>27</v>
      </c>
      <c r="I365" s="12" t="n">
        <f aca="false">IFERROR(VLOOKUP(F365,Insumos!$C$5:$G$143,5,FALSE()),0)</f>
        <v>0.07</v>
      </c>
      <c r="J365" s="25" t="n">
        <f aca="false">IF(C365="bizcocho",VLOOKUP(A365,'Recetas y precios'!$A$5:$G$55,6,FALSE()),IF(C365="jarabe",VLOOKUP(A365,'Recetas y precios'!$A$5:$G$55,7,FALSE()),1))</f>
        <v>0.778</v>
      </c>
      <c r="K365" s="15" t="n">
        <f aca="false">G365*I365*J365</f>
        <v>2.4507</v>
      </c>
    </row>
    <row r="366" customFormat="false" ht="15" hidden="false" customHeight="false" outlineLevel="0" collapsed="false">
      <c r="A366" s="0" t="n">
        <v>21</v>
      </c>
      <c r="B366" s="22" t="s">
        <v>712</v>
      </c>
      <c r="C366" s="13" t="s">
        <v>387</v>
      </c>
      <c r="D366" s="23" t="s">
        <v>716</v>
      </c>
      <c r="E366" s="23" t="s">
        <v>499</v>
      </c>
      <c r="F366" s="24" t="s">
        <v>113</v>
      </c>
      <c r="G366" s="19" t="n">
        <v>25</v>
      </c>
      <c r="H366" s="13" t="s">
        <v>34</v>
      </c>
      <c r="I366" s="12" t="n">
        <f aca="false">IFERROR(VLOOKUP(F366,Insumos!$C$5:$G$143,5,FALSE()),0)</f>
        <v>0.002</v>
      </c>
      <c r="J366" s="25" t="n">
        <f aca="false">IF(C366="bizcocho",VLOOKUP(A366,'Recetas y precios'!$A$5:$G$55,6,FALSE()),IF(C366="jarabe",VLOOKUP(A366,'Recetas y precios'!$A$5:$G$55,7,FALSE()),1))</f>
        <v>0.778</v>
      </c>
      <c r="K366" s="15" t="n">
        <f aca="false">G366*I366*J366</f>
        <v>0.0389</v>
      </c>
    </row>
    <row r="367" customFormat="false" ht="15" hidden="false" customHeight="false" outlineLevel="0" collapsed="false">
      <c r="A367" s="0" t="n">
        <v>21</v>
      </c>
      <c r="B367" s="22" t="s">
        <v>712</v>
      </c>
      <c r="C367" s="13" t="s">
        <v>387</v>
      </c>
      <c r="D367" s="23" t="s">
        <v>716</v>
      </c>
      <c r="E367" s="23" t="s">
        <v>718</v>
      </c>
      <c r="F367" s="24" t="s">
        <v>72</v>
      </c>
      <c r="G367" s="19" t="n">
        <v>15</v>
      </c>
      <c r="H367" s="13" t="s">
        <v>27</v>
      </c>
      <c r="I367" s="12" t="n">
        <f aca="false">IFERROR(VLOOKUP(F367,Insumos!$C$5:$G$143,5,FALSE()),0)</f>
        <v>0.028</v>
      </c>
      <c r="J367" s="25" t="n">
        <f aca="false">IF(C367="bizcocho",VLOOKUP(A367,'Recetas y precios'!$A$5:$G$55,6,FALSE()),IF(C367="jarabe",VLOOKUP(A367,'Recetas y precios'!$A$5:$G$55,7,FALSE()),1))</f>
        <v>0.778</v>
      </c>
      <c r="K367" s="15" t="n">
        <f aca="false">G367*I367*J367</f>
        <v>0.32676</v>
      </c>
    </row>
    <row r="368" customFormat="false" ht="15" hidden="false" customHeight="false" outlineLevel="0" collapsed="false">
      <c r="A368" s="0" t="n">
        <v>21</v>
      </c>
      <c r="B368" s="22" t="s">
        <v>712</v>
      </c>
      <c r="C368" s="13" t="s">
        <v>387</v>
      </c>
      <c r="D368" s="23" t="s">
        <v>716</v>
      </c>
      <c r="E368" s="23" t="s">
        <v>719</v>
      </c>
      <c r="F368" s="24" t="s">
        <v>315</v>
      </c>
      <c r="G368" s="19" t="n">
        <v>5</v>
      </c>
      <c r="H368" s="13" t="s">
        <v>34</v>
      </c>
      <c r="I368" s="12" t="n">
        <f aca="false">IFERROR(VLOOKUP(F368,Insumos!$C$5:$G$143,5,FALSE()),0)</f>
        <v>0.533333333333333</v>
      </c>
      <c r="J368" s="25" t="n">
        <f aca="false">IF(C368="bizcocho",VLOOKUP(A368,'Recetas y precios'!$A$5:$G$55,6,FALSE()),IF(C368="jarabe",VLOOKUP(A368,'Recetas y precios'!$A$5:$G$55,7,FALSE()),1))</f>
        <v>0.778</v>
      </c>
      <c r="K368" s="15" t="n">
        <f aca="false">G368*I368*J368</f>
        <v>2.07466666666667</v>
      </c>
    </row>
    <row r="369" customFormat="false" ht="15" hidden="false" customHeight="false" outlineLevel="0" collapsed="false">
      <c r="A369" s="0" t="n">
        <v>21</v>
      </c>
      <c r="B369" s="22" t="s">
        <v>712</v>
      </c>
      <c r="C369" s="13" t="s">
        <v>393</v>
      </c>
      <c r="D369" s="23" t="s">
        <v>720</v>
      </c>
      <c r="E369" s="23" t="s">
        <v>666</v>
      </c>
      <c r="F369" s="24" t="s">
        <v>26</v>
      </c>
      <c r="G369" s="19" t="n">
        <v>190</v>
      </c>
      <c r="H369" s="13" t="s">
        <v>27</v>
      </c>
      <c r="I369" s="12" t="n">
        <f aca="false">IFERROR(VLOOKUP(F369,Insumos!$C$5:$G$143,5,FALSE()),0)</f>
        <v>0.38</v>
      </c>
      <c r="J369" s="25" t="n">
        <f aca="false">IF(C369="bizcocho",VLOOKUP(A369,'Recetas y precios'!$A$5:$G$55,6,FALSE()),IF(C369="jarabe",VLOOKUP(A369,'Recetas y precios'!$A$5:$G$55,7,FALSE()),1))</f>
        <v>1</v>
      </c>
      <c r="K369" s="15" t="n">
        <f aca="false">G369*I369*J369</f>
        <v>72.2</v>
      </c>
    </row>
    <row r="370" customFormat="false" ht="15" hidden="false" customHeight="false" outlineLevel="0" collapsed="false">
      <c r="A370" s="0" t="n">
        <v>21</v>
      </c>
      <c r="B370" s="22" t="s">
        <v>712</v>
      </c>
      <c r="C370" s="13" t="s">
        <v>393</v>
      </c>
      <c r="D370" s="23" t="s">
        <v>720</v>
      </c>
      <c r="E370" s="23" t="s">
        <v>634</v>
      </c>
      <c r="F370" s="24" t="s">
        <v>33</v>
      </c>
      <c r="G370" s="19" t="n">
        <v>190</v>
      </c>
      <c r="H370" s="13" t="s">
        <v>34</v>
      </c>
      <c r="I370" s="12" t="n">
        <f aca="false">IFERROR(VLOOKUP(F370,Insumos!$C$5:$G$143,5,FALSE()),0)</f>
        <v>0.078</v>
      </c>
      <c r="J370" s="25" t="n">
        <f aca="false">IF(C370="bizcocho",VLOOKUP(A370,'Recetas y precios'!$A$5:$G$55,6,FALSE()),IF(C370="jarabe",VLOOKUP(A370,'Recetas y precios'!$A$5:$G$55,7,FALSE()),1))</f>
        <v>1</v>
      </c>
      <c r="K370" s="15" t="n">
        <f aca="false">G370*I370*J370</f>
        <v>14.82</v>
      </c>
    </row>
    <row r="371" customFormat="false" ht="15" hidden="false" customHeight="false" outlineLevel="0" collapsed="false">
      <c r="A371" s="0" t="n">
        <v>21</v>
      </c>
      <c r="B371" s="22" t="s">
        <v>712</v>
      </c>
      <c r="C371" s="13" t="s">
        <v>393</v>
      </c>
      <c r="D371" s="23" t="s">
        <v>720</v>
      </c>
      <c r="E371" s="23" t="s">
        <v>721</v>
      </c>
      <c r="F371" s="24" t="s">
        <v>36</v>
      </c>
      <c r="G371" s="19" t="n">
        <v>60</v>
      </c>
      <c r="H371" s="13" t="s">
        <v>27</v>
      </c>
      <c r="I371" s="12" t="n">
        <f aca="false">IFERROR(VLOOKUP(F371,Insumos!$C$5:$G$143,5,FALSE()),0)</f>
        <v>0.085</v>
      </c>
      <c r="J371" s="25" t="n">
        <f aca="false">IF(C371="bizcocho",VLOOKUP(A371,'Recetas y precios'!$A$5:$G$55,6,FALSE()),IF(C371="jarabe",VLOOKUP(A371,'Recetas y precios'!$A$5:$G$55,7,FALSE()),1))</f>
        <v>1</v>
      </c>
      <c r="K371" s="15" t="n">
        <f aca="false">G371*I371*J371</f>
        <v>5.1</v>
      </c>
    </row>
    <row r="372" customFormat="false" ht="15" hidden="false" customHeight="false" outlineLevel="0" collapsed="false">
      <c r="A372" s="0" t="n">
        <v>21</v>
      </c>
      <c r="B372" s="22" t="s">
        <v>712</v>
      </c>
      <c r="C372" s="13" t="s">
        <v>393</v>
      </c>
      <c r="D372" s="23" t="s">
        <v>720</v>
      </c>
      <c r="E372" s="23" t="s">
        <v>456</v>
      </c>
      <c r="F372" s="24" t="s">
        <v>74</v>
      </c>
      <c r="G372" s="19" t="n">
        <v>20</v>
      </c>
      <c r="H372" s="13" t="s">
        <v>27</v>
      </c>
      <c r="I372" s="12" t="n">
        <f aca="false">IFERROR(VLOOKUP(F372,Insumos!$C$5:$G$143,5,FALSE()),0)</f>
        <v>0.045</v>
      </c>
      <c r="J372" s="25" t="n">
        <f aca="false">IF(C372="bizcocho",VLOOKUP(A372,'Recetas y precios'!$A$5:$G$55,6,FALSE()),IF(C372="jarabe",VLOOKUP(A372,'Recetas y precios'!$A$5:$G$55,7,FALSE()),1))</f>
        <v>1</v>
      </c>
      <c r="K372" s="15" t="n">
        <f aca="false">G372*I372*J372</f>
        <v>0.9</v>
      </c>
    </row>
    <row r="373" customFormat="false" ht="15" hidden="false" customHeight="false" outlineLevel="0" collapsed="false">
      <c r="A373" s="0" t="n">
        <v>21</v>
      </c>
      <c r="B373" s="22" t="s">
        <v>712</v>
      </c>
      <c r="C373" s="13" t="s">
        <v>393</v>
      </c>
      <c r="D373" s="23" t="s">
        <v>720</v>
      </c>
      <c r="E373" s="23" t="s">
        <v>722</v>
      </c>
      <c r="F373" s="24" t="s">
        <v>284</v>
      </c>
      <c r="G373" s="19" t="n">
        <v>2</v>
      </c>
      <c r="H373" s="13" t="s">
        <v>34</v>
      </c>
      <c r="I373" s="12" t="n">
        <f aca="false">IFERROR(VLOOKUP(F373,Insumos!$C$5:$G$143,5,FALSE()),0)</f>
        <v>0.45</v>
      </c>
      <c r="J373" s="25" t="n">
        <f aca="false">IF(C373="bizcocho",VLOOKUP(A373,'Recetas y precios'!$A$5:$G$55,6,FALSE()),IF(C373="jarabe",VLOOKUP(A373,'Recetas y precios'!$A$5:$G$55,7,FALSE()),1))</f>
        <v>1</v>
      </c>
      <c r="K373" s="15" t="n">
        <f aca="false">G373*I373*J373</f>
        <v>0.9</v>
      </c>
    </row>
    <row r="374" customFormat="false" ht="15" hidden="false" customHeight="false" outlineLevel="0" collapsed="false">
      <c r="A374" s="0" t="n">
        <v>21</v>
      </c>
      <c r="B374" s="22" t="s">
        <v>712</v>
      </c>
      <c r="C374" s="13" t="s">
        <v>400</v>
      </c>
      <c r="D374" s="23" t="s">
        <v>723</v>
      </c>
      <c r="E374" s="23" t="s">
        <v>724</v>
      </c>
      <c r="F374" s="24" t="s">
        <v>148</v>
      </c>
      <c r="G374" s="19" t="n">
        <v>60</v>
      </c>
      <c r="H374" s="13" t="s">
        <v>27</v>
      </c>
      <c r="I374" s="12" t="n">
        <f aca="false">IFERROR(VLOOKUP(F374,Insumos!$C$5:$G$143,5,FALSE()),0)</f>
        <v>0.07</v>
      </c>
      <c r="J374" s="25" t="n">
        <f aca="false">IF(C374="bizcocho",VLOOKUP(A374,'Recetas y precios'!$A$5:$G$55,6,FALSE()),IF(C374="jarabe",VLOOKUP(A374,'Recetas y precios'!$A$5:$G$55,7,FALSE()),1))</f>
        <v>1</v>
      </c>
      <c r="K374" s="15" t="n">
        <f aca="false">G374*I374*J374</f>
        <v>4.2</v>
      </c>
    </row>
    <row r="375" customFormat="false" ht="15" hidden="false" customHeight="false" outlineLevel="0" collapsed="false">
      <c r="A375" s="0" t="n">
        <v>21</v>
      </c>
      <c r="B375" s="22" t="s">
        <v>712</v>
      </c>
      <c r="C375" s="13" t="s">
        <v>400</v>
      </c>
      <c r="D375" s="23" t="s">
        <v>723</v>
      </c>
      <c r="E375" s="23" t="s">
        <v>725</v>
      </c>
      <c r="F375" s="24" t="s">
        <v>190</v>
      </c>
      <c r="G375" s="19" t="n">
        <v>8</v>
      </c>
      <c r="H375" s="13" t="s">
        <v>27</v>
      </c>
      <c r="I375" s="12" t="n">
        <f aca="false">IFERROR(VLOOKUP(F375,Insumos!$C$5:$G$143,5,FALSE()),0)</f>
        <v>1.6</v>
      </c>
      <c r="J375" s="25" t="n">
        <f aca="false">IF(C375="bizcocho",VLOOKUP(A375,'Recetas y precios'!$A$5:$G$55,6,FALSE()),IF(C375="jarabe",VLOOKUP(A375,'Recetas y precios'!$A$5:$G$55,7,FALSE()),1))</f>
        <v>1</v>
      </c>
      <c r="K375" s="15" t="n">
        <f aca="false">G375*I375*J375</f>
        <v>12.8</v>
      </c>
    </row>
    <row r="376" customFormat="false" ht="15" hidden="false" customHeight="false" outlineLevel="0" collapsed="false">
      <c r="A376" s="0" t="n">
        <v>22</v>
      </c>
      <c r="B376" s="22" t="s">
        <v>726</v>
      </c>
      <c r="C376" s="13" t="s">
        <v>376</v>
      </c>
      <c r="D376" s="23" t="s">
        <v>727</v>
      </c>
      <c r="E376" s="23" t="s">
        <v>728</v>
      </c>
      <c r="F376" s="24" t="s">
        <v>59</v>
      </c>
      <c r="G376" s="19" t="n">
        <v>50</v>
      </c>
      <c r="H376" s="13" t="s">
        <v>27</v>
      </c>
      <c r="I376" s="12" t="n">
        <f aca="false">IFERROR(VLOOKUP(F376,Insumos!$C$5:$G$143,5,FALSE()),0)</f>
        <v>0.032</v>
      </c>
      <c r="J376" s="25" t="n">
        <f aca="false">IF(C376="bizcocho",VLOOKUP(A376,'Recetas y precios'!$A$5:$G$55,6,FALSE()),IF(C376="jarabe",VLOOKUP(A376,'Recetas y precios'!$A$5:$G$55,7,FALSE()),1))</f>
        <v>0.287</v>
      </c>
      <c r="K376" s="15" t="n">
        <f aca="false">G376*I376*J376</f>
        <v>0.4592</v>
      </c>
    </row>
    <row r="377" customFormat="false" ht="15" hidden="false" customHeight="false" outlineLevel="0" collapsed="false">
      <c r="A377" s="0" t="n">
        <v>22</v>
      </c>
      <c r="B377" s="22" t="s">
        <v>726</v>
      </c>
      <c r="C377" s="13" t="s">
        <v>376</v>
      </c>
      <c r="D377" s="23" t="s">
        <v>727</v>
      </c>
      <c r="E377" s="23" t="s">
        <v>409</v>
      </c>
      <c r="F377" s="24" t="s">
        <v>48</v>
      </c>
      <c r="G377" s="19" t="n">
        <v>35</v>
      </c>
      <c r="H377" s="13" t="s">
        <v>27</v>
      </c>
      <c r="I377" s="12" t="n">
        <f aca="false">IFERROR(VLOOKUP(F377,Insumos!$C$5:$G$143,5,FALSE()),0)</f>
        <v>0.13</v>
      </c>
      <c r="J377" s="25" t="n">
        <f aca="false">IF(C377="bizcocho",VLOOKUP(A377,'Recetas y precios'!$A$5:$G$55,6,FALSE()),IF(C377="jarabe",VLOOKUP(A377,'Recetas y precios'!$A$5:$G$55,7,FALSE()),1))</f>
        <v>0.287</v>
      </c>
      <c r="K377" s="15" t="n">
        <f aca="false">G377*I377*J377</f>
        <v>1.30585</v>
      </c>
    </row>
    <row r="378" customFormat="false" ht="15" hidden="false" customHeight="false" outlineLevel="0" collapsed="false">
      <c r="A378" s="0" t="n">
        <v>22</v>
      </c>
      <c r="B378" s="22" t="s">
        <v>726</v>
      </c>
      <c r="C378" s="13" t="s">
        <v>376</v>
      </c>
      <c r="D378" s="23" t="s">
        <v>727</v>
      </c>
      <c r="E378" s="23" t="s">
        <v>410</v>
      </c>
      <c r="F378" s="24" t="s">
        <v>50</v>
      </c>
      <c r="G378" s="19" t="n">
        <v>75</v>
      </c>
      <c r="H378" s="13" t="s">
        <v>27</v>
      </c>
      <c r="I378" s="12" t="n">
        <f aca="false">IFERROR(VLOOKUP(F378,Insumos!$C$5:$G$143,5,FALSE()),0)</f>
        <v>0.075</v>
      </c>
      <c r="J378" s="25" t="n">
        <f aca="false">IF(C378="bizcocho",VLOOKUP(A378,'Recetas y precios'!$A$5:$G$55,6,FALSE()),IF(C378="jarabe",VLOOKUP(A378,'Recetas y precios'!$A$5:$G$55,7,FALSE()),1))</f>
        <v>0.287</v>
      </c>
      <c r="K378" s="15" t="n">
        <f aca="false">G378*I378*J378</f>
        <v>1.614375</v>
      </c>
    </row>
    <row r="379" customFormat="false" ht="15" hidden="false" customHeight="false" outlineLevel="0" collapsed="false">
      <c r="A379" s="0" t="n">
        <v>22</v>
      </c>
      <c r="B379" s="22" t="s">
        <v>726</v>
      </c>
      <c r="C379" s="13" t="s">
        <v>376</v>
      </c>
      <c r="D379" s="23" t="s">
        <v>727</v>
      </c>
      <c r="E379" s="23" t="s">
        <v>411</v>
      </c>
      <c r="F379" s="24" t="s">
        <v>72</v>
      </c>
      <c r="G379" s="19" t="n">
        <v>40</v>
      </c>
      <c r="H379" s="13" t="s">
        <v>27</v>
      </c>
      <c r="I379" s="12" t="n">
        <f aca="false">IFERROR(VLOOKUP(F379,Insumos!$C$5:$G$143,5,FALSE()),0)</f>
        <v>0.028</v>
      </c>
      <c r="J379" s="25" t="n">
        <f aca="false">IF(C379="bizcocho",VLOOKUP(A379,'Recetas y precios'!$A$5:$G$55,6,FALSE()),IF(C379="jarabe",VLOOKUP(A379,'Recetas y precios'!$A$5:$G$55,7,FALSE()),1))</f>
        <v>0.287</v>
      </c>
      <c r="K379" s="15" t="n">
        <f aca="false">G379*I379*J379</f>
        <v>0.32144</v>
      </c>
    </row>
    <row r="380" customFormat="false" ht="15" hidden="false" customHeight="false" outlineLevel="0" collapsed="false">
      <c r="A380" s="0" t="n">
        <v>22</v>
      </c>
      <c r="B380" s="22" t="s">
        <v>726</v>
      </c>
      <c r="C380" s="13" t="s">
        <v>376</v>
      </c>
      <c r="D380" s="23" t="s">
        <v>727</v>
      </c>
      <c r="E380" s="23" t="s">
        <v>729</v>
      </c>
      <c r="F380" s="24" t="s">
        <v>109</v>
      </c>
      <c r="G380" s="19" t="n">
        <v>20</v>
      </c>
      <c r="H380" s="13" t="s">
        <v>34</v>
      </c>
      <c r="I380" s="12" t="n">
        <f aca="false">IFERROR(VLOOKUP(F380,Insumos!$C$5:$G$143,5,FALSE()),0)</f>
        <v>0.045</v>
      </c>
      <c r="J380" s="25" t="n">
        <f aca="false">IF(C380="bizcocho",VLOOKUP(A380,'Recetas y precios'!$A$5:$G$55,6,FALSE()),IF(C380="jarabe",VLOOKUP(A380,'Recetas y precios'!$A$5:$G$55,7,FALSE()),1))</f>
        <v>0.287</v>
      </c>
      <c r="K380" s="15" t="n">
        <f aca="false">G380*I380*J380</f>
        <v>0.2583</v>
      </c>
    </row>
    <row r="381" customFormat="false" ht="15" hidden="false" customHeight="false" outlineLevel="0" collapsed="false">
      <c r="A381" s="0" t="n">
        <v>22</v>
      </c>
      <c r="B381" s="22" t="s">
        <v>726</v>
      </c>
      <c r="C381" s="13" t="s">
        <v>376</v>
      </c>
      <c r="D381" s="23" t="s">
        <v>727</v>
      </c>
      <c r="E381" s="23" t="s">
        <v>730</v>
      </c>
      <c r="F381" s="24" t="s">
        <v>52</v>
      </c>
      <c r="G381" s="19" t="n">
        <v>20</v>
      </c>
      <c r="H381" s="13" t="s">
        <v>34</v>
      </c>
      <c r="I381" s="12" t="n">
        <f aca="false">IFERROR(VLOOKUP(F381,Insumos!$C$5:$G$143,5,FALSE()),0)</f>
        <v>0.075</v>
      </c>
      <c r="J381" s="25" t="n">
        <f aca="false">IF(C381="bizcocho",VLOOKUP(A381,'Recetas y precios'!$A$5:$G$55,6,FALSE()),IF(C381="jarabe",VLOOKUP(A381,'Recetas y precios'!$A$5:$G$55,7,FALSE()),1))</f>
        <v>0.287</v>
      </c>
      <c r="K381" s="15" t="n">
        <f aca="false">G381*I381*J381</f>
        <v>0.4305</v>
      </c>
    </row>
    <row r="382" customFormat="false" ht="15" hidden="false" customHeight="false" outlineLevel="0" collapsed="false">
      <c r="A382" s="0" t="n">
        <v>22</v>
      </c>
      <c r="B382" s="22" t="s">
        <v>726</v>
      </c>
      <c r="C382" s="13" t="s">
        <v>376</v>
      </c>
      <c r="D382" s="23" t="s">
        <v>727</v>
      </c>
      <c r="E382" s="23" t="s">
        <v>731</v>
      </c>
      <c r="F382" s="24" t="s">
        <v>156</v>
      </c>
      <c r="G382" s="19" t="n">
        <v>20</v>
      </c>
      <c r="H382" s="13" t="s">
        <v>27</v>
      </c>
      <c r="I382" s="12" t="n">
        <f aca="false">IFERROR(VLOOKUP(F382,Insumos!$C$5:$G$143,5,FALSE()),0)</f>
        <v>0.045</v>
      </c>
      <c r="J382" s="25" t="n">
        <f aca="false">IF(C382="bizcocho",VLOOKUP(A382,'Recetas y precios'!$A$5:$G$55,6,FALSE()),IF(C382="jarabe",VLOOKUP(A382,'Recetas y precios'!$A$5:$G$55,7,FALSE()),1))</f>
        <v>0.287</v>
      </c>
      <c r="K382" s="15" t="n">
        <f aca="false">G382*I382*J382</f>
        <v>0.2583</v>
      </c>
    </row>
    <row r="383" customFormat="false" ht="15" hidden="false" customHeight="false" outlineLevel="0" collapsed="false">
      <c r="A383" s="0" t="n">
        <v>22</v>
      </c>
      <c r="B383" s="22" t="s">
        <v>726</v>
      </c>
      <c r="C383" s="13" t="s">
        <v>376</v>
      </c>
      <c r="D383" s="23" t="s">
        <v>727</v>
      </c>
      <c r="E383" s="23" t="s">
        <v>413</v>
      </c>
      <c r="F383" s="24" t="s">
        <v>103</v>
      </c>
      <c r="G383" s="19" t="n">
        <v>1</v>
      </c>
      <c r="H383" s="13" t="s">
        <v>27</v>
      </c>
      <c r="I383" s="12" t="n">
        <f aca="false">IFERROR(VLOOKUP(F383,Insumos!$C$5:$G$143,5,FALSE()),0)</f>
        <v>0.025</v>
      </c>
      <c r="J383" s="25" t="n">
        <f aca="false">IF(C383="bizcocho",VLOOKUP(A383,'Recetas y precios'!$A$5:$G$55,6,FALSE()),IF(C383="jarabe",VLOOKUP(A383,'Recetas y precios'!$A$5:$G$55,7,FALSE()),1))</f>
        <v>0.287</v>
      </c>
      <c r="K383" s="15" t="n">
        <f aca="false">G383*I383*J383</f>
        <v>0.007175</v>
      </c>
    </row>
    <row r="384" customFormat="false" ht="15" hidden="false" customHeight="false" outlineLevel="0" collapsed="false">
      <c r="A384" s="0" t="n">
        <v>22</v>
      </c>
      <c r="B384" s="22" t="s">
        <v>726</v>
      </c>
      <c r="C384" s="13" t="s">
        <v>387</v>
      </c>
      <c r="D384" s="23" t="s">
        <v>732</v>
      </c>
      <c r="E384" s="23" t="s">
        <v>733</v>
      </c>
      <c r="F384" s="24" t="s">
        <v>156</v>
      </c>
      <c r="G384" s="19" t="n">
        <v>40</v>
      </c>
      <c r="H384" s="13" t="s">
        <v>27</v>
      </c>
      <c r="I384" s="12" t="n">
        <f aca="false">IFERROR(VLOOKUP(F384,Insumos!$C$5:$G$143,5,FALSE()),0)</f>
        <v>0.045</v>
      </c>
      <c r="J384" s="25" t="n">
        <f aca="false">IF(C384="bizcocho",VLOOKUP(A384,'Recetas y precios'!$A$5:$G$55,6,FALSE()),IF(C384="jarabe",VLOOKUP(A384,'Recetas y precios'!$A$5:$G$55,7,FALSE()),1))</f>
        <v>0.812</v>
      </c>
      <c r="K384" s="15" t="n">
        <f aca="false">G384*I384*J384</f>
        <v>1.4616</v>
      </c>
    </row>
    <row r="385" customFormat="false" ht="15" hidden="false" customHeight="false" outlineLevel="0" collapsed="false">
      <c r="A385" s="0" t="n">
        <v>22</v>
      </c>
      <c r="B385" s="22" t="s">
        <v>726</v>
      </c>
      <c r="C385" s="13" t="s">
        <v>387</v>
      </c>
      <c r="D385" s="23" t="s">
        <v>732</v>
      </c>
      <c r="E385" s="23" t="s">
        <v>734</v>
      </c>
      <c r="F385" s="24" t="s">
        <v>52</v>
      </c>
      <c r="G385" s="19" t="n">
        <v>20</v>
      </c>
      <c r="H385" s="13" t="s">
        <v>34</v>
      </c>
      <c r="I385" s="12" t="n">
        <f aca="false">IFERROR(VLOOKUP(F385,Insumos!$C$5:$G$143,5,FALSE()),0)</f>
        <v>0.075</v>
      </c>
      <c r="J385" s="25" t="n">
        <f aca="false">IF(C385="bizcocho",VLOOKUP(A385,'Recetas y precios'!$A$5:$G$55,6,FALSE()),IF(C385="jarabe",VLOOKUP(A385,'Recetas y precios'!$A$5:$G$55,7,FALSE()),1))</f>
        <v>0.812</v>
      </c>
      <c r="K385" s="15" t="n">
        <f aca="false">G385*I385*J385</f>
        <v>1.218</v>
      </c>
    </row>
    <row r="386" customFormat="false" ht="15" hidden="false" customHeight="false" outlineLevel="0" collapsed="false">
      <c r="A386" s="0" t="n">
        <v>22</v>
      </c>
      <c r="B386" s="22" t="s">
        <v>726</v>
      </c>
      <c r="C386" s="13" t="s">
        <v>387</v>
      </c>
      <c r="D386" s="23" t="s">
        <v>732</v>
      </c>
      <c r="E386" s="23" t="s">
        <v>391</v>
      </c>
      <c r="F386" s="24" t="s">
        <v>72</v>
      </c>
      <c r="G386" s="19" t="n">
        <v>15</v>
      </c>
      <c r="H386" s="13" t="s">
        <v>27</v>
      </c>
      <c r="I386" s="12" t="n">
        <f aca="false">IFERROR(VLOOKUP(F386,Insumos!$C$5:$G$143,5,FALSE()),0)</f>
        <v>0.028</v>
      </c>
      <c r="J386" s="25" t="n">
        <f aca="false">IF(C386="bizcocho",VLOOKUP(A386,'Recetas y precios'!$A$5:$G$55,6,FALSE()),IF(C386="jarabe",VLOOKUP(A386,'Recetas y precios'!$A$5:$G$55,7,FALSE()),1))</f>
        <v>0.812</v>
      </c>
      <c r="K386" s="15" t="n">
        <f aca="false">G386*I386*J386</f>
        <v>0.34104</v>
      </c>
    </row>
    <row r="387" customFormat="false" ht="15" hidden="false" customHeight="false" outlineLevel="0" collapsed="false">
      <c r="A387" s="0" t="n">
        <v>22</v>
      </c>
      <c r="B387" s="22" t="s">
        <v>726</v>
      </c>
      <c r="C387" s="13" t="s">
        <v>387</v>
      </c>
      <c r="D387" s="23" t="s">
        <v>732</v>
      </c>
      <c r="E387" s="23" t="s">
        <v>735</v>
      </c>
      <c r="F387" s="24" t="s">
        <v>307</v>
      </c>
      <c r="G387" s="19" t="n">
        <v>5</v>
      </c>
      <c r="H387" s="13" t="s">
        <v>34</v>
      </c>
      <c r="I387" s="12" t="n">
        <f aca="false">IFERROR(VLOOKUP(F387,Insumos!$C$5:$G$143,5,FALSE()),0)</f>
        <v>0.293333333333333</v>
      </c>
      <c r="J387" s="25" t="n">
        <f aca="false">IF(C387="bizcocho",VLOOKUP(A387,'Recetas y precios'!$A$5:$G$55,6,FALSE()),IF(C387="jarabe",VLOOKUP(A387,'Recetas y precios'!$A$5:$G$55,7,FALSE()),1))</f>
        <v>0.812</v>
      </c>
      <c r="K387" s="15" t="n">
        <f aca="false">G387*I387*J387</f>
        <v>1.19093333333333</v>
      </c>
    </row>
    <row r="388" customFormat="false" ht="15" hidden="false" customHeight="false" outlineLevel="0" collapsed="false">
      <c r="A388" s="0" t="n">
        <v>22</v>
      </c>
      <c r="B388" s="22" t="s">
        <v>726</v>
      </c>
      <c r="C388" s="13" t="s">
        <v>393</v>
      </c>
      <c r="D388" s="23" t="s">
        <v>736</v>
      </c>
      <c r="E388" s="23" t="s">
        <v>737</v>
      </c>
      <c r="F388" s="24" t="s">
        <v>26</v>
      </c>
      <c r="G388" s="19" t="n">
        <v>170</v>
      </c>
      <c r="H388" s="13" t="s">
        <v>27</v>
      </c>
      <c r="I388" s="12" t="n">
        <f aca="false">IFERROR(VLOOKUP(F388,Insumos!$C$5:$G$143,5,FALSE()),0)</f>
        <v>0.38</v>
      </c>
      <c r="J388" s="25" t="n">
        <f aca="false">IF(C388="bizcocho",VLOOKUP(A388,'Recetas y precios'!$A$5:$G$55,6,FALSE()),IF(C388="jarabe",VLOOKUP(A388,'Recetas y precios'!$A$5:$G$55,7,FALSE()),1))</f>
        <v>1</v>
      </c>
      <c r="K388" s="15" t="n">
        <f aca="false">G388*I388*J388</f>
        <v>64.6</v>
      </c>
    </row>
    <row r="389" customFormat="false" ht="15" hidden="false" customHeight="false" outlineLevel="0" collapsed="false">
      <c r="A389" s="0" t="n">
        <v>22</v>
      </c>
      <c r="B389" s="22" t="s">
        <v>726</v>
      </c>
      <c r="C389" s="13" t="s">
        <v>393</v>
      </c>
      <c r="D389" s="23" t="s">
        <v>736</v>
      </c>
      <c r="E389" s="23" t="s">
        <v>523</v>
      </c>
      <c r="F389" s="24" t="s">
        <v>33</v>
      </c>
      <c r="G389" s="19" t="n">
        <v>160</v>
      </c>
      <c r="H389" s="13" t="s">
        <v>34</v>
      </c>
      <c r="I389" s="12" t="n">
        <f aca="false">IFERROR(VLOOKUP(F389,Insumos!$C$5:$G$143,5,FALSE()),0)</f>
        <v>0.078</v>
      </c>
      <c r="J389" s="25" t="n">
        <f aca="false">IF(C389="bizcocho",VLOOKUP(A389,'Recetas y precios'!$A$5:$G$55,6,FALSE()),IF(C389="jarabe",VLOOKUP(A389,'Recetas y precios'!$A$5:$G$55,7,FALSE()),1))</f>
        <v>1</v>
      </c>
      <c r="K389" s="15" t="n">
        <f aca="false">G389*I389*J389</f>
        <v>12.48</v>
      </c>
    </row>
    <row r="390" customFormat="false" ht="15" hidden="false" customHeight="false" outlineLevel="0" collapsed="false">
      <c r="A390" s="0" t="n">
        <v>22</v>
      </c>
      <c r="B390" s="22" t="s">
        <v>726</v>
      </c>
      <c r="C390" s="13" t="s">
        <v>393</v>
      </c>
      <c r="D390" s="23" t="s">
        <v>736</v>
      </c>
      <c r="E390" s="23" t="s">
        <v>738</v>
      </c>
      <c r="F390" s="24" t="s">
        <v>54</v>
      </c>
      <c r="G390" s="19" t="n">
        <v>50</v>
      </c>
      <c r="H390" s="13" t="s">
        <v>27</v>
      </c>
      <c r="I390" s="12" t="n">
        <f aca="false">IFERROR(VLOOKUP(F390,Insumos!$C$5:$G$143,5,FALSE()),0)</f>
        <v>0.12</v>
      </c>
      <c r="J390" s="25" t="n">
        <f aca="false">IF(C390="bizcocho",VLOOKUP(A390,'Recetas y precios'!$A$5:$G$55,6,FALSE()),IF(C390="jarabe",VLOOKUP(A390,'Recetas y precios'!$A$5:$G$55,7,FALSE()),1))</f>
        <v>1</v>
      </c>
      <c r="K390" s="15" t="n">
        <f aca="false">G390*I390*J390</f>
        <v>6</v>
      </c>
    </row>
    <row r="391" customFormat="false" ht="15" hidden="false" customHeight="false" outlineLevel="0" collapsed="false">
      <c r="A391" s="0" t="n">
        <v>22</v>
      </c>
      <c r="B391" s="22" t="s">
        <v>726</v>
      </c>
      <c r="C391" s="13" t="s">
        <v>393</v>
      </c>
      <c r="D391" s="23" t="s">
        <v>736</v>
      </c>
      <c r="E391" s="23" t="s">
        <v>444</v>
      </c>
      <c r="F391" s="24" t="s">
        <v>36</v>
      </c>
      <c r="G391" s="19" t="n">
        <v>50</v>
      </c>
      <c r="H391" s="13" t="s">
        <v>27</v>
      </c>
      <c r="I391" s="12" t="n">
        <f aca="false">IFERROR(VLOOKUP(F391,Insumos!$C$5:$G$143,5,FALSE()),0)</f>
        <v>0.085</v>
      </c>
      <c r="J391" s="25" t="n">
        <f aca="false">IF(C391="bizcocho",VLOOKUP(A391,'Recetas y precios'!$A$5:$G$55,6,FALSE()),IF(C391="jarabe",VLOOKUP(A391,'Recetas y precios'!$A$5:$G$55,7,FALSE()),1))</f>
        <v>1</v>
      </c>
      <c r="K391" s="15" t="n">
        <f aca="false">G391*I391*J391</f>
        <v>4.25</v>
      </c>
    </row>
    <row r="392" customFormat="false" ht="15" hidden="false" customHeight="false" outlineLevel="0" collapsed="false">
      <c r="A392" s="0" t="n">
        <v>22</v>
      </c>
      <c r="B392" s="22" t="s">
        <v>726</v>
      </c>
      <c r="C392" s="13" t="s">
        <v>393</v>
      </c>
      <c r="D392" s="23" t="s">
        <v>736</v>
      </c>
      <c r="E392" s="23" t="s">
        <v>567</v>
      </c>
      <c r="F392" s="24" t="s">
        <v>74</v>
      </c>
      <c r="G392" s="19" t="n">
        <v>15</v>
      </c>
      <c r="H392" s="13" t="s">
        <v>27</v>
      </c>
      <c r="I392" s="12" t="n">
        <f aca="false">IFERROR(VLOOKUP(F392,Insumos!$C$5:$G$143,5,FALSE()),0)</f>
        <v>0.045</v>
      </c>
      <c r="J392" s="25" t="n">
        <f aca="false">IF(C392="bizcocho",VLOOKUP(A392,'Recetas y precios'!$A$5:$G$55,6,FALSE()),IF(C392="jarabe",VLOOKUP(A392,'Recetas y precios'!$A$5:$G$55,7,FALSE()),1))</f>
        <v>1</v>
      </c>
      <c r="K392" s="15" t="n">
        <f aca="false">G392*I392*J392</f>
        <v>0.675</v>
      </c>
    </row>
    <row r="393" customFormat="false" ht="15" hidden="false" customHeight="false" outlineLevel="0" collapsed="false">
      <c r="A393" s="0" t="n">
        <v>22</v>
      </c>
      <c r="B393" s="22" t="s">
        <v>726</v>
      </c>
      <c r="C393" s="13" t="s">
        <v>400</v>
      </c>
      <c r="D393" s="23" t="s">
        <v>739</v>
      </c>
      <c r="E393" s="23" t="s">
        <v>740</v>
      </c>
      <c r="F393" s="24" t="s">
        <v>207</v>
      </c>
      <c r="G393" s="19" t="n">
        <v>60</v>
      </c>
      <c r="H393" s="13" t="s">
        <v>27</v>
      </c>
      <c r="I393" s="12" t="n">
        <f aca="false">IFERROR(VLOOKUP(F393,Insumos!$C$5:$G$143,5,FALSE()),0)</f>
        <v>0.11</v>
      </c>
      <c r="J393" s="25" t="n">
        <f aca="false">IF(C393="bizcocho",VLOOKUP(A393,'Recetas y precios'!$A$5:$G$55,6,FALSE()),IF(C393="jarabe",VLOOKUP(A393,'Recetas y precios'!$A$5:$G$55,7,FALSE()),1))</f>
        <v>1</v>
      </c>
      <c r="K393" s="15" t="n">
        <f aca="false">G393*I393*J393</f>
        <v>6.6</v>
      </c>
    </row>
    <row r="394" customFormat="false" ht="15" hidden="false" customHeight="false" outlineLevel="0" collapsed="false">
      <c r="A394" s="0" t="n">
        <v>22</v>
      </c>
      <c r="B394" s="22" t="s">
        <v>726</v>
      </c>
      <c r="C394" s="13" t="s">
        <v>400</v>
      </c>
      <c r="D394" s="23" t="s">
        <v>739</v>
      </c>
      <c r="E394" s="23" t="s">
        <v>741</v>
      </c>
      <c r="F394" s="24" t="s">
        <v>168</v>
      </c>
      <c r="G394" s="19" t="n">
        <v>40</v>
      </c>
      <c r="H394" s="13" t="s">
        <v>27</v>
      </c>
      <c r="I394" s="12" t="n">
        <f aca="false">IFERROR(VLOOKUP(F394,Insumos!$C$5:$G$143,5,FALSE()),0)</f>
        <v>0.045</v>
      </c>
      <c r="J394" s="25" t="n">
        <f aca="false">IF(C394="bizcocho",VLOOKUP(A394,'Recetas y precios'!$A$5:$G$55,6,FALSE()),IF(C394="jarabe",VLOOKUP(A394,'Recetas y precios'!$A$5:$G$55,7,FALSE()),1))</f>
        <v>1</v>
      </c>
      <c r="K394" s="15" t="n">
        <f aca="false">G394*I394*J394</f>
        <v>1.8</v>
      </c>
    </row>
    <row r="395" customFormat="false" ht="15" hidden="false" customHeight="false" outlineLevel="0" collapsed="false">
      <c r="A395" s="0" t="n">
        <v>22</v>
      </c>
      <c r="B395" s="22" t="s">
        <v>726</v>
      </c>
      <c r="C395" s="13" t="s">
        <v>400</v>
      </c>
      <c r="D395" s="23" t="s">
        <v>739</v>
      </c>
      <c r="E395" s="23" t="s">
        <v>742</v>
      </c>
      <c r="F395" s="24" t="s">
        <v>156</v>
      </c>
      <c r="G395" s="19" t="n">
        <v>50</v>
      </c>
      <c r="H395" s="13" t="s">
        <v>27</v>
      </c>
      <c r="I395" s="12" t="n">
        <f aca="false">IFERROR(VLOOKUP(F395,Insumos!$C$5:$G$143,5,FALSE()),0)</f>
        <v>0.045</v>
      </c>
      <c r="J395" s="25" t="n">
        <f aca="false">IF(C395="bizcocho",VLOOKUP(A395,'Recetas y precios'!$A$5:$G$55,6,FALSE()),IF(C395="jarabe",VLOOKUP(A395,'Recetas y precios'!$A$5:$G$55,7,FALSE()),1))</f>
        <v>1</v>
      </c>
      <c r="K395" s="15" t="n">
        <f aca="false">G395*I395*J395</f>
        <v>2.25</v>
      </c>
    </row>
    <row r="396" customFormat="false" ht="15" hidden="false" customHeight="false" outlineLevel="0" collapsed="false">
      <c r="A396" s="0" t="n">
        <v>23</v>
      </c>
      <c r="B396" s="22" t="s">
        <v>743</v>
      </c>
      <c r="C396" s="13" t="s">
        <v>376</v>
      </c>
      <c r="D396" s="23" t="s">
        <v>744</v>
      </c>
      <c r="E396" s="23" t="s">
        <v>406</v>
      </c>
      <c r="F396" s="24" t="s">
        <v>59</v>
      </c>
      <c r="G396" s="19" t="n">
        <v>50</v>
      </c>
      <c r="H396" s="13" t="s">
        <v>27</v>
      </c>
      <c r="I396" s="12" t="n">
        <f aca="false">IFERROR(VLOOKUP(F396,Insumos!$C$5:$G$143,5,FALSE()),0)</f>
        <v>0.032</v>
      </c>
      <c r="J396" s="25" t="n">
        <f aca="false">IF(C396="bizcocho",VLOOKUP(A396,'Recetas y precios'!$A$5:$G$55,6,FALSE()),IF(C396="jarabe",VLOOKUP(A396,'Recetas y precios'!$A$5:$G$55,7,FALSE()),1))</f>
        <v>0.29</v>
      </c>
      <c r="K396" s="15" t="n">
        <f aca="false">G396*I396*J396</f>
        <v>0.464</v>
      </c>
    </row>
    <row r="397" customFormat="false" ht="15" hidden="false" customHeight="false" outlineLevel="0" collapsed="false">
      <c r="A397" s="0" t="n">
        <v>23</v>
      </c>
      <c r="B397" s="22" t="s">
        <v>743</v>
      </c>
      <c r="C397" s="13" t="s">
        <v>376</v>
      </c>
      <c r="D397" s="23" t="s">
        <v>744</v>
      </c>
      <c r="E397" s="23" t="s">
        <v>745</v>
      </c>
      <c r="F397" s="24" t="s">
        <v>178</v>
      </c>
      <c r="G397" s="19" t="n">
        <v>2</v>
      </c>
      <c r="H397" s="13" t="s">
        <v>179</v>
      </c>
      <c r="I397" s="12" t="n">
        <f aca="false">IFERROR(VLOOKUP(F397,Insumos!$C$5:$G$143,5,FALSE()),0)</f>
        <v>9</v>
      </c>
      <c r="J397" s="25" t="n">
        <f aca="false">IF(C397="bizcocho",VLOOKUP(A397,'Recetas y precios'!$A$5:$G$55,6,FALSE()),IF(C397="jarabe",VLOOKUP(A397,'Recetas y precios'!$A$5:$G$55,7,FALSE()),1))</f>
        <v>0.29</v>
      </c>
      <c r="K397" s="15" t="n">
        <f aca="false">G397*I397*J397</f>
        <v>5.22</v>
      </c>
    </row>
    <row r="398" customFormat="false" ht="15" hidden="false" customHeight="false" outlineLevel="0" collapsed="false">
      <c r="A398" s="0" t="n">
        <v>23</v>
      </c>
      <c r="B398" s="22" t="s">
        <v>743</v>
      </c>
      <c r="C398" s="13" t="s">
        <v>376</v>
      </c>
      <c r="D398" s="23" t="s">
        <v>744</v>
      </c>
      <c r="E398" s="23" t="s">
        <v>493</v>
      </c>
      <c r="F398" s="24" t="s">
        <v>48</v>
      </c>
      <c r="G398" s="19" t="n">
        <v>40</v>
      </c>
      <c r="H398" s="13" t="s">
        <v>27</v>
      </c>
      <c r="I398" s="12" t="n">
        <f aca="false">IFERROR(VLOOKUP(F398,Insumos!$C$5:$G$143,5,FALSE()),0)</f>
        <v>0.13</v>
      </c>
      <c r="J398" s="25" t="n">
        <f aca="false">IF(C398="bizcocho",VLOOKUP(A398,'Recetas y precios'!$A$5:$G$55,6,FALSE()),IF(C398="jarabe",VLOOKUP(A398,'Recetas y precios'!$A$5:$G$55,7,FALSE()),1))</f>
        <v>0.29</v>
      </c>
      <c r="K398" s="15" t="n">
        <f aca="false">G398*I398*J398</f>
        <v>1.508</v>
      </c>
    </row>
    <row r="399" customFormat="false" ht="15" hidden="false" customHeight="false" outlineLevel="0" collapsed="false">
      <c r="A399" s="0" t="n">
        <v>23</v>
      </c>
      <c r="B399" s="22" t="s">
        <v>743</v>
      </c>
      <c r="C399" s="13" t="s">
        <v>376</v>
      </c>
      <c r="D399" s="23" t="s">
        <v>744</v>
      </c>
      <c r="E399" s="23" t="s">
        <v>494</v>
      </c>
      <c r="F399" s="24" t="s">
        <v>50</v>
      </c>
      <c r="G399" s="19" t="n">
        <v>80</v>
      </c>
      <c r="H399" s="13" t="s">
        <v>27</v>
      </c>
      <c r="I399" s="12" t="n">
        <f aca="false">IFERROR(VLOOKUP(F399,Insumos!$C$5:$G$143,5,FALSE()),0)</f>
        <v>0.075</v>
      </c>
      <c r="J399" s="25" t="n">
        <f aca="false">IF(C399="bizcocho",VLOOKUP(A399,'Recetas y precios'!$A$5:$G$55,6,FALSE()),IF(C399="jarabe",VLOOKUP(A399,'Recetas y precios'!$A$5:$G$55,7,FALSE()),1))</f>
        <v>0.29</v>
      </c>
      <c r="K399" s="15" t="n">
        <f aca="false">G399*I399*J399</f>
        <v>1.74</v>
      </c>
    </row>
    <row r="400" customFormat="false" ht="15" hidden="false" customHeight="false" outlineLevel="0" collapsed="false">
      <c r="A400" s="0" t="n">
        <v>23</v>
      </c>
      <c r="B400" s="22" t="s">
        <v>743</v>
      </c>
      <c r="C400" s="13" t="s">
        <v>376</v>
      </c>
      <c r="D400" s="23" t="s">
        <v>744</v>
      </c>
      <c r="E400" s="23" t="s">
        <v>746</v>
      </c>
      <c r="F400" s="24" t="s">
        <v>72</v>
      </c>
      <c r="G400" s="19" t="n">
        <v>45</v>
      </c>
      <c r="H400" s="13" t="s">
        <v>27</v>
      </c>
      <c r="I400" s="12" t="n">
        <f aca="false">IFERROR(VLOOKUP(F400,Insumos!$C$5:$G$143,5,FALSE()),0)</f>
        <v>0.028</v>
      </c>
      <c r="J400" s="25" t="n">
        <f aca="false">IF(C400="bizcocho",VLOOKUP(A400,'Recetas y precios'!$A$5:$G$55,6,FALSE()),IF(C400="jarabe",VLOOKUP(A400,'Recetas y precios'!$A$5:$G$55,7,FALSE()),1))</f>
        <v>0.29</v>
      </c>
      <c r="K400" s="15" t="n">
        <f aca="false">G400*I400*J400</f>
        <v>0.3654</v>
      </c>
    </row>
    <row r="401" customFormat="false" ht="15" hidden="false" customHeight="false" outlineLevel="0" collapsed="false">
      <c r="A401" s="0" t="n">
        <v>23</v>
      </c>
      <c r="B401" s="22" t="s">
        <v>743</v>
      </c>
      <c r="C401" s="13" t="s">
        <v>376</v>
      </c>
      <c r="D401" s="23" t="s">
        <v>744</v>
      </c>
      <c r="E401" s="23" t="s">
        <v>531</v>
      </c>
      <c r="F401" s="24" t="s">
        <v>109</v>
      </c>
      <c r="G401" s="19" t="n">
        <v>25</v>
      </c>
      <c r="H401" s="13" t="s">
        <v>34</v>
      </c>
      <c r="I401" s="12" t="n">
        <f aca="false">IFERROR(VLOOKUP(F401,Insumos!$C$5:$G$143,5,FALSE()),0)</f>
        <v>0.045</v>
      </c>
      <c r="J401" s="25" t="n">
        <f aca="false">IF(C401="bizcocho",VLOOKUP(A401,'Recetas y precios'!$A$5:$G$55,6,FALSE()),IF(C401="jarabe",VLOOKUP(A401,'Recetas y precios'!$A$5:$G$55,7,FALSE()),1))</f>
        <v>0.29</v>
      </c>
      <c r="K401" s="15" t="n">
        <f aca="false">G401*I401*J401</f>
        <v>0.32625</v>
      </c>
    </row>
    <row r="402" customFormat="false" ht="15" hidden="false" customHeight="false" outlineLevel="0" collapsed="false">
      <c r="A402" s="0" t="n">
        <v>23</v>
      </c>
      <c r="B402" s="22" t="s">
        <v>743</v>
      </c>
      <c r="C402" s="13" t="s">
        <v>376</v>
      </c>
      <c r="D402" s="23" t="s">
        <v>744</v>
      </c>
      <c r="E402" s="23" t="s">
        <v>383</v>
      </c>
      <c r="F402" s="24" t="s">
        <v>40</v>
      </c>
      <c r="G402" s="19" t="n">
        <v>35</v>
      </c>
      <c r="H402" s="13" t="s">
        <v>34</v>
      </c>
      <c r="I402" s="12" t="n">
        <f aca="false">IFERROR(VLOOKUP(F402,Insumos!$C$5:$G$143,5,FALSE()),0)</f>
        <v>0.028</v>
      </c>
      <c r="J402" s="25" t="n">
        <f aca="false">IF(C402="bizcocho",VLOOKUP(A402,'Recetas y precios'!$A$5:$G$55,6,FALSE()),IF(C402="jarabe",VLOOKUP(A402,'Recetas y precios'!$A$5:$G$55,7,FALSE()),1))</f>
        <v>0.29</v>
      </c>
      <c r="K402" s="15" t="n">
        <f aca="false">G402*I402*J402</f>
        <v>0.2842</v>
      </c>
    </row>
    <row r="403" customFormat="false" ht="15" hidden="false" customHeight="false" outlineLevel="0" collapsed="false">
      <c r="A403" s="0" t="n">
        <v>23</v>
      </c>
      <c r="B403" s="22" t="s">
        <v>743</v>
      </c>
      <c r="C403" s="13" t="s">
        <v>376</v>
      </c>
      <c r="D403" s="23" t="s">
        <v>744</v>
      </c>
      <c r="E403" s="23" t="s">
        <v>413</v>
      </c>
      <c r="F403" s="24" t="s">
        <v>103</v>
      </c>
      <c r="G403" s="19" t="n">
        <v>1</v>
      </c>
      <c r="H403" s="13" t="s">
        <v>27</v>
      </c>
      <c r="I403" s="12" t="n">
        <f aca="false">IFERROR(VLOOKUP(F403,Insumos!$C$5:$G$143,5,FALSE()),0)</f>
        <v>0.025</v>
      </c>
      <c r="J403" s="25" t="n">
        <f aca="false">IF(C403="bizcocho",VLOOKUP(A403,'Recetas y precios'!$A$5:$G$55,6,FALSE()),IF(C403="jarabe",VLOOKUP(A403,'Recetas y precios'!$A$5:$G$55,7,FALSE()),1))</f>
        <v>0.29</v>
      </c>
      <c r="K403" s="15" t="n">
        <f aca="false">G403*I403*J403</f>
        <v>0.00725</v>
      </c>
    </row>
    <row r="404" customFormat="false" ht="15" hidden="false" customHeight="false" outlineLevel="0" collapsed="false">
      <c r="A404" s="0" t="n">
        <v>23</v>
      </c>
      <c r="B404" s="22" t="s">
        <v>743</v>
      </c>
      <c r="C404" s="13" t="s">
        <v>387</v>
      </c>
      <c r="D404" s="23" t="s">
        <v>747</v>
      </c>
      <c r="E404" s="23" t="s">
        <v>748</v>
      </c>
      <c r="F404" s="24" t="s">
        <v>113</v>
      </c>
      <c r="G404" s="19" t="n">
        <v>40</v>
      </c>
      <c r="H404" s="13" t="s">
        <v>34</v>
      </c>
      <c r="I404" s="12" t="n">
        <f aca="false">IFERROR(VLOOKUP(F404,Insumos!$C$5:$G$143,5,FALSE()),0)</f>
        <v>0.002</v>
      </c>
      <c r="J404" s="25" t="n">
        <f aca="false">IF(C404="bizcocho",VLOOKUP(A404,'Recetas y precios'!$A$5:$G$55,6,FALSE()),IF(C404="jarabe",VLOOKUP(A404,'Recetas y precios'!$A$5:$G$55,7,FALSE()),1))</f>
        <v>0.737</v>
      </c>
      <c r="K404" s="15" t="n">
        <f aca="false">G404*I404*J404</f>
        <v>0.05896</v>
      </c>
    </row>
    <row r="405" customFormat="false" ht="15" hidden="false" customHeight="false" outlineLevel="0" collapsed="false">
      <c r="A405" s="0" t="n">
        <v>23</v>
      </c>
      <c r="B405" s="22" t="s">
        <v>743</v>
      </c>
      <c r="C405" s="13" t="s">
        <v>387</v>
      </c>
      <c r="D405" s="23" t="s">
        <v>747</v>
      </c>
      <c r="E405" s="23" t="s">
        <v>749</v>
      </c>
      <c r="F405" s="24" t="s">
        <v>174</v>
      </c>
      <c r="G405" s="19" t="n">
        <v>20</v>
      </c>
      <c r="H405" s="13" t="s">
        <v>34</v>
      </c>
      <c r="I405" s="12" t="n">
        <f aca="false">IFERROR(VLOOKUP(F405,Insumos!$C$5:$G$143,5,FALSE()),0)</f>
        <v>1.2</v>
      </c>
      <c r="J405" s="25" t="n">
        <f aca="false">IF(C405="bizcocho",VLOOKUP(A405,'Recetas y precios'!$A$5:$G$55,6,FALSE()),IF(C405="jarabe",VLOOKUP(A405,'Recetas y precios'!$A$5:$G$55,7,FALSE()),1))</f>
        <v>0.737</v>
      </c>
      <c r="K405" s="15" t="n">
        <f aca="false">G405*I405*J405</f>
        <v>17.688</v>
      </c>
    </row>
    <row r="406" customFormat="false" ht="15" hidden="false" customHeight="false" outlineLevel="0" collapsed="false">
      <c r="A406" s="0" t="n">
        <v>23</v>
      </c>
      <c r="B406" s="22" t="s">
        <v>743</v>
      </c>
      <c r="C406" s="13" t="s">
        <v>387</v>
      </c>
      <c r="D406" s="23" t="s">
        <v>747</v>
      </c>
      <c r="E406" s="23" t="s">
        <v>750</v>
      </c>
      <c r="F406" s="24" t="s">
        <v>176</v>
      </c>
      <c r="G406" s="19" t="n">
        <v>10</v>
      </c>
      <c r="H406" s="13" t="s">
        <v>34</v>
      </c>
      <c r="I406" s="12" t="n">
        <f aca="false">IFERROR(VLOOKUP(F406,Insumos!$C$5:$G$143,5,FALSE()),0)</f>
        <v>0.09</v>
      </c>
      <c r="J406" s="25" t="n">
        <f aca="false">IF(C406="bizcocho",VLOOKUP(A406,'Recetas y precios'!$A$5:$G$55,6,FALSE()),IF(C406="jarabe",VLOOKUP(A406,'Recetas y precios'!$A$5:$G$55,7,FALSE()),1))</f>
        <v>0.737</v>
      </c>
      <c r="K406" s="15" t="n">
        <f aca="false">G406*I406*J406</f>
        <v>0.6633</v>
      </c>
    </row>
    <row r="407" customFormat="false" ht="15" hidden="false" customHeight="false" outlineLevel="0" collapsed="false">
      <c r="A407" s="0" t="n">
        <v>23</v>
      </c>
      <c r="B407" s="22" t="s">
        <v>743</v>
      </c>
      <c r="C407" s="13" t="s">
        <v>387</v>
      </c>
      <c r="D407" s="23" t="s">
        <v>747</v>
      </c>
      <c r="E407" s="23" t="s">
        <v>581</v>
      </c>
      <c r="F407" s="24" t="s">
        <v>72</v>
      </c>
      <c r="G407" s="19" t="n">
        <v>20</v>
      </c>
      <c r="H407" s="13" t="s">
        <v>27</v>
      </c>
      <c r="I407" s="12" t="n">
        <f aca="false">IFERROR(VLOOKUP(F407,Insumos!$C$5:$G$143,5,FALSE()),0)</f>
        <v>0.028</v>
      </c>
      <c r="J407" s="25" t="n">
        <f aca="false">IF(C407="bizcocho",VLOOKUP(A407,'Recetas y precios'!$A$5:$G$55,6,FALSE()),IF(C407="jarabe",VLOOKUP(A407,'Recetas y precios'!$A$5:$G$55,7,FALSE()),1))</f>
        <v>0.737</v>
      </c>
      <c r="K407" s="15" t="n">
        <f aca="false">G407*I407*J407</f>
        <v>0.41272</v>
      </c>
    </row>
    <row r="408" customFormat="false" ht="15" hidden="false" customHeight="false" outlineLevel="0" collapsed="false">
      <c r="A408" s="0" t="n">
        <v>23</v>
      </c>
      <c r="B408" s="22" t="s">
        <v>743</v>
      </c>
      <c r="C408" s="13" t="s">
        <v>387</v>
      </c>
      <c r="D408" s="23" t="s">
        <v>747</v>
      </c>
      <c r="E408" s="23" t="s">
        <v>751</v>
      </c>
      <c r="F408" s="24" t="s">
        <v>315</v>
      </c>
      <c r="G408" s="19" t="n">
        <v>5</v>
      </c>
      <c r="H408" s="13" t="s">
        <v>34</v>
      </c>
      <c r="I408" s="12" t="n">
        <f aca="false">IFERROR(VLOOKUP(F408,Insumos!$C$5:$G$143,5,FALSE()),0)</f>
        <v>0.533333333333333</v>
      </c>
      <c r="J408" s="25" t="n">
        <f aca="false">IF(C408="bizcocho",VLOOKUP(A408,'Recetas y precios'!$A$5:$G$55,6,FALSE()),IF(C408="jarabe",VLOOKUP(A408,'Recetas y precios'!$A$5:$G$55,7,FALSE()),1))</f>
        <v>0.737</v>
      </c>
      <c r="K408" s="15" t="n">
        <f aca="false">G408*I408*J408</f>
        <v>1.96533333333333</v>
      </c>
    </row>
    <row r="409" customFormat="false" ht="15" hidden="false" customHeight="false" outlineLevel="0" collapsed="false">
      <c r="A409" s="0" t="n">
        <v>23</v>
      </c>
      <c r="B409" s="22" t="s">
        <v>743</v>
      </c>
      <c r="C409" s="13" t="s">
        <v>393</v>
      </c>
      <c r="D409" s="23" t="s">
        <v>752</v>
      </c>
      <c r="E409" s="23" t="s">
        <v>503</v>
      </c>
      <c r="F409" s="24" t="s">
        <v>26</v>
      </c>
      <c r="G409" s="19" t="n">
        <v>180</v>
      </c>
      <c r="H409" s="13" t="s">
        <v>27</v>
      </c>
      <c r="I409" s="12" t="n">
        <f aca="false">IFERROR(VLOOKUP(F409,Insumos!$C$5:$G$143,5,FALSE()),0)</f>
        <v>0.38</v>
      </c>
      <c r="J409" s="25" t="n">
        <f aca="false">IF(C409="bizcocho",VLOOKUP(A409,'Recetas y precios'!$A$5:$G$55,6,FALSE()),IF(C409="jarabe",VLOOKUP(A409,'Recetas y precios'!$A$5:$G$55,7,FALSE()),1))</f>
        <v>1</v>
      </c>
      <c r="K409" s="15" t="n">
        <f aca="false">G409*I409*J409</f>
        <v>68.4</v>
      </c>
    </row>
    <row r="410" customFormat="false" ht="15" hidden="false" customHeight="false" outlineLevel="0" collapsed="false">
      <c r="A410" s="0" t="n">
        <v>23</v>
      </c>
      <c r="B410" s="22" t="s">
        <v>743</v>
      </c>
      <c r="C410" s="13" t="s">
        <v>393</v>
      </c>
      <c r="D410" s="23" t="s">
        <v>752</v>
      </c>
      <c r="E410" s="23" t="s">
        <v>634</v>
      </c>
      <c r="F410" s="24" t="s">
        <v>33</v>
      </c>
      <c r="G410" s="19" t="n">
        <v>190</v>
      </c>
      <c r="H410" s="13" t="s">
        <v>34</v>
      </c>
      <c r="I410" s="12" t="n">
        <f aca="false">IFERROR(VLOOKUP(F410,Insumos!$C$5:$G$143,5,FALSE()),0)</f>
        <v>0.078</v>
      </c>
      <c r="J410" s="25" t="n">
        <f aca="false">IF(C410="bizcocho",VLOOKUP(A410,'Recetas y precios'!$A$5:$G$55,6,FALSE()),IF(C410="jarabe",VLOOKUP(A410,'Recetas y precios'!$A$5:$G$55,7,FALSE()),1))</f>
        <v>1</v>
      </c>
      <c r="K410" s="15" t="n">
        <f aca="false">G410*I410*J410</f>
        <v>14.82</v>
      </c>
    </row>
    <row r="411" customFormat="false" ht="15" hidden="false" customHeight="false" outlineLevel="0" collapsed="false">
      <c r="A411" s="0" t="n">
        <v>23</v>
      </c>
      <c r="B411" s="22" t="s">
        <v>743</v>
      </c>
      <c r="C411" s="13" t="s">
        <v>393</v>
      </c>
      <c r="D411" s="23" t="s">
        <v>752</v>
      </c>
      <c r="E411" s="23" t="s">
        <v>753</v>
      </c>
      <c r="F411" s="24" t="s">
        <v>174</v>
      </c>
      <c r="G411" s="19" t="n">
        <v>25</v>
      </c>
      <c r="H411" s="13" t="s">
        <v>34</v>
      </c>
      <c r="I411" s="12" t="n">
        <f aca="false">IFERROR(VLOOKUP(F411,Insumos!$C$5:$G$143,5,FALSE()),0)</f>
        <v>1.2</v>
      </c>
      <c r="J411" s="25" t="n">
        <f aca="false">IF(C411="bizcocho",VLOOKUP(A411,'Recetas y precios'!$A$5:$G$55,6,FALSE()),IF(C411="jarabe",VLOOKUP(A411,'Recetas y precios'!$A$5:$G$55,7,FALSE()),1))</f>
        <v>1</v>
      </c>
      <c r="K411" s="15" t="n">
        <f aca="false">G411*I411*J411</f>
        <v>30</v>
      </c>
    </row>
    <row r="412" customFormat="false" ht="15" hidden="false" customHeight="false" outlineLevel="0" collapsed="false">
      <c r="A412" s="0" t="n">
        <v>23</v>
      </c>
      <c r="B412" s="22" t="s">
        <v>743</v>
      </c>
      <c r="C412" s="13" t="s">
        <v>393</v>
      </c>
      <c r="D412" s="23" t="s">
        <v>752</v>
      </c>
      <c r="E412" s="23" t="s">
        <v>444</v>
      </c>
      <c r="F412" s="24" t="s">
        <v>36</v>
      </c>
      <c r="G412" s="19" t="n">
        <v>50</v>
      </c>
      <c r="H412" s="13" t="s">
        <v>27</v>
      </c>
      <c r="I412" s="12" t="n">
        <f aca="false">IFERROR(VLOOKUP(F412,Insumos!$C$5:$G$143,5,FALSE()),0)</f>
        <v>0.085</v>
      </c>
      <c r="J412" s="25" t="n">
        <f aca="false">IF(C412="bizcocho",VLOOKUP(A412,'Recetas y precios'!$A$5:$G$55,6,FALSE()),IF(C412="jarabe",VLOOKUP(A412,'Recetas y precios'!$A$5:$G$55,7,FALSE()),1))</f>
        <v>1</v>
      </c>
      <c r="K412" s="15" t="n">
        <f aca="false">G412*I412*J412</f>
        <v>4.25</v>
      </c>
    </row>
    <row r="413" customFormat="false" ht="15" hidden="false" customHeight="false" outlineLevel="0" collapsed="false">
      <c r="A413" s="0" t="n">
        <v>23</v>
      </c>
      <c r="B413" s="22" t="s">
        <v>743</v>
      </c>
      <c r="C413" s="13" t="s">
        <v>393</v>
      </c>
      <c r="D413" s="23" t="s">
        <v>752</v>
      </c>
      <c r="E413" s="23" t="s">
        <v>456</v>
      </c>
      <c r="F413" s="24" t="s">
        <v>74</v>
      </c>
      <c r="G413" s="19" t="n">
        <v>20</v>
      </c>
      <c r="H413" s="13" t="s">
        <v>27</v>
      </c>
      <c r="I413" s="12" t="n">
        <f aca="false">IFERROR(VLOOKUP(F413,Insumos!$C$5:$G$143,5,FALSE()),0)</f>
        <v>0.045</v>
      </c>
      <c r="J413" s="25" t="n">
        <f aca="false">IF(C413="bizcocho",VLOOKUP(A413,'Recetas y precios'!$A$5:$G$55,6,FALSE()),IF(C413="jarabe",VLOOKUP(A413,'Recetas y precios'!$A$5:$G$55,7,FALSE()),1))</f>
        <v>1</v>
      </c>
      <c r="K413" s="15" t="n">
        <f aca="false">G413*I413*J413</f>
        <v>0.9</v>
      </c>
    </row>
    <row r="414" customFormat="false" ht="15" hidden="false" customHeight="false" outlineLevel="0" collapsed="false">
      <c r="A414" s="0" t="n">
        <v>23</v>
      </c>
      <c r="B414" s="22" t="s">
        <v>743</v>
      </c>
      <c r="C414" s="13" t="s">
        <v>400</v>
      </c>
      <c r="D414" s="23" t="s">
        <v>754</v>
      </c>
      <c r="E414" s="23" t="s">
        <v>755</v>
      </c>
      <c r="F414" s="24" t="s">
        <v>244</v>
      </c>
      <c r="G414" s="19" t="n">
        <v>50</v>
      </c>
      <c r="H414" s="13" t="s">
        <v>27</v>
      </c>
      <c r="I414" s="12" t="n">
        <f aca="false">IFERROR(VLOOKUP(F414,Insumos!$C$5:$G$143,5,FALSE()),0)</f>
        <v>0.18</v>
      </c>
      <c r="J414" s="25" t="n">
        <f aca="false">IF(C414="bizcocho",VLOOKUP(A414,'Recetas y precios'!$A$5:$G$55,6,FALSE()),IF(C414="jarabe",VLOOKUP(A414,'Recetas y precios'!$A$5:$G$55,7,FALSE()),1))</f>
        <v>1</v>
      </c>
      <c r="K414" s="15" t="n">
        <f aca="false">G414*I414*J414</f>
        <v>9</v>
      </c>
    </row>
    <row r="415" customFormat="false" ht="15" hidden="false" customHeight="false" outlineLevel="0" collapsed="false">
      <c r="A415" s="0" t="n">
        <v>23</v>
      </c>
      <c r="B415" s="22" t="s">
        <v>743</v>
      </c>
      <c r="C415" s="13" t="s">
        <v>400</v>
      </c>
      <c r="D415" s="23" t="s">
        <v>754</v>
      </c>
      <c r="E415" s="23" t="s">
        <v>756</v>
      </c>
      <c r="F415" s="24" t="s">
        <v>50</v>
      </c>
      <c r="G415" s="19" t="n">
        <v>40</v>
      </c>
      <c r="H415" s="13" t="s">
        <v>27</v>
      </c>
      <c r="I415" s="12" t="n">
        <f aca="false">IFERROR(VLOOKUP(F415,Insumos!$C$5:$G$143,5,FALSE()),0)</f>
        <v>0.075</v>
      </c>
      <c r="J415" s="25" t="n">
        <f aca="false">IF(C415="bizcocho",VLOOKUP(A415,'Recetas y precios'!$A$5:$G$55,6,FALSE()),IF(C415="jarabe",VLOOKUP(A415,'Recetas y precios'!$A$5:$G$55,7,FALSE()),1))</f>
        <v>1</v>
      </c>
      <c r="K415" s="15" t="n">
        <f aca="false">G415*I415*J415</f>
        <v>3</v>
      </c>
    </row>
    <row r="416" customFormat="false" ht="15" hidden="false" customHeight="false" outlineLevel="0" collapsed="false">
      <c r="A416" s="0" t="n">
        <v>24</v>
      </c>
      <c r="B416" s="22" t="s">
        <v>757</v>
      </c>
      <c r="C416" s="13" t="s">
        <v>376</v>
      </c>
      <c r="D416" s="23" t="s">
        <v>758</v>
      </c>
      <c r="E416" s="23" t="s">
        <v>406</v>
      </c>
      <c r="F416" s="24" t="s">
        <v>59</v>
      </c>
      <c r="G416" s="19" t="n">
        <v>50</v>
      </c>
      <c r="H416" s="13" t="s">
        <v>27</v>
      </c>
      <c r="I416" s="12" t="n">
        <f aca="false">IFERROR(VLOOKUP(F416,Insumos!$C$5:$G$143,5,FALSE()),0)</f>
        <v>0.032</v>
      </c>
      <c r="J416" s="25" t="n">
        <f aca="false">IF(C416="bizcocho",VLOOKUP(A416,'Recetas y precios'!$A$5:$G$55,6,FALSE()),IF(C416="jarabe",VLOOKUP(A416,'Recetas y precios'!$A$5:$G$55,7,FALSE()),1))</f>
        <v>0.352</v>
      </c>
      <c r="K416" s="15" t="n">
        <f aca="false">G416*I416*J416</f>
        <v>0.5632</v>
      </c>
    </row>
    <row r="417" customFormat="false" ht="15" hidden="false" customHeight="false" outlineLevel="0" collapsed="false">
      <c r="A417" s="0" t="n">
        <v>24</v>
      </c>
      <c r="B417" s="22" t="s">
        <v>757</v>
      </c>
      <c r="C417" s="13" t="s">
        <v>376</v>
      </c>
      <c r="D417" s="23" t="s">
        <v>758</v>
      </c>
      <c r="E417" s="23" t="s">
        <v>409</v>
      </c>
      <c r="F417" s="24" t="s">
        <v>48</v>
      </c>
      <c r="G417" s="19" t="n">
        <v>35</v>
      </c>
      <c r="H417" s="13" t="s">
        <v>27</v>
      </c>
      <c r="I417" s="12" t="n">
        <f aca="false">IFERROR(VLOOKUP(F417,Insumos!$C$5:$G$143,5,FALSE()),0)</f>
        <v>0.13</v>
      </c>
      <c r="J417" s="25" t="n">
        <f aca="false">IF(C417="bizcocho",VLOOKUP(A417,'Recetas y precios'!$A$5:$G$55,6,FALSE()),IF(C417="jarabe",VLOOKUP(A417,'Recetas y precios'!$A$5:$G$55,7,FALSE()),1))</f>
        <v>0.352</v>
      </c>
      <c r="K417" s="15" t="n">
        <f aca="false">G417*I417*J417</f>
        <v>1.6016</v>
      </c>
    </row>
    <row r="418" customFormat="false" ht="15" hidden="false" customHeight="false" outlineLevel="0" collapsed="false">
      <c r="A418" s="0" t="n">
        <v>24</v>
      </c>
      <c r="B418" s="22" t="s">
        <v>757</v>
      </c>
      <c r="C418" s="13" t="s">
        <v>376</v>
      </c>
      <c r="D418" s="23" t="s">
        <v>758</v>
      </c>
      <c r="E418" s="23" t="s">
        <v>410</v>
      </c>
      <c r="F418" s="24" t="s">
        <v>50</v>
      </c>
      <c r="G418" s="19" t="n">
        <v>75</v>
      </c>
      <c r="H418" s="13" t="s">
        <v>27</v>
      </c>
      <c r="I418" s="12" t="n">
        <f aca="false">IFERROR(VLOOKUP(F418,Insumos!$C$5:$G$143,5,FALSE()),0)</f>
        <v>0.075</v>
      </c>
      <c r="J418" s="25" t="n">
        <f aca="false">IF(C418="bizcocho",VLOOKUP(A418,'Recetas y precios'!$A$5:$G$55,6,FALSE()),IF(C418="jarabe",VLOOKUP(A418,'Recetas y precios'!$A$5:$G$55,7,FALSE()),1))</f>
        <v>0.352</v>
      </c>
      <c r="K418" s="15" t="n">
        <f aca="false">G418*I418*J418</f>
        <v>1.98</v>
      </c>
    </row>
    <row r="419" customFormat="false" ht="15" hidden="false" customHeight="false" outlineLevel="0" collapsed="false">
      <c r="A419" s="0" t="n">
        <v>24</v>
      </c>
      <c r="B419" s="22" t="s">
        <v>757</v>
      </c>
      <c r="C419" s="13" t="s">
        <v>376</v>
      </c>
      <c r="D419" s="23" t="s">
        <v>758</v>
      </c>
      <c r="E419" s="23" t="s">
        <v>411</v>
      </c>
      <c r="F419" s="24" t="s">
        <v>72</v>
      </c>
      <c r="G419" s="19" t="n">
        <v>40</v>
      </c>
      <c r="H419" s="13" t="s">
        <v>27</v>
      </c>
      <c r="I419" s="12" t="n">
        <f aca="false">IFERROR(VLOOKUP(F419,Insumos!$C$5:$G$143,5,FALSE()),0)</f>
        <v>0.028</v>
      </c>
      <c r="J419" s="25" t="n">
        <f aca="false">IF(C419="bizcocho",VLOOKUP(A419,'Recetas y precios'!$A$5:$G$55,6,FALSE()),IF(C419="jarabe",VLOOKUP(A419,'Recetas y precios'!$A$5:$G$55,7,FALSE()),1))</f>
        <v>0.352</v>
      </c>
      <c r="K419" s="15" t="n">
        <f aca="false">G419*I419*J419</f>
        <v>0.39424</v>
      </c>
    </row>
    <row r="420" customFormat="false" ht="15" hidden="false" customHeight="false" outlineLevel="0" collapsed="false">
      <c r="A420" s="0" t="n">
        <v>24</v>
      </c>
      <c r="B420" s="22" t="s">
        <v>757</v>
      </c>
      <c r="C420" s="13" t="s">
        <v>376</v>
      </c>
      <c r="D420" s="23" t="s">
        <v>758</v>
      </c>
      <c r="E420" s="23" t="s">
        <v>531</v>
      </c>
      <c r="F420" s="24" t="s">
        <v>109</v>
      </c>
      <c r="G420" s="19" t="n">
        <v>25</v>
      </c>
      <c r="H420" s="13" t="s">
        <v>34</v>
      </c>
      <c r="I420" s="12" t="n">
        <f aca="false">IFERROR(VLOOKUP(F420,Insumos!$C$5:$G$143,5,FALSE()),0)</f>
        <v>0.045</v>
      </c>
      <c r="J420" s="25" t="n">
        <f aca="false">IF(C420="bizcocho",VLOOKUP(A420,'Recetas y precios'!$A$5:$G$55,6,FALSE()),IF(C420="jarabe",VLOOKUP(A420,'Recetas y precios'!$A$5:$G$55,7,FALSE()),1))</f>
        <v>0.352</v>
      </c>
      <c r="K420" s="15" t="n">
        <f aca="false">G420*I420*J420</f>
        <v>0.396</v>
      </c>
    </row>
    <row r="421" customFormat="false" ht="15" hidden="false" customHeight="false" outlineLevel="0" collapsed="false">
      <c r="A421" s="0" t="n">
        <v>24</v>
      </c>
      <c r="B421" s="22" t="s">
        <v>757</v>
      </c>
      <c r="C421" s="13" t="s">
        <v>376</v>
      </c>
      <c r="D421" s="23" t="s">
        <v>758</v>
      </c>
      <c r="E421" s="23" t="s">
        <v>759</v>
      </c>
      <c r="F421" s="24" t="s">
        <v>135</v>
      </c>
      <c r="G421" s="19" t="n">
        <v>1.2</v>
      </c>
      <c r="H421" s="13" t="s">
        <v>27</v>
      </c>
      <c r="I421" s="12" t="n">
        <f aca="false">IFERROR(VLOOKUP(F421,Insumos!$C$5:$G$143,5,FALSE()),0)</f>
        <v>1.2</v>
      </c>
      <c r="J421" s="25" t="n">
        <f aca="false">IF(C421="bizcocho",VLOOKUP(A421,'Recetas y precios'!$A$5:$G$55,6,FALSE()),IF(C421="jarabe",VLOOKUP(A421,'Recetas y precios'!$A$5:$G$55,7,FALSE()),1))</f>
        <v>0.352</v>
      </c>
      <c r="K421" s="15" t="n">
        <f aca="false">G421*I421*J421</f>
        <v>0.50688</v>
      </c>
    </row>
    <row r="422" customFormat="false" ht="15" hidden="false" customHeight="false" outlineLevel="0" collapsed="false">
      <c r="A422" s="0" t="n">
        <v>24</v>
      </c>
      <c r="B422" s="22" t="s">
        <v>757</v>
      </c>
      <c r="C422" s="13" t="s">
        <v>376</v>
      </c>
      <c r="D422" s="23" t="s">
        <v>758</v>
      </c>
      <c r="E422" s="23" t="s">
        <v>413</v>
      </c>
      <c r="F422" s="24" t="s">
        <v>103</v>
      </c>
      <c r="G422" s="19" t="n">
        <v>1</v>
      </c>
      <c r="H422" s="13" t="s">
        <v>27</v>
      </c>
      <c r="I422" s="12" t="n">
        <f aca="false">IFERROR(VLOOKUP(F422,Insumos!$C$5:$G$143,5,FALSE()),0)</f>
        <v>0.025</v>
      </c>
      <c r="J422" s="25" t="n">
        <f aca="false">IF(C422="bizcocho",VLOOKUP(A422,'Recetas y precios'!$A$5:$G$55,6,FALSE()),IF(C422="jarabe",VLOOKUP(A422,'Recetas y precios'!$A$5:$G$55,7,FALSE()),1))</f>
        <v>0.352</v>
      </c>
      <c r="K422" s="15" t="n">
        <f aca="false">G422*I422*J422</f>
        <v>0.0088</v>
      </c>
    </row>
    <row r="423" customFormat="false" ht="15" hidden="false" customHeight="false" outlineLevel="0" collapsed="false">
      <c r="A423" s="0" t="n">
        <v>24</v>
      </c>
      <c r="B423" s="22" t="s">
        <v>757</v>
      </c>
      <c r="C423" s="13" t="s">
        <v>387</v>
      </c>
      <c r="D423" s="23" t="s">
        <v>661</v>
      </c>
      <c r="E423" s="23" t="s">
        <v>760</v>
      </c>
      <c r="F423" s="24" t="s">
        <v>135</v>
      </c>
      <c r="G423" s="19" t="n">
        <v>1.5</v>
      </c>
      <c r="H423" s="13" t="s">
        <v>27</v>
      </c>
      <c r="I423" s="12" t="n">
        <f aca="false">IFERROR(VLOOKUP(F423,Insumos!$C$5:$G$143,5,FALSE()),0)</f>
        <v>1.2</v>
      </c>
      <c r="J423" s="25" t="n">
        <f aca="false">IF(C423="bizcocho",VLOOKUP(A423,'Recetas y precios'!$A$5:$G$55,6,FALSE()),IF(C423="jarabe",VLOOKUP(A423,'Recetas y precios'!$A$5:$G$55,7,FALSE()),1))</f>
        <v>1</v>
      </c>
      <c r="K423" s="15" t="n">
        <f aca="false">G423*I423*J423</f>
        <v>1.8</v>
      </c>
    </row>
    <row r="424" customFormat="false" ht="15" hidden="false" customHeight="false" outlineLevel="0" collapsed="false">
      <c r="A424" s="0" t="n">
        <v>24</v>
      </c>
      <c r="B424" s="22" t="s">
        <v>757</v>
      </c>
      <c r="C424" s="13" t="s">
        <v>387</v>
      </c>
      <c r="D424" s="23" t="s">
        <v>661</v>
      </c>
      <c r="E424" s="23" t="s">
        <v>761</v>
      </c>
      <c r="F424" s="24" t="s">
        <v>160</v>
      </c>
      <c r="G424" s="19" t="n">
        <v>20</v>
      </c>
      <c r="H424" s="13" t="s">
        <v>27</v>
      </c>
      <c r="I424" s="12" t="n">
        <f aca="false">IFERROR(VLOOKUP(F424,Insumos!$C$5:$G$143,5,FALSE()),0)</f>
        <v>0.09</v>
      </c>
      <c r="J424" s="25" t="n">
        <f aca="false">IF(C424="bizcocho",VLOOKUP(A424,'Recetas y precios'!$A$5:$G$55,6,FALSE()),IF(C424="jarabe",VLOOKUP(A424,'Recetas y precios'!$A$5:$G$55,7,FALSE()),1))</f>
        <v>1</v>
      </c>
      <c r="K424" s="15" t="n">
        <f aca="false">G424*I424*J424</f>
        <v>1.8</v>
      </c>
    </row>
    <row r="425" customFormat="false" ht="15" hidden="false" customHeight="false" outlineLevel="0" collapsed="false">
      <c r="A425" s="0" t="n">
        <v>24</v>
      </c>
      <c r="B425" s="22" t="s">
        <v>757</v>
      </c>
      <c r="C425" s="13" t="s">
        <v>387</v>
      </c>
      <c r="D425" s="23" t="s">
        <v>661</v>
      </c>
      <c r="E425" s="23" t="s">
        <v>762</v>
      </c>
      <c r="F425" s="24" t="s">
        <v>315</v>
      </c>
      <c r="G425" s="19" t="n">
        <v>5</v>
      </c>
      <c r="H425" s="13" t="s">
        <v>34</v>
      </c>
      <c r="I425" s="12" t="n">
        <f aca="false">IFERROR(VLOOKUP(F425,Insumos!$C$5:$G$143,5,FALSE()),0)</f>
        <v>0.533333333333333</v>
      </c>
      <c r="J425" s="25" t="n">
        <f aca="false">IF(C425="bizcocho",VLOOKUP(A425,'Recetas y precios'!$A$5:$G$55,6,FALSE()),IF(C425="jarabe",VLOOKUP(A425,'Recetas y precios'!$A$5:$G$55,7,FALSE()),1))</f>
        <v>1</v>
      </c>
      <c r="K425" s="15" t="n">
        <f aca="false">G425*I425*J425</f>
        <v>2.66666666666667</v>
      </c>
    </row>
    <row r="426" customFormat="false" ht="15" hidden="false" customHeight="false" outlineLevel="0" collapsed="false">
      <c r="A426" s="0" t="n">
        <v>24</v>
      </c>
      <c r="B426" s="22" t="s">
        <v>757</v>
      </c>
      <c r="C426" s="13" t="s">
        <v>393</v>
      </c>
      <c r="D426" s="23" t="s">
        <v>763</v>
      </c>
      <c r="E426" s="23" t="s">
        <v>764</v>
      </c>
      <c r="F426" s="24" t="s">
        <v>26</v>
      </c>
      <c r="G426" s="19" t="n">
        <v>130</v>
      </c>
      <c r="H426" s="13" t="s">
        <v>27</v>
      </c>
      <c r="I426" s="12" t="n">
        <f aca="false">IFERROR(VLOOKUP(F426,Insumos!$C$5:$G$143,5,FALSE()),0)</f>
        <v>0.38</v>
      </c>
      <c r="J426" s="25" t="n">
        <f aca="false">IF(C426="bizcocho",VLOOKUP(A426,'Recetas y precios'!$A$5:$G$55,6,FALSE()),IF(C426="jarabe",VLOOKUP(A426,'Recetas y precios'!$A$5:$G$55,7,FALSE()),1))</f>
        <v>1</v>
      </c>
      <c r="K426" s="15" t="n">
        <f aca="false">G426*I426*J426</f>
        <v>49.4</v>
      </c>
    </row>
    <row r="427" customFormat="false" ht="15" hidden="false" customHeight="false" outlineLevel="0" collapsed="false">
      <c r="A427" s="0" t="n">
        <v>24</v>
      </c>
      <c r="B427" s="22" t="s">
        <v>757</v>
      </c>
      <c r="C427" s="13" t="s">
        <v>393</v>
      </c>
      <c r="D427" s="23" t="s">
        <v>763</v>
      </c>
      <c r="E427" s="23" t="s">
        <v>420</v>
      </c>
      <c r="F427" s="24" t="s">
        <v>33</v>
      </c>
      <c r="G427" s="19" t="n">
        <v>120</v>
      </c>
      <c r="H427" s="13" t="s">
        <v>34</v>
      </c>
      <c r="I427" s="12" t="n">
        <f aca="false">IFERROR(VLOOKUP(F427,Insumos!$C$5:$G$143,5,FALSE()),0)</f>
        <v>0.078</v>
      </c>
      <c r="J427" s="25" t="n">
        <f aca="false">IF(C427="bizcocho",VLOOKUP(A427,'Recetas y precios'!$A$5:$G$55,6,FALSE()),IF(C427="jarabe",VLOOKUP(A427,'Recetas y precios'!$A$5:$G$55,7,FALSE()),1))</f>
        <v>1</v>
      </c>
      <c r="K427" s="15" t="n">
        <f aca="false">G427*I427*J427</f>
        <v>9.36</v>
      </c>
    </row>
    <row r="428" customFormat="false" ht="15" hidden="false" customHeight="false" outlineLevel="0" collapsed="false">
      <c r="A428" s="0" t="n">
        <v>24</v>
      </c>
      <c r="B428" s="22" t="s">
        <v>757</v>
      </c>
      <c r="C428" s="13" t="s">
        <v>393</v>
      </c>
      <c r="D428" s="23" t="s">
        <v>763</v>
      </c>
      <c r="E428" s="23" t="s">
        <v>765</v>
      </c>
      <c r="F428" s="24" t="s">
        <v>135</v>
      </c>
      <c r="G428" s="19" t="n">
        <v>0.6</v>
      </c>
      <c r="H428" s="13" t="s">
        <v>27</v>
      </c>
      <c r="I428" s="12" t="n">
        <f aca="false">IFERROR(VLOOKUP(F428,Insumos!$C$5:$G$143,5,FALSE()),0)</f>
        <v>1.2</v>
      </c>
      <c r="J428" s="25" t="n">
        <f aca="false">IF(C428="bizcocho",VLOOKUP(A428,'Recetas y precios'!$A$5:$G$55,6,FALSE()),IF(C428="jarabe",VLOOKUP(A428,'Recetas y precios'!$A$5:$G$55,7,FALSE()),1))</f>
        <v>1</v>
      </c>
      <c r="K428" s="15" t="n">
        <f aca="false">G428*I428*J428</f>
        <v>0.72</v>
      </c>
    </row>
    <row r="429" customFormat="false" ht="15" hidden="false" customHeight="false" outlineLevel="0" collapsed="false">
      <c r="A429" s="0" t="n">
        <v>24</v>
      </c>
      <c r="B429" s="22" t="s">
        <v>757</v>
      </c>
      <c r="C429" s="13" t="s">
        <v>393</v>
      </c>
      <c r="D429" s="23" t="s">
        <v>763</v>
      </c>
      <c r="E429" s="23" t="s">
        <v>506</v>
      </c>
      <c r="F429" s="24" t="s">
        <v>36</v>
      </c>
      <c r="G429" s="19" t="n">
        <v>45</v>
      </c>
      <c r="H429" s="13" t="s">
        <v>27</v>
      </c>
      <c r="I429" s="12" t="n">
        <f aca="false">IFERROR(VLOOKUP(F429,Insumos!$C$5:$G$143,5,FALSE()),0)</f>
        <v>0.085</v>
      </c>
      <c r="J429" s="25" t="n">
        <f aca="false">IF(C429="bizcocho",VLOOKUP(A429,'Recetas y precios'!$A$5:$G$55,6,FALSE()),IF(C429="jarabe",VLOOKUP(A429,'Recetas y precios'!$A$5:$G$55,7,FALSE()),1))</f>
        <v>1</v>
      </c>
      <c r="K429" s="15" t="n">
        <f aca="false">G429*I429*J429</f>
        <v>3.825</v>
      </c>
    </row>
    <row r="430" customFormat="false" ht="15" hidden="false" customHeight="false" outlineLevel="0" collapsed="false">
      <c r="A430" s="0" t="n">
        <v>24</v>
      </c>
      <c r="B430" s="22" t="s">
        <v>757</v>
      </c>
      <c r="C430" s="13" t="s">
        <v>393</v>
      </c>
      <c r="D430" s="23" t="s">
        <v>763</v>
      </c>
      <c r="E430" s="23" t="s">
        <v>567</v>
      </c>
      <c r="F430" s="24" t="s">
        <v>74</v>
      </c>
      <c r="G430" s="19" t="n">
        <v>15</v>
      </c>
      <c r="H430" s="13" t="s">
        <v>27</v>
      </c>
      <c r="I430" s="12" t="n">
        <f aca="false">IFERROR(VLOOKUP(F430,Insumos!$C$5:$G$143,5,FALSE()),0)</f>
        <v>0.045</v>
      </c>
      <c r="J430" s="25" t="n">
        <f aca="false">IF(C430="bizcocho",VLOOKUP(A430,'Recetas y precios'!$A$5:$G$55,6,FALSE()),IF(C430="jarabe",VLOOKUP(A430,'Recetas y precios'!$A$5:$G$55,7,FALSE()),1))</f>
        <v>1</v>
      </c>
      <c r="K430" s="15" t="n">
        <f aca="false">G430*I430*J430</f>
        <v>0.675</v>
      </c>
    </row>
    <row r="431" customFormat="false" ht="15" hidden="false" customHeight="false" outlineLevel="0" collapsed="false">
      <c r="A431" s="0" t="n">
        <v>24</v>
      </c>
      <c r="B431" s="22" t="s">
        <v>757</v>
      </c>
      <c r="C431" s="13" t="s">
        <v>400</v>
      </c>
      <c r="D431" s="23" t="s">
        <v>766</v>
      </c>
      <c r="E431" s="23" t="s">
        <v>767</v>
      </c>
      <c r="F431" s="24" t="s">
        <v>160</v>
      </c>
      <c r="G431" s="19" t="n">
        <v>80</v>
      </c>
      <c r="H431" s="13" t="s">
        <v>27</v>
      </c>
      <c r="I431" s="12" t="n">
        <f aca="false">IFERROR(VLOOKUP(F431,Insumos!$C$5:$G$143,5,FALSE()),0)</f>
        <v>0.09</v>
      </c>
      <c r="J431" s="25" t="n">
        <f aca="false">IF(C431="bizcocho",VLOOKUP(A431,'Recetas y precios'!$A$5:$G$55,6,FALSE()),IF(C431="jarabe",VLOOKUP(A431,'Recetas y precios'!$A$5:$G$55,7,FALSE()),1))</f>
        <v>1</v>
      </c>
      <c r="K431" s="15" t="n">
        <f aca="false">G431*I431*J431</f>
        <v>7.2</v>
      </c>
    </row>
    <row r="432" customFormat="false" ht="15" hidden="false" customHeight="false" outlineLevel="0" collapsed="false">
      <c r="A432" s="0" t="n">
        <v>24</v>
      </c>
      <c r="B432" s="22" t="s">
        <v>757</v>
      </c>
      <c r="C432" s="13" t="s">
        <v>400</v>
      </c>
      <c r="D432" s="23" t="s">
        <v>766</v>
      </c>
      <c r="E432" s="23" t="s">
        <v>768</v>
      </c>
      <c r="F432" s="24" t="s">
        <v>135</v>
      </c>
      <c r="G432" s="19" t="n">
        <v>0.9</v>
      </c>
      <c r="H432" s="13" t="s">
        <v>27</v>
      </c>
      <c r="I432" s="12" t="n">
        <f aca="false">IFERROR(VLOOKUP(F432,Insumos!$C$5:$G$143,5,FALSE()),0)</f>
        <v>1.2</v>
      </c>
      <c r="J432" s="25" t="n">
        <f aca="false">IF(C432="bizcocho",VLOOKUP(A432,'Recetas y precios'!$A$5:$G$55,6,FALSE()),IF(C432="jarabe",VLOOKUP(A432,'Recetas y precios'!$A$5:$G$55,7,FALSE()),1))</f>
        <v>1</v>
      </c>
      <c r="K432" s="15" t="n">
        <f aca="false">G432*I432*J432</f>
        <v>1.08</v>
      </c>
    </row>
    <row r="433" customFormat="false" ht="15" hidden="false" customHeight="false" outlineLevel="0" collapsed="false">
      <c r="A433" s="0" t="n">
        <v>24</v>
      </c>
      <c r="B433" s="22" t="s">
        <v>757</v>
      </c>
      <c r="C433" s="13" t="s">
        <v>400</v>
      </c>
      <c r="D433" s="23" t="s">
        <v>766</v>
      </c>
      <c r="E433" s="23" t="s">
        <v>769</v>
      </c>
      <c r="F433" s="24" t="s">
        <v>145</v>
      </c>
      <c r="G433" s="19" t="n">
        <v>1</v>
      </c>
      <c r="H433" s="13" t="s">
        <v>27</v>
      </c>
      <c r="I433" s="12" t="n">
        <f aca="false">IFERROR(VLOOKUP(F433,Insumos!$C$5:$G$143,5,FALSE()),0)</f>
        <v>1.8</v>
      </c>
      <c r="J433" s="25" t="n">
        <f aca="false">IF(C433="bizcocho",VLOOKUP(A433,'Recetas y precios'!$A$5:$G$55,6,FALSE()),IF(C433="jarabe",VLOOKUP(A433,'Recetas y precios'!$A$5:$G$55,7,FALSE()),1))</f>
        <v>1</v>
      </c>
      <c r="K433" s="15" t="n">
        <f aca="false">G433*I433*J433</f>
        <v>1.8</v>
      </c>
    </row>
    <row r="434" customFormat="false" ht="15" hidden="false" customHeight="false" outlineLevel="0" collapsed="false">
      <c r="A434" s="0" t="n">
        <v>25</v>
      </c>
      <c r="B434" s="22" t="s">
        <v>770</v>
      </c>
      <c r="C434" s="13" t="s">
        <v>376</v>
      </c>
      <c r="D434" s="23" t="s">
        <v>771</v>
      </c>
      <c r="E434" s="23" t="s">
        <v>530</v>
      </c>
      <c r="F434" s="24" t="s">
        <v>59</v>
      </c>
      <c r="G434" s="19" t="n">
        <v>50</v>
      </c>
      <c r="H434" s="13" t="s">
        <v>27</v>
      </c>
      <c r="I434" s="12" t="n">
        <f aca="false">IFERROR(VLOOKUP(F434,Insumos!$C$5:$G$143,5,FALSE()),0)</f>
        <v>0.032</v>
      </c>
      <c r="J434" s="25" t="n">
        <f aca="false">IF(C434="bizcocho",VLOOKUP(A434,'Recetas y precios'!$A$5:$G$55,6,FALSE()),IF(C434="jarabe",VLOOKUP(A434,'Recetas y precios'!$A$5:$G$55,7,FALSE()),1))</f>
        <v>0.285</v>
      </c>
      <c r="K434" s="15" t="n">
        <f aca="false">G434*I434*J434</f>
        <v>0.456</v>
      </c>
    </row>
    <row r="435" customFormat="false" ht="15" hidden="false" customHeight="false" outlineLevel="0" collapsed="false">
      <c r="A435" s="0" t="n">
        <v>25</v>
      </c>
      <c r="B435" s="22" t="s">
        <v>770</v>
      </c>
      <c r="C435" s="13" t="s">
        <v>376</v>
      </c>
      <c r="D435" s="23" t="s">
        <v>771</v>
      </c>
      <c r="E435" s="23" t="s">
        <v>409</v>
      </c>
      <c r="F435" s="24" t="s">
        <v>48</v>
      </c>
      <c r="G435" s="19" t="n">
        <v>35</v>
      </c>
      <c r="H435" s="13" t="s">
        <v>27</v>
      </c>
      <c r="I435" s="12" t="n">
        <f aca="false">IFERROR(VLOOKUP(F435,Insumos!$C$5:$G$143,5,FALSE()),0)</f>
        <v>0.13</v>
      </c>
      <c r="J435" s="25" t="n">
        <f aca="false">IF(C435="bizcocho",VLOOKUP(A435,'Recetas y precios'!$A$5:$G$55,6,FALSE()),IF(C435="jarabe",VLOOKUP(A435,'Recetas y precios'!$A$5:$G$55,7,FALSE()),1))</f>
        <v>0.285</v>
      </c>
      <c r="K435" s="15" t="n">
        <f aca="false">G435*I435*J435</f>
        <v>1.29675</v>
      </c>
    </row>
    <row r="436" customFormat="false" ht="15" hidden="false" customHeight="false" outlineLevel="0" collapsed="false">
      <c r="A436" s="0" t="n">
        <v>25</v>
      </c>
      <c r="B436" s="22" t="s">
        <v>770</v>
      </c>
      <c r="C436" s="13" t="s">
        <v>376</v>
      </c>
      <c r="D436" s="23" t="s">
        <v>771</v>
      </c>
      <c r="E436" s="23" t="s">
        <v>410</v>
      </c>
      <c r="F436" s="24" t="s">
        <v>50</v>
      </c>
      <c r="G436" s="19" t="n">
        <v>75</v>
      </c>
      <c r="H436" s="13" t="s">
        <v>27</v>
      </c>
      <c r="I436" s="12" t="n">
        <f aca="false">IFERROR(VLOOKUP(F436,Insumos!$C$5:$G$143,5,FALSE()),0)</f>
        <v>0.075</v>
      </c>
      <c r="J436" s="25" t="n">
        <f aca="false">IF(C436="bizcocho",VLOOKUP(A436,'Recetas y precios'!$A$5:$G$55,6,FALSE()),IF(C436="jarabe",VLOOKUP(A436,'Recetas y precios'!$A$5:$G$55,7,FALSE()),1))</f>
        <v>0.285</v>
      </c>
      <c r="K436" s="15" t="n">
        <f aca="false">G436*I436*J436</f>
        <v>1.603125</v>
      </c>
    </row>
    <row r="437" customFormat="false" ht="15" hidden="false" customHeight="false" outlineLevel="0" collapsed="false">
      <c r="A437" s="0" t="n">
        <v>25</v>
      </c>
      <c r="B437" s="22" t="s">
        <v>770</v>
      </c>
      <c r="C437" s="13" t="s">
        <v>376</v>
      </c>
      <c r="D437" s="23" t="s">
        <v>771</v>
      </c>
      <c r="E437" s="23" t="s">
        <v>411</v>
      </c>
      <c r="F437" s="24" t="s">
        <v>72</v>
      </c>
      <c r="G437" s="19" t="n">
        <v>40</v>
      </c>
      <c r="H437" s="13" t="s">
        <v>27</v>
      </c>
      <c r="I437" s="12" t="n">
        <f aca="false">IFERROR(VLOOKUP(F437,Insumos!$C$5:$G$143,5,FALSE()),0)</f>
        <v>0.028</v>
      </c>
      <c r="J437" s="25" t="n">
        <f aca="false">IF(C437="bizcocho",VLOOKUP(A437,'Recetas y precios'!$A$5:$G$55,6,FALSE()),IF(C437="jarabe",VLOOKUP(A437,'Recetas y precios'!$A$5:$G$55,7,FALSE()),1))</f>
        <v>0.285</v>
      </c>
      <c r="K437" s="15" t="n">
        <f aca="false">G437*I437*J437</f>
        <v>0.3192</v>
      </c>
    </row>
    <row r="438" customFormat="false" ht="15" hidden="false" customHeight="false" outlineLevel="0" collapsed="false">
      <c r="A438" s="0" t="n">
        <v>25</v>
      </c>
      <c r="B438" s="22" t="s">
        <v>770</v>
      </c>
      <c r="C438" s="13" t="s">
        <v>376</v>
      </c>
      <c r="D438" s="23" t="s">
        <v>771</v>
      </c>
      <c r="E438" s="23" t="s">
        <v>772</v>
      </c>
      <c r="F438" s="24" t="s">
        <v>109</v>
      </c>
      <c r="G438" s="19" t="n">
        <v>25</v>
      </c>
      <c r="H438" s="13" t="s">
        <v>34</v>
      </c>
      <c r="I438" s="12" t="n">
        <f aca="false">IFERROR(VLOOKUP(F438,Insumos!$C$5:$G$143,5,FALSE()),0)</f>
        <v>0.045</v>
      </c>
      <c r="J438" s="25" t="n">
        <f aca="false">IF(C438="bizcocho",VLOOKUP(A438,'Recetas y precios'!$A$5:$G$55,6,FALSE()),IF(C438="jarabe",VLOOKUP(A438,'Recetas y precios'!$A$5:$G$55,7,FALSE()),1))</f>
        <v>0.285</v>
      </c>
      <c r="K438" s="15" t="n">
        <f aca="false">G438*I438*J438</f>
        <v>0.320625</v>
      </c>
    </row>
    <row r="439" customFormat="false" ht="15" hidden="false" customHeight="false" outlineLevel="0" collapsed="false">
      <c r="A439" s="0" t="n">
        <v>25</v>
      </c>
      <c r="B439" s="22" t="s">
        <v>770</v>
      </c>
      <c r="C439" s="13" t="s">
        <v>376</v>
      </c>
      <c r="D439" s="23" t="s">
        <v>771</v>
      </c>
      <c r="E439" s="23" t="s">
        <v>773</v>
      </c>
      <c r="F439" s="24" t="s">
        <v>40</v>
      </c>
      <c r="G439" s="19" t="n">
        <v>35</v>
      </c>
      <c r="H439" s="13" t="s">
        <v>34</v>
      </c>
      <c r="I439" s="12" t="n">
        <f aca="false">IFERROR(VLOOKUP(F439,Insumos!$C$5:$G$143,5,FALSE()),0)</f>
        <v>0.028</v>
      </c>
      <c r="J439" s="25" t="n">
        <f aca="false">IF(C439="bizcocho",VLOOKUP(A439,'Recetas y precios'!$A$5:$G$55,6,FALSE()),IF(C439="jarabe",VLOOKUP(A439,'Recetas y precios'!$A$5:$G$55,7,FALSE()),1))</f>
        <v>0.285</v>
      </c>
      <c r="K439" s="15" t="n">
        <f aca="false">G439*I439*J439</f>
        <v>0.2793</v>
      </c>
    </row>
    <row r="440" customFormat="false" ht="15" hidden="false" customHeight="false" outlineLevel="0" collapsed="false">
      <c r="A440" s="0" t="n">
        <v>25</v>
      </c>
      <c r="B440" s="22" t="s">
        <v>770</v>
      </c>
      <c r="C440" s="13" t="s">
        <v>376</v>
      </c>
      <c r="D440" s="23" t="s">
        <v>771</v>
      </c>
      <c r="E440" s="23" t="s">
        <v>774</v>
      </c>
      <c r="F440" s="24" t="s">
        <v>284</v>
      </c>
      <c r="G440" s="19" t="n">
        <v>2</v>
      </c>
      <c r="H440" s="13" t="s">
        <v>34</v>
      </c>
      <c r="I440" s="12" t="n">
        <f aca="false">IFERROR(VLOOKUP(F440,Insumos!$C$5:$G$143,5,FALSE()),0)</f>
        <v>0.45</v>
      </c>
      <c r="J440" s="25" t="n">
        <f aca="false">IF(C440="bizcocho",VLOOKUP(A440,'Recetas y precios'!$A$5:$G$55,6,FALSE()),IF(C440="jarabe",VLOOKUP(A440,'Recetas y precios'!$A$5:$G$55,7,FALSE()),1))</f>
        <v>0.285</v>
      </c>
      <c r="K440" s="15" t="n">
        <f aca="false">G440*I440*J440</f>
        <v>0.2565</v>
      </c>
    </row>
    <row r="441" customFormat="false" ht="15" hidden="false" customHeight="false" outlineLevel="0" collapsed="false">
      <c r="A441" s="0" t="n">
        <v>25</v>
      </c>
      <c r="B441" s="22" t="s">
        <v>770</v>
      </c>
      <c r="C441" s="13" t="s">
        <v>376</v>
      </c>
      <c r="D441" s="23" t="s">
        <v>771</v>
      </c>
      <c r="E441" s="23" t="s">
        <v>413</v>
      </c>
      <c r="F441" s="24" t="s">
        <v>103</v>
      </c>
      <c r="G441" s="19" t="n">
        <v>1</v>
      </c>
      <c r="H441" s="13" t="s">
        <v>27</v>
      </c>
      <c r="I441" s="12" t="n">
        <f aca="false">IFERROR(VLOOKUP(F441,Insumos!$C$5:$G$143,5,FALSE()),0)</f>
        <v>0.025</v>
      </c>
      <c r="J441" s="25" t="n">
        <f aca="false">IF(C441="bizcocho",VLOOKUP(A441,'Recetas y precios'!$A$5:$G$55,6,FALSE()),IF(C441="jarabe",VLOOKUP(A441,'Recetas y precios'!$A$5:$G$55,7,FALSE()),1))</f>
        <v>0.285</v>
      </c>
      <c r="K441" s="15" t="n">
        <f aca="false">G441*I441*J441</f>
        <v>0.007125</v>
      </c>
    </row>
    <row r="442" customFormat="false" ht="15" hidden="false" customHeight="false" outlineLevel="0" collapsed="false">
      <c r="A442" s="0" t="n">
        <v>25</v>
      </c>
      <c r="B442" s="22" t="s">
        <v>770</v>
      </c>
      <c r="C442" s="13" t="s">
        <v>387</v>
      </c>
      <c r="D442" s="23" t="s">
        <v>661</v>
      </c>
      <c r="E442" s="23" t="s">
        <v>775</v>
      </c>
      <c r="F442" s="24" t="s">
        <v>183</v>
      </c>
      <c r="G442" s="19" t="n">
        <v>40</v>
      </c>
      <c r="H442" s="13" t="s">
        <v>34</v>
      </c>
      <c r="I442" s="12" t="n">
        <f aca="false">IFERROR(VLOOKUP(F442,Insumos!$C$5:$G$143,5,FALSE()),0)</f>
        <v>0.06</v>
      </c>
      <c r="J442" s="25" t="n">
        <f aca="false">IF(C442="bizcocho",VLOOKUP(A442,'Recetas y precios'!$A$5:$G$55,6,FALSE()),IF(C442="jarabe",VLOOKUP(A442,'Recetas y precios'!$A$5:$G$55,7,FALSE()),1))</f>
        <v>1</v>
      </c>
      <c r="K442" s="15" t="n">
        <f aca="false">G442*I442*J442</f>
        <v>2.4</v>
      </c>
    </row>
    <row r="443" customFormat="false" ht="15" hidden="false" customHeight="false" outlineLevel="0" collapsed="false">
      <c r="A443" s="0" t="n">
        <v>25</v>
      </c>
      <c r="B443" s="22" t="s">
        <v>770</v>
      </c>
      <c r="C443" s="13" t="s">
        <v>387</v>
      </c>
      <c r="D443" s="23" t="s">
        <v>661</v>
      </c>
      <c r="E443" s="23" t="s">
        <v>390</v>
      </c>
      <c r="F443" s="24" t="s">
        <v>113</v>
      </c>
      <c r="G443" s="19" t="n">
        <v>20</v>
      </c>
      <c r="H443" s="13" t="s">
        <v>34</v>
      </c>
      <c r="I443" s="12" t="n">
        <f aca="false">IFERROR(VLOOKUP(F443,Insumos!$C$5:$G$143,5,FALSE()),0)</f>
        <v>0.002</v>
      </c>
      <c r="J443" s="25" t="n">
        <f aca="false">IF(C443="bizcocho",VLOOKUP(A443,'Recetas y precios'!$A$5:$G$55,6,FALSE()),IF(C443="jarabe",VLOOKUP(A443,'Recetas y precios'!$A$5:$G$55,7,FALSE()),1))</f>
        <v>1</v>
      </c>
      <c r="K443" s="15" t="n">
        <f aca="false">G443*I443*J443</f>
        <v>0.04</v>
      </c>
    </row>
    <row r="444" customFormat="false" ht="15" hidden="false" customHeight="false" outlineLevel="0" collapsed="false">
      <c r="A444" s="0" t="n">
        <v>25</v>
      </c>
      <c r="B444" s="22" t="s">
        <v>770</v>
      </c>
      <c r="C444" s="13" t="s">
        <v>387</v>
      </c>
      <c r="D444" s="23" t="s">
        <v>661</v>
      </c>
      <c r="E444" s="23" t="s">
        <v>776</v>
      </c>
      <c r="F444" s="24" t="s">
        <v>72</v>
      </c>
      <c r="G444" s="19" t="n">
        <v>10</v>
      </c>
      <c r="H444" s="13" t="s">
        <v>27</v>
      </c>
      <c r="I444" s="12" t="n">
        <f aca="false">IFERROR(VLOOKUP(F444,Insumos!$C$5:$G$143,5,FALSE()),0)</f>
        <v>0.028</v>
      </c>
      <c r="J444" s="25" t="n">
        <f aca="false">IF(C444="bizcocho",VLOOKUP(A444,'Recetas y precios'!$A$5:$G$55,6,FALSE()),IF(C444="jarabe",VLOOKUP(A444,'Recetas y precios'!$A$5:$G$55,7,FALSE()),1))</f>
        <v>1</v>
      </c>
      <c r="K444" s="15" t="n">
        <f aca="false">G444*I444*J444</f>
        <v>0.28</v>
      </c>
    </row>
    <row r="445" customFormat="false" ht="15" hidden="false" customHeight="false" outlineLevel="0" collapsed="false">
      <c r="A445" s="0" t="n">
        <v>25</v>
      </c>
      <c r="B445" s="22" t="s">
        <v>770</v>
      </c>
      <c r="C445" s="13" t="s">
        <v>387</v>
      </c>
      <c r="D445" s="23" t="s">
        <v>661</v>
      </c>
      <c r="E445" s="23" t="s">
        <v>777</v>
      </c>
      <c r="F445" s="24" t="s">
        <v>315</v>
      </c>
      <c r="G445" s="19" t="n">
        <v>5</v>
      </c>
      <c r="H445" s="13" t="s">
        <v>34</v>
      </c>
      <c r="I445" s="12" t="n">
        <f aca="false">IFERROR(VLOOKUP(F445,Insumos!$C$5:$G$143,5,FALSE()),0)</f>
        <v>0.533333333333333</v>
      </c>
      <c r="J445" s="25" t="n">
        <f aca="false">IF(C445="bizcocho",VLOOKUP(A445,'Recetas y precios'!$A$5:$G$55,6,FALSE()),IF(C445="jarabe",VLOOKUP(A445,'Recetas y precios'!$A$5:$G$55,7,FALSE()),1))</f>
        <v>1</v>
      </c>
      <c r="K445" s="15" t="n">
        <f aca="false">G445*I445*J445</f>
        <v>2.66666666666667</v>
      </c>
    </row>
    <row r="446" customFormat="false" ht="15" hidden="false" customHeight="false" outlineLevel="0" collapsed="false">
      <c r="A446" s="0" t="n">
        <v>25</v>
      </c>
      <c r="B446" s="22" t="s">
        <v>770</v>
      </c>
      <c r="C446" s="13" t="s">
        <v>393</v>
      </c>
      <c r="D446" s="23" t="s">
        <v>778</v>
      </c>
      <c r="E446" s="23" t="s">
        <v>779</v>
      </c>
      <c r="F446" s="24" t="s">
        <v>26</v>
      </c>
      <c r="G446" s="19" t="n">
        <v>140</v>
      </c>
      <c r="H446" s="13" t="s">
        <v>27</v>
      </c>
      <c r="I446" s="12" t="n">
        <f aca="false">IFERROR(VLOOKUP(F446,Insumos!$C$5:$G$143,5,FALSE()),0)</f>
        <v>0.38</v>
      </c>
      <c r="J446" s="25" t="n">
        <f aca="false">IF(C446="bizcocho",VLOOKUP(A446,'Recetas y precios'!$A$5:$G$55,6,FALSE()),IF(C446="jarabe",VLOOKUP(A446,'Recetas y precios'!$A$5:$G$55,7,FALSE()),1))</f>
        <v>1</v>
      </c>
      <c r="K446" s="15" t="n">
        <f aca="false">G446*I446*J446</f>
        <v>53.2</v>
      </c>
    </row>
    <row r="447" customFormat="false" ht="15" hidden="false" customHeight="false" outlineLevel="0" collapsed="false">
      <c r="A447" s="0" t="n">
        <v>25</v>
      </c>
      <c r="B447" s="22" t="s">
        <v>770</v>
      </c>
      <c r="C447" s="13" t="s">
        <v>393</v>
      </c>
      <c r="D447" s="23" t="s">
        <v>778</v>
      </c>
      <c r="E447" s="23" t="s">
        <v>780</v>
      </c>
      <c r="F447" s="24" t="s">
        <v>29</v>
      </c>
      <c r="G447" s="19" t="n">
        <v>50</v>
      </c>
      <c r="H447" s="13" t="s">
        <v>27</v>
      </c>
      <c r="I447" s="12" t="n">
        <f aca="false">IFERROR(VLOOKUP(F447,Insumos!$C$5:$G$143,5,FALSE()),0)</f>
        <v>0.195</v>
      </c>
      <c r="J447" s="25" t="n">
        <f aca="false">IF(C447="bizcocho",VLOOKUP(A447,'Recetas y precios'!$A$5:$G$55,6,FALSE()),IF(C447="jarabe",VLOOKUP(A447,'Recetas y precios'!$A$5:$G$55,7,FALSE()),1))</f>
        <v>1</v>
      </c>
      <c r="K447" s="15" t="n">
        <f aca="false">G447*I447*J447</f>
        <v>9.75</v>
      </c>
    </row>
    <row r="448" customFormat="false" ht="15" hidden="false" customHeight="false" outlineLevel="0" collapsed="false">
      <c r="A448" s="0" t="n">
        <v>25</v>
      </c>
      <c r="B448" s="22" t="s">
        <v>770</v>
      </c>
      <c r="C448" s="13" t="s">
        <v>393</v>
      </c>
      <c r="D448" s="23" t="s">
        <v>778</v>
      </c>
      <c r="E448" s="23" t="s">
        <v>634</v>
      </c>
      <c r="F448" s="24" t="s">
        <v>33</v>
      </c>
      <c r="G448" s="19" t="n">
        <v>190</v>
      </c>
      <c r="H448" s="13" t="s">
        <v>34</v>
      </c>
      <c r="I448" s="12" t="n">
        <f aca="false">IFERROR(VLOOKUP(F448,Insumos!$C$5:$G$143,5,FALSE()),0)</f>
        <v>0.078</v>
      </c>
      <c r="J448" s="25" t="n">
        <f aca="false">IF(C448="bizcocho",VLOOKUP(A448,'Recetas y precios'!$A$5:$G$55,6,FALSE()),IF(C448="jarabe",VLOOKUP(A448,'Recetas y precios'!$A$5:$G$55,7,FALSE()),1))</f>
        <v>1</v>
      </c>
      <c r="K448" s="15" t="n">
        <f aca="false">G448*I448*J448</f>
        <v>14.82</v>
      </c>
    </row>
    <row r="449" customFormat="false" ht="15" hidden="false" customHeight="false" outlineLevel="0" collapsed="false">
      <c r="A449" s="0" t="n">
        <v>25</v>
      </c>
      <c r="B449" s="22" t="s">
        <v>770</v>
      </c>
      <c r="C449" s="13" t="s">
        <v>393</v>
      </c>
      <c r="D449" s="23" t="s">
        <v>778</v>
      </c>
      <c r="E449" s="23" t="s">
        <v>444</v>
      </c>
      <c r="F449" s="24" t="s">
        <v>36</v>
      </c>
      <c r="G449" s="19" t="n">
        <v>50</v>
      </c>
      <c r="H449" s="13" t="s">
        <v>27</v>
      </c>
      <c r="I449" s="12" t="n">
        <f aca="false">IFERROR(VLOOKUP(F449,Insumos!$C$5:$G$143,5,FALSE()),0)</f>
        <v>0.085</v>
      </c>
      <c r="J449" s="25" t="n">
        <f aca="false">IF(C449="bizcocho",VLOOKUP(A449,'Recetas y precios'!$A$5:$G$55,6,FALSE()),IF(C449="jarabe",VLOOKUP(A449,'Recetas y precios'!$A$5:$G$55,7,FALSE()),1))</f>
        <v>1</v>
      </c>
      <c r="K449" s="15" t="n">
        <f aca="false">G449*I449*J449</f>
        <v>4.25</v>
      </c>
    </row>
    <row r="450" customFormat="false" ht="15" hidden="false" customHeight="false" outlineLevel="0" collapsed="false">
      <c r="A450" s="0" t="n">
        <v>25</v>
      </c>
      <c r="B450" s="22" t="s">
        <v>770</v>
      </c>
      <c r="C450" s="13" t="s">
        <v>393</v>
      </c>
      <c r="D450" s="23" t="s">
        <v>778</v>
      </c>
      <c r="E450" s="23" t="s">
        <v>456</v>
      </c>
      <c r="F450" s="24" t="s">
        <v>74</v>
      </c>
      <c r="G450" s="19" t="n">
        <v>20</v>
      </c>
      <c r="H450" s="13" t="s">
        <v>27</v>
      </c>
      <c r="I450" s="12" t="n">
        <f aca="false">IFERROR(VLOOKUP(F450,Insumos!$C$5:$G$143,5,FALSE()),0)</f>
        <v>0.045</v>
      </c>
      <c r="J450" s="25" t="n">
        <f aca="false">IF(C450="bizcocho",VLOOKUP(A450,'Recetas y precios'!$A$5:$G$55,6,FALSE()),IF(C450="jarabe",VLOOKUP(A450,'Recetas y precios'!$A$5:$G$55,7,FALSE()),1))</f>
        <v>1</v>
      </c>
      <c r="K450" s="15" t="n">
        <f aca="false">G450*I450*J450</f>
        <v>0.9</v>
      </c>
    </row>
    <row r="451" customFormat="false" ht="15" hidden="false" customHeight="false" outlineLevel="0" collapsed="false">
      <c r="A451" s="0" t="n">
        <v>25</v>
      </c>
      <c r="B451" s="22" t="s">
        <v>770</v>
      </c>
      <c r="C451" s="13" t="s">
        <v>400</v>
      </c>
      <c r="D451" s="23" t="s">
        <v>781</v>
      </c>
      <c r="E451" s="23" t="s">
        <v>782</v>
      </c>
      <c r="F451" s="24" t="s">
        <v>162</v>
      </c>
      <c r="G451" s="19" t="n">
        <v>90</v>
      </c>
      <c r="H451" s="13" t="s">
        <v>27</v>
      </c>
      <c r="I451" s="12" t="n">
        <f aca="false">IFERROR(VLOOKUP(F451,Insumos!$C$5:$G$143,5,FALSE()),0)</f>
        <v>0.45</v>
      </c>
      <c r="J451" s="25" t="n">
        <f aca="false">IF(C451="bizcocho",VLOOKUP(A451,'Recetas y precios'!$A$5:$G$55,6,FALSE()),IF(C451="jarabe",VLOOKUP(A451,'Recetas y precios'!$A$5:$G$55,7,FALSE()),1))</f>
        <v>1</v>
      </c>
      <c r="K451" s="15" t="n">
        <f aca="false">G451*I451*J451</f>
        <v>40.5</v>
      </c>
    </row>
    <row r="452" customFormat="false" ht="15" hidden="false" customHeight="false" outlineLevel="0" collapsed="false">
      <c r="A452" s="0" t="n">
        <v>25</v>
      </c>
      <c r="B452" s="22" t="s">
        <v>770</v>
      </c>
      <c r="C452" s="13" t="s">
        <v>400</v>
      </c>
      <c r="D452" s="23" t="s">
        <v>781</v>
      </c>
      <c r="E452" s="23" t="s">
        <v>783</v>
      </c>
      <c r="F452" s="24" t="s">
        <v>187</v>
      </c>
      <c r="G452" s="19" t="n">
        <v>40</v>
      </c>
      <c r="H452" s="13" t="s">
        <v>27</v>
      </c>
      <c r="I452" s="12" t="n">
        <f aca="false">IFERROR(VLOOKUP(F452,Insumos!$C$5:$G$143,5,FALSE()),0)</f>
        <v>0.08</v>
      </c>
      <c r="J452" s="25" t="n">
        <f aca="false">IF(C452="bizcocho",VLOOKUP(A452,'Recetas y precios'!$A$5:$G$55,6,FALSE()),IF(C452="jarabe",VLOOKUP(A452,'Recetas y precios'!$A$5:$G$55,7,FALSE()),1))</f>
        <v>1</v>
      </c>
      <c r="K452" s="15" t="n">
        <f aca="false">G452*I452*J452</f>
        <v>3.2</v>
      </c>
    </row>
    <row r="453" customFormat="false" ht="15" hidden="false" customHeight="false" outlineLevel="0" collapsed="false">
      <c r="A453" s="0" t="n">
        <v>26</v>
      </c>
      <c r="B453" s="22" t="s">
        <v>784</v>
      </c>
      <c r="C453" s="13" t="s">
        <v>376</v>
      </c>
      <c r="D453" s="23" t="s">
        <v>785</v>
      </c>
      <c r="E453" s="23" t="s">
        <v>530</v>
      </c>
      <c r="F453" s="24" t="s">
        <v>59</v>
      </c>
      <c r="G453" s="19" t="n">
        <v>50</v>
      </c>
      <c r="H453" s="13" t="s">
        <v>27</v>
      </c>
      <c r="I453" s="12" t="n">
        <f aca="false">IFERROR(VLOOKUP(F453,Insumos!$C$5:$G$143,5,FALSE()),0)</f>
        <v>0.032</v>
      </c>
      <c r="J453" s="25" t="n">
        <f aca="false">IF(C453="bizcocho",VLOOKUP(A453,'Recetas y precios'!$A$5:$G$55,6,FALSE()),IF(C453="jarabe",VLOOKUP(A453,'Recetas y precios'!$A$5:$G$55,7,FALSE()),1))</f>
        <v>0.279</v>
      </c>
      <c r="K453" s="15" t="n">
        <f aca="false">G453*I453*J453</f>
        <v>0.4464</v>
      </c>
    </row>
    <row r="454" customFormat="false" ht="15" hidden="false" customHeight="false" outlineLevel="0" collapsed="false">
      <c r="A454" s="0" t="n">
        <v>26</v>
      </c>
      <c r="B454" s="22" t="s">
        <v>784</v>
      </c>
      <c r="C454" s="13" t="s">
        <v>376</v>
      </c>
      <c r="D454" s="23" t="s">
        <v>785</v>
      </c>
      <c r="E454" s="23" t="s">
        <v>786</v>
      </c>
      <c r="F454" s="24" t="s">
        <v>192</v>
      </c>
      <c r="G454" s="19" t="n">
        <v>10</v>
      </c>
      <c r="H454" s="13" t="s">
        <v>27</v>
      </c>
      <c r="I454" s="12" t="n">
        <f aca="false">IFERROR(VLOOKUP(F454,Insumos!$C$5:$G$143,5,FALSE()),0)</f>
        <v>1.8</v>
      </c>
      <c r="J454" s="25" t="n">
        <f aca="false">IF(C454="bizcocho",VLOOKUP(A454,'Recetas y precios'!$A$5:$G$55,6,FALSE()),IF(C454="jarabe",VLOOKUP(A454,'Recetas y precios'!$A$5:$G$55,7,FALSE()),1))</f>
        <v>0.279</v>
      </c>
      <c r="K454" s="15" t="n">
        <f aca="false">G454*I454*J454</f>
        <v>5.022</v>
      </c>
    </row>
    <row r="455" customFormat="false" ht="15" hidden="false" customHeight="false" outlineLevel="0" collapsed="false">
      <c r="A455" s="0" t="n">
        <v>26</v>
      </c>
      <c r="B455" s="22" t="s">
        <v>784</v>
      </c>
      <c r="C455" s="13" t="s">
        <v>376</v>
      </c>
      <c r="D455" s="23" t="s">
        <v>785</v>
      </c>
      <c r="E455" s="23" t="s">
        <v>379</v>
      </c>
      <c r="F455" s="24" t="s">
        <v>48</v>
      </c>
      <c r="G455" s="19" t="n">
        <v>40</v>
      </c>
      <c r="H455" s="13" t="s">
        <v>27</v>
      </c>
      <c r="I455" s="12" t="n">
        <f aca="false">IFERROR(VLOOKUP(F455,Insumos!$C$5:$G$143,5,FALSE()),0)</f>
        <v>0.13</v>
      </c>
      <c r="J455" s="25" t="n">
        <f aca="false">IF(C455="bizcocho",VLOOKUP(A455,'Recetas y precios'!$A$5:$G$55,6,FALSE()),IF(C455="jarabe",VLOOKUP(A455,'Recetas y precios'!$A$5:$G$55,7,FALSE()),1))</f>
        <v>0.279</v>
      </c>
      <c r="K455" s="15" t="n">
        <f aca="false">G455*I455*J455</f>
        <v>1.4508</v>
      </c>
    </row>
    <row r="456" customFormat="false" ht="15" hidden="false" customHeight="false" outlineLevel="0" collapsed="false">
      <c r="A456" s="0" t="n">
        <v>26</v>
      </c>
      <c r="B456" s="22" t="s">
        <v>784</v>
      </c>
      <c r="C456" s="13" t="s">
        <v>376</v>
      </c>
      <c r="D456" s="23" t="s">
        <v>785</v>
      </c>
      <c r="E456" s="23" t="s">
        <v>380</v>
      </c>
      <c r="F456" s="24" t="s">
        <v>50</v>
      </c>
      <c r="G456" s="19" t="n">
        <v>80</v>
      </c>
      <c r="H456" s="13" t="s">
        <v>27</v>
      </c>
      <c r="I456" s="12" t="n">
        <f aca="false">IFERROR(VLOOKUP(F456,Insumos!$C$5:$G$143,5,FALSE()),0)</f>
        <v>0.075</v>
      </c>
      <c r="J456" s="25" t="n">
        <f aca="false">IF(C456="bizcocho",VLOOKUP(A456,'Recetas y precios'!$A$5:$G$55,6,FALSE()),IF(C456="jarabe",VLOOKUP(A456,'Recetas y precios'!$A$5:$G$55,7,FALSE()),1))</f>
        <v>0.279</v>
      </c>
      <c r="K456" s="15" t="n">
        <f aca="false">G456*I456*J456</f>
        <v>1.674</v>
      </c>
    </row>
    <row r="457" customFormat="false" ht="15" hidden="false" customHeight="false" outlineLevel="0" collapsed="false">
      <c r="A457" s="0" t="n">
        <v>26</v>
      </c>
      <c r="B457" s="22" t="s">
        <v>784</v>
      </c>
      <c r="C457" s="13" t="s">
        <v>376</v>
      </c>
      <c r="D457" s="23" t="s">
        <v>785</v>
      </c>
      <c r="E457" s="23" t="s">
        <v>472</v>
      </c>
      <c r="F457" s="24" t="s">
        <v>72</v>
      </c>
      <c r="G457" s="19" t="n">
        <v>45</v>
      </c>
      <c r="H457" s="13" t="s">
        <v>27</v>
      </c>
      <c r="I457" s="12" t="n">
        <f aca="false">IFERROR(VLOOKUP(F457,Insumos!$C$5:$G$143,5,FALSE()),0)</f>
        <v>0.028</v>
      </c>
      <c r="J457" s="25" t="n">
        <f aca="false">IF(C457="bizcocho",VLOOKUP(A457,'Recetas y precios'!$A$5:$G$55,6,FALSE()),IF(C457="jarabe",VLOOKUP(A457,'Recetas y precios'!$A$5:$G$55,7,FALSE()),1))</f>
        <v>0.279</v>
      </c>
      <c r="K457" s="15" t="n">
        <f aca="false">G457*I457*J457</f>
        <v>0.35154</v>
      </c>
    </row>
    <row r="458" customFormat="false" ht="15" hidden="false" customHeight="false" outlineLevel="0" collapsed="false">
      <c r="A458" s="0" t="n">
        <v>26</v>
      </c>
      <c r="B458" s="22" t="s">
        <v>784</v>
      </c>
      <c r="C458" s="13" t="s">
        <v>376</v>
      </c>
      <c r="D458" s="23" t="s">
        <v>785</v>
      </c>
      <c r="E458" s="23" t="s">
        <v>412</v>
      </c>
      <c r="F458" s="24" t="s">
        <v>109</v>
      </c>
      <c r="G458" s="19" t="n">
        <v>25</v>
      </c>
      <c r="H458" s="13" t="s">
        <v>34</v>
      </c>
      <c r="I458" s="12" t="n">
        <f aca="false">IFERROR(VLOOKUP(F458,Insumos!$C$5:$G$143,5,FALSE()),0)</f>
        <v>0.045</v>
      </c>
      <c r="J458" s="25" t="n">
        <f aca="false">IF(C458="bizcocho",VLOOKUP(A458,'Recetas y precios'!$A$5:$G$55,6,FALSE()),IF(C458="jarabe",VLOOKUP(A458,'Recetas y precios'!$A$5:$G$55,7,FALSE()),1))</f>
        <v>0.279</v>
      </c>
      <c r="K458" s="15" t="n">
        <f aca="false">G458*I458*J458</f>
        <v>0.313875</v>
      </c>
    </row>
    <row r="459" customFormat="false" ht="15" hidden="false" customHeight="false" outlineLevel="0" collapsed="false">
      <c r="A459" s="0" t="n">
        <v>26</v>
      </c>
      <c r="B459" s="22" t="s">
        <v>784</v>
      </c>
      <c r="C459" s="13" t="s">
        <v>376</v>
      </c>
      <c r="D459" s="23" t="s">
        <v>785</v>
      </c>
      <c r="E459" s="23" t="s">
        <v>787</v>
      </c>
      <c r="F459" s="24" t="s">
        <v>40</v>
      </c>
      <c r="G459" s="19" t="n">
        <v>35</v>
      </c>
      <c r="H459" s="13" t="s">
        <v>34</v>
      </c>
      <c r="I459" s="12" t="n">
        <f aca="false">IFERROR(VLOOKUP(F459,Insumos!$C$5:$G$143,5,FALSE()),0)</f>
        <v>0.028</v>
      </c>
      <c r="J459" s="25" t="n">
        <f aca="false">IF(C459="bizcocho",VLOOKUP(A459,'Recetas y precios'!$A$5:$G$55,6,FALSE()),IF(C459="jarabe",VLOOKUP(A459,'Recetas y precios'!$A$5:$G$55,7,FALSE()),1))</f>
        <v>0.279</v>
      </c>
      <c r="K459" s="15" t="n">
        <f aca="false">G459*I459*J459</f>
        <v>0.27342</v>
      </c>
    </row>
    <row r="460" customFormat="false" ht="15" hidden="false" customHeight="false" outlineLevel="0" collapsed="false">
      <c r="A460" s="0" t="n">
        <v>26</v>
      </c>
      <c r="B460" s="22" t="s">
        <v>784</v>
      </c>
      <c r="C460" s="13" t="s">
        <v>376</v>
      </c>
      <c r="D460" s="23" t="s">
        <v>785</v>
      </c>
      <c r="E460" s="23" t="s">
        <v>385</v>
      </c>
      <c r="F460" s="24" t="s">
        <v>103</v>
      </c>
      <c r="G460" s="19" t="n">
        <v>1</v>
      </c>
      <c r="H460" s="13" t="s">
        <v>27</v>
      </c>
      <c r="I460" s="12" t="n">
        <f aca="false">IFERROR(VLOOKUP(F460,Insumos!$C$5:$G$143,5,FALSE()),0)</f>
        <v>0.025</v>
      </c>
      <c r="J460" s="25" t="n">
        <f aca="false">IF(C460="bizcocho",VLOOKUP(A460,'Recetas y precios'!$A$5:$G$55,6,FALSE()),IF(C460="jarabe",VLOOKUP(A460,'Recetas y precios'!$A$5:$G$55,7,FALSE()),1))</f>
        <v>0.279</v>
      </c>
      <c r="K460" s="15" t="n">
        <f aca="false">G460*I460*J460</f>
        <v>0.006975</v>
      </c>
    </row>
    <row r="461" customFormat="false" ht="15" hidden="false" customHeight="false" outlineLevel="0" collapsed="false">
      <c r="A461" s="0" t="n">
        <v>26</v>
      </c>
      <c r="B461" s="22" t="s">
        <v>784</v>
      </c>
      <c r="C461" s="13" t="s">
        <v>376</v>
      </c>
      <c r="D461" s="23" t="s">
        <v>785</v>
      </c>
      <c r="E461" s="23" t="s">
        <v>386</v>
      </c>
      <c r="F461" s="24" t="s">
        <v>95</v>
      </c>
      <c r="G461" s="19" t="n">
        <v>1</v>
      </c>
      <c r="H461" s="13" t="s">
        <v>27</v>
      </c>
      <c r="I461" s="12" t="n">
        <f aca="false">IFERROR(VLOOKUP(F461,Insumos!$C$5:$G$143,5,FALSE()),0)</f>
        <v>0.48</v>
      </c>
      <c r="J461" s="25" t="n">
        <f aca="false">IF(C461="bizcocho",VLOOKUP(A461,'Recetas y precios'!$A$5:$G$55,6,FALSE()),IF(C461="jarabe",VLOOKUP(A461,'Recetas y precios'!$A$5:$G$55,7,FALSE()),1))</f>
        <v>0.279</v>
      </c>
      <c r="K461" s="15" t="n">
        <f aca="false">G461*I461*J461</f>
        <v>0.13392</v>
      </c>
    </row>
    <row r="462" customFormat="false" ht="15" hidden="false" customHeight="false" outlineLevel="0" collapsed="false">
      <c r="A462" s="0" t="n">
        <v>26</v>
      </c>
      <c r="B462" s="22" t="s">
        <v>784</v>
      </c>
      <c r="C462" s="13" t="s">
        <v>387</v>
      </c>
      <c r="D462" s="23" t="s">
        <v>716</v>
      </c>
      <c r="E462" s="23" t="s">
        <v>788</v>
      </c>
      <c r="F462" s="24" t="s">
        <v>150</v>
      </c>
      <c r="G462" s="19" t="n">
        <v>45</v>
      </c>
      <c r="H462" s="13" t="s">
        <v>27</v>
      </c>
      <c r="I462" s="12" t="n">
        <f aca="false">IFERROR(VLOOKUP(F462,Insumos!$C$5:$G$143,5,FALSE()),0)</f>
        <v>0.28</v>
      </c>
      <c r="J462" s="25" t="n">
        <f aca="false">IF(C462="bizcocho",VLOOKUP(A462,'Recetas y precios'!$A$5:$G$55,6,FALSE()),IF(C462="jarabe",VLOOKUP(A462,'Recetas y precios'!$A$5:$G$55,7,FALSE()),1))</f>
        <v>0.824</v>
      </c>
      <c r="K462" s="15" t="n">
        <f aca="false">G462*I462*J462</f>
        <v>10.3824</v>
      </c>
    </row>
    <row r="463" customFormat="false" ht="15" hidden="false" customHeight="false" outlineLevel="0" collapsed="false">
      <c r="A463" s="0" t="n">
        <v>26</v>
      </c>
      <c r="B463" s="22" t="s">
        <v>784</v>
      </c>
      <c r="C463" s="13" t="s">
        <v>387</v>
      </c>
      <c r="D463" s="23" t="s">
        <v>716</v>
      </c>
      <c r="E463" s="23" t="s">
        <v>789</v>
      </c>
      <c r="F463" s="24" t="s">
        <v>164</v>
      </c>
      <c r="G463" s="19" t="n">
        <v>20</v>
      </c>
      <c r="H463" s="13" t="s">
        <v>27</v>
      </c>
      <c r="I463" s="12" t="n">
        <f aca="false">IFERROR(VLOOKUP(F463,Insumos!$C$5:$G$143,5,FALSE()),0)</f>
        <v>0.18</v>
      </c>
      <c r="J463" s="25" t="n">
        <f aca="false">IF(C463="bizcocho",VLOOKUP(A463,'Recetas y precios'!$A$5:$G$55,6,FALSE()),IF(C463="jarabe",VLOOKUP(A463,'Recetas y precios'!$A$5:$G$55,7,FALSE()),1))</f>
        <v>0.824</v>
      </c>
      <c r="K463" s="15" t="n">
        <f aca="false">G463*I463*J463</f>
        <v>2.9664</v>
      </c>
    </row>
    <row r="464" customFormat="false" ht="15" hidden="false" customHeight="false" outlineLevel="0" collapsed="false">
      <c r="A464" s="0" t="n">
        <v>26</v>
      </c>
      <c r="B464" s="22" t="s">
        <v>784</v>
      </c>
      <c r="C464" s="13" t="s">
        <v>387</v>
      </c>
      <c r="D464" s="23" t="s">
        <v>716</v>
      </c>
      <c r="E464" s="23" t="s">
        <v>391</v>
      </c>
      <c r="F464" s="24" t="s">
        <v>72</v>
      </c>
      <c r="G464" s="19" t="n">
        <v>15</v>
      </c>
      <c r="H464" s="13" t="s">
        <v>27</v>
      </c>
      <c r="I464" s="12" t="n">
        <f aca="false">IFERROR(VLOOKUP(F464,Insumos!$C$5:$G$143,5,FALSE()),0)</f>
        <v>0.028</v>
      </c>
      <c r="J464" s="25" t="n">
        <f aca="false">IF(C464="bizcocho",VLOOKUP(A464,'Recetas y precios'!$A$5:$G$55,6,FALSE()),IF(C464="jarabe",VLOOKUP(A464,'Recetas y precios'!$A$5:$G$55,7,FALSE()),1))</f>
        <v>0.824</v>
      </c>
      <c r="K464" s="15" t="n">
        <f aca="false">G464*I464*J464</f>
        <v>0.34608</v>
      </c>
    </row>
    <row r="465" customFormat="false" ht="15" hidden="false" customHeight="false" outlineLevel="0" collapsed="false">
      <c r="A465" s="0" t="n">
        <v>26</v>
      </c>
      <c r="B465" s="22" t="s">
        <v>784</v>
      </c>
      <c r="C465" s="13" t="s">
        <v>387</v>
      </c>
      <c r="D465" s="23" t="s">
        <v>716</v>
      </c>
      <c r="E465" s="23" t="s">
        <v>790</v>
      </c>
      <c r="F465" s="24" t="s">
        <v>113</v>
      </c>
      <c r="G465" s="19" t="n">
        <v>5</v>
      </c>
      <c r="H465" s="13" t="s">
        <v>34</v>
      </c>
      <c r="I465" s="12" t="n">
        <f aca="false">IFERROR(VLOOKUP(F465,Insumos!$C$5:$G$143,5,FALSE()),0)</f>
        <v>0.002</v>
      </c>
      <c r="J465" s="25" t="n">
        <f aca="false">IF(C465="bizcocho",VLOOKUP(A465,'Recetas y precios'!$A$5:$G$55,6,FALSE()),IF(C465="jarabe",VLOOKUP(A465,'Recetas y precios'!$A$5:$G$55,7,FALSE()),1))</f>
        <v>0.824</v>
      </c>
      <c r="K465" s="15" t="n">
        <f aca="false">G465*I465*J465</f>
        <v>0.00824</v>
      </c>
    </row>
    <row r="466" customFormat="false" ht="15" hidden="false" customHeight="false" outlineLevel="0" collapsed="false">
      <c r="A466" s="0" t="n">
        <v>26</v>
      </c>
      <c r="B466" s="22" t="s">
        <v>784</v>
      </c>
      <c r="C466" s="13" t="s">
        <v>393</v>
      </c>
      <c r="D466" s="23" t="s">
        <v>791</v>
      </c>
      <c r="E466" s="23" t="s">
        <v>666</v>
      </c>
      <c r="F466" s="24" t="s">
        <v>26</v>
      </c>
      <c r="G466" s="19" t="n">
        <v>190</v>
      </c>
      <c r="H466" s="13" t="s">
        <v>27</v>
      </c>
      <c r="I466" s="12" t="n">
        <f aca="false">IFERROR(VLOOKUP(F466,Insumos!$C$5:$G$143,5,FALSE()),0)</f>
        <v>0.38</v>
      </c>
      <c r="J466" s="25" t="n">
        <f aca="false">IF(C466="bizcocho",VLOOKUP(A466,'Recetas y precios'!$A$5:$G$55,6,FALSE()),IF(C466="jarabe",VLOOKUP(A466,'Recetas y precios'!$A$5:$G$55,7,FALSE()),1))</f>
        <v>1</v>
      </c>
      <c r="K466" s="15" t="n">
        <f aca="false">G466*I466*J466</f>
        <v>72.2</v>
      </c>
    </row>
    <row r="467" customFormat="false" ht="15" hidden="false" customHeight="false" outlineLevel="0" collapsed="false">
      <c r="A467" s="0" t="n">
        <v>26</v>
      </c>
      <c r="B467" s="22" t="s">
        <v>784</v>
      </c>
      <c r="C467" s="13" t="s">
        <v>393</v>
      </c>
      <c r="D467" s="23" t="s">
        <v>791</v>
      </c>
      <c r="E467" s="23" t="s">
        <v>634</v>
      </c>
      <c r="F467" s="24" t="s">
        <v>33</v>
      </c>
      <c r="G467" s="19" t="n">
        <v>190</v>
      </c>
      <c r="H467" s="13" t="s">
        <v>34</v>
      </c>
      <c r="I467" s="12" t="n">
        <f aca="false">IFERROR(VLOOKUP(F467,Insumos!$C$5:$G$143,5,FALSE()),0)</f>
        <v>0.078</v>
      </c>
      <c r="J467" s="25" t="n">
        <f aca="false">IF(C467="bizcocho",VLOOKUP(A467,'Recetas y precios'!$A$5:$G$55,6,FALSE()),IF(C467="jarabe",VLOOKUP(A467,'Recetas y precios'!$A$5:$G$55,7,FALSE()),1))</f>
        <v>1</v>
      </c>
      <c r="K467" s="15" t="n">
        <f aca="false">G467*I467*J467</f>
        <v>14.82</v>
      </c>
    </row>
    <row r="468" customFormat="false" ht="15" hidden="false" customHeight="false" outlineLevel="0" collapsed="false">
      <c r="A468" s="0" t="n">
        <v>26</v>
      </c>
      <c r="B468" s="22" t="s">
        <v>784</v>
      </c>
      <c r="C468" s="13" t="s">
        <v>393</v>
      </c>
      <c r="D468" s="23" t="s">
        <v>791</v>
      </c>
      <c r="E468" s="23" t="s">
        <v>792</v>
      </c>
      <c r="F468" s="24" t="s">
        <v>286</v>
      </c>
      <c r="G468" s="19" t="n">
        <v>2</v>
      </c>
      <c r="H468" s="13" t="s">
        <v>34</v>
      </c>
      <c r="I468" s="12" t="n">
        <f aca="false">IFERROR(VLOOKUP(F468,Insumos!$C$5:$G$143,5,FALSE()),0)</f>
        <v>1.8</v>
      </c>
      <c r="J468" s="25" t="n">
        <f aca="false">IF(C468="bizcocho",VLOOKUP(A468,'Recetas y precios'!$A$5:$G$55,6,FALSE()),IF(C468="jarabe",VLOOKUP(A468,'Recetas y precios'!$A$5:$G$55,7,FALSE()),1))</f>
        <v>1</v>
      </c>
      <c r="K468" s="15" t="n">
        <f aca="false">G468*I468*J468</f>
        <v>3.6</v>
      </c>
    </row>
    <row r="469" customFormat="false" ht="15" hidden="false" customHeight="false" outlineLevel="0" collapsed="false">
      <c r="A469" s="0" t="n">
        <v>26</v>
      </c>
      <c r="B469" s="22" t="s">
        <v>784</v>
      </c>
      <c r="C469" s="13" t="s">
        <v>393</v>
      </c>
      <c r="D469" s="23" t="s">
        <v>791</v>
      </c>
      <c r="E469" s="23" t="s">
        <v>444</v>
      </c>
      <c r="F469" s="24" t="s">
        <v>36</v>
      </c>
      <c r="G469" s="19" t="n">
        <v>50</v>
      </c>
      <c r="H469" s="13" t="s">
        <v>27</v>
      </c>
      <c r="I469" s="12" t="n">
        <f aca="false">IFERROR(VLOOKUP(F469,Insumos!$C$5:$G$143,5,FALSE()),0)</f>
        <v>0.085</v>
      </c>
      <c r="J469" s="25" t="n">
        <f aca="false">IF(C469="bizcocho",VLOOKUP(A469,'Recetas y precios'!$A$5:$G$55,6,FALSE()),IF(C469="jarabe",VLOOKUP(A469,'Recetas y precios'!$A$5:$G$55,7,FALSE()),1))</f>
        <v>1</v>
      </c>
      <c r="K469" s="15" t="n">
        <f aca="false">G469*I469*J469</f>
        <v>4.25</v>
      </c>
    </row>
    <row r="470" customFormat="false" ht="15" hidden="false" customHeight="false" outlineLevel="0" collapsed="false">
      <c r="A470" s="0" t="n">
        <v>26</v>
      </c>
      <c r="B470" s="22" t="s">
        <v>784</v>
      </c>
      <c r="C470" s="13" t="s">
        <v>393</v>
      </c>
      <c r="D470" s="23" t="s">
        <v>791</v>
      </c>
      <c r="E470" s="23" t="s">
        <v>652</v>
      </c>
      <c r="F470" s="24" t="s">
        <v>74</v>
      </c>
      <c r="G470" s="19" t="n">
        <v>20</v>
      </c>
      <c r="H470" s="13" t="s">
        <v>27</v>
      </c>
      <c r="I470" s="12" t="n">
        <f aca="false">IFERROR(VLOOKUP(F470,Insumos!$C$5:$G$143,5,FALSE()),0)</f>
        <v>0.045</v>
      </c>
      <c r="J470" s="25" t="n">
        <f aca="false">IF(C470="bizcocho",VLOOKUP(A470,'Recetas y precios'!$A$5:$G$55,6,FALSE()),IF(C470="jarabe",VLOOKUP(A470,'Recetas y precios'!$A$5:$G$55,7,FALSE()),1))</f>
        <v>1</v>
      </c>
      <c r="K470" s="15" t="n">
        <f aca="false">G470*I470*J470</f>
        <v>0.9</v>
      </c>
    </row>
    <row r="471" customFormat="false" ht="15" hidden="false" customHeight="false" outlineLevel="0" collapsed="false">
      <c r="A471" s="0" t="n">
        <v>26</v>
      </c>
      <c r="B471" s="22" t="s">
        <v>784</v>
      </c>
      <c r="C471" s="13" t="s">
        <v>400</v>
      </c>
      <c r="D471" s="23" t="s">
        <v>600</v>
      </c>
      <c r="E471" s="23" t="s">
        <v>793</v>
      </c>
      <c r="F471" s="24" t="s">
        <v>150</v>
      </c>
      <c r="G471" s="19" t="n">
        <v>40</v>
      </c>
      <c r="H471" s="13" t="s">
        <v>27</v>
      </c>
      <c r="I471" s="12" t="n">
        <f aca="false">IFERROR(VLOOKUP(F471,Insumos!$C$5:$G$143,5,FALSE()),0)</f>
        <v>0.28</v>
      </c>
      <c r="J471" s="25" t="n">
        <f aca="false">IF(C471="bizcocho",VLOOKUP(A471,'Recetas y precios'!$A$5:$G$55,6,FALSE()),IF(C471="jarabe",VLOOKUP(A471,'Recetas y precios'!$A$5:$G$55,7,FALSE()),1))</f>
        <v>1</v>
      </c>
      <c r="K471" s="15" t="n">
        <f aca="false">G471*I471*J471</f>
        <v>11.2</v>
      </c>
    </row>
    <row r="472" customFormat="false" ht="15" hidden="false" customHeight="false" outlineLevel="0" collapsed="false">
      <c r="A472" s="0" t="n">
        <v>26</v>
      </c>
      <c r="B472" s="22" t="s">
        <v>784</v>
      </c>
      <c r="C472" s="13" t="s">
        <v>400</v>
      </c>
      <c r="D472" s="23" t="s">
        <v>600</v>
      </c>
      <c r="E472" s="23" t="s">
        <v>794</v>
      </c>
      <c r="F472" s="24" t="s">
        <v>164</v>
      </c>
      <c r="G472" s="19" t="n">
        <v>20</v>
      </c>
      <c r="H472" s="13" t="s">
        <v>27</v>
      </c>
      <c r="I472" s="12" t="n">
        <f aca="false">IFERROR(VLOOKUP(F472,Insumos!$C$5:$G$143,5,FALSE()),0)</f>
        <v>0.18</v>
      </c>
      <c r="J472" s="25" t="n">
        <f aca="false">IF(C472="bizcocho",VLOOKUP(A472,'Recetas y precios'!$A$5:$G$55,6,FALSE()),IF(C472="jarabe",VLOOKUP(A472,'Recetas y precios'!$A$5:$G$55,7,FALSE()),1))</f>
        <v>1</v>
      </c>
      <c r="K472" s="15" t="n">
        <f aca="false">G472*I472*J472</f>
        <v>3.6</v>
      </c>
    </row>
    <row r="473" customFormat="false" ht="15" hidden="false" customHeight="false" outlineLevel="0" collapsed="false">
      <c r="A473" s="0" t="n">
        <v>26</v>
      </c>
      <c r="B473" s="22" t="s">
        <v>784</v>
      </c>
      <c r="C473" s="13" t="s">
        <v>400</v>
      </c>
      <c r="D473" s="23" t="s">
        <v>600</v>
      </c>
      <c r="E473" s="23" t="s">
        <v>795</v>
      </c>
      <c r="F473" s="24" t="s">
        <v>192</v>
      </c>
      <c r="G473" s="19" t="n">
        <v>8</v>
      </c>
      <c r="H473" s="13" t="s">
        <v>27</v>
      </c>
      <c r="I473" s="12" t="n">
        <f aca="false">IFERROR(VLOOKUP(F473,Insumos!$C$5:$G$143,5,FALSE()),0)</f>
        <v>1.8</v>
      </c>
      <c r="J473" s="25" t="n">
        <f aca="false">IF(C473="bizcocho",VLOOKUP(A473,'Recetas y precios'!$A$5:$G$55,6,FALSE()),IF(C473="jarabe",VLOOKUP(A473,'Recetas y precios'!$A$5:$G$55,7,FALSE()),1))</f>
        <v>1</v>
      </c>
      <c r="K473" s="15" t="n">
        <f aca="false">G473*I473*J473</f>
        <v>14.4</v>
      </c>
    </row>
    <row r="474" customFormat="false" ht="15" hidden="false" customHeight="false" outlineLevel="0" collapsed="false">
      <c r="A474" s="0" t="n">
        <v>26</v>
      </c>
      <c r="B474" s="22" t="s">
        <v>784</v>
      </c>
      <c r="C474" s="13" t="s">
        <v>400</v>
      </c>
      <c r="D474" s="23" t="s">
        <v>600</v>
      </c>
      <c r="E474" s="23" t="s">
        <v>796</v>
      </c>
      <c r="F474" s="24" t="s">
        <v>145</v>
      </c>
      <c r="G474" s="19" t="n">
        <v>1</v>
      </c>
      <c r="H474" s="13" t="s">
        <v>27</v>
      </c>
      <c r="I474" s="12" t="n">
        <f aca="false">IFERROR(VLOOKUP(F474,Insumos!$C$5:$G$143,5,FALSE()),0)</f>
        <v>1.8</v>
      </c>
      <c r="J474" s="25" t="n">
        <f aca="false">IF(C474="bizcocho",VLOOKUP(A474,'Recetas y precios'!$A$5:$G$55,6,FALSE()),IF(C474="jarabe",VLOOKUP(A474,'Recetas y precios'!$A$5:$G$55,7,FALSE()),1))</f>
        <v>1</v>
      </c>
      <c r="K474" s="15" t="n">
        <f aca="false">G474*I474*J474</f>
        <v>1.8</v>
      </c>
    </row>
    <row r="475" customFormat="false" ht="15" hidden="false" customHeight="false" outlineLevel="0" collapsed="false">
      <c r="A475" s="0" t="n">
        <v>27</v>
      </c>
      <c r="B475" s="22" t="s">
        <v>797</v>
      </c>
      <c r="C475" s="13" t="s">
        <v>376</v>
      </c>
      <c r="D475" s="23" t="s">
        <v>798</v>
      </c>
      <c r="E475" s="23" t="s">
        <v>530</v>
      </c>
      <c r="F475" s="24" t="s">
        <v>59</v>
      </c>
      <c r="G475" s="19" t="n">
        <v>50</v>
      </c>
      <c r="H475" s="13" t="s">
        <v>27</v>
      </c>
      <c r="I475" s="12" t="n">
        <f aca="false">IFERROR(VLOOKUP(F475,Insumos!$C$5:$G$143,5,FALSE()),0)</f>
        <v>0.032</v>
      </c>
      <c r="J475" s="25" t="n">
        <f aca="false">IF(C475="bizcocho",VLOOKUP(A475,'Recetas y precios'!$A$5:$G$55,6,FALSE()),IF(C475="jarabe",VLOOKUP(A475,'Recetas y precios'!$A$5:$G$55,7,FALSE()),1))</f>
        <v>0.282</v>
      </c>
      <c r="K475" s="15" t="n">
        <f aca="false">G475*I475*J475</f>
        <v>0.4512</v>
      </c>
    </row>
    <row r="476" customFormat="false" ht="15" hidden="false" customHeight="false" outlineLevel="0" collapsed="false">
      <c r="A476" s="0" t="n">
        <v>27</v>
      </c>
      <c r="B476" s="22" t="s">
        <v>797</v>
      </c>
      <c r="C476" s="13" t="s">
        <v>376</v>
      </c>
      <c r="D476" s="23" t="s">
        <v>798</v>
      </c>
      <c r="E476" s="23" t="s">
        <v>409</v>
      </c>
      <c r="F476" s="24" t="s">
        <v>48</v>
      </c>
      <c r="G476" s="19" t="n">
        <v>35</v>
      </c>
      <c r="H476" s="13" t="s">
        <v>27</v>
      </c>
      <c r="I476" s="12" t="n">
        <f aca="false">IFERROR(VLOOKUP(F476,Insumos!$C$5:$G$143,5,FALSE()),0)</f>
        <v>0.13</v>
      </c>
      <c r="J476" s="25" t="n">
        <f aca="false">IF(C476="bizcocho",VLOOKUP(A476,'Recetas y precios'!$A$5:$G$55,6,FALSE()),IF(C476="jarabe",VLOOKUP(A476,'Recetas y precios'!$A$5:$G$55,7,FALSE()),1))</f>
        <v>0.282</v>
      </c>
      <c r="K476" s="15" t="n">
        <f aca="false">G476*I476*J476</f>
        <v>1.2831</v>
      </c>
    </row>
    <row r="477" customFormat="false" ht="15" hidden="false" customHeight="false" outlineLevel="0" collapsed="false">
      <c r="A477" s="0" t="n">
        <v>27</v>
      </c>
      <c r="B477" s="22" t="s">
        <v>797</v>
      </c>
      <c r="C477" s="13" t="s">
        <v>376</v>
      </c>
      <c r="D477" s="23" t="s">
        <v>798</v>
      </c>
      <c r="E477" s="23" t="s">
        <v>410</v>
      </c>
      <c r="F477" s="24" t="s">
        <v>50</v>
      </c>
      <c r="G477" s="19" t="n">
        <v>75</v>
      </c>
      <c r="H477" s="13" t="s">
        <v>27</v>
      </c>
      <c r="I477" s="12" t="n">
        <f aca="false">IFERROR(VLOOKUP(F477,Insumos!$C$5:$G$143,5,FALSE()),0)</f>
        <v>0.075</v>
      </c>
      <c r="J477" s="25" t="n">
        <f aca="false">IF(C477="bizcocho",VLOOKUP(A477,'Recetas y precios'!$A$5:$G$55,6,FALSE()),IF(C477="jarabe",VLOOKUP(A477,'Recetas y precios'!$A$5:$G$55,7,FALSE()),1))</f>
        <v>0.282</v>
      </c>
      <c r="K477" s="15" t="n">
        <f aca="false">G477*I477*J477</f>
        <v>1.58625</v>
      </c>
    </row>
    <row r="478" customFormat="false" ht="15" hidden="false" customHeight="false" outlineLevel="0" collapsed="false">
      <c r="A478" s="0" t="n">
        <v>27</v>
      </c>
      <c r="B478" s="22" t="s">
        <v>797</v>
      </c>
      <c r="C478" s="13" t="s">
        <v>376</v>
      </c>
      <c r="D478" s="23" t="s">
        <v>798</v>
      </c>
      <c r="E478" s="23" t="s">
        <v>411</v>
      </c>
      <c r="F478" s="24" t="s">
        <v>72</v>
      </c>
      <c r="G478" s="19" t="n">
        <v>40</v>
      </c>
      <c r="H478" s="13" t="s">
        <v>27</v>
      </c>
      <c r="I478" s="12" t="n">
        <f aca="false">IFERROR(VLOOKUP(F478,Insumos!$C$5:$G$143,5,FALSE()),0)</f>
        <v>0.028</v>
      </c>
      <c r="J478" s="25" t="n">
        <f aca="false">IF(C478="bizcocho",VLOOKUP(A478,'Recetas y precios'!$A$5:$G$55,6,FALSE()),IF(C478="jarabe",VLOOKUP(A478,'Recetas y precios'!$A$5:$G$55,7,FALSE()),1))</f>
        <v>0.282</v>
      </c>
      <c r="K478" s="15" t="n">
        <f aca="false">G478*I478*J478</f>
        <v>0.31584</v>
      </c>
    </row>
    <row r="479" customFormat="false" ht="15" hidden="false" customHeight="false" outlineLevel="0" collapsed="false">
      <c r="A479" s="0" t="n">
        <v>27</v>
      </c>
      <c r="B479" s="22" t="s">
        <v>797</v>
      </c>
      <c r="C479" s="13" t="s">
        <v>376</v>
      </c>
      <c r="D479" s="23" t="s">
        <v>798</v>
      </c>
      <c r="E479" s="23" t="s">
        <v>531</v>
      </c>
      <c r="F479" s="24" t="s">
        <v>109</v>
      </c>
      <c r="G479" s="19" t="n">
        <v>25</v>
      </c>
      <c r="H479" s="13" t="s">
        <v>34</v>
      </c>
      <c r="I479" s="12" t="n">
        <f aca="false">IFERROR(VLOOKUP(F479,Insumos!$C$5:$G$143,5,FALSE()),0)</f>
        <v>0.045</v>
      </c>
      <c r="J479" s="25" t="n">
        <f aca="false">IF(C479="bizcocho",VLOOKUP(A479,'Recetas y precios'!$A$5:$G$55,6,FALSE()),IF(C479="jarabe",VLOOKUP(A479,'Recetas y precios'!$A$5:$G$55,7,FALSE()),1))</f>
        <v>0.282</v>
      </c>
      <c r="K479" s="15" t="n">
        <f aca="false">G479*I479*J479</f>
        <v>0.31725</v>
      </c>
    </row>
    <row r="480" customFormat="false" ht="15" hidden="false" customHeight="false" outlineLevel="0" collapsed="false">
      <c r="A480" s="0" t="n">
        <v>27</v>
      </c>
      <c r="B480" s="22" t="s">
        <v>797</v>
      </c>
      <c r="C480" s="13" t="s">
        <v>376</v>
      </c>
      <c r="D480" s="23" t="s">
        <v>798</v>
      </c>
      <c r="E480" s="23" t="s">
        <v>799</v>
      </c>
      <c r="F480" s="24" t="s">
        <v>172</v>
      </c>
      <c r="G480" s="19" t="n">
        <v>20</v>
      </c>
      <c r="H480" s="13" t="s">
        <v>34</v>
      </c>
      <c r="I480" s="12" t="n">
        <f aca="false">IFERROR(VLOOKUP(F480,Insumos!$C$5:$G$143,5,FALSE()),0)</f>
        <v>0.18</v>
      </c>
      <c r="J480" s="25" t="n">
        <f aca="false">IF(C480="bizcocho",VLOOKUP(A480,'Recetas y precios'!$A$5:$G$55,6,FALSE()),IF(C480="jarabe",VLOOKUP(A480,'Recetas y precios'!$A$5:$G$55,7,FALSE()),1))</f>
        <v>0.282</v>
      </c>
      <c r="K480" s="15" t="n">
        <f aca="false">G480*I480*J480</f>
        <v>1.0152</v>
      </c>
    </row>
    <row r="481" customFormat="false" ht="15" hidden="false" customHeight="false" outlineLevel="0" collapsed="false">
      <c r="A481" s="0" t="n">
        <v>27</v>
      </c>
      <c r="B481" s="22" t="s">
        <v>797</v>
      </c>
      <c r="C481" s="13" t="s">
        <v>376</v>
      </c>
      <c r="D481" s="23" t="s">
        <v>798</v>
      </c>
      <c r="E481" s="23" t="s">
        <v>800</v>
      </c>
      <c r="F481" s="24" t="s">
        <v>40</v>
      </c>
      <c r="G481" s="19" t="n">
        <v>20</v>
      </c>
      <c r="H481" s="13" t="s">
        <v>34</v>
      </c>
      <c r="I481" s="12" t="n">
        <f aca="false">IFERROR(VLOOKUP(F481,Insumos!$C$5:$G$143,5,FALSE()),0)</f>
        <v>0.028</v>
      </c>
      <c r="J481" s="25" t="n">
        <f aca="false">IF(C481="bizcocho",VLOOKUP(A481,'Recetas y precios'!$A$5:$G$55,6,FALSE()),IF(C481="jarabe",VLOOKUP(A481,'Recetas y precios'!$A$5:$G$55,7,FALSE()),1))</f>
        <v>0.282</v>
      </c>
      <c r="K481" s="15" t="n">
        <f aca="false">G481*I481*J481</f>
        <v>0.15792</v>
      </c>
    </row>
    <row r="482" customFormat="false" ht="15" hidden="false" customHeight="false" outlineLevel="0" collapsed="false">
      <c r="A482" s="0" t="n">
        <v>27</v>
      </c>
      <c r="B482" s="22" t="s">
        <v>797</v>
      </c>
      <c r="C482" s="13" t="s">
        <v>376</v>
      </c>
      <c r="D482" s="23" t="s">
        <v>798</v>
      </c>
      <c r="E482" s="23" t="s">
        <v>413</v>
      </c>
      <c r="F482" s="24" t="s">
        <v>103</v>
      </c>
      <c r="G482" s="19" t="n">
        <v>1</v>
      </c>
      <c r="H482" s="13" t="s">
        <v>27</v>
      </c>
      <c r="I482" s="12" t="n">
        <f aca="false">IFERROR(VLOOKUP(F482,Insumos!$C$5:$G$143,5,FALSE()),0)</f>
        <v>0.025</v>
      </c>
      <c r="J482" s="25" t="n">
        <f aca="false">IF(C482="bizcocho",VLOOKUP(A482,'Recetas y precios'!$A$5:$G$55,6,FALSE()),IF(C482="jarabe",VLOOKUP(A482,'Recetas y precios'!$A$5:$G$55,7,FALSE()),1))</f>
        <v>0.282</v>
      </c>
      <c r="K482" s="15" t="n">
        <f aca="false">G482*I482*J482</f>
        <v>0.00705</v>
      </c>
    </row>
    <row r="483" customFormat="false" ht="15" hidden="false" customHeight="false" outlineLevel="0" collapsed="false">
      <c r="A483" s="0" t="n">
        <v>27</v>
      </c>
      <c r="B483" s="22" t="s">
        <v>797</v>
      </c>
      <c r="C483" s="13" t="s">
        <v>387</v>
      </c>
      <c r="D483" s="23" t="s">
        <v>661</v>
      </c>
      <c r="E483" s="23" t="s">
        <v>801</v>
      </c>
      <c r="F483" s="24" t="s">
        <v>172</v>
      </c>
      <c r="G483" s="19" t="n">
        <v>35</v>
      </c>
      <c r="H483" s="13" t="s">
        <v>34</v>
      </c>
      <c r="I483" s="12" t="n">
        <f aca="false">IFERROR(VLOOKUP(F483,Insumos!$C$5:$G$143,5,FALSE()),0)</f>
        <v>0.18</v>
      </c>
      <c r="J483" s="25" t="n">
        <f aca="false">IF(C483="bizcocho",VLOOKUP(A483,'Recetas y precios'!$A$5:$G$55,6,FALSE()),IF(C483="jarabe",VLOOKUP(A483,'Recetas y precios'!$A$5:$G$55,7,FALSE()),1))</f>
        <v>0.812</v>
      </c>
      <c r="K483" s="15" t="n">
        <f aca="false">G483*I483*J483</f>
        <v>5.1156</v>
      </c>
    </row>
    <row r="484" customFormat="false" ht="15" hidden="false" customHeight="false" outlineLevel="0" collapsed="false">
      <c r="A484" s="0" t="n">
        <v>27</v>
      </c>
      <c r="B484" s="22" t="s">
        <v>797</v>
      </c>
      <c r="C484" s="13" t="s">
        <v>387</v>
      </c>
      <c r="D484" s="23" t="s">
        <v>661</v>
      </c>
      <c r="E484" s="23" t="s">
        <v>802</v>
      </c>
      <c r="F484" s="24" t="s">
        <v>156</v>
      </c>
      <c r="G484" s="19" t="n">
        <v>25</v>
      </c>
      <c r="H484" s="13" t="s">
        <v>27</v>
      </c>
      <c r="I484" s="12" t="n">
        <f aca="false">IFERROR(VLOOKUP(F484,Insumos!$C$5:$G$143,5,FALSE()),0)</f>
        <v>0.045</v>
      </c>
      <c r="J484" s="25" t="n">
        <f aca="false">IF(C484="bizcocho",VLOOKUP(A484,'Recetas y precios'!$A$5:$G$55,6,FALSE()),IF(C484="jarabe",VLOOKUP(A484,'Recetas y precios'!$A$5:$G$55,7,FALSE()),1))</f>
        <v>0.812</v>
      </c>
      <c r="K484" s="15" t="n">
        <f aca="false">G484*I484*J484</f>
        <v>0.9135</v>
      </c>
    </row>
    <row r="485" customFormat="false" ht="15" hidden="false" customHeight="false" outlineLevel="0" collapsed="false">
      <c r="A485" s="0" t="n">
        <v>27</v>
      </c>
      <c r="B485" s="22" t="s">
        <v>797</v>
      </c>
      <c r="C485" s="13" t="s">
        <v>387</v>
      </c>
      <c r="D485" s="23" t="s">
        <v>661</v>
      </c>
      <c r="E485" s="23" t="s">
        <v>391</v>
      </c>
      <c r="F485" s="24" t="s">
        <v>72</v>
      </c>
      <c r="G485" s="19" t="n">
        <v>15</v>
      </c>
      <c r="H485" s="13" t="s">
        <v>27</v>
      </c>
      <c r="I485" s="12" t="n">
        <f aca="false">IFERROR(VLOOKUP(F485,Insumos!$C$5:$G$143,5,FALSE()),0)</f>
        <v>0.028</v>
      </c>
      <c r="J485" s="25" t="n">
        <f aca="false">IF(C485="bizcocho",VLOOKUP(A485,'Recetas y precios'!$A$5:$G$55,6,FALSE()),IF(C485="jarabe",VLOOKUP(A485,'Recetas y precios'!$A$5:$G$55,7,FALSE()),1))</f>
        <v>0.812</v>
      </c>
      <c r="K485" s="15" t="n">
        <f aca="false">G485*I485*J485</f>
        <v>0.34104</v>
      </c>
    </row>
    <row r="486" customFormat="false" ht="15" hidden="false" customHeight="false" outlineLevel="0" collapsed="false">
      <c r="A486" s="0" t="n">
        <v>27</v>
      </c>
      <c r="B486" s="22" t="s">
        <v>797</v>
      </c>
      <c r="C486" s="13" t="s">
        <v>387</v>
      </c>
      <c r="D486" s="23" t="s">
        <v>661</v>
      </c>
      <c r="E486" s="23" t="s">
        <v>803</v>
      </c>
      <c r="F486" s="24" t="s">
        <v>307</v>
      </c>
      <c r="G486" s="19" t="n">
        <v>5</v>
      </c>
      <c r="H486" s="13" t="s">
        <v>34</v>
      </c>
      <c r="I486" s="12" t="n">
        <f aca="false">IFERROR(VLOOKUP(F486,Insumos!$C$5:$G$143,5,FALSE()),0)</f>
        <v>0.293333333333333</v>
      </c>
      <c r="J486" s="25" t="n">
        <f aca="false">IF(C486="bizcocho",VLOOKUP(A486,'Recetas y precios'!$A$5:$G$55,6,FALSE()),IF(C486="jarabe",VLOOKUP(A486,'Recetas y precios'!$A$5:$G$55,7,FALSE()),1))</f>
        <v>0.812</v>
      </c>
      <c r="K486" s="15" t="n">
        <f aca="false">G486*I486*J486</f>
        <v>1.19093333333333</v>
      </c>
    </row>
    <row r="487" customFormat="false" ht="15" hidden="false" customHeight="false" outlineLevel="0" collapsed="false">
      <c r="A487" s="0" t="n">
        <v>27</v>
      </c>
      <c r="B487" s="22" t="s">
        <v>797</v>
      </c>
      <c r="C487" s="13" t="s">
        <v>393</v>
      </c>
      <c r="D487" s="23" t="s">
        <v>804</v>
      </c>
      <c r="E487" s="23" t="s">
        <v>503</v>
      </c>
      <c r="F487" s="24" t="s">
        <v>26</v>
      </c>
      <c r="G487" s="19" t="n">
        <v>180</v>
      </c>
      <c r="H487" s="13" t="s">
        <v>27</v>
      </c>
      <c r="I487" s="12" t="n">
        <f aca="false">IFERROR(VLOOKUP(F487,Insumos!$C$5:$G$143,5,FALSE()),0)</f>
        <v>0.38</v>
      </c>
      <c r="J487" s="25" t="n">
        <f aca="false">IF(C487="bizcocho",VLOOKUP(A487,'Recetas y precios'!$A$5:$G$55,6,FALSE()),IF(C487="jarabe",VLOOKUP(A487,'Recetas y precios'!$A$5:$G$55,7,FALSE()),1))</f>
        <v>1</v>
      </c>
      <c r="K487" s="15" t="n">
        <f aca="false">G487*I487*J487</f>
        <v>68.4</v>
      </c>
    </row>
    <row r="488" customFormat="false" ht="15" hidden="false" customHeight="false" outlineLevel="0" collapsed="false">
      <c r="A488" s="0" t="n">
        <v>27</v>
      </c>
      <c r="B488" s="22" t="s">
        <v>797</v>
      </c>
      <c r="C488" s="13" t="s">
        <v>393</v>
      </c>
      <c r="D488" s="23" t="s">
        <v>804</v>
      </c>
      <c r="E488" s="23" t="s">
        <v>504</v>
      </c>
      <c r="F488" s="24" t="s">
        <v>33</v>
      </c>
      <c r="G488" s="19" t="n">
        <v>180</v>
      </c>
      <c r="H488" s="13" t="s">
        <v>34</v>
      </c>
      <c r="I488" s="12" t="n">
        <f aca="false">IFERROR(VLOOKUP(F488,Insumos!$C$5:$G$143,5,FALSE()),0)</f>
        <v>0.078</v>
      </c>
      <c r="J488" s="25" t="n">
        <f aca="false">IF(C488="bizcocho",VLOOKUP(A488,'Recetas y precios'!$A$5:$G$55,6,FALSE()),IF(C488="jarabe",VLOOKUP(A488,'Recetas y precios'!$A$5:$G$55,7,FALSE()),1))</f>
        <v>1</v>
      </c>
      <c r="K488" s="15" t="n">
        <f aca="false">G488*I488*J488</f>
        <v>14.04</v>
      </c>
    </row>
    <row r="489" customFormat="false" ht="15" hidden="false" customHeight="false" outlineLevel="0" collapsed="false">
      <c r="A489" s="0" t="n">
        <v>27</v>
      </c>
      <c r="B489" s="22" t="s">
        <v>797</v>
      </c>
      <c r="C489" s="13" t="s">
        <v>393</v>
      </c>
      <c r="D489" s="23" t="s">
        <v>804</v>
      </c>
      <c r="E489" s="23" t="s">
        <v>805</v>
      </c>
      <c r="F489" s="24" t="s">
        <v>172</v>
      </c>
      <c r="G489" s="19" t="n">
        <v>25</v>
      </c>
      <c r="H489" s="13" t="s">
        <v>34</v>
      </c>
      <c r="I489" s="12" t="n">
        <f aca="false">IFERROR(VLOOKUP(F489,Insumos!$C$5:$G$143,5,FALSE()),0)</f>
        <v>0.18</v>
      </c>
      <c r="J489" s="25" t="n">
        <f aca="false">IF(C489="bizcocho",VLOOKUP(A489,'Recetas y precios'!$A$5:$G$55,6,FALSE()),IF(C489="jarabe",VLOOKUP(A489,'Recetas y precios'!$A$5:$G$55,7,FALSE()),1))</f>
        <v>1</v>
      </c>
      <c r="K489" s="15" t="n">
        <f aca="false">G489*I489*J489</f>
        <v>4.5</v>
      </c>
    </row>
    <row r="490" customFormat="false" ht="15" hidden="false" customHeight="false" outlineLevel="0" collapsed="false">
      <c r="A490" s="0" t="n">
        <v>27</v>
      </c>
      <c r="B490" s="22" t="s">
        <v>797</v>
      </c>
      <c r="C490" s="13" t="s">
        <v>393</v>
      </c>
      <c r="D490" s="23" t="s">
        <v>804</v>
      </c>
      <c r="E490" s="23" t="s">
        <v>444</v>
      </c>
      <c r="F490" s="24" t="s">
        <v>36</v>
      </c>
      <c r="G490" s="19" t="n">
        <v>50</v>
      </c>
      <c r="H490" s="13" t="s">
        <v>27</v>
      </c>
      <c r="I490" s="12" t="n">
        <f aca="false">IFERROR(VLOOKUP(F490,Insumos!$C$5:$G$143,5,FALSE()),0)</f>
        <v>0.085</v>
      </c>
      <c r="J490" s="25" t="n">
        <f aca="false">IF(C490="bizcocho",VLOOKUP(A490,'Recetas y precios'!$A$5:$G$55,6,FALSE()),IF(C490="jarabe",VLOOKUP(A490,'Recetas y precios'!$A$5:$G$55,7,FALSE()),1))</f>
        <v>1</v>
      </c>
      <c r="K490" s="15" t="n">
        <f aca="false">G490*I490*J490</f>
        <v>4.25</v>
      </c>
    </row>
    <row r="491" customFormat="false" ht="15" hidden="false" customHeight="false" outlineLevel="0" collapsed="false">
      <c r="A491" s="0" t="n">
        <v>27</v>
      </c>
      <c r="B491" s="22" t="s">
        <v>797</v>
      </c>
      <c r="C491" s="13" t="s">
        <v>393</v>
      </c>
      <c r="D491" s="23" t="s">
        <v>804</v>
      </c>
      <c r="E491" s="23" t="s">
        <v>567</v>
      </c>
      <c r="F491" s="24" t="s">
        <v>74</v>
      </c>
      <c r="G491" s="19" t="n">
        <v>15</v>
      </c>
      <c r="H491" s="13" t="s">
        <v>27</v>
      </c>
      <c r="I491" s="12" t="n">
        <f aca="false">IFERROR(VLOOKUP(F491,Insumos!$C$5:$G$143,5,FALSE()),0)</f>
        <v>0.045</v>
      </c>
      <c r="J491" s="25" t="n">
        <f aca="false">IF(C491="bizcocho",VLOOKUP(A491,'Recetas y precios'!$A$5:$G$55,6,FALSE()),IF(C491="jarabe",VLOOKUP(A491,'Recetas y precios'!$A$5:$G$55,7,FALSE()),1))</f>
        <v>1</v>
      </c>
      <c r="K491" s="15" t="n">
        <f aca="false">G491*I491*J491</f>
        <v>0.675</v>
      </c>
    </row>
    <row r="492" customFormat="false" ht="15" hidden="false" customHeight="false" outlineLevel="0" collapsed="false">
      <c r="A492" s="0" t="n">
        <v>27</v>
      </c>
      <c r="B492" s="22" t="s">
        <v>797</v>
      </c>
      <c r="C492" s="13" t="s">
        <v>400</v>
      </c>
      <c r="D492" s="23" t="s">
        <v>806</v>
      </c>
      <c r="E492" s="23" t="s">
        <v>807</v>
      </c>
      <c r="F492" s="24" t="s">
        <v>244</v>
      </c>
      <c r="G492" s="19" t="n">
        <v>50</v>
      </c>
      <c r="H492" s="13" t="s">
        <v>27</v>
      </c>
      <c r="I492" s="12" t="n">
        <f aca="false">IFERROR(VLOOKUP(F492,Insumos!$C$5:$G$143,5,FALSE()),0)</f>
        <v>0.18</v>
      </c>
      <c r="J492" s="25" t="n">
        <f aca="false">IF(C492="bizcocho",VLOOKUP(A492,'Recetas y precios'!$A$5:$G$55,6,FALSE()),IF(C492="jarabe",VLOOKUP(A492,'Recetas y precios'!$A$5:$G$55,7,FALSE()),1))</f>
        <v>1</v>
      </c>
      <c r="K492" s="15" t="n">
        <f aca="false">G492*I492*J492</f>
        <v>9</v>
      </c>
    </row>
    <row r="493" customFormat="false" ht="15" hidden="false" customHeight="false" outlineLevel="0" collapsed="false">
      <c r="A493" s="0" t="n">
        <v>27</v>
      </c>
      <c r="B493" s="22" t="s">
        <v>797</v>
      </c>
      <c r="C493" s="13" t="s">
        <v>400</v>
      </c>
      <c r="D493" s="23" t="s">
        <v>806</v>
      </c>
      <c r="E493" s="23" t="s">
        <v>808</v>
      </c>
      <c r="F493" s="24" t="s">
        <v>156</v>
      </c>
      <c r="G493" s="19" t="n">
        <v>50</v>
      </c>
      <c r="H493" s="13" t="s">
        <v>27</v>
      </c>
      <c r="I493" s="12" t="n">
        <f aca="false">IFERROR(VLOOKUP(F493,Insumos!$C$5:$G$143,5,FALSE()),0)</f>
        <v>0.045</v>
      </c>
      <c r="J493" s="25" t="n">
        <f aca="false">IF(C493="bizcocho",VLOOKUP(A493,'Recetas y precios'!$A$5:$G$55,6,FALSE()),IF(C493="jarabe",VLOOKUP(A493,'Recetas y precios'!$A$5:$G$55,7,FALSE()),1))</f>
        <v>1</v>
      </c>
      <c r="K493" s="15" t="n">
        <f aca="false">G493*I493*J493</f>
        <v>2.25</v>
      </c>
    </row>
    <row r="494" customFormat="false" ht="15" hidden="false" customHeight="false" outlineLevel="0" collapsed="false">
      <c r="A494" s="0" t="n">
        <v>27</v>
      </c>
      <c r="B494" s="22" t="s">
        <v>797</v>
      </c>
      <c r="C494" s="13" t="s">
        <v>400</v>
      </c>
      <c r="D494" s="23" t="s">
        <v>806</v>
      </c>
      <c r="E494" s="23" t="s">
        <v>809</v>
      </c>
      <c r="F494" s="24" t="s">
        <v>222</v>
      </c>
      <c r="G494" s="19" t="n">
        <v>15</v>
      </c>
      <c r="H494" s="13" t="s">
        <v>27</v>
      </c>
      <c r="I494" s="12" t="n">
        <f aca="false">IFERROR(VLOOKUP(F494,Insumos!$C$5:$G$143,5,FALSE()),0)</f>
        <v>0.38</v>
      </c>
      <c r="J494" s="25" t="n">
        <f aca="false">IF(C494="bizcocho",VLOOKUP(A494,'Recetas y precios'!$A$5:$G$55,6,FALSE()),IF(C494="jarabe",VLOOKUP(A494,'Recetas y precios'!$A$5:$G$55,7,FALSE()),1))</f>
        <v>1</v>
      </c>
      <c r="K494" s="15" t="n">
        <f aca="false">G494*I494*J494</f>
        <v>5.7</v>
      </c>
    </row>
    <row r="495" customFormat="false" ht="15" hidden="false" customHeight="false" outlineLevel="0" collapsed="false">
      <c r="A495" s="0" t="n">
        <v>28</v>
      </c>
      <c r="B495" s="22" t="s">
        <v>810</v>
      </c>
      <c r="C495" s="13" t="s">
        <v>376</v>
      </c>
      <c r="D495" s="23" t="s">
        <v>811</v>
      </c>
      <c r="E495" s="23" t="s">
        <v>530</v>
      </c>
      <c r="F495" s="24" t="s">
        <v>59</v>
      </c>
      <c r="G495" s="19" t="n">
        <v>50</v>
      </c>
      <c r="H495" s="13" t="s">
        <v>27</v>
      </c>
      <c r="I495" s="12" t="n">
        <f aca="false">IFERROR(VLOOKUP(F495,Insumos!$C$5:$G$143,5,FALSE()),0)</f>
        <v>0.032</v>
      </c>
      <c r="J495" s="25" t="n">
        <f aca="false">IF(C495="bizcocho",VLOOKUP(A495,'Recetas y precios'!$A$5:$G$55,6,FALSE()),IF(C495="jarabe",VLOOKUP(A495,'Recetas y precios'!$A$5:$G$55,7,FALSE()),1))</f>
        <v>0.28</v>
      </c>
      <c r="K495" s="15" t="n">
        <f aca="false">G495*I495*J495</f>
        <v>0.448</v>
      </c>
    </row>
    <row r="496" customFormat="false" ht="15" hidden="false" customHeight="false" outlineLevel="0" collapsed="false">
      <c r="A496" s="0" t="n">
        <v>28</v>
      </c>
      <c r="B496" s="22" t="s">
        <v>810</v>
      </c>
      <c r="C496" s="13" t="s">
        <v>376</v>
      </c>
      <c r="D496" s="23" t="s">
        <v>811</v>
      </c>
      <c r="E496" s="23" t="s">
        <v>812</v>
      </c>
      <c r="F496" s="24" t="s">
        <v>194</v>
      </c>
      <c r="G496" s="19" t="n">
        <v>10</v>
      </c>
      <c r="H496" s="13" t="s">
        <v>27</v>
      </c>
      <c r="I496" s="12" t="n">
        <f aca="false">IFERROR(VLOOKUP(F496,Insumos!$C$5:$G$143,5,FALSE()),0)</f>
        <v>1.8</v>
      </c>
      <c r="J496" s="25" t="n">
        <f aca="false">IF(C496="bizcocho",VLOOKUP(A496,'Recetas y precios'!$A$5:$G$55,6,FALSE()),IF(C496="jarabe",VLOOKUP(A496,'Recetas y precios'!$A$5:$G$55,7,FALSE()),1))</f>
        <v>0.28</v>
      </c>
      <c r="K496" s="15" t="n">
        <f aca="false">G496*I496*J496</f>
        <v>5.04</v>
      </c>
    </row>
    <row r="497" customFormat="false" ht="15" hidden="false" customHeight="false" outlineLevel="0" collapsed="false">
      <c r="A497" s="0" t="n">
        <v>28</v>
      </c>
      <c r="B497" s="22" t="s">
        <v>810</v>
      </c>
      <c r="C497" s="13" t="s">
        <v>376</v>
      </c>
      <c r="D497" s="23" t="s">
        <v>811</v>
      </c>
      <c r="E497" s="23" t="s">
        <v>493</v>
      </c>
      <c r="F497" s="24" t="s">
        <v>48</v>
      </c>
      <c r="G497" s="19" t="n">
        <v>40</v>
      </c>
      <c r="H497" s="13" t="s">
        <v>27</v>
      </c>
      <c r="I497" s="12" t="n">
        <f aca="false">IFERROR(VLOOKUP(F497,Insumos!$C$5:$G$143,5,FALSE()),0)</f>
        <v>0.13</v>
      </c>
      <c r="J497" s="25" t="n">
        <f aca="false">IF(C497="bizcocho",VLOOKUP(A497,'Recetas y precios'!$A$5:$G$55,6,FALSE()),IF(C497="jarabe",VLOOKUP(A497,'Recetas y precios'!$A$5:$G$55,7,FALSE()),1))</f>
        <v>0.28</v>
      </c>
      <c r="K497" s="15" t="n">
        <f aca="false">G497*I497*J497</f>
        <v>1.456</v>
      </c>
    </row>
    <row r="498" customFormat="false" ht="15" hidden="false" customHeight="false" outlineLevel="0" collapsed="false">
      <c r="A498" s="0" t="n">
        <v>28</v>
      </c>
      <c r="B498" s="22" t="s">
        <v>810</v>
      </c>
      <c r="C498" s="13" t="s">
        <v>376</v>
      </c>
      <c r="D498" s="23" t="s">
        <v>811</v>
      </c>
      <c r="E498" s="23" t="s">
        <v>494</v>
      </c>
      <c r="F498" s="24" t="s">
        <v>50</v>
      </c>
      <c r="G498" s="19" t="n">
        <v>80</v>
      </c>
      <c r="H498" s="13" t="s">
        <v>27</v>
      </c>
      <c r="I498" s="12" t="n">
        <f aca="false">IFERROR(VLOOKUP(F498,Insumos!$C$5:$G$143,5,FALSE()),0)</f>
        <v>0.075</v>
      </c>
      <c r="J498" s="25" t="n">
        <f aca="false">IF(C498="bizcocho",VLOOKUP(A498,'Recetas y precios'!$A$5:$G$55,6,FALSE()),IF(C498="jarabe",VLOOKUP(A498,'Recetas y precios'!$A$5:$G$55,7,FALSE()),1))</f>
        <v>0.28</v>
      </c>
      <c r="K498" s="15" t="n">
        <f aca="false">G498*I498*J498</f>
        <v>1.68</v>
      </c>
    </row>
    <row r="499" customFormat="false" ht="15" hidden="false" customHeight="false" outlineLevel="0" collapsed="false">
      <c r="A499" s="0" t="n">
        <v>28</v>
      </c>
      <c r="B499" s="22" t="s">
        <v>810</v>
      </c>
      <c r="C499" s="13" t="s">
        <v>376</v>
      </c>
      <c r="D499" s="23" t="s">
        <v>811</v>
      </c>
      <c r="E499" s="23" t="s">
        <v>472</v>
      </c>
      <c r="F499" s="24" t="s">
        <v>72</v>
      </c>
      <c r="G499" s="19" t="n">
        <v>45</v>
      </c>
      <c r="H499" s="13" t="s">
        <v>27</v>
      </c>
      <c r="I499" s="12" t="n">
        <f aca="false">IFERROR(VLOOKUP(F499,Insumos!$C$5:$G$143,5,FALSE()),0)</f>
        <v>0.028</v>
      </c>
      <c r="J499" s="25" t="n">
        <f aca="false">IF(C499="bizcocho",VLOOKUP(A499,'Recetas y precios'!$A$5:$G$55,6,FALSE()),IF(C499="jarabe",VLOOKUP(A499,'Recetas y precios'!$A$5:$G$55,7,FALSE()),1))</f>
        <v>0.28</v>
      </c>
      <c r="K499" s="15" t="n">
        <f aca="false">G499*I499*J499</f>
        <v>0.3528</v>
      </c>
    </row>
    <row r="500" customFormat="false" ht="15" hidden="false" customHeight="false" outlineLevel="0" collapsed="false">
      <c r="A500" s="0" t="n">
        <v>28</v>
      </c>
      <c r="B500" s="22" t="s">
        <v>810</v>
      </c>
      <c r="C500" s="13" t="s">
        <v>376</v>
      </c>
      <c r="D500" s="23" t="s">
        <v>811</v>
      </c>
      <c r="E500" s="23" t="s">
        <v>531</v>
      </c>
      <c r="F500" s="24" t="s">
        <v>109</v>
      </c>
      <c r="G500" s="19" t="n">
        <v>25</v>
      </c>
      <c r="H500" s="13" t="s">
        <v>34</v>
      </c>
      <c r="I500" s="12" t="n">
        <f aca="false">IFERROR(VLOOKUP(F500,Insumos!$C$5:$G$143,5,FALSE()),0)</f>
        <v>0.045</v>
      </c>
      <c r="J500" s="25" t="n">
        <f aca="false">IF(C500="bizcocho",VLOOKUP(A500,'Recetas y precios'!$A$5:$G$55,6,FALSE()),IF(C500="jarabe",VLOOKUP(A500,'Recetas y precios'!$A$5:$G$55,7,FALSE()),1))</f>
        <v>0.28</v>
      </c>
      <c r="K500" s="15" t="n">
        <f aca="false">G500*I500*J500</f>
        <v>0.315</v>
      </c>
    </row>
    <row r="501" customFormat="false" ht="15" hidden="false" customHeight="false" outlineLevel="0" collapsed="false">
      <c r="A501" s="0" t="n">
        <v>28</v>
      </c>
      <c r="B501" s="22" t="s">
        <v>810</v>
      </c>
      <c r="C501" s="13" t="s">
        <v>376</v>
      </c>
      <c r="D501" s="23" t="s">
        <v>811</v>
      </c>
      <c r="E501" s="23" t="s">
        <v>383</v>
      </c>
      <c r="F501" s="24" t="s">
        <v>40</v>
      </c>
      <c r="G501" s="19" t="n">
        <v>35</v>
      </c>
      <c r="H501" s="13" t="s">
        <v>34</v>
      </c>
      <c r="I501" s="12" t="n">
        <f aca="false">IFERROR(VLOOKUP(F501,Insumos!$C$5:$G$143,5,FALSE()),0)</f>
        <v>0.028</v>
      </c>
      <c r="J501" s="25" t="n">
        <f aca="false">IF(C501="bizcocho",VLOOKUP(A501,'Recetas y precios'!$A$5:$G$55,6,FALSE()),IF(C501="jarabe",VLOOKUP(A501,'Recetas y precios'!$A$5:$G$55,7,FALSE()),1))</f>
        <v>0.28</v>
      </c>
      <c r="K501" s="15" t="n">
        <f aca="false">G501*I501*J501</f>
        <v>0.2744</v>
      </c>
    </row>
    <row r="502" customFormat="false" ht="15" hidden="false" customHeight="false" outlineLevel="0" collapsed="false">
      <c r="A502" s="0" t="n">
        <v>28</v>
      </c>
      <c r="B502" s="22" t="s">
        <v>810</v>
      </c>
      <c r="C502" s="13" t="s">
        <v>376</v>
      </c>
      <c r="D502" s="23" t="s">
        <v>811</v>
      </c>
      <c r="E502" s="23" t="s">
        <v>413</v>
      </c>
      <c r="F502" s="24" t="s">
        <v>103</v>
      </c>
      <c r="G502" s="19" t="n">
        <v>1</v>
      </c>
      <c r="H502" s="13" t="s">
        <v>27</v>
      </c>
      <c r="I502" s="12" t="n">
        <f aca="false">IFERROR(VLOOKUP(F502,Insumos!$C$5:$G$143,5,FALSE()),0)</f>
        <v>0.025</v>
      </c>
      <c r="J502" s="25" t="n">
        <f aca="false">IF(C502="bizcocho",VLOOKUP(A502,'Recetas y precios'!$A$5:$G$55,6,FALSE()),IF(C502="jarabe",VLOOKUP(A502,'Recetas y precios'!$A$5:$G$55,7,FALSE()),1))</f>
        <v>0.28</v>
      </c>
      <c r="K502" s="15" t="n">
        <f aca="false">G502*I502*J502</f>
        <v>0.007</v>
      </c>
    </row>
    <row r="503" customFormat="false" ht="15" hidden="false" customHeight="false" outlineLevel="0" collapsed="false">
      <c r="A503" s="0" t="n">
        <v>28</v>
      </c>
      <c r="B503" s="22" t="s">
        <v>810</v>
      </c>
      <c r="C503" s="13" t="s">
        <v>387</v>
      </c>
      <c r="D503" s="23" t="s">
        <v>593</v>
      </c>
      <c r="E503" s="23" t="s">
        <v>813</v>
      </c>
      <c r="F503" s="24" t="s">
        <v>152</v>
      </c>
      <c r="G503" s="19" t="n">
        <v>45</v>
      </c>
      <c r="H503" s="13" t="s">
        <v>27</v>
      </c>
      <c r="I503" s="12" t="n">
        <f aca="false">IFERROR(VLOOKUP(F503,Insumos!$C$5:$G$143,5,FALSE()),0)</f>
        <v>0.26</v>
      </c>
      <c r="J503" s="25" t="n">
        <f aca="false">IF(C503="bizcocho",VLOOKUP(A503,'Recetas y precios'!$A$5:$G$55,6,FALSE()),IF(C503="jarabe",VLOOKUP(A503,'Recetas y precios'!$A$5:$G$55,7,FALSE()),1))</f>
        <v>1</v>
      </c>
      <c r="K503" s="15" t="n">
        <f aca="false">G503*I503*J503</f>
        <v>11.7</v>
      </c>
    </row>
    <row r="504" customFormat="false" ht="15" hidden="false" customHeight="false" outlineLevel="0" collapsed="false">
      <c r="A504" s="0" t="n">
        <v>28</v>
      </c>
      <c r="B504" s="22" t="s">
        <v>810</v>
      </c>
      <c r="C504" s="13" t="s">
        <v>387</v>
      </c>
      <c r="D504" s="23" t="s">
        <v>593</v>
      </c>
      <c r="E504" s="23" t="s">
        <v>814</v>
      </c>
      <c r="F504" s="24" t="s">
        <v>145</v>
      </c>
      <c r="G504" s="19" t="n">
        <v>0.6</v>
      </c>
      <c r="H504" s="13" t="s">
        <v>27</v>
      </c>
      <c r="I504" s="12" t="n">
        <f aca="false">IFERROR(VLOOKUP(F504,Insumos!$C$5:$G$143,5,FALSE()),0)</f>
        <v>1.8</v>
      </c>
      <c r="J504" s="25" t="n">
        <f aca="false">IF(C504="bizcocho",VLOOKUP(A504,'Recetas y precios'!$A$5:$G$55,6,FALSE()),IF(C504="jarabe",VLOOKUP(A504,'Recetas y precios'!$A$5:$G$55,7,FALSE()),1))</f>
        <v>1</v>
      </c>
      <c r="K504" s="15" t="n">
        <f aca="false">G504*I504*J504</f>
        <v>1.08</v>
      </c>
    </row>
    <row r="505" customFormat="false" ht="15" hidden="false" customHeight="false" outlineLevel="0" collapsed="false">
      <c r="A505" s="0" t="n">
        <v>28</v>
      </c>
      <c r="B505" s="22" t="s">
        <v>810</v>
      </c>
      <c r="C505" s="13" t="s">
        <v>387</v>
      </c>
      <c r="D505" s="23" t="s">
        <v>593</v>
      </c>
      <c r="E505" s="23" t="s">
        <v>391</v>
      </c>
      <c r="F505" s="24" t="s">
        <v>72</v>
      </c>
      <c r="G505" s="19" t="n">
        <v>15</v>
      </c>
      <c r="H505" s="13" t="s">
        <v>27</v>
      </c>
      <c r="I505" s="12" t="n">
        <f aca="false">IFERROR(VLOOKUP(F505,Insumos!$C$5:$G$143,5,FALSE()),0)</f>
        <v>0.028</v>
      </c>
      <c r="J505" s="25" t="n">
        <f aca="false">IF(C505="bizcocho",VLOOKUP(A505,'Recetas y precios'!$A$5:$G$55,6,FALSE()),IF(C505="jarabe",VLOOKUP(A505,'Recetas y precios'!$A$5:$G$55,7,FALSE()),1))</f>
        <v>1</v>
      </c>
      <c r="K505" s="15" t="n">
        <f aca="false">G505*I505*J505</f>
        <v>0.42</v>
      </c>
    </row>
    <row r="506" customFormat="false" ht="15" hidden="false" customHeight="false" outlineLevel="0" collapsed="false">
      <c r="A506" s="0" t="n">
        <v>28</v>
      </c>
      <c r="B506" s="22" t="s">
        <v>810</v>
      </c>
      <c r="C506" s="13" t="s">
        <v>387</v>
      </c>
      <c r="D506" s="23" t="s">
        <v>593</v>
      </c>
      <c r="E506" s="23" t="s">
        <v>815</v>
      </c>
      <c r="F506" s="24" t="s">
        <v>313</v>
      </c>
      <c r="G506" s="19" t="n">
        <v>5</v>
      </c>
      <c r="H506" s="13" t="s">
        <v>34</v>
      </c>
      <c r="I506" s="12" t="n">
        <f aca="false">IFERROR(VLOOKUP(F506,Insumos!$C$5:$G$143,5,FALSE()),0)</f>
        <v>0.6</v>
      </c>
      <c r="J506" s="25" t="n">
        <f aca="false">IF(C506="bizcocho",VLOOKUP(A506,'Recetas y precios'!$A$5:$G$55,6,FALSE()),IF(C506="jarabe",VLOOKUP(A506,'Recetas y precios'!$A$5:$G$55,7,FALSE()),1))</f>
        <v>1</v>
      </c>
      <c r="K506" s="15" t="n">
        <f aca="false">G506*I506*J506</f>
        <v>3</v>
      </c>
    </row>
    <row r="507" customFormat="false" ht="15" hidden="false" customHeight="false" outlineLevel="0" collapsed="false">
      <c r="A507" s="0" t="n">
        <v>28</v>
      </c>
      <c r="B507" s="22" t="s">
        <v>810</v>
      </c>
      <c r="C507" s="13" t="s">
        <v>393</v>
      </c>
      <c r="D507" s="23" t="s">
        <v>816</v>
      </c>
      <c r="E507" s="23" t="s">
        <v>666</v>
      </c>
      <c r="F507" s="24" t="s">
        <v>26</v>
      </c>
      <c r="G507" s="19" t="n">
        <v>190</v>
      </c>
      <c r="H507" s="13" t="s">
        <v>27</v>
      </c>
      <c r="I507" s="12" t="n">
        <f aca="false">IFERROR(VLOOKUP(F507,Insumos!$C$5:$G$143,5,FALSE()),0)</f>
        <v>0.38</v>
      </c>
      <c r="J507" s="25" t="n">
        <f aca="false">IF(C507="bizcocho",VLOOKUP(A507,'Recetas y precios'!$A$5:$G$55,6,FALSE()),IF(C507="jarabe",VLOOKUP(A507,'Recetas y precios'!$A$5:$G$55,7,FALSE()),1))</f>
        <v>1</v>
      </c>
      <c r="K507" s="15" t="n">
        <f aca="false">G507*I507*J507</f>
        <v>72.2</v>
      </c>
    </row>
    <row r="508" customFormat="false" ht="15" hidden="false" customHeight="false" outlineLevel="0" collapsed="false">
      <c r="A508" s="0" t="n">
        <v>28</v>
      </c>
      <c r="B508" s="22" t="s">
        <v>810</v>
      </c>
      <c r="C508" s="13" t="s">
        <v>393</v>
      </c>
      <c r="D508" s="23" t="s">
        <v>816</v>
      </c>
      <c r="E508" s="23" t="s">
        <v>634</v>
      </c>
      <c r="F508" s="24" t="s">
        <v>33</v>
      </c>
      <c r="G508" s="19" t="n">
        <v>190</v>
      </c>
      <c r="H508" s="13" t="s">
        <v>34</v>
      </c>
      <c r="I508" s="12" t="n">
        <f aca="false">IFERROR(VLOOKUP(F508,Insumos!$C$5:$G$143,5,FALSE()),0)</f>
        <v>0.078</v>
      </c>
      <c r="J508" s="25" t="n">
        <f aca="false">IF(C508="bizcocho",VLOOKUP(A508,'Recetas y precios'!$A$5:$G$55,6,FALSE()),IF(C508="jarabe",VLOOKUP(A508,'Recetas y precios'!$A$5:$G$55,7,FALSE()),1))</f>
        <v>1</v>
      </c>
      <c r="K508" s="15" t="n">
        <f aca="false">G508*I508*J508</f>
        <v>14.82</v>
      </c>
    </row>
    <row r="509" customFormat="false" ht="15" hidden="false" customHeight="false" outlineLevel="0" collapsed="false">
      <c r="A509" s="0" t="n">
        <v>28</v>
      </c>
      <c r="B509" s="22" t="s">
        <v>810</v>
      </c>
      <c r="C509" s="13" t="s">
        <v>393</v>
      </c>
      <c r="D509" s="23" t="s">
        <v>816</v>
      </c>
      <c r="E509" s="23" t="s">
        <v>817</v>
      </c>
      <c r="F509" s="24" t="s">
        <v>152</v>
      </c>
      <c r="G509" s="19" t="n">
        <v>20</v>
      </c>
      <c r="H509" s="13" t="s">
        <v>27</v>
      </c>
      <c r="I509" s="12" t="n">
        <f aca="false">IFERROR(VLOOKUP(F509,Insumos!$C$5:$G$143,5,FALSE()),0)</f>
        <v>0.26</v>
      </c>
      <c r="J509" s="25" t="n">
        <f aca="false">IF(C509="bizcocho",VLOOKUP(A509,'Recetas y precios'!$A$5:$G$55,6,FALSE()),IF(C509="jarabe",VLOOKUP(A509,'Recetas y precios'!$A$5:$G$55,7,FALSE()),1))</f>
        <v>1</v>
      </c>
      <c r="K509" s="15" t="n">
        <f aca="false">G509*I509*J509</f>
        <v>5.2</v>
      </c>
    </row>
    <row r="510" customFormat="false" ht="15" hidden="false" customHeight="false" outlineLevel="0" collapsed="false">
      <c r="A510" s="0" t="n">
        <v>28</v>
      </c>
      <c r="B510" s="22" t="s">
        <v>810</v>
      </c>
      <c r="C510" s="13" t="s">
        <v>393</v>
      </c>
      <c r="D510" s="23" t="s">
        <v>816</v>
      </c>
      <c r="E510" s="23" t="s">
        <v>444</v>
      </c>
      <c r="F510" s="24" t="s">
        <v>36</v>
      </c>
      <c r="G510" s="19" t="n">
        <v>50</v>
      </c>
      <c r="H510" s="13" t="s">
        <v>27</v>
      </c>
      <c r="I510" s="12" t="n">
        <f aca="false">IFERROR(VLOOKUP(F510,Insumos!$C$5:$G$143,5,FALSE()),0)</f>
        <v>0.085</v>
      </c>
      <c r="J510" s="25" t="n">
        <f aca="false">IF(C510="bizcocho",VLOOKUP(A510,'Recetas y precios'!$A$5:$G$55,6,FALSE()),IF(C510="jarabe",VLOOKUP(A510,'Recetas y precios'!$A$5:$G$55,7,FALSE()),1))</f>
        <v>1</v>
      </c>
      <c r="K510" s="15" t="n">
        <f aca="false">G510*I510*J510</f>
        <v>4.25</v>
      </c>
    </row>
    <row r="511" customFormat="false" ht="15" hidden="false" customHeight="false" outlineLevel="0" collapsed="false">
      <c r="A511" s="0" t="n">
        <v>28</v>
      </c>
      <c r="B511" s="22" t="s">
        <v>810</v>
      </c>
      <c r="C511" s="13" t="s">
        <v>393</v>
      </c>
      <c r="D511" s="23" t="s">
        <v>816</v>
      </c>
      <c r="E511" s="23" t="s">
        <v>456</v>
      </c>
      <c r="F511" s="24" t="s">
        <v>74</v>
      </c>
      <c r="G511" s="19" t="n">
        <v>20</v>
      </c>
      <c r="H511" s="13" t="s">
        <v>27</v>
      </c>
      <c r="I511" s="12" t="n">
        <f aca="false">IFERROR(VLOOKUP(F511,Insumos!$C$5:$G$143,5,FALSE()),0)</f>
        <v>0.045</v>
      </c>
      <c r="J511" s="25" t="n">
        <f aca="false">IF(C511="bizcocho",VLOOKUP(A511,'Recetas y precios'!$A$5:$G$55,6,FALSE()),IF(C511="jarabe",VLOOKUP(A511,'Recetas y precios'!$A$5:$G$55,7,FALSE()),1))</f>
        <v>1</v>
      </c>
      <c r="K511" s="15" t="n">
        <f aca="false">G511*I511*J511</f>
        <v>0.9</v>
      </c>
    </row>
    <row r="512" customFormat="false" ht="15" hidden="false" customHeight="false" outlineLevel="0" collapsed="false">
      <c r="A512" s="0" t="n">
        <v>28</v>
      </c>
      <c r="B512" s="22" t="s">
        <v>810</v>
      </c>
      <c r="C512" s="13" t="s">
        <v>393</v>
      </c>
      <c r="D512" s="23" t="s">
        <v>816</v>
      </c>
      <c r="E512" s="23" t="s">
        <v>818</v>
      </c>
      <c r="F512" s="24" t="s">
        <v>284</v>
      </c>
      <c r="G512" s="19" t="n">
        <v>2</v>
      </c>
      <c r="H512" s="13" t="s">
        <v>34</v>
      </c>
      <c r="I512" s="12" t="n">
        <f aca="false">IFERROR(VLOOKUP(F512,Insumos!$C$5:$G$143,5,FALSE()),0)</f>
        <v>0.45</v>
      </c>
      <c r="J512" s="25" t="n">
        <f aca="false">IF(C512="bizcocho",VLOOKUP(A512,'Recetas y precios'!$A$5:$G$55,6,FALSE()),IF(C512="jarabe",VLOOKUP(A512,'Recetas y precios'!$A$5:$G$55,7,FALSE()),1))</f>
        <v>1</v>
      </c>
      <c r="K512" s="15" t="n">
        <f aca="false">G512*I512*J512</f>
        <v>0.9</v>
      </c>
    </row>
    <row r="513" customFormat="false" ht="15" hidden="false" customHeight="false" outlineLevel="0" collapsed="false">
      <c r="A513" s="0" t="n">
        <v>28</v>
      </c>
      <c r="B513" s="22" t="s">
        <v>810</v>
      </c>
      <c r="C513" s="13" t="s">
        <v>400</v>
      </c>
      <c r="D513" s="23" t="s">
        <v>781</v>
      </c>
      <c r="E513" s="23" t="s">
        <v>819</v>
      </c>
      <c r="F513" s="24" t="s">
        <v>152</v>
      </c>
      <c r="G513" s="19" t="n">
        <v>60</v>
      </c>
      <c r="H513" s="13" t="s">
        <v>27</v>
      </c>
      <c r="I513" s="12" t="n">
        <f aca="false">IFERROR(VLOOKUP(F513,Insumos!$C$5:$G$143,5,FALSE()),0)</f>
        <v>0.26</v>
      </c>
      <c r="J513" s="25" t="n">
        <f aca="false">IF(C513="bizcocho",VLOOKUP(A513,'Recetas y precios'!$A$5:$G$55,6,FALSE()),IF(C513="jarabe",VLOOKUP(A513,'Recetas y precios'!$A$5:$G$55,7,FALSE()),1))</f>
        <v>1</v>
      </c>
      <c r="K513" s="15" t="n">
        <f aca="false">G513*I513*J513</f>
        <v>15.6</v>
      </c>
    </row>
    <row r="514" customFormat="false" ht="15" hidden="false" customHeight="false" outlineLevel="0" collapsed="false">
      <c r="A514" s="0" t="n">
        <v>28</v>
      </c>
      <c r="B514" s="22" t="s">
        <v>810</v>
      </c>
      <c r="C514" s="13" t="s">
        <v>400</v>
      </c>
      <c r="D514" s="23" t="s">
        <v>781</v>
      </c>
      <c r="E514" s="23" t="s">
        <v>820</v>
      </c>
      <c r="F514" s="24" t="s">
        <v>194</v>
      </c>
      <c r="G514" s="19" t="n">
        <v>8</v>
      </c>
      <c r="H514" s="13" t="s">
        <v>27</v>
      </c>
      <c r="I514" s="12" t="n">
        <f aca="false">IFERROR(VLOOKUP(F514,Insumos!$C$5:$G$143,5,FALSE()),0)</f>
        <v>1.8</v>
      </c>
      <c r="J514" s="25" t="n">
        <f aca="false">IF(C514="bizcocho",VLOOKUP(A514,'Recetas y precios'!$A$5:$G$55,6,FALSE()),IF(C514="jarabe",VLOOKUP(A514,'Recetas y precios'!$A$5:$G$55,7,FALSE()),1))</f>
        <v>1</v>
      </c>
      <c r="K514" s="15" t="n">
        <f aca="false">G514*I514*J514</f>
        <v>14.4</v>
      </c>
    </row>
    <row r="515" customFormat="false" ht="15" hidden="false" customHeight="false" outlineLevel="0" collapsed="false">
      <c r="A515" s="0" t="n">
        <v>28</v>
      </c>
      <c r="B515" s="22" t="s">
        <v>810</v>
      </c>
      <c r="C515" s="13" t="s">
        <v>400</v>
      </c>
      <c r="D515" s="23" t="s">
        <v>781</v>
      </c>
      <c r="E515" s="23" t="s">
        <v>821</v>
      </c>
      <c r="F515" s="24" t="s">
        <v>145</v>
      </c>
      <c r="G515" s="19" t="n">
        <v>1</v>
      </c>
      <c r="H515" s="13" t="s">
        <v>27</v>
      </c>
      <c r="I515" s="12" t="n">
        <f aca="false">IFERROR(VLOOKUP(F515,Insumos!$C$5:$G$143,5,FALSE()),0)</f>
        <v>1.8</v>
      </c>
      <c r="J515" s="25" t="n">
        <f aca="false">IF(C515="bizcocho",VLOOKUP(A515,'Recetas y precios'!$A$5:$G$55,6,FALSE()),IF(C515="jarabe",VLOOKUP(A515,'Recetas y precios'!$A$5:$G$55,7,FALSE()),1))</f>
        <v>1</v>
      </c>
      <c r="K515" s="15" t="n">
        <f aca="false">G515*I515*J515</f>
        <v>1.8</v>
      </c>
    </row>
    <row r="516" customFormat="false" ht="15" hidden="false" customHeight="false" outlineLevel="0" collapsed="false">
      <c r="A516" s="0" t="n">
        <v>29</v>
      </c>
      <c r="B516" s="22" t="s">
        <v>822</v>
      </c>
      <c r="C516" s="13" t="s">
        <v>376</v>
      </c>
      <c r="D516" s="23" t="s">
        <v>823</v>
      </c>
      <c r="E516" s="23" t="s">
        <v>432</v>
      </c>
      <c r="F516" s="24" t="s">
        <v>59</v>
      </c>
      <c r="G516" s="19" t="n">
        <v>45</v>
      </c>
      <c r="H516" s="13" t="s">
        <v>27</v>
      </c>
      <c r="I516" s="12" t="n">
        <f aca="false">IFERROR(VLOOKUP(F516,Insumos!$C$5:$G$143,5,FALSE()),0)</f>
        <v>0.032</v>
      </c>
      <c r="J516" s="25" t="n">
        <f aca="false">IF(C516="bizcocho",VLOOKUP(A516,'Recetas y precios'!$A$5:$G$55,6,FALSE()),IF(C516="jarabe",VLOOKUP(A516,'Recetas y precios'!$A$5:$G$55,7,FALSE()),1))</f>
        <v>0.29</v>
      </c>
      <c r="K516" s="15" t="n">
        <f aca="false">G516*I516*J516</f>
        <v>0.4176</v>
      </c>
    </row>
    <row r="517" customFormat="false" ht="15" hidden="false" customHeight="false" outlineLevel="0" collapsed="false">
      <c r="A517" s="0" t="n">
        <v>29</v>
      </c>
      <c r="B517" s="22" t="s">
        <v>822</v>
      </c>
      <c r="C517" s="13" t="s">
        <v>376</v>
      </c>
      <c r="D517" s="23" t="s">
        <v>823</v>
      </c>
      <c r="E517" s="23" t="s">
        <v>824</v>
      </c>
      <c r="F517" s="24" t="s">
        <v>63</v>
      </c>
      <c r="G517" s="19" t="n">
        <v>10</v>
      </c>
      <c r="H517" s="13" t="s">
        <v>27</v>
      </c>
      <c r="I517" s="12" t="n">
        <f aca="false">IFERROR(VLOOKUP(F517,Insumos!$C$5:$G$143,5,FALSE()),0)</f>
        <v>0.18</v>
      </c>
      <c r="J517" s="25" t="n">
        <f aca="false">IF(C517="bizcocho",VLOOKUP(A517,'Recetas y precios'!$A$5:$G$55,6,FALSE()),IF(C517="jarabe",VLOOKUP(A517,'Recetas y precios'!$A$5:$G$55,7,FALSE()),1))</f>
        <v>0.29</v>
      </c>
      <c r="K517" s="15" t="n">
        <f aca="false">G517*I517*J517</f>
        <v>0.522</v>
      </c>
    </row>
    <row r="518" customFormat="false" ht="15" hidden="false" customHeight="false" outlineLevel="0" collapsed="false">
      <c r="A518" s="0" t="n">
        <v>29</v>
      </c>
      <c r="B518" s="22" t="s">
        <v>822</v>
      </c>
      <c r="C518" s="13" t="s">
        <v>376</v>
      </c>
      <c r="D518" s="23" t="s">
        <v>823</v>
      </c>
      <c r="E518" s="23" t="s">
        <v>493</v>
      </c>
      <c r="F518" s="24" t="s">
        <v>48</v>
      </c>
      <c r="G518" s="19" t="n">
        <v>40</v>
      </c>
      <c r="H518" s="13" t="s">
        <v>27</v>
      </c>
      <c r="I518" s="12" t="n">
        <f aca="false">IFERROR(VLOOKUP(F518,Insumos!$C$5:$G$143,5,FALSE()),0)</f>
        <v>0.13</v>
      </c>
      <c r="J518" s="25" t="n">
        <f aca="false">IF(C518="bizcocho",VLOOKUP(A518,'Recetas y precios'!$A$5:$G$55,6,FALSE()),IF(C518="jarabe",VLOOKUP(A518,'Recetas y precios'!$A$5:$G$55,7,FALSE()),1))</f>
        <v>0.29</v>
      </c>
      <c r="K518" s="15" t="n">
        <f aca="false">G518*I518*J518</f>
        <v>1.508</v>
      </c>
    </row>
    <row r="519" customFormat="false" ht="15" hidden="false" customHeight="false" outlineLevel="0" collapsed="false">
      <c r="A519" s="0" t="n">
        <v>29</v>
      </c>
      <c r="B519" s="22" t="s">
        <v>822</v>
      </c>
      <c r="C519" s="13" t="s">
        <v>376</v>
      </c>
      <c r="D519" s="23" t="s">
        <v>823</v>
      </c>
      <c r="E519" s="23" t="s">
        <v>494</v>
      </c>
      <c r="F519" s="24" t="s">
        <v>50</v>
      </c>
      <c r="G519" s="19" t="n">
        <v>80</v>
      </c>
      <c r="H519" s="13" t="s">
        <v>27</v>
      </c>
      <c r="I519" s="12" t="n">
        <f aca="false">IFERROR(VLOOKUP(F519,Insumos!$C$5:$G$143,5,FALSE()),0)</f>
        <v>0.075</v>
      </c>
      <c r="J519" s="25" t="n">
        <f aca="false">IF(C519="bizcocho",VLOOKUP(A519,'Recetas y precios'!$A$5:$G$55,6,FALSE()),IF(C519="jarabe",VLOOKUP(A519,'Recetas y precios'!$A$5:$G$55,7,FALSE()),1))</f>
        <v>0.29</v>
      </c>
      <c r="K519" s="15" t="n">
        <f aca="false">G519*I519*J519</f>
        <v>1.74</v>
      </c>
    </row>
    <row r="520" customFormat="false" ht="15" hidden="false" customHeight="false" outlineLevel="0" collapsed="false">
      <c r="A520" s="0" t="n">
        <v>29</v>
      </c>
      <c r="B520" s="22" t="s">
        <v>822</v>
      </c>
      <c r="C520" s="13" t="s">
        <v>376</v>
      </c>
      <c r="D520" s="23" t="s">
        <v>823</v>
      </c>
      <c r="E520" s="23" t="s">
        <v>472</v>
      </c>
      <c r="F520" s="24" t="s">
        <v>72</v>
      </c>
      <c r="G520" s="19" t="n">
        <v>45</v>
      </c>
      <c r="H520" s="13" t="s">
        <v>27</v>
      </c>
      <c r="I520" s="12" t="n">
        <f aca="false">IFERROR(VLOOKUP(F520,Insumos!$C$5:$G$143,5,FALSE()),0)</f>
        <v>0.028</v>
      </c>
      <c r="J520" s="25" t="n">
        <f aca="false">IF(C520="bizcocho",VLOOKUP(A520,'Recetas y precios'!$A$5:$G$55,6,FALSE()),IF(C520="jarabe",VLOOKUP(A520,'Recetas y precios'!$A$5:$G$55,7,FALSE()),1))</f>
        <v>0.29</v>
      </c>
      <c r="K520" s="15" t="n">
        <f aca="false">G520*I520*J520</f>
        <v>0.3654</v>
      </c>
    </row>
    <row r="521" customFormat="false" ht="15" hidden="false" customHeight="false" outlineLevel="0" collapsed="false">
      <c r="A521" s="0" t="n">
        <v>29</v>
      </c>
      <c r="B521" s="22" t="s">
        <v>822</v>
      </c>
      <c r="C521" s="13" t="s">
        <v>376</v>
      </c>
      <c r="D521" s="23" t="s">
        <v>823</v>
      </c>
      <c r="E521" s="23" t="s">
        <v>729</v>
      </c>
      <c r="F521" s="24" t="s">
        <v>109</v>
      </c>
      <c r="G521" s="19" t="n">
        <v>20</v>
      </c>
      <c r="H521" s="13" t="s">
        <v>34</v>
      </c>
      <c r="I521" s="12" t="n">
        <f aca="false">IFERROR(VLOOKUP(F521,Insumos!$C$5:$G$143,5,FALSE()),0)</f>
        <v>0.045</v>
      </c>
      <c r="J521" s="25" t="n">
        <f aca="false">IF(C521="bizcocho",VLOOKUP(A521,'Recetas y precios'!$A$5:$G$55,6,FALSE()),IF(C521="jarabe",VLOOKUP(A521,'Recetas y precios'!$A$5:$G$55,7,FALSE()),1))</f>
        <v>0.29</v>
      </c>
      <c r="K521" s="15" t="n">
        <f aca="false">G521*I521*J521</f>
        <v>0.261</v>
      </c>
    </row>
    <row r="522" customFormat="false" ht="15" hidden="false" customHeight="false" outlineLevel="0" collapsed="false">
      <c r="A522" s="0" t="n">
        <v>29</v>
      </c>
      <c r="B522" s="22" t="s">
        <v>822</v>
      </c>
      <c r="C522" s="13" t="s">
        <v>376</v>
      </c>
      <c r="D522" s="23" t="s">
        <v>823</v>
      </c>
      <c r="E522" s="23" t="s">
        <v>825</v>
      </c>
      <c r="F522" s="24" t="s">
        <v>52</v>
      </c>
      <c r="G522" s="19" t="n">
        <v>35</v>
      </c>
      <c r="H522" s="13" t="s">
        <v>34</v>
      </c>
      <c r="I522" s="12" t="n">
        <f aca="false">IFERROR(VLOOKUP(F522,Insumos!$C$5:$G$143,5,FALSE()),0)</f>
        <v>0.075</v>
      </c>
      <c r="J522" s="25" t="n">
        <f aca="false">IF(C522="bizcocho",VLOOKUP(A522,'Recetas y precios'!$A$5:$G$55,6,FALSE()),IF(C522="jarabe",VLOOKUP(A522,'Recetas y precios'!$A$5:$G$55,7,FALSE()),1))</f>
        <v>0.29</v>
      </c>
      <c r="K522" s="15" t="n">
        <f aca="false">G522*I522*J522</f>
        <v>0.76125</v>
      </c>
    </row>
    <row r="523" customFormat="false" ht="15" hidden="false" customHeight="false" outlineLevel="0" collapsed="false">
      <c r="A523" s="0" t="n">
        <v>29</v>
      </c>
      <c r="B523" s="22" t="s">
        <v>822</v>
      </c>
      <c r="C523" s="13" t="s">
        <v>376</v>
      </c>
      <c r="D523" s="23" t="s">
        <v>823</v>
      </c>
      <c r="E523" s="23" t="s">
        <v>413</v>
      </c>
      <c r="F523" s="24" t="s">
        <v>103</v>
      </c>
      <c r="G523" s="19" t="n">
        <v>1</v>
      </c>
      <c r="H523" s="13" t="s">
        <v>27</v>
      </c>
      <c r="I523" s="12" t="n">
        <f aca="false">IFERROR(VLOOKUP(F523,Insumos!$C$5:$G$143,5,FALSE()),0)</f>
        <v>0.025</v>
      </c>
      <c r="J523" s="25" t="n">
        <f aca="false">IF(C523="bizcocho",VLOOKUP(A523,'Recetas y precios'!$A$5:$G$55,6,FALSE()),IF(C523="jarabe",VLOOKUP(A523,'Recetas y precios'!$A$5:$G$55,7,FALSE()),1))</f>
        <v>0.29</v>
      </c>
      <c r="K523" s="15" t="n">
        <f aca="false">G523*I523*J523</f>
        <v>0.00725</v>
      </c>
    </row>
    <row r="524" customFormat="false" ht="15" hidden="false" customHeight="false" outlineLevel="0" collapsed="false">
      <c r="A524" s="0" t="n">
        <v>29</v>
      </c>
      <c r="B524" s="22" t="s">
        <v>822</v>
      </c>
      <c r="C524" s="13" t="s">
        <v>387</v>
      </c>
      <c r="D524" s="23" t="s">
        <v>826</v>
      </c>
      <c r="E524" s="23" t="s">
        <v>827</v>
      </c>
      <c r="F524" s="24" t="s">
        <v>158</v>
      </c>
      <c r="G524" s="19" t="n">
        <v>40</v>
      </c>
      <c r="H524" s="13" t="s">
        <v>27</v>
      </c>
      <c r="I524" s="12" t="n">
        <f aca="false">IFERROR(VLOOKUP(F524,Insumos!$C$5:$G$143,5,FALSE()),0)</f>
        <v>0.03</v>
      </c>
      <c r="J524" s="25" t="n">
        <f aca="false">IF(C524="bizcocho",VLOOKUP(A524,'Recetas y precios'!$A$5:$G$55,6,FALSE()),IF(C524="jarabe",VLOOKUP(A524,'Recetas y precios'!$A$5:$G$55,7,FALSE()),1))</f>
        <v>0.824</v>
      </c>
      <c r="K524" s="15" t="n">
        <f aca="false">G524*I524*J524</f>
        <v>0.9888</v>
      </c>
    </row>
    <row r="525" customFormat="false" ht="15" hidden="false" customHeight="false" outlineLevel="0" collapsed="false">
      <c r="A525" s="0" t="n">
        <v>29</v>
      </c>
      <c r="B525" s="22" t="s">
        <v>822</v>
      </c>
      <c r="C525" s="13" t="s">
        <v>387</v>
      </c>
      <c r="D525" s="23" t="s">
        <v>826</v>
      </c>
      <c r="E525" s="23" t="s">
        <v>734</v>
      </c>
      <c r="F525" s="24" t="s">
        <v>52</v>
      </c>
      <c r="G525" s="19" t="n">
        <v>20</v>
      </c>
      <c r="H525" s="13" t="s">
        <v>34</v>
      </c>
      <c r="I525" s="12" t="n">
        <f aca="false">IFERROR(VLOOKUP(F525,Insumos!$C$5:$G$143,5,FALSE()),0)</f>
        <v>0.075</v>
      </c>
      <c r="J525" s="25" t="n">
        <f aca="false">IF(C525="bizcocho",VLOOKUP(A525,'Recetas y precios'!$A$5:$G$55,6,FALSE()),IF(C525="jarabe",VLOOKUP(A525,'Recetas y precios'!$A$5:$G$55,7,FALSE()),1))</f>
        <v>0.824</v>
      </c>
      <c r="K525" s="15" t="n">
        <f aca="false">G525*I525*J525</f>
        <v>1.236</v>
      </c>
    </row>
    <row r="526" customFormat="false" ht="15" hidden="false" customHeight="false" outlineLevel="0" collapsed="false">
      <c r="A526" s="0" t="n">
        <v>29</v>
      </c>
      <c r="B526" s="22" t="s">
        <v>822</v>
      </c>
      <c r="C526" s="13" t="s">
        <v>387</v>
      </c>
      <c r="D526" s="23" t="s">
        <v>826</v>
      </c>
      <c r="E526" s="23" t="s">
        <v>828</v>
      </c>
      <c r="F526" s="24" t="s">
        <v>76</v>
      </c>
      <c r="G526" s="19" t="n">
        <v>15</v>
      </c>
      <c r="H526" s="13" t="s">
        <v>27</v>
      </c>
      <c r="I526" s="12" t="n">
        <f aca="false">IFERROR(VLOOKUP(F526,Insumos!$C$5:$G$143,5,FALSE()),0)</f>
        <v>0.06</v>
      </c>
      <c r="J526" s="25" t="n">
        <f aca="false">IF(C526="bizcocho",VLOOKUP(A526,'Recetas y precios'!$A$5:$G$55,6,FALSE()),IF(C526="jarabe",VLOOKUP(A526,'Recetas y precios'!$A$5:$G$55,7,FALSE()),1))</f>
        <v>0.824</v>
      </c>
      <c r="K526" s="15" t="n">
        <f aca="false">G526*I526*J526</f>
        <v>0.7416</v>
      </c>
    </row>
    <row r="527" customFormat="false" ht="15" hidden="false" customHeight="false" outlineLevel="0" collapsed="false">
      <c r="A527" s="0" t="n">
        <v>29</v>
      </c>
      <c r="B527" s="22" t="s">
        <v>822</v>
      </c>
      <c r="C527" s="13" t="s">
        <v>387</v>
      </c>
      <c r="D527" s="23" t="s">
        <v>826</v>
      </c>
      <c r="E527" s="23" t="s">
        <v>829</v>
      </c>
      <c r="F527" s="24" t="s">
        <v>305</v>
      </c>
      <c r="G527" s="19" t="n">
        <v>10</v>
      </c>
      <c r="H527" s="13" t="s">
        <v>34</v>
      </c>
      <c r="I527" s="12" t="n">
        <f aca="false">IFERROR(VLOOKUP(F527,Insumos!$C$5:$G$143,5,FALSE()),0)</f>
        <v>0.373333333333333</v>
      </c>
      <c r="J527" s="25" t="n">
        <f aca="false">IF(C527="bizcocho",VLOOKUP(A527,'Recetas y precios'!$A$5:$G$55,6,FALSE()),IF(C527="jarabe",VLOOKUP(A527,'Recetas y precios'!$A$5:$G$55,7,FALSE()),1))</f>
        <v>0.824</v>
      </c>
      <c r="K527" s="15" t="n">
        <f aca="false">G527*I527*J527</f>
        <v>3.07626666666667</v>
      </c>
    </row>
    <row r="528" customFormat="false" ht="15" hidden="false" customHeight="false" outlineLevel="0" collapsed="false">
      <c r="A528" s="0" t="n">
        <v>29</v>
      </c>
      <c r="B528" s="22" t="s">
        <v>822</v>
      </c>
      <c r="C528" s="13" t="s">
        <v>393</v>
      </c>
      <c r="D528" s="23" t="s">
        <v>830</v>
      </c>
      <c r="E528" s="23" t="s">
        <v>503</v>
      </c>
      <c r="F528" s="24" t="s">
        <v>26</v>
      </c>
      <c r="G528" s="19" t="n">
        <v>180</v>
      </c>
      <c r="H528" s="13" t="s">
        <v>27</v>
      </c>
      <c r="I528" s="12" t="n">
        <f aca="false">IFERROR(VLOOKUP(F528,Insumos!$C$5:$G$143,5,FALSE()),0)</f>
        <v>0.38</v>
      </c>
      <c r="J528" s="25" t="n">
        <f aca="false">IF(C528="bizcocho",VLOOKUP(A528,'Recetas y precios'!$A$5:$G$55,6,FALSE()),IF(C528="jarabe",VLOOKUP(A528,'Recetas y precios'!$A$5:$G$55,7,FALSE()),1))</f>
        <v>1</v>
      </c>
      <c r="K528" s="15" t="n">
        <f aca="false">G528*I528*J528</f>
        <v>68.4</v>
      </c>
    </row>
    <row r="529" customFormat="false" ht="15" hidden="false" customHeight="false" outlineLevel="0" collapsed="false">
      <c r="A529" s="0" t="n">
        <v>29</v>
      </c>
      <c r="B529" s="22" t="s">
        <v>822</v>
      </c>
      <c r="C529" s="13" t="s">
        <v>393</v>
      </c>
      <c r="D529" s="23" t="s">
        <v>830</v>
      </c>
      <c r="E529" s="23" t="s">
        <v>831</v>
      </c>
      <c r="F529" s="24" t="s">
        <v>33</v>
      </c>
      <c r="G529" s="19" t="n">
        <v>170</v>
      </c>
      <c r="H529" s="13" t="s">
        <v>34</v>
      </c>
      <c r="I529" s="12" t="n">
        <f aca="false">IFERROR(VLOOKUP(F529,Insumos!$C$5:$G$143,5,FALSE()),0)</f>
        <v>0.078</v>
      </c>
      <c r="J529" s="25" t="n">
        <f aca="false">IF(C529="bizcocho",VLOOKUP(A529,'Recetas y precios'!$A$5:$G$55,6,FALSE()),IF(C529="jarabe",VLOOKUP(A529,'Recetas y precios'!$A$5:$G$55,7,FALSE()),1))</f>
        <v>1</v>
      </c>
      <c r="K529" s="15" t="n">
        <f aca="false">G529*I529*J529</f>
        <v>13.26</v>
      </c>
    </row>
    <row r="530" customFormat="false" ht="15" hidden="false" customHeight="false" outlineLevel="0" collapsed="false">
      <c r="A530" s="0" t="n">
        <v>29</v>
      </c>
      <c r="B530" s="22" t="s">
        <v>822</v>
      </c>
      <c r="C530" s="13" t="s">
        <v>393</v>
      </c>
      <c r="D530" s="23" t="s">
        <v>830</v>
      </c>
      <c r="E530" s="23" t="s">
        <v>832</v>
      </c>
      <c r="F530" s="24" t="s">
        <v>54</v>
      </c>
      <c r="G530" s="19" t="n">
        <v>30</v>
      </c>
      <c r="H530" s="13" t="s">
        <v>27</v>
      </c>
      <c r="I530" s="12" t="n">
        <f aca="false">IFERROR(VLOOKUP(F530,Insumos!$C$5:$G$143,5,FALSE()),0)</f>
        <v>0.12</v>
      </c>
      <c r="J530" s="25" t="n">
        <f aca="false">IF(C530="bizcocho",VLOOKUP(A530,'Recetas y precios'!$A$5:$G$55,6,FALSE()),IF(C530="jarabe",VLOOKUP(A530,'Recetas y precios'!$A$5:$G$55,7,FALSE()),1))</f>
        <v>1</v>
      </c>
      <c r="K530" s="15" t="n">
        <f aca="false">G530*I530*J530</f>
        <v>3.6</v>
      </c>
    </row>
    <row r="531" customFormat="false" ht="15" hidden="false" customHeight="false" outlineLevel="0" collapsed="false">
      <c r="A531" s="0" t="n">
        <v>29</v>
      </c>
      <c r="B531" s="22" t="s">
        <v>822</v>
      </c>
      <c r="C531" s="13" t="s">
        <v>393</v>
      </c>
      <c r="D531" s="23" t="s">
        <v>830</v>
      </c>
      <c r="E531" s="23" t="s">
        <v>444</v>
      </c>
      <c r="F531" s="24" t="s">
        <v>36</v>
      </c>
      <c r="G531" s="19" t="n">
        <v>50</v>
      </c>
      <c r="H531" s="13" t="s">
        <v>27</v>
      </c>
      <c r="I531" s="12" t="n">
        <f aca="false">IFERROR(VLOOKUP(F531,Insumos!$C$5:$G$143,5,FALSE()),0)</f>
        <v>0.085</v>
      </c>
      <c r="J531" s="25" t="n">
        <f aca="false">IF(C531="bizcocho",VLOOKUP(A531,'Recetas y precios'!$A$5:$G$55,6,FALSE()),IF(C531="jarabe",VLOOKUP(A531,'Recetas y precios'!$A$5:$G$55,7,FALSE()),1))</f>
        <v>1</v>
      </c>
      <c r="K531" s="15" t="n">
        <f aca="false">G531*I531*J531</f>
        <v>4.25</v>
      </c>
    </row>
    <row r="532" customFormat="false" ht="15" hidden="false" customHeight="false" outlineLevel="0" collapsed="false">
      <c r="A532" s="0" t="n">
        <v>29</v>
      </c>
      <c r="B532" s="22" t="s">
        <v>822</v>
      </c>
      <c r="C532" s="13" t="s">
        <v>393</v>
      </c>
      <c r="D532" s="23" t="s">
        <v>830</v>
      </c>
      <c r="E532" s="23" t="s">
        <v>456</v>
      </c>
      <c r="F532" s="24" t="s">
        <v>74</v>
      </c>
      <c r="G532" s="19" t="n">
        <v>20</v>
      </c>
      <c r="H532" s="13" t="s">
        <v>27</v>
      </c>
      <c r="I532" s="12" t="n">
        <f aca="false">IFERROR(VLOOKUP(F532,Insumos!$C$5:$G$143,5,FALSE()),0)</f>
        <v>0.045</v>
      </c>
      <c r="J532" s="25" t="n">
        <f aca="false">IF(C532="bizcocho",VLOOKUP(A532,'Recetas y precios'!$A$5:$G$55,6,FALSE()),IF(C532="jarabe",VLOOKUP(A532,'Recetas y precios'!$A$5:$G$55,7,FALSE()),1))</f>
        <v>1</v>
      </c>
      <c r="K532" s="15" t="n">
        <f aca="false">G532*I532*J532</f>
        <v>0.9</v>
      </c>
    </row>
    <row r="533" customFormat="false" ht="15" hidden="false" customHeight="false" outlineLevel="0" collapsed="false">
      <c r="A533" s="0" t="n">
        <v>29</v>
      </c>
      <c r="B533" s="22" t="s">
        <v>822</v>
      </c>
      <c r="C533" s="13" t="s">
        <v>400</v>
      </c>
      <c r="D533" s="23" t="s">
        <v>833</v>
      </c>
      <c r="E533" s="23" t="s">
        <v>834</v>
      </c>
      <c r="F533" s="24" t="s">
        <v>158</v>
      </c>
      <c r="G533" s="19" t="n">
        <v>70</v>
      </c>
      <c r="H533" s="13" t="s">
        <v>27</v>
      </c>
      <c r="I533" s="12" t="n">
        <f aca="false">IFERROR(VLOOKUP(F533,Insumos!$C$5:$G$143,5,FALSE()),0)</f>
        <v>0.03</v>
      </c>
      <c r="J533" s="25" t="n">
        <f aca="false">IF(C533="bizcocho",VLOOKUP(A533,'Recetas y precios'!$A$5:$G$55,6,FALSE()),IF(C533="jarabe",VLOOKUP(A533,'Recetas y precios'!$A$5:$G$55,7,FALSE()),1))</f>
        <v>1</v>
      </c>
      <c r="K533" s="15" t="n">
        <f aca="false">G533*I533*J533</f>
        <v>2.1</v>
      </c>
    </row>
    <row r="534" customFormat="false" ht="15" hidden="false" customHeight="false" outlineLevel="0" collapsed="false">
      <c r="A534" s="0" t="n">
        <v>29</v>
      </c>
      <c r="B534" s="22" t="s">
        <v>822</v>
      </c>
      <c r="C534" s="13" t="s">
        <v>400</v>
      </c>
      <c r="D534" s="23" t="s">
        <v>833</v>
      </c>
      <c r="E534" s="23" t="s">
        <v>835</v>
      </c>
      <c r="F534" s="24" t="s">
        <v>170</v>
      </c>
      <c r="G534" s="19" t="n">
        <v>20</v>
      </c>
      <c r="H534" s="13" t="s">
        <v>27</v>
      </c>
      <c r="I534" s="12" t="n">
        <f aca="false">IFERROR(VLOOKUP(F534,Insumos!$C$5:$G$143,5,FALSE()),0)</f>
        <v>0.15</v>
      </c>
      <c r="J534" s="25" t="n">
        <f aca="false">IF(C534="bizcocho",VLOOKUP(A534,'Recetas y precios'!$A$5:$G$55,6,FALSE()),IF(C534="jarabe",VLOOKUP(A534,'Recetas y precios'!$A$5:$G$55,7,FALSE()),1))</f>
        <v>1</v>
      </c>
      <c r="K534" s="15" t="n">
        <f aca="false">G534*I534*J534</f>
        <v>3</v>
      </c>
    </row>
    <row r="535" customFormat="false" ht="15" hidden="false" customHeight="false" outlineLevel="0" collapsed="false">
      <c r="A535" s="0" t="n">
        <v>30</v>
      </c>
      <c r="B535" s="22" t="s">
        <v>836</v>
      </c>
      <c r="C535" s="13" t="s">
        <v>376</v>
      </c>
      <c r="D535" s="23" t="s">
        <v>837</v>
      </c>
      <c r="E535" s="23" t="s">
        <v>406</v>
      </c>
      <c r="F535" s="24" t="s">
        <v>59</v>
      </c>
      <c r="G535" s="19" t="n">
        <v>50</v>
      </c>
      <c r="H535" s="13" t="s">
        <v>27</v>
      </c>
      <c r="I535" s="12" t="n">
        <f aca="false">IFERROR(VLOOKUP(F535,Insumos!$C$5:$G$143,5,FALSE()),0)</f>
        <v>0.032</v>
      </c>
      <c r="J535" s="25" t="n">
        <f aca="false">IF(C535="bizcocho",VLOOKUP(A535,'Recetas y precios'!$A$5:$G$55,6,FALSE()),IF(C535="jarabe",VLOOKUP(A535,'Recetas y precios'!$A$5:$G$55,7,FALSE()),1))</f>
        <v>0.304</v>
      </c>
      <c r="K535" s="15" t="n">
        <f aca="false">G535*I535*J535</f>
        <v>0.4864</v>
      </c>
    </row>
    <row r="536" customFormat="false" ht="15" hidden="false" customHeight="false" outlineLevel="0" collapsed="false">
      <c r="A536" s="0" t="n">
        <v>30</v>
      </c>
      <c r="B536" s="22" t="s">
        <v>836</v>
      </c>
      <c r="C536" s="13" t="s">
        <v>376</v>
      </c>
      <c r="D536" s="23" t="s">
        <v>837</v>
      </c>
      <c r="E536" s="23" t="s">
        <v>838</v>
      </c>
      <c r="F536" s="24" t="s">
        <v>290</v>
      </c>
      <c r="G536" s="19" t="n">
        <v>2</v>
      </c>
      <c r="H536" s="13" t="s">
        <v>27</v>
      </c>
      <c r="I536" s="12" t="n">
        <f aca="false">IFERROR(VLOOKUP(F536,Insumos!$C$5:$G$143,5,FALSE()),0)</f>
        <v>0.65</v>
      </c>
      <c r="J536" s="25" t="n">
        <f aca="false">IF(C536="bizcocho",VLOOKUP(A536,'Recetas y precios'!$A$5:$G$55,6,FALSE()),IF(C536="jarabe",VLOOKUP(A536,'Recetas y precios'!$A$5:$G$55,7,FALSE()),1))</f>
        <v>0.304</v>
      </c>
      <c r="K536" s="15" t="n">
        <f aca="false">G536*I536*J536</f>
        <v>0.3952</v>
      </c>
    </row>
    <row r="537" customFormat="false" ht="15" hidden="false" customHeight="false" outlineLevel="0" collapsed="false">
      <c r="A537" s="0" t="n">
        <v>30</v>
      </c>
      <c r="B537" s="22" t="s">
        <v>836</v>
      </c>
      <c r="C537" s="13" t="s">
        <v>376</v>
      </c>
      <c r="D537" s="23" t="s">
        <v>837</v>
      </c>
      <c r="E537" s="23" t="s">
        <v>409</v>
      </c>
      <c r="F537" s="24" t="s">
        <v>48</v>
      </c>
      <c r="G537" s="19" t="n">
        <v>35</v>
      </c>
      <c r="H537" s="13" t="s">
        <v>27</v>
      </c>
      <c r="I537" s="12" t="n">
        <f aca="false">IFERROR(VLOOKUP(F537,Insumos!$C$5:$G$143,5,FALSE()),0)</f>
        <v>0.13</v>
      </c>
      <c r="J537" s="25" t="n">
        <f aca="false">IF(C537="bizcocho",VLOOKUP(A537,'Recetas y precios'!$A$5:$G$55,6,FALSE()),IF(C537="jarabe",VLOOKUP(A537,'Recetas y precios'!$A$5:$G$55,7,FALSE()),1))</f>
        <v>0.304</v>
      </c>
      <c r="K537" s="15" t="n">
        <f aca="false">G537*I537*J537</f>
        <v>1.3832</v>
      </c>
    </row>
    <row r="538" customFormat="false" ht="15" hidden="false" customHeight="false" outlineLevel="0" collapsed="false">
      <c r="A538" s="0" t="n">
        <v>30</v>
      </c>
      <c r="B538" s="22" t="s">
        <v>836</v>
      </c>
      <c r="C538" s="13" t="s">
        <v>376</v>
      </c>
      <c r="D538" s="23" t="s">
        <v>837</v>
      </c>
      <c r="E538" s="23" t="s">
        <v>410</v>
      </c>
      <c r="F538" s="24" t="s">
        <v>50</v>
      </c>
      <c r="G538" s="19" t="n">
        <v>75</v>
      </c>
      <c r="H538" s="13" t="s">
        <v>27</v>
      </c>
      <c r="I538" s="12" t="n">
        <f aca="false">IFERROR(VLOOKUP(F538,Insumos!$C$5:$G$143,5,FALSE()),0)</f>
        <v>0.075</v>
      </c>
      <c r="J538" s="25" t="n">
        <f aca="false">IF(C538="bizcocho",VLOOKUP(A538,'Recetas y precios'!$A$5:$G$55,6,FALSE()),IF(C538="jarabe",VLOOKUP(A538,'Recetas y precios'!$A$5:$G$55,7,FALSE()),1))</f>
        <v>0.304</v>
      </c>
      <c r="K538" s="15" t="n">
        <f aca="false">G538*I538*J538</f>
        <v>1.71</v>
      </c>
    </row>
    <row r="539" customFormat="false" ht="15" hidden="false" customHeight="false" outlineLevel="0" collapsed="false">
      <c r="A539" s="0" t="n">
        <v>30</v>
      </c>
      <c r="B539" s="22" t="s">
        <v>836</v>
      </c>
      <c r="C539" s="13" t="s">
        <v>376</v>
      </c>
      <c r="D539" s="23" t="s">
        <v>837</v>
      </c>
      <c r="E539" s="23" t="s">
        <v>411</v>
      </c>
      <c r="F539" s="24" t="s">
        <v>72</v>
      </c>
      <c r="G539" s="19" t="n">
        <v>40</v>
      </c>
      <c r="H539" s="13" t="s">
        <v>27</v>
      </c>
      <c r="I539" s="12" t="n">
        <f aca="false">IFERROR(VLOOKUP(F539,Insumos!$C$5:$G$143,5,FALSE()),0)</f>
        <v>0.028</v>
      </c>
      <c r="J539" s="25" t="n">
        <f aca="false">IF(C539="bizcocho",VLOOKUP(A539,'Recetas y precios'!$A$5:$G$55,6,FALSE()),IF(C539="jarabe",VLOOKUP(A539,'Recetas y precios'!$A$5:$G$55,7,FALSE()),1))</f>
        <v>0.304</v>
      </c>
      <c r="K539" s="15" t="n">
        <f aca="false">G539*I539*J539</f>
        <v>0.34048</v>
      </c>
    </row>
    <row r="540" customFormat="false" ht="15" hidden="false" customHeight="false" outlineLevel="0" collapsed="false">
      <c r="A540" s="0" t="n">
        <v>30</v>
      </c>
      <c r="B540" s="22" t="s">
        <v>836</v>
      </c>
      <c r="C540" s="13" t="s">
        <v>376</v>
      </c>
      <c r="D540" s="23" t="s">
        <v>837</v>
      </c>
      <c r="E540" s="23" t="s">
        <v>531</v>
      </c>
      <c r="F540" s="24" t="s">
        <v>109</v>
      </c>
      <c r="G540" s="19" t="n">
        <v>25</v>
      </c>
      <c r="H540" s="13" t="s">
        <v>34</v>
      </c>
      <c r="I540" s="12" t="n">
        <f aca="false">IFERROR(VLOOKUP(F540,Insumos!$C$5:$G$143,5,FALSE()),0)</f>
        <v>0.045</v>
      </c>
      <c r="J540" s="25" t="n">
        <f aca="false">IF(C540="bizcocho",VLOOKUP(A540,'Recetas y precios'!$A$5:$G$55,6,FALSE()),IF(C540="jarabe",VLOOKUP(A540,'Recetas y precios'!$A$5:$G$55,7,FALSE()),1))</f>
        <v>0.304</v>
      </c>
      <c r="K540" s="15" t="n">
        <f aca="false">G540*I540*J540</f>
        <v>0.342</v>
      </c>
    </row>
    <row r="541" customFormat="false" ht="15" hidden="false" customHeight="false" outlineLevel="0" collapsed="false">
      <c r="A541" s="0" t="n">
        <v>30</v>
      </c>
      <c r="B541" s="22" t="s">
        <v>836</v>
      </c>
      <c r="C541" s="13" t="s">
        <v>376</v>
      </c>
      <c r="D541" s="23" t="s">
        <v>837</v>
      </c>
      <c r="E541" s="23" t="s">
        <v>383</v>
      </c>
      <c r="F541" s="24" t="s">
        <v>40</v>
      </c>
      <c r="G541" s="19" t="n">
        <v>35</v>
      </c>
      <c r="H541" s="13" t="s">
        <v>34</v>
      </c>
      <c r="I541" s="12" t="n">
        <f aca="false">IFERROR(VLOOKUP(F541,Insumos!$C$5:$G$143,5,FALSE()),0)</f>
        <v>0.028</v>
      </c>
      <c r="J541" s="25" t="n">
        <f aca="false">IF(C541="bizcocho",VLOOKUP(A541,'Recetas y precios'!$A$5:$G$55,6,FALSE()),IF(C541="jarabe",VLOOKUP(A541,'Recetas y precios'!$A$5:$G$55,7,FALSE()),1))</f>
        <v>0.304</v>
      </c>
      <c r="K541" s="15" t="n">
        <f aca="false">G541*I541*J541</f>
        <v>0.29792</v>
      </c>
    </row>
    <row r="542" customFormat="false" ht="15" hidden="false" customHeight="false" outlineLevel="0" collapsed="false">
      <c r="A542" s="0" t="n">
        <v>30</v>
      </c>
      <c r="B542" s="22" t="s">
        <v>836</v>
      </c>
      <c r="C542" s="13" t="s">
        <v>376</v>
      </c>
      <c r="D542" s="23" t="s">
        <v>837</v>
      </c>
      <c r="E542" s="23" t="s">
        <v>413</v>
      </c>
      <c r="F542" s="24" t="s">
        <v>103</v>
      </c>
      <c r="G542" s="19" t="n">
        <v>1</v>
      </c>
      <c r="H542" s="13" t="s">
        <v>27</v>
      </c>
      <c r="I542" s="12" t="n">
        <f aca="false">IFERROR(VLOOKUP(F542,Insumos!$C$5:$G$143,5,FALSE()),0)</f>
        <v>0.025</v>
      </c>
      <c r="J542" s="25" t="n">
        <f aca="false">IF(C542="bizcocho",VLOOKUP(A542,'Recetas y precios'!$A$5:$G$55,6,FALSE()),IF(C542="jarabe",VLOOKUP(A542,'Recetas y precios'!$A$5:$G$55,7,FALSE()),1))</f>
        <v>0.304</v>
      </c>
      <c r="K542" s="15" t="n">
        <f aca="false">G542*I542*J542</f>
        <v>0.0076</v>
      </c>
    </row>
    <row r="543" customFormat="false" ht="15" hidden="false" customHeight="false" outlineLevel="0" collapsed="false">
      <c r="A543" s="0" t="n">
        <v>30</v>
      </c>
      <c r="B543" s="22" t="s">
        <v>836</v>
      </c>
      <c r="C543" s="13" t="s">
        <v>387</v>
      </c>
      <c r="D543" s="23" t="s">
        <v>839</v>
      </c>
      <c r="E543" s="23" t="s">
        <v>840</v>
      </c>
      <c r="F543" s="24" t="s">
        <v>166</v>
      </c>
      <c r="G543" s="19" t="n">
        <v>40</v>
      </c>
      <c r="H543" s="13" t="s">
        <v>27</v>
      </c>
      <c r="I543" s="12" t="n">
        <f aca="false">IFERROR(VLOOKUP(F543,Insumos!$C$5:$G$143,5,FALSE()),0)</f>
        <v>0.04</v>
      </c>
      <c r="J543" s="25" t="n">
        <f aca="false">IF(C543="bizcocho",VLOOKUP(A543,'Recetas y precios'!$A$5:$G$55,6,FALSE()),IF(C543="jarabe",VLOOKUP(A543,'Recetas y precios'!$A$5:$G$55,7,FALSE()),1))</f>
        <v>0.933</v>
      </c>
      <c r="K543" s="15" t="n">
        <f aca="false">G543*I543*J543</f>
        <v>1.4928</v>
      </c>
    </row>
    <row r="544" customFormat="false" ht="15" hidden="false" customHeight="false" outlineLevel="0" collapsed="false">
      <c r="A544" s="0" t="n">
        <v>30</v>
      </c>
      <c r="B544" s="22" t="s">
        <v>836</v>
      </c>
      <c r="C544" s="13" t="s">
        <v>387</v>
      </c>
      <c r="D544" s="23" t="s">
        <v>839</v>
      </c>
      <c r="E544" s="23" t="s">
        <v>841</v>
      </c>
      <c r="F544" s="24" t="s">
        <v>78</v>
      </c>
      <c r="G544" s="19" t="n">
        <v>20</v>
      </c>
      <c r="H544" s="13" t="s">
        <v>27</v>
      </c>
      <c r="I544" s="12" t="n">
        <f aca="false">IFERROR(VLOOKUP(F544,Insumos!$C$5:$G$143,5,FALSE()),0)</f>
        <v>0.045</v>
      </c>
      <c r="J544" s="25" t="n">
        <f aca="false">IF(C544="bizcocho",VLOOKUP(A544,'Recetas y precios'!$A$5:$G$55,6,FALSE()),IF(C544="jarabe",VLOOKUP(A544,'Recetas y precios'!$A$5:$G$55,7,FALSE()),1))</f>
        <v>0.933</v>
      </c>
      <c r="K544" s="15" t="n">
        <f aca="false">G544*I544*J544</f>
        <v>0.8397</v>
      </c>
    </row>
    <row r="545" customFormat="false" ht="15" hidden="false" customHeight="false" outlineLevel="0" collapsed="false">
      <c r="A545" s="0" t="n">
        <v>30</v>
      </c>
      <c r="B545" s="22" t="s">
        <v>836</v>
      </c>
      <c r="C545" s="13" t="s">
        <v>387</v>
      </c>
      <c r="D545" s="23" t="s">
        <v>839</v>
      </c>
      <c r="E545" s="23" t="s">
        <v>842</v>
      </c>
      <c r="F545" s="24" t="s">
        <v>113</v>
      </c>
      <c r="G545" s="19" t="n">
        <v>10</v>
      </c>
      <c r="H545" s="13" t="s">
        <v>34</v>
      </c>
      <c r="I545" s="12" t="n">
        <f aca="false">IFERROR(VLOOKUP(F545,Insumos!$C$5:$G$143,5,FALSE()),0)</f>
        <v>0.002</v>
      </c>
      <c r="J545" s="25" t="n">
        <f aca="false">IF(C545="bizcocho",VLOOKUP(A545,'Recetas y precios'!$A$5:$G$55,6,FALSE()),IF(C545="jarabe",VLOOKUP(A545,'Recetas y precios'!$A$5:$G$55,7,FALSE()),1))</f>
        <v>0.933</v>
      </c>
      <c r="K545" s="15" t="n">
        <f aca="false">G545*I545*J545</f>
        <v>0.01866</v>
      </c>
    </row>
    <row r="546" customFormat="false" ht="15" hidden="false" customHeight="false" outlineLevel="0" collapsed="false">
      <c r="A546" s="0" t="n">
        <v>30</v>
      </c>
      <c r="B546" s="22" t="s">
        <v>836</v>
      </c>
      <c r="C546" s="13" t="s">
        <v>387</v>
      </c>
      <c r="D546" s="23" t="s">
        <v>839</v>
      </c>
      <c r="E546" s="23" t="s">
        <v>843</v>
      </c>
      <c r="F546" s="24" t="s">
        <v>315</v>
      </c>
      <c r="G546" s="19" t="n">
        <v>5</v>
      </c>
      <c r="H546" s="13" t="s">
        <v>34</v>
      </c>
      <c r="I546" s="12" t="n">
        <f aca="false">IFERROR(VLOOKUP(F546,Insumos!$C$5:$G$143,5,FALSE()),0)</f>
        <v>0.533333333333333</v>
      </c>
      <c r="J546" s="25" t="n">
        <f aca="false">IF(C546="bizcocho",VLOOKUP(A546,'Recetas y precios'!$A$5:$G$55,6,FALSE()),IF(C546="jarabe",VLOOKUP(A546,'Recetas y precios'!$A$5:$G$55,7,FALSE()),1))</f>
        <v>0.933</v>
      </c>
      <c r="K546" s="15" t="n">
        <f aca="false">G546*I546*J546</f>
        <v>2.488</v>
      </c>
    </row>
    <row r="547" customFormat="false" ht="15" hidden="false" customHeight="false" outlineLevel="0" collapsed="false">
      <c r="A547" s="0" t="n">
        <v>30</v>
      </c>
      <c r="B547" s="22" t="s">
        <v>836</v>
      </c>
      <c r="C547" s="13" t="s">
        <v>393</v>
      </c>
      <c r="D547" s="23" t="s">
        <v>778</v>
      </c>
      <c r="E547" s="23" t="s">
        <v>844</v>
      </c>
      <c r="F547" s="24" t="s">
        <v>26</v>
      </c>
      <c r="G547" s="19" t="n">
        <v>110</v>
      </c>
      <c r="H547" s="13" t="s">
        <v>27</v>
      </c>
      <c r="I547" s="12" t="n">
        <f aca="false">IFERROR(VLOOKUP(F547,Insumos!$C$5:$G$143,5,FALSE()),0)</f>
        <v>0.38</v>
      </c>
      <c r="J547" s="25" t="n">
        <f aca="false">IF(C547="bizcocho",VLOOKUP(A547,'Recetas y precios'!$A$5:$G$55,6,FALSE()),IF(C547="jarabe",VLOOKUP(A547,'Recetas y precios'!$A$5:$G$55,7,FALSE()),1))</f>
        <v>1</v>
      </c>
      <c r="K547" s="15" t="n">
        <f aca="false">G547*I547*J547</f>
        <v>41.8</v>
      </c>
    </row>
    <row r="548" customFormat="false" ht="15" hidden="false" customHeight="false" outlineLevel="0" collapsed="false">
      <c r="A548" s="0" t="n">
        <v>30</v>
      </c>
      <c r="B548" s="22" t="s">
        <v>836</v>
      </c>
      <c r="C548" s="13" t="s">
        <v>393</v>
      </c>
      <c r="D548" s="23" t="s">
        <v>778</v>
      </c>
      <c r="E548" s="23" t="s">
        <v>845</v>
      </c>
      <c r="F548" s="24" t="s">
        <v>31</v>
      </c>
      <c r="G548" s="19" t="n">
        <v>50</v>
      </c>
      <c r="H548" s="13" t="s">
        <v>27</v>
      </c>
      <c r="I548" s="12" t="n">
        <f aca="false">IFERROR(VLOOKUP(F548,Insumos!$C$5:$G$143,5,FALSE()),0)</f>
        <v>0.15</v>
      </c>
      <c r="J548" s="25" t="n">
        <f aca="false">IF(C548="bizcocho",VLOOKUP(A548,'Recetas y precios'!$A$5:$G$55,6,FALSE()),IF(C548="jarabe",VLOOKUP(A548,'Recetas y precios'!$A$5:$G$55,7,FALSE()),1))</f>
        <v>1</v>
      </c>
      <c r="K548" s="15" t="n">
        <f aca="false">G548*I548*J548</f>
        <v>7.5</v>
      </c>
    </row>
    <row r="549" customFormat="false" ht="15" hidden="false" customHeight="false" outlineLevel="0" collapsed="false">
      <c r="A549" s="0" t="n">
        <v>30</v>
      </c>
      <c r="B549" s="22" t="s">
        <v>836</v>
      </c>
      <c r="C549" s="13" t="s">
        <v>393</v>
      </c>
      <c r="D549" s="23" t="s">
        <v>778</v>
      </c>
      <c r="E549" s="23" t="s">
        <v>420</v>
      </c>
      <c r="F549" s="24" t="s">
        <v>33</v>
      </c>
      <c r="G549" s="19" t="n">
        <v>120</v>
      </c>
      <c r="H549" s="13" t="s">
        <v>34</v>
      </c>
      <c r="I549" s="12" t="n">
        <f aca="false">IFERROR(VLOOKUP(F549,Insumos!$C$5:$G$143,5,FALSE()),0)</f>
        <v>0.078</v>
      </c>
      <c r="J549" s="25" t="n">
        <f aca="false">IF(C549="bizcocho",VLOOKUP(A549,'Recetas y precios'!$A$5:$G$55,6,FALSE()),IF(C549="jarabe",VLOOKUP(A549,'Recetas y precios'!$A$5:$G$55,7,FALSE()),1))</f>
        <v>1</v>
      </c>
      <c r="K549" s="15" t="n">
        <f aca="false">G549*I549*J549</f>
        <v>9.36</v>
      </c>
    </row>
    <row r="550" customFormat="false" ht="15" hidden="false" customHeight="false" outlineLevel="0" collapsed="false">
      <c r="A550" s="0" t="n">
        <v>30</v>
      </c>
      <c r="B550" s="22" t="s">
        <v>836</v>
      </c>
      <c r="C550" s="13" t="s">
        <v>393</v>
      </c>
      <c r="D550" s="23" t="s">
        <v>778</v>
      </c>
      <c r="E550" s="23" t="s">
        <v>506</v>
      </c>
      <c r="F550" s="24" t="s">
        <v>36</v>
      </c>
      <c r="G550" s="19" t="n">
        <v>45</v>
      </c>
      <c r="H550" s="13" t="s">
        <v>27</v>
      </c>
      <c r="I550" s="12" t="n">
        <f aca="false">IFERROR(VLOOKUP(F550,Insumos!$C$5:$G$143,5,FALSE()),0)</f>
        <v>0.085</v>
      </c>
      <c r="J550" s="25" t="n">
        <f aca="false">IF(C550="bizcocho",VLOOKUP(A550,'Recetas y precios'!$A$5:$G$55,6,FALSE()),IF(C550="jarabe",VLOOKUP(A550,'Recetas y precios'!$A$5:$G$55,7,FALSE()),1))</f>
        <v>1</v>
      </c>
      <c r="K550" s="15" t="n">
        <f aca="false">G550*I550*J550</f>
        <v>3.825</v>
      </c>
    </row>
    <row r="551" customFormat="false" ht="15" hidden="false" customHeight="false" outlineLevel="0" collapsed="false">
      <c r="A551" s="0" t="n">
        <v>30</v>
      </c>
      <c r="B551" s="22" t="s">
        <v>836</v>
      </c>
      <c r="C551" s="13" t="s">
        <v>393</v>
      </c>
      <c r="D551" s="23" t="s">
        <v>778</v>
      </c>
      <c r="E551" s="23" t="s">
        <v>567</v>
      </c>
      <c r="F551" s="24" t="s">
        <v>74</v>
      </c>
      <c r="G551" s="19" t="n">
        <v>15</v>
      </c>
      <c r="H551" s="13" t="s">
        <v>27</v>
      </c>
      <c r="I551" s="12" t="n">
        <f aca="false">IFERROR(VLOOKUP(F551,Insumos!$C$5:$G$143,5,FALSE()),0)</f>
        <v>0.045</v>
      </c>
      <c r="J551" s="25" t="n">
        <f aca="false">IF(C551="bizcocho",VLOOKUP(A551,'Recetas y precios'!$A$5:$G$55,6,FALSE()),IF(C551="jarabe",VLOOKUP(A551,'Recetas y precios'!$A$5:$G$55,7,FALSE()),1))</f>
        <v>1</v>
      </c>
      <c r="K551" s="15" t="n">
        <f aca="false">G551*I551*J551</f>
        <v>0.675</v>
      </c>
    </row>
    <row r="552" customFormat="false" ht="15" hidden="false" customHeight="false" outlineLevel="0" collapsed="false">
      <c r="A552" s="0" t="n">
        <v>30</v>
      </c>
      <c r="B552" s="22" t="s">
        <v>836</v>
      </c>
      <c r="C552" s="13" t="s">
        <v>393</v>
      </c>
      <c r="D552" s="23" t="s">
        <v>778</v>
      </c>
      <c r="E552" s="23" t="s">
        <v>846</v>
      </c>
      <c r="F552" s="24" t="s">
        <v>105</v>
      </c>
      <c r="G552" s="19" t="n">
        <v>1.5</v>
      </c>
      <c r="H552" s="13" t="s">
        <v>27</v>
      </c>
      <c r="I552" s="12" t="n">
        <f aca="false">IFERROR(VLOOKUP(F552,Insumos!$C$5:$G$143,5,FALSE()),0)</f>
        <v>0.72</v>
      </c>
      <c r="J552" s="25" t="n">
        <f aca="false">IF(C552="bizcocho",VLOOKUP(A552,'Recetas y precios'!$A$5:$G$55,6,FALSE()),IF(C552="jarabe",VLOOKUP(A552,'Recetas y precios'!$A$5:$G$55,7,FALSE()),1))</f>
        <v>1</v>
      </c>
      <c r="K552" s="15" t="n">
        <f aca="false">G552*I552*J552</f>
        <v>1.08</v>
      </c>
    </row>
    <row r="553" customFormat="false" ht="15" hidden="false" customHeight="false" outlineLevel="0" collapsed="false">
      <c r="A553" s="0" t="n">
        <v>30</v>
      </c>
      <c r="B553" s="22" t="s">
        <v>836</v>
      </c>
      <c r="C553" s="13" t="s">
        <v>400</v>
      </c>
      <c r="D553" s="23" t="s">
        <v>806</v>
      </c>
      <c r="E553" s="23" t="s">
        <v>847</v>
      </c>
      <c r="F553" s="24" t="s">
        <v>166</v>
      </c>
      <c r="G553" s="19" t="n">
        <v>80</v>
      </c>
      <c r="H553" s="13" t="s">
        <v>27</v>
      </c>
      <c r="I553" s="12" t="n">
        <f aca="false">IFERROR(VLOOKUP(F553,Insumos!$C$5:$G$143,5,FALSE()),0)</f>
        <v>0.04</v>
      </c>
      <c r="J553" s="25" t="n">
        <f aca="false">IF(C553="bizcocho",VLOOKUP(A553,'Recetas y precios'!$A$5:$G$55,6,FALSE()),IF(C553="jarabe",VLOOKUP(A553,'Recetas y precios'!$A$5:$G$55,7,FALSE()),1))</f>
        <v>1</v>
      </c>
      <c r="K553" s="15" t="n">
        <f aca="false">G553*I553*J553</f>
        <v>3.2</v>
      </c>
    </row>
    <row r="554" customFormat="false" ht="15" hidden="false" customHeight="false" outlineLevel="0" collapsed="false">
      <c r="A554" s="0" t="n">
        <v>30</v>
      </c>
      <c r="B554" s="22" t="s">
        <v>836</v>
      </c>
      <c r="C554" s="13" t="s">
        <v>400</v>
      </c>
      <c r="D554" s="23" t="s">
        <v>806</v>
      </c>
      <c r="E554" s="23" t="s">
        <v>848</v>
      </c>
      <c r="F554" s="24" t="s">
        <v>237</v>
      </c>
      <c r="G554" s="19" t="n">
        <v>20</v>
      </c>
      <c r="H554" s="13" t="s">
        <v>27</v>
      </c>
      <c r="I554" s="12" t="n">
        <f aca="false">IFERROR(VLOOKUP(F554,Insumos!$C$5:$G$143,5,FALSE()),0)</f>
        <v>0.3</v>
      </c>
      <c r="J554" s="25" t="n">
        <f aca="false">IF(C554="bizcocho",VLOOKUP(A554,'Recetas y precios'!$A$5:$G$55,6,FALSE()),IF(C554="jarabe",VLOOKUP(A554,'Recetas y precios'!$A$5:$G$55,7,FALSE()),1))</f>
        <v>1</v>
      </c>
      <c r="K554" s="15" t="n">
        <f aca="false">G554*I554*J554</f>
        <v>6</v>
      </c>
    </row>
    <row r="555" customFormat="false" ht="15" hidden="false" customHeight="false" outlineLevel="0" collapsed="false">
      <c r="A555" s="0" t="n">
        <v>31</v>
      </c>
      <c r="B555" s="22" t="s">
        <v>849</v>
      </c>
      <c r="C555" s="13" t="s">
        <v>387</v>
      </c>
      <c r="D555" s="23" t="s">
        <v>661</v>
      </c>
      <c r="E555" s="23" t="s">
        <v>850</v>
      </c>
      <c r="F555" s="24" t="s">
        <v>116</v>
      </c>
      <c r="G555" s="19" t="n">
        <v>45</v>
      </c>
      <c r="H555" s="13" t="s">
        <v>34</v>
      </c>
      <c r="I555" s="12" t="n">
        <f aca="false">IFERROR(VLOOKUP(F555,Insumos!$C$5:$G$143,5,FALSE()),0)</f>
        <v>0.145</v>
      </c>
      <c r="J555" s="25" t="n">
        <f aca="false">IF(C555="bizcocho",VLOOKUP(A555,'Recetas y precios'!$A$5:$G$55,6,FALSE()),IF(C555="jarabe",VLOOKUP(A555,'Recetas y precios'!$A$5:$G$55,7,FALSE()),1))</f>
        <v>0.778</v>
      </c>
      <c r="K555" s="15" t="n">
        <f aca="false">G555*I555*J555</f>
        <v>5.07645</v>
      </c>
    </row>
    <row r="556" customFormat="false" ht="15" hidden="false" customHeight="false" outlineLevel="0" collapsed="false">
      <c r="A556" s="0" t="n">
        <v>31</v>
      </c>
      <c r="B556" s="22" t="s">
        <v>849</v>
      </c>
      <c r="C556" s="13" t="s">
        <v>387</v>
      </c>
      <c r="D556" s="23" t="s">
        <v>661</v>
      </c>
      <c r="E556" s="23" t="s">
        <v>499</v>
      </c>
      <c r="F556" s="24" t="s">
        <v>113</v>
      </c>
      <c r="G556" s="19" t="n">
        <v>25</v>
      </c>
      <c r="H556" s="13" t="s">
        <v>34</v>
      </c>
      <c r="I556" s="12" t="n">
        <f aca="false">IFERROR(VLOOKUP(F556,Insumos!$C$5:$G$143,5,FALSE()),0)</f>
        <v>0.002</v>
      </c>
      <c r="J556" s="25" t="n">
        <f aca="false">IF(C556="bizcocho",VLOOKUP(A556,'Recetas y precios'!$A$5:$G$55,6,FALSE()),IF(C556="jarabe",VLOOKUP(A556,'Recetas y precios'!$A$5:$G$55,7,FALSE()),1))</f>
        <v>0.778</v>
      </c>
      <c r="K556" s="15" t="n">
        <f aca="false">G556*I556*J556</f>
        <v>0.0389</v>
      </c>
    </row>
    <row r="557" customFormat="false" ht="15" hidden="false" customHeight="false" outlineLevel="0" collapsed="false">
      <c r="A557" s="0" t="n">
        <v>31</v>
      </c>
      <c r="B557" s="22" t="s">
        <v>849</v>
      </c>
      <c r="C557" s="13" t="s">
        <v>387</v>
      </c>
      <c r="D557" s="23" t="s">
        <v>661</v>
      </c>
      <c r="E557" s="23" t="s">
        <v>828</v>
      </c>
      <c r="F557" s="24" t="s">
        <v>76</v>
      </c>
      <c r="G557" s="19" t="n">
        <v>15</v>
      </c>
      <c r="H557" s="13" t="s">
        <v>27</v>
      </c>
      <c r="I557" s="12" t="n">
        <f aca="false">IFERROR(VLOOKUP(F557,Insumos!$C$5:$G$143,5,FALSE()),0)</f>
        <v>0.06</v>
      </c>
      <c r="J557" s="25" t="n">
        <f aca="false">IF(C557="bizcocho",VLOOKUP(A557,'Recetas y precios'!$A$5:$G$55,6,FALSE()),IF(C557="jarabe",VLOOKUP(A557,'Recetas y precios'!$A$5:$G$55,7,FALSE()),1))</f>
        <v>0.778</v>
      </c>
      <c r="K557" s="15" t="n">
        <f aca="false">G557*I557*J557</f>
        <v>0.7002</v>
      </c>
    </row>
    <row r="558" customFormat="false" ht="15" hidden="false" customHeight="false" outlineLevel="0" collapsed="false">
      <c r="A558" s="0" t="n">
        <v>31</v>
      </c>
      <c r="B558" s="22" t="s">
        <v>849</v>
      </c>
      <c r="C558" s="13" t="s">
        <v>387</v>
      </c>
      <c r="D558" s="23" t="s">
        <v>661</v>
      </c>
      <c r="E558" s="23" t="s">
        <v>851</v>
      </c>
      <c r="F558" s="24" t="s">
        <v>317</v>
      </c>
      <c r="G558" s="19" t="n">
        <v>5</v>
      </c>
      <c r="H558" s="13" t="s">
        <v>34</v>
      </c>
      <c r="I558" s="12" t="n">
        <f aca="false">IFERROR(VLOOKUP(F558,Insumos!$C$5:$G$143,5,FALSE()),0)</f>
        <v>0.693333333333333</v>
      </c>
      <c r="J558" s="25" t="n">
        <f aca="false">IF(C558="bizcocho",VLOOKUP(A558,'Recetas y precios'!$A$5:$G$55,6,FALSE()),IF(C558="jarabe",VLOOKUP(A558,'Recetas y precios'!$A$5:$G$55,7,FALSE()),1))</f>
        <v>0.778</v>
      </c>
      <c r="K558" s="15" t="n">
        <f aca="false">G558*I558*J558</f>
        <v>2.69706666666667</v>
      </c>
    </row>
    <row r="559" customFormat="false" ht="15" hidden="false" customHeight="false" outlineLevel="0" collapsed="false">
      <c r="A559" s="0" t="n">
        <v>31</v>
      </c>
      <c r="B559" s="22" t="s">
        <v>849</v>
      </c>
      <c r="C559" s="13" t="s">
        <v>393</v>
      </c>
      <c r="D559" s="23" t="s">
        <v>852</v>
      </c>
      <c r="E559" s="23" t="s">
        <v>503</v>
      </c>
      <c r="F559" s="24" t="s">
        <v>26</v>
      </c>
      <c r="G559" s="19" t="n">
        <v>180</v>
      </c>
      <c r="H559" s="13" t="s">
        <v>27</v>
      </c>
      <c r="I559" s="12" t="n">
        <f aca="false">IFERROR(VLOOKUP(F559,Insumos!$C$5:$G$143,5,FALSE()),0)</f>
        <v>0.38</v>
      </c>
      <c r="J559" s="25" t="n">
        <f aca="false">IF(C559="bizcocho",VLOOKUP(A559,'Recetas y precios'!$A$5:$G$55,6,FALSE()),IF(C559="jarabe",VLOOKUP(A559,'Recetas y precios'!$A$5:$G$55,7,FALSE()),1))</f>
        <v>1</v>
      </c>
      <c r="K559" s="15" t="n">
        <f aca="false">G559*I559*J559</f>
        <v>68.4</v>
      </c>
    </row>
    <row r="560" customFormat="false" ht="15" hidden="false" customHeight="false" outlineLevel="0" collapsed="false">
      <c r="A560" s="0" t="n">
        <v>31</v>
      </c>
      <c r="B560" s="22" t="s">
        <v>849</v>
      </c>
      <c r="C560" s="13" t="s">
        <v>393</v>
      </c>
      <c r="D560" s="23" t="s">
        <v>852</v>
      </c>
      <c r="E560" s="23" t="s">
        <v>504</v>
      </c>
      <c r="F560" s="24" t="s">
        <v>33</v>
      </c>
      <c r="G560" s="19" t="n">
        <v>180</v>
      </c>
      <c r="H560" s="13" t="s">
        <v>34</v>
      </c>
      <c r="I560" s="12" t="n">
        <f aca="false">IFERROR(VLOOKUP(F560,Insumos!$C$5:$G$143,5,FALSE()),0)</f>
        <v>0.078</v>
      </c>
      <c r="J560" s="25" t="n">
        <f aca="false">IF(C560="bizcocho",VLOOKUP(A560,'Recetas y precios'!$A$5:$G$55,6,FALSE()),IF(C560="jarabe",VLOOKUP(A560,'Recetas y precios'!$A$5:$G$55,7,FALSE()),1))</f>
        <v>1</v>
      </c>
      <c r="K560" s="15" t="n">
        <f aca="false">G560*I560*J560</f>
        <v>14.04</v>
      </c>
    </row>
    <row r="561" customFormat="false" ht="15" hidden="false" customHeight="false" outlineLevel="0" collapsed="false">
      <c r="A561" s="0" t="n">
        <v>31</v>
      </c>
      <c r="B561" s="22" t="s">
        <v>849</v>
      </c>
      <c r="C561" s="13" t="s">
        <v>393</v>
      </c>
      <c r="D561" s="23" t="s">
        <v>852</v>
      </c>
      <c r="E561" s="23" t="s">
        <v>853</v>
      </c>
      <c r="F561" s="24" t="s">
        <v>277</v>
      </c>
      <c r="G561" s="19" t="n">
        <v>40</v>
      </c>
      <c r="H561" s="13" t="s">
        <v>27</v>
      </c>
      <c r="I561" s="12" t="n">
        <f aca="false">IFERROR(VLOOKUP(F561,Insumos!$C$5:$G$143,5,FALSE()),0)</f>
        <v>0.48</v>
      </c>
      <c r="J561" s="25" t="n">
        <f aca="false">IF(C561="bizcocho",VLOOKUP(A561,'Recetas y precios'!$A$5:$G$55,6,FALSE()),IF(C561="jarabe",VLOOKUP(A561,'Recetas y precios'!$A$5:$G$55,7,FALSE()),1))</f>
        <v>1</v>
      </c>
      <c r="K561" s="15" t="n">
        <f aca="false">G561*I561*J561</f>
        <v>19.2</v>
      </c>
    </row>
    <row r="562" customFormat="false" ht="15" hidden="false" customHeight="false" outlineLevel="0" collapsed="false">
      <c r="A562" s="0" t="n">
        <v>31</v>
      </c>
      <c r="B562" s="22" t="s">
        <v>849</v>
      </c>
      <c r="C562" s="13" t="s">
        <v>393</v>
      </c>
      <c r="D562" s="23" t="s">
        <v>852</v>
      </c>
      <c r="E562" s="23" t="s">
        <v>444</v>
      </c>
      <c r="F562" s="24" t="s">
        <v>36</v>
      </c>
      <c r="G562" s="19" t="n">
        <v>50</v>
      </c>
      <c r="H562" s="13" t="s">
        <v>27</v>
      </c>
      <c r="I562" s="12" t="n">
        <f aca="false">IFERROR(VLOOKUP(F562,Insumos!$C$5:$G$143,5,FALSE()),0)</f>
        <v>0.085</v>
      </c>
      <c r="J562" s="25" t="n">
        <f aca="false">IF(C562="bizcocho",VLOOKUP(A562,'Recetas y precios'!$A$5:$G$55,6,FALSE()),IF(C562="jarabe",VLOOKUP(A562,'Recetas y precios'!$A$5:$G$55,7,FALSE()),1))</f>
        <v>1</v>
      </c>
      <c r="K562" s="15" t="n">
        <f aca="false">G562*I562*J562</f>
        <v>4.25</v>
      </c>
    </row>
    <row r="563" customFormat="false" ht="15" hidden="false" customHeight="false" outlineLevel="0" collapsed="false">
      <c r="A563" s="0" t="n">
        <v>31</v>
      </c>
      <c r="B563" s="22" t="s">
        <v>849</v>
      </c>
      <c r="C563" s="13" t="s">
        <v>393</v>
      </c>
      <c r="D563" s="23" t="s">
        <v>852</v>
      </c>
      <c r="E563" s="23" t="s">
        <v>456</v>
      </c>
      <c r="F563" s="24" t="s">
        <v>74</v>
      </c>
      <c r="G563" s="19" t="n">
        <v>20</v>
      </c>
      <c r="H563" s="13" t="s">
        <v>27</v>
      </c>
      <c r="I563" s="12" t="n">
        <f aca="false">IFERROR(VLOOKUP(F563,Insumos!$C$5:$G$143,5,FALSE()),0)</f>
        <v>0.045</v>
      </c>
      <c r="J563" s="25" t="n">
        <f aca="false">IF(C563="bizcocho",VLOOKUP(A563,'Recetas y precios'!$A$5:$G$55,6,FALSE()),IF(C563="jarabe",VLOOKUP(A563,'Recetas y precios'!$A$5:$G$55,7,FALSE()),1))</f>
        <v>1</v>
      </c>
      <c r="K563" s="15" t="n">
        <f aca="false">G563*I563*J563</f>
        <v>0.9</v>
      </c>
    </row>
    <row r="564" customFormat="false" ht="15" hidden="false" customHeight="false" outlineLevel="0" collapsed="false">
      <c r="A564" s="0" t="n">
        <v>31</v>
      </c>
      <c r="B564" s="22" t="s">
        <v>849</v>
      </c>
      <c r="C564" s="13" t="s">
        <v>393</v>
      </c>
      <c r="D564" s="23" t="s">
        <v>852</v>
      </c>
      <c r="E564" s="23" t="s">
        <v>854</v>
      </c>
      <c r="F564" s="24" t="s">
        <v>103</v>
      </c>
      <c r="G564" s="19" t="n">
        <v>1.5</v>
      </c>
      <c r="H564" s="13" t="s">
        <v>27</v>
      </c>
      <c r="I564" s="12" t="n">
        <f aca="false">IFERROR(VLOOKUP(F564,Insumos!$C$5:$G$143,5,FALSE()),0)</f>
        <v>0.025</v>
      </c>
      <c r="J564" s="25" t="n">
        <f aca="false">IF(C564="bizcocho",VLOOKUP(A564,'Recetas y precios'!$A$5:$G$55,6,FALSE()),IF(C564="jarabe",VLOOKUP(A564,'Recetas y precios'!$A$5:$G$55,7,FALSE()),1))</f>
        <v>1</v>
      </c>
      <c r="K564" s="15" t="n">
        <f aca="false">G564*I564*J564</f>
        <v>0.0375</v>
      </c>
    </row>
    <row r="565" customFormat="false" ht="15" hidden="false" customHeight="false" outlineLevel="0" collapsed="false">
      <c r="A565" s="0" t="n">
        <v>31</v>
      </c>
      <c r="B565" s="22" t="s">
        <v>849</v>
      </c>
      <c r="C565" s="13" t="s">
        <v>400</v>
      </c>
      <c r="D565" s="23" t="s">
        <v>855</v>
      </c>
      <c r="E565" s="23" t="s">
        <v>856</v>
      </c>
      <c r="F565" s="24" t="s">
        <v>61</v>
      </c>
      <c r="G565" s="19" t="n">
        <v>40</v>
      </c>
      <c r="H565" s="13" t="s">
        <v>27</v>
      </c>
      <c r="I565" s="12" t="n">
        <f aca="false">IFERROR(VLOOKUP(F565,Insumos!$C$5:$G$143,5,FALSE()),0)</f>
        <v>0.075</v>
      </c>
      <c r="J565" s="25" t="n">
        <f aca="false">IF(C565="bizcocho",VLOOKUP(A565,'Recetas y precios'!$A$5:$G$55,6,FALSE()),IF(C565="jarabe",VLOOKUP(A565,'Recetas y precios'!$A$5:$G$55,7,FALSE()),1))</f>
        <v>1</v>
      </c>
      <c r="K565" s="15" t="n">
        <f aca="false">G565*I565*J565</f>
        <v>3</v>
      </c>
    </row>
    <row r="566" customFormat="false" ht="15" hidden="false" customHeight="false" outlineLevel="0" collapsed="false">
      <c r="A566" s="0" t="n">
        <v>31</v>
      </c>
      <c r="B566" s="22" t="s">
        <v>849</v>
      </c>
      <c r="C566" s="13" t="s">
        <v>400</v>
      </c>
      <c r="D566" s="23" t="s">
        <v>855</v>
      </c>
      <c r="E566" s="23" t="s">
        <v>857</v>
      </c>
      <c r="F566" s="24" t="s">
        <v>67</v>
      </c>
      <c r="G566" s="19" t="n">
        <v>10</v>
      </c>
      <c r="H566" s="13" t="s">
        <v>27</v>
      </c>
      <c r="I566" s="12" t="n">
        <f aca="false">IFERROR(VLOOKUP(F566,Insumos!$C$5:$G$143,5,FALSE()),0)</f>
        <v>0.045</v>
      </c>
      <c r="J566" s="25" t="n">
        <f aca="false">IF(C566="bizcocho",VLOOKUP(A566,'Recetas y precios'!$A$5:$G$55,6,FALSE()),IF(C566="jarabe",VLOOKUP(A566,'Recetas y precios'!$A$5:$G$55,7,FALSE()),1))</f>
        <v>1</v>
      </c>
      <c r="K566" s="15" t="n">
        <f aca="false">G566*I566*J566</f>
        <v>0.45</v>
      </c>
    </row>
    <row r="567" customFormat="false" ht="15" hidden="false" customHeight="false" outlineLevel="0" collapsed="false">
      <c r="A567" s="0" t="n">
        <v>31</v>
      </c>
      <c r="B567" s="22" t="s">
        <v>849</v>
      </c>
      <c r="C567" s="13" t="s">
        <v>400</v>
      </c>
      <c r="D567" s="23" t="s">
        <v>855</v>
      </c>
      <c r="E567" s="23" t="s">
        <v>581</v>
      </c>
      <c r="F567" s="24" t="s">
        <v>72</v>
      </c>
      <c r="G567" s="19" t="n">
        <v>20</v>
      </c>
      <c r="H567" s="13" t="s">
        <v>27</v>
      </c>
      <c r="I567" s="12" t="n">
        <f aca="false">IFERROR(VLOOKUP(F567,Insumos!$C$5:$G$143,5,FALSE()),0)</f>
        <v>0.028</v>
      </c>
      <c r="J567" s="25" t="n">
        <f aca="false">IF(C567="bizcocho",VLOOKUP(A567,'Recetas y precios'!$A$5:$G$55,6,FALSE()),IF(C567="jarabe",VLOOKUP(A567,'Recetas y precios'!$A$5:$G$55,7,FALSE()),1))</f>
        <v>1</v>
      </c>
      <c r="K567" s="15" t="n">
        <f aca="false">G567*I567*J567</f>
        <v>0.56</v>
      </c>
    </row>
    <row r="568" customFormat="false" ht="15" hidden="false" customHeight="false" outlineLevel="0" collapsed="false">
      <c r="A568" s="0" t="n">
        <v>31</v>
      </c>
      <c r="B568" s="22" t="s">
        <v>849</v>
      </c>
      <c r="C568" s="13" t="s">
        <v>400</v>
      </c>
      <c r="D568" s="23" t="s">
        <v>855</v>
      </c>
      <c r="E568" s="23" t="s">
        <v>858</v>
      </c>
      <c r="F568" s="24" t="s">
        <v>40</v>
      </c>
      <c r="G568" s="19" t="n">
        <v>90</v>
      </c>
      <c r="H568" s="13" t="s">
        <v>34</v>
      </c>
      <c r="I568" s="12" t="n">
        <f aca="false">IFERROR(VLOOKUP(F568,Insumos!$C$5:$G$143,5,FALSE()),0)</f>
        <v>0.028</v>
      </c>
      <c r="J568" s="25" t="n">
        <f aca="false">IF(C568="bizcocho",VLOOKUP(A568,'Recetas y precios'!$A$5:$G$55,6,FALSE()),IF(C568="jarabe",VLOOKUP(A568,'Recetas y precios'!$A$5:$G$55,7,FALSE()),1))</f>
        <v>1</v>
      </c>
      <c r="K568" s="15" t="n">
        <f aca="false">G568*I568*J568</f>
        <v>2.52</v>
      </c>
    </row>
    <row r="569" customFormat="false" ht="15" hidden="false" customHeight="false" outlineLevel="0" collapsed="false">
      <c r="A569" s="0" t="n">
        <v>31</v>
      </c>
      <c r="B569" s="22" t="s">
        <v>849</v>
      </c>
      <c r="C569" s="13" t="s">
        <v>400</v>
      </c>
      <c r="D569" s="23" t="s">
        <v>855</v>
      </c>
      <c r="E569" s="23" t="s">
        <v>859</v>
      </c>
      <c r="F569" s="24" t="s">
        <v>46</v>
      </c>
      <c r="G569" s="19" t="n">
        <v>10</v>
      </c>
      <c r="H569" s="13" t="s">
        <v>27</v>
      </c>
      <c r="I569" s="12" t="n">
        <f aca="false">IFERROR(VLOOKUP(F569,Insumos!$C$5:$G$143,5,FALSE()),0)</f>
        <v>0.33</v>
      </c>
      <c r="J569" s="25" t="n">
        <f aca="false">IF(C569="bizcocho",VLOOKUP(A569,'Recetas y precios'!$A$5:$G$55,6,FALSE()),IF(C569="jarabe",VLOOKUP(A569,'Recetas y precios'!$A$5:$G$55,7,FALSE()),1))</f>
        <v>1</v>
      </c>
      <c r="K569" s="15" t="n">
        <f aca="false">G569*I569*J569</f>
        <v>3.3</v>
      </c>
    </row>
    <row r="570" customFormat="false" ht="15" hidden="false" customHeight="false" outlineLevel="0" collapsed="false">
      <c r="A570" s="0" t="n">
        <v>32</v>
      </c>
      <c r="B570" s="22" t="s">
        <v>860</v>
      </c>
      <c r="C570" s="13" t="s">
        <v>387</v>
      </c>
      <c r="D570" s="23" t="s">
        <v>661</v>
      </c>
      <c r="E570" s="23" t="s">
        <v>861</v>
      </c>
      <c r="F570" s="24" t="s">
        <v>116</v>
      </c>
      <c r="G570" s="19" t="n">
        <v>50</v>
      </c>
      <c r="H570" s="13" t="s">
        <v>34</v>
      </c>
      <c r="I570" s="12" t="n">
        <f aca="false">IFERROR(VLOOKUP(F570,Insumos!$C$5:$G$143,5,FALSE()),0)</f>
        <v>0.145</v>
      </c>
      <c r="J570" s="25" t="n">
        <f aca="false">IF(C570="bizcocho",VLOOKUP(A570,'Recetas y precios'!$A$5:$G$55,6,FALSE()),IF(C570="jarabe",VLOOKUP(A570,'Recetas y precios'!$A$5:$G$55,7,FALSE()),1))</f>
        <v>0.875</v>
      </c>
      <c r="K570" s="15" t="n">
        <f aca="false">G570*I570*J570</f>
        <v>6.34375</v>
      </c>
    </row>
    <row r="571" customFormat="false" ht="15" hidden="false" customHeight="false" outlineLevel="0" collapsed="false">
      <c r="A571" s="0" t="n">
        <v>32</v>
      </c>
      <c r="B571" s="22" t="s">
        <v>860</v>
      </c>
      <c r="C571" s="13" t="s">
        <v>387</v>
      </c>
      <c r="D571" s="23" t="s">
        <v>661</v>
      </c>
      <c r="E571" s="23" t="s">
        <v>595</v>
      </c>
      <c r="F571" s="24" t="s">
        <v>80</v>
      </c>
      <c r="G571" s="19" t="n">
        <v>20</v>
      </c>
      <c r="H571" s="13" t="s">
        <v>34</v>
      </c>
      <c r="I571" s="12" t="n">
        <f aca="false">IFERROR(VLOOKUP(F571,Insumos!$C$5:$G$143,5,FALSE()),0)</f>
        <v>0.018</v>
      </c>
      <c r="J571" s="25" t="n">
        <f aca="false">IF(C571="bizcocho",VLOOKUP(A571,'Recetas y precios'!$A$5:$G$55,6,FALSE()),IF(C571="jarabe",VLOOKUP(A571,'Recetas y precios'!$A$5:$G$55,7,FALSE()),1))</f>
        <v>0.875</v>
      </c>
      <c r="K571" s="15" t="n">
        <f aca="false">G571*I571*J571</f>
        <v>0.315</v>
      </c>
    </row>
    <row r="572" customFormat="false" ht="15" hidden="false" customHeight="false" outlineLevel="0" collapsed="false">
      <c r="A572" s="0" t="n">
        <v>32</v>
      </c>
      <c r="B572" s="22" t="s">
        <v>860</v>
      </c>
      <c r="C572" s="13" t="s">
        <v>387</v>
      </c>
      <c r="D572" s="23" t="s">
        <v>661</v>
      </c>
      <c r="E572" s="23" t="s">
        <v>862</v>
      </c>
      <c r="F572" s="24" t="s">
        <v>317</v>
      </c>
      <c r="G572" s="19" t="n">
        <v>10</v>
      </c>
      <c r="H572" s="13" t="s">
        <v>34</v>
      </c>
      <c r="I572" s="12" t="n">
        <f aca="false">IFERROR(VLOOKUP(F572,Insumos!$C$5:$G$143,5,FALSE()),0)</f>
        <v>0.693333333333333</v>
      </c>
      <c r="J572" s="25" t="n">
        <f aca="false">IF(C572="bizcocho",VLOOKUP(A572,'Recetas y precios'!$A$5:$G$55,6,FALSE()),IF(C572="jarabe",VLOOKUP(A572,'Recetas y precios'!$A$5:$G$55,7,FALSE()),1))</f>
        <v>0.875</v>
      </c>
      <c r="K572" s="15" t="n">
        <f aca="false">G572*I572*J572</f>
        <v>6.06666666666667</v>
      </c>
    </row>
    <row r="573" customFormat="false" ht="15" hidden="false" customHeight="false" outlineLevel="0" collapsed="false">
      <c r="A573" s="0" t="n">
        <v>32</v>
      </c>
      <c r="B573" s="22" t="s">
        <v>860</v>
      </c>
      <c r="C573" s="13" t="s">
        <v>393</v>
      </c>
      <c r="D573" s="23" t="s">
        <v>863</v>
      </c>
      <c r="E573" s="23" t="s">
        <v>503</v>
      </c>
      <c r="F573" s="24" t="s">
        <v>26</v>
      </c>
      <c r="G573" s="19" t="n">
        <v>180</v>
      </c>
      <c r="H573" s="13" t="s">
        <v>27</v>
      </c>
      <c r="I573" s="12" t="n">
        <f aca="false">IFERROR(VLOOKUP(F573,Insumos!$C$5:$G$143,5,FALSE()),0)</f>
        <v>0.38</v>
      </c>
      <c r="J573" s="25" t="n">
        <f aca="false">IF(C573="bizcocho",VLOOKUP(A573,'Recetas y precios'!$A$5:$G$55,6,FALSE()),IF(C573="jarabe",VLOOKUP(A573,'Recetas y precios'!$A$5:$G$55,7,FALSE()),1))</f>
        <v>1</v>
      </c>
      <c r="K573" s="15" t="n">
        <f aca="false">G573*I573*J573</f>
        <v>68.4</v>
      </c>
    </row>
    <row r="574" customFormat="false" ht="15" hidden="false" customHeight="false" outlineLevel="0" collapsed="false">
      <c r="A574" s="0" t="n">
        <v>32</v>
      </c>
      <c r="B574" s="22" t="s">
        <v>860</v>
      </c>
      <c r="C574" s="13" t="s">
        <v>393</v>
      </c>
      <c r="D574" s="23" t="s">
        <v>863</v>
      </c>
      <c r="E574" s="23" t="s">
        <v>504</v>
      </c>
      <c r="F574" s="24" t="s">
        <v>33</v>
      </c>
      <c r="G574" s="19" t="n">
        <v>180</v>
      </c>
      <c r="H574" s="13" t="s">
        <v>34</v>
      </c>
      <c r="I574" s="12" t="n">
        <f aca="false">IFERROR(VLOOKUP(F574,Insumos!$C$5:$G$143,5,FALSE()),0)</f>
        <v>0.078</v>
      </c>
      <c r="J574" s="25" t="n">
        <f aca="false">IF(C574="bizcocho",VLOOKUP(A574,'Recetas y precios'!$A$5:$G$55,6,FALSE()),IF(C574="jarabe",VLOOKUP(A574,'Recetas y precios'!$A$5:$G$55,7,FALSE()),1))</f>
        <v>1</v>
      </c>
      <c r="K574" s="15" t="n">
        <f aca="false">G574*I574*J574</f>
        <v>14.04</v>
      </c>
    </row>
    <row r="575" customFormat="false" ht="15" hidden="false" customHeight="false" outlineLevel="0" collapsed="false">
      <c r="A575" s="0" t="n">
        <v>32</v>
      </c>
      <c r="B575" s="22" t="s">
        <v>860</v>
      </c>
      <c r="C575" s="13" t="s">
        <v>393</v>
      </c>
      <c r="D575" s="23" t="s">
        <v>863</v>
      </c>
      <c r="E575" s="23" t="s">
        <v>864</v>
      </c>
      <c r="F575" s="24" t="s">
        <v>251</v>
      </c>
      <c r="G575" s="19" t="n">
        <v>50</v>
      </c>
      <c r="H575" s="13" t="s">
        <v>27</v>
      </c>
      <c r="I575" s="12" t="n">
        <f aca="false">IFERROR(VLOOKUP(F575,Insumos!$C$5:$G$143,5,FALSE()),0)</f>
        <v>1.4</v>
      </c>
      <c r="J575" s="25" t="n">
        <f aca="false">IF(C575="bizcocho",VLOOKUP(A575,'Recetas y precios'!$A$5:$G$55,6,FALSE()),IF(C575="jarabe",VLOOKUP(A575,'Recetas y precios'!$A$5:$G$55,7,FALSE()),1))</f>
        <v>1</v>
      </c>
      <c r="K575" s="15" t="n">
        <f aca="false">G575*I575*J575</f>
        <v>70</v>
      </c>
    </row>
    <row r="576" customFormat="false" ht="15" hidden="false" customHeight="false" outlineLevel="0" collapsed="false">
      <c r="A576" s="0" t="n">
        <v>32</v>
      </c>
      <c r="B576" s="22" t="s">
        <v>860</v>
      </c>
      <c r="C576" s="13" t="s">
        <v>393</v>
      </c>
      <c r="D576" s="23" t="s">
        <v>863</v>
      </c>
      <c r="E576" s="23" t="s">
        <v>444</v>
      </c>
      <c r="F576" s="24" t="s">
        <v>36</v>
      </c>
      <c r="G576" s="19" t="n">
        <v>50</v>
      </c>
      <c r="H576" s="13" t="s">
        <v>27</v>
      </c>
      <c r="I576" s="12" t="n">
        <f aca="false">IFERROR(VLOOKUP(F576,Insumos!$C$5:$G$143,5,FALSE()),0)</f>
        <v>0.085</v>
      </c>
      <c r="J576" s="25" t="n">
        <f aca="false">IF(C576="bizcocho",VLOOKUP(A576,'Recetas y precios'!$A$5:$G$55,6,FALSE()),IF(C576="jarabe",VLOOKUP(A576,'Recetas y precios'!$A$5:$G$55,7,FALSE()),1))</f>
        <v>1</v>
      </c>
      <c r="K576" s="15" t="n">
        <f aca="false">G576*I576*J576</f>
        <v>4.25</v>
      </c>
    </row>
    <row r="577" customFormat="false" ht="15" hidden="false" customHeight="false" outlineLevel="0" collapsed="false">
      <c r="A577" s="0" t="n">
        <v>32</v>
      </c>
      <c r="B577" s="22" t="s">
        <v>860</v>
      </c>
      <c r="C577" s="13" t="s">
        <v>393</v>
      </c>
      <c r="D577" s="23" t="s">
        <v>863</v>
      </c>
      <c r="E577" s="23" t="s">
        <v>456</v>
      </c>
      <c r="F577" s="24" t="s">
        <v>74</v>
      </c>
      <c r="G577" s="19" t="n">
        <v>20</v>
      </c>
      <c r="H577" s="13" t="s">
        <v>27</v>
      </c>
      <c r="I577" s="12" t="n">
        <f aca="false">IFERROR(VLOOKUP(F577,Insumos!$C$5:$G$143,5,FALSE()),0)</f>
        <v>0.045</v>
      </c>
      <c r="J577" s="25" t="n">
        <f aca="false">IF(C577="bizcocho",VLOOKUP(A577,'Recetas y precios'!$A$5:$G$55,6,FALSE()),IF(C577="jarabe",VLOOKUP(A577,'Recetas y precios'!$A$5:$G$55,7,FALSE()),1))</f>
        <v>1</v>
      </c>
      <c r="K577" s="15" t="n">
        <f aca="false">G577*I577*J577</f>
        <v>0.9</v>
      </c>
    </row>
    <row r="578" customFormat="false" ht="15" hidden="false" customHeight="false" outlineLevel="0" collapsed="false">
      <c r="A578" s="0" t="n">
        <v>32</v>
      </c>
      <c r="B578" s="22" t="s">
        <v>860</v>
      </c>
      <c r="C578" s="13" t="s">
        <v>393</v>
      </c>
      <c r="D578" s="23" t="s">
        <v>863</v>
      </c>
      <c r="E578" s="23" t="s">
        <v>568</v>
      </c>
      <c r="F578" s="24" t="s">
        <v>103</v>
      </c>
      <c r="G578" s="19" t="n">
        <v>1</v>
      </c>
      <c r="H578" s="13" t="s">
        <v>27</v>
      </c>
      <c r="I578" s="12" t="n">
        <f aca="false">IFERROR(VLOOKUP(F578,Insumos!$C$5:$G$143,5,FALSE()),0)</f>
        <v>0.025</v>
      </c>
      <c r="J578" s="25" t="n">
        <f aca="false">IF(C578="bizcocho",VLOOKUP(A578,'Recetas y precios'!$A$5:$G$55,6,FALSE()),IF(C578="jarabe",VLOOKUP(A578,'Recetas y precios'!$A$5:$G$55,7,FALSE()),1))</f>
        <v>1</v>
      </c>
      <c r="K578" s="15" t="n">
        <f aca="false">G578*I578*J578</f>
        <v>0.025</v>
      </c>
    </row>
    <row r="579" customFormat="false" ht="15" hidden="false" customHeight="false" outlineLevel="0" collapsed="false">
      <c r="A579" s="0" t="n">
        <v>32</v>
      </c>
      <c r="B579" s="22" t="s">
        <v>860</v>
      </c>
      <c r="C579" s="13" t="s">
        <v>400</v>
      </c>
      <c r="D579" s="23" t="s">
        <v>865</v>
      </c>
      <c r="E579" s="23" t="s">
        <v>866</v>
      </c>
      <c r="F579" s="24" t="s">
        <v>69</v>
      </c>
      <c r="G579" s="19" t="n">
        <v>60</v>
      </c>
      <c r="H579" s="13" t="s">
        <v>27</v>
      </c>
      <c r="I579" s="12" t="n">
        <f aca="false">IFERROR(VLOOKUP(F579,Insumos!$C$5:$G$143,5,FALSE()),0)</f>
        <v>0.22</v>
      </c>
      <c r="J579" s="25" t="n">
        <f aca="false">IF(C579="bizcocho",VLOOKUP(A579,'Recetas y precios'!$A$5:$G$55,6,FALSE()),IF(C579="jarabe",VLOOKUP(A579,'Recetas y precios'!$A$5:$G$55,7,FALSE()),1))</f>
        <v>1</v>
      </c>
      <c r="K579" s="15" t="n">
        <f aca="false">G579*I579*J579</f>
        <v>13.2</v>
      </c>
    </row>
    <row r="580" customFormat="false" ht="15" hidden="false" customHeight="false" outlineLevel="0" collapsed="false">
      <c r="A580" s="0" t="n">
        <v>32</v>
      </c>
      <c r="B580" s="22" t="s">
        <v>860</v>
      </c>
      <c r="C580" s="13" t="s">
        <v>400</v>
      </c>
      <c r="D580" s="23" t="s">
        <v>865</v>
      </c>
      <c r="E580" s="23" t="s">
        <v>867</v>
      </c>
      <c r="F580" s="24" t="s">
        <v>46</v>
      </c>
      <c r="G580" s="19" t="n">
        <v>25</v>
      </c>
      <c r="H580" s="13" t="s">
        <v>27</v>
      </c>
      <c r="I580" s="12" t="n">
        <f aca="false">IFERROR(VLOOKUP(F580,Insumos!$C$5:$G$143,5,FALSE()),0)</f>
        <v>0.33</v>
      </c>
      <c r="J580" s="25" t="n">
        <f aca="false">IF(C580="bizcocho",VLOOKUP(A580,'Recetas y precios'!$A$5:$G$55,6,FALSE()),IF(C580="jarabe",VLOOKUP(A580,'Recetas y precios'!$A$5:$G$55,7,FALSE()),1))</f>
        <v>1</v>
      </c>
      <c r="K580" s="15" t="n">
        <f aca="false">G580*I580*J580</f>
        <v>8.25</v>
      </c>
    </row>
    <row r="581" customFormat="false" ht="15" hidden="false" customHeight="false" outlineLevel="0" collapsed="false">
      <c r="A581" s="0" t="n">
        <v>32</v>
      </c>
      <c r="B581" s="22" t="s">
        <v>860</v>
      </c>
      <c r="C581" s="13" t="s">
        <v>400</v>
      </c>
      <c r="D581" s="23" t="s">
        <v>865</v>
      </c>
      <c r="E581" s="23" t="s">
        <v>868</v>
      </c>
      <c r="F581" s="24" t="s">
        <v>74</v>
      </c>
      <c r="G581" s="19" t="n">
        <v>10</v>
      </c>
      <c r="H581" s="13" t="s">
        <v>27</v>
      </c>
      <c r="I581" s="12" t="n">
        <f aca="false">IFERROR(VLOOKUP(F581,Insumos!$C$5:$G$143,5,FALSE()),0)</f>
        <v>0.045</v>
      </c>
      <c r="J581" s="25" t="n">
        <f aca="false">IF(C581="bizcocho",VLOOKUP(A581,'Recetas y precios'!$A$5:$G$55,6,FALSE()),IF(C581="jarabe",VLOOKUP(A581,'Recetas y precios'!$A$5:$G$55,7,FALSE()),1))</f>
        <v>1</v>
      </c>
      <c r="K581" s="15" t="n">
        <f aca="false">G581*I581*J581</f>
        <v>0.45</v>
      </c>
    </row>
    <row r="582" customFormat="false" ht="15" hidden="false" customHeight="false" outlineLevel="0" collapsed="false">
      <c r="A582" s="0" t="n">
        <v>33</v>
      </c>
      <c r="B582" s="22" t="s">
        <v>869</v>
      </c>
      <c r="C582" s="13" t="s">
        <v>387</v>
      </c>
      <c r="D582" s="23" t="s">
        <v>661</v>
      </c>
      <c r="E582" s="23" t="s">
        <v>870</v>
      </c>
      <c r="F582" s="24" t="s">
        <v>38</v>
      </c>
      <c r="G582" s="19" t="n">
        <v>45</v>
      </c>
      <c r="H582" s="13" t="s">
        <v>34</v>
      </c>
      <c r="I582" s="12" t="n">
        <f aca="false">IFERROR(VLOOKUP(F582,Insumos!$C$5:$G$143,5,FALSE()),0)</f>
        <v>0.06</v>
      </c>
      <c r="J582" s="25" t="n">
        <f aca="false">IF(C582="bizcocho",VLOOKUP(A582,'Recetas y precios'!$A$5:$G$55,6,FALSE()),IF(C582="jarabe",VLOOKUP(A582,'Recetas y precios'!$A$5:$G$55,7,FALSE()),1))</f>
        <v>0.793</v>
      </c>
      <c r="K582" s="15" t="n">
        <f aca="false">G582*I582*J582</f>
        <v>2.1411</v>
      </c>
    </row>
    <row r="583" customFormat="false" ht="15" hidden="false" customHeight="false" outlineLevel="0" collapsed="false">
      <c r="A583" s="0" t="n">
        <v>33</v>
      </c>
      <c r="B583" s="22" t="s">
        <v>869</v>
      </c>
      <c r="C583" s="13" t="s">
        <v>387</v>
      </c>
      <c r="D583" s="23" t="s">
        <v>661</v>
      </c>
      <c r="E583" s="23" t="s">
        <v>390</v>
      </c>
      <c r="F583" s="24" t="s">
        <v>113</v>
      </c>
      <c r="G583" s="19" t="n">
        <v>20</v>
      </c>
      <c r="H583" s="13" t="s">
        <v>34</v>
      </c>
      <c r="I583" s="12" t="n">
        <f aca="false">IFERROR(VLOOKUP(F583,Insumos!$C$5:$G$143,5,FALSE()),0)</f>
        <v>0.002</v>
      </c>
      <c r="J583" s="25" t="n">
        <f aca="false">IF(C583="bizcocho",VLOOKUP(A583,'Recetas y precios'!$A$5:$G$55,6,FALSE()),IF(C583="jarabe",VLOOKUP(A583,'Recetas y precios'!$A$5:$G$55,7,FALSE()),1))</f>
        <v>0.793</v>
      </c>
      <c r="K583" s="15" t="n">
        <f aca="false">G583*I583*J583</f>
        <v>0.03172</v>
      </c>
    </row>
    <row r="584" customFormat="false" ht="15" hidden="false" customHeight="false" outlineLevel="0" collapsed="false">
      <c r="A584" s="0" t="n">
        <v>33</v>
      </c>
      <c r="B584" s="22" t="s">
        <v>869</v>
      </c>
      <c r="C584" s="13" t="s">
        <v>387</v>
      </c>
      <c r="D584" s="23" t="s">
        <v>661</v>
      </c>
      <c r="E584" s="23" t="s">
        <v>871</v>
      </c>
      <c r="F584" s="24" t="s">
        <v>36</v>
      </c>
      <c r="G584" s="19" t="n">
        <v>15</v>
      </c>
      <c r="H584" s="13" t="s">
        <v>27</v>
      </c>
      <c r="I584" s="12" t="n">
        <f aca="false">IFERROR(VLOOKUP(F584,Insumos!$C$5:$G$143,5,FALSE()),0)</f>
        <v>0.085</v>
      </c>
      <c r="J584" s="25" t="n">
        <f aca="false">IF(C584="bizcocho",VLOOKUP(A584,'Recetas y precios'!$A$5:$G$55,6,FALSE()),IF(C584="jarabe",VLOOKUP(A584,'Recetas y precios'!$A$5:$G$55,7,FALSE()),1))</f>
        <v>0.793</v>
      </c>
      <c r="K584" s="15" t="n">
        <f aca="false">G584*I584*J584</f>
        <v>1.011075</v>
      </c>
    </row>
    <row r="585" customFormat="false" ht="15" hidden="false" customHeight="false" outlineLevel="0" collapsed="false">
      <c r="A585" s="0" t="n">
        <v>33</v>
      </c>
      <c r="B585" s="22" t="s">
        <v>869</v>
      </c>
      <c r="C585" s="13" t="s">
        <v>387</v>
      </c>
      <c r="D585" s="23" t="s">
        <v>661</v>
      </c>
      <c r="E585" s="23" t="s">
        <v>872</v>
      </c>
      <c r="F585" s="24" t="s">
        <v>284</v>
      </c>
      <c r="G585" s="19" t="n">
        <v>2</v>
      </c>
      <c r="H585" s="13" t="s">
        <v>34</v>
      </c>
      <c r="I585" s="12" t="n">
        <f aca="false">IFERROR(VLOOKUP(F585,Insumos!$C$5:$G$143,5,FALSE()),0)</f>
        <v>0.45</v>
      </c>
      <c r="J585" s="25" t="n">
        <f aca="false">IF(C585="bizcocho",VLOOKUP(A585,'Recetas y precios'!$A$5:$G$55,6,FALSE()),IF(C585="jarabe",VLOOKUP(A585,'Recetas y precios'!$A$5:$G$55,7,FALSE()),1))</f>
        <v>0.793</v>
      </c>
      <c r="K585" s="15" t="n">
        <f aca="false">G585*I585*J585</f>
        <v>0.7137</v>
      </c>
    </row>
    <row r="586" customFormat="false" ht="15" hidden="false" customHeight="false" outlineLevel="0" collapsed="false">
      <c r="A586" s="0" t="n">
        <v>33</v>
      </c>
      <c r="B586" s="22" t="s">
        <v>869</v>
      </c>
      <c r="C586" s="13" t="s">
        <v>400</v>
      </c>
      <c r="D586" s="23" t="s">
        <v>873</v>
      </c>
      <c r="E586" s="23" t="s">
        <v>874</v>
      </c>
      <c r="F586" s="24" t="s">
        <v>185</v>
      </c>
      <c r="G586" s="19" t="n">
        <v>100</v>
      </c>
      <c r="H586" s="13" t="s">
        <v>27</v>
      </c>
      <c r="I586" s="12" t="n">
        <f aca="false">IFERROR(VLOOKUP(F586,Insumos!$C$5:$G$143,5,FALSE()),0)</f>
        <v>0.09</v>
      </c>
      <c r="J586" s="25" t="n">
        <f aca="false">IF(C586="bizcocho",VLOOKUP(A586,'Recetas y precios'!$A$5:$G$55,6,FALSE()),IF(C586="jarabe",VLOOKUP(A586,'Recetas y precios'!$A$5:$G$55,7,FALSE()),1))</f>
        <v>1</v>
      </c>
      <c r="K586" s="15" t="n">
        <f aca="false">G586*I586*J586</f>
        <v>9</v>
      </c>
    </row>
    <row r="587" customFormat="false" ht="15" hidden="false" customHeight="false" outlineLevel="0" collapsed="false">
      <c r="A587" s="0" t="n">
        <v>33</v>
      </c>
      <c r="B587" s="22" t="s">
        <v>869</v>
      </c>
      <c r="C587" s="13" t="s">
        <v>400</v>
      </c>
      <c r="D587" s="23" t="s">
        <v>873</v>
      </c>
      <c r="E587" s="23" t="s">
        <v>519</v>
      </c>
      <c r="F587" s="24" t="s">
        <v>36</v>
      </c>
      <c r="G587" s="19" t="n">
        <v>25</v>
      </c>
      <c r="H587" s="13" t="s">
        <v>27</v>
      </c>
      <c r="I587" s="12" t="n">
        <f aca="false">IFERROR(VLOOKUP(F587,Insumos!$C$5:$G$143,5,FALSE()),0)</f>
        <v>0.085</v>
      </c>
      <c r="J587" s="25" t="n">
        <f aca="false">IF(C587="bizcocho",VLOOKUP(A587,'Recetas y precios'!$A$5:$G$55,6,FALSE()),IF(C587="jarabe",VLOOKUP(A587,'Recetas y precios'!$A$5:$G$55,7,FALSE()),1))</f>
        <v>1</v>
      </c>
      <c r="K587" s="15" t="n">
        <f aca="false">G587*I587*J587</f>
        <v>2.125</v>
      </c>
    </row>
    <row r="588" customFormat="false" ht="15" hidden="false" customHeight="false" outlineLevel="0" collapsed="false">
      <c r="A588" s="0" t="n">
        <v>33</v>
      </c>
      <c r="B588" s="22" t="s">
        <v>869</v>
      </c>
      <c r="C588" s="13" t="s">
        <v>400</v>
      </c>
      <c r="D588" s="23" t="s">
        <v>873</v>
      </c>
      <c r="E588" s="23" t="s">
        <v>875</v>
      </c>
      <c r="F588" s="24" t="s">
        <v>33</v>
      </c>
      <c r="G588" s="19" t="n">
        <v>15</v>
      </c>
      <c r="H588" s="13" t="s">
        <v>34</v>
      </c>
      <c r="I588" s="12" t="n">
        <f aca="false">IFERROR(VLOOKUP(F588,Insumos!$C$5:$G$143,5,FALSE()),0)</f>
        <v>0.078</v>
      </c>
      <c r="J588" s="25" t="n">
        <f aca="false">IF(C588="bizcocho",VLOOKUP(A588,'Recetas y precios'!$A$5:$G$55,6,FALSE()),IF(C588="jarabe",VLOOKUP(A588,'Recetas y precios'!$A$5:$G$55,7,FALSE()),1))</f>
        <v>1</v>
      </c>
      <c r="K588" s="15" t="n">
        <f aca="false">G588*I588*J588</f>
        <v>1.17</v>
      </c>
    </row>
    <row r="589" customFormat="false" ht="15" hidden="false" customHeight="false" outlineLevel="0" collapsed="false">
      <c r="A589" s="0" t="n">
        <v>33</v>
      </c>
      <c r="B589" s="22" t="s">
        <v>869</v>
      </c>
      <c r="C589" s="13" t="s">
        <v>400</v>
      </c>
      <c r="D589" s="23" t="s">
        <v>873</v>
      </c>
      <c r="E589" s="23" t="s">
        <v>876</v>
      </c>
      <c r="F589" s="24" t="s">
        <v>198</v>
      </c>
      <c r="G589" s="19" t="n">
        <v>1</v>
      </c>
      <c r="H589" s="13" t="s">
        <v>34</v>
      </c>
      <c r="I589" s="12" t="n">
        <f aca="false">IFERROR(VLOOKUP(F589,Insumos!$C$5:$G$143,5,FALSE()),0)</f>
        <v>1.2</v>
      </c>
      <c r="J589" s="25" t="n">
        <f aca="false">IF(C589="bizcocho",VLOOKUP(A589,'Recetas y precios'!$A$5:$G$55,6,FALSE()),IF(C589="jarabe",VLOOKUP(A589,'Recetas y precios'!$A$5:$G$55,7,FALSE()),1))</f>
        <v>1</v>
      </c>
      <c r="K589" s="15" t="n">
        <f aca="false">G589*I589*J589</f>
        <v>1.2</v>
      </c>
    </row>
    <row r="590" customFormat="false" ht="15" hidden="false" customHeight="false" outlineLevel="0" collapsed="false">
      <c r="A590" s="0" t="n">
        <v>33</v>
      </c>
      <c r="B590" s="22" t="s">
        <v>869</v>
      </c>
      <c r="C590" s="13" t="s">
        <v>393</v>
      </c>
      <c r="D590" s="23" t="s">
        <v>877</v>
      </c>
      <c r="E590" s="23" t="s">
        <v>764</v>
      </c>
      <c r="F590" s="24" t="s">
        <v>26</v>
      </c>
      <c r="G590" s="19" t="n">
        <v>130</v>
      </c>
      <c r="H590" s="13" t="s">
        <v>27</v>
      </c>
      <c r="I590" s="12" t="n">
        <f aca="false">IFERROR(VLOOKUP(F590,Insumos!$C$5:$G$143,5,FALSE()),0)</f>
        <v>0.38</v>
      </c>
      <c r="J590" s="25" t="n">
        <f aca="false">IF(C590="bizcocho",VLOOKUP(A590,'Recetas y precios'!$A$5:$G$55,6,FALSE()),IF(C590="jarabe",VLOOKUP(A590,'Recetas y precios'!$A$5:$G$55,7,FALSE()),1))</f>
        <v>1</v>
      </c>
      <c r="K590" s="15" t="n">
        <f aca="false">G590*I590*J590</f>
        <v>49.4</v>
      </c>
    </row>
    <row r="591" customFormat="false" ht="15" hidden="false" customHeight="false" outlineLevel="0" collapsed="false">
      <c r="A591" s="0" t="n">
        <v>33</v>
      </c>
      <c r="B591" s="22" t="s">
        <v>869</v>
      </c>
      <c r="C591" s="13" t="s">
        <v>393</v>
      </c>
      <c r="D591" s="23" t="s">
        <v>877</v>
      </c>
      <c r="E591" s="23" t="s">
        <v>878</v>
      </c>
      <c r="F591" s="24" t="s">
        <v>29</v>
      </c>
      <c r="G591" s="19" t="n">
        <v>60</v>
      </c>
      <c r="H591" s="13" t="s">
        <v>27</v>
      </c>
      <c r="I591" s="12" t="n">
        <f aca="false">IFERROR(VLOOKUP(F591,Insumos!$C$5:$G$143,5,FALSE()),0)</f>
        <v>0.195</v>
      </c>
      <c r="J591" s="25" t="n">
        <f aca="false">IF(C591="bizcocho",VLOOKUP(A591,'Recetas y precios'!$A$5:$G$55,6,FALSE()),IF(C591="jarabe",VLOOKUP(A591,'Recetas y precios'!$A$5:$G$55,7,FALSE()),1))</f>
        <v>1</v>
      </c>
      <c r="K591" s="15" t="n">
        <f aca="false">G591*I591*J591</f>
        <v>11.7</v>
      </c>
    </row>
    <row r="592" customFormat="false" ht="15" hidden="false" customHeight="false" outlineLevel="0" collapsed="false">
      <c r="A592" s="0" t="n">
        <v>33</v>
      </c>
      <c r="B592" s="22" t="s">
        <v>869</v>
      </c>
      <c r="C592" s="13" t="s">
        <v>393</v>
      </c>
      <c r="D592" s="23" t="s">
        <v>877</v>
      </c>
      <c r="E592" s="23" t="s">
        <v>634</v>
      </c>
      <c r="F592" s="24" t="s">
        <v>33</v>
      </c>
      <c r="G592" s="19" t="n">
        <v>190</v>
      </c>
      <c r="H592" s="13" t="s">
        <v>34</v>
      </c>
      <c r="I592" s="12" t="n">
        <f aca="false">IFERROR(VLOOKUP(F592,Insumos!$C$5:$G$143,5,FALSE()),0)</f>
        <v>0.078</v>
      </c>
      <c r="J592" s="25" t="n">
        <f aca="false">IF(C592="bizcocho",VLOOKUP(A592,'Recetas y precios'!$A$5:$G$55,6,FALSE()),IF(C592="jarabe",VLOOKUP(A592,'Recetas y precios'!$A$5:$G$55,7,FALSE()),1))</f>
        <v>1</v>
      </c>
      <c r="K592" s="15" t="n">
        <f aca="false">G592*I592*J592</f>
        <v>14.82</v>
      </c>
    </row>
    <row r="593" customFormat="false" ht="15" hidden="false" customHeight="false" outlineLevel="0" collapsed="false">
      <c r="A593" s="0" t="n">
        <v>33</v>
      </c>
      <c r="B593" s="22" t="s">
        <v>869</v>
      </c>
      <c r="C593" s="13" t="s">
        <v>393</v>
      </c>
      <c r="D593" s="23" t="s">
        <v>877</v>
      </c>
      <c r="E593" s="23" t="s">
        <v>506</v>
      </c>
      <c r="F593" s="24" t="s">
        <v>36</v>
      </c>
      <c r="G593" s="19" t="n">
        <v>45</v>
      </c>
      <c r="H593" s="13" t="s">
        <v>27</v>
      </c>
      <c r="I593" s="12" t="n">
        <f aca="false">IFERROR(VLOOKUP(F593,Insumos!$C$5:$G$143,5,FALSE()),0)</f>
        <v>0.085</v>
      </c>
      <c r="J593" s="25" t="n">
        <f aca="false">IF(C593="bizcocho",VLOOKUP(A593,'Recetas y precios'!$A$5:$G$55,6,FALSE()),IF(C593="jarabe",VLOOKUP(A593,'Recetas y precios'!$A$5:$G$55,7,FALSE()),1))</f>
        <v>1</v>
      </c>
      <c r="K593" s="15" t="n">
        <f aca="false">G593*I593*J593</f>
        <v>3.825</v>
      </c>
    </row>
    <row r="594" customFormat="false" ht="15" hidden="false" customHeight="false" outlineLevel="0" collapsed="false">
      <c r="A594" s="0" t="n">
        <v>33</v>
      </c>
      <c r="B594" s="22" t="s">
        <v>869</v>
      </c>
      <c r="C594" s="13" t="s">
        <v>393</v>
      </c>
      <c r="D594" s="23" t="s">
        <v>877</v>
      </c>
      <c r="E594" s="23" t="s">
        <v>456</v>
      </c>
      <c r="F594" s="24" t="s">
        <v>74</v>
      </c>
      <c r="G594" s="19" t="n">
        <v>20</v>
      </c>
      <c r="H594" s="13" t="s">
        <v>27</v>
      </c>
      <c r="I594" s="12" t="n">
        <f aca="false">IFERROR(VLOOKUP(F594,Insumos!$C$5:$G$143,5,FALSE()),0)</f>
        <v>0.045</v>
      </c>
      <c r="J594" s="25" t="n">
        <f aca="false">IF(C594="bizcocho",VLOOKUP(A594,'Recetas y precios'!$A$5:$G$55,6,FALSE()),IF(C594="jarabe",VLOOKUP(A594,'Recetas y precios'!$A$5:$G$55,7,FALSE()),1))</f>
        <v>1</v>
      </c>
      <c r="K594" s="15" t="n">
        <f aca="false">G594*I594*J594</f>
        <v>0.9</v>
      </c>
    </row>
    <row r="595" customFormat="false" ht="15" hidden="false" customHeight="false" outlineLevel="0" collapsed="false">
      <c r="A595" s="0" t="n">
        <v>33</v>
      </c>
      <c r="B595" s="22" t="s">
        <v>869</v>
      </c>
      <c r="C595" s="13" t="s">
        <v>393</v>
      </c>
      <c r="D595" s="23" t="s">
        <v>877</v>
      </c>
      <c r="E595" s="23" t="s">
        <v>879</v>
      </c>
      <c r="F595" s="24" t="s">
        <v>103</v>
      </c>
      <c r="G595" s="19" t="n">
        <v>3</v>
      </c>
      <c r="H595" s="13" t="s">
        <v>27</v>
      </c>
      <c r="I595" s="12" t="n">
        <f aca="false">IFERROR(VLOOKUP(F595,Insumos!$C$5:$G$143,5,FALSE()),0)</f>
        <v>0.025</v>
      </c>
      <c r="J595" s="25" t="n">
        <f aca="false">IF(C595="bizcocho",VLOOKUP(A595,'Recetas y precios'!$A$5:$G$55,6,FALSE()),IF(C595="jarabe",VLOOKUP(A595,'Recetas y precios'!$A$5:$G$55,7,FALSE()),1))</f>
        <v>1</v>
      </c>
      <c r="K595" s="15" t="n">
        <f aca="false">G595*I595*J595</f>
        <v>0.075</v>
      </c>
    </row>
    <row r="596" customFormat="false" ht="15" hidden="false" customHeight="false" outlineLevel="0" collapsed="false">
      <c r="A596" s="0" t="n">
        <v>34</v>
      </c>
      <c r="B596" s="22" t="s">
        <v>880</v>
      </c>
      <c r="C596" s="13" t="s">
        <v>387</v>
      </c>
      <c r="D596" s="23" t="s">
        <v>661</v>
      </c>
      <c r="E596" s="23" t="s">
        <v>881</v>
      </c>
      <c r="F596" s="24" t="s">
        <v>116</v>
      </c>
      <c r="G596" s="19" t="n">
        <v>50</v>
      </c>
      <c r="H596" s="13" t="s">
        <v>34</v>
      </c>
      <c r="I596" s="12" t="n">
        <f aca="false">IFERROR(VLOOKUP(F596,Insumos!$C$5:$G$143,5,FALSE()),0)</f>
        <v>0.145</v>
      </c>
      <c r="J596" s="25" t="n">
        <f aca="false">IF(C596="bizcocho",VLOOKUP(A596,'Recetas y precios'!$A$5:$G$55,6,FALSE()),IF(C596="jarabe",VLOOKUP(A596,'Recetas y precios'!$A$5:$G$55,7,FALSE()),1))</f>
        <v>0.933</v>
      </c>
      <c r="K596" s="15" t="n">
        <f aca="false">G596*I596*J596</f>
        <v>6.76425</v>
      </c>
    </row>
    <row r="597" customFormat="false" ht="15" hidden="false" customHeight="false" outlineLevel="0" collapsed="false">
      <c r="A597" s="0" t="n">
        <v>34</v>
      </c>
      <c r="B597" s="22" t="s">
        <v>880</v>
      </c>
      <c r="C597" s="13" t="s">
        <v>387</v>
      </c>
      <c r="D597" s="23" t="s">
        <v>661</v>
      </c>
      <c r="E597" s="23" t="s">
        <v>882</v>
      </c>
      <c r="F597" s="24" t="s">
        <v>86</v>
      </c>
      <c r="G597" s="19" t="n">
        <v>20</v>
      </c>
      <c r="H597" s="13" t="s">
        <v>34</v>
      </c>
      <c r="I597" s="12" t="n">
        <f aca="false">IFERROR(VLOOKUP(F597,Insumos!$C$5:$G$143,5,FALSE()),0)</f>
        <v>0.38</v>
      </c>
      <c r="J597" s="25" t="n">
        <f aca="false">IF(C597="bizcocho",VLOOKUP(A597,'Recetas y precios'!$A$5:$G$55,6,FALSE()),IF(C597="jarabe",VLOOKUP(A597,'Recetas y precios'!$A$5:$G$55,7,FALSE()),1))</f>
        <v>0.933</v>
      </c>
      <c r="K597" s="15" t="n">
        <f aca="false">G597*I597*J597</f>
        <v>7.0908</v>
      </c>
    </row>
    <row r="598" customFormat="false" ht="15" hidden="false" customHeight="false" outlineLevel="0" collapsed="false">
      <c r="A598" s="0" t="n">
        <v>34</v>
      </c>
      <c r="B598" s="22" t="s">
        <v>880</v>
      </c>
      <c r="C598" s="13" t="s">
        <v>387</v>
      </c>
      <c r="D598" s="23" t="s">
        <v>661</v>
      </c>
      <c r="E598" s="23" t="s">
        <v>883</v>
      </c>
      <c r="F598" s="24" t="s">
        <v>311</v>
      </c>
      <c r="G598" s="19" t="n">
        <v>5</v>
      </c>
      <c r="H598" s="13" t="s">
        <v>34</v>
      </c>
      <c r="I598" s="12" t="n">
        <f aca="false">IFERROR(VLOOKUP(F598,Insumos!$C$5:$G$143,5,FALSE()),0)</f>
        <v>1.2</v>
      </c>
      <c r="J598" s="25" t="n">
        <f aca="false">IF(C598="bizcocho",VLOOKUP(A598,'Recetas y precios'!$A$5:$G$55,6,FALSE()),IF(C598="jarabe",VLOOKUP(A598,'Recetas y precios'!$A$5:$G$55,7,FALSE()),1))</f>
        <v>0.933</v>
      </c>
      <c r="K598" s="15" t="n">
        <f aca="false">G598*I598*J598</f>
        <v>5.598</v>
      </c>
    </row>
    <row r="599" customFormat="false" ht="15" hidden="false" customHeight="false" outlineLevel="0" collapsed="false">
      <c r="A599" s="0" t="n">
        <v>34</v>
      </c>
      <c r="B599" s="22" t="s">
        <v>880</v>
      </c>
      <c r="C599" s="13" t="s">
        <v>393</v>
      </c>
      <c r="D599" s="23" t="s">
        <v>884</v>
      </c>
      <c r="E599" s="23" t="s">
        <v>419</v>
      </c>
      <c r="F599" s="24" t="s">
        <v>26</v>
      </c>
      <c r="G599" s="19" t="n">
        <v>120</v>
      </c>
      <c r="H599" s="13" t="s">
        <v>27</v>
      </c>
      <c r="I599" s="12" t="n">
        <f aca="false">IFERROR(VLOOKUP(F599,Insumos!$C$5:$G$143,5,FALSE()),0)</f>
        <v>0.38</v>
      </c>
      <c r="J599" s="25" t="n">
        <f aca="false">IF(C599="bizcocho",VLOOKUP(A599,'Recetas y precios'!$A$5:$G$55,6,FALSE()),IF(C599="jarabe",VLOOKUP(A599,'Recetas y precios'!$A$5:$G$55,7,FALSE()),1))</f>
        <v>1</v>
      </c>
      <c r="K599" s="15" t="n">
        <f aca="false">G599*I599*J599</f>
        <v>45.6</v>
      </c>
    </row>
    <row r="600" customFormat="false" ht="15" hidden="false" customHeight="false" outlineLevel="0" collapsed="false">
      <c r="A600" s="0" t="n">
        <v>34</v>
      </c>
      <c r="B600" s="22" t="s">
        <v>880</v>
      </c>
      <c r="C600" s="13" t="s">
        <v>393</v>
      </c>
      <c r="D600" s="23" t="s">
        <v>884</v>
      </c>
      <c r="E600" s="23" t="s">
        <v>420</v>
      </c>
      <c r="F600" s="24" t="s">
        <v>33</v>
      </c>
      <c r="G600" s="19" t="n">
        <v>120</v>
      </c>
      <c r="H600" s="13" t="s">
        <v>34</v>
      </c>
      <c r="I600" s="12" t="n">
        <f aca="false">IFERROR(VLOOKUP(F600,Insumos!$C$5:$G$143,5,FALSE()),0)</f>
        <v>0.078</v>
      </c>
      <c r="J600" s="25" t="n">
        <f aca="false">IF(C600="bizcocho",VLOOKUP(A600,'Recetas y precios'!$A$5:$G$55,6,FALSE()),IF(C600="jarabe",VLOOKUP(A600,'Recetas y precios'!$A$5:$G$55,7,FALSE()),1))</f>
        <v>1</v>
      </c>
      <c r="K600" s="15" t="n">
        <f aca="false">G600*I600*J600</f>
        <v>9.36</v>
      </c>
    </row>
    <row r="601" customFormat="false" ht="15" hidden="false" customHeight="false" outlineLevel="0" collapsed="false">
      <c r="A601" s="0" t="n">
        <v>34</v>
      </c>
      <c r="B601" s="22" t="s">
        <v>880</v>
      </c>
      <c r="C601" s="13" t="s">
        <v>393</v>
      </c>
      <c r="D601" s="23" t="s">
        <v>884</v>
      </c>
      <c r="E601" s="23" t="s">
        <v>885</v>
      </c>
      <c r="F601" s="24" t="s">
        <v>65</v>
      </c>
      <c r="G601" s="19" t="n">
        <v>15</v>
      </c>
      <c r="H601" s="13" t="s">
        <v>27</v>
      </c>
      <c r="I601" s="12" t="n">
        <f aca="false">IFERROR(VLOOKUP(F601,Insumos!$C$5:$G$143,5,FALSE()),0)</f>
        <v>0.32</v>
      </c>
      <c r="J601" s="25" t="n">
        <f aca="false">IF(C601="bizcocho",VLOOKUP(A601,'Recetas y precios'!$A$5:$G$55,6,FALSE()),IF(C601="jarabe",VLOOKUP(A601,'Recetas y precios'!$A$5:$G$55,7,FALSE()),1))</f>
        <v>1</v>
      </c>
      <c r="K601" s="15" t="n">
        <f aca="false">G601*I601*J601</f>
        <v>4.8</v>
      </c>
    </row>
    <row r="602" customFormat="false" ht="15" hidden="false" customHeight="false" outlineLevel="0" collapsed="false">
      <c r="A602" s="0" t="n">
        <v>34</v>
      </c>
      <c r="B602" s="22" t="s">
        <v>880</v>
      </c>
      <c r="C602" s="13" t="s">
        <v>393</v>
      </c>
      <c r="D602" s="23" t="s">
        <v>884</v>
      </c>
      <c r="E602" s="23" t="s">
        <v>506</v>
      </c>
      <c r="F602" s="24" t="s">
        <v>36</v>
      </c>
      <c r="G602" s="19" t="n">
        <v>45</v>
      </c>
      <c r="H602" s="13" t="s">
        <v>27</v>
      </c>
      <c r="I602" s="12" t="n">
        <f aca="false">IFERROR(VLOOKUP(F602,Insumos!$C$5:$G$143,5,FALSE()),0)</f>
        <v>0.085</v>
      </c>
      <c r="J602" s="25" t="n">
        <f aca="false">IF(C602="bizcocho",VLOOKUP(A602,'Recetas y precios'!$A$5:$G$55,6,FALSE()),IF(C602="jarabe",VLOOKUP(A602,'Recetas y precios'!$A$5:$G$55,7,FALSE()),1))</f>
        <v>1</v>
      </c>
      <c r="K602" s="15" t="n">
        <f aca="false">G602*I602*J602</f>
        <v>3.825</v>
      </c>
    </row>
    <row r="603" customFormat="false" ht="15" hidden="false" customHeight="false" outlineLevel="0" collapsed="false">
      <c r="A603" s="0" t="n">
        <v>34</v>
      </c>
      <c r="B603" s="22" t="s">
        <v>880</v>
      </c>
      <c r="C603" s="13" t="s">
        <v>393</v>
      </c>
      <c r="D603" s="23" t="s">
        <v>884</v>
      </c>
      <c r="E603" s="23" t="s">
        <v>567</v>
      </c>
      <c r="F603" s="24" t="s">
        <v>74</v>
      </c>
      <c r="G603" s="19" t="n">
        <v>15</v>
      </c>
      <c r="H603" s="13" t="s">
        <v>27</v>
      </c>
      <c r="I603" s="12" t="n">
        <f aca="false">IFERROR(VLOOKUP(F603,Insumos!$C$5:$G$143,5,FALSE()),0)</f>
        <v>0.045</v>
      </c>
      <c r="J603" s="25" t="n">
        <f aca="false">IF(C603="bizcocho",VLOOKUP(A603,'Recetas y precios'!$A$5:$G$55,6,FALSE()),IF(C603="jarabe",VLOOKUP(A603,'Recetas y precios'!$A$5:$G$55,7,FALSE()),1))</f>
        <v>1</v>
      </c>
      <c r="K603" s="15" t="n">
        <f aca="false">G603*I603*J603</f>
        <v>0.675</v>
      </c>
    </row>
    <row r="604" customFormat="false" ht="15" hidden="false" customHeight="false" outlineLevel="0" collapsed="false">
      <c r="A604" s="0" t="n">
        <v>34</v>
      </c>
      <c r="B604" s="22" t="s">
        <v>880</v>
      </c>
      <c r="C604" s="13" t="s">
        <v>393</v>
      </c>
      <c r="D604" s="23" t="s">
        <v>884</v>
      </c>
      <c r="E604" s="23" t="s">
        <v>385</v>
      </c>
      <c r="F604" s="24" t="s">
        <v>103</v>
      </c>
      <c r="G604" s="19" t="n">
        <v>1</v>
      </c>
      <c r="H604" s="13" t="s">
        <v>27</v>
      </c>
      <c r="I604" s="12" t="n">
        <f aca="false">IFERROR(VLOOKUP(F604,Insumos!$C$5:$G$143,5,FALSE()),0)</f>
        <v>0.025</v>
      </c>
      <c r="J604" s="25" t="n">
        <f aca="false">IF(C604="bizcocho",VLOOKUP(A604,'Recetas y precios'!$A$5:$G$55,6,FALSE()),IF(C604="jarabe",VLOOKUP(A604,'Recetas y precios'!$A$5:$G$55,7,FALSE()),1))</f>
        <v>1</v>
      </c>
      <c r="K604" s="15" t="n">
        <f aca="false">G604*I604*J604</f>
        <v>0.025</v>
      </c>
    </row>
    <row r="605" customFormat="false" ht="15" hidden="false" customHeight="false" outlineLevel="0" collapsed="false">
      <c r="A605" s="0" t="n">
        <v>34</v>
      </c>
      <c r="B605" s="22" t="s">
        <v>880</v>
      </c>
      <c r="C605" s="13" t="s">
        <v>400</v>
      </c>
      <c r="D605" s="23" t="s">
        <v>806</v>
      </c>
      <c r="E605" s="23" t="s">
        <v>886</v>
      </c>
      <c r="F605" s="24" t="s">
        <v>86</v>
      </c>
      <c r="G605" s="19" t="n">
        <v>50</v>
      </c>
      <c r="H605" s="13" t="s">
        <v>34</v>
      </c>
      <c r="I605" s="12" t="n">
        <f aca="false">IFERROR(VLOOKUP(F605,Insumos!$C$5:$G$143,5,FALSE()),0)</f>
        <v>0.38</v>
      </c>
      <c r="J605" s="25" t="n">
        <f aca="false">IF(C605="bizcocho",VLOOKUP(A605,'Recetas y precios'!$A$5:$G$55,6,FALSE()),IF(C605="jarabe",VLOOKUP(A605,'Recetas y precios'!$A$5:$G$55,7,FALSE()),1))</f>
        <v>1</v>
      </c>
      <c r="K605" s="15" t="n">
        <f aca="false">G605*I605*J605</f>
        <v>19</v>
      </c>
    </row>
    <row r="606" customFormat="false" ht="15" hidden="false" customHeight="false" outlineLevel="0" collapsed="false">
      <c r="A606" s="0" t="n">
        <v>34</v>
      </c>
      <c r="B606" s="22" t="s">
        <v>880</v>
      </c>
      <c r="C606" s="13" t="s">
        <v>400</v>
      </c>
      <c r="D606" s="23" t="s">
        <v>806</v>
      </c>
      <c r="E606" s="23" t="s">
        <v>887</v>
      </c>
      <c r="F606" s="24" t="s">
        <v>263</v>
      </c>
      <c r="G606" s="19" t="n">
        <v>25</v>
      </c>
      <c r="H606" s="13" t="s">
        <v>27</v>
      </c>
      <c r="I606" s="12" t="n">
        <f aca="false">IFERROR(VLOOKUP(F606,Insumos!$C$5:$G$143,5,FALSE()),0)</f>
        <v>0.42</v>
      </c>
      <c r="J606" s="25" t="n">
        <f aca="false">IF(C606="bizcocho",VLOOKUP(A606,'Recetas y precios'!$A$5:$G$55,6,FALSE()),IF(C606="jarabe",VLOOKUP(A606,'Recetas y precios'!$A$5:$G$55,7,FALSE()),1))</f>
        <v>1</v>
      </c>
      <c r="K606" s="15" t="n">
        <f aca="false">G606*I606*J606</f>
        <v>10.5</v>
      </c>
    </row>
    <row r="607" customFormat="false" ht="15" hidden="false" customHeight="false" outlineLevel="0" collapsed="false">
      <c r="A607" s="0" t="n">
        <v>34</v>
      </c>
      <c r="B607" s="22" t="s">
        <v>880</v>
      </c>
      <c r="C607" s="13" t="s">
        <v>400</v>
      </c>
      <c r="D607" s="23" t="s">
        <v>806</v>
      </c>
      <c r="E607" s="23" t="s">
        <v>888</v>
      </c>
      <c r="F607" s="24" t="s">
        <v>65</v>
      </c>
      <c r="G607" s="19" t="n">
        <v>8</v>
      </c>
      <c r="H607" s="13" t="s">
        <v>27</v>
      </c>
      <c r="I607" s="12" t="n">
        <f aca="false">IFERROR(VLOOKUP(F607,Insumos!$C$5:$G$143,5,FALSE()),0)</f>
        <v>0.32</v>
      </c>
      <c r="J607" s="25" t="n">
        <f aca="false">IF(C607="bizcocho",VLOOKUP(A607,'Recetas y precios'!$A$5:$G$55,6,FALSE()),IF(C607="jarabe",VLOOKUP(A607,'Recetas y precios'!$A$5:$G$55,7,FALSE()),1))</f>
        <v>1</v>
      </c>
      <c r="K607" s="15" t="n">
        <f aca="false">G607*I607*J607</f>
        <v>2.56</v>
      </c>
    </row>
    <row r="608" customFormat="false" ht="15" hidden="false" customHeight="false" outlineLevel="0" collapsed="false">
      <c r="A608" s="0" t="n">
        <v>35</v>
      </c>
      <c r="B608" s="22" t="s">
        <v>889</v>
      </c>
      <c r="C608" s="13" t="s">
        <v>387</v>
      </c>
      <c r="D608" s="23" t="s">
        <v>661</v>
      </c>
      <c r="E608" s="23" t="s">
        <v>890</v>
      </c>
      <c r="F608" s="24" t="s">
        <v>116</v>
      </c>
      <c r="G608" s="19" t="n">
        <v>45</v>
      </c>
      <c r="H608" s="13" t="s">
        <v>34</v>
      </c>
      <c r="I608" s="12" t="n">
        <f aca="false">IFERROR(VLOOKUP(F608,Insumos!$C$5:$G$143,5,FALSE()),0)</f>
        <v>0.145</v>
      </c>
      <c r="J608" s="25" t="n">
        <f aca="false">IF(C608="bizcocho",VLOOKUP(A608,'Recetas y precios'!$A$5:$G$55,6,FALSE()),IF(C608="jarabe",VLOOKUP(A608,'Recetas y precios'!$A$5:$G$55,7,FALSE()),1))</f>
        <v>0.933</v>
      </c>
      <c r="K608" s="15" t="n">
        <f aca="false">G608*I608*J608</f>
        <v>6.087825</v>
      </c>
    </row>
    <row r="609" customFormat="false" ht="15" hidden="false" customHeight="false" outlineLevel="0" collapsed="false">
      <c r="A609" s="0" t="n">
        <v>35</v>
      </c>
      <c r="B609" s="22" t="s">
        <v>889</v>
      </c>
      <c r="C609" s="13" t="s">
        <v>387</v>
      </c>
      <c r="D609" s="23" t="s">
        <v>661</v>
      </c>
      <c r="E609" s="23" t="s">
        <v>562</v>
      </c>
      <c r="F609" s="24" t="s">
        <v>80</v>
      </c>
      <c r="G609" s="19" t="n">
        <v>20</v>
      </c>
      <c r="H609" s="13" t="s">
        <v>34</v>
      </c>
      <c r="I609" s="12" t="n">
        <f aca="false">IFERROR(VLOOKUP(F609,Insumos!$C$5:$G$143,5,FALSE()),0)</f>
        <v>0.018</v>
      </c>
      <c r="J609" s="25" t="n">
        <f aca="false">IF(C609="bizcocho",VLOOKUP(A609,'Recetas y precios'!$A$5:$G$55,6,FALSE()),IF(C609="jarabe",VLOOKUP(A609,'Recetas y precios'!$A$5:$G$55,7,FALSE()),1))</f>
        <v>0.933</v>
      </c>
      <c r="K609" s="15" t="n">
        <f aca="false">G609*I609*J609</f>
        <v>0.33588</v>
      </c>
    </row>
    <row r="610" customFormat="false" ht="15" hidden="false" customHeight="false" outlineLevel="0" collapsed="false">
      <c r="A610" s="0" t="n">
        <v>35</v>
      </c>
      <c r="B610" s="22" t="s">
        <v>889</v>
      </c>
      <c r="C610" s="13" t="s">
        <v>387</v>
      </c>
      <c r="D610" s="23" t="s">
        <v>661</v>
      </c>
      <c r="E610" s="23" t="s">
        <v>891</v>
      </c>
      <c r="F610" s="24" t="s">
        <v>305</v>
      </c>
      <c r="G610" s="19" t="n">
        <v>10</v>
      </c>
      <c r="H610" s="13" t="s">
        <v>34</v>
      </c>
      <c r="I610" s="12" t="n">
        <f aca="false">IFERROR(VLOOKUP(F610,Insumos!$C$5:$G$143,5,FALSE()),0)</f>
        <v>0.373333333333333</v>
      </c>
      <c r="J610" s="25" t="n">
        <f aca="false">IF(C610="bizcocho",VLOOKUP(A610,'Recetas y precios'!$A$5:$G$55,6,FALSE()),IF(C610="jarabe",VLOOKUP(A610,'Recetas y precios'!$A$5:$G$55,7,FALSE()),1))</f>
        <v>0.933</v>
      </c>
      <c r="K610" s="15" t="n">
        <f aca="false">G610*I610*J610</f>
        <v>3.4832</v>
      </c>
    </row>
    <row r="611" customFormat="false" ht="15" hidden="false" customHeight="false" outlineLevel="0" collapsed="false">
      <c r="A611" s="0" t="n">
        <v>35</v>
      </c>
      <c r="B611" s="22" t="s">
        <v>889</v>
      </c>
      <c r="C611" s="13" t="s">
        <v>393</v>
      </c>
      <c r="D611" s="23" t="s">
        <v>892</v>
      </c>
      <c r="E611" s="23" t="s">
        <v>737</v>
      </c>
      <c r="F611" s="24" t="s">
        <v>26</v>
      </c>
      <c r="G611" s="19" t="n">
        <v>170</v>
      </c>
      <c r="H611" s="13" t="s">
        <v>27</v>
      </c>
      <c r="I611" s="12" t="n">
        <f aca="false">IFERROR(VLOOKUP(F611,Insumos!$C$5:$G$143,5,FALSE()),0)</f>
        <v>0.38</v>
      </c>
      <c r="J611" s="25" t="n">
        <f aca="false">IF(C611="bizcocho",VLOOKUP(A611,'Recetas y precios'!$A$5:$G$55,6,FALSE()),IF(C611="jarabe",VLOOKUP(A611,'Recetas y precios'!$A$5:$G$55,7,FALSE()),1))</f>
        <v>1</v>
      </c>
      <c r="K611" s="15" t="n">
        <f aca="false">G611*I611*J611</f>
        <v>64.6</v>
      </c>
    </row>
    <row r="612" customFormat="false" ht="15" hidden="false" customHeight="false" outlineLevel="0" collapsed="false">
      <c r="A612" s="0" t="n">
        <v>35</v>
      </c>
      <c r="B612" s="22" t="s">
        <v>889</v>
      </c>
      <c r="C612" s="13" t="s">
        <v>393</v>
      </c>
      <c r="D612" s="23" t="s">
        <v>892</v>
      </c>
      <c r="E612" s="23" t="s">
        <v>831</v>
      </c>
      <c r="F612" s="24" t="s">
        <v>33</v>
      </c>
      <c r="G612" s="19" t="n">
        <v>170</v>
      </c>
      <c r="H612" s="13" t="s">
        <v>34</v>
      </c>
      <c r="I612" s="12" t="n">
        <f aca="false">IFERROR(VLOOKUP(F612,Insumos!$C$5:$G$143,5,FALSE()),0)</f>
        <v>0.078</v>
      </c>
      <c r="J612" s="25" t="n">
        <f aca="false">IF(C612="bizcocho",VLOOKUP(A612,'Recetas y precios'!$A$5:$G$55,6,FALSE()),IF(C612="jarabe",VLOOKUP(A612,'Recetas y precios'!$A$5:$G$55,7,FALSE()),1))</f>
        <v>1</v>
      </c>
      <c r="K612" s="15" t="n">
        <f aca="false">G612*I612*J612</f>
        <v>13.26</v>
      </c>
    </row>
    <row r="613" customFormat="false" ht="15" hidden="false" customHeight="false" outlineLevel="0" collapsed="false">
      <c r="A613" s="0" t="n">
        <v>35</v>
      </c>
      <c r="B613" s="22" t="s">
        <v>889</v>
      </c>
      <c r="C613" s="13" t="s">
        <v>393</v>
      </c>
      <c r="D613" s="23" t="s">
        <v>892</v>
      </c>
      <c r="E613" s="23" t="s">
        <v>893</v>
      </c>
      <c r="F613" s="24" t="s">
        <v>271</v>
      </c>
      <c r="G613" s="19" t="n">
        <v>60</v>
      </c>
      <c r="H613" s="13" t="s">
        <v>27</v>
      </c>
      <c r="I613" s="12" t="n">
        <f aca="false">IFERROR(VLOOKUP(F613,Insumos!$C$5:$G$143,5,FALSE()),0)</f>
        <v>0.52</v>
      </c>
      <c r="J613" s="25" t="n">
        <f aca="false">IF(C613="bizcocho",VLOOKUP(A613,'Recetas y precios'!$A$5:$G$55,6,FALSE()),IF(C613="jarabe",VLOOKUP(A613,'Recetas y precios'!$A$5:$G$55,7,FALSE()),1))</f>
        <v>1</v>
      </c>
      <c r="K613" s="15" t="n">
        <f aca="false">G613*I613*J613</f>
        <v>31.2</v>
      </c>
    </row>
    <row r="614" customFormat="false" ht="15" hidden="false" customHeight="false" outlineLevel="0" collapsed="false">
      <c r="A614" s="0" t="n">
        <v>35</v>
      </c>
      <c r="B614" s="22" t="s">
        <v>889</v>
      </c>
      <c r="C614" s="13" t="s">
        <v>393</v>
      </c>
      <c r="D614" s="23" t="s">
        <v>892</v>
      </c>
      <c r="E614" s="23" t="s">
        <v>455</v>
      </c>
      <c r="F614" s="24" t="s">
        <v>36</v>
      </c>
      <c r="G614" s="19" t="n">
        <v>40</v>
      </c>
      <c r="H614" s="13" t="s">
        <v>27</v>
      </c>
      <c r="I614" s="12" t="n">
        <f aca="false">IFERROR(VLOOKUP(F614,Insumos!$C$5:$G$143,5,FALSE()),0)</f>
        <v>0.085</v>
      </c>
      <c r="J614" s="25" t="n">
        <f aca="false">IF(C614="bizcocho",VLOOKUP(A614,'Recetas y precios'!$A$5:$G$55,6,FALSE()),IF(C614="jarabe",VLOOKUP(A614,'Recetas y precios'!$A$5:$G$55,7,FALSE()),1))</f>
        <v>1</v>
      </c>
      <c r="K614" s="15" t="n">
        <f aca="false">G614*I614*J614</f>
        <v>3.4</v>
      </c>
    </row>
    <row r="615" customFormat="false" ht="15" hidden="false" customHeight="false" outlineLevel="0" collapsed="false">
      <c r="A615" s="0" t="n">
        <v>35</v>
      </c>
      <c r="B615" s="22" t="s">
        <v>889</v>
      </c>
      <c r="C615" s="13" t="s">
        <v>393</v>
      </c>
      <c r="D615" s="23" t="s">
        <v>892</v>
      </c>
      <c r="E615" s="23" t="s">
        <v>567</v>
      </c>
      <c r="F615" s="24" t="s">
        <v>74</v>
      </c>
      <c r="G615" s="19" t="n">
        <v>15</v>
      </c>
      <c r="H615" s="13" t="s">
        <v>27</v>
      </c>
      <c r="I615" s="12" t="n">
        <f aca="false">IFERROR(VLOOKUP(F615,Insumos!$C$5:$G$143,5,FALSE()),0)</f>
        <v>0.045</v>
      </c>
      <c r="J615" s="25" t="n">
        <f aca="false">IF(C615="bizcocho",VLOOKUP(A615,'Recetas y precios'!$A$5:$G$55,6,FALSE()),IF(C615="jarabe",VLOOKUP(A615,'Recetas y precios'!$A$5:$G$55,7,FALSE()),1))</f>
        <v>1</v>
      </c>
      <c r="K615" s="15" t="n">
        <f aca="false">G615*I615*J615</f>
        <v>0.675</v>
      </c>
    </row>
    <row r="616" customFormat="false" ht="15" hidden="false" customHeight="false" outlineLevel="0" collapsed="false">
      <c r="A616" s="0" t="n">
        <v>35</v>
      </c>
      <c r="B616" s="22" t="s">
        <v>889</v>
      </c>
      <c r="C616" s="13" t="s">
        <v>393</v>
      </c>
      <c r="D616" s="23" t="s">
        <v>892</v>
      </c>
      <c r="E616" s="23" t="s">
        <v>894</v>
      </c>
      <c r="F616" s="24" t="s">
        <v>284</v>
      </c>
      <c r="G616" s="19" t="n">
        <v>2</v>
      </c>
      <c r="H616" s="13" t="s">
        <v>34</v>
      </c>
      <c r="I616" s="12" t="n">
        <f aca="false">IFERROR(VLOOKUP(F616,Insumos!$C$5:$G$143,5,FALSE()),0)</f>
        <v>0.45</v>
      </c>
      <c r="J616" s="25" t="n">
        <f aca="false">IF(C616="bizcocho",VLOOKUP(A616,'Recetas y precios'!$A$5:$G$55,6,FALSE()),IF(C616="jarabe",VLOOKUP(A616,'Recetas y precios'!$A$5:$G$55,7,FALSE()),1))</f>
        <v>1</v>
      </c>
      <c r="K616" s="15" t="n">
        <f aca="false">G616*I616*J616</f>
        <v>0.9</v>
      </c>
    </row>
    <row r="617" customFormat="false" ht="15" hidden="false" customHeight="false" outlineLevel="0" collapsed="false">
      <c r="A617" s="0" t="n">
        <v>35</v>
      </c>
      <c r="B617" s="22" t="s">
        <v>889</v>
      </c>
      <c r="C617" s="13" t="s">
        <v>400</v>
      </c>
      <c r="D617" s="23" t="s">
        <v>895</v>
      </c>
      <c r="E617" s="23" t="s">
        <v>896</v>
      </c>
      <c r="F617" s="24" t="s">
        <v>269</v>
      </c>
      <c r="G617" s="19" t="n">
        <v>60</v>
      </c>
      <c r="H617" s="13" t="s">
        <v>27</v>
      </c>
      <c r="I617" s="12" t="n">
        <f aca="false">IFERROR(VLOOKUP(F617,Insumos!$C$5:$G$143,5,FALSE()),0)</f>
        <v>0.48</v>
      </c>
      <c r="J617" s="25" t="n">
        <f aca="false">IF(C617="bizcocho",VLOOKUP(A617,'Recetas y precios'!$A$5:$G$55,6,FALSE()),IF(C617="jarabe",VLOOKUP(A617,'Recetas y precios'!$A$5:$G$55,7,FALSE()),1))</f>
        <v>1</v>
      </c>
      <c r="K617" s="15" t="n">
        <f aca="false">G617*I617*J617</f>
        <v>28.8</v>
      </c>
    </row>
    <row r="618" customFormat="false" ht="15" hidden="false" customHeight="false" outlineLevel="0" collapsed="false">
      <c r="A618" s="0" t="n">
        <v>35</v>
      </c>
      <c r="B618" s="22" t="s">
        <v>889</v>
      </c>
      <c r="C618" s="13" t="s">
        <v>400</v>
      </c>
      <c r="D618" s="23" t="s">
        <v>895</v>
      </c>
      <c r="E618" s="23" t="s">
        <v>683</v>
      </c>
      <c r="F618" s="24" t="s">
        <v>218</v>
      </c>
      <c r="G618" s="19" t="n">
        <v>6</v>
      </c>
      <c r="H618" s="13" t="s">
        <v>27</v>
      </c>
      <c r="I618" s="12" t="n">
        <f aca="false">IFERROR(VLOOKUP(F618,Insumos!$C$5:$G$143,5,FALSE()),0)</f>
        <v>0.42</v>
      </c>
      <c r="J618" s="25" t="n">
        <f aca="false">IF(C618="bizcocho",VLOOKUP(A618,'Recetas y precios'!$A$5:$G$55,6,FALSE()),IF(C618="jarabe",VLOOKUP(A618,'Recetas y precios'!$A$5:$G$55,7,FALSE()),1))</f>
        <v>1</v>
      </c>
      <c r="K618" s="15" t="n">
        <f aca="false">G618*I618*J618</f>
        <v>2.52</v>
      </c>
    </row>
    <row r="619" customFormat="false" ht="15" hidden="false" customHeight="false" outlineLevel="0" collapsed="false">
      <c r="A619" s="0" t="n">
        <v>35</v>
      </c>
      <c r="B619" s="22" t="s">
        <v>889</v>
      </c>
      <c r="C619" s="13" t="s">
        <v>400</v>
      </c>
      <c r="D619" s="23" t="s">
        <v>895</v>
      </c>
      <c r="E619" s="23" t="s">
        <v>897</v>
      </c>
      <c r="F619" s="24" t="s">
        <v>269</v>
      </c>
      <c r="G619" s="19" t="n">
        <v>10</v>
      </c>
      <c r="H619" s="13" t="s">
        <v>27</v>
      </c>
      <c r="I619" s="12" t="n">
        <f aca="false">IFERROR(VLOOKUP(F619,Insumos!$C$5:$G$143,5,FALSE()),0)</f>
        <v>0.48</v>
      </c>
      <c r="J619" s="25" t="n">
        <f aca="false">IF(C619="bizcocho",VLOOKUP(A619,'Recetas y precios'!$A$5:$G$55,6,FALSE()),IF(C619="jarabe",VLOOKUP(A619,'Recetas y precios'!$A$5:$G$55,7,FALSE()),1))</f>
        <v>1</v>
      </c>
      <c r="K619" s="15" t="n">
        <f aca="false">G619*I619*J619</f>
        <v>4.8</v>
      </c>
    </row>
    <row r="620" customFormat="false" ht="15" hidden="false" customHeight="false" outlineLevel="0" collapsed="false">
      <c r="A620" s="0" t="n">
        <v>36</v>
      </c>
      <c r="B620" s="22" t="s">
        <v>898</v>
      </c>
      <c r="C620" s="13" t="s">
        <v>387</v>
      </c>
      <c r="D620" s="23" t="s">
        <v>661</v>
      </c>
      <c r="E620" s="23" t="s">
        <v>861</v>
      </c>
      <c r="F620" s="24" t="s">
        <v>116</v>
      </c>
      <c r="G620" s="19" t="n">
        <v>50</v>
      </c>
      <c r="H620" s="13" t="s">
        <v>34</v>
      </c>
      <c r="I620" s="12" t="n">
        <f aca="false">IFERROR(VLOOKUP(F620,Insumos!$C$5:$G$143,5,FALSE()),0)</f>
        <v>0.145</v>
      </c>
      <c r="J620" s="25" t="n">
        <f aca="false">IF(C620="bizcocho",VLOOKUP(A620,'Recetas y precios'!$A$5:$G$55,6,FALSE()),IF(C620="jarabe",VLOOKUP(A620,'Recetas y precios'!$A$5:$G$55,7,FALSE()),1))</f>
        <v>0.875</v>
      </c>
      <c r="K620" s="15" t="n">
        <f aca="false">G620*I620*J620</f>
        <v>6.34375</v>
      </c>
    </row>
    <row r="621" customFormat="false" ht="15" hidden="false" customHeight="false" outlineLevel="0" collapsed="false">
      <c r="A621" s="0" t="n">
        <v>36</v>
      </c>
      <c r="B621" s="22" t="s">
        <v>898</v>
      </c>
      <c r="C621" s="13" t="s">
        <v>387</v>
      </c>
      <c r="D621" s="23" t="s">
        <v>661</v>
      </c>
      <c r="E621" s="23" t="s">
        <v>595</v>
      </c>
      <c r="F621" s="24" t="s">
        <v>80</v>
      </c>
      <c r="G621" s="19" t="n">
        <v>20</v>
      </c>
      <c r="H621" s="13" t="s">
        <v>34</v>
      </c>
      <c r="I621" s="12" t="n">
        <f aca="false">IFERROR(VLOOKUP(F621,Insumos!$C$5:$G$143,5,FALSE()),0)</f>
        <v>0.018</v>
      </c>
      <c r="J621" s="25" t="n">
        <f aca="false">IF(C621="bizcocho",VLOOKUP(A621,'Recetas y precios'!$A$5:$G$55,6,FALSE()),IF(C621="jarabe",VLOOKUP(A621,'Recetas y precios'!$A$5:$G$55,7,FALSE()),1))</f>
        <v>0.875</v>
      </c>
      <c r="K621" s="15" t="n">
        <f aca="false">G621*I621*J621</f>
        <v>0.315</v>
      </c>
    </row>
    <row r="622" customFormat="false" ht="15" hidden="false" customHeight="false" outlineLevel="0" collapsed="false">
      <c r="A622" s="0" t="n">
        <v>36</v>
      </c>
      <c r="B622" s="22" t="s">
        <v>898</v>
      </c>
      <c r="C622" s="13" t="s">
        <v>387</v>
      </c>
      <c r="D622" s="23" t="s">
        <v>661</v>
      </c>
      <c r="E622" s="23" t="s">
        <v>899</v>
      </c>
      <c r="F622" s="24" t="s">
        <v>301</v>
      </c>
      <c r="G622" s="19" t="n">
        <v>10</v>
      </c>
      <c r="H622" s="13" t="s">
        <v>34</v>
      </c>
      <c r="I622" s="12" t="n">
        <f aca="false">IFERROR(VLOOKUP(F622,Insumos!$C$5:$G$143,5,FALSE()),0)</f>
        <v>0.642857142857143</v>
      </c>
      <c r="J622" s="25" t="n">
        <f aca="false">IF(C622="bizcocho",VLOOKUP(A622,'Recetas y precios'!$A$5:$G$55,6,FALSE()),IF(C622="jarabe",VLOOKUP(A622,'Recetas y precios'!$A$5:$G$55,7,FALSE()),1))</f>
        <v>0.875</v>
      </c>
      <c r="K622" s="15" t="n">
        <f aca="false">G622*I622*J622</f>
        <v>5.625</v>
      </c>
    </row>
    <row r="623" customFormat="false" ht="15" hidden="false" customHeight="false" outlineLevel="0" collapsed="false">
      <c r="A623" s="0" t="n">
        <v>36</v>
      </c>
      <c r="B623" s="22" t="s">
        <v>898</v>
      </c>
      <c r="C623" s="13" t="s">
        <v>393</v>
      </c>
      <c r="D623" s="23" t="s">
        <v>900</v>
      </c>
      <c r="E623" s="23" t="s">
        <v>737</v>
      </c>
      <c r="F623" s="24" t="s">
        <v>26</v>
      </c>
      <c r="G623" s="19" t="n">
        <v>170</v>
      </c>
      <c r="H623" s="13" t="s">
        <v>27</v>
      </c>
      <c r="I623" s="12" t="n">
        <f aca="false">IFERROR(VLOOKUP(F623,Insumos!$C$5:$G$143,5,FALSE()),0)</f>
        <v>0.38</v>
      </c>
      <c r="J623" s="25" t="n">
        <f aca="false">IF(C623="bizcocho",VLOOKUP(A623,'Recetas y precios'!$A$5:$G$55,6,FALSE()),IF(C623="jarabe",VLOOKUP(A623,'Recetas y precios'!$A$5:$G$55,7,FALSE()),1))</f>
        <v>1</v>
      </c>
      <c r="K623" s="15" t="n">
        <f aca="false">G623*I623*J623</f>
        <v>64.6</v>
      </c>
    </row>
    <row r="624" customFormat="false" ht="15" hidden="false" customHeight="false" outlineLevel="0" collapsed="false">
      <c r="A624" s="0" t="n">
        <v>36</v>
      </c>
      <c r="B624" s="22" t="s">
        <v>898</v>
      </c>
      <c r="C624" s="13" t="s">
        <v>393</v>
      </c>
      <c r="D624" s="23" t="s">
        <v>900</v>
      </c>
      <c r="E624" s="23" t="s">
        <v>523</v>
      </c>
      <c r="F624" s="24" t="s">
        <v>33</v>
      </c>
      <c r="G624" s="19" t="n">
        <v>160</v>
      </c>
      <c r="H624" s="13" t="s">
        <v>34</v>
      </c>
      <c r="I624" s="12" t="n">
        <f aca="false">IFERROR(VLOOKUP(F624,Insumos!$C$5:$G$143,5,FALSE()),0)</f>
        <v>0.078</v>
      </c>
      <c r="J624" s="25" t="n">
        <f aca="false">IF(C624="bizcocho",VLOOKUP(A624,'Recetas y precios'!$A$5:$G$55,6,FALSE()),IF(C624="jarabe",VLOOKUP(A624,'Recetas y precios'!$A$5:$G$55,7,FALSE()),1))</f>
        <v>1</v>
      </c>
      <c r="K624" s="15" t="n">
        <f aca="false">G624*I624*J624</f>
        <v>12.48</v>
      </c>
    </row>
    <row r="625" customFormat="false" ht="15" hidden="false" customHeight="false" outlineLevel="0" collapsed="false">
      <c r="A625" s="0" t="n">
        <v>36</v>
      </c>
      <c r="B625" s="22" t="s">
        <v>898</v>
      </c>
      <c r="C625" s="13" t="s">
        <v>393</v>
      </c>
      <c r="D625" s="23" t="s">
        <v>900</v>
      </c>
      <c r="E625" s="23" t="s">
        <v>901</v>
      </c>
      <c r="F625" s="24" t="s">
        <v>214</v>
      </c>
      <c r="G625" s="19" t="n">
        <v>60</v>
      </c>
      <c r="H625" s="13" t="s">
        <v>27</v>
      </c>
      <c r="I625" s="12" t="n">
        <f aca="false">IFERROR(VLOOKUP(F625,Insumos!$C$5:$G$143,5,FALSE()),0)</f>
        <v>0.32</v>
      </c>
      <c r="J625" s="25" t="n">
        <f aca="false">IF(C625="bizcocho",VLOOKUP(A625,'Recetas y precios'!$A$5:$G$55,6,FALSE()),IF(C625="jarabe",VLOOKUP(A625,'Recetas y precios'!$A$5:$G$55,7,FALSE()),1))</f>
        <v>1</v>
      </c>
      <c r="K625" s="15" t="n">
        <f aca="false">G625*I625*J625</f>
        <v>19.2</v>
      </c>
    </row>
    <row r="626" customFormat="false" ht="15" hidden="false" customHeight="false" outlineLevel="0" collapsed="false">
      <c r="A626" s="0" t="n">
        <v>36</v>
      </c>
      <c r="B626" s="22" t="s">
        <v>898</v>
      </c>
      <c r="C626" s="13" t="s">
        <v>393</v>
      </c>
      <c r="D626" s="23" t="s">
        <v>900</v>
      </c>
      <c r="E626" s="23" t="s">
        <v>455</v>
      </c>
      <c r="F626" s="24" t="s">
        <v>36</v>
      </c>
      <c r="G626" s="19" t="n">
        <v>40</v>
      </c>
      <c r="H626" s="13" t="s">
        <v>27</v>
      </c>
      <c r="I626" s="12" t="n">
        <f aca="false">IFERROR(VLOOKUP(F626,Insumos!$C$5:$G$143,5,FALSE()),0)</f>
        <v>0.085</v>
      </c>
      <c r="J626" s="25" t="n">
        <f aca="false">IF(C626="bizcocho",VLOOKUP(A626,'Recetas y precios'!$A$5:$G$55,6,FALSE()),IF(C626="jarabe",VLOOKUP(A626,'Recetas y precios'!$A$5:$G$55,7,FALSE()),1))</f>
        <v>1</v>
      </c>
      <c r="K626" s="15" t="n">
        <f aca="false">G626*I626*J626</f>
        <v>3.4</v>
      </c>
    </row>
    <row r="627" customFormat="false" ht="15" hidden="false" customHeight="false" outlineLevel="0" collapsed="false">
      <c r="A627" s="0" t="n">
        <v>36</v>
      </c>
      <c r="B627" s="22" t="s">
        <v>898</v>
      </c>
      <c r="C627" s="13" t="s">
        <v>393</v>
      </c>
      <c r="D627" s="23" t="s">
        <v>900</v>
      </c>
      <c r="E627" s="23" t="s">
        <v>567</v>
      </c>
      <c r="F627" s="24" t="s">
        <v>74</v>
      </c>
      <c r="G627" s="19" t="n">
        <v>15</v>
      </c>
      <c r="H627" s="13" t="s">
        <v>27</v>
      </c>
      <c r="I627" s="12" t="n">
        <f aca="false">IFERROR(VLOOKUP(F627,Insumos!$C$5:$G$143,5,FALSE()),0)</f>
        <v>0.045</v>
      </c>
      <c r="J627" s="25" t="n">
        <f aca="false">IF(C627="bizcocho",VLOOKUP(A627,'Recetas y precios'!$A$5:$G$55,6,FALSE()),IF(C627="jarabe",VLOOKUP(A627,'Recetas y precios'!$A$5:$G$55,7,FALSE()),1))</f>
        <v>1</v>
      </c>
      <c r="K627" s="15" t="n">
        <f aca="false">G627*I627*J627</f>
        <v>0.675</v>
      </c>
    </row>
    <row r="628" customFormat="false" ht="15" hidden="false" customHeight="false" outlineLevel="0" collapsed="false">
      <c r="A628" s="0" t="n">
        <v>36</v>
      </c>
      <c r="B628" s="22" t="s">
        <v>898</v>
      </c>
      <c r="C628" s="13" t="s">
        <v>393</v>
      </c>
      <c r="D628" s="23" t="s">
        <v>900</v>
      </c>
      <c r="E628" s="23" t="s">
        <v>902</v>
      </c>
      <c r="F628" s="24" t="s">
        <v>107</v>
      </c>
      <c r="G628" s="19" t="n">
        <v>2</v>
      </c>
      <c r="H628" s="13" t="s">
        <v>27</v>
      </c>
      <c r="I628" s="12" t="n">
        <f aca="false">IFERROR(VLOOKUP(F628,Insumos!$C$5:$G$143,5,FALSE()),0)</f>
        <v>0.12</v>
      </c>
      <c r="J628" s="25" t="n">
        <f aca="false">IF(C628="bizcocho",VLOOKUP(A628,'Recetas y precios'!$A$5:$G$55,6,FALSE()),IF(C628="jarabe",VLOOKUP(A628,'Recetas y precios'!$A$5:$G$55,7,FALSE()),1))</f>
        <v>1</v>
      </c>
      <c r="K628" s="15" t="n">
        <f aca="false">G628*I628*J628</f>
        <v>0.24</v>
      </c>
    </row>
    <row r="629" customFormat="false" ht="15" hidden="false" customHeight="false" outlineLevel="0" collapsed="false">
      <c r="A629" s="0" t="n">
        <v>36</v>
      </c>
      <c r="B629" s="22" t="s">
        <v>898</v>
      </c>
      <c r="C629" s="13" t="s">
        <v>400</v>
      </c>
      <c r="D629" s="23" t="s">
        <v>903</v>
      </c>
      <c r="E629" s="23" t="s">
        <v>904</v>
      </c>
      <c r="F629" s="24" t="s">
        <v>257</v>
      </c>
      <c r="G629" s="19" t="n">
        <v>60</v>
      </c>
      <c r="H629" s="13" t="s">
        <v>27</v>
      </c>
      <c r="I629" s="12" t="n">
        <f aca="false">IFERROR(VLOOKUP(F629,Insumos!$C$5:$G$143,5,FALSE()),0)</f>
        <v>0.9</v>
      </c>
      <c r="J629" s="25" t="n">
        <f aca="false">IF(C629="bizcocho",VLOOKUP(A629,'Recetas y precios'!$A$5:$G$55,6,FALSE()),IF(C629="jarabe",VLOOKUP(A629,'Recetas y precios'!$A$5:$G$55,7,FALSE()),1))</f>
        <v>1</v>
      </c>
      <c r="K629" s="15" t="n">
        <f aca="false">G629*I629*J629</f>
        <v>54</v>
      </c>
    </row>
    <row r="630" customFormat="false" ht="15" hidden="false" customHeight="false" outlineLevel="0" collapsed="false">
      <c r="A630" s="0" t="n">
        <v>36</v>
      </c>
      <c r="B630" s="22" t="s">
        <v>898</v>
      </c>
      <c r="C630" s="13" t="s">
        <v>400</v>
      </c>
      <c r="D630" s="23" t="s">
        <v>903</v>
      </c>
      <c r="E630" s="23" t="s">
        <v>905</v>
      </c>
      <c r="F630" s="24" t="s">
        <v>257</v>
      </c>
      <c r="G630" s="19" t="n">
        <v>10</v>
      </c>
      <c r="H630" s="13" t="s">
        <v>27</v>
      </c>
      <c r="I630" s="12" t="n">
        <f aca="false">IFERROR(VLOOKUP(F630,Insumos!$C$5:$G$143,5,FALSE()),0)</f>
        <v>0.9</v>
      </c>
      <c r="J630" s="25" t="n">
        <f aca="false">IF(C630="bizcocho",VLOOKUP(A630,'Recetas y precios'!$A$5:$G$55,6,FALSE()),IF(C630="jarabe",VLOOKUP(A630,'Recetas y precios'!$A$5:$G$55,7,FALSE()),1))</f>
        <v>1</v>
      </c>
      <c r="K630" s="15" t="n">
        <f aca="false">G630*I630*J630</f>
        <v>9</v>
      </c>
    </row>
    <row r="631" customFormat="false" ht="15" hidden="false" customHeight="false" outlineLevel="0" collapsed="false">
      <c r="A631" s="0" t="n">
        <v>36</v>
      </c>
      <c r="B631" s="22" t="s">
        <v>898</v>
      </c>
      <c r="C631" s="13" t="s">
        <v>400</v>
      </c>
      <c r="D631" s="23" t="s">
        <v>903</v>
      </c>
      <c r="E631" s="23" t="s">
        <v>906</v>
      </c>
      <c r="F631" s="24" t="s">
        <v>107</v>
      </c>
      <c r="G631" s="19" t="n">
        <v>1</v>
      </c>
      <c r="H631" s="13" t="s">
        <v>27</v>
      </c>
      <c r="I631" s="12" t="n">
        <f aca="false">IFERROR(VLOOKUP(F631,Insumos!$C$5:$G$143,5,FALSE()),0)</f>
        <v>0.12</v>
      </c>
      <c r="J631" s="25" t="n">
        <f aca="false">IF(C631="bizcocho",VLOOKUP(A631,'Recetas y precios'!$A$5:$G$55,6,FALSE()),IF(C631="jarabe",VLOOKUP(A631,'Recetas y precios'!$A$5:$G$55,7,FALSE()),1))</f>
        <v>1</v>
      </c>
      <c r="K631" s="15" t="n">
        <f aca="false">G631*I631*J631</f>
        <v>0.12</v>
      </c>
    </row>
    <row r="632" customFormat="false" ht="15" hidden="false" customHeight="false" outlineLevel="0" collapsed="false">
      <c r="A632" s="0" t="n">
        <v>37</v>
      </c>
      <c r="B632" s="22" t="s">
        <v>907</v>
      </c>
      <c r="C632" s="13" t="s">
        <v>387</v>
      </c>
      <c r="D632" s="23" t="s">
        <v>908</v>
      </c>
      <c r="E632" s="23" t="s">
        <v>909</v>
      </c>
      <c r="F632" s="24" t="s">
        <v>116</v>
      </c>
      <c r="G632" s="19" t="n">
        <v>50</v>
      </c>
      <c r="H632" s="13" t="s">
        <v>34</v>
      </c>
      <c r="I632" s="12" t="n">
        <f aca="false">IFERROR(VLOOKUP(F632,Insumos!$C$5:$G$143,5,FALSE()),0)</f>
        <v>0.145</v>
      </c>
      <c r="J632" s="25" t="n">
        <f aca="false">IF(C632="bizcocho",VLOOKUP(A632,'Recetas y precios'!$A$5:$G$55,6,FALSE()),IF(C632="jarabe",VLOOKUP(A632,'Recetas y precios'!$A$5:$G$55,7,FALSE()),1))</f>
        <v>0.844</v>
      </c>
      <c r="K632" s="15" t="n">
        <f aca="false">G632*I632*J632</f>
        <v>6.119</v>
      </c>
    </row>
    <row r="633" customFormat="false" ht="15" hidden="false" customHeight="false" outlineLevel="0" collapsed="false">
      <c r="A633" s="0" t="n">
        <v>37</v>
      </c>
      <c r="B633" s="22" t="s">
        <v>907</v>
      </c>
      <c r="C633" s="13" t="s">
        <v>387</v>
      </c>
      <c r="D633" s="23" t="s">
        <v>908</v>
      </c>
      <c r="E633" s="23" t="s">
        <v>562</v>
      </c>
      <c r="F633" s="24" t="s">
        <v>80</v>
      </c>
      <c r="G633" s="19" t="n">
        <v>20</v>
      </c>
      <c r="H633" s="13" t="s">
        <v>34</v>
      </c>
      <c r="I633" s="12" t="n">
        <f aca="false">IFERROR(VLOOKUP(F633,Insumos!$C$5:$G$143,5,FALSE()),0)</f>
        <v>0.018</v>
      </c>
      <c r="J633" s="25" t="n">
        <f aca="false">IF(C633="bizcocho",VLOOKUP(A633,'Recetas y precios'!$A$5:$G$55,6,FALSE()),IF(C633="jarabe",VLOOKUP(A633,'Recetas y precios'!$A$5:$G$55,7,FALSE()),1))</f>
        <v>0.844</v>
      </c>
      <c r="K633" s="15" t="n">
        <f aca="false">G633*I633*J633</f>
        <v>0.30384</v>
      </c>
    </row>
    <row r="634" customFormat="false" ht="15" hidden="false" customHeight="false" outlineLevel="0" collapsed="false">
      <c r="A634" s="0" t="n">
        <v>37</v>
      </c>
      <c r="B634" s="22" t="s">
        <v>907</v>
      </c>
      <c r="C634" s="13" t="s">
        <v>387</v>
      </c>
      <c r="D634" s="23" t="s">
        <v>908</v>
      </c>
      <c r="E634" s="23" t="s">
        <v>910</v>
      </c>
      <c r="F634" s="24" t="s">
        <v>292</v>
      </c>
      <c r="G634" s="19" t="n">
        <v>2</v>
      </c>
      <c r="H634" s="13" t="s">
        <v>27</v>
      </c>
      <c r="I634" s="12" t="n">
        <f aca="false">IFERROR(VLOOKUP(F634,Insumos!$C$5:$G$143,5,FALSE()),0)</f>
        <v>0.9</v>
      </c>
      <c r="J634" s="25" t="n">
        <f aca="false">IF(C634="bizcocho",VLOOKUP(A634,'Recetas y precios'!$A$5:$G$55,6,FALSE()),IF(C634="jarabe",VLOOKUP(A634,'Recetas y precios'!$A$5:$G$55,7,FALSE()),1))</f>
        <v>0.844</v>
      </c>
      <c r="K634" s="15" t="n">
        <f aca="false">G634*I634*J634</f>
        <v>1.5192</v>
      </c>
    </row>
    <row r="635" customFormat="false" ht="15" hidden="false" customHeight="false" outlineLevel="0" collapsed="false">
      <c r="A635" s="0" t="n">
        <v>37</v>
      </c>
      <c r="B635" s="22" t="s">
        <v>907</v>
      </c>
      <c r="C635" s="13" t="s">
        <v>387</v>
      </c>
      <c r="D635" s="23" t="s">
        <v>908</v>
      </c>
      <c r="E635" s="23" t="s">
        <v>536</v>
      </c>
      <c r="F635" s="24" t="s">
        <v>305</v>
      </c>
      <c r="G635" s="19" t="n">
        <v>5</v>
      </c>
      <c r="H635" s="13" t="s">
        <v>34</v>
      </c>
      <c r="I635" s="12" t="n">
        <f aca="false">IFERROR(VLOOKUP(F635,Insumos!$C$5:$G$143,5,FALSE()),0)</f>
        <v>0.373333333333333</v>
      </c>
      <c r="J635" s="25" t="n">
        <f aca="false">IF(C635="bizcocho",VLOOKUP(A635,'Recetas y precios'!$A$5:$G$55,6,FALSE()),IF(C635="jarabe",VLOOKUP(A635,'Recetas y precios'!$A$5:$G$55,7,FALSE()),1))</f>
        <v>0.844</v>
      </c>
      <c r="K635" s="15" t="n">
        <f aca="false">G635*I635*J635</f>
        <v>1.57546666666667</v>
      </c>
    </row>
    <row r="636" customFormat="false" ht="15" hidden="false" customHeight="false" outlineLevel="0" collapsed="false">
      <c r="A636" s="0" t="n">
        <v>37</v>
      </c>
      <c r="B636" s="22" t="s">
        <v>907</v>
      </c>
      <c r="C636" s="13" t="s">
        <v>393</v>
      </c>
      <c r="D636" s="23" t="s">
        <v>911</v>
      </c>
      <c r="E636" s="23" t="s">
        <v>503</v>
      </c>
      <c r="F636" s="24" t="s">
        <v>26</v>
      </c>
      <c r="G636" s="19" t="n">
        <v>180</v>
      </c>
      <c r="H636" s="13" t="s">
        <v>27</v>
      </c>
      <c r="I636" s="12" t="n">
        <f aca="false">IFERROR(VLOOKUP(F636,Insumos!$C$5:$G$143,5,FALSE()),0)</f>
        <v>0.38</v>
      </c>
      <c r="J636" s="25" t="n">
        <f aca="false">IF(C636="bizcocho",VLOOKUP(A636,'Recetas y precios'!$A$5:$G$55,6,FALSE()),IF(C636="jarabe",VLOOKUP(A636,'Recetas y precios'!$A$5:$G$55,7,FALSE()),1))</f>
        <v>1</v>
      </c>
      <c r="K636" s="15" t="n">
        <f aca="false">G636*I636*J636</f>
        <v>68.4</v>
      </c>
    </row>
    <row r="637" customFormat="false" ht="15" hidden="false" customHeight="false" outlineLevel="0" collapsed="false">
      <c r="A637" s="0" t="n">
        <v>37</v>
      </c>
      <c r="B637" s="22" t="s">
        <v>907</v>
      </c>
      <c r="C637" s="13" t="s">
        <v>393</v>
      </c>
      <c r="D637" s="23" t="s">
        <v>911</v>
      </c>
      <c r="E637" s="23" t="s">
        <v>504</v>
      </c>
      <c r="F637" s="24" t="s">
        <v>33</v>
      </c>
      <c r="G637" s="19" t="n">
        <v>180</v>
      </c>
      <c r="H637" s="13" t="s">
        <v>34</v>
      </c>
      <c r="I637" s="12" t="n">
        <f aca="false">IFERROR(VLOOKUP(F637,Insumos!$C$5:$G$143,5,FALSE()),0)</f>
        <v>0.078</v>
      </c>
      <c r="J637" s="25" t="n">
        <f aca="false">IF(C637="bizcocho",VLOOKUP(A637,'Recetas y precios'!$A$5:$G$55,6,FALSE()),IF(C637="jarabe",VLOOKUP(A637,'Recetas y precios'!$A$5:$G$55,7,FALSE()),1))</f>
        <v>1</v>
      </c>
      <c r="K637" s="15" t="n">
        <f aca="false">G637*I637*J637</f>
        <v>14.04</v>
      </c>
    </row>
    <row r="638" customFormat="false" ht="15" hidden="false" customHeight="false" outlineLevel="0" collapsed="false">
      <c r="A638" s="0" t="n">
        <v>37</v>
      </c>
      <c r="B638" s="22" t="s">
        <v>907</v>
      </c>
      <c r="C638" s="13" t="s">
        <v>393</v>
      </c>
      <c r="D638" s="23" t="s">
        <v>911</v>
      </c>
      <c r="E638" s="23" t="s">
        <v>912</v>
      </c>
      <c r="F638" s="24" t="s">
        <v>275</v>
      </c>
      <c r="G638" s="19" t="n">
        <v>35</v>
      </c>
      <c r="H638" s="13" t="s">
        <v>27</v>
      </c>
      <c r="I638" s="12" t="n">
        <f aca="false">IFERROR(VLOOKUP(F638,Insumos!$C$5:$G$143,5,FALSE()),0)</f>
        <v>0.3</v>
      </c>
      <c r="J638" s="25" t="n">
        <f aca="false">IF(C638="bizcocho",VLOOKUP(A638,'Recetas y precios'!$A$5:$G$55,6,FALSE()),IF(C638="jarabe",VLOOKUP(A638,'Recetas y precios'!$A$5:$G$55,7,FALSE()),1))</f>
        <v>1</v>
      </c>
      <c r="K638" s="15" t="n">
        <f aca="false">G638*I638*J638</f>
        <v>10.5</v>
      </c>
    </row>
    <row r="639" customFormat="false" ht="15" hidden="false" customHeight="false" outlineLevel="0" collapsed="false">
      <c r="A639" s="0" t="n">
        <v>37</v>
      </c>
      <c r="B639" s="22" t="s">
        <v>907</v>
      </c>
      <c r="C639" s="13" t="s">
        <v>393</v>
      </c>
      <c r="D639" s="23" t="s">
        <v>911</v>
      </c>
      <c r="E639" s="23" t="s">
        <v>506</v>
      </c>
      <c r="F639" s="24" t="s">
        <v>36</v>
      </c>
      <c r="G639" s="19" t="n">
        <v>45</v>
      </c>
      <c r="H639" s="13" t="s">
        <v>27</v>
      </c>
      <c r="I639" s="12" t="n">
        <f aca="false">IFERROR(VLOOKUP(F639,Insumos!$C$5:$G$143,5,FALSE()),0)</f>
        <v>0.085</v>
      </c>
      <c r="J639" s="25" t="n">
        <f aca="false">IF(C639="bizcocho",VLOOKUP(A639,'Recetas y precios'!$A$5:$G$55,6,FALSE()),IF(C639="jarabe",VLOOKUP(A639,'Recetas y precios'!$A$5:$G$55,7,FALSE()),1))</f>
        <v>1</v>
      </c>
      <c r="K639" s="15" t="n">
        <f aca="false">G639*I639*J639</f>
        <v>3.825</v>
      </c>
    </row>
    <row r="640" customFormat="false" ht="15" hidden="false" customHeight="false" outlineLevel="0" collapsed="false">
      <c r="A640" s="0" t="n">
        <v>37</v>
      </c>
      <c r="B640" s="22" t="s">
        <v>907</v>
      </c>
      <c r="C640" s="13" t="s">
        <v>393</v>
      </c>
      <c r="D640" s="23" t="s">
        <v>911</v>
      </c>
      <c r="E640" s="23" t="s">
        <v>456</v>
      </c>
      <c r="F640" s="24" t="s">
        <v>74</v>
      </c>
      <c r="G640" s="19" t="n">
        <v>20</v>
      </c>
      <c r="H640" s="13" t="s">
        <v>27</v>
      </c>
      <c r="I640" s="12" t="n">
        <f aca="false">IFERROR(VLOOKUP(F640,Insumos!$C$5:$G$143,5,FALSE()),0)</f>
        <v>0.045</v>
      </c>
      <c r="J640" s="25" t="n">
        <f aca="false">IF(C640="bizcocho",VLOOKUP(A640,'Recetas y precios'!$A$5:$G$55,6,FALSE()),IF(C640="jarabe",VLOOKUP(A640,'Recetas y precios'!$A$5:$G$55,7,FALSE()),1))</f>
        <v>1</v>
      </c>
      <c r="K640" s="15" t="n">
        <f aca="false">G640*I640*J640</f>
        <v>0.9</v>
      </c>
    </row>
    <row r="641" customFormat="false" ht="15" hidden="false" customHeight="false" outlineLevel="0" collapsed="false">
      <c r="A641" s="0" t="n">
        <v>37</v>
      </c>
      <c r="B641" s="22" t="s">
        <v>907</v>
      </c>
      <c r="C641" s="13" t="s">
        <v>393</v>
      </c>
      <c r="D641" s="23" t="s">
        <v>911</v>
      </c>
      <c r="E641" s="23" t="s">
        <v>385</v>
      </c>
      <c r="F641" s="24" t="s">
        <v>103</v>
      </c>
      <c r="G641" s="19" t="n">
        <v>1</v>
      </c>
      <c r="H641" s="13" t="s">
        <v>27</v>
      </c>
      <c r="I641" s="12" t="n">
        <f aca="false">IFERROR(VLOOKUP(F641,Insumos!$C$5:$G$143,5,FALSE()),0)</f>
        <v>0.025</v>
      </c>
      <c r="J641" s="25" t="n">
        <f aca="false">IF(C641="bizcocho",VLOOKUP(A641,'Recetas y precios'!$A$5:$G$55,6,FALSE()),IF(C641="jarabe",VLOOKUP(A641,'Recetas y precios'!$A$5:$G$55,7,FALSE()),1))</f>
        <v>1</v>
      </c>
      <c r="K641" s="15" t="n">
        <f aca="false">G641*I641*J641</f>
        <v>0.025</v>
      </c>
    </row>
    <row r="642" customFormat="false" ht="15" hidden="false" customHeight="false" outlineLevel="0" collapsed="false">
      <c r="A642" s="0" t="n">
        <v>37</v>
      </c>
      <c r="B642" s="22" t="s">
        <v>907</v>
      </c>
      <c r="C642" s="13" t="s">
        <v>400</v>
      </c>
      <c r="D642" s="23" t="s">
        <v>806</v>
      </c>
      <c r="E642" s="23" t="s">
        <v>913</v>
      </c>
      <c r="F642" s="24" t="s">
        <v>279</v>
      </c>
      <c r="G642" s="19" t="n">
        <v>70</v>
      </c>
      <c r="H642" s="13" t="s">
        <v>27</v>
      </c>
      <c r="I642" s="12" t="n">
        <f aca="false">IFERROR(VLOOKUP(F642,Insumos!$C$5:$G$143,5,FALSE()),0)</f>
        <v>0.3</v>
      </c>
      <c r="J642" s="25" t="n">
        <f aca="false">IF(C642="bizcocho",VLOOKUP(A642,'Recetas y precios'!$A$5:$G$55,6,FALSE()),IF(C642="jarabe",VLOOKUP(A642,'Recetas y precios'!$A$5:$G$55,7,FALSE()),1))</f>
        <v>1</v>
      </c>
      <c r="K642" s="15" t="n">
        <f aca="false">G642*I642*J642</f>
        <v>21</v>
      </c>
    </row>
    <row r="643" customFormat="false" ht="15" hidden="false" customHeight="false" outlineLevel="0" collapsed="false">
      <c r="A643" s="0" t="n">
        <v>37</v>
      </c>
      <c r="B643" s="22" t="s">
        <v>907</v>
      </c>
      <c r="C643" s="13" t="s">
        <v>400</v>
      </c>
      <c r="D643" s="23" t="s">
        <v>806</v>
      </c>
      <c r="E643" s="23" t="s">
        <v>914</v>
      </c>
      <c r="F643" s="24" t="s">
        <v>273</v>
      </c>
      <c r="G643" s="19" t="n">
        <v>15</v>
      </c>
      <c r="H643" s="13" t="s">
        <v>27</v>
      </c>
      <c r="I643" s="12" t="n">
        <f aca="false">IFERROR(VLOOKUP(F643,Insumos!$C$5:$G$143,5,FALSE()),0)</f>
        <v>0.12</v>
      </c>
      <c r="J643" s="25" t="n">
        <f aca="false">IF(C643="bizcocho",VLOOKUP(A643,'Recetas y precios'!$A$5:$G$55,6,FALSE()),IF(C643="jarabe",VLOOKUP(A643,'Recetas y precios'!$A$5:$G$55,7,FALSE()),1))</f>
        <v>1</v>
      </c>
      <c r="K643" s="15" t="n">
        <f aca="false">G643*I643*J643</f>
        <v>1.8</v>
      </c>
    </row>
    <row r="644" customFormat="false" ht="15" hidden="false" customHeight="false" outlineLevel="0" collapsed="false">
      <c r="A644" s="0" t="n">
        <v>38</v>
      </c>
      <c r="B644" s="22" t="s">
        <v>915</v>
      </c>
      <c r="C644" s="13" t="s">
        <v>387</v>
      </c>
      <c r="D644" s="23" t="s">
        <v>661</v>
      </c>
      <c r="E644" s="23" t="s">
        <v>916</v>
      </c>
      <c r="F644" s="24" t="s">
        <v>116</v>
      </c>
      <c r="G644" s="19" t="n">
        <v>45</v>
      </c>
      <c r="H644" s="13" t="s">
        <v>34</v>
      </c>
      <c r="I644" s="12" t="n">
        <f aca="false">IFERROR(VLOOKUP(F644,Insumos!$C$5:$G$143,5,FALSE()),0)</f>
        <v>0.145</v>
      </c>
      <c r="J644" s="25" t="n">
        <f aca="false">IF(C644="bizcocho",VLOOKUP(A644,'Recetas y precios'!$A$5:$G$55,6,FALSE()),IF(C644="jarabe",VLOOKUP(A644,'Recetas y precios'!$A$5:$G$55,7,FALSE()),1))</f>
        <v>0.833</v>
      </c>
      <c r="K644" s="15" t="n">
        <f aca="false">G644*I644*J644</f>
        <v>5.435325</v>
      </c>
    </row>
    <row r="645" customFormat="false" ht="15" hidden="false" customHeight="false" outlineLevel="0" collapsed="false">
      <c r="A645" s="0" t="n">
        <v>38</v>
      </c>
      <c r="B645" s="22" t="s">
        <v>915</v>
      </c>
      <c r="C645" s="13" t="s">
        <v>387</v>
      </c>
      <c r="D645" s="23" t="s">
        <v>661</v>
      </c>
      <c r="E645" s="23" t="s">
        <v>917</v>
      </c>
      <c r="F645" s="24" t="s">
        <v>113</v>
      </c>
      <c r="G645" s="19" t="n">
        <v>15</v>
      </c>
      <c r="H645" s="13" t="s">
        <v>34</v>
      </c>
      <c r="I645" s="12" t="n">
        <f aca="false">IFERROR(VLOOKUP(F645,Insumos!$C$5:$G$143,5,FALSE()),0)</f>
        <v>0.002</v>
      </c>
      <c r="J645" s="25" t="n">
        <f aca="false">IF(C645="bizcocho",VLOOKUP(A645,'Recetas y precios'!$A$5:$G$55,6,FALSE()),IF(C645="jarabe",VLOOKUP(A645,'Recetas y precios'!$A$5:$G$55,7,FALSE()),1))</f>
        <v>0.833</v>
      </c>
      <c r="K645" s="15" t="n">
        <f aca="false">G645*I645*J645</f>
        <v>0.02499</v>
      </c>
    </row>
    <row r="646" customFormat="false" ht="15" hidden="false" customHeight="false" outlineLevel="0" collapsed="false">
      <c r="A646" s="0" t="n">
        <v>38</v>
      </c>
      <c r="B646" s="22" t="s">
        <v>915</v>
      </c>
      <c r="C646" s="13" t="s">
        <v>387</v>
      </c>
      <c r="D646" s="23" t="s">
        <v>661</v>
      </c>
      <c r="E646" s="23" t="s">
        <v>391</v>
      </c>
      <c r="F646" s="24" t="s">
        <v>72</v>
      </c>
      <c r="G646" s="19" t="n">
        <v>15</v>
      </c>
      <c r="H646" s="13" t="s">
        <v>27</v>
      </c>
      <c r="I646" s="12" t="n">
        <f aca="false">IFERROR(VLOOKUP(F646,Insumos!$C$5:$G$143,5,FALSE()),0)</f>
        <v>0.028</v>
      </c>
      <c r="J646" s="25" t="n">
        <f aca="false">IF(C646="bizcocho",VLOOKUP(A646,'Recetas y precios'!$A$5:$G$55,6,FALSE()),IF(C646="jarabe",VLOOKUP(A646,'Recetas y precios'!$A$5:$G$55,7,FALSE()),1))</f>
        <v>0.833</v>
      </c>
      <c r="K646" s="15" t="n">
        <f aca="false">G646*I646*J646</f>
        <v>0.34986</v>
      </c>
    </row>
    <row r="647" customFormat="false" ht="15" hidden="false" customHeight="false" outlineLevel="0" collapsed="false">
      <c r="A647" s="0" t="n">
        <v>38</v>
      </c>
      <c r="B647" s="22" t="s">
        <v>915</v>
      </c>
      <c r="C647" s="13" t="s">
        <v>387</v>
      </c>
      <c r="D647" s="23" t="s">
        <v>661</v>
      </c>
      <c r="E647" s="23" t="s">
        <v>918</v>
      </c>
      <c r="F647" s="24" t="s">
        <v>297</v>
      </c>
      <c r="G647" s="19" t="n">
        <v>15</v>
      </c>
      <c r="H647" s="13" t="s">
        <v>34</v>
      </c>
      <c r="I647" s="12" t="n">
        <f aca="false">IFERROR(VLOOKUP(F647,Insumos!$C$5:$G$143,5,FALSE()),0)</f>
        <v>0.48</v>
      </c>
      <c r="J647" s="25" t="n">
        <f aca="false">IF(C647="bizcocho",VLOOKUP(A647,'Recetas y precios'!$A$5:$G$55,6,FALSE()),IF(C647="jarabe",VLOOKUP(A647,'Recetas y precios'!$A$5:$G$55,7,FALSE()),1))</f>
        <v>0.833</v>
      </c>
      <c r="K647" s="15" t="n">
        <f aca="false">G647*I647*J647</f>
        <v>5.9976</v>
      </c>
    </row>
    <row r="648" customFormat="false" ht="15" hidden="false" customHeight="false" outlineLevel="0" collapsed="false">
      <c r="A648" s="0" t="n">
        <v>38</v>
      </c>
      <c r="B648" s="22" t="s">
        <v>915</v>
      </c>
      <c r="C648" s="13" t="s">
        <v>393</v>
      </c>
      <c r="D648" s="23" t="s">
        <v>919</v>
      </c>
      <c r="E648" s="23" t="s">
        <v>503</v>
      </c>
      <c r="F648" s="24" t="s">
        <v>26</v>
      </c>
      <c r="G648" s="19" t="n">
        <v>180</v>
      </c>
      <c r="H648" s="13" t="s">
        <v>27</v>
      </c>
      <c r="I648" s="12" t="n">
        <f aca="false">IFERROR(VLOOKUP(F648,Insumos!$C$5:$G$143,5,FALSE()),0)</f>
        <v>0.38</v>
      </c>
      <c r="J648" s="25" t="n">
        <f aca="false">IF(C648="bizcocho",VLOOKUP(A648,'Recetas y precios'!$A$5:$G$55,6,FALSE()),IF(C648="jarabe",VLOOKUP(A648,'Recetas y precios'!$A$5:$G$55,7,FALSE()),1))</f>
        <v>1</v>
      </c>
      <c r="K648" s="15" t="n">
        <f aca="false">G648*I648*J648</f>
        <v>68.4</v>
      </c>
    </row>
    <row r="649" customFormat="false" ht="15" hidden="false" customHeight="false" outlineLevel="0" collapsed="false">
      <c r="A649" s="0" t="n">
        <v>38</v>
      </c>
      <c r="B649" s="22" t="s">
        <v>915</v>
      </c>
      <c r="C649" s="13" t="s">
        <v>393</v>
      </c>
      <c r="D649" s="23" t="s">
        <v>919</v>
      </c>
      <c r="E649" s="23" t="s">
        <v>504</v>
      </c>
      <c r="F649" s="24" t="s">
        <v>33</v>
      </c>
      <c r="G649" s="19" t="n">
        <v>180</v>
      </c>
      <c r="H649" s="13" t="s">
        <v>34</v>
      </c>
      <c r="I649" s="12" t="n">
        <f aca="false">IFERROR(VLOOKUP(F649,Insumos!$C$5:$G$143,5,FALSE()),0)</f>
        <v>0.078</v>
      </c>
      <c r="J649" s="25" t="n">
        <f aca="false">IF(C649="bizcocho",VLOOKUP(A649,'Recetas y precios'!$A$5:$G$55,6,FALSE()),IF(C649="jarabe",VLOOKUP(A649,'Recetas y precios'!$A$5:$G$55,7,FALSE()),1))</f>
        <v>1</v>
      </c>
      <c r="K649" s="15" t="n">
        <f aca="false">G649*I649*J649</f>
        <v>14.04</v>
      </c>
    </row>
    <row r="650" customFormat="false" ht="15" hidden="false" customHeight="false" outlineLevel="0" collapsed="false">
      <c r="A650" s="0" t="n">
        <v>38</v>
      </c>
      <c r="B650" s="22" t="s">
        <v>915</v>
      </c>
      <c r="C650" s="13" t="s">
        <v>393</v>
      </c>
      <c r="D650" s="23" t="s">
        <v>919</v>
      </c>
      <c r="E650" s="23" t="s">
        <v>920</v>
      </c>
      <c r="F650" s="24" t="s">
        <v>255</v>
      </c>
      <c r="G650" s="19" t="n">
        <v>30</v>
      </c>
      <c r="H650" s="13" t="s">
        <v>27</v>
      </c>
      <c r="I650" s="12" t="n">
        <f aca="false">IFERROR(VLOOKUP(F650,Insumos!$C$5:$G$143,5,FALSE()),0)</f>
        <v>0.7</v>
      </c>
      <c r="J650" s="25" t="n">
        <f aca="false">IF(C650="bizcocho",VLOOKUP(A650,'Recetas y precios'!$A$5:$G$55,6,FALSE()),IF(C650="jarabe",VLOOKUP(A650,'Recetas y precios'!$A$5:$G$55,7,FALSE()),1))</f>
        <v>1</v>
      </c>
      <c r="K650" s="15" t="n">
        <f aca="false">G650*I650*J650</f>
        <v>21</v>
      </c>
    </row>
    <row r="651" customFormat="false" ht="15" hidden="false" customHeight="false" outlineLevel="0" collapsed="false">
      <c r="A651" s="0" t="n">
        <v>38</v>
      </c>
      <c r="B651" s="22" t="s">
        <v>915</v>
      </c>
      <c r="C651" s="13" t="s">
        <v>393</v>
      </c>
      <c r="D651" s="23" t="s">
        <v>919</v>
      </c>
      <c r="E651" s="23" t="s">
        <v>506</v>
      </c>
      <c r="F651" s="24" t="s">
        <v>36</v>
      </c>
      <c r="G651" s="19" t="n">
        <v>45</v>
      </c>
      <c r="H651" s="13" t="s">
        <v>27</v>
      </c>
      <c r="I651" s="12" t="n">
        <f aca="false">IFERROR(VLOOKUP(F651,Insumos!$C$5:$G$143,5,FALSE()),0)</f>
        <v>0.085</v>
      </c>
      <c r="J651" s="25" t="n">
        <f aca="false">IF(C651="bizcocho",VLOOKUP(A651,'Recetas y precios'!$A$5:$G$55,6,FALSE()),IF(C651="jarabe",VLOOKUP(A651,'Recetas y precios'!$A$5:$G$55,7,FALSE()),1))</f>
        <v>1</v>
      </c>
      <c r="K651" s="15" t="n">
        <f aca="false">G651*I651*J651</f>
        <v>3.825</v>
      </c>
    </row>
    <row r="652" customFormat="false" ht="15" hidden="false" customHeight="false" outlineLevel="0" collapsed="false">
      <c r="A652" s="0" t="n">
        <v>38</v>
      </c>
      <c r="B652" s="22" t="s">
        <v>915</v>
      </c>
      <c r="C652" s="13" t="s">
        <v>393</v>
      </c>
      <c r="D652" s="23" t="s">
        <v>919</v>
      </c>
      <c r="E652" s="23" t="s">
        <v>456</v>
      </c>
      <c r="F652" s="24" t="s">
        <v>74</v>
      </c>
      <c r="G652" s="19" t="n">
        <v>20</v>
      </c>
      <c r="H652" s="13" t="s">
        <v>27</v>
      </c>
      <c r="I652" s="12" t="n">
        <f aca="false">IFERROR(VLOOKUP(F652,Insumos!$C$5:$G$143,5,FALSE()),0)</f>
        <v>0.045</v>
      </c>
      <c r="J652" s="25" t="n">
        <f aca="false">IF(C652="bizcocho",VLOOKUP(A652,'Recetas y precios'!$A$5:$G$55,6,FALSE()),IF(C652="jarabe",VLOOKUP(A652,'Recetas y precios'!$A$5:$G$55,7,FALSE()),1))</f>
        <v>1</v>
      </c>
      <c r="K652" s="15" t="n">
        <f aca="false">G652*I652*J652</f>
        <v>0.9</v>
      </c>
    </row>
    <row r="653" customFormat="false" ht="15" hidden="false" customHeight="false" outlineLevel="0" collapsed="false">
      <c r="A653" s="0" t="n">
        <v>38</v>
      </c>
      <c r="B653" s="22" t="s">
        <v>915</v>
      </c>
      <c r="C653" s="13" t="s">
        <v>393</v>
      </c>
      <c r="D653" s="23" t="s">
        <v>919</v>
      </c>
      <c r="E653" s="23" t="s">
        <v>921</v>
      </c>
      <c r="F653" s="24" t="s">
        <v>297</v>
      </c>
      <c r="G653" s="19" t="n">
        <v>10</v>
      </c>
      <c r="H653" s="13" t="s">
        <v>34</v>
      </c>
      <c r="I653" s="12" t="n">
        <f aca="false">IFERROR(VLOOKUP(F653,Insumos!$C$5:$G$143,5,FALSE()),0)</f>
        <v>0.48</v>
      </c>
      <c r="J653" s="25" t="n">
        <f aca="false">IF(C653="bizcocho",VLOOKUP(A653,'Recetas y precios'!$A$5:$G$55,6,FALSE()),IF(C653="jarabe",VLOOKUP(A653,'Recetas y precios'!$A$5:$G$55,7,FALSE()),1))</f>
        <v>1</v>
      </c>
      <c r="K653" s="15" t="n">
        <f aca="false">G653*I653*J653</f>
        <v>4.8</v>
      </c>
    </row>
    <row r="654" customFormat="false" ht="15" hidden="false" customHeight="false" outlineLevel="0" collapsed="false">
      <c r="A654" s="0" t="n">
        <v>38</v>
      </c>
      <c r="B654" s="22" t="s">
        <v>915</v>
      </c>
      <c r="C654" s="13" t="s">
        <v>400</v>
      </c>
      <c r="D654" s="23" t="s">
        <v>806</v>
      </c>
      <c r="E654" s="23" t="s">
        <v>922</v>
      </c>
      <c r="F654" s="24" t="s">
        <v>253</v>
      </c>
      <c r="G654" s="19" t="n">
        <v>30</v>
      </c>
      <c r="H654" s="13" t="s">
        <v>27</v>
      </c>
      <c r="I654" s="12" t="n">
        <f aca="false">IFERROR(VLOOKUP(F654,Insumos!$C$5:$G$143,5,FALSE()),0)</f>
        <v>0.6</v>
      </c>
      <c r="J654" s="25" t="n">
        <f aca="false">IF(C654="bizcocho",VLOOKUP(A654,'Recetas y precios'!$A$5:$G$55,6,FALSE()),IF(C654="jarabe",VLOOKUP(A654,'Recetas y precios'!$A$5:$G$55,7,FALSE()),1))</f>
        <v>1</v>
      </c>
      <c r="K654" s="15" t="n">
        <f aca="false">G654*I654*J654</f>
        <v>18</v>
      </c>
    </row>
    <row r="655" customFormat="false" ht="15" hidden="false" customHeight="false" outlineLevel="0" collapsed="false">
      <c r="A655" s="0" t="n">
        <v>38</v>
      </c>
      <c r="B655" s="22" t="s">
        <v>915</v>
      </c>
      <c r="C655" s="13" t="s">
        <v>400</v>
      </c>
      <c r="D655" s="23" t="s">
        <v>806</v>
      </c>
      <c r="E655" s="23" t="s">
        <v>402</v>
      </c>
      <c r="F655" s="24" t="s">
        <v>218</v>
      </c>
      <c r="G655" s="19" t="n">
        <v>8</v>
      </c>
      <c r="H655" s="13" t="s">
        <v>27</v>
      </c>
      <c r="I655" s="12" t="n">
        <f aca="false">IFERROR(VLOOKUP(F655,Insumos!$C$5:$G$143,5,FALSE()),0)</f>
        <v>0.42</v>
      </c>
      <c r="J655" s="25" t="n">
        <f aca="false">IF(C655="bizcocho",VLOOKUP(A655,'Recetas y precios'!$A$5:$G$55,6,FALSE()),IF(C655="jarabe",VLOOKUP(A655,'Recetas y precios'!$A$5:$G$55,7,FALSE()),1))</f>
        <v>1</v>
      </c>
      <c r="K655" s="15" t="n">
        <f aca="false">G655*I655*J655</f>
        <v>3.36</v>
      </c>
    </row>
    <row r="656" customFormat="false" ht="15" hidden="false" customHeight="false" outlineLevel="0" collapsed="false">
      <c r="A656" s="0" t="n">
        <v>39</v>
      </c>
      <c r="B656" s="22" t="s">
        <v>923</v>
      </c>
      <c r="C656" s="13" t="s">
        <v>387</v>
      </c>
      <c r="D656" s="23" t="s">
        <v>661</v>
      </c>
      <c r="E656" s="23" t="s">
        <v>924</v>
      </c>
      <c r="F656" s="24" t="s">
        <v>141</v>
      </c>
      <c r="G656" s="19" t="n">
        <v>1.5</v>
      </c>
      <c r="H656" s="13" t="s">
        <v>27</v>
      </c>
      <c r="I656" s="12" t="n">
        <f aca="false">IFERROR(VLOOKUP(F656,Insumos!$C$5:$G$143,5,FALSE()),0)</f>
        <v>0.7</v>
      </c>
      <c r="J656" s="25" t="n">
        <f aca="false">IF(C656="bizcocho",VLOOKUP(A656,'Recetas y precios'!$A$5:$G$55,6,FALSE()),IF(C656="jarabe",VLOOKUP(A656,'Recetas y precios'!$A$5:$G$55,7,FALSE()),1))</f>
        <v>1</v>
      </c>
      <c r="K656" s="15" t="n">
        <f aca="false">G656*I656*J656</f>
        <v>1.05</v>
      </c>
    </row>
    <row r="657" customFormat="false" ht="15" hidden="false" customHeight="false" outlineLevel="0" collapsed="false">
      <c r="A657" s="0" t="n">
        <v>39</v>
      </c>
      <c r="B657" s="22" t="s">
        <v>923</v>
      </c>
      <c r="C657" s="13" t="s">
        <v>387</v>
      </c>
      <c r="D657" s="23" t="s">
        <v>661</v>
      </c>
      <c r="E657" s="23" t="s">
        <v>595</v>
      </c>
      <c r="F657" s="24" t="s">
        <v>80</v>
      </c>
      <c r="G657" s="19" t="n">
        <v>20</v>
      </c>
      <c r="H657" s="13" t="s">
        <v>34</v>
      </c>
      <c r="I657" s="12" t="n">
        <f aca="false">IFERROR(VLOOKUP(F657,Insumos!$C$5:$G$143,5,FALSE()),0)</f>
        <v>0.018</v>
      </c>
      <c r="J657" s="25" t="n">
        <f aca="false">IF(C657="bizcocho",VLOOKUP(A657,'Recetas y precios'!$A$5:$G$55,6,FALSE()),IF(C657="jarabe",VLOOKUP(A657,'Recetas y precios'!$A$5:$G$55,7,FALSE()),1))</f>
        <v>1</v>
      </c>
      <c r="K657" s="15" t="n">
        <f aca="false">G657*I657*J657</f>
        <v>0.36</v>
      </c>
    </row>
    <row r="658" customFormat="false" ht="15" hidden="false" customHeight="false" outlineLevel="0" collapsed="false">
      <c r="A658" s="0" t="n">
        <v>39</v>
      </c>
      <c r="B658" s="22" t="s">
        <v>923</v>
      </c>
      <c r="C658" s="13" t="s">
        <v>387</v>
      </c>
      <c r="D658" s="23" t="s">
        <v>661</v>
      </c>
      <c r="E658" s="23" t="s">
        <v>925</v>
      </c>
      <c r="F658" s="24" t="s">
        <v>315</v>
      </c>
      <c r="G658" s="19" t="n">
        <v>5</v>
      </c>
      <c r="H658" s="13" t="s">
        <v>34</v>
      </c>
      <c r="I658" s="12" t="n">
        <f aca="false">IFERROR(VLOOKUP(F658,Insumos!$C$5:$G$143,5,FALSE()),0)</f>
        <v>0.533333333333333</v>
      </c>
      <c r="J658" s="25" t="n">
        <f aca="false">IF(C658="bizcocho",VLOOKUP(A658,'Recetas y precios'!$A$5:$G$55,6,FALSE()),IF(C658="jarabe",VLOOKUP(A658,'Recetas y precios'!$A$5:$G$55,7,FALSE()),1))</f>
        <v>1</v>
      </c>
      <c r="K658" s="15" t="n">
        <f aca="false">G658*I658*J658</f>
        <v>2.66666666666667</v>
      </c>
    </row>
    <row r="659" customFormat="false" ht="15" hidden="false" customHeight="false" outlineLevel="0" collapsed="false">
      <c r="A659" s="0" t="n">
        <v>39</v>
      </c>
      <c r="B659" s="22" t="s">
        <v>923</v>
      </c>
      <c r="C659" s="13" t="s">
        <v>400</v>
      </c>
      <c r="D659" s="23" t="s">
        <v>926</v>
      </c>
      <c r="E659" s="23" t="s">
        <v>927</v>
      </c>
      <c r="F659" s="24" t="s">
        <v>203</v>
      </c>
      <c r="G659" s="19" t="n">
        <v>100</v>
      </c>
      <c r="H659" s="13" t="s">
        <v>27</v>
      </c>
      <c r="I659" s="12" t="n">
        <f aca="false">IFERROR(VLOOKUP(F659,Insumos!$C$5:$G$143,5,FALSE()),0)</f>
        <v>0.07</v>
      </c>
      <c r="J659" s="25" t="n">
        <f aca="false">IF(C659="bizcocho",VLOOKUP(A659,'Recetas y precios'!$A$5:$G$55,6,FALSE()),IF(C659="jarabe",VLOOKUP(A659,'Recetas y precios'!$A$5:$G$55,7,FALSE()),1))</f>
        <v>1</v>
      </c>
      <c r="K659" s="15" t="n">
        <f aca="false">G659*I659*J659</f>
        <v>7</v>
      </c>
    </row>
    <row r="660" customFormat="false" ht="15" hidden="false" customHeight="false" outlineLevel="0" collapsed="false">
      <c r="A660" s="0" t="n">
        <v>39</v>
      </c>
      <c r="B660" s="22" t="s">
        <v>923</v>
      </c>
      <c r="C660" s="13" t="s">
        <v>400</v>
      </c>
      <c r="D660" s="23" t="s">
        <v>926</v>
      </c>
      <c r="E660" s="23" t="s">
        <v>460</v>
      </c>
      <c r="F660" s="24" t="s">
        <v>72</v>
      </c>
      <c r="G660" s="19" t="n">
        <v>30</v>
      </c>
      <c r="H660" s="13" t="s">
        <v>27</v>
      </c>
      <c r="I660" s="12" t="n">
        <f aca="false">IFERROR(VLOOKUP(F660,Insumos!$C$5:$G$143,5,FALSE()),0)</f>
        <v>0.028</v>
      </c>
      <c r="J660" s="25" t="n">
        <f aca="false">IF(C660="bizcocho",VLOOKUP(A660,'Recetas y precios'!$A$5:$G$55,6,FALSE()),IF(C660="jarabe",VLOOKUP(A660,'Recetas y precios'!$A$5:$G$55,7,FALSE()),1))</f>
        <v>1</v>
      </c>
      <c r="K660" s="15" t="n">
        <f aca="false">G660*I660*J660</f>
        <v>0.84</v>
      </c>
    </row>
    <row r="661" customFormat="false" ht="15" hidden="false" customHeight="false" outlineLevel="0" collapsed="false">
      <c r="A661" s="0" t="n">
        <v>39</v>
      </c>
      <c r="B661" s="22" t="s">
        <v>923</v>
      </c>
      <c r="C661" s="13" t="s">
        <v>400</v>
      </c>
      <c r="D661" s="23" t="s">
        <v>926</v>
      </c>
      <c r="E661" s="23" t="s">
        <v>928</v>
      </c>
      <c r="F661" s="24" t="s">
        <v>46</v>
      </c>
      <c r="G661" s="19" t="n">
        <v>15</v>
      </c>
      <c r="H661" s="13" t="s">
        <v>27</v>
      </c>
      <c r="I661" s="12" t="n">
        <f aca="false">IFERROR(VLOOKUP(F661,Insumos!$C$5:$G$143,5,FALSE()),0)</f>
        <v>0.33</v>
      </c>
      <c r="J661" s="25" t="n">
        <f aca="false">IF(C661="bizcocho",VLOOKUP(A661,'Recetas y precios'!$A$5:$G$55,6,FALSE()),IF(C661="jarabe",VLOOKUP(A661,'Recetas y precios'!$A$5:$G$55,7,FALSE()),1))</f>
        <v>1</v>
      </c>
      <c r="K661" s="15" t="n">
        <f aca="false">G661*I661*J661</f>
        <v>4.95</v>
      </c>
    </row>
    <row r="662" customFormat="false" ht="15" hidden="false" customHeight="false" outlineLevel="0" collapsed="false">
      <c r="A662" s="0" t="n">
        <v>39</v>
      </c>
      <c r="B662" s="22" t="s">
        <v>923</v>
      </c>
      <c r="C662" s="13" t="s">
        <v>400</v>
      </c>
      <c r="D662" s="23" t="s">
        <v>926</v>
      </c>
      <c r="E662" s="23" t="s">
        <v>734</v>
      </c>
      <c r="F662" s="24" t="s">
        <v>52</v>
      </c>
      <c r="G662" s="19" t="n">
        <v>20</v>
      </c>
      <c r="H662" s="13" t="s">
        <v>34</v>
      </c>
      <c r="I662" s="12" t="n">
        <f aca="false">IFERROR(VLOOKUP(F662,Insumos!$C$5:$G$143,5,FALSE()),0)</f>
        <v>0.075</v>
      </c>
      <c r="J662" s="25" t="n">
        <f aca="false">IF(C662="bizcocho",VLOOKUP(A662,'Recetas y precios'!$A$5:$G$55,6,FALSE()),IF(C662="jarabe",VLOOKUP(A662,'Recetas y precios'!$A$5:$G$55,7,FALSE()),1))</f>
        <v>1</v>
      </c>
      <c r="K662" s="15" t="n">
        <f aca="false">G662*I662*J662</f>
        <v>1.5</v>
      </c>
    </row>
    <row r="663" customFormat="false" ht="15" hidden="false" customHeight="false" outlineLevel="0" collapsed="false">
      <c r="A663" s="0" t="n">
        <v>39</v>
      </c>
      <c r="B663" s="22" t="s">
        <v>923</v>
      </c>
      <c r="C663" s="13" t="s">
        <v>393</v>
      </c>
      <c r="D663" s="23" t="s">
        <v>929</v>
      </c>
      <c r="E663" s="23" t="s">
        <v>764</v>
      </c>
      <c r="F663" s="24" t="s">
        <v>26</v>
      </c>
      <c r="G663" s="19" t="n">
        <v>130</v>
      </c>
      <c r="H663" s="13" t="s">
        <v>27</v>
      </c>
      <c r="I663" s="12" t="n">
        <f aca="false">IFERROR(VLOOKUP(F663,Insumos!$C$5:$G$143,5,FALSE()),0)</f>
        <v>0.38</v>
      </c>
      <c r="J663" s="25" t="n">
        <f aca="false">IF(C663="bizcocho",VLOOKUP(A663,'Recetas y precios'!$A$5:$G$55,6,FALSE()),IF(C663="jarabe",VLOOKUP(A663,'Recetas y precios'!$A$5:$G$55,7,FALSE()),1))</f>
        <v>1</v>
      </c>
      <c r="K663" s="15" t="n">
        <f aca="false">G663*I663*J663</f>
        <v>49.4</v>
      </c>
    </row>
    <row r="664" customFormat="false" ht="15" hidden="false" customHeight="false" outlineLevel="0" collapsed="false">
      <c r="A664" s="0" t="n">
        <v>39</v>
      </c>
      <c r="B664" s="22" t="s">
        <v>923</v>
      </c>
      <c r="C664" s="13" t="s">
        <v>393</v>
      </c>
      <c r="D664" s="23" t="s">
        <v>929</v>
      </c>
      <c r="E664" s="23" t="s">
        <v>930</v>
      </c>
      <c r="F664" s="24" t="s">
        <v>33</v>
      </c>
      <c r="G664" s="19" t="n">
        <v>110</v>
      </c>
      <c r="H664" s="13" t="s">
        <v>34</v>
      </c>
      <c r="I664" s="12" t="n">
        <f aca="false">IFERROR(VLOOKUP(F664,Insumos!$C$5:$G$143,5,FALSE()),0)</f>
        <v>0.078</v>
      </c>
      <c r="J664" s="25" t="n">
        <f aca="false">IF(C664="bizcocho",VLOOKUP(A664,'Recetas y precios'!$A$5:$G$55,6,FALSE()),IF(C664="jarabe",VLOOKUP(A664,'Recetas y precios'!$A$5:$G$55,7,FALSE()),1))</f>
        <v>1</v>
      </c>
      <c r="K664" s="15" t="n">
        <f aca="false">G664*I664*J664</f>
        <v>8.58</v>
      </c>
    </row>
    <row r="665" customFormat="false" ht="15" hidden="false" customHeight="false" outlineLevel="0" collapsed="false">
      <c r="A665" s="0" t="n">
        <v>39</v>
      </c>
      <c r="B665" s="22" t="s">
        <v>923</v>
      </c>
      <c r="C665" s="13" t="s">
        <v>393</v>
      </c>
      <c r="D665" s="23" t="s">
        <v>929</v>
      </c>
      <c r="E665" s="23" t="s">
        <v>931</v>
      </c>
      <c r="F665" s="24" t="s">
        <v>56</v>
      </c>
      <c r="G665" s="19" t="n">
        <v>20</v>
      </c>
      <c r="H665" s="13" t="s">
        <v>34</v>
      </c>
      <c r="I665" s="12" t="n">
        <f aca="false">IFERROR(VLOOKUP(F665,Insumos!$C$5:$G$143,5,FALSE()),0)</f>
        <v>0.06</v>
      </c>
      <c r="J665" s="25" t="n">
        <f aca="false">IF(C665="bizcocho",VLOOKUP(A665,'Recetas y precios'!$A$5:$G$55,6,FALSE()),IF(C665="jarabe",VLOOKUP(A665,'Recetas y precios'!$A$5:$G$55,7,FALSE()),1))</f>
        <v>1</v>
      </c>
      <c r="K665" s="15" t="n">
        <f aca="false">G665*I665*J665</f>
        <v>1.2</v>
      </c>
    </row>
    <row r="666" customFormat="false" ht="15" hidden="false" customHeight="false" outlineLevel="0" collapsed="false">
      <c r="A666" s="0" t="n">
        <v>39</v>
      </c>
      <c r="B666" s="22" t="s">
        <v>923</v>
      </c>
      <c r="C666" s="13" t="s">
        <v>393</v>
      </c>
      <c r="D666" s="23" t="s">
        <v>929</v>
      </c>
      <c r="E666" s="23" t="s">
        <v>506</v>
      </c>
      <c r="F666" s="24" t="s">
        <v>36</v>
      </c>
      <c r="G666" s="19" t="n">
        <v>45</v>
      </c>
      <c r="H666" s="13" t="s">
        <v>27</v>
      </c>
      <c r="I666" s="12" t="n">
        <f aca="false">IFERROR(VLOOKUP(F666,Insumos!$C$5:$G$143,5,FALSE()),0)</f>
        <v>0.085</v>
      </c>
      <c r="J666" s="25" t="n">
        <f aca="false">IF(C666="bizcocho",VLOOKUP(A666,'Recetas y precios'!$A$5:$G$55,6,FALSE()),IF(C666="jarabe",VLOOKUP(A666,'Recetas y precios'!$A$5:$G$55,7,FALSE()),1))</f>
        <v>1</v>
      </c>
      <c r="K666" s="15" t="n">
        <f aca="false">G666*I666*J666</f>
        <v>3.825</v>
      </c>
    </row>
    <row r="667" customFormat="false" ht="15" hidden="false" customHeight="false" outlineLevel="0" collapsed="false">
      <c r="A667" s="0" t="n">
        <v>39</v>
      </c>
      <c r="B667" s="22" t="s">
        <v>923</v>
      </c>
      <c r="C667" s="13" t="s">
        <v>393</v>
      </c>
      <c r="D667" s="23" t="s">
        <v>929</v>
      </c>
      <c r="E667" s="23" t="s">
        <v>567</v>
      </c>
      <c r="F667" s="24" t="s">
        <v>74</v>
      </c>
      <c r="G667" s="19" t="n">
        <v>15</v>
      </c>
      <c r="H667" s="13" t="s">
        <v>27</v>
      </c>
      <c r="I667" s="12" t="n">
        <f aca="false">IFERROR(VLOOKUP(F667,Insumos!$C$5:$G$143,5,FALSE()),0)</f>
        <v>0.045</v>
      </c>
      <c r="J667" s="25" t="n">
        <f aca="false">IF(C667="bizcocho",VLOOKUP(A667,'Recetas y precios'!$A$5:$G$55,6,FALSE()),IF(C667="jarabe",VLOOKUP(A667,'Recetas y precios'!$A$5:$G$55,7,FALSE()),1))</f>
        <v>1</v>
      </c>
      <c r="K667" s="15" t="n">
        <f aca="false">G667*I667*J667</f>
        <v>0.675</v>
      </c>
    </row>
    <row r="668" customFormat="false" ht="15" hidden="false" customHeight="false" outlineLevel="0" collapsed="false">
      <c r="A668" s="0" t="n">
        <v>40</v>
      </c>
      <c r="B668" s="22" t="s">
        <v>932</v>
      </c>
      <c r="C668" s="13" t="s">
        <v>387</v>
      </c>
      <c r="D668" s="23" t="s">
        <v>661</v>
      </c>
      <c r="E668" s="23" t="s">
        <v>933</v>
      </c>
      <c r="F668" s="24" t="s">
        <v>116</v>
      </c>
      <c r="G668" s="19" t="n">
        <v>40</v>
      </c>
      <c r="H668" s="13" t="s">
        <v>34</v>
      </c>
      <c r="I668" s="12" t="n">
        <f aca="false">IFERROR(VLOOKUP(F668,Insumos!$C$5:$G$143,5,FALSE()),0)</f>
        <v>0.145</v>
      </c>
      <c r="J668" s="25" t="n">
        <f aca="false">IF(C668="bizcocho",VLOOKUP(A668,'Recetas y precios'!$A$5:$G$55,6,FALSE()),IF(C668="jarabe",VLOOKUP(A668,'Recetas y precios'!$A$5:$G$55,7,FALSE()),1))</f>
        <v>0.933</v>
      </c>
      <c r="K668" s="15" t="n">
        <f aca="false">G668*I668*J668</f>
        <v>5.4114</v>
      </c>
    </row>
    <row r="669" customFormat="false" ht="15" hidden="false" customHeight="false" outlineLevel="0" collapsed="false">
      <c r="A669" s="0" t="n">
        <v>40</v>
      </c>
      <c r="B669" s="22" t="s">
        <v>932</v>
      </c>
      <c r="C669" s="13" t="s">
        <v>387</v>
      </c>
      <c r="D669" s="23" t="s">
        <v>661</v>
      </c>
      <c r="E669" s="23" t="s">
        <v>934</v>
      </c>
      <c r="F669" s="24" t="s">
        <v>84</v>
      </c>
      <c r="G669" s="19" t="n">
        <v>25</v>
      </c>
      <c r="H669" s="13" t="s">
        <v>34</v>
      </c>
      <c r="I669" s="12" t="n">
        <f aca="false">IFERROR(VLOOKUP(F669,Insumos!$C$5:$G$143,5,FALSE()),0)</f>
        <v>0.6</v>
      </c>
      <c r="J669" s="25" t="n">
        <f aca="false">IF(C669="bizcocho",VLOOKUP(A669,'Recetas y precios'!$A$5:$G$55,6,FALSE()),IF(C669="jarabe",VLOOKUP(A669,'Recetas y precios'!$A$5:$G$55,7,FALSE()),1))</f>
        <v>0.933</v>
      </c>
      <c r="K669" s="15" t="n">
        <f aca="false">G669*I669*J669</f>
        <v>13.995</v>
      </c>
    </row>
    <row r="670" customFormat="false" ht="15" hidden="false" customHeight="false" outlineLevel="0" collapsed="false">
      <c r="A670" s="0" t="n">
        <v>40</v>
      </c>
      <c r="B670" s="22" t="s">
        <v>932</v>
      </c>
      <c r="C670" s="13" t="s">
        <v>387</v>
      </c>
      <c r="D670" s="23" t="s">
        <v>661</v>
      </c>
      <c r="E670" s="23" t="s">
        <v>935</v>
      </c>
      <c r="F670" s="24" t="s">
        <v>305</v>
      </c>
      <c r="G670" s="19" t="n">
        <v>10</v>
      </c>
      <c r="H670" s="13" t="s">
        <v>34</v>
      </c>
      <c r="I670" s="12" t="n">
        <f aca="false">IFERROR(VLOOKUP(F670,Insumos!$C$5:$G$143,5,FALSE()),0)</f>
        <v>0.373333333333333</v>
      </c>
      <c r="J670" s="25" t="n">
        <f aca="false">IF(C670="bizcocho",VLOOKUP(A670,'Recetas y precios'!$A$5:$G$55,6,FALSE()),IF(C670="jarabe",VLOOKUP(A670,'Recetas y precios'!$A$5:$G$55,7,FALSE()),1))</f>
        <v>0.933</v>
      </c>
      <c r="K670" s="15" t="n">
        <f aca="false">G670*I670*J670</f>
        <v>3.4832</v>
      </c>
    </row>
    <row r="671" customFormat="false" ht="15" hidden="false" customHeight="false" outlineLevel="0" collapsed="false">
      <c r="A671" s="0" t="n">
        <v>40</v>
      </c>
      <c r="B671" s="22" t="s">
        <v>932</v>
      </c>
      <c r="C671" s="13" t="s">
        <v>393</v>
      </c>
      <c r="D671" s="23" t="s">
        <v>936</v>
      </c>
      <c r="E671" s="23" t="s">
        <v>737</v>
      </c>
      <c r="F671" s="24" t="s">
        <v>26</v>
      </c>
      <c r="G671" s="19" t="n">
        <v>170</v>
      </c>
      <c r="H671" s="13" t="s">
        <v>27</v>
      </c>
      <c r="I671" s="12" t="n">
        <f aca="false">IFERROR(VLOOKUP(F671,Insumos!$C$5:$G$143,5,FALSE()),0)</f>
        <v>0.38</v>
      </c>
      <c r="J671" s="25" t="n">
        <f aca="false">IF(C671="bizcocho",VLOOKUP(A671,'Recetas y precios'!$A$5:$G$55,6,FALSE()),IF(C671="jarabe",VLOOKUP(A671,'Recetas y precios'!$A$5:$G$55,7,FALSE()),1))</f>
        <v>1</v>
      </c>
      <c r="K671" s="15" t="n">
        <f aca="false">G671*I671*J671</f>
        <v>64.6</v>
      </c>
    </row>
    <row r="672" customFormat="false" ht="15" hidden="false" customHeight="false" outlineLevel="0" collapsed="false">
      <c r="A672" s="0" t="n">
        <v>40</v>
      </c>
      <c r="B672" s="22" t="s">
        <v>932</v>
      </c>
      <c r="C672" s="13" t="s">
        <v>393</v>
      </c>
      <c r="D672" s="23" t="s">
        <v>936</v>
      </c>
      <c r="E672" s="23" t="s">
        <v>831</v>
      </c>
      <c r="F672" s="24" t="s">
        <v>33</v>
      </c>
      <c r="G672" s="19" t="n">
        <v>170</v>
      </c>
      <c r="H672" s="13" t="s">
        <v>34</v>
      </c>
      <c r="I672" s="12" t="n">
        <f aca="false">IFERROR(VLOOKUP(F672,Insumos!$C$5:$G$143,5,FALSE()),0)</f>
        <v>0.078</v>
      </c>
      <c r="J672" s="25" t="n">
        <f aca="false">IF(C672="bizcocho",VLOOKUP(A672,'Recetas y precios'!$A$5:$G$55,6,FALSE()),IF(C672="jarabe",VLOOKUP(A672,'Recetas y precios'!$A$5:$G$55,7,FALSE()),1))</f>
        <v>1</v>
      </c>
      <c r="K672" s="15" t="n">
        <f aca="false">G672*I672*J672</f>
        <v>13.26</v>
      </c>
    </row>
    <row r="673" customFormat="false" ht="15" hidden="false" customHeight="false" outlineLevel="0" collapsed="false">
      <c r="A673" s="0" t="n">
        <v>40</v>
      </c>
      <c r="B673" s="22" t="s">
        <v>932</v>
      </c>
      <c r="C673" s="13" t="s">
        <v>393</v>
      </c>
      <c r="D673" s="23" t="s">
        <v>936</v>
      </c>
      <c r="E673" s="23" t="s">
        <v>937</v>
      </c>
      <c r="F673" s="24" t="s">
        <v>261</v>
      </c>
      <c r="G673" s="19" t="n">
        <v>40</v>
      </c>
      <c r="H673" s="13" t="s">
        <v>27</v>
      </c>
      <c r="I673" s="12" t="n">
        <f aca="false">IFERROR(VLOOKUP(F673,Insumos!$C$5:$G$143,5,FALSE()),0)</f>
        <v>0.7</v>
      </c>
      <c r="J673" s="25" t="n">
        <f aca="false">IF(C673="bizcocho",VLOOKUP(A673,'Recetas y precios'!$A$5:$G$55,6,FALSE()),IF(C673="jarabe",VLOOKUP(A673,'Recetas y precios'!$A$5:$G$55,7,FALSE()),1))</f>
        <v>1</v>
      </c>
      <c r="K673" s="15" t="n">
        <f aca="false">G673*I673*J673</f>
        <v>28</v>
      </c>
    </row>
    <row r="674" customFormat="false" ht="15" hidden="false" customHeight="false" outlineLevel="0" collapsed="false">
      <c r="A674" s="0" t="n">
        <v>40</v>
      </c>
      <c r="B674" s="22" t="s">
        <v>932</v>
      </c>
      <c r="C674" s="13" t="s">
        <v>393</v>
      </c>
      <c r="D674" s="23" t="s">
        <v>936</v>
      </c>
      <c r="E674" s="23" t="s">
        <v>938</v>
      </c>
      <c r="F674" s="24" t="s">
        <v>84</v>
      </c>
      <c r="G674" s="19" t="n">
        <v>40</v>
      </c>
      <c r="H674" s="13" t="s">
        <v>34</v>
      </c>
      <c r="I674" s="12" t="n">
        <f aca="false">IFERROR(VLOOKUP(F674,Insumos!$C$5:$G$143,5,FALSE()),0)</f>
        <v>0.6</v>
      </c>
      <c r="J674" s="25" t="n">
        <f aca="false">IF(C674="bizcocho",VLOOKUP(A674,'Recetas y precios'!$A$5:$G$55,6,FALSE()),IF(C674="jarabe",VLOOKUP(A674,'Recetas y precios'!$A$5:$G$55,7,FALSE()),1))</f>
        <v>1</v>
      </c>
      <c r="K674" s="15" t="n">
        <f aca="false">G674*I674*J674</f>
        <v>24</v>
      </c>
    </row>
    <row r="675" customFormat="false" ht="15" hidden="false" customHeight="false" outlineLevel="0" collapsed="false">
      <c r="A675" s="0" t="n">
        <v>40</v>
      </c>
      <c r="B675" s="22" t="s">
        <v>932</v>
      </c>
      <c r="C675" s="13" t="s">
        <v>393</v>
      </c>
      <c r="D675" s="23" t="s">
        <v>936</v>
      </c>
      <c r="E675" s="23" t="s">
        <v>422</v>
      </c>
      <c r="F675" s="24" t="s">
        <v>36</v>
      </c>
      <c r="G675" s="19" t="n">
        <v>20</v>
      </c>
      <c r="H675" s="13" t="s">
        <v>27</v>
      </c>
      <c r="I675" s="12" t="n">
        <f aca="false">IFERROR(VLOOKUP(F675,Insumos!$C$5:$G$143,5,FALSE()),0)</f>
        <v>0.085</v>
      </c>
      <c r="J675" s="25" t="n">
        <f aca="false">IF(C675="bizcocho",VLOOKUP(A675,'Recetas y precios'!$A$5:$G$55,6,FALSE()),IF(C675="jarabe",VLOOKUP(A675,'Recetas y precios'!$A$5:$G$55,7,FALSE()),1))</f>
        <v>1</v>
      </c>
      <c r="K675" s="15" t="n">
        <f aca="false">G675*I675*J675</f>
        <v>1.7</v>
      </c>
    </row>
    <row r="676" customFormat="false" ht="15" hidden="false" customHeight="false" outlineLevel="0" collapsed="false">
      <c r="A676" s="0" t="n">
        <v>40</v>
      </c>
      <c r="B676" s="22" t="s">
        <v>932</v>
      </c>
      <c r="C676" s="13" t="s">
        <v>393</v>
      </c>
      <c r="D676" s="23" t="s">
        <v>936</v>
      </c>
      <c r="E676" s="23" t="s">
        <v>567</v>
      </c>
      <c r="F676" s="24" t="s">
        <v>74</v>
      </c>
      <c r="G676" s="19" t="n">
        <v>15</v>
      </c>
      <c r="H676" s="13" t="s">
        <v>27</v>
      </c>
      <c r="I676" s="12" t="n">
        <f aca="false">IFERROR(VLOOKUP(F676,Insumos!$C$5:$G$143,5,FALSE()),0)</f>
        <v>0.045</v>
      </c>
      <c r="J676" s="25" t="n">
        <f aca="false">IF(C676="bizcocho",VLOOKUP(A676,'Recetas y precios'!$A$5:$G$55,6,FALSE()),IF(C676="jarabe",VLOOKUP(A676,'Recetas y precios'!$A$5:$G$55,7,FALSE()),1))</f>
        <v>1</v>
      </c>
      <c r="K676" s="15" t="n">
        <f aca="false">G676*I676*J676</f>
        <v>0.675</v>
      </c>
    </row>
    <row r="677" customFormat="false" ht="15" hidden="false" customHeight="false" outlineLevel="0" collapsed="false">
      <c r="A677" s="0" t="n">
        <v>40</v>
      </c>
      <c r="B677" s="22" t="s">
        <v>932</v>
      </c>
      <c r="C677" s="13" t="s">
        <v>393</v>
      </c>
      <c r="D677" s="23" t="s">
        <v>936</v>
      </c>
      <c r="E677" s="23" t="s">
        <v>568</v>
      </c>
      <c r="F677" s="24" t="s">
        <v>103</v>
      </c>
      <c r="G677" s="19" t="n">
        <v>1</v>
      </c>
      <c r="H677" s="13" t="s">
        <v>27</v>
      </c>
      <c r="I677" s="12" t="n">
        <f aca="false">IFERROR(VLOOKUP(F677,Insumos!$C$5:$G$143,5,FALSE()),0)</f>
        <v>0.025</v>
      </c>
      <c r="J677" s="25" t="n">
        <f aca="false">IF(C677="bizcocho",VLOOKUP(A677,'Recetas y precios'!$A$5:$G$55,6,FALSE()),IF(C677="jarabe",VLOOKUP(A677,'Recetas y precios'!$A$5:$G$55,7,FALSE()),1))</f>
        <v>1</v>
      </c>
      <c r="K677" s="15" t="n">
        <f aca="false">G677*I677*J677</f>
        <v>0.025</v>
      </c>
    </row>
    <row r="678" customFormat="false" ht="15" hidden="false" customHeight="false" outlineLevel="0" collapsed="false">
      <c r="A678" s="0" t="n">
        <v>40</v>
      </c>
      <c r="B678" s="22" t="s">
        <v>932</v>
      </c>
      <c r="C678" s="13" t="s">
        <v>400</v>
      </c>
      <c r="D678" s="23" t="s">
        <v>895</v>
      </c>
      <c r="E678" s="23" t="s">
        <v>939</v>
      </c>
      <c r="F678" s="24" t="s">
        <v>259</v>
      </c>
      <c r="G678" s="19" t="n">
        <v>60</v>
      </c>
      <c r="H678" s="13" t="s">
        <v>27</v>
      </c>
      <c r="I678" s="12" t="n">
        <f aca="false">IFERROR(VLOOKUP(F678,Insumos!$C$5:$G$143,5,FALSE()),0)</f>
        <v>0.52</v>
      </c>
      <c r="J678" s="25" t="n">
        <f aca="false">IF(C678="bizcocho",VLOOKUP(A678,'Recetas y precios'!$A$5:$G$55,6,FALSE()),IF(C678="jarabe",VLOOKUP(A678,'Recetas y precios'!$A$5:$G$55,7,FALSE()),1))</f>
        <v>1</v>
      </c>
      <c r="K678" s="15" t="n">
        <f aca="false">G678*I678*J678</f>
        <v>31.2</v>
      </c>
    </row>
    <row r="679" customFormat="false" ht="15" hidden="false" customHeight="false" outlineLevel="0" collapsed="false">
      <c r="A679" s="0" t="n">
        <v>40</v>
      </c>
      <c r="B679" s="22" t="s">
        <v>932</v>
      </c>
      <c r="C679" s="13" t="s">
        <v>400</v>
      </c>
      <c r="D679" s="23" t="s">
        <v>895</v>
      </c>
      <c r="E679" s="23" t="s">
        <v>940</v>
      </c>
      <c r="F679" s="24" t="s">
        <v>290</v>
      </c>
      <c r="G679" s="19" t="n">
        <v>3</v>
      </c>
      <c r="H679" s="13" t="s">
        <v>27</v>
      </c>
      <c r="I679" s="12" t="n">
        <f aca="false">IFERROR(VLOOKUP(F679,Insumos!$C$5:$G$143,5,FALSE()),0)</f>
        <v>0.65</v>
      </c>
      <c r="J679" s="25" t="n">
        <f aca="false">IF(C679="bizcocho",VLOOKUP(A679,'Recetas y precios'!$A$5:$G$55,6,FALSE()),IF(C679="jarabe",VLOOKUP(A679,'Recetas y precios'!$A$5:$G$55,7,FALSE()),1))</f>
        <v>1</v>
      </c>
      <c r="K679" s="15" t="n">
        <f aca="false">G679*I679*J679</f>
        <v>1.95</v>
      </c>
    </row>
    <row r="680" customFormat="false" ht="15" hidden="false" customHeight="false" outlineLevel="0" collapsed="false">
      <c r="A680" s="0" t="n">
        <v>40</v>
      </c>
      <c r="B680" s="22" t="s">
        <v>932</v>
      </c>
      <c r="C680" s="13" t="s">
        <v>400</v>
      </c>
      <c r="D680" s="23" t="s">
        <v>895</v>
      </c>
      <c r="E680" s="23" t="s">
        <v>941</v>
      </c>
      <c r="F680" s="24" t="s">
        <v>105</v>
      </c>
      <c r="G680" s="19" t="n">
        <v>1</v>
      </c>
      <c r="H680" s="13" t="s">
        <v>27</v>
      </c>
      <c r="I680" s="12" t="n">
        <f aca="false">IFERROR(VLOOKUP(F680,Insumos!$C$5:$G$143,5,FALSE()),0)</f>
        <v>0.72</v>
      </c>
      <c r="J680" s="25" t="n">
        <f aca="false">IF(C680="bizcocho",VLOOKUP(A680,'Recetas y precios'!$A$5:$G$55,6,FALSE()),IF(C680="jarabe",VLOOKUP(A680,'Recetas y precios'!$A$5:$G$55,7,FALSE()),1))</f>
        <v>1</v>
      </c>
      <c r="K680" s="15" t="n">
        <f aca="false">G680*I680*J680</f>
        <v>0.72</v>
      </c>
    </row>
    <row r="681" customFormat="false" ht="15" hidden="false" customHeight="false" outlineLevel="0" collapsed="false">
      <c r="A681" s="0" t="n">
        <v>41</v>
      </c>
      <c r="B681" s="22" t="s">
        <v>942</v>
      </c>
      <c r="C681" s="13" t="s">
        <v>387</v>
      </c>
      <c r="D681" s="23" t="s">
        <v>661</v>
      </c>
      <c r="E681" s="23" t="s">
        <v>943</v>
      </c>
      <c r="F681" s="24" t="s">
        <v>116</v>
      </c>
      <c r="G681" s="19" t="n">
        <v>50</v>
      </c>
      <c r="H681" s="13" t="s">
        <v>34</v>
      </c>
      <c r="I681" s="12" t="n">
        <f aca="false">IFERROR(VLOOKUP(F681,Insumos!$C$5:$G$143,5,FALSE()),0)</f>
        <v>0.145</v>
      </c>
      <c r="J681" s="25" t="n">
        <f aca="false">IF(C681="bizcocho",VLOOKUP(A681,'Recetas y precios'!$A$5:$G$55,6,FALSE()),IF(C681="jarabe",VLOOKUP(A681,'Recetas y precios'!$A$5:$G$55,7,FALSE()),1))</f>
        <v>0.778</v>
      </c>
      <c r="K681" s="15" t="n">
        <f aca="false">G681*I681*J681</f>
        <v>5.6405</v>
      </c>
    </row>
    <row r="682" customFormat="false" ht="15" hidden="false" customHeight="false" outlineLevel="0" collapsed="false">
      <c r="A682" s="0" t="n">
        <v>41</v>
      </c>
      <c r="B682" s="22" t="s">
        <v>942</v>
      </c>
      <c r="C682" s="13" t="s">
        <v>387</v>
      </c>
      <c r="D682" s="23" t="s">
        <v>661</v>
      </c>
      <c r="E682" s="23" t="s">
        <v>917</v>
      </c>
      <c r="F682" s="24" t="s">
        <v>113</v>
      </c>
      <c r="G682" s="19" t="n">
        <v>15</v>
      </c>
      <c r="H682" s="13" t="s">
        <v>34</v>
      </c>
      <c r="I682" s="12" t="n">
        <f aca="false">IFERROR(VLOOKUP(F682,Insumos!$C$5:$G$143,5,FALSE()),0)</f>
        <v>0.002</v>
      </c>
      <c r="J682" s="25" t="n">
        <f aca="false">IF(C682="bizcocho",VLOOKUP(A682,'Recetas y precios'!$A$5:$G$55,6,FALSE()),IF(C682="jarabe",VLOOKUP(A682,'Recetas y precios'!$A$5:$G$55,7,FALSE()),1))</f>
        <v>0.778</v>
      </c>
      <c r="K682" s="15" t="n">
        <f aca="false">G682*I682*J682</f>
        <v>0.02334</v>
      </c>
    </row>
    <row r="683" customFormat="false" ht="15" hidden="false" customHeight="false" outlineLevel="0" collapsed="false">
      <c r="A683" s="0" t="n">
        <v>41</v>
      </c>
      <c r="B683" s="22" t="s">
        <v>942</v>
      </c>
      <c r="C683" s="13" t="s">
        <v>387</v>
      </c>
      <c r="D683" s="23" t="s">
        <v>661</v>
      </c>
      <c r="E683" s="23" t="s">
        <v>391</v>
      </c>
      <c r="F683" s="24" t="s">
        <v>72</v>
      </c>
      <c r="G683" s="19" t="n">
        <v>15</v>
      </c>
      <c r="H683" s="13" t="s">
        <v>27</v>
      </c>
      <c r="I683" s="12" t="n">
        <f aca="false">IFERROR(VLOOKUP(F683,Insumos!$C$5:$G$143,5,FALSE()),0)</f>
        <v>0.028</v>
      </c>
      <c r="J683" s="25" t="n">
        <f aca="false">IF(C683="bizcocho",VLOOKUP(A683,'Recetas y precios'!$A$5:$G$55,6,FALSE()),IF(C683="jarabe",VLOOKUP(A683,'Recetas y precios'!$A$5:$G$55,7,FALSE()),1))</f>
        <v>0.778</v>
      </c>
      <c r="K683" s="15" t="n">
        <f aca="false">G683*I683*J683</f>
        <v>0.32676</v>
      </c>
    </row>
    <row r="684" customFormat="false" ht="15" hidden="false" customHeight="false" outlineLevel="0" collapsed="false">
      <c r="A684" s="0" t="n">
        <v>41</v>
      </c>
      <c r="B684" s="22" t="s">
        <v>942</v>
      </c>
      <c r="C684" s="13" t="s">
        <v>387</v>
      </c>
      <c r="D684" s="23" t="s">
        <v>661</v>
      </c>
      <c r="E684" s="23" t="s">
        <v>944</v>
      </c>
      <c r="F684" s="24" t="s">
        <v>315</v>
      </c>
      <c r="G684" s="19" t="n">
        <v>10</v>
      </c>
      <c r="H684" s="13" t="s">
        <v>34</v>
      </c>
      <c r="I684" s="12" t="n">
        <f aca="false">IFERROR(VLOOKUP(F684,Insumos!$C$5:$G$143,5,FALSE()),0)</f>
        <v>0.533333333333333</v>
      </c>
      <c r="J684" s="25" t="n">
        <f aca="false">IF(C684="bizcocho",VLOOKUP(A684,'Recetas y precios'!$A$5:$G$55,6,FALSE()),IF(C684="jarabe",VLOOKUP(A684,'Recetas y precios'!$A$5:$G$55,7,FALSE()),1))</f>
        <v>0.778</v>
      </c>
      <c r="K684" s="15" t="n">
        <f aca="false">G684*I684*J684</f>
        <v>4.14933333333333</v>
      </c>
    </row>
    <row r="685" customFormat="false" ht="15" hidden="false" customHeight="false" outlineLevel="0" collapsed="false">
      <c r="A685" s="0" t="n">
        <v>41</v>
      </c>
      <c r="B685" s="22" t="s">
        <v>942</v>
      </c>
      <c r="C685" s="13" t="s">
        <v>393</v>
      </c>
      <c r="D685" s="23" t="s">
        <v>816</v>
      </c>
      <c r="E685" s="23" t="s">
        <v>419</v>
      </c>
      <c r="F685" s="24" t="s">
        <v>26</v>
      </c>
      <c r="G685" s="19" t="n">
        <v>120</v>
      </c>
      <c r="H685" s="13" t="s">
        <v>27</v>
      </c>
      <c r="I685" s="12" t="n">
        <f aca="false">IFERROR(VLOOKUP(F685,Insumos!$C$5:$G$143,5,FALSE()),0)</f>
        <v>0.38</v>
      </c>
      <c r="J685" s="25" t="n">
        <f aca="false">IF(C685="bizcocho",VLOOKUP(A685,'Recetas y precios'!$A$5:$G$55,6,FALSE()),IF(C685="jarabe",VLOOKUP(A685,'Recetas y precios'!$A$5:$G$55,7,FALSE()),1))</f>
        <v>1</v>
      </c>
      <c r="K685" s="15" t="n">
        <f aca="false">G685*I685*J685</f>
        <v>45.6</v>
      </c>
    </row>
    <row r="686" customFormat="false" ht="15" hidden="false" customHeight="false" outlineLevel="0" collapsed="false">
      <c r="A686" s="0" t="n">
        <v>41</v>
      </c>
      <c r="B686" s="22" t="s">
        <v>942</v>
      </c>
      <c r="C686" s="13" t="s">
        <v>393</v>
      </c>
      <c r="D686" s="23" t="s">
        <v>816</v>
      </c>
      <c r="E686" s="23" t="s">
        <v>420</v>
      </c>
      <c r="F686" s="24" t="s">
        <v>33</v>
      </c>
      <c r="G686" s="19" t="n">
        <v>120</v>
      </c>
      <c r="H686" s="13" t="s">
        <v>34</v>
      </c>
      <c r="I686" s="12" t="n">
        <f aca="false">IFERROR(VLOOKUP(F686,Insumos!$C$5:$G$143,5,FALSE()),0)</f>
        <v>0.078</v>
      </c>
      <c r="J686" s="25" t="n">
        <f aca="false">IF(C686="bizcocho",VLOOKUP(A686,'Recetas y precios'!$A$5:$G$55,6,FALSE()),IF(C686="jarabe",VLOOKUP(A686,'Recetas y precios'!$A$5:$G$55,7,FALSE()),1))</f>
        <v>1</v>
      </c>
      <c r="K686" s="15" t="n">
        <f aca="false">G686*I686*J686</f>
        <v>9.36</v>
      </c>
    </row>
    <row r="687" customFormat="false" ht="15" hidden="false" customHeight="false" outlineLevel="0" collapsed="false">
      <c r="A687" s="0" t="n">
        <v>41</v>
      </c>
      <c r="B687" s="22" t="s">
        <v>942</v>
      </c>
      <c r="C687" s="13" t="s">
        <v>393</v>
      </c>
      <c r="D687" s="23" t="s">
        <v>816</v>
      </c>
      <c r="E687" s="23" t="s">
        <v>506</v>
      </c>
      <c r="F687" s="24" t="s">
        <v>36</v>
      </c>
      <c r="G687" s="19" t="n">
        <v>45</v>
      </c>
      <c r="H687" s="13" t="s">
        <v>27</v>
      </c>
      <c r="I687" s="12" t="n">
        <f aca="false">IFERROR(VLOOKUP(F687,Insumos!$C$5:$G$143,5,FALSE()),0)</f>
        <v>0.085</v>
      </c>
      <c r="J687" s="25" t="n">
        <f aca="false">IF(C687="bizcocho",VLOOKUP(A687,'Recetas y precios'!$A$5:$G$55,6,FALSE()),IF(C687="jarabe",VLOOKUP(A687,'Recetas y precios'!$A$5:$G$55,7,FALSE()),1))</f>
        <v>1</v>
      </c>
      <c r="K687" s="15" t="n">
        <f aca="false">G687*I687*J687</f>
        <v>3.825</v>
      </c>
    </row>
    <row r="688" customFormat="false" ht="15" hidden="false" customHeight="false" outlineLevel="0" collapsed="false">
      <c r="A688" s="0" t="n">
        <v>41</v>
      </c>
      <c r="B688" s="22" t="s">
        <v>942</v>
      </c>
      <c r="C688" s="13" t="s">
        <v>393</v>
      </c>
      <c r="D688" s="23" t="s">
        <v>816</v>
      </c>
      <c r="E688" s="23" t="s">
        <v>456</v>
      </c>
      <c r="F688" s="24" t="s">
        <v>74</v>
      </c>
      <c r="G688" s="19" t="n">
        <v>20</v>
      </c>
      <c r="H688" s="13" t="s">
        <v>27</v>
      </c>
      <c r="I688" s="12" t="n">
        <f aca="false">IFERROR(VLOOKUP(F688,Insumos!$C$5:$G$143,5,FALSE()),0)</f>
        <v>0.045</v>
      </c>
      <c r="J688" s="25" t="n">
        <f aca="false">IF(C688="bizcocho",VLOOKUP(A688,'Recetas y precios'!$A$5:$G$55,6,FALSE()),IF(C688="jarabe",VLOOKUP(A688,'Recetas y precios'!$A$5:$G$55,7,FALSE()),1))</f>
        <v>1</v>
      </c>
      <c r="K688" s="15" t="n">
        <f aca="false">G688*I688*J688</f>
        <v>0.9</v>
      </c>
    </row>
    <row r="689" customFormat="false" ht="15" hidden="false" customHeight="false" outlineLevel="0" collapsed="false">
      <c r="A689" s="0" t="n">
        <v>41</v>
      </c>
      <c r="B689" s="22" t="s">
        <v>942</v>
      </c>
      <c r="C689" s="13" t="s">
        <v>393</v>
      </c>
      <c r="D689" s="23" t="s">
        <v>816</v>
      </c>
      <c r="E689" s="23" t="s">
        <v>945</v>
      </c>
      <c r="F689" s="24" t="s">
        <v>284</v>
      </c>
      <c r="G689" s="19" t="n">
        <v>3</v>
      </c>
      <c r="H689" s="13" t="s">
        <v>34</v>
      </c>
      <c r="I689" s="12" t="n">
        <f aca="false">IFERROR(VLOOKUP(F689,Insumos!$C$5:$G$143,5,FALSE()),0)</f>
        <v>0.45</v>
      </c>
      <c r="J689" s="25" t="n">
        <f aca="false">IF(C689="bizcocho",VLOOKUP(A689,'Recetas y precios'!$A$5:$G$55,6,FALSE()),IF(C689="jarabe",VLOOKUP(A689,'Recetas y precios'!$A$5:$G$55,7,FALSE()),1))</f>
        <v>1</v>
      </c>
      <c r="K689" s="15" t="n">
        <f aca="false">G689*I689*J689</f>
        <v>1.35</v>
      </c>
    </row>
    <row r="690" customFormat="false" ht="15" hidden="false" customHeight="false" outlineLevel="0" collapsed="false">
      <c r="A690" s="0" t="n">
        <v>41</v>
      </c>
      <c r="B690" s="22" t="s">
        <v>942</v>
      </c>
      <c r="C690" s="13" t="s">
        <v>400</v>
      </c>
      <c r="D690" s="23" t="s">
        <v>946</v>
      </c>
      <c r="E690" s="23" t="s">
        <v>947</v>
      </c>
      <c r="F690" s="24" t="s">
        <v>210</v>
      </c>
      <c r="G690" s="19" t="n">
        <v>40</v>
      </c>
      <c r="H690" s="13" t="s">
        <v>27</v>
      </c>
      <c r="I690" s="12" t="n">
        <f aca="false">IFERROR(VLOOKUP(F690,Insumos!$C$5:$G$143,5,FALSE()),0)</f>
        <v>0.32</v>
      </c>
      <c r="J690" s="25" t="n">
        <f aca="false">IF(C690="bizcocho",VLOOKUP(A690,'Recetas y precios'!$A$5:$G$55,6,FALSE()),IF(C690="jarabe",VLOOKUP(A690,'Recetas y precios'!$A$5:$G$55,7,FALSE()),1))</f>
        <v>1</v>
      </c>
      <c r="K690" s="15" t="n">
        <f aca="false">G690*I690*J690</f>
        <v>12.8</v>
      </c>
    </row>
    <row r="691" customFormat="false" ht="15" hidden="false" customHeight="false" outlineLevel="0" collapsed="false">
      <c r="A691" s="0" t="n">
        <v>41</v>
      </c>
      <c r="B691" s="22" t="s">
        <v>942</v>
      </c>
      <c r="C691" s="13" t="s">
        <v>400</v>
      </c>
      <c r="D691" s="23" t="s">
        <v>946</v>
      </c>
      <c r="E691" s="23" t="s">
        <v>948</v>
      </c>
      <c r="F691" s="24" t="s">
        <v>111</v>
      </c>
      <c r="G691" s="19" t="n">
        <v>10</v>
      </c>
      <c r="H691" s="13" t="s">
        <v>34</v>
      </c>
      <c r="I691" s="12" t="n">
        <f aca="false">IFERROR(VLOOKUP(F691,Insumos!$C$5:$G$143,5,FALSE()),0)</f>
        <v>0.18</v>
      </c>
      <c r="J691" s="25" t="n">
        <f aca="false">IF(C691="bizcocho",VLOOKUP(A691,'Recetas y precios'!$A$5:$G$55,6,FALSE()),IF(C691="jarabe",VLOOKUP(A691,'Recetas y precios'!$A$5:$G$55,7,FALSE()),1))</f>
        <v>1</v>
      </c>
      <c r="K691" s="15" t="n">
        <f aca="false">G691*I691*J691</f>
        <v>1.8</v>
      </c>
    </row>
    <row r="692" customFormat="false" ht="15" hidden="false" customHeight="false" outlineLevel="0" collapsed="false">
      <c r="A692" s="0" t="n">
        <v>42</v>
      </c>
      <c r="B692" s="22" t="s">
        <v>949</v>
      </c>
      <c r="C692" s="13" t="s">
        <v>387</v>
      </c>
      <c r="D692" s="23" t="s">
        <v>661</v>
      </c>
      <c r="E692" s="23" t="s">
        <v>950</v>
      </c>
      <c r="F692" s="24" t="s">
        <v>116</v>
      </c>
      <c r="G692" s="19" t="n">
        <v>45</v>
      </c>
      <c r="H692" s="13" t="s">
        <v>34</v>
      </c>
      <c r="I692" s="12" t="n">
        <f aca="false">IFERROR(VLOOKUP(F692,Insumos!$C$5:$G$143,5,FALSE()),0)</f>
        <v>0.145</v>
      </c>
      <c r="J692" s="25" t="n">
        <f aca="false">IF(C692="bizcocho",VLOOKUP(A692,'Recetas y precios'!$A$5:$G$55,6,FALSE()),IF(C692="jarabe",VLOOKUP(A692,'Recetas y precios'!$A$5:$G$55,7,FALSE()),1))</f>
        <v>0.824</v>
      </c>
      <c r="K692" s="15" t="n">
        <f aca="false">G692*I692*J692</f>
        <v>5.3766</v>
      </c>
    </row>
    <row r="693" customFormat="false" ht="15" hidden="false" customHeight="false" outlineLevel="0" collapsed="false">
      <c r="A693" s="0" t="n">
        <v>42</v>
      </c>
      <c r="B693" s="22" t="s">
        <v>949</v>
      </c>
      <c r="C693" s="13" t="s">
        <v>387</v>
      </c>
      <c r="D693" s="23" t="s">
        <v>661</v>
      </c>
      <c r="E693" s="23" t="s">
        <v>390</v>
      </c>
      <c r="F693" s="24" t="s">
        <v>113</v>
      </c>
      <c r="G693" s="19" t="n">
        <v>20</v>
      </c>
      <c r="H693" s="13" t="s">
        <v>34</v>
      </c>
      <c r="I693" s="12" t="n">
        <f aca="false">IFERROR(VLOOKUP(F693,Insumos!$C$5:$G$143,5,FALSE()),0)</f>
        <v>0.002</v>
      </c>
      <c r="J693" s="25" t="n">
        <f aca="false">IF(C693="bizcocho",VLOOKUP(A693,'Recetas y precios'!$A$5:$G$55,6,FALSE()),IF(C693="jarabe",VLOOKUP(A693,'Recetas y precios'!$A$5:$G$55,7,FALSE()),1))</f>
        <v>0.824</v>
      </c>
      <c r="K693" s="15" t="n">
        <f aca="false">G693*I693*J693</f>
        <v>0.03296</v>
      </c>
    </row>
    <row r="694" customFormat="false" ht="15" hidden="false" customHeight="false" outlineLevel="0" collapsed="false">
      <c r="A694" s="0" t="n">
        <v>42</v>
      </c>
      <c r="B694" s="22" t="s">
        <v>949</v>
      </c>
      <c r="C694" s="13" t="s">
        <v>387</v>
      </c>
      <c r="D694" s="23" t="s">
        <v>661</v>
      </c>
      <c r="E694" s="23" t="s">
        <v>951</v>
      </c>
      <c r="F694" s="24" t="s">
        <v>90</v>
      </c>
      <c r="G694" s="19" t="n">
        <v>15</v>
      </c>
      <c r="H694" s="13" t="s">
        <v>27</v>
      </c>
      <c r="I694" s="12" t="n">
        <f aca="false">IFERROR(VLOOKUP(F694,Insumos!$C$5:$G$143,5,FALSE()),0)</f>
        <v>0.15</v>
      </c>
      <c r="J694" s="25" t="n">
        <f aca="false">IF(C694="bizcocho",VLOOKUP(A694,'Recetas y precios'!$A$5:$G$55,6,FALSE()),IF(C694="jarabe",VLOOKUP(A694,'Recetas y precios'!$A$5:$G$55,7,FALSE()),1))</f>
        <v>0.824</v>
      </c>
      <c r="K694" s="15" t="n">
        <f aca="false">G694*I694*J694</f>
        <v>1.854</v>
      </c>
    </row>
    <row r="695" customFormat="false" ht="15" hidden="false" customHeight="false" outlineLevel="0" collapsed="false">
      <c r="A695" s="0" t="n">
        <v>42</v>
      </c>
      <c r="B695" s="22" t="s">
        <v>949</v>
      </c>
      <c r="C695" s="13" t="s">
        <v>387</v>
      </c>
      <c r="D695" s="23" t="s">
        <v>661</v>
      </c>
      <c r="E695" s="23" t="s">
        <v>952</v>
      </c>
      <c r="F695" s="24" t="s">
        <v>295</v>
      </c>
      <c r="G695" s="19" t="n">
        <v>5</v>
      </c>
      <c r="H695" s="13" t="s">
        <v>34</v>
      </c>
      <c r="I695" s="12" t="n">
        <f aca="false">IFERROR(VLOOKUP(F695,Insumos!$C$5:$G$143,5,FALSE()),0)</f>
        <v>0.426666666666667</v>
      </c>
      <c r="J695" s="25" t="n">
        <f aca="false">IF(C695="bizcocho",VLOOKUP(A695,'Recetas y precios'!$A$5:$G$55,6,FALSE()),IF(C695="jarabe",VLOOKUP(A695,'Recetas y precios'!$A$5:$G$55,7,FALSE()),1))</f>
        <v>0.824</v>
      </c>
      <c r="K695" s="15" t="n">
        <f aca="false">G695*I695*J695</f>
        <v>1.75786666666667</v>
      </c>
    </row>
    <row r="696" customFormat="false" ht="15" hidden="false" customHeight="false" outlineLevel="0" collapsed="false">
      <c r="A696" s="0" t="n">
        <v>42</v>
      </c>
      <c r="B696" s="22" t="s">
        <v>949</v>
      </c>
      <c r="C696" s="13" t="s">
        <v>393</v>
      </c>
      <c r="D696" s="23" t="s">
        <v>953</v>
      </c>
      <c r="E696" s="23" t="s">
        <v>737</v>
      </c>
      <c r="F696" s="24" t="s">
        <v>26</v>
      </c>
      <c r="G696" s="19" t="n">
        <v>170</v>
      </c>
      <c r="H696" s="13" t="s">
        <v>27</v>
      </c>
      <c r="I696" s="12" t="n">
        <f aca="false">IFERROR(VLOOKUP(F696,Insumos!$C$5:$G$143,5,FALSE()),0)</f>
        <v>0.38</v>
      </c>
      <c r="J696" s="25" t="n">
        <f aca="false">IF(C696="bizcocho",VLOOKUP(A696,'Recetas y precios'!$A$5:$G$55,6,FALSE()),IF(C696="jarabe",VLOOKUP(A696,'Recetas y precios'!$A$5:$G$55,7,FALSE()),1))</f>
        <v>1</v>
      </c>
      <c r="K696" s="15" t="n">
        <f aca="false">G696*I696*J696</f>
        <v>64.6</v>
      </c>
    </row>
    <row r="697" customFormat="false" ht="15" hidden="false" customHeight="false" outlineLevel="0" collapsed="false">
      <c r="A697" s="0" t="n">
        <v>42</v>
      </c>
      <c r="B697" s="22" t="s">
        <v>949</v>
      </c>
      <c r="C697" s="13" t="s">
        <v>393</v>
      </c>
      <c r="D697" s="23" t="s">
        <v>953</v>
      </c>
      <c r="E697" s="23" t="s">
        <v>831</v>
      </c>
      <c r="F697" s="24" t="s">
        <v>33</v>
      </c>
      <c r="G697" s="19" t="n">
        <v>170</v>
      </c>
      <c r="H697" s="13" t="s">
        <v>34</v>
      </c>
      <c r="I697" s="12" t="n">
        <f aca="false">IFERROR(VLOOKUP(F697,Insumos!$C$5:$G$143,5,FALSE()),0)</f>
        <v>0.078</v>
      </c>
      <c r="J697" s="25" t="n">
        <f aca="false">IF(C697="bizcocho",VLOOKUP(A697,'Recetas y precios'!$A$5:$G$55,6,FALSE()),IF(C697="jarabe",VLOOKUP(A697,'Recetas y precios'!$A$5:$G$55,7,FALSE()),1))</f>
        <v>1</v>
      </c>
      <c r="K697" s="15" t="n">
        <f aca="false">G697*I697*J697</f>
        <v>13.26</v>
      </c>
    </row>
    <row r="698" customFormat="false" ht="15" hidden="false" customHeight="false" outlineLevel="0" collapsed="false">
      <c r="A698" s="0" t="n">
        <v>42</v>
      </c>
      <c r="B698" s="22" t="s">
        <v>949</v>
      </c>
      <c r="C698" s="13" t="s">
        <v>393</v>
      </c>
      <c r="D698" s="23" t="s">
        <v>953</v>
      </c>
      <c r="E698" s="23" t="s">
        <v>954</v>
      </c>
      <c r="F698" s="24" t="s">
        <v>233</v>
      </c>
      <c r="G698" s="19" t="n">
        <v>50</v>
      </c>
      <c r="H698" s="13" t="s">
        <v>27</v>
      </c>
      <c r="I698" s="12" t="n">
        <f aca="false">IFERROR(VLOOKUP(F698,Insumos!$C$5:$G$143,5,FALSE()),0)</f>
        <v>0.38</v>
      </c>
      <c r="J698" s="25" t="n">
        <f aca="false">IF(C698="bizcocho",VLOOKUP(A698,'Recetas y precios'!$A$5:$G$55,6,FALSE()),IF(C698="jarabe",VLOOKUP(A698,'Recetas y precios'!$A$5:$G$55,7,FALSE()),1))</f>
        <v>1</v>
      </c>
      <c r="K698" s="15" t="n">
        <f aca="false">G698*I698*J698</f>
        <v>19</v>
      </c>
    </row>
    <row r="699" customFormat="false" ht="15" hidden="false" customHeight="false" outlineLevel="0" collapsed="false">
      <c r="A699" s="0" t="n">
        <v>42</v>
      </c>
      <c r="B699" s="22" t="s">
        <v>949</v>
      </c>
      <c r="C699" s="13" t="s">
        <v>393</v>
      </c>
      <c r="D699" s="23" t="s">
        <v>953</v>
      </c>
      <c r="E699" s="23" t="s">
        <v>455</v>
      </c>
      <c r="F699" s="24" t="s">
        <v>36</v>
      </c>
      <c r="G699" s="19" t="n">
        <v>40</v>
      </c>
      <c r="H699" s="13" t="s">
        <v>27</v>
      </c>
      <c r="I699" s="12" t="n">
        <f aca="false">IFERROR(VLOOKUP(F699,Insumos!$C$5:$G$143,5,FALSE()),0)</f>
        <v>0.085</v>
      </c>
      <c r="J699" s="25" t="n">
        <f aca="false">IF(C699="bizcocho",VLOOKUP(A699,'Recetas y precios'!$A$5:$G$55,6,FALSE()),IF(C699="jarabe",VLOOKUP(A699,'Recetas y precios'!$A$5:$G$55,7,FALSE()),1))</f>
        <v>1</v>
      </c>
      <c r="K699" s="15" t="n">
        <f aca="false">G699*I699*J699</f>
        <v>3.4</v>
      </c>
    </row>
    <row r="700" customFormat="false" ht="15" hidden="false" customHeight="false" outlineLevel="0" collapsed="false">
      <c r="A700" s="0" t="n">
        <v>42</v>
      </c>
      <c r="B700" s="22" t="s">
        <v>949</v>
      </c>
      <c r="C700" s="13" t="s">
        <v>393</v>
      </c>
      <c r="D700" s="23" t="s">
        <v>953</v>
      </c>
      <c r="E700" s="23" t="s">
        <v>567</v>
      </c>
      <c r="F700" s="24" t="s">
        <v>74</v>
      </c>
      <c r="G700" s="19" t="n">
        <v>15</v>
      </c>
      <c r="H700" s="13" t="s">
        <v>27</v>
      </c>
      <c r="I700" s="12" t="n">
        <f aca="false">IFERROR(VLOOKUP(F700,Insumos!$C$5:$G$143,5,FALSE()),0)</f>
        <v>0.045</v>
      </c>
      <c r="J700" s="25" t="n">
        <f aca="false">IF(C700="bizcocho",VLOOKUP(A700,'Recetas y precios'!$A$5:$G$55,6,FALSE()),IF(C700="jarabe",VLOOKUP(A700,'Recetas y precios'!$A$5:$G$55,7,FALSE()),1))</f>
        <v>1</v>
      </c>
      <c r="K700" s="15" t="n">
        <f aca="false">G700*I700*J700</f>
        <v>0.675</v>
      </c>
    </row>
    <row r="701" customFormat="false" ht="15" hidden="false" customHeight="false" outlineLevel="0" collapsed="false">
      <c r="A701" s="0" t="n">
        <v>42</v>
      </c>
      <c r="B701" s="22" t="s">
        <v>949</v>
      </c>
      <c r="C701" s="13" t="s">
        <v>400</v>
      </c>
      <c r="D701" s="23" t="s">
        <v>723</v>
      </c>
      <c r="E701" s="23" t="s">
        <v>955</v>
      </c>
      <c r="F701" s="24" t="s">
        <v>233</v>
      </c>
      <c r="G701" s="19" t="n">
        <v>60</v>
      </c>
      <c r="H701" s="13" t="s">
        <v>27</v>
      </c>
      <c r="I701" s="12" t="n">
        <f aca="false">IFERROR(VLOOKUP(F701,Insumos!$C$5:$G$143,5,FALSE()),0)</f>
        <v>0.38</v>
      </c>
      <c r="J701" s="25" t="n">
        <f aca="false">IF(C701="bizcocho",VLOOKUP(A701,'Recetas y precios'!$A$5:$G$55,6,FALSE()),IF(C701="jarabe",VLOOKUP(A701,'Recetas y precios'!$A$5:$G$55,7,FALSE()),1))</f>
        <v>1</v>
      </c>
      <c r="K701" s="15" t="n">
        <f aca="false">G701*I701*J701</f>
        <v>22.8</v>
      </c>
    </row>
    <row r="702" customFormat="false" ht="15" hidden="false" customHeight="false" outlineLevel="0" collapsed="false">
      <c r="A702" s="0" t="n">
        <v>42</v>
      </c>
      <c r="B702" s="22" t="s">
        <v>949</v>
      </c>
      <c r="C702" s="13" t="s">
        <v>400</v>
      </c>
      <c r="D702" s="23" t="s">
        <v>723</v>
      </c>
      <c r="E702" s="23" t="s">
        <v>956</v>
      </c>
      <c r="F702" s="24" t="s">
        <v>231</v>
      </c>
      <c r="G702" s="19" t="n">
        <v>30</v>
      </c>
      <c r="H702" s="13" t="s">
        <v>27</v>
      </c>
      <c r="I702" s="12" t="n">
        <f aca="false">IFERROR(VLOOKUP(F702,Insumos!$C$5:$G$143,5,FALSE()),0)</f>
        <v>0.38</v>
      </c>
      <c r="J702" s="25" t="n">
        <f aca="false">IF(C702="bizcocho",VLOOKUP(A702,'Recetas y precios'!$A$5:$G$55,6,FALSE()),IF(C702="jarabe",VLOOKUP(A702,'Recetas y precios'!$A$5:$G$55,7,FALSE()),1))</f>
        <v>1</v>
      </c>
      <c r="K702" s="15" t="n">
        <f aca="false">G702*I702*J702</f>
        <v>11.4</v>
      </c>
    </row>
    <row r="703" customFormat="false" ht="15" hidden="false" customHeight="false" outlineLevel="0" collapsed="false">
      <c r="A703" s="0" t="n">
        <v>42</v>
      </c>
      <c r="B703" s="22" t="s">
        <v>949</v>
      </c>
      <c r="C703" s="13" t="s">
        <v>400</v>
      </c>
      <c r="D703" s="23" t="s">
        <v>723</v>
      </c>
      <c r="E703" s="23" t="s">
        <v>957</v>
      </c>
      <c r="F703" s="24" t="s">
        <v>231</v>
      </c>
      <c r="G703" s="19" t="n">
        <v>2</v>
      </c>
      <c r="H703" s="13" t="s">
        <v>27</v>
      </c>
      <c r="I703" s="12" t="n">
        <f aca="false">IFERROR(VLOOKUP(F703,Insumos!$C$5:$G$143,5,FALSE()),0)</f>
        <v>0.38</v>
      </c>
      <c r="J703" s="25" t="n">
        <f aca="false">IF(C703="bizcocho",VLOOKUP(A703,'Recetas y precios'!$A$5:$G$55,6,FALSE()),IF(C703="jarabe",VLOOKUP(A703,'Recetas y precios'!$A$5:$G$55,7,FALSE()),1))</f>
        <v>1</v>
      </c>
      <c r="K703" s="15" t="n">
        <f aca="false">G703*I703*J703</f>
        <v>0.76</v>
      </c>
    </row>
    <row r="704" customFormat="false" ht="15" hidden="false" customHeight="false" outlineLevel="0" collapsed="false">
      <c r="A704" s="0" t="n">
        <v>43</v>
      </c>
      <c r="B704" s="22" t="s">
        <v>958</v>
      </c>
      <c r="C704" s="13" t="s">
        <v>387</v>
      </c>
      <c r="D704" s="23" t="s">
        <v>661</v>
      </c>
      <c r="E704" s="23" t="s">
        <v>959</v>
      </c>
      <c r="F704" s="24" t="s">
        <v>116</v>
      </c>
      <c r="G704" s="19" t="n">
        <v>45</v>
      </c>
      <c r="H704" s="13" t="s">
        <v>34</v>
      </c>
      <c r="I704" s="12" t="n">
        <f aca="false">IFERROR(VLOOKUP(F704,Insumos!$C$5:$G$143,5,FALSE()),0)</f>
        <v>0.145</v>
      </c>
      <c r="J704" s="25" t="n">
        <f aca="false">IF(C704="bizcocho",VLOOKUP(A704,'Recetas y precios'!$A$5:$G$55,6,FALSE()),IF(C704="jarabe",VLOOKUP(A704,'Recetas y precios'!$A$5:$G$55,7,FALSE()),1))</f>
        <v>0.824</v>
      </c>
      <c r="K704" s="15" t="n">
        <f aca="false">G704*I704*J704</f>
        <v>5.3766</v>
      </c>
    </row>
    <row r="705" customFormat="false" ht="15" hidden="false" customHeight="false" outlineLevel="0" collapsed="false">
      <c r="A705" s="0" t="n">
        <v>43</v>
      </c>
      <c r="B705" s="22" t="s">
        <v>958</v>
      </c>
      <c r="C705" s="13" t="s">
        <v>387</v>
      </c>
      <c r="D705" s="23" t="s">
        <v>661</v>
      </c>
      <c r="E705" s="23" t="s">
        <v>800</v>
      </c>
      <c r="F705" s="24" t="s">
        <v>40</v>
      </c>
      <c r="G705" s="19" t="n">
        <v>20</v>
      </c>
      <c r="H705" s="13" t="s">
        <v>34</v>
      </c>
      <c r="I705" s="12" t="n">
        <f aca="false">IFERROR(VLOOKUP(F705,Insumos!$C$5:$G$143,5,FALSE()),0)</f>
        <v>0.028</v>
      </c>
      <c r="J705" s="25" t="n">
        <f aca="false">IF(C705="bizcocho",VLOOKUP(A705,'Recetas y precios'!$A$5:$G$55,6,FALSE()),IF(C705="jarabe",VLOOKUP(A705,'Recetas y precios'!$A$5:$G$55,7,FALSE()),1))</f>
        <v>0.824</v>
      </c>
      <c r="K705" s="15" t="n">
        <f aca="false">G705*I705*J705</f>
        <v>0.46144</v>
      </c>
    </row>
    <row r="706" customFormat="false" ht="15" hidden="false" customHeight="false" outlineLevel="0" collapsed="false">
      <c r="A706" s="0" t="n">
        <v>43</v>
      </c>
      <c r="B706" s="22" t="s">
        <v>958</v>
      </c>
      <c r="C706" s="13" t="s">
        <v>387</v>
      </c>
      <c r="D706" s="23" t="s">
        <v>661</v>
      </c>
      <c r="E706" s="23" t="s">
        <v>960</v>
      </c>
      <c r="F706" s="24" t="s">
        <v>44</v>
      </c>
      <c r="G706" s="19" t="n">
        <v>10</v>
      </c>
      <c r="H706" s="13" t="s">
        <v>27</v>
      </c>
      <c r="I706" s="12" t="n">
        <f aca="false">IFERROR(VLOOKUP(F706,Insumos!$C$5:$G$143,5,FALSE()),0)</f>
        <v>0.26</v>
      </c>
      <c r="J706" s="25" t="n">
        <f aca="false">IF(C706="bizcocho",VLOOKUP(A706,'Recetas y precios'!$A$5:$G$55,6,FALSE()),IF(C706="jarabe",VLOOKUP(A706,'Recetas y precios'!$A$5:$G$55,7,FALSE()),1))</f>
        <v>0.824</v>
      </c>
      <c r="K706" s="15" t="n">
        <f aca="false">G706*I706*J706</f>
        <v>2.1424</v>
      </c>
    </row>
    <row r="707" customFormat="false" ht="15" hidden="false" customHeight="false" outlineLevel="0" collapsed="false">
      <c r="A707" s="0" t="n">
        <v>43</v>
      </c>
      <c r="B707" s="22" t="s">
        <v>958</v>
      </c>
      <c r="C707" s="13" t="s">
        <v>387</v>
      </c>
      <c r="D707" s="23" t="s">
        <v>661</v>
      </c>
      <c r="E707" s="23" t="s">
        <v>776</v>
      </c>
      <c r="F707" s="24" t="s">
        <v>72</v>
      </c>
      <c r="G707" s="19" t="n">
        <v>10</v>
      </c>
      <c r="H707" s="13" t="s">
        <v>27</v>
      </c>
      <c r="I707" s="12" t="n">
        <f aca="false">IFERROR(VLOOKUP(F707,Insumos!$C$5:$G$143,5,FALSE()),0)</f>
        <v>0.028</v>
      </c>
      <c r="J707" s="25" t="n">
        <f aca="false">IF(C707="bizcocho",VLOOKUP(A707,'Recetas y precios'!$A$5:$G$55,6,FALSE()),IF(C707="jarabe",VLOOKUP(A707,'Recetas y precios'!$A$5:$G$55,7,FALSE()),1))</f>
        <v>0.824</v>
      </c>
      <c r="K707" s="15" t="n">
        <f aca="false">G707*I707*J707</f>
        <v>0.23072</v>
      </c>
    </row>
    <row r="708" customFormat="false" ht="15" hidden="false" customHeight="false" outlineLevel="0" collapsed="false">
      <c r="A708" s="0" t="n">
        <v>43</v>
      </c>
      <c r="B708" s="22" t="s">
        <v>958</v>
      </c>
      <c r="C708" s="13" t="s">
        <v>393</v>
      </c>
      <c r="D708" s="23" t="s">
        <v>961</v>
      </c>
      <c r="E708" s="23" t="s">
        <v>503</v>
      </c>
      <c r="F708" s="24" t="s">
        <v>26</v>
      </c>
      <c r="G708" s="19" t="n">
        <v>180</v>
      </c>
      <c r="H708" s="13" t="s">
        <v>27</v>
      </c>
      <c r="I708" s="12" t="n">
        <f aca="false">IFERROR(VLOOKUP(F708,Insumos!$C$5:$G$143,5,FALSE()),0)</f>
        <v>0.38</v>
      </c>
      <c r="J708" s="25" t="n">
        <f aca="false">IF(C708="bizcocho",VLOOKUP(A708,'Recetas y precios'!$A$5:$G$55,6,FALSE()),IF(C708="jarabe",VLOOKUP(A708,'Recetas y precios'!$A$5:$G$55,7,FALSE()),1))</f>
        <v>1</v>
      </c>
      <c r="K708" s="15" t="n">
        <f aca="false">G708*I708*J708</f>
        <v>68.4</v>
      </c>
    </row>
    <row r="709" customFormat="false" ht="15" hidden="false" customHeight="false" outlineLevel="0" collapsed="false">
      <c r="A709" s="0" t="n">
        <v>43</v>
      </c>
      <c r="B709" s="22" t="s">
        <v>958</v>
      </c>
      <c r="C709" s="13" t="s">
        <v>393</v>
      </c>
      <c r="D709" s="23" t="s">
        <v>961</v>
      </c>
      <c r="E709" s="23" t="s">
        <v>504</v>
      </c>
      <c r="F709" s="24" t="s">
        <v>33</v>
      </c>
      <c r="G709" s="19" t="n">
        <v>180</v>
      </c>
      <c r="H709" s="13" t="s">
        <v>34</v>
      </c>
      <c r="I709" s="12" t="n">
        <f aca="false">IFERROR(VLOOKUP(F709,Insumos!$C$5:$G$143,5,FALSE()),0)</f>
        <v>0.078</v>
      </c>
      <c r="J709" s="25" t="n">
        <f aca="false">IF(C709="bizcocho",VLOOKUP(A709,'Recetas y precios'!$A$5:$G$55,6,FALSE()),IF(C709="jarabe",VLOOKUP(A709,'Recetas y precios'!$A$5:$G$55,7,FALSE()),1))</f>
        <v>1</v>
      </c>
      <c r="K709" s="15" t="n">
        <f aca="false">G709*I709*J709</f>
        <v>14.04</v>
      </c>
    </row>
    <row r="710" customFormat="false" ht="15" hidden="false" customHeight="false" outlineLevel="0" collapsed="false">
      <c r="A710" s="0" t="n">
        <v>43</v>
      </c>
      <c r="B710" s="22" t="s">
        <v>958</v>
      </c>
      <c r="C710" s="13" t="s">
        <v>393</v>
      </c>
      <c r="D710" s="23" t="s">
        <v>961</v>
      </c>
      <c r="E710" s="23" t="s">
        <v>962</v>
      </c>
      <c r="F710" s="24" t="s">
        <v>44</v>
      </c>
      <c r="G710" s="19" t="n">
        <v>15</v>
      </c>
      <c r="H710" s="13" t="s">
        <v>27</v>
      </c>
      <c r="I710" s="12" t="n">
        <f aca="false">IFERROR(VLOOKUP(F710,Insumos!$C$5:$G$143,5,FALSE()),0)</f>
        <v>0.26</v>
      </c>
      <c r="J710" s="25" t="n">
        <f aca="false">IF(C710="bizcocho",VLOOKUP(A710,'Recetas y precios'!$A$5:$G$55,6,FALSE()),IF(C710="jarabe",VLOOKUP(A710,'Recetas y precios'!$A$5:$G$55,7,FALSE()),1))</f>
        <v>1</v>
      </c>
      <c r="K710" s="15" t="n">
        <f aca="false">G710*I710*J710</f>
        <v>3.9</v>
      </c>
    </row>
    <row r="711" customFormat="false" ht="15" hidden="false" customHeight="false" outlineLevel="0" collapsed="false">
      <c r="A711" s="0" t="n">
        <v>43</v>
      </c>
      <c r="B711" s="22" t="s">
        <v>958</v>
      </c>
      <c r="C711" s="13" t="s">
        <v>393</v>
      </c>
      <c r="D711" s="23" t="s">
        <v>961</v>
      </c>
      <c r="E711" s="23" t="s">
        <v>444</v>
      </c>
      <c r="F711" s="24" t="s">
        <v>36</v>
      </c>
      <c r="G711" s="19" t="n">
        <v>50</v>
      </c>
      <c r="H711" s="13" t="s">
        <v>27</v>
      </c>
      <c r="I711" s="12" t="n">
        <f aca="false">IFERROR(VLOOKUP(F711,Insumos!$C$5:$G$143,5,FALSE()),0)</f>
        <v>0.085</v>
      </c>
      <c r="J711" s="25" t="n">
        <f aca="false">IF(C711="bizcocho",VLOOKUP(A711,'Recetas y precios'!$A$5:$G$55,6,FALSE()),IF(C711="jarabe",VLOOKUP(A711,'Recetas y precios'!$A$5:$G$55,7,FALSE()),1))</f>
        <v>1</v>
      </c>
      <c r="K711" s="15" t="n">
        <f aca="false">G711*I711*J711</f>
        <v>4.25</v>
      </c>
    </row>
    <row r="712" customFormat="false" ht="15" hidden="false" customHeight="false" outlineLevel="0" collapsed="false">
      <c r="A712" s="0" t="n">
        <v>43</v>
      </c>
      <c r="B712" s="22" t="s">
        <v>958</v>
      </c>
      <c r="C712" s="13" t="s">
        <v>393</v>
      </c>
      <c r="D712" s="23" t="s">
        <v>961</v>
      </c>
      <c r="E712" s="23" t="s">
        <v>456</v>
      </c>
      <c r="F712" s="24" t="s">
        <v>74</v>
      </c>
      <c r="G712" s="19" t="n">
        <v>20</v>
      </c>
      <c r="H712" s="13" t="s">
        <v>27</v>
      </c>
      <c r="I712" s="12" t="n">
        <f aca="false">IFERROR(VLOOKUP(F712,Insumos!$C$5:$G$143,5,FALSE()),0)</f>
        <v>0.045</v>
      </c>
      <c r="J712" s="25" t="n">
        <f aca="false">IF(C712="bizcocho",VLOOKUP(A712,'Recetas y precios'!$A$5:$G$55,6,FALSE()),IF(C712="jarabe",VLOOKUP(A712,'Recetas y precios'!$A$5:$G$55,7,FALSE()),1))</f>
        <v>1</v>
      </c>
      <c r="K712" s="15" t="n">
        <f aca="false">G712*I712*J712</f>
        <v>0.9</v>
      </c>
    </row>
    <row r="713" customFormat="false" ht="15" hidden="false" customHeight="false" outlineLevel="0" collapsed="false">
      <c r="A713" s="0" t="n">
        <v>43</v>
      </c>
      <c r="B713" s="22" t="s">
        <v>958</v>
      </c>
      <c r="C713" s="13" t="s">
        <v>393</v>
      </c>
      <c r="D713" s="23" t="s">
        <v>961</v>
      </c>
      <c r="E713" s="23" t="s">
        <v>423</v>
      </c>
      <c r="F713" s="24" t="s">
        <v>284</v>
      </c>
      <c r="G713" s="19" t="n">
        <v>2</v>
      </c>
      <c r="H713" s="13" t="s">
        <v>34</v>
      </c>
      <c r="I713" s="12" t="n">
        <f aca="false">IFERROR(VLOOKUP(F713,Insumos!$C$5:$G$143,5,FALSE()),0)</f>
        <v>0.45</v>
      </c>
      <c r="J713" s="25" t="n">
        <f aca="false">IF(C713="bizcocho",VLOOKUP(A713,'Recetas y precios'!$A$5:$G$55,6,FALSE()),IF(C713="jarabe",VLOOKUP(A713,'Recetas y precios'!$A$5:$G$55,7,FALSE()),1))</f>
        <v>1</v>
      </c>
      <c r="K713" s="15" t="n">
        <f aca="false">G713*I713*J713</f>
        <v>0.9</v>
      </c>
    </row>
    <row r="714" customFormat="false" ht="15" hidden="false" customHeight="false" outlineLevel="0" collapsed="false">
      <c r="A714" s="0" t="n">
        <v>43</v>
      </c>
      <c r="B714" s="22" t="s">
        <v>958</v>
      </c>
      <c r="C714" s="13" t="s">
        <v>400</v>
      </c>
      <c r="D714" s="23" t="s">
        <v>963</v>
      </c>
      <c r="E714" s="23" t="s">
        <v>964</v>
      </c>
      <c r="F714" s="24" t="s">
        <v>210</v>
      </c>
      <c r="G714" s="19" t="n">
        <v>35</v>
      </c>
      <c r="H714" s="13" t="s">
        <v>27</v>
      </c>
      <c r="I714" s="12" t="n">
        <f aca="false">IFERROR(VLOOKUP(F714,Insumos!$C$5:$G$143,5,FALSE()),0)</f>
        <v>0.32</v>
      </c>
      <c r="J714" s="25" t="n">
        <f aca="false">IF(C714="bizcocho",VLOOKUP(A714,'Recetas y precios'!$A$5:$G$55,6,FALSE()),IF(C714="jarabe",VLOOKUP(A714,'Recetas y precios'!$A$5:$G$55,7,FALSE()),1))</f>
        <v>1</v>
      </c>
      <c r="K714" s="15" t="n">
        <f aca="false">G714*I714*J714</f>
        <v>11.2</v>
      </c>
    </row>
    <row r="715" customFormat="false" ht="15" hidden="false" customHeight="false" outlineLevel="0" collapsed="false">
      <c r="A715" s="0" t="n">
        <v>43</v>
      </c>
      <c r="B715" s="22" t="s">
        <v>958</v>
      </c>
      <c r="C715" s="13" t="s">
        <v>400</v>
      </c>
      <c r="D715" s="23" t="s">
        <v>963</v>
      </c>
      <c r="E715" s="23" t="s">
        <v>965</v>
      </c>
      <c r="F715" s="24" t="s">
        <v>33</v>
      </c>
      <c r="G715" s="19" t="n">
        <v>35</v>
      </c>
      <c r="H715" s="13" t="s">
        <v>34</v>
      </c>
      <c r="I715" s="12" t="n">
        <f aca="false">IFERROR(VLOOKUP(F715,Insumos!$C$5:$G$143,5,FALSE()),0)</f>
        <v>0.078</v>
      </c>
      <c r="J715" s="25" t="n">
        <f aca="false">IF(C715="bizcocho",VLOOKUP(A715,'Recetas y precios'!$A$5:$G$55,6,FALSE()),IF(C715="jarabe",VLOOKUP(A715,'Recetas y precios'!$A$5:$G$55,7,FALSE()),1))</f>
        <v>1</v>
      </c>
      <c r="K715" s="15" t="n">
        <f aca="false">G715*I715*J715</f>
        <v>2.73</v>
      </c>
    </row>
    <row r="716" customFormat="false" ht="15" hidden="false" customHeight="false" outlineLevel="0" collapsed="false">
      <c r="A716" s="0" t="n">
        <v>43</v>
      </c>
      <c r="B716" s="22" t="s">
        <v>958</v>
      </c>
      <c r="C716" s="13" t="s">
        <v>400</v>
      </c>
      <c r="D716" s="23" t="s">
        <v>963</v>
      </c>
      <c r="E716" s="23" t="s">
        <v>966</v>
      </c>
      <c r="F716" s="24" t="s">
        <v>235</v>
      </c>
      <c r="G716" s="19" t="n">
        <v>25</v>
      </c>
      <c r="H716" s="13" t="s">
        <v>27</v>
      </c>
      <c r="I716" s="12" t="n">
        <f aca="false">IFERROR(VLOOKUP(F716,Insumos!$C$5:$G$143,5,FALSE()),0)</f>
        <v>0.22</v>
      </c>
      <c r="J716" s="25" t="n">
        <f aca="false">IF(C716="bizcocho",VLOOKUP(A716,'Recetas y precios'!$A$5:$G$55,6,FALSE()),IF(C716="jarabe",VLOOKUP(A716,'Recetas y precios'!$A$5:$G$55,7,FALSE()),1))</f>
        <v>1</v>
      </c>
      <c r="K716" s="15" t="n">
        <f aca="false">G716*I716*J716</f>
        <v>5.5</v>
      </c>
    </row>
    <row r="717" customFormat="false" ht="15" hidden="false" customHeight="false" outlineLevel="0" collapsed="false">
      <c r="A717" s="0" t="n">
        <v>44</v>
      </c>
      <c r="B717" s="22" t="s">
        <v>967</v>
      </c>
      <c r="C717" s="13" t="s">
        <v>400</v>
      </c>
      <c r="D717" s="23" t="s">
        <v>968</v>
      </c>
      <c r="E717" s="23" t="s">
        <v>969</v>
      </c>
      <c r="F717" s="24" t="s">
        <v>116</v>
      </c>
      <c r="G717" s="19" t="n">
        <v>30</v>
      </c>
      <c r="H717" s="13" t="s">
        <v>34</v>
      </c>
      <c r="I717" s="12" t="n">
        <f aca="false">IFERROR(VLOOKUP(F717,Insumos!$C$5:$G$143,5,FALSE()),0)</f>
        <v>0.145</v>
      </c>
      <c r="J717" s="25" t="n">
        <f aca="false">IF(C717="bizcocho",VLOOKUP(A717,'Recetas y precios'!$A$5:$G$55,6,FALSE()),IF(C717="jarabe",VLOOKUP(A717,'Recetas y precios'!$A$5:$G$55,7,FALSE()),1))</f>
        <v>1</v>
      </c>
      <c r="K717" s="15" t="n">
        <f aca="false">G717*I717*J717</f>
        <v>4.35</v>
      </c>
    </row>
    <row r="718" customFormat="false" ht="15" hidden="false" customHeight="false" outlineLevel="0" collapsed="false">
      <c r="A718" s="0" t="n">
        <v>44</v>
      </c>
      <c r="B718" s="22" t="s">
        <v>967</v>
      </c>
      <c r="C718" s="13" t="s">
        <v>400</v>
      </c>
      <c r="D718" s="23" t="s">
        <v>968</v>
      </c>
      <c r="E718" s="23" t="s">
        <v>970</v>
      </c>
      <c r="F718" s="24" t="s">
        <v>76</v>
      </c>
      <c r="G718" s="19" t="n">
        <v>10</v>
      </c>
      <c r="H718" s="13" t="s">
        <v>27</v>
      </c>
      <c r="I718" s="12" t="n">
        <f aca="false">IFERROR(VLOOKUP(F718,Insumos!$C$5:$G$143,5,FALSE()),0)</f>
        <v>0.06</v>
      </c>
      <c r="J718" s="25" t="n">
        <f aca="false">IF(C718="bizcocho",VLOOKUP(A718,'Recetas y precios'!$A$5:$G$55,6,FALSE()),IF(C718="jarabe",VLOOKUP(A718,'Recetas y precios'!$A$5:$G$55,7,FALSE()),1))</f>
        <v>1</v>
      </c>
      <c r="K718" s="15" t="n">
        <f aca="false">G718*I718*J718</f>
        <v>0.6</v>
      </c>
    </row>
    <row r="719" customFormat="false" ht="15" hidden="false" customHeight="false" outlineLevel="0" collapsed="false">
      <c r="A719" s="0" t="n">
        <v>44</v>
      </c>
      <c r="B719" s="22" t="s">
        <v>967</v>
      </c>
      <c r="C719" s="13" t="s">
        <v>400</v>
      </c>
      <c r="D719" s="23" t="s">
        <v>968</v>
      </c>
      <c r="E719" s="23" t="s">
        <v>971</v>
      </c>
      <c r="F719" s="24" t="s">
        <v>295</v>
      </c>
      <c r="G719" s="19" t="n">
        <v>5</v>
      </c>
      <c r="H719" s="13" t="s">
        <v>34</v>
      </c>
      <c r="I719" s="12" t="n">
        <f aca="false">IFERROR(VLOOKUP(F719,Insumos!$C$5:$G$143,5,FALSE()),0)</f>
        <v>0.426666666666667</v>
      </c>
      <c r="J719" s="25" t="n">
        <f aca="false">IF(C719="bizcocho",VLOOKUP(A719,'Recetas y precios'!$A$5:$G$55,6,FALSE()),IF(C719="jarabe",VLOOKUP(A719,'Recetas y precios'!$A$5:$G$55,7,FALSE()),1))</f>
        <v>1</v>
      </c>
      <c r="K719" s="15" t="n">
        <f aca="false">G719*I719*J719</f>
        <v>2.13333333333333</v>
      </c>
    </row>
    <row r="720" customFormat="false" ht="15" hidden="false" customHeight="false" outlineLevel="0" collapsed="false">
      <c r="A720" s="0" t="n">
        <v>44</v>
      </c>
      <c r="B720" s="22" t="s">
        <v>967</v>
      </c>
      <c r="C720" s="13" t="s">
        <v>393</v>
      </c>
      <c r="D720" s="23" t="s">
        <v>972</v>
      </c>
      <c r="E720" s="23" t="s">
        <v>503</v>
      </c>
      <c r="F720" s="24" t="s">
        <v>26</v>
      </c>
      <c r="G720" s="19" t="n">
        <v>180</v>
      </c>
      <c r="H720" s="13" t="s">
        <v>27</v>
      </c>
      <c r="I720" s="12" t="n">
        <f aca="false">IFERROR(VLOOKUP(F720,Insumos!$C$5:$G$143,5,FALSE()),0)</f>
        <v>0.38</v>
      </c>
      <c r="J720" s="25" t="n">
        <f aca="false">IF(C720="bizcocho",VLOOKUP(A720,'Recetas y precios'!$A$5:$G$55,6,FALSE()),IF(C720="jarabe",VLOOKUP(A720,'Recetas y precios'!$A$5:$G$55,7,FALSE()),1))</f>
        <v>1</v>
      </c>
      <c r="K720" s="15" t="n">
        <f aca="false">G720*I720*J720</f>
        <v>68.4</v>
      </c>
    </row>
    <row r="721" customFormat="false" ht="15" hidden="false" customHeight="false" outlineLevel="0" collapsed="false">
      <c r="A721" s="0" t="n">
        <v>44</v>
      </c>
      <c r="B721" s="22" t="s">
        <v>967</v>
      </c>
      <c r="C721" s="13" t="s">
        <v>393</v>
      </c>
      <c r="D721" s="23" t="s">
        <v>972</v>
      </c>
      <c r="E721" s="23" t="s">
        <v>504</v>
      </c>
      <c r="F721" s="24" t="s">
        <v>33</v>
      </c>
      <c r="G721" s="19" t="n">
        <v>180</v>
      </c>
      <c r="H721" s="13" t="s">
        <v>34</v>
      </c>
      <c r="I721" s="12" t="n">
        <f aca="false">IFERROR(VLOOKUP(F721,Insumos!$C$5:$G$143,5,FALSE()),0)</f>
        <v>0.078</v>
      </c>
      <c r="J721" s="25" t="n">
        <f aca="false">IF(C721="bizcocho",VLOOKUP(A721,'Recetas y precios'!$A$5:$G$55,6,FALSE()),IF(C721="jarabe",VLOOKUP(A721,'Recetas y precios'!$A$5:$G$55,7,FALSE()),1))</f>
        <v>1</v>
      </c>
      <c r="K721" s="15" t="n">
        <f aca="false">G721*I721*J721</f>
        <v>14.04</v>
      </c>
    </row>
    <row r="722" customFormat="false" ht="15" hidden="false" customHeight="false" outlineLevel="0" collapsed="false">
      <c r="A722" s="0" t="n">
        <v>44</v>
      </c>
      <c r="B722" s="22" t="s">
        <v>967</v>
      </c>
      <c r="C722" s="13" t="s">
        <v>393</v>
      </c>
      <c r="D722" s="23" t="s">
        <v>972</v>
      </c>
      <c r="E722" s="23" t="s">
        <v>444</v>
      </c>
      <c r="F722" s="24" t="s">
        <v>36</v>
      </c>
      <c r="G722" s="19" t="n">
        <v>50</v>
      </c>
      <c r="H722" s="13" t="s">
        <v>27</v>
      </c>
      <c r="I722" s="12" t="n">
        <f aca="false">IFERROR(VLOOKUP(F722,Insumos!$C$5:$G$143,5,FALSE()),0)</f>
        <v>0.085</v>
      </c>
      <c r="J722" s="25" t="n">
        <f aca="false">IF(C722="bizcocho",VLOOKUP(A722,'Recetas y precios'!$A$5:$G$55,6,FALSE()),IF(C722="jarabe",VLOOKUP(A722,'Recetas y precios'!$A$5:$G$55,7,FALSE()),1))</f>
        <v>1</v>
      </c>
      <c r="K722" s="15" t="n">
        <f aca="false">G722*I722*J722</f>
        <v>4.25</v>
      </c>
    </row>
    <row r="723" customFormat="false" ht="15" hidden="false" customHeight="false" outlineLevel="0" collapsed="false">
      <c r="A723" s="0" t="n">
        <v>44</v>
      </c>
      <c r="B723" s="22" t="s">
        <v>967</v>
      </c>
      <c r="C723" s="13" t="s">
        <v>393</v>
      </c>
      <c r="D723" s="23" t="s">
        <v>972</v>
      </c>
      <c r="E723" s="23" t="s">
        <v>456</v>
      </c>
      <c r="F723" s="24" t="s">
        <v>74</v>
      </c>
      <c r="G723" s="19" t="n">
        <v>20</v>
      </c>
      <c r="H723" s="13" t="s">
        <v>27</v>
      </c>
      <c r="I723" s="12" t="n">
        <f aca="false">IFERROR(VLOOKUP(F723,Insumos!$C$5:$G$143,5,FALSE()),0)</f>
        <v>0.045</v>
      </c>
      <c r="J723" s="25" t="n">
        <f aca="false">IF(C723="bizcocho",VLOOKUP(A723,'Recetas y precios'!$A$5:$G$55,6,FALSE()),IF(C723="jarabe",VLOOKUP(A723,'Recetas y precios'!$A$5:$G$55,7,FALSE()),1))</f>
        <v>1</v>
      </c>
      <c r="K723" s="15" t="n">
        <f aca="false">G723*I723*J723</f>
        <v>0.9</v>
      </c>
    </row>
    <row r="724" customFormat="false" ht="15" hidden="false" customHeight="false" outlineLevel="0" collapsed="false">
      <c r="A724" s="0" t="n">
        <v>44</v>
      </c>
      <c r="B724" s="22" t="s">
        <v>967</v>
      </c>
      <c r="C724" s="13" t="s">
        <v>393</v>
      </c>
      <c r="D724" s="23" t="s">
        <v>972</v>
      </c>
      <c r="E724" s="23" t="s">
        <v>973</v>
      </c>
      <c r="F724" s="24" t="s">
        <v>284</v>
      </c>
      <c r="G724" s="19" t="n">
        <v>2</v>
      </c>
      <c r="H724" s="13" t="s">
        <v>34</v>
      </c>
      <c r="I724" s="12" t="n">
        <f aca="false">IFERROR(VLOOKUP(F724,Insumos!$C$5:$G$143,5,FALSE()),0)</f>
        <v>0.45</v>
      </c>
      <c r="J724" s="25" t="n">
        <f aca="false">IF(C724="bizcocho",VLOOKUP(A724,'Recetas y precios'!$A$5:$G$55,6,FALSE()),IF(C724="jarabe",VLOOKUP(A724,'Recetas y precios'!$A$5:$G$55,7,FALSE()),1))</f>
        <v>1</v>
      </c>
      <c r="K724" s="15" t="n">
        <f aca="false">G724*I724*J724</f>
        <v>0.9</v>
      </c>
    </row>
    <row r="725" customFormat="false" ht="15" hidden="false" customHeight="false" outlineLevel="0" collapsed="false">
      <c r="A725" s="0" t="n">
        <v>44</v>
      </c>
      <c r="B725" s="22" t="s">
        <v>967</v>
      </c>
      <c r="C725" s="13" t="s">
        <v>393</v>
      </c>
      <c r="D725" s="23" t="s">
        <v>972</v>
      </c>
      <c r="E725" s="23" t="s">
        <v>974</v>
      </c>
      <c r="F725" s="24" t="s">
        <v>218</v>
      </c>
      <c r="G725" s="19" t="n">
        <v>8</v>
      </c>
      <c r="H725" s="13" t="s">
        <v>27</v>
      </c>
      <c r="I725" s="12" t="n">
        <f aca="false">IFERROR(VLOOKUP(F725,Insumos!$C$5:$G$143,5,FALSE()),0)</f>
        <v>0.42</v>
      </c>
      <c r="J725" s="25" t="n">
        <f aca="false">IF(C725="bizcocho",VLOOKUP(A725,'Recetas y precios'!$A$5:$G$55,6,FALSE()),IF(C725="jarabe",VLOOKUP(A725,'Recetas y precios'!$A$5:$G$55,7,FALSE()),1))</f>
        <v>1</v>
      </c>
      <c r="K725" s="15" t="n">
        <f aca="false">G725*I725*J725</f>
        <v>3.36</v>
      </c>
    </row>
    <row r="726" customFormat="false" ht="15" hidden="false" customHeight="false" outlineLevel="0" collapsed="false">
      <c r="A726" s="0" t="n">
        <v>45</v>
      </c>
      <c r="B726" s="22" t="s">
        <v>975</v>
      </c>
      <c r="C726" s="13" t="s">
        <v>387</v>
      </c>
      <c r="D726" s="23" t="s">
        <v>661</v>
      </c>
      <c r="E726" s="23" t="s">
        <v>976</v>
      </c>
      <c r="F726" s="24" t="s">
        <v>116</v>
      </c>
      <c r="G726" s="19" t="n">
        <v>50</v>
      </c>
      <c r="H726" s="13" t="s">
        <v>34</v>
      </c>
      <c r="I726" s="12" t="n">
        <f aca="false">IFERROR(VLOOKUP(F726,Insumos!$C$5:$G$143,5,FALSE()),0)</f>
        <v>0.145</v>
      </c>
      <c r="J726" s="25" t="n">
        <f aca="false">IF(C726="bizcocho",VLOOKUP(A726,'Recetas y precios'!$A$5:$G$55,6,FALSE()),IF(C726="jarabe",VLOOKUP(A726,'Recetas y precios'!$A$5:$G$55,7,FALSE()),1))</f>
        <v>0.933</v>
      </c>
      <c r="K726" s="15" t="n">
        <f aca="false">G726*I726*J726</f>
        <v>6.76425</v>
      </c>
    </row>
    <row r="727" customFormat="false" ht="15" hidden="false" customHeight="false" outlineLevel="0" collapsed="false">
      <c r="A727" s="0" t="n">
        <v>45</v>
      </c>
      <c r="B727" s="22" t="s">
        <v>975</v>
      </c>
      <c r="C727" s="13" t="s">
        <v>387</v>
      </c>
      <c r="D727" s="23" t="s">
        <v>661</v>
      </c>
      <c r="E727" s="23" t="s">
        <v>595</v>
      </c>
      <c r="F727" s="24" t="s">
        <v>80</v>
      </c>
      <c r="G727" s="19" t="n">
        <v>20</v>
      </c>
      <c r="H727" s="13" t="s">
        <v>34</v>
      </c>
      <c r="I727" s="12" t="n">
        <f aca="false">IFERROR(VLOOKUP(F727,Insumos!$C$5:$G$143,5,FALSE()),0)</f>
        <v>0.018</v>
      </c>
      <c r="J727" s="25" t="n">
        <f aca="false">IF(C727="bizcocho",VLOOKUP(A727,'Recetas y precios'!$A$5:$G$55,6,FALSE()),IF(C727="jarabe",VLOOKUP(A727,'Recetas y precios'!$A$5:$G$55,7,FALSE()),1))</f>
        <v>0.933</v>
      </c>
      <c r="K727" s="15" t="n">
        <f aca="false">G727*I727*J727</f>
        <v>0.33588</v>
      </c>
    </row>
    <row r="728" customFormat="false" ht="15" hidden="false" customHeight="false" outlineLevel="0" collapsed="false">
      <c r="A728" s="0" t="n">
        <v>45</v>
      </c>
      <c r="B728" s="22" t="s">
        <v>975</v>
      </c>
      <c r="C728" s="13" t="s">
        <v>387</v>
      </c>
      <c r="D728" s="23" t="s">
        <v>661</v>
      </c>
      <c r="E728" s="23" t="s">
        <v>977</v>
      </c>
      <c r="F728" s="24" t="s">
        <v>295</v>
      </c>
      <c r="G728" s="19" t="n">
        <v>5</v>
      </c>
      <c r="H728" s="13" t="s">
        <v>34</v>
      </c>
      <c r="I728" s="12" t="n">
        <f aca="false">IFERROR(VLOOKUP(F728,Insumos!$C$5:$G$143,5,FALSE()),0)</f>
        <v>0.426666666666667</v>
      </c>
      <c r="J728" s="25" t="n">
        <f aca="false">IF(C728="bizcocho",VLOOKUP(A728,'Recetas y precios'!$A$5:$G$55,6,FALSE()),IF(C728="jarabe",VLOOKUP(A728,'Recetas y precios'!$A$5:$G$55,7,FALSE()),1))</f>
        <v>0.933</v>
      </c>
      <c r="K728" s="15" t="n">
        <f aca="false">G728*I728*J728</f>
        <v>1.9904</v>
      </c>
    </row>
    <row r="729" customFormat="false" ht="15" hidden="false" customHeight="false" outlineLevel="0" collapsed="false">
      <c r="A729" s="0" t="n">
        <v>45</v>
      </c>
      <c r="B729" s="22" t="s">
        <v>975</v>
      </c>
      <c r="C729" s="13" t="s">
        <v>393</v>
      </c>
      <c r="D729" s="23" t="s">
        <v>978</v>
      </c>
      <c r="E729" s="23" t="s">
        <v>419</v>
      </c>
      <c r="F729" s="24" t="s">
        <v>26</v>
      </c>
      <c r="G729" s="19" t="n">
        <v>120</v>
      </c>
      <c r="H729" s="13" t="s">
        <v>27</v>
      </c>
      <c r="I729" s="12" t="n">
        <f aca="false">IFERROR(VLOOKUP(F729,Insumos!$C$5:$G$143,5,FALSE()),0)</f>
        <v>0.38</v>
      </c>
      <c r="J729" s="25" t="n">
        <f aca="false">IF(C729="bizcocho",VLOOKUP(A729,'Recetas y precios'!$A$5:$G$55,6,FALSE()),IF(C729="jarabe",VLOOKUP(A729,'Recetas y precios'!$A$5:$G$55,7,FALSE()),1))</f>
        <v>1</v>
      </c>
      <c r="K729" s="15" t="n">
        <f aca="false">G729*I729*J729</f>
        <v>45.6</v>
      </c>
    </row>
    <row r="730" customFormat="false" ht="15" hidden="false" customHeight="false" outlineLevel="0" collapsed="false">
      <c r="A730" s="0" t="n">
        <v>45</v>
      </c>
      <c r="B730" s="22" t="s">
        <v>975</v>
      </c>
      <c r="C730" s="13" t="s">
        <v>393</v>
      </c>
      <c r="D730" s="23" t="s">
        <v>978</v>
      </c>
      <c r="E730" s="23" t="s">
        <v>930</v>
      </c>
      <c r="F730" s="24" t="s">
        <v>33</v>
      </c>
      <c r="G730" s="19" t="n">
        <v>110</v>
      </c>
      <c r="H730" s="13" t="s">
        <v>34</v>
      </c>
      <c r="I730" s="12" t="n">
        <f aca="false">IFERROR(VLOOKUP(F730,Insumos!$C$5:$G$143,5,FALSE()),0)</f>
        <v>0.078</v>
      </c>
      <c r="J730" s="25" t="n">
        <f aca="false">IF(C730="bizcocho",VLOOKUP(A730,'Recetas y precios'!$A$5:$G$55,6,FALSE()),IF(C730="jarabe",VLOOKUP(A730,'Recetas y precios'!$A$5:$G$55,7,FALSE()),1))</f>
        <v>1</v>
      </c>
      <c r="K730" s="15" t="n">
        <f aca="false">G730*I730*J730</f>
        <v>8.58</v>
      </c>
    </row>
    <row r="731" customFormat="false" ht="15" hidden="false" customHeight="false" outlineLevel="0" collapsed="false">
      <c r="A731" s="0" t="n">
        <v>45</v>
      </c>
      <c r="B731" s="22" t="s">
        <v>975</v>
      </c>
      <c r="C731" s="13" t="s">
        <v>393</v>
      </c>
      <c r="D731" s="23" t="s">
        <v>978</v>
      </c>
      <c r="E731" s="23" t="s">
        <v>979</v>
      </c>
      <c r="F731" s="24" t="s">
        <v>267</v>
      </c>
      <c r="G731" s="19" t="n">
        <v>35</v>
      </c>
      <c r="H731" s="13" t="s">
        <v>27</v>
      </c>
      <c r="I731" s="12" t="n">
        <f aca="false">IFERROR(VLOOKUP(F731,Insumos!$C$5:$G$143,5,FALSE()),0)</f>
        <v>0.18</v>
      </c>
      <c r="J731" s="25" t="n">
        <f aca="false">IF(C731="bizcocho",VLOOKUP(A731,'Recetas y precios'!$A$5:$G$55,6,FALSE()),IF(C731="jarabe",VLOOKUP(A731,'Recetas y precios'!$A$5:$G$55,7,FALSE()),1))</f>
        <v>1</v>
      </c>
      <c r="K731" s="15" t="n">
        <f aca="false">G731*I731*J731</f>
        <v>6.3</v>
      </c>
    </row>
    <row r="732" customFormat="false" ht="15" hidden="false" customHeight="false" outlineLevel="0" collapsed="false">
      <c r="A732" s="0" t="n">
        <v>45</v>
      </c>
      <c r="B732" s="22" t="s">
        <v>975</v>
      </c>
      <c r="C732" s="13" t="s">
        <v>393</v>
      </c>
      <c r="D732" s="23" t="s">
        <v>978</v>
      </c>
      <c r="E732" s="23" t="s">
        <v>506</v>
      </c>
      <c r="F732" s="24" t="s">
        <v>36</v>
      </c>
      <c r="G732" s="19" t="n">
        <v>45</v>
      </c>
      <c r="H732" s="13" t="s">
        <v>27</v>
      </c>
      <c r="I732" s="12" t="n">
        <f aca="false">IFERROR(VLOOKUP(F732,Insumos!$C$5:$G$143,5,FALSE()),0)</f>
        <v>0.085</v>
      </c>
      <c r="J732" s="25" t="n">
        <f aca="false">IF(C732="bizcocho",VLOOKUP(A732,'Recetas y precios'!$A$5:$G$55,6,FALSE()),IF(C732="jarabe",VLOOKUP(A732,'Recetas y precios'!$A$5:$G$55,7,FALSE()),1))</f>
        <v>1</v>
      </c>
      <c r="K732" s="15" t="n">
        <f aca="false">G732*I732*J732</f>
        <v>3.825</v>
      </c>
    </row>
    <row r="733" customFormat="false" ht="15" hidden="false" customHeight="false" outlineLevel="0" collapsed="false">
      <c r="A733" s="0" t="n">
        <v>45</v>
      </c>
      <c r="B733" s="22" t="s">
        <v>975</v>
      </c>
      <c r="C733" s="13" t="s">
        <v>393</v>
      </c>
      <c r="D733" s="23" t="s">
        <v>978</v>
      </c>
      <c r="E733" s="23" t="s">
        <v>567</v>
      </c>
      <c r="F733" s="24" t="s">
        <v>74</v>
      </c>
      <c r="G733" s="19" t="n">
        <v>15</v>
      </c>
      <c r="H733" s="13" t="s">
        <v>27</v>
      </c>
      <c r="I733" s="12" t="n">
        <f aca="false">IFERROR(VLOOKUP(F733,Insumos!$C$5:$G$143,5,FALSE()),0)</f>
        <v>0.045</v>
      </c>
      <c r="J733" s="25" t="n">
        <f aca="false">IF(C733="bizcocho",VLOOKUP(A733,'Recetas y precios'!$A$5:$G$55,6,FALSE()),IF(C733="jarabe",VLOOKUP(A733,'Recetas y precios'!$A$5:$G$55,7,FALSE()),1))</f>
        <v>1</v>
      </c>
      <c r="K733" s="15" t="n">
        <f aca="false">G733*I733*J733</f>
        <v>0.675</v>
      </c>
    </row>
    <row r="734" customFormat="false" ht="15" hidden="false" customHeight="false" outlineLevel="0" collapsed="false">
      <c r="A734" s="0" t="n">
        <v>45</v>
      </c>
      <c r="B734" s="22" t="s">
        <v>975</v>
      </c>
      <c r="C734" s="13" t="s">
        <v>393</v>
      </c>
      <c r="D734" s="23" t="s">
        <v>978</v>
      </c>
      <c r="E734" s="23" t="s">
        <v>385</v>
      </c>
      <c r="F734" s="24" t="s">
        <v>103</v>
      </c>
      <c r="G734" s="19" t="n">
        <v>1</v>
      </c>
      <c r="H734" s="13" t="s">
        <v>27</v>
      </c>
      <c r="I734" s="12" t="n">
        <f aca="false">IFERROR(VLOOKUP(F734,Insumos!$C$5:$G$143,5,FALSE()),0)</f>
        <v>0.025</v>
      </c>
      <c r="J734" s="25" t="n">
        <f aca="false">IF(C734="bizcocho",VLOOKUP(A734,'Recetas y precios'!$A$5:$G$55,6,FALSE()),IF(C734="jarabe",VLOOKUP(A734,'Recetas y precios'!$A$5:$G$55,7,FALSE()),1))</f>
        <v>1</v>
      </c>
      <c r="K734" s="15" t="n">
        <f aca="false">G734*I734*J734</f>
        <v>0.025</v>
      </c>
    </row>
    <row r="735" customFormat="false" ht="15" hidden="false" customHeight="false" outlineLevel="0" collapsed="false">
      <c r="A735" s="0" t="n">
        <v>45</v>
      </c>
      <c r="B735" s="22" t="s">
        <v>975</v>
      </c>
      <c r="C735" s="13" t="s">
        <v>400</v>
      </c>
      <c r="D735" s="23" t="s">
        <v>980</v>
      </c>
      <c r="E735" s="23" t="s">
        <v>981</v>
      </c>
      <c r="F735" s="24" t="s">
        <v>90</v>
      </c>
      <c r="G735" s="19" t="n">
        <v>40</v>
      </c>
      <c r="H735" s="13" t="s">
        <v>27</v>
      </c>
      <c r="I735" s="12" t="n">
        <f aca="false">IFERROR(VLOOKUP(F735,Insumos!$C$5:$G$143,5,FALSE()),0)</f>
        <v>0.15</v>
      </c>
      <c r="J735" s="25" t="n">
        <f aca="false">IF(C735="bizcocho",VLOOKUP(A735,'Recetas y precios'!$A$5:$G$55,6,FALSE()),IF(C735="jarabe",VLOOKUP(A735,'Recetas y precios'!$A$5:$G$55,7,FALSE()),1))</f>
        <v>1</v>
      </c>
      <c r="K735" s="15" t="n">
        <f aca="false">G735*I735*J735</f>
        <v>6</v>
      </c>
    </row>
    <row r="736" customFormat="false" ht="15" hidden="false" customHeight="false" outlineLevel="0" collapsed="false">
      <c r="A736" s="0" t="n">
        <v>45</v>
      </c>
      <c r="B736" s="22" t="s">
        <v>975</v>
      </c>
      <c r="C736" s="13" t="s">
        <v>400</v>
      </c>
      <c r="D736" s="23" t="s">
        <v>980</v>
      </c>
      <c r="E736" s="23" t="s">
        <v>982</v>
      </c>
      <c r="F736" s="24" t="s">
        <v>265</v>
      </c>
      <c r="G736" s="19" t="n">
        <v>30</v>
      </c>
      <c r="H736" s="13" t="s">
        <v>27</v>
      </c>
      <c r="I736" s="12" t="n">
        <f aca="false">IFERROR(VLOOKUP(F736,Insumos!$C$5:$G$143,5,FALSE()),0)</f>
        <v>0.15</v>
      </c>
      <c r="J736" s="25" t="n">
        <f aca="false">IF(C736="bizcocho",VLOOKUP(A736,'Recetas y precios'!$A$5:$G$55,6,FALSE()),IF(C736="jarabe",VLOOKUP(A736,'Recetas y precios'!$A$5:$G$55,7,FALSE()),1))</f>
        <v>1</v>
      </c>
      <c r="K736" s="15" t="n">
        <f aca="false">G736*I736*J736</f>
        <v>4.5</v>
      </c>
    </row>
    <row r="737" customFormat="false" ht="15" hidden="false" customHeight="false" outlineLevel="0" collapsed="false">
      <c r="A737" s="0" t="n">
        <v>45</v>
      </c>
      <c r="B737" s="22" t="s">
        <v>975</v>
      </c>
      <c r="C737" s="13" t="s">
        <v>400</v>
      </c>
      <c r="D737" s="23" t="s">
        <v>980</v>
      </c>
      <c r="E737" s="23" t="s">
        <v>983</v>
      </c>
      <c r="F737" s="24" t="s">
        <v>212</v>
      </c>
      <c r="G737" s="19" t="n">
        <v>38</v>
      </c>
      <c r="H737" s="13" t="s">
        <v>27</v>
      </c>
      <c r="I737" s="12" t="n">
        <f aca="false">IFERROR(VLOOKUP(F737,Insumos!$C$5:$G$143,5,FALSE()),0)</f>
        <v>0.3</v>
      </c>
      <c r="J737" s="25" t="n">
        <f aca="false">IF(C737="bizcocho",VLOOKUP(A737,'Recetas y precios'!$A$5:$G$55,6,FALSE()),IF(C737="jarabe",VLOOKUP(A737,'Recetas y precios'!$A$5:$G$55,7,FALSE()),1))</f>
        <v>1</v>
      </c>
      <c r="K737" s="15" t="n">
        <f aca="false">G737*I737*J737</f>
        <v>11.4</v>
      </c>
    </row>
    <row r="738" customFormat="false" ht="15" hidden="false" customHeight="false" outlineLevel="0" collapsed="false">
      <c r="A738" s="0" t="n">
        <v>45</v>
      </c>
      <c r="B738" s="22" t="s">
        <v>975</v>
      </c>
      <c r="C738" s="13" t="s">
        <v>400</v>
      </c>
      <c r="D738" s="23" t="s">
        <v>980</v>
      </c>
      <c r="E738" s="23" t="s">
        <v>571</v>
      </c>
      <c r="F738" s="24" t="s">
        <v>111</v>
      </c>
      <c r="G738" s="19" t="n">
        <v>12</v>
      </c>
      <c r="H738" s="13" t="s">
        <v>34</v>
      </c>
      <c r="I738" s="12" t="n">
        <f aca="false">IFERROR(VLOOKUP(F738,Insumos!$C$5:$G$143,5,FALSE()),0)</f>
        <v>0.18</v>
      </c>
      <c r="J738" s="25" t="n">
        <f aca="false">IF(C738="bizcocho",VLOOKUP(A738,'Recetas y precios'!$A$5:$G$55,6,FALSE()),IF(C738="jarabe",VLOOKUP(A738,'Recetas y precios'!$A$5:$G$55,7,FALSE()),1))</f>
        <v>1</v>
      </c>
      <c r="K738" s="15" t="n">
        <f aca="false">G738*I738*J738</f>
        <v>2.16</v>
      </c>
    </row>
    <row r="739" customFormat="false" ht="15" hidden="false" customHeight="false" outlineLevel="0" collapsed="false">
      <c r="A739" s="0" t="n">
        <v>46</v>
      </c>
      <c r="B739" s="22" t="s">
        <v>984</v>
      </c>
      <c r="C739" s="13" t="s">
        <v>376</v>
      </c>
      <c r="D739" s="23" t="s">
        <v>985</v>
      </c>
      <c r="E739" s="23" t="s">
        <v>432</v>
      </c>
      <c r="F739" s="24" t="s">
        <v>59</v>
      </c>
      <c r="G739" s="19" t="n">
        <v>45</v>
      </c>
      <c r="H739" s="13" t="s">
        <v>27</v>
      </c>
      <c r="I739" s="12" t="n">
        <f aca="false">IFERROR(VLOOKUP(F739,Insumos!$C$5:$G$143,5,FALSE()),0)</f>
        <v>0.032</v>
      </c>
      <c r="J739" s="25" t="n">
        <f aca="false">IF(C739="bizcocho",VLOOKUP(A739,'Recetas y precios'!$A$5:$G$55,6,FALSE()),IF(C739="jarabe",VLOOKUP(A739,'Recetas y precios'!$A$5:$G$55,7,FALSE()),1))</f>
        <v>0.32</v>
      </c>
      <c r="K739" s="15" t="n">
        <f aca="false">G739*I739*J739</f>
        <v>0.4608</v>
      </c>
    </row>
    <row r="740" customFormat="false" ht="15" hidden="false" customHeight="false" outlineLevel="0" collapsed="false">
      <c r="A740" s="0" t="n">
        <v>46</v>
      </c>
      <c r="B740" s="22" t="s">
        <v>984</v>
      </c>
      <c r="C740" s="13" t="s">
        <v>376</v>
      </c>
      <c r="D740" s="23" t="s">
        <v>985</v>
      </c>
      <c r="E740" s="23" t="s">
        <v>986</v>
      </c>
      <c r="F740" s="24" t="s">
        <v>220</v>
      </c>
      <c r="G740" s="19" t="n">
        <v>10</v>
      </c>
      <c r="H740" s="13" t="s">
        <v>27</v>
      </c>
      <c r="I740" s="12" t="n">
        <f aca="false">IFERROR(VLOOKUP(F740,Insumos!$C$5:$G$143,5,FALSE()),0)</f>
        <v>0.52</v>
      </c>
      <c r="J740" s="25" t="n">
        <f aca="false">IF(C740="bizcocho",VLOOKUP(A740,'Recetas y precios'!$A$5:$G$55,6,FALSE()),IF(C740="jarabe",VLOOKUP(A740,'Recetas y precios'!$A$5:$G$55,7,FALSE()),1))</f>
        <v>0.32</v>
      </c>
      <c r="K740" s="15" t="n">
        <f aca="false">G740*I740*J740</f>
        <v>1.664</v>
      </c>
    </row>
    <row r="741" customFormat="false" ht="15" hidden="false" customHeight="false" outlineLevel="0" collapsed="false">
      <c r="A741" s="0" t="n">
        <v>46</v>
      </c>
      <c r="B741" s="22" t="s">
        <v>984</v>
      </c>
      <c r="C741" s="13" t="s">
        <v>376</v>
      </c>
      <c r="D741" s="23" t="s">
        <v>985</v>
      </c>
      <c r="E741" s="23" t="s">
        <v>408</v>
      </c>
      <c r="F741" s="24" t="s">
        <v>120</v>
      </c>
      <c r="G741" s="19" t="n">
        <v>4</v>
      </c>
      <c r="H741" s="13" t="s">
        <v>27</v>
      </c>
      <c r="I741" s="12" t="n">
        <f aca="false">IFERROR(VLOOKUP(F741,Insumos!$C$5:$G$143,5,FALSE()),0)</f>
        <v>0.7</v>
      </c>
      <c r="J741" s="25" t="n">
        <f aca="false">IF(C741="bizcocho",VLOOKUP(A741,'Recetas y precios'!$A$5:$G$55,6,FALSE()),IF(C741="jarabe",VLOOKUP(A741,'Recetas y precios'!$A$5:$G$55,7,FALSE()),1))</f>
        <v>0.32</v>
      </c>
      <c r="K741" s="15" t="n">
        <f aca="false">G741*I741*J741</f>
        <v>0.896</v>
      </c>
    </row>
    <row r="742" customFormat="false" ht="15" hidden="false" customHeight="false" outlineLevel="0" collapsed="false">
      <c r="A742" s="0" t="n">
        <v>46</v>
      </c>
      <c r="B742" s="22" t="s">
        <v>984</v>
      </c>
      <c r="C742" s="13" t="s">
        <v>376</v>
      </c>
      <c r="D742" s="23" t="s">
        <v>985</v>
      </c>
      <c r="E742" s="23" t="s">
        <v>379</v>
      </c>
      <c r="F742" s="24" t="s">
        <v>48</v>
      </c>
      <c r="G742" s="19" t="n">
        <v>40</v>
      </c>
      <c r="H742" s="13" t="s">
        <v>27</v>
      </c>
      <c r="I742" s="12" t="n">
        <f aca="false">IFERROR(VLOOKUP(F742,Insumos!$C$5:$G$143,5,FALSE()),0)</f>
        <v>0.13</v>
      </c>
      <c r="J742" s="25" t="n">
        <f aca="false">IF(C742="bizcocho",VLOOKUP(A742,'Recetas y precios'!$A$5:$G$55,6,FALSE()),IF(C742="jarabe",VLOOKUP(A742,'Recetas y precios'!$A$5:$G$55,7,FALSE()),1))</f>
        <v>0.32</v>
      </c>
      <c r="K742" s="15" t="n">
        <f aca="false">G742*I742*J742</f>
        <v>1.664</v>
      </c>
    </row>
    <row r="743" customFormat="false" ht="15" hidden="false" customHeight="false" outlineLevel="0" collapsed="false">
      <c r="A743" s="0" t="n">
        <v>46</v>
      </c>
      <c r="B743" s="22" t="s">
        <v>984</v>
      </c>
      <c r="C743" s="13" t="s">
        <v>376</v>
      </c>
      <c r="D743" s="23" t="s">
        <v>985</v>
      </c>
      <c r="E743" s="23" t="s">
        <v>380</v>
      </c>
      <c r="F743" s="24" t="s">
        <v>50</v>
      </c>
      <c r="G743" s="19" t="n">
        <v>80</v>
      </c>
      <c r="H743" s="13" t="s">
        <v>27</v>
      </c>
      <c r="I743" s="12" t="n">
        <f aca="false">IFERROR(VLOOKUP(F743,Insumos!$C$5:$G$143,5,FALSE()),0)</f>
        <v>0.075</v>
      </c>
      <c r="J743" s="25" t="n">
        <f aca="false">IF(C743="bizcocho",VLOOKUP(A743,'Recetas y precios'!$A$5:$G$55,6,FALSE()),IF(C743="jarabe",VLOOKUP(A743,'Recetas y precios'!$A$5:$G$55,7,FALSE()),1))</f>
        <v>0.32</v>
      </c>
      <c r="K743" s="15" t="n">
        <f aca="false">G743*I743*J743</f>
        <v>1.92</v>
      </c>
    </row>
    <row r="744" customFormat="false" ht="15" hidden="false" customHeight="false" outlineLevel="0" collapsed="false">
      <c r="A744" s="0" t="n">
        <v>46</v>
      </c>
      <c r="B744" s="22" t="s">
        <v>984</v>
      </c>
      <c r="C744" s="13" t="s">
        <v>376</v>
      </c>
      <c r="D744" s="23" t="s">
        <v>985</v>
      </c>
      <c r="E744" s="23" t="s">
        <v>472</v>
      </c>
      <c r="F744" s="24" t="s">
        <v>72</v>
      </c>
      <c r="G744" s="19" t="n">
        <v>45</v>
      </c>
      <c r="H744" s="13" t="s">
        <v>27</v>
      </c>
      <c r="I744" s="12" t="n">
        <f aca="false">IFERROR(VLOOKUP(F744,Insumos!$C$5:$G$143,5,FALSE()),0)</f>
        <v>0.028</v>
      </c>
      <c r="J744" s="25" t="n">
        <f aca="false">IF(C744="bizcocho",VLOOKUP(A744,'Recetas y precios'!$A$5:$G$55,6,FALSE()),IF(C744="jarabe",VLOOKUP(A744,'Recetas y precios'!$A$5:$G$55,7,FALSE()),1))</f>
        <v>0.32</v>
      </c>
      <c r="K744" s="15" t="n">
        <f aca="false">G744*I744*J744</f>
        <v>0.4032</v>
      </c>
    </row>
    <row r="745" customFormat="false" ht="15" hidden="false" customHeight="false" outlineLevel="0" collapsed="false">
      <c r="A745" s="0" t="n">
        <v>46</v>
      </c>
      <c r="B745" s="22" t="s">
        <v>984</v>
      </c>
      <c r="C745" s="13" t="s">
        <v>376</v>
      </c>
      <c r="D745" s="23" t="s">
        <v>985</v>
      </c>
      <c r="E745" s="23" t="s">
        <v>715</v>
      </c>
      <c r="F745" s="24" t="s">
        <v>109</v>
      </c>
      <c r="G745" s="19" t="n">
        <v>25</v>
      </c>
      <c r="H745" s="13" t="s">
        <v>34</v>
      </c>
      <c r="I745" s="12" t="n">
        <f aca="false">IFERROR(VLOOKUP(F745,Insumos!$C$5:$G$143,5,FALSE()),0)</f>
        <v>0.045</v>
      </c>
      <c r="J745" s="25" t="n">
        <f aca="false">IF(C745="bizcocho",VLOOKUP(A745,'Recetas y precios'!$A$5:$G$55,6,FALSE()),IF(C745="jarabe",VLOOKUP(A745,'Recetas y precios'!$A$5:$G$55,7,FALSE()),1))</f>
        <v>0.32</v>
      </c>
      <c r="K745" s="15" t="n">
        <f aca="false">G745*I745*J745</f>
        <v>0.36</v>
      </c>
    </row>
    <row r="746" customFormat="false" ht="15" hidden="false" customHeight="false" outlineLevel="0" collapsed="false">
      <c r="A746" s="0" t="n">
        <v>46</v>
      </c>
      <c r="B746" s="22" t="s">
        <v>984</v>
      </c>
      <c r="C746" s="13" t="s">
        <v>376</v>
      </c>
      <c r="D746" s="23" t="s">
        <v>985</v>
      </c>
      <c r="E746" s="23" t="s">
        <v>385</v>
      </c>
      <c r="F746" s="24" t="s">
        <v>103</v>
      </c>
      <c r="G746" s="19" t="n">
        <v>1</v>
      </c>
      <c r="H746" s="13" t="s">
        <v>27</v>
      </c>
      <c r="I746" s="12" t="n">
        <f aca="false">IFERROR(VLOOKUP(F746,Insumos!$C$5:$G$143,5,FALSE()),0)</f>
        <v>0.025</v>
      </c>
      <c r="J746" s="25" t="n">
        <f aca="false">IF(C746="bizcocho",VLOOKUP(A746,'Recetas y precios'!$A$5:$G$55,6,FALSE()),IF(C746="jarabe",VLOOKUP(A746,'Recetas y precios'!$A$5:$G$55,7,FALSE()),1))</f>
        <v>0.32</v>
      </c>
      <c r="K746" s="15" t="n">
        <f aca="false">G746*I746*J746</f>
        <v>0.008</v>
      </c>
    </row>
    <row r="747" customFormat="false" ht="15" hidden="false" customHeight="false" outlineLevel="0" collapsed="false">
      <c r="A747" s="0" t="n">
        <v>46</v>
      </c>
      <c r="B747" s="22" t="s">
        <v>984</v>
      </c>
      <c r="C747" s="13" t="s">
        <v>387</v>
      </c>
      <c r="D747" s="23" t="s">
        <v>716</v>
      </c>
      <c r="E747" s="23" t="s">
        <v>987</v>
      </c>
      <c r="F747" s="24" t="s">
        <v>122</v>
      </c>
      <c r="G747" s="19" t="n">
        <v>45</v>
      </c>
      <c r="H747" s="13" t="s">
        <v>34</v>
      </c>
      <c r="I747" s="12" t="n">
        <f aca="false">IFERROR(VLOOKUP(F747,Insumos!$C$5:$G$143,5,FALSE()),0)</f>
        <v>0.18</v>
      </c>
      <c r="J747" s="25" t="n">
        <f aca="false">IF(C747="bizcocho",VLOOKUP(A747,'Recetas y precios'!$A$5:$G$55,6,FALSE()),IF(C747="jarabe",VLOOKUP(A747,'Recetas y precios'!$A$5:$G$55,7,FALSE()),1))</f>
        <v>1</v>
      </c>
      <c r="K747" s="15" t="n">
        <f aca="false">G747*I747*J747</f>
        <v>8.1</v>
      </c>
    </row>
    <row r="748" customFormat="false" ht="15" hidden="false" customHeight="false" outlineLevel="0" collapsed="false">
      <c r="A748" s="0" t="n">
        <v>46</v>
      </c>
      <c r="B748" s="22" t="s">
        <v>984</v>
      </c>
      <c r="C748" s="13" t="s">
        <v>387</v>
      </c>
      <c r="D748" s="23" t="s">
        <v>716</v>
      </c>
      <c r="E748" s="23" t="s">
        <v>988</v>
      </c>
      <c r="F748" s="24" t="s">
        <v>299</v>
      </c>
      <c r="G748" s="19" t="n">
        <v>20</v>
      </c>
      <c r="H748" s="13" t="s">
        <v>34</v>
      </c>
      <c r="I748" s="12" t="n">
        <f aca="false">IFERROR(VLOOKUP(F748,Insumos!$C$5:$G$143,5,FALSE()),0)</f>
        <v>0.52</v>
      </c>
      <c r="J748" s="25" t="n">
        <f aca="false">IF(C748="bizcocho",VLOOKUP(A748,'Recetas y precios'!$A$5:$G$55,6,FALSE()),IF(C748="jarabe",VLOOKUP(A748,'Recetas y precios'!$A$5:$G$55,7,FALSE()),1))</f>
        <v>1</v>
      </c>
      <c r="K748" s="15" t="n">
        <f aca="false">G748*I748*J748</f>
        <v>10.4</v>
      </c>
    </row>
    <row r="749" customFormat="false" ht="15" hidden="false" customHeight="false" outlineLevel="0" collapsed="false">
      <c r="A749" s="0" t="n">
        <v>46</v>
      </c>
      <c r="B749" s="22" t="s">
        <v>984</v>
      </c>
      <c r="C749" s="13" t="s">
        <v>387</v>
      </c>
      <c r="D749" s="23" t="s">
        <v>716</v>
      </c>
      <c r="E749" s="23" t="s">
        <v>989</v>
      </c>
      <c r="F749" s="24" t="s">
        <v>80</v>
      </c>
      <c r="G749" s="19" t="n">
        <v>10</v>
      </c>
      <c r="H749" s="13" t="s">
        <v>34</v>
      </c>
      <c r="I749" s="12" t="n">
        <f aca="false">IFERROR(VLOOKUP(F749,Insumos!$C$5:$G$143,5,FALSE()),0)</f>
        <v>0.018</v>
      </c>
      <c r="J749" s="25" t="n">
        <f aca="false">IF(C749="bizcocho",VLOOKUP(A749,'Recetas y precios'!$A$5:$G$55,6,FALSE()),IF(C749="jarabe",VLOOKUP(A749,'Recetas y precios'!$A$5:$G$55,7,FALSE()),1))</f>
        <v>1</v>
      </c>
      <c r="K749" s="15" t="n">
        <f aca="false">G749*I749*J749</f>
        <v>0.18</v>
      </c>
    </row>
    <row r="750" customFormat="false" ht="15" hidden="false" customHeight="false" outlineLevel="0" collapsed="false">
      <c r="A750" s="0" t="n">
        <v>46</v>
      </c>
      <c r="B750" s="22" t="s">
        <v>984</v>
      </c>
      <c r="C750" s="13" t="s">
        <v>393</v>
      </c>
      <c r="D750" s="23" t="s">
        <v>990</v>
      </c>
      <c r="E750" s="23" t="s">
        <v>503</v>
      </c>
      <c r="F750" s="24" t="s">
        <v>26</v>
      </c>
      <c r="G750" s="19" t="n">
        <v>180</v>
      </c>
      <c r="H750" s="13" t="s">
        <v>27</v>
      </c>
      <c r="I750" s="12" t="n">
        <f aca="false">IFERROR(VLOOKUP(F750,Insumos!$C$5:$G$143,5,FALSE()),0)</f>
        <v>0.38</v>
      </c>
      <c r="J750" s="25" t="n">
        <f aca="false">IF(C750="bizcocho",VLOOKUP(A750,'Recetas y precios'!$A$5:$G$55,6,FALSE()),IF(C750="jarabe",VLOOKUP(A750,'Recetas y precios'!$A$5:$G$55,7,FALSE()),1))</f>
        <v>1</v>
      </c>
      <c r="K750" s="15" t="n">
        <f aca="false">G750*I750*J750</f>
        <v>68.4</v>
      </c>
    </row>
    <row r="751" customFormat="false" ht="15" hidden="false" customHeight="false" outlineLevel="0" collapsed="false">
      <c r="A751" s="0" t="n">
        <v>46</v>
      </c>
      <c r="B751" s="22" t="s">
        <v>984</v>
      </c>
      <c r="C751" s="13" t="s">
        <v>393</v>
      </c>
      <c r="D751" s="23" t="s">
        <v>990</v>
      </c>
      <c r="E751" s="23" t="s">
        <v>831</v>
      </c>
      <c r="F751" s="24" t="s">
        <v>33</v>
      </c>
      <c r="G751" s="19" t="n">
        <v>170</v>
      </c>
      <c r="H751" s="13" t="s">
        <v>34</v>
      </c>
      <c r="I751" s="12" t="n">
        <f aca="false">IFERROR(VLOOKUP(F751,Insumos!$C$5:$G$143,5,FALSE()),0)</f>
        <v>0.078</v>
      </c>
      <c r="J751" s="25" t="n">
        <f aca="false">IF(C751="bizcocho",VLOOKUP(A751,'Recetas y precios'!$A$5:$G$55,6,FALSE()),IF(C751="jarabe",VLOOKUP(A751,'Recetas y precios'!$A$5:$G$55,7,FALSE()),1))</f>
        <v>1</v>
      </c>
      <c r="K751" s="15" t="n">
        <f aca="false">G751*I751*J751</f>
        <v>13.26</v>
      </c>
    </row>
    <row r="752" customFormat="false" ht="15" hidden="false" customHeight="false" outlineLevel="0" collapsed="false">
      <c r="A752" s="0" t="n">
        <v>46</v>
      </c>
      <c r="B752" s="22" t="s">
        <v>984</v>
      </c>
      <c r="C752" s="13" t="s">
        <v>393</v>
      </c>
      <c r="D752" s="23" t="s">
        <v>990</v>
      </c>
      <c r="E752" s="23" t="s">
        <v>991</v>
      </c>
      <c r="F752" s="24" t="s">
        <v>299</v>
      </c>
      <c r="G752" s="19" t="n">
        <v>35</v>
      </c>
      <c r="H752" s="13" t="s">
        <v>34</v>
      </c>
      <c r="I752" s="12" t="n">
        <f aca="false">IFERROR(VLOOKUP(F752,Insumos!$C$5:$G$143,5,FALSE()),0)</f>
        <v>0.52</v>
      </c>
      <c r="J752" s="25" t="n">
        <f aca="false">IF(C752="bizcocho",VLOOKUP(A752,'Recetas y precios'!$A$5:$G$55,6,FALSE()),IF(C752="jarabe",VLOOKUP(A752,'Recetas y precios'!$A$5:$G$55,7,FALSE()),1))</f>
        <v>1</v>
      </c>
      <c r="K752" s="15" t="n">
        <f aca="false">G752*I752*J752</f>
        <v>18.2</v>
      </c>
    </row>
    <row r="753" customFormat="false" ht="15" hidden="false" customHeight="false" outlineLevel="0" collapsed="false">
      <c r="A753" s="0" t="n">
        <v>46</v>
      </c>
      <c r="B753" s="22" t="s">
        <v>984</v>
      </c>
      <c r="C753" s="13" t="s">
        <v>393</v>
      </c>
      <c r="D753" s="23" t="s">
        <v>990</v>
      </c>
      <c r="E753" s="23" t="s">
        <v>506</v>
      </c>
      <c r="F753" s="24" t="s">
        <v>36</v>
      </c>
      <c r="G753" s="19" t="n">
        <v>45</v>
      </c>
      <c r="H753" s="13" t="s">
        <v>27</v>
      </c>
      <c r="I753" s="12" t="n">
        <f aca="false">IFERROR(VLOOKUP(F753,Insumos!$C$5:$G$143,5,FALSE()),0)</f>
        <v>0.085</v>
      </c>
      <c r="J753" s="25" t="n">
        <f aca="false">IF(C753="bizcocho",VLOOKUP(A753,'Recetas y precios'!$A$5:$G$55,6,FALSE()),IF(C753="jarabe",VLOOKUP(A753,'Recetas y precios'!$A$5:$G$55,7,FALSE()),1))</f>
        <v>1</v>
      </c>
      <c r="K753" s="15" t="n">
        <f aca="false">G753*I753*J753</f>
        <v>3.825</v>
      </c>
    </row>
    <row r="754" customFormat="false" ht="15" hidden="false" customHeight="false" outlineLevel="0" collapsed="false">
      <c r="A754" s="0" t="n">
        <v>46</v>
      </c>
      <c r="B754" s="22" t="s">
        <v>984</v>
      </c>
      <c r="C754" s="13" t="s">
        <v>393</v>
      </c>
      <c r="D754" s="23" t="s">
        <v>990</v>
      </c>
      <c r="E754" s="23" t="s">
        <v>456</v>
      </c>
      <c r="F754" s="24" t="s">
        <v>74</v>
      </c>
      <c r="G754" s="19" t="n">
        <v>20</v>
      </c>
      <c r="H754" s="13" t="s">
        <v>27</v>
      </c>
      <c r="I754" s="12" t="n">
        <f aca="false">IFERROR(VLOOKUP(F754,Insumos!$C$5:$G$143,5,FALSE()),0)</f>
        <v>0.045</v>
      </c>
      <c r="J754" s="25" t="n">
        <f aca="false">IF(C754="bizcocho",VLOOKUP(A754,'Recetas y precios'!$A$5:$G$55,6,FALSE()),IF(C754="jarabe",VLOOKUP(A754,'Recetas y precios'!$A$5:$G$55,7,FALSE()),1))</f>
        <v>1</v>
      </c>
      <c r="K754" s="15" t="n">
        <f aca="false">G754*I754*J754</f>
        <v>0.9</v>
      </c>
    </row>
    <row r="755" customFormat="false" ht="15" hidden="false" customHeight="false" outlineLevel="0" collapsed="false">
      <c r="A755" s="0" t="n">
        <v>46</v>
      </c>
      <c r="B755" s="22" t="s">
        <v>984</v>
      </c>
      <c r="C755" s="13" t="s">
        <v>400</v>
      </c>
      <c r="D755" s="23" t="s">
        <v>895</v>
      </c>
      <c r="E755" s="23" t="s">
        <v>992</v>
      </c>
      <c r="F755" s="24" t="s">
        <v>224</v>
      </c>
      <c r="G755" s="19" t="n">
        <v>25</v>
      </c>
      <c r="H755" s="13" t="s">
        <v>27</v>
      </c>
      <c r="I755" s="12" t="n">
        <f aca="false">IFERROR(VLOOKUP(F755,Insumos!$C$5:$G$143,5,FALSE()),0)</f>
        <v>0.65</v>
      </c>
      <c r="J755" s="25" t="n">
        <f aca="false">IF(C755="bizcocho",VLOOKUP(A755,'Recetas y precios'!$A$5:$G$55,6,FALSE()),IF(C755="jarabe",VLOOKUP(A755,'Recetas y precios'!$A$5:$G$55,7,FALSE()),1))</f>
        <v>1</v>
      </c>
      <c r="K755" s="15" t="n">
        <f aca="false">G755*I755*J755</f>
        <v>16.25</v>
      </c>
    </row>
    <row r="756" customFormat="false" ht="15" hidden="false" customHeight="false" outlineLevel="0" collapsed="false">
      <c r="A756" s="0" t="n">
        <v>46</v>
      </c>
      <c r="B756" s="22" t="s">
        <v>984</v>
      </c>
      <c r="C756" s="13" t="s">
        <v>400</v>
      </c>
      <c r="D756" s="23" t="s">
        <v>895</v>
      </c>
      <c r="E756" s="23" t="s">
        <v>993</v>
      </c>
      <c r="F756" s="24" t="s">
        <v>218</v>
      </c>
      <c r="G756" s="19" t="n">
        <v>6</v>
      </c>
      <c r="H756" s="13" t="s">
        <v>27</v>
      </c>
      <c r="I756" s="12" t="n">
        <f aca="false">IFERROR(VLOOKUP(F756,Insumos!$C$5:$G$143,5,FALSE()),0)</f>
        <v>0.42</v>
      </c>
      <c r="J756" s="25" t="n">
        <f aca="false">IF(C756="bizcocho",VLOOKUP(A756,'Recetas y precios'!$A$5:$G$55,6,FALSE()),IF(C756="jarabe",VLOOKUP(A756,'Recetas y precios'!$A$5:$G$55,7,FALSE()),1))</f>
        <v>1</v>
      </c>
      <c r="K756" s="15" t="n">
        <f aca="false">G756*I756*J756</f>
        <v>2.52</v>
      </c>
    </row>
    <row r="757" customFormat="false" ht="15" hidden="false" customHeight="false" outlineLevel="0" collapsed="false">
      <c r="A757" s="0" t="n">
        <v>47</v>
      </c>
      <c r="B757" s="22" t="s">
        <v>994</v>
      </c>
      <c r="C757" s="13" t="s">
        <v>376</v>
      </c>
      <c r="D757" s="23" t="s">
        <v>995</v>
      </c>
      <c r="E757" s="23" t="s">
        <v>432</v>
      </c>
      <c r="F757" s="24" t="s">
        <v>59</v>
      </c>
      <c r="G757" s="19" t="n">
        <v>45</v>
      </c>
      <c r="H757" s="13" t="s">
        <v>27</v>
      </c>
      <c r="I757" s="12" t="n">
        <f aca="false">IFERROR(VLOOKUP(F757,Insumos!$C$5:$G$143,5,FALSE()),0)</f>
        <v>0.032</v>
      </c>
      <c r="J757" s="25" t="n">
        <f aca="false">IF(C757="bizcocho",VLOOKUP(A757,'Recetas y precios'!$A$5:$G$55,6,FALSE()),IF(C757="jarabe",VLOOKUP(A757,'Recetas y precios'!$A$5:$G$55,7,FALSE()),1))</f>
        <v>0.275</v>
      </c>
      <c r="K757" s="15" t="n">
        <f aca="false">G757*I757*J757</f>
        <v>0.396</v>
      </c>
    </row>
    <row r="758" customFormat="false" ht="15" hidden="false" customHeight="false" outlineLevel="0" collapsed="false">
      <c r="A758" s="0" t="n">
        <v>47</v>
      </c>
      <c r="B758" s="22" t="s">
        <v>994</v>
      </c>
      <c r="C758" s="13" t="s">
        <v>376</v>
      </c>
      <c r="D758" s="23" t="s">
        <v>995</v>
      </c>
      <c r="E758" s="23" t="s">
        <v>986</v>
      </c>
      <c r="F758" s="24" t="s">
        <v>220</v>
      </c>
      <c r="G758" s="19" t="n">
        <v>10</v>
      </c>
      <c r="H758" s="13" t="s">
        <v>27</v>
      </c>
      <c r="I758" s="12" t="n">
        <f aca="false">IFERROR(VLOOKUP(F758,Insumos!$C$5:$G$143,5,FALSE()),0)</f>
        <v>0.52</v>
      </c>
      <c r="J758" s="25" t="n">
        <f aca="false">IF(C758="bizcocho",VLOOKUP(A758,'Recetas y precios'!$A$5:$G$55,6,FALSE()),IF(C758="jarabe",VLOOKUP(A758,'Recetas y precios'!$A$5:$G$55,7,FALSE()),1))</f>
        <v>0.275</v>
      </c>
      <c r="K758" s="15" t="n">
        <f aca="false">G758*I758*J758</f>
        <v>1.43</v>
      </c>
    </row>
    <row r="759" customFormat="false" ht="15" hidden="false" customHeight="false" outlineLevel="0" collapsed="false">
      <c r="A759" s="0" t="n">
        <v>47</v>
      </c>
      <c r="B759" s="22" t="s">
        <v>994</v>
      </c>
      <c r="C759" s="13" t="s">
        <v>376</v>
      </c>
      <c r="D759" s="23" t="s">
        <v>995</v>
      </c>
      <c r="E759" s="23" t="s">
        <v>996</v>
      </c>
      <c r="F759" s="24" t="s">
        <v>226</v>
      </c>
      <c r="G759" s="19" t="n">
        <v>5</v>
      </c>
      <c r="H759" s="13" t="s">
        <v>27</v>
      </c>
      <c r="I759" s="12" t="n">
        <f aca="false">IFERROR(VLOOKUP(F759,Insumos!$C$5:$G$143,5,FALSE()),0)</f>
        <v>1.8</v>
      </c>
      <c r="J759" s="25" t="n">
        <f aca="false">IF(C759="bizcocho",VLOOKUP(A759,'Recetas y precios'!$A$5:$G$55,6,FALSE()),IF(C759="jarabe",VLOOKUP(A759,'Recetas y precios'!$A$5:$G$55,7,FALSE()),1))</f>
        <v>0.275</v>
      </c>
      <c r="K759" s="15" t="n">
        <f aca="false">G759*I759*J759</f>
        <v>2.475</v>
      </c>
    </row>
    <row r="760" customFormat="false" ht="15" hidden="false" customHeight="false" outlineLevel="0" collapsed="false">
      <c r="A760" s="0" t="n">
        <v>47</v>
      </c>
      <c r="B760" s="22" t="s">
        <v>994</v>
      </c>
      <c r="C760" s="13" t="s">
        <v>376</v>
      </c>
      <c r="D760" s="23" t="s">
        <v>995</v>
      </c>
      <c r="E760" s="23" t="s">
        <v>493</v>
      </c>
      <c r="F760" s="24" t="s">
        <v>48</v>
      </c>
      <c r="G760" s="19" t="n">
        <v>40</v>
      </c>
      <c r="H760" s="13" t="s">
        <v>27</v>
      </c>
      <c r="I760" s="12" t="n">
        <f aca="false">IFERROR(VLOOKUP(F760,Insumos!$C$5:$G$143,5,FALSE()),0)</f>
        <v>0.13</v>
      </c>
      <c r="J760" s="25" t="n">
        <f aca="false">IF(C760="bizcocho",VLOOKUP(A760,'Recetas y precios'!$A$5:$G$55,6,FALSE()),IF(C760="jarabe",VLOOKUP(A760,'Recetas y precios'!$A$5:$G$55,7,FALSE()),1))</f>
        <v>0.275</v>
      </c>
      <c r="K760" s="15" t="n">
        <f aca="false">G760*I760*J760</f>
        <v>1.43</v>
      </c>
    </row>
    <row r="761" customFormat="false" ht="15" hidden="false" customHeight="false" outlineLevel="0" collapsed="false">
      <c r="A761" s="0" t="n">
        <v>47</v>
      </c>
      <c r="B761" s="22" t="s">
        <v>994</v>
      </c>
      <c r="C761" s="13" t="s">
        <v>376</v>
      </c>
      <c r="D761" s="23" t="s">
        <v>995</v>
      </c>
      <c r="E761" s="23" t="s">
        <v>494</v>
      </c>
      <c r="F761" s="24" t="s">
        <v>50</v>
      </c>
      <c r="G761" s="19" t="n">
        <v>80</v>
      </c>
      <c r="H761" s="13" t="s">
        <v>27</v>
      </c>
      <c r="I761" s="12" t="n">
        <f aca="false">IFERROR(VLOOKUP(F761,Insumos!$C$5:$G$143,5,FALSE()),0)</f>
        <v>0.075</v>
      </c>
      <c r="J761" s="25" t="n">
        <f aca="false">IF(C761="bizcocho",VLOOKUP(A761,'Recetas y precios'!$A$5:$G$55,6,FALSE()),IF(C761="jarabe",VLOOKUP(A761,'Recetas y precios'!$A$5:$G$55,7,FALSE()),1))</f>
        <v>0.275</v>
      </c>
      <c r="K761" s="15" t="n">
        <f aca="false">G761*I761*J761</f>
        <v>1.65</v>
      </c>
    </row>
    <row r="762" customFormat="false" ht="15" hidden="false" customHeight="false" outlineLevel="0" collapsed="false">
      <c r="A762" s="0" t="n">
        <v>47</v>
      </c>
      <c r="B762" s="22" t="s">
        <v>994</v>
      </c>
      <c r="C762" s="13" t="s">
        <v>376</v>
      </c>
      <c r="D762" s="23" t="s">
        <v>995</v>
      </c>
      <c r="E762" s="23" t="s">
        <v>472</v>
      </c>
      <c r="F762" s="24" t="s">
        <v>72</v>
      </c>
      <c r="G762" s="19" t="n">
        <v>45</v>
      </c>
      <c r="H762" s="13" t="s">
        <v>27</v>
      </c>
      <c r="I762" s="12" t="n">
        <f aca="false">IFERROR(VLOOKUP(F762,Insumos!$C$5:$G$143,5,FALSE()),0)</f>
        <v>0.028</v>
      </c>
      <c r="J762" s="25" t="n">
        <f aca="false">IF(C762="bizcocho",VLOOKUP(A762,'Recetas y precios'!$A$5:$G$55,6,FALSE()),IF(C762="jarabe",VLOOKUP(A762,'Recetas y precios'!$A$5:$G$55,7,FALSE()),1))</f>
        <v>0.275</v>
      </c>
      <c r="K762" s="15" t="n">
        <f aca="false">G762*I762*J762</f>
        <v>0.3465</v>
      </c>
    </row>
    <row r="763" customFormat="false" ht="15" hidden="false" customHeight="false" outlineLevel="0" collapsed="false">
      <c r="A763" s="0" t="n">
        <v>47</v>
      </c>
      <c r="B763" s="22" t="s">
        <v>994</v>
      </c>
      <c r="C763" s="13" t="s">
        <v>376</v>
      </c>
      <c r="D763" s="23" t="s">
        <v>995</v>
      </c>
      <c r="E763" s="23" t="s">
        <v>531</v>
      </c>
      <c r="F763" s="24" t="s">
        <v>109</v>
      </c>
      <c r="G763" s="19" t="n">
        <v>25</v>
      </c>
      <c r="H763" s="13" t="s">
        <v>34</v>
      </c>
      <c r="I763" s="12" t="n">
        <f aca="false">IFERROR(VLOOKUP(F763,Insumos!$C$5:$G$143,5,FALSE()),0)</f>
        <v>0.045</v>
      </c>
      <c r="J763" s="25" t="n">
        <f aca="false">IF(C763="bizcocho",VLOOKUP(A763,'Recetas y precios'!$A$5:$G$55,6,FALSE()),IF(C763="jarabe",VLOOKUP(A763,'Recetas y precios'!$A$5:$G$55,7,FALSE()),1))</f>
        <v>0.275</v>
      </c>
      <c r="K763" s="15" t="n">
        <f aca="false">G763*I763*J763</f>
        <v>0.309375</v>
      </c>
    </row>
    <row r="764" customFormat="false" ht="15" hidden="false" customHeight="false" outlineLevel="0" collapsed="false">
      <c r="A764" s="0" t="n">
        <v>47</v>
      </c>
      <c r="B764" s="22" t="s">
        <v>994</v>
      </c>
      <c r="C764" s="13" t="s">
        <v>376</v>
      </c>
      <c r="D764" s="23" t="s">
        <v>995</v>
      </c>
      <c r="E764" s="23" t="s">
        <v>660</v>
      </c>
      <c r="F764" s="24" t="s">
        <v>40</v>
      </c>
      <c r="G764" s="19" t="n">
        <v>40</v>
      </c>
      <c r="H764" s="13" t="s">
        <v>34</v>
      </c>
      <c r="I764" s="12" t="n">
        <f aca="false">IFERROR(VLOOKUP(F764,Insumos!$C$5:$G$143,5,FALSE()),0)</f>
        <v>0.028</v>
      </c>
      <c r="J764" s="25" t="n">
        <f aca="false">IF(C764="bizcocho",VLOOKUP(A764,'Recetas y precios'!$A$5:$G$55,6,FALSE()),IF(C764="jarabe",VLOOKUP(A764,'Recetas y precios'!$A$5:$G$55,7,FALSE()),1))</f>
        <v>0.275</v>
      </c>
      <c r="K764" s="15" t="n">
        <f aca="false">G764*I764*J764</f>
        <v>0.308</v>
      </c>
    </row>
    <row r="765" customFormat="false" ht="15" hidden="false" customHeight="false" outlineLevel="0" collapsed="false">
      <c r="A765" s="0" t="n">
        <v>47</v>
      </c>
      <c r="B765" s="22" t="s">
        <v>994</v>
      </c>
      <c r="C765" s="13" t="s">
        <v>376</v>
      </c>
      <c r="D765" s="23" t="s">
        <v>995</v>
      </c>
      <c r="E765" s="23" t="s">
        <v>413</v>
      </c>
      <c r="F765" s="24" t="s">
        <v>103</v>
      </c>
      <c r="G765" s="19" t="n">
        <v>1</v>
      </c>
      <c r="H765" s="13" t="s">
        <v>27</v>
      </c>
      <c r="I765" s="12" t="n">
        <f aca="false">IFERROR(VLOOKUP(F765,Insumos!$C$5:$G$143,5,FALSE()),0)</f>
        <v>0.025</v>
      </c>
      <c r="J765" s="25" t="n">
        <f aca="false">IF(C765="bizcocho",VLOOKUP(A765,'Recetas y precios'!$A$5:$G$55,6,FALSE()),IF(C765="jarabe",VLOOKUP(A765,'Recetas y precios'!$A$5:$G$55,7,FALSE()),1))</f>
        <v>0.275</v>
      </c>
      <c r="K765" s="15" t="n">
        <f aca="false">G765*I765*J765</f>
        <v>0.006875</v>
      </c>
    </row>
    <row r="766" customFormat="false" ht="15" hidden="false" customHeight="false" outlineLevel="0" collapsed="false">
      <c r="A766" s="0" t="n">
        <v>47</v>
      </c>
      <c r="B766" s="22" t="s">
        <v>994</v>
      </c>
      <c r="C766" s="13" t="s">
        <v>387</v>
      </c>
      <c r="D766" s="23" t="s">
        <v>661</v>
      </c>
      <c r="E766" s="23" t="s">
        <v>997</v>
      </c>
      <c r="F766" s="24" t="s">
        <v>116</v>
      </c>
      <c r="G766" s="19" t="n">
        <v>50</v>
      </c>
      <c r="H766" s="13" t="s">
        <v>34</v>
      </c>
      <c r="I766" s="12" t="n">
        <f aca="false">IFERROR(VLOOKUP(F766,Insumos!$C$5:$G$143,5,FALSE()),0)</f>
        <v>0.145</v>
      </c>
      <c r="J766" s="25" t="n">
        <f aca="false">IF(C766="bizcocho",VLOOKUP(A766,'Recetas y precios'!$A$5:$G$55,6,FALSE()),IF(C766="jarabe",VLOOKUP(A766,'Recetas y precios'!$A$5:$G$55,7,FALSE()),1))</f>
        <v>0.778</v>
      </c>
      <c r="K766" s="15" t="n">
        <f aca="false">G766*I766*J766</f>
        <v>5.6405</v>
      </c>
    </row>
    <row r="767" customFormat="false" ht="15" hidden="false" customHeight="false" outlineLevel="0" collapsed="false">
      <c r="A767" s="0" t="n">
        <v>47</v>
      </c>
      <c r="B767" s="22" t="s">
        <v>994</v>
      </c>
      <c r="C767" s="13" t="s">
        <v>387</v>
      </c>
      <c r="D767" s="23" t="s">
        <v>661</v>
      </c>
      <c r="E767" s="23" t="s">
        <v>917</v>
      </c>
      <c r="F767" s="24" t="s">
        <v>113</v>
      </c>
      <c r="G767" s="19" t="n">
        <v>15</v>
      </c>
      <c r="H767" s="13" t="s">
        <v>34</v>
      </c>
      <c r="I767" s="12" t="n">
        <f aca="false">IFERROR(VLOOKUP(F767,Insumos!$C$5:$G$143,5,FALSE()),0)</f>
        <v>0.002</v>
      </c>
      <c r="J767" s="25" t="n">
        <f aca="false">IF(C767="bizcocho",VLOOKUP(A767,'Recetas y precios'!$A$5:$G$55,6,FALSE()),IF(C767="jarabe",VLOOKUP(A767,'Recetas y precios'!$A$5:$G$55,7,FALSE()),1))</f>
        <v>0.778</v>
      </c>
      <c r="K767" s="15" t="n">
        <f aca="false">G767*I767*J767</f>
        <v>0.02334</v>
      </c>
    </row>
    <row r="768" customFormat="false" ht="15" hidden="false" customHeight="false" outlineLevel="0" collapsed="false">
      <c r="A768" s="0" t="n">
        <v>47</v>
      </c>
      <c r="B768" s="22" t="s">
        <v>994</v>
      </c>
      <c r="C768" s="13" t="s">
        <v>387</v>
      </c>
      <c r="D768" s="23" t="s">
        <v>661</v>
      </c>
      <c r="E768" s="23" t="s">
        <v>391</v>
      </c>
      <c r="F768" s="24" t="s">
        <v>72</v>
      </c>
      <c r="G768" s="19" t="n">
        <v>15</v>
      </c>
      <c r="H768" s="13" t="s">
        <v>27</v>
      </c>
      <c r="I768" s="12" t="n">
        <f aca="false">IFERROR(VLOOKUP(F768,Insumos!$C$5:$G$143,5,FALSE()),0)</f>
        <v>0.028</v>
      </c>
      <c r="J768" s="25" t="n">
        <f aca="false">IF(C768="bizcocho",VLOOKUP(A768,'Recetas y precios'!$A$5:$G$55,6,FALSE()),IF(C768="jarabe",VLOOKUP(A768,'Recetas y precios'!$A$5:$G$55,7,FALSE()),1))</f>
        <v>0.778</v>
      </c>
      <c r="K768" s="15" t="n">
        <f aca="false">G768*I768*J768</f>
        <v>0.32676</v>
      </c>
    </row>
    <row r="769" customFormat="false" ht="15" hidden="false" customHeight="false" outlineLevel="0" collapsed="false">
      <c r="A769" s="0" t="n">
        <v>47</v>
      </c>
      <c r="B769" s="22" t="s">
        <v>994</v>
      </c>
      <c r="C769" s="13" t="s">
        <v>387</v>
      </c>
      <c r="D769" s="23" t="s">
        <v>661</v>
      </c>
      <c r="E769" s="23" t="s">
        <v>998</v>
      </c>
      <c r="F769" s="24" t="s">
        <v>301</v>
      </c>
      <c r="G769" s="19" t="n">
        <v>10</v>
      </c>
      <c r="H769" s="13" t="s">
        <v>34</v>
      </c>
      <c r="I769" s="12" t="n">
        <f aca="false">IFERROR(VLOOKUP(F769,Insumos!$C$5:$G$143,5,FALSE()),0)</f>
        <v>0.642857142857143</v>
      </c>
      <c r="J769" s="25" t="n">
        <f aca="false">IF(C769="bizcocho",VLOOKUP(A769,'Recetas y precios'!$A$5:$G$55,6,FALSE()),IF(C769="jarabe",VLOOKUP(A769,'Recetas y precios'!$A$5:$G$55,7,FALSE()),1))</f>
        <v>0.778</v>
      </c>
      <c r="K769" s="15" t="n">
        <f aca="false">G769*I769*J769</f>
        <v>5.00142857142857</v>
      </c>
    </row>
    <row r="770" customFormat="false" ht="15" hidden="false" customHeight="false" outlineLevel="0" collapsed="false">
      <c r="A770" s="0" t="n">
        <v>47</v>
      </c>
      <c r="B770" s="22" t="s">
        <v>994</v>
      </c>
      <c r="C770" s="13" t="s">
        <v>393</v>
      </c>
      <c r="D770" s="23" t="s">
        <v>999</v>
      </c>
      <c r="E770" s="23" t="s">
        <v>503</v>
      </c>
      <c r="F770" s="24" t="s">
        <v>26</v>
      </c>
      <c r="G770" s="19" t="n">
        <v>180</v>
      </c>
      <c r="H770" s="13" t="s">
        <v>27</v>
      </c>
      <c r="I770" s="12" t="n">
        <f aca="false">IFERROR(VLOOKUP(F770,Insumos!$C$5:$G$143,5,FALSE()),0)</f>
        <v>0.38</v>
      </c>
      <c r="J770" s="25" t="n">
        <f aca="false">IF(C770="bizcocho",VLOOKUP(A770,'Recetas y precios'!$A$5:$G$55,6,FALSE()),IF(C770="jarabe",VLOOKUP(A770,'Recetas y precios'!$A$5:$G$55,7,FALSE()),1))</f>
        <v>1</v>
      </c>
      <c r="K770" s="15" t="n">
        <f aca="false">G770*I770*J770</f>
        <v>68.4</v>
      </c>
    </row>
    <row r="771" customFormat="false" ht="15" hidden="false" customHeight="false" outlineLevel="0" collapsed="false">
      <c r="A771" s="0" t="n">
        <v>47</v>
      </c>
      <c r="B771" s="22" t="s">
        <v>994</v>
      </c>
      <c r="C771" s="13" t="s">
        <v>393</v>
      </c>
      <c r="D771" s="23" t="s">
        <v>999</v>
      </c>
      <c r="E771" s="23" t="s">
        <v>504</v>
      </c>
      <c r="F771" s="24" t="s">
        <v>33</v>
      </c>
      <c r="G771" s="19" t="n">
        <v>180</v>
      </c>
      <c r="H771" s="13" t="s">
        <v>34</v>
      </c>
      <c r="I771" s="12" t="n">
        <f aca="false">IFERROR(VLOOKUP(F771,Insumos!$C$5:$G$143,5,FALSE()),0)</f>
        <v>0.078</v>
      </c>
      <c r="J771" s="25" t="n">
        <f aca="false">IF(C771="bizcocho",VLOOKUP(A771,'Recetas y precios'!$A$5:$G$55,6,FALSE()),IF(C771="jarabe",VLOOKUP(A771,'Recetas y precios'!$A$5:$G$55,7,FALSE()),1))</f>
        <v>1</v>
      </c>
      <c r="K771" s="15" t="n">
        <f aca="false">G771*I771*J771</f>
        <v>14.04</v>
      </c>
    </row>
    <row r="772" customFormat="false" ht="15" hidden="false" customHeight="false" outlineLevel="0" collapsed="false">
      <c r="A772" s="0" t="n">
        <v>47</v>
      </c>
      <c r="B772" s="22" t="s">
        <v>994</v>
      </c>
      <c r="C772" s="13" t="s">
        <v>393</v>
      </c>
      <c r="D772" s="23" t="s">
        <v>999</v>
      </c>
      <c r="E772" s="23" t="s">
        <v>1000</v>
      </c>
      <c r="F772" s="24" t="s">
        <v>226</v>
      </c>
      <c r="G772" s="19" t="n">
        <v>4</v>
      </c>
      <c r="H772" s="13" t="s">
        <v>27</v>
      </c>
      <c r="I772" s="12" t="n">
        <f aca="false">IFERROR(VLOOKUP(F772,Insumos!$C$5:$G$143,5,FALSE()),0)</f>
        <v>1.8</v>
      </c>
      <c r="J772" s="25" t="n">
        <f aca="false">IF(C772="bizcocho",VLOOKUP(A772,'Recetas y precios'!$A$5:$G$55,6,FALSE()),IF(C772="jarabe",VLOOKUP(A772,'Recetas y precios'!$A$5:$G$55,7,FALSE()),1))</f>
        <v>1</v>
      </c>
      <c r="K772" s="15" t="n">
        <f aca="false">G772*I772*J772</f>
        <v>7.2</v>
      </c>
    </row>
    <row r="773" customFormat="false" ht="15" hidden="false" customHeight="false" outlineLevel="0" collapsed="false">
      <c r="A773" s="0" t="n">
        <v>47</v>
      </c>
      <c r="B773" s="22" t="s">
        <v>994</v>
      </c>
      <c r="C773" s="13" t="s">
        <v>393</v>
      </c>
      <c r="D773" s="23" t="s">
        <v>999</v>
      </c>
      <c r="E773" s="23" t="s">
        <v>444</v>
      </c>
      <c r="F773" s="24" t="s">
        <v>36</v>
      </c>
      <c r="G773" s="19" t="n">
        <v>50</v>
      </c>
      <c r="H773" s="13" t="s">
        <v>27</v>
      </c>
      <c r="I773" s="12" t="n">
        <f aca="false">IFERROR(VLOOKUP(F773,Insumos!$C$5:$G$143,5,FALSE()),0)</f>
        <v>0.085</v>
      </c>
      <c r="J773" s="25" t="n">
        <f aca="false">IF(C773="bizcocho",VLOOKUP(A773,'Recetas y precios'!$A$5:$G$55,6,FALSE()),IF(C773="jarabe",VLOOKUP(A773,'Recetas y precios'!$A$5:$G$55,7,FALSE()),1))</f>
        <v>1</v>
      </c>
      <c r="K773" s="15" t="n">
        <f aca="false">G773*I773*J773</f>
        <v>4.25</v>
      </c>
    </row>
    <row r="774" customFormat="false" ht="15" hidden="false" customHeight="false" outlineLevel="0" collapsed="false">
      <c r="A774" s="0" t="n">
        <v>47</v>
      </c>
      <c r="B774" s="22" t="s">
        <v>994</v>
      </c>
      <c r="C774" s="13" t="s">
        <v>393</v>
      </c>
      <c r="D774" s="23" t="s">
        <v>999</v>
      </c>
      <c r="E774" s="23" t="s">
        <v>456</v>
      </c>
      <c r="F774" s="24" t="s">
        <v>74</v>
      </c>
      <c r="G774" s="19" t="n">
        <v>20</v>
      </c>
      <c r="H774" s="13" t="s">
        <v>27</v>
      </c>
      <c r="I774" s="12" t="n">
        <f aca="false">IFERROR(VLOOKUP(F774,Insumos!$C$5:$G$143,5,FALSE()),0)</f>
        <v>0.045</v>
      </c>
      <c r="J774" s="25" t="n">
        <f aca="false">IF(C774="bizcocho",VLOOKUP(A774,'Recetas y precios'!$A$5:$G$55,6,FALSE()),IF(C774="jarabe",VLOOKUP(A774,'Recetas y precios'!$A$5:$G$55,7,FALSE()),1))</f>
        <v>1</v>
      </c>
      <c r="K774" s="15" t="n">
        <f aca="false">G774*I774*J774</f>
        <v>0.9</v>
      </c>
    </row>
    <row r="775" customFormat="false" ht="15" hidden="false" customHeight="false" outlineLevel="0" collapsed="false">
      <c r="A775" s="0" t="n">
        <v>47</v>
      </c>
      <c r="B775" s="22" t="s">
        <v>994</v>
      </c>
      <c r="C775" s="13" t="s">
        <v>393</v>
      </c>
      <c r="D775" s="23" t="s">
        <v>999</v>
      </c>
      <c r="E775" s="23" t="s">
        <v>774</v>
      </c>
      <c r="F775" s="24" t="s">
        <v>284</v>
      </c>
      <c r="G775" s="19" t="n">
        <v>2</v>
      </c>
      <c r="H775" s="13" t="s">
        <v>34</v>
      </c>
      <c r="I775" s="12" t="n">
        <f aca="false">IFERROR(VLOOKUP(F775,Insumos!$C$5:$G$143,5,FALSE()),0)</f>
        <v>0.45</v>
      </c>
      <c r="J775" s="25" t="n">
        <f aca="false">IF(C775="bizcocho",VLOOKUP(A775,'Recetas y precios'!$A$5:$G$55,6,FALSE()),IF(C775="jarabe",VLOOKUP(A775,'Recetas y precios'!$A$5:$G$55,7,FALSE()),1))</f>
        <v>1</v>
      </c>
      <c r="K775" s="15" t="n">
        <f aca="false">G775*I775*J775</f>
        <v>0.9</v>
      </c>
    </row>
    <row r="776" customFormat="false" ht="15" hidden="false" customHeight="false" outlineLevel="0" collapsed="false">
      <c r="A776" s="0" t="n">
        <v>47</v>
      </c>
      <c r="B776" s="22" t="s">
        <v>994</v>
      </c>
      <c r="C776" s="13" t="s">
        <v>400</v>
      </c>
      <c r="D776" s="23" t="s">
        <v>708</v>
      </c>
      <c r="E776" s="23" t="s">
        <v>1001</v>
      </c>
      <c r="F776" s="24" t="s">
        <v>210</v>
      </c>
      <c r="G776" s="19" t="n">
        <v>30</v>
      </c>
      <c r="H776" s="13" t="s">
        <v>27</v>
      </c>
      <c r="I776" s="12" t="n">
        <f aca="false">IFERROR(VLOOKUP(F776,Insumos!$C$5:$G$143,5,FALSE()),0)</f>
        <v>0.32</v>
      </c>
      <c r="J776" s="25" t="n">
        <f aca="false">IF(C776="bizcocho",VLOOKUP(A776,'Recetas y precios'!$A$5:$G$55,6,FALSE()),IF(C776="jarabe",VLOOKUP(A776,'Recetas y precios'!$A$5:$G$55,7,FALSE()),1))</f>
        <v>1</v>
      </c>
      <c r="K776" s="15" t="n">
        <f aca="false">G776*I776*J776</f>
        <v>9.6</v>
      </c>
    </row>
    <row r="777" customFormat="false" ht="15" hidden="false" customHeight="false" outlineLevel="0" collapsed="false">
      <c r="A777" s="0" t="n">
        <v>47</v>
      </c>
      <c r="B777" s="22" t="s">
        <v>994</v>
      </c>
      <c r="C777" s="13" t="s">
        <v>400</v>
      </c>
      <c r="D777" s="23" t="s">
        <v>708</v>
      </c>
      <c r="E777" s="23" t="s">
        <v>668</v>
      </c>
      <c r="F777" s="24" t="s">
        <v>249</v>
      </c>
      <c r="G777" s="19" t="n">
        <v>20</v>
      </c>
      <c r="H777" s="13" t="s">
        <v>27</v>
      </c>
      <c r="I777" s="12" t="n">
        <f aca="false">IFERROR(VLOOKUP(F777,Insumos!$C$5:$G$143,5,FALSE()),0)</f>
        <v>0.75</v>
      </c>
      <c r="J777" s="25" t="n">
        <f aca="false">IF(C777="bizcocho",VLOOKUP(A777,'Recetas y precios'!$A$5:$G$55,6,FALSE()),IF(C777="jarabe",VLOOKUP(A777,'Recetas y precios'!$A$5:$G$55,7,FALSE()),1))</f>
        <v>1</v>
      </c>
      <c r="K777" s="15" t="n">
        <f aca="false">G777*I777*J777</f>
        <v>15</v>
      </c>
    </row>
    <row r="778" customFormat="false" ht="15" hidden="false" customHeight="false" outlineLevel="0" collapsed="false">
      <c r="A778" s="0" t="n">
        <v>47</v>
      </c>
      <c r="B778" s="22" t="s">
        <v>994</v>
      </c>
      <c r="C778" s="13" t="s">
        <v>400</v>
      </c>
      <c r="D778" s="23" t="s">
        <v>708</v>
      </c>
      <c r="E778" s="23" t="s">
        <v>1002</v>
      </c>
      <c r="F778" s="24" t="s">
        <v>33</v>
      </c>
      <c r="G778" s="19" t="n">
        <v>20</v>
      </c>
      <c r="H778" s="13" t="s">
        <v>34</v>
      </c>
      <c r="I778" s="12" t="n">
        <f aca="false">IFERROR(VLOOKUP(F778,Insumos!$C$5:$G$143,5,FALSE()),0)</f>
        <v>0.078</v>
      </c>
      <c r="J778" s="25" t="n">
        <f aca="false">IF(C778="bizcocho",VLOOKUP(A778,'Recetas y precios'!$A$5:$G$55,6,FALSE()),IF(C778="jarabe",VLOOKUP(A778,'Recetas y precios'!$A$5:$G$55,7,FALSE()),1))</f>
        <v>1</v>
      </c>
      <c r="K778" s="15" t="n">
        <f aca="false">G778*I778*J778</f>
        <v>1.56</v>
      </c>
    </row>
    <row r="779" customFormat="false" ht="15" hidden="false" customHeight="false" outlineLevel="0" collapsed="false">
      <c r="A779" s="0" t="n">
        <v>47</v>
      </c>
      <c r="B779" s="22" t="s">
        <v>994</v>
      </c>
      <c r="C779" s="13" t="s">
        <v>400</v>
      </c>
      <c r="D779" s="23" t="s">
        <v>708</v>
      </c>
      <c r="E779" s="23" t="s">
        <v>1003</v>
      </c>
      <c r="F779" s="24" t="s">
        <v>226</v>
      </c>
      <c r="G779" s="19" t="n">
        <v>5</v>
      </c>
      <c r="H779" s="13" t="s">
        <v>27</v>
      </c>
      <c r="I779" s="12" t="n">
        <f aca="false">IFERROR(VLOOKUP(F779,Insumos!$C$5:$G$143,5,FALSE()),0)</f>
        <v>1.8</v>
      </c>
      <c r="J779" s="25" t="n">
        <f aca="false">IF(C779="bizcocho",VLOOKUP(A779,'Recetas y precios'!$A$5:$G$55,6,FALSE()),IF(C779="jarabe",VLOOKUP(A779,'Recetas y precios'!$A$5:$G$55,7,FALSE()),1))</f>
        <v>1</v>
      </c>
      <c r="K779" s="15" t="n">
        <f aca="false">G779*I779*J779</f>
        <v>9</v>
      </c>
    </row>
    <row r="780" customFormat="false" ht="15" hidden="false" customHeight="false" outlineLevel="0" collapsed="false">
      <c r="A780" s="0" t="n">
        <v>48</v>
      </c>
      <c r="B780" s="22" t="s">
        <v>1004</v>
      </c>
      <c r="C780" s="13" t="s">
        <v>376</v>
      </c>
      <c r="D780" s="23" t="s">
        <v>1005</v>
      </c>
      <c r="E780" s="23" t="s">
        <v>530</v>
      </c>
      <c r="F780" s="24" t="s">
        <v>59</v>
      </c>
      <c r="G780" s="19" t="n">
        <v>50</v>
      </c>
      <c r="H780" s="13" t="s">
        <v>27</v>
      </c>
      <c r="I780" s="12" t="n">
        <f aca="false">IFERROR(VLOOKUP(F780,Insumos!$C$5:$G$143,5,FALSE()),0)</f>
        <v>0.032</v>
      </c>
      <c r="J780" s="25" t="n">
        <f aca="false">IF(C780="bizcocho",VLOOKUP(A780,'Recetas y precios'!$A$5:$G$55,6,FALSE()),IF(C780="jarabe",VLOOKUP(A780,'Recetas y precios'!$A$5:$G$55,7,FALSE()),1))</f>
        <v>0.285</v>
      </c>
      <c r="K780" s="15" t="n">
        <f aca="false">G780*I780*J780</f>
        <v>0.456</v>
      </c>
    </row>
    <row r="781" customFormat="false" ht="15" hidden="false" customHeight="false" outlineLevel="0" collapsed="false">
      <c r="A781" s="0" t="n">
        <v>48</v>
      </c>
      <c r="B781" s="22" t="s">
        <v>1004</v>
      </c>
      <c r="C781" s="13" t="s">
        <v>376</v>
      </c>
      <c r="D781" s="23" t="s">
        <v>1005</v>
      </c>
      <c r="E781" s="23" t="s">
        <v>409</v>
      </c>
      <c r="F781" s="24" t="s">
        <v>48</v>
      </c>
      <c r="G781" s="19" t="n">
        <v>35</v>
      </c>
      <c r="H781" s="13" t="s">
        <v>27</v>
      </c>
      <c r="I781" s="12" t="n">
        <f aca="false">IFERROR(VLOOKUP(F781,Insumos!$C$5:$G$143,5,FALSE()),0)</f>
        <v>0.13</v>
      </c>
      <c r="J781" s="25" t="n">
        <f aca="false">IF(C781="bizcocho",VLOOKUP(A781,'Recetas y precios'!$A$5:$G$55,6,FALSE()),IF(C781="jarabe",VLOOKUP(A781,'Recetas y precios'!$A$5:$G$55,7,FALSE()),1))</f>
        <v>0.285</v>
      </c>
      <c r="K781" s="15" t="n">
        <f aca="false">G781*I781*J781</f>
        <v>1.29675</v>
      </c>
    </row>
    <row r="782" customFormat="false" ht="15" hidden="false" customHeight="false" outlineLevel="0" collapsed="false">
      <c r="A782" s="0" t="n">
        <v>48</v>
      </c>
      <c r="B782" s="22" t="s">
        <v>1004</v>
      </c>
      <c r="C782" s="13" t="s">
        <v>376</v>
      </c>
      <c r="D782" s="23" t="s">
        <v>1005</v>
      </c>
      <c r="E782" s="23" t="s">
        <v>410</v>
      </c>
      <c r="F782" s="24" t="s">
        <v>50</v>
      </c>
      <c r="G782" s="19" t="n">
        <v>75</v>
      </c>
      <c r="H782" s="13" t="s">
        <v>27</v>
      </c>
      <c r="I782" s="12" t="n">
        <f aca="false">IFERROR(VLOOKUP(F782,Insumos!$C$5:$G$143,5,FALSE()),0)</f>
        <v>0.075</v>
      </c>
      <c r="J782" s="25" t="n">
        <f aca="false">IF(C782="bizcocho",VLOOKUP(A782,'Recetas y precios'!$A$5:$G$55,6,FALSE()),IF(C782="jarabe",VLOOKUP(A782,'Recetas y precios'!$A$5:$G$55,7,FALSE()),1))</f>
        <v>0.285</v>
      </c>
      <c r="K782" s="15" t="n">
        <f aca="false">G782*I782*J782</f>
        <v>1.603125</v>
      </c>
    </row>
    <row r="783" customFormat="false" ht="15" hidden="false" customHeight="false" outlineLevel="0" collapsed="false">
      <c r="A783" s="0" t="n">
        <v>48</v>
      </c>
      <c r="B783" s="22" t="s">
        <v>1004</v>
      </c>
      <c r="C783" s="13" t="s">
        <v>376</v>
      </c>
      <c r="D783" s="23" t="s">
        <v>1005</v>
      </c>
      <c r="E783" s="23" t="s">
        <v>411</v>
      </c>
      <c r="F783" s="24" t="s">
        <v>72</v>
      </c>
      <c r="G783" s="19" t="n">
        <v>40</v>
      </c>
      <c r="H783" s="13" t="s">
        <v>27</v>
      </c>
      <c r="I783" s="12" t="n">
        <f aca="false">IFERROR(VLOOKUP(F783,Insumos!$C$5:$G$143,5,FALSE()),0)</f>
        <v>0.028</v>
      </c>
      <c r="J783" s="25" t="n">
        <f aca="false">IF(C783="bizcocho",VLOOKUP(A783,'Recetas y precios'!$A$5:$G$55,6,FALSE()),IF(C783="jarabe",VLOOKUP(A783,'Recetas y precios'!$A$5:$G$55,7,FALSE()),1))</f>
        <v>0.285</v>
      </c>
      <c r="K783" s="15" t="n">
        <f aca="false">G783*I783*J783</f>
        <v>0.3192</v>
      </c>
    </row>
    <row r="784" customFormat="false" ht="15" hidden="false" customHeight="false" outlineLevel="0" collapsed="false">
      <c r="A784" s="0" t="n">
        <v>48</v>
      </c>
      <c r="B784" s="22" t="s">
        <v>1004</v>
      </c>
      <c r="C784" s="13" t="s">
        <v>376</v>
      </c>
      <c r="D784" s="23" t="s">
        <v>1005</v>
      </c>
      <c r="E784" s="23" t="s">
        <v>531</v>
      </c>
      <c r="F784" s="24" t="s">
        <v>109</v>
      </c>
      <c r="G784" s="19" t="n">
        <v>25</v>
      </c>
      <c r="H784" s="13" t="s">
        <v>34</v>
      </c>
      <c r="I784" s="12" t="n">
        <f aca="false">IFERROR(VLOOKUP(F784,Insumos!$C$5:$G$143,5,FALSE()),0)</f>
        <v>0.045</v>
      </c>
      <c r="J784" s="25" t="n">
        <f aca="false">IF(C784="bizcocho",VLOOKUP(A784,'Recetas y precios'!$A$5:$G$55,6,FALSE()),IF(C784="jarabe",VLOOKUP(A784,'Recetas y precios'!$A$5:$G$55,7,FALSE()),1))</f>
        <v>0.285</v>
      </c>
      <c r="K784" s="15" t="n">
        <f aca="false">G784*I784*J784</f>
        <v>0.320625</v>
      </c>
    </row>
    <row r="785" customFormat="false" ht="15" hidden="false" customHeight="false" outlineLevel="0" collapsed="false">
      <c r="A785" s="0" t="n">
        <v>48</v>
      </c>
      <c r="B785" s="22" t="s">
        <v>1004</v>
      </c>
      <c r="C785" s="13" t="s">
        <v>376</v>
      </c>
      <c r="D785" s="23" t="s">
        <v>1005</v>
      </c>
      <c r="E785" s="23" t="s">
        <v>383</v>
      </c>
      <c r="F785" s="24" t="s">
        <v>40</v>
      </c>
      <c r="G785" s="19" t="n">
        <v>35</v>
      </c>
      <c r="H785" s="13" t="s">
        <v>34</v>
      </c>
      <c r="I785" s="12" t="n">
        <f aca="false">IFERROR(VLOOKUP(F785,Insumos!$C$5:$G$143,5,FALSE()),0)</f>
        <v>0.028</v>
      </c>
      <c r="J785" s="25" t="n">
        <f aca="false">IF(C785="bizcocho",VLOOKUP(A785,'Recetas y precios'!$A$5:$G$55,6,FALSE()),IF(C785="jarabe",VLOOKUP(A785,'Recetas y precios'!$A$5:$G$55,7,FALSE()),1))</f>
        <v>0.285</v>
      </c>
      <c r="K785" s="15" t="n">
        <f aca="false">G785*I785*J785</f>
        <v>0.2793</v>
      </c>
    </row>
    <row r="786" customFormat="false" ht="15" hidden="false" customHeight="false" outlineLevel="0" collapsed="false">
      <c r="A786" s="0" t="n">
        <v>48</v>
      </c>
      <c r="B786" s="22" t="s">
        <v>1004</v>
      </c>
      <c r="C786" s="13" t="s">
        <v>376</v>
      </c>
      <c r="D786" s="23" t="s">
        <v>1005</v>
      </c>
      <c r="E786" s="23" t="s">
        <v>423</v>
      </c>
      <c r="F786" s="24" t="s">
        <v>284</v>
      </c>
      <c r="G786" s="19" t="n">
        <v>2</v>
      </c>
      <c r="H786" s="13" t="s">
        <v>34</v>
      </c>
      <c r="I786" s="12" t="n">
        <f aca="false">IFERROR(VLOOKUP(F786,Insumos!$C$5:$G$143,5,FALSE()),0)</f>
        <v>0.45</v>
      </c>
      <c r="J786" s="25" t="n">
        <f aca="false">IF(C786="bizcocho",VLOOKUP(A786,'Recetas y precios'!$A$5:$G$55,6,FALSE()),IF(C786="jarabe",VLOOKUP(A786,'Recetas y precios'!$A$5:$G$55,7,FALSE()),1))</f>
        <v>0.285</v>
      </c>
      <c r="K786" s="15" t="n">
        <f aca="false">G786*I786*J786</f>
        <v>0.2565</v>
      </c>
    </row>
    <row r="787" customFormat="false" ht="15" hidden="false" customHeight="false" outlineLevel="0" collapsed="false">
      <c r="A787" s="0" t="n">
        <v>48</v>
      </c>
      <c r="B787" s="22" t="s">
        <v>1004</v>
      </c>
      <c r="C787" s="13" t="s">
        <v>376</v>
      </c>
      <c r="D787" s="23" t="s">
        <v>1005</v>
      </c>
      <c r="E787" s="23" t="s">
        <v>413</v>
      </c>
      <c r="F787" s="24" t="s">
        <v>103</v>
      </c>
      <c r="G787" s="19" t="n">
        <v>1</v>
      </c>
      <c r="H787" s="13" t="s">
        <v>27</v>
      </c>
      <c r="I787" s="12" t="n">
        <f aca="false">IFERROR(VLOOKUP(F787,Insumos!$C$5:$G$143,5,FALSE()),0)</f>
        <v>0.025</v>
      </c>
      <c r="J787" s="25" t="n">
        <f aca="false">IF(C787="bizcocho",VLOOKUP(A787,'Recetas y precios'!$A$5:$G$55,6,FALSE()),IF(C787="jarabe",VLOOKUP(A787,'Recetas y precios'!$A$5:$G$55,7,FALSE()),1))</f>
        <v>0.285</v>
      </c>
      <c r="K787" s="15" t="n">
        <f aca="false">G787*I787*J787</f>
        <v>0.007125</v>
      </c>
    </row>
    <row r="788" customFormat="false" ht="15" hidden="false" customHeight="false" outlineLevel="0" collapsed="false">
      <c r="A788" s="0" t="n">
        <v>48</v>
      </c>
      <c r="B788" s="22" t="s">
        <v>1004</v>
      </c>
      <c r="C788" s="13" t="s">
        <v>387</v>
      </c>
      <c r="D788" s="23" t="s">
        <v>661</v>
      </c>
      <c r="E788" s="23" t="s">
        <v>950</v>
      </c>
      <c r="F788" s="24" t="s">
        <v>116</v>
      </c>
      <c r="G788" s="19" t="n">
        <v>45</v>
      </c>
      <c r="H788" s="13" t="s">
        <v>34</v>
      </c>
      <c r="I788" s="12" t="n">
        <f aca="false">IFERROR(VLOOKUP(F788,Insumos!$C$5:$G$143,5,FALSE()),0)</f>
        <v>0.145</v>
      </c>
      <c r="J788" s="25" t="n">
        <f aca="false">IF(C788="bizcocho",VLOOKUP(A788,'Recetas y precios'!$A$5:$G$55,6,FALSE()),IF(C788="jarabe",VLOOKUP(A788,'Recetas y precios'!$A$5:$G$55,7,FALSE()),1))</f>
        <v>0.765</v>
      </c>
      <c r="K788" s="15" t="n">
        <f aca="false">G788*I788*J788</f>
        <v>4.991625</v>
      </c>
    </row>
    <row r="789" customFormat="false" ht="15" hidden="false" customHeight="false" outlineLevel="0" collapsed="false">
      <c r="A789" s="0" t="n">
        <v>48</v>
      </c>
      <c r="B789" s="22" t="s">
        <v>1004</v>
      </c>
      <c r="C789" s="13" t="s">
        <v>387</v>
      </c>
      <c r="D789" s="23" t="s">
        <v>661</v>
      </c>
      <c r="E789" s="23" t="s">
        <v>390</v>
      </c>
      <c r="F789" s="24" t="s">
        <v>113</v>
      </c>
      <c r="G789" s="19" t="n">
        <v>20</v>
      </c>
      <c r="H789" s="13" t="s">
        <v>34</v>
      </c>
      <c r="I789" s="12" t="n">
        <f aca="false">IFERROR(VLOOKUP(F789,Insumos!$C$5:$G$143,5,FALSE()),0)</f>
        <v>0.002</v>
      </c>
      <c r="J789" s="25" t="n">
        <f aca="false">IF(C789="bizcocho",VLOOKUP(A789,'Recetas y precios'!$A$5:$G$55,6,FALSE()),IF(C789="jarabe",VLOOKUP(A789,'Recetas y precios'!$A$5:$G$55,7,FALSE()),1))</f>
        <v>0.765</v>
      </c>
      <c r="K789" s="15" t="n">
        <f aca="false">G789*I789*J789</f>
        <v>0.0306</v>
      </c>
    </row>
    <row r="790" customFormat="false" ht="15" hidden="false" customHeight="false" outlineLevel="0" collapsed="false">
      <c r="A790" s="0" t="n">
        <v>48</v>
      </c>
      <c r="B790" s="22" t="s">
        <v>1004</v>
      </c>
      <c r="C790" s="13" t="s">
        <v>387</v>
      </c>
      <c r="D790" s="23" t="s">
        <v>661</v>
      </c>
      <c r="E790" s="23" t="s">
        <v>687</v>
      </c>
      <c r="F790" s="24" t="s">
        <v>88</v>
      </c>
      <c r="G790" s="19" t="n">
        <v>15</v>
      </c>
      <c r="H790" s="13" t="s">
        <v>27</v>
      </c>
      <c r="I790" s="12" t="n">
        <f aca="false">IFERROR(VLOOKUP(F790,Insumos!$C$5:$G$143,5,FALSE()),0)</f>
        <v>0.26</v>
      </c>
      <c r="J790" s="25" t="n">
        <f aca="false">IF(C790="bizcocho",VLOOKUP(A790,'Recetas y precios'!$A$5:$G$55,6,FALSE()),IF(C790="jarabe",VLOOKUP(A790,'Recetas y precios'!$A$5:$G$55,7,FALSE()),1))</f>
        <v>0.765</v>
      </c>
      <c r="K790" s="15" t="n">
        <f aca="false">G790*I790*J790</f>
        <v>2.9835</v>
      </c>
    </row>
    <row r="791" customFormat="false" ht="15" hidden="false" customHeight="false" outlineLevel="0" collapsed="false">
      <c r="A791" s="0" t="n">
        <v>48</v>
      </c>
      <c r="B791" s="22" t="s">
        <v>1004</v>
      </c>
      <c r="C791" s="13" t="s">
        <v>387</v>
      </c>
      <c r="D791" s="23" t="s">
        <v>661</v>
      </c>
      <c r="E791" s="23" t="s">
        <v>1006</v>
      </c>
      <c r="F791" s="24" t="s">
        <v>301</v>
      </c>
      <c r="G791" s="19" t="n">
        <v>5</v>
      </c>
      <c r="H791" s="13" t="s">
        <v>34</v>
      </c>
      <c r="I791" s="12" t="n">
        <f aca="false">IFERROR(VLOOKUP(F791,Insumos!$C$5:$G$143,5,FALSE()),0)</f>
        <v>0.642857142857143</v>
      </c>
      <c r="J791" s="25" t="n">
        <f aca="false">IF(C791="bizcocho",VLOOKUP(A791,'Recetas y precios'!$A$5:$G$55,6,FALSE()),IF(C791="jarabe",VLOOKUP(A791,'Recetas y precios'!$A$5:$G$55,7,FALSE()),1))</f>
        <v>0.765</v>
      </c>
      <c r="K791" s="15" t="n">
        <f aca="false">G791*I791*J791</f>
        <v>2.45892857142857</v>
      </c>
    </row>
    <row r="792" customFormat="false" ht="15" hidden="false" customHeight="false" outlineLevel="0" collapsed="false">
      <c r="A792" s="0" t="n">
        <v>48</v>
      </c>
      <c r="B792" s="22" t="s">
        <v>1004</v>
      </c>
      <c r="C792" s="13" t="s">
        <v>393</v>
      </c>
      <c r="D792" s="23" t="s">
        <v>1007</v>
      </c>
      <c r="E792" s="23" t="s">
        <v>666</v>
      </c>
      <c r="F792" s="24" t="s">
        <v>26</v>
      </c>
      <c r="G792" s="19" t="n">
        <v>190</v>
      </c>
      <c r="H792" s="13" t="s">
        <v>27</v>
      </c>
      <c r="I792" s="12" t="n">
        <f aca="false">IFERROR(VLOOKUP(F792,Insumos!$C$5:$G$143,5,FALSE()),0)</f>
        <v>0.38</v>
      </c>
      <c r="J792" s="25" t="n">
        <f aca="false">IF(C792="bizcocho",VLOOKUP(A792,'Recetas y precios'!$A$5:$G$55,6,FALSE()),IF(C792="jarabe",VLOOKUP(A792,'Recetas y precios'!$A$5:$G$55,7,FALSE()),1))</f>
        <v>1</v>
      </c>
      <c r="K792" s="15" t="n">
        <f aca="false">G792*I792*J792</f>
        <v>72.2</v>
      </c>
    </row>
    <row r="793" customFormat="false" ht="15" hidden="false" customHeight="false" outlineLevel="0" collapsed="false">
      <c r="A793" s="0" t="n">
        <v>48</v>
      </c>
      <c r="B793" s="22" t="s">
        <v>1004</v>
      </c>
      <c r="C793" s="13" t="s">
        <v>393</v>
      </c>
      <c r="D793" s="23" t="s">
        <v>1007</v>
      </c>
      <c r="E793" s="23" t="s">
        <v>504</v>
      </c>
      <c r="F793" s="24" t="s">
        <v>33</v>
      </c>
      <c r="G793" s="19" t="n">
        <v>180</v>
      </c>
      <c r="H793" s="13" t="s">
        <v>34</v>
      </c>
      <c r="I793" s="12" t="n">
        <f aca="false">IFERROR(VLOOKUP(F793,Insumos!$C$5:$G$143,5,FALSE()),0)</f>
        <v>0.078</v>
      </c>
      <c r="J793" s="25" t="n">
        <f aca="false">IF(C793="bizcocho",VLOOKUP(A793,'Recetas y precios'!$A$5:$G$55,6,FALSE()),IF(C793="jarabe",VLOOKUP(A793,'Recetas y precios'!$A$5:$G$55,7,FALSE()),1))</f>
        <v>1</v>
      </c>
      <c r="K793" s="15" t="n">
        <f aca="false">G793*I793*J793</f>
        <v>14.04</v>
      </c>
    </row>
    <row r="794" customFormat="false" ht="15" hidden="false" customHeight="false" outlineLevel="0" collapsed="false">
      <c r="A794" s="0" t="n">
        <v>48</v>
      </c>
      <c r="B794" s="22" t="s">
        <v>1004</v>
      </c>
      <c r="C794" s="13" t="s">
        <v>393</v>
      </c>
      <c r="D794" s="23" t="s">
        <v>1007</v>
      </c>
      <c r="E794" s="23" t="s">
        <v>1008</v>
      </c>
      <c r="F794" s="24" t="s">
        <v>88</v>
      </c>
      <c r="G794" s="19" t="n">
        <v>20</v>
      </c>
      <c r="H794" s="13" t="s">
        <v>27</v>
      </c>
      <c r="I794" s="12" t="n">
        <f aca="false">IFERROR(VLOOKUP(F794,Insumos!$C$5:$G$143,5,FALSE()),0)</f>
        <v>0.26</v>
      </c>
      <c r="J794" s="25" t="n">
        <f aca="false">IF(C794="bizcocho",VLOOKUP(A794,'Recetas y precios'!$A$5:$G$55,6,FALSE()),IF(C794="jarabe",VLOOKUP(A794,'Recetas y precios'!$A$5:$G$55,7,FALSE()),1))</f>
        <v>1</v>
      </c>
      <c r="K794" s="15" t="n">
        <f aca="false">G794*I794*J794</f>
        <v>5.2</v>
      </c>
    </row>
    <row r="795" customFormat="false" ht="15" hidden="false" customHeight="false" outlineLevel="0" collapsed="false">
      <c r="A795" s="0" t="n">
        <v>48</v>
      </c>
      <c r="B795" s="22" t="s">
        <v>1004</v>
      </c>
      <c r="C795" s="13" t="s">
        <v>393</v>
      </c>
      <c r="D795" s="23" t="s">
        <v>1007</v>
      </c>
      <c r="E795" s="23" t="s">
        <v>455</v>
      </c>
      <c r="F795" s="24" t="s">
        <v>36</v>
      </c>
      <c r="G795" s="19" t="n">
        <v>40</v>
      </c>
      <c r="H795" s="13" t="s">
        <v>27</v>
      </c>
      <c r="I795" s="12" t="n">
        <f aca="false">IFERROR(VLOOKUP(F795,Insumos!$C$5:$G$143,5,FALSE()),0)</f>
        <v>0.085</v>
      </c>
      <c r="J795" s="25" t="n">
        <f aca="false">IF(C795="bizcocho",VLOOKUP(A795,'Recetas y precios'!$A$5:$G$55,6,FALSE()),IF(C795="jarabe",VLOOKUP(A795,'Recetas y precios'!$A$5:$G$55,7,FALSE()),1))</f>
        <v>1</v>
      </c>
      <c r="K795" s="15" t="n">
        <f aca="false">G795*I795*J795</f>
        <v>3.4</v>
      </c>
    </row>
    <row r="796" customFormat="false" ht="15" hidden="false" customHeight="false" outlineLevel="0" collapsed="false">
      <c r="A796" s="0" t="n">
        <v>48</v>
      </c>
      <c r="B796" s="22" t="s">
        <v>1004</v>
      </c>
      <c r="C796" s="13" t="s">
        <v>393</v>
      </c>
      <c r="D796" s="23" t="s">
        <v>1007</v>
      </c>
      <c r="E796" s="23" t="s">
        <v>567</v>
      </c>
      <c r="F796" s="24" t="s">
        <v>74</v>
      </c>
      <c r="G796" s="19" t="n">
        <v>15</v>
      </c>
      <c r="H796" s="13" t="s">
        <v>27</v>
      </c>
      <c r="I796" s="12" t="n">
        <f aca="false">IFERROR(VLOOKUP(F796,Insumos!$C$5:$G$143,5,FALSE()),0)</f>
        <v>0.045</v>
      </c>
      <c r="J796" s="25" t="n">
        <f aca="false">IF(C796="bizcocho",VLOOKUP(A796,'Recetas y precios'!$A$5:$G$55,6,FALSE()),IF(C796="jarabe",VLOOKUP(A796,'Recetas y precios'!$A$5:$G$55,7,FALSE()),1))</f>
        <v>1</v>
      </c>
      <c r="K796" s="15" t="n">
        <f aca="false">G796*I796*J796</f>
        <v>0.675</v>
      </c>
    </row>
    <row r="797" customFormat="false" ht="15" hidden="false" customHeight="false" outlineLevel="0" collapsed="false">
      <c r="A797" s="0" t="n">
        <v>48</v>
      </c>
      <c r="B797" s="22" t="s">
        <v>1004</v>
      </c>
      <c r="C797" s="13" t="s">
        <v>393</v>
      </c>
      <c r="D797" s="23" t="s">
        <v>1007</v>
      </c>
      <c r="E797" s="23" t="s">
        <v>854</v>
      </c>
      <c r="F797" s="24" t="s">
        <v>103</v>
      </c>
      <c r="G797" s="19" t="n">
        <v>1.5</v>
      </c>
      <c r="H797" s="13" t="s">
        <v>27</v>
      </c>
      <c r="I797" s="12" t="n">
        <f aca="false">IFERROR(VLOOKUP(F797,Insumos!$C$5:$G$143,5,FALSE()),0)</f>
        <v>0.025</v>
      </c>
      <c r="J797" s="25" t="n">
        <f aca="false">IF(C797="bizcocho",VLOOKUP(A797,'Recetas y precios'!$A$5:$G$55,6,FALSE()),IF(C797="jarabe",VLOOKUP(A797,'Recetas y precios'!$A$5:$G$55,7,FALSE()),1))</f>
        <v>1</v>
      </c>
      <c r="K797" s="15" t="n">
        <f aca="false">G797*I797*J797</f>
        <v>0.0375</v>
      </c>
    </row>
    <row r="798" customFormat="false" ht="15" hidden="false" customHeight="false" outlineLevel="0" collapsed="false">
      <c r="A798" s="0" t="n">
        <v>48</v>
      </c>
      <c r="B798" s="22" t="s">
        <v>1004</v>
      </c>
      <c r="C798" s="13" t="s">
        <v>400</v>
      </c>
      <c r="D798" s="23" t="s">
        <v>806</v>
      </c>
      <c r="E798" s="23" t="s">
        <v>1009</v>
      </c>
      <c r="F798" s="24" t="s">
        <v>247</v>
      </c>
      <c r="G798" s="19" t="n">
        <v>30</v>
      </c>
      <c r="H798" s="13" t="s">
        <v>27</v>
      </c>
      <c r="I798" s="12" t="n">
        <f aca="false">IFERROR(VLOOKUP(F798,Insumos!$C$5:$G$143,5,FALSE()),0)</f>
        <v>0.52</v>
      </c>
      <c r="J798" s="25" t="n">
        <f aca="false">IF(C798="bizcocho",VLOOKUP(A798,'Recetas y precios'!$A$5:$G$55,6,FALSE()),IF(C798="jarabe",VLOOKUP(A798,'Recetas y precios'!$A$5:$G$55,7,FALSE()),1))</f>
        <v>1</v>
      </c>
      <c r="K798" s="15" t="n">
        <f aca="false">G798*I798*J798</f>
        <v>15.6</v>
      </c>
    </row>
    <row r="799" customFormat="false" ht="15" hidden="false" customHeight="false" outlineLevel="0" collapsed="false">
      <c r="A799" s="0" t="n">
        <v>48</v>
      </c>
      <c r="B799" s="22" t="s">
        <v>1004</v>
      </c>
      <c r="C799" s="13" t="s">
        <v>400</v>
      </c>
      <c r="D799" s="23" t="s">
        <v>806</v>
      </c>
      <c r="E799" s="23" t="s">
        <v>489</v>
      </c>
      <c r="F799" s="24" t="s">
        <v>105</v>
      </c>
      <c r="G799" s="19" t="n">
        <v>2</v>
      </c>
      <c r="H799" s="13" t="s">
        <v>27</v>
      </c>
      <c r="I799" s="12" t="n">
        <f aca="false">IFERROR(VLOOKUP(F799,Insumos!$C$5:$G$143,5,FALSE()),0)</f>
        <v>0.72</v>
      </c>
      <c r="J799" s="25" t="n">
        <f aca="false">IF(C799="bizcocho",VLOOKUP(A799,'Recetas y precios'!$A$5:$G$55,6,FALSE()),IF(C799="jarabe",VLOOKUP(A799,'Recetas y precios'!$A$5:$G$55,7,FALSE()),1))</f>
        <v>1</v>
      </c>
      <c r="K799" s="15" t="n">
        <f aca="false">G799*I799*J799</f>
        <v>1.44</v>
      </c>
    </row>
    <row r="800" customFormat="false" ht="15" hidden="false" customHeight="false" outlineLevel="0" collapsed="false">
      <c r="A800" s="0" t="n">
        <v>49</v>
      </c>
      <c r="B800" s="22" t="s">
        <v>1010</v>
      </c>
      <c r="C800" s="13" t="s">
        <v>376</v>
      </c>
      <c r="D800" s="23" t="s">
        <v>1011</v>
      </c>
      <c r="E800" s="23" t="s">
        <v>432</v>
      </c>
      <c r="F800" s="24" t="s">
        <v>59</v>
      </c>
      <c r="G800" s="19" t="n">
        <v>45</v>
      </c>
      <c r="H800" s="13" t="s">
        <v>27</v>
      </c>
      <c r="I800" s="12" t="n">
        <f aca="false">IFERROR(VLOOKUP(F800,Insumos!$C$5:$G$143,5,FALSE()),0)</f>
        <v>0.032</v>
      </c>
      <c r="J800" s="25" t="n">
        <f aca="false">IF(C800="bizcocho",VLOOKUP(A800,'Recetas y precios'!$A$5:$G$55,6,FALSE()),IF(C800="jarabe",VLOOKUP(A800,'Recetas y precios'!$A$5:$G$55,7,FALSE()),1))</f>
        <v>0.283</v>
      </c>
      <c r="K800" s="15" t="n">
        <f aca="false">G800*I800*J800</f>
        <v>0.40752</v>
      </c>
    </row>
    <row r="801" customFormat="false" ht="15" hidden="false" customHeight="false" outlineLevel="0" collapsed="false">
      <c r="A801" s="0" t="n">
        <v>49</v>
      </c>
      <c r="B801" s="22" t="s">
        <v>1010</v>
      </c>
      <c r="C801" s="13" t="s">
        <v>376</v>
      </c>
      <c r="D801" s="23" t="s">
        <v>1011</v>
      </c>
      <c r="E801" s="23" t="s">
        <v>1012</v>
      </c>
      <c r="F801" s="24" t="s">
        <v>196</v>
      </c>
      <c r="G801" s="19" t="n">
        <v>12</v>
      </c>
      <c r="H801" s="13" t="s">
        <v>27</v>
      </c>
      <c r="I801" s="12" t="n">
        <f aca="false">IFERROR(VLOOKUP(F801,Insumos!$C$5:$G$143,5,FALSE()),0)</f>
        <v>1.7</v>
      </c>
      <c r="J801" s="25" t="n">
        <f aca="false">IF(C801="bizcocho",VLOOKUP(A801,'Recetas y precios'!$A$5:$G$55,6,FALSE()),IF(C801="jarabe",VLOOKUP(A801,'Recetas y precios'!$A$5:$G$55,7,FALSE()),1))</f>
        <v>0.283</v>
      </c>
      <c r="K801" s="15" t="n">
        <f aca="false">G801*I801*J801</f>
        <v>5.7732</v>
      </c>
    </row>
    <row r="802" customFormat="false" ht="15" hidden="false" customHeight="false" outlineLevel="0" collapsed="false">
      <c r="A802" s="0" t="n">
        <v>49</v>
      </c>
      <c r="B802" s="22" t="s">
        <v>1010</v>
      </c>
      <c r="C802" s="13" t="s">
        <v>376</v>
      </c>
      <c r="D802" s="23" t="s">
        <v>1011</v>
      </c>
      <c r="E802" s="23" t="s">
        <v>493</v>
      </c>
      <c r="F802" s="24" t="s">
        <v>48</v>
      </c>
      <c r="G802" s="19" t="n">
        <v>40</v>
      </c>
      <c r="H802" s="13" t="s">
        <v>27</v>
      </c>
      <c r="I802" s="12" t="n">
        <f aca="false">IFERROR(VLOOKUP(F802,Insumos!$C$5:$G$143,5,FALSE()),0)</f>
        <v>0.13</v>
      </c>
      <c r="J802" s="25" t="n">
        <f aca="false">IF(C802="bizcocho",VLOOKUP(A802,'Recetas y precios'!$A$5:$G$55,6,FALSE()),IF(C802="jarabe",VLOOKUP(A802,'Recetas y precios'!$A$5:$G$55,7,FALSE()),1))</f>
        <v>0.283</v>
      </c>
      <c r="K802" s="15" t="n">
        <f aca="false">G802*I802*J802</f>
        <v>1.4716</v>
      </c>
    </row>
    <row r="803" customFormat="false" ht="15" hidden="false" customHeight="false" outlineLevel="0" collapsed="false">
      <c r="A803" s="0" t="n">
        <v>49</v>
      </c>
      <c r="B803" s="22" t="s">
        <v>1010</v>
      </c>
      <c r="C803" s="13" t="s">
        <v>376</v>
      </c>
      <c r="D803" s="23" t="s">
        <v>1011</v>
      </c>
      <c r="E803" s="23" t="s">
        <v>494</v>
      </c>
      <c r="F803" s="24" t="s">
        <v>50</v>
      </c>
      <c r="G803" s="19" t="n">
        <v>80</v>
      </c>
      <c r="H803" s="13" t="s">
        <v>27</v>
      </c>
      <c r="I803" s="12" t="n">
        <f aca="false">IFERROR(VLOOKUP(F803,Insumos!$C$5:$G$143,5,FALSE()),0)</f>
        <v>0.075</v>
      </c>
      <c r="J803" s="25" t="n">
        <f aca="false">IF(C803="bizcocho",VLOOKUP(A803,'Recetas y precios'!$A$5:$G$55,6,FALSE()),IF(C803="jarabe",VLOOKUP(A803,'Recetas y precios'!$A$5:$G$55,7,FALSE()),1))</f>
        <v>0.283</v>
      </c>
      <c r="K803" s="15" t="n">
        <f aca="false">G803*I803*J803</f>
        <v>1.698</v>
      </c>
    </row>
    <row r="804" customFormat="false" ht="15" hidden="false" customHeight="false" outlineLevel="0" collapsed="false">
      <c r="A804" s="0" t="n">
        <v>49</v>
      </c>
      <c r="B804" s="22" t="s">
        <v>1010</v>
      </c>
      <c r="C804" s="13" t="s">
        <v>376</v>
      </c>
      <c r="D804" s="23" t="s">
        <v>1011</v>
      </c>
      <c r="E804" s="23" t="s">
        <v>472</v>
      </c>
      <c r="F804" s="24" t="s">
        <v>72</v>
      </c>
      <c r="G804" s="19" t="n">
        <v>45</v>
      </c>
      <c r="H804" s="13" t="s">
        <v>27</v>
      </c>
      <c r="I804" s="12" t="n">
        <f aca="false">IFERROR(VLOOKUP(F804,Insumos!$C$5:$G$143,5,FALSE()),0)</f>
        <v>0.028</v>
      </c>
      <c r="J804" s="25" t="n">
        <f aca="false">IF(C804="bizcocho",VLOOKUP(A804,'Recetas y precios'!$A$5:$G$55,6,FALSE()),IF(C804="jarabe",VLOOKUP(A804,'Recetas y precios'!$A$5:$G$55,7,FALSE()),1))</f>
        <v>0.283</v>
      </c>
      <c r="K804" s="15" t="n">
        <f aca="false">G804*I804*J804</f>
        <v>0.35658</v>
      </c>
    </row>
    <row r="805" customFormat="false" ht="15" hidden="false" customHeight="false" outlineLevel="0" collapsed="false">
      <c r="A805" s="0" t="n">
        <v>49</v>
      </c>
      <c r="B805" s="22" t="s">
        <v>1010</v>
      </c>
      <c r="C805" s="13" t="s">
        <v>376</v>
      </c>
      <c r="D805" s="23" t="s">
        <v>1011</v>
      </c>
      <c r="E805" s="23" t="s">
        <v>531</v>
      </c>
      <c r="F805" s="24" t="s">
        <v>109</v>
      </c>
      <c r="G805" s="19" t="n">
        <v>25</v>
      </c>
      <c r="H805" s="13" t="s">
        <v>34</v>
      </c>
      <c r="I805" s="12" t="n">
        <f aca="false">IFERROR(VLOOKUP(F805,Insumos!$C$5:$G$143,5,FALSE()),0)</f>
        <v>0.045</v>
      </c>
      <c r="J805" s="25" t="n">
        <f aca="false">IF(C805="bizcocho",VLOOKUP(A805,'Recetas y precios'!$A$5:$G$55,6,FALSE()),IF(C805="jarabe",VLOOKUP(A805,'Recetas y precios'!$A$5:$G$55,7,FALSE()),1))</f>
        <v>0.283</v>
      </c>
      <c r="K805" s="15" t="n">
        <f aca="false">G805*I805*J805</f>
        <v>0.318375</v>
      </c>
    </row>
    <row r="806" customFormat="false" ht="15" hidden="false" customHeight="false" outlineLevel="0" collapsed="false">
      <c r="A806" s="0" t="n">
        <v>49</v>
      </c>
      <c r="B806" s="22" t="s">
        <v>1010</v>
      </c>
      <c r="C806" s="13" t="s">
        <v>376</v>
      </c>
      <c r="D806" s="23" t="s">
        <v>1011</v>
      </c>
      <c r="E806" s="23" t="s">
        <v>383</v>
      </c>
      <c r="F806" s="24" t="s">
        <v>40</v>
      </c>
      <c r="G806" s="19" t="n">
        <v>35</v>
      </c>
      <c r="H806" s="13" t="s">
        <v>34</v>
      </c>
      <c r="I806" s="12" t="n">
        <f aca="false">IFERROR(VLOOKUP(F806,Insumos!$C$5:$G$143,5,FALSE()),0)</f>
        <v>0.028</v>
      </c>
      <c r="J806" s="25" t="n">
        <f aca="false">IF(C806="bizcocho",VLOOKUP(A806,'Recetas y precios'!$A$5:$G$55,6,FALSE()),IF(C806="jarabe",VLOOKUP(A806,'Recetas y precios'!$A$5:$G$55,7,FALSE()),1))</f>
        <v>0.283</v>
      </c>
      <c r="K806" s="15" t="n">
        <f aca="false">G806*I806*J806</f>
        <v>0.27734</v>
      </c>
    </row>
    <row r="807" customFormat="false" ht="15" hidden="false" customHeight="false" outlineLevel="0" collapsed="false">
      <c r="A807" s="0" t="n">
        <v>49</v>
      </c>
      <c r="B807" s="22" t="s">
        <v>1010</v>
      </c>
      <c r="C807" s="13" t="s">
        <v>376</v>
      </c>
      <c r="D807" s="23" t="s">
        <v>1011</v>
      </c>
      <c r="E807" s="23" t="s">
        <v>413</v>
      </c>
      <c r="F807" s="24" t="s">
        <v>103</v>
      </c>
      <c r="G807" s="19" t="n">
        <v>1</v>
      </c>
      <c r="H807" s="13" t="s">
        <v>27</v>
      </c>
      <c r="I807" s="12" t="n">
        <f aca="false">IFERROR(VLOOKUP(F807,Insumos!$C$5:$G$143,5,FALSE()),0)</f>
        <v>0.025</v>
      </c>
      <c r="J807" s="25" t="n">
        <f aca="false">IF(C807="bizcocho",VLOOKUP(A807,'Recetas y precios'!$A$5:$G$55,6,FALSE()),IF(C807="jarabe",VLOOKUP(A807,'Recetas y precios'!$A$5:$G$55,7,FALSE()),1))</f>
        <v>0.283</v>
      </c>
      <c r="K807" s="15" t="n">
        <f aca="false">G807*I807*J807</f>
        <v>0.007075</v>
      </c>
    </row>
    <row r="808" customFormat="false" ht="15" hidden="false" customHeight="false" outlineLevel="0" collapsed="false">
      <c r="A808" s="0" t="n">
        <v>49</v>
      </c>
      <c r="B808" s="22" t="s">
        <v>1010</v>
      </c>
      <c r="C808" s="13" t="s">
        <v>387</v>
      </c>
      <c r="D808" s="23" t="s">
        <v>661</v>
      </c>
      <c r="E808" s="23" t="s">
        <v>1013</v>
      </c>
      <c r="F808" s="24" t="s">
        <v>154</v>
      </c>
      <c r="G808" s="19" t="n">
        <v>45</v>
      </c>
      <c r="H808" s="13" t="s">
        <v>27</v>
      </c>
      <c r="I808" s="12" t="n">
        <f aca="false">IFERROR(VLOOKUP(F808,Insumos!$C$5:$G$143,5,FALSE()),0)</f>
        <v>0.26</v>
      </c>
      <c r="J808" s="25" t="n">
        <f aca="false">IF(C808="bizcocho",VLOOKUP(A808,'Recetas y precios'!$A$5:$G$55,6,FALSE()),IF(C808="jarabe",VLOOKUP(A808,'Recetas y precios'!$A$5:$G$55,7,FALSE()),1))</f>
        <v>0.875</v>
      </c>
      <c r="K808" s="15" t="n">
        <f aca="false">G808*I808*J808</f>
        <v>10.2375</v>
      </c>
    </row>
    <row r="809" customFormat="false" ht="15" hidden="false" customHeight="false" outlineLevel="0" collapsed="false">
      <c r="A809" s="0" t="n">
        <v>49</v>
      </c>
      <c r="B809" s="22" t="s">
        <v>1010</v>
      </c>
      <c r="C809" s="13" t="s">
        <v>387</v>
      </c>
      <c r="D809" s="23" t="s">
        <v>661</v>
      </c>
      <c r="E809" s="23" t="s">
        <v>1014</v>
      </c>
      <c r="F809" s="24" t="s">
        <v>319</v>
      </c>
      <c r="G809" s="19" t="n">
        <v>15</v>
      </c>
      <c r="H809" s="13" t="s">
        <v>34</v>
      </c>
      <c r="I809" s="12" t="n">
        <f aca="false">IFERROR(VLOOKUP(F809,Insumos!$C$5:$G$143,5,FALSE()),0)</f>
        <v>0.72</v>
      </c>
      <c r="J809" s="25" t="n">
        <f aca="false">IF(C809="bizcocho",VLOOKUP(A809,'Recetas y precios'!$A$5:$G$55,6,FALSE()),IF(C809="jarabe",VLOOKUP(A809,'Recetas y precios'!$A$5:$G$55,7,FALSE()),1))</f>
        <v>0.875</v>
      </c>
      <c r="K809" s="15" t="n">
        <f aca="false">G809*I809*J809</f>
        <v>9.45</v>
      </c>
    </row>
    <row r="810" customFormat="false" ht="15" hidden="false" customHeight="false" outlineLevel="0" collapsed="false">
      <c r="A810" s="0" t="n">
        <v>49</v>
      </c>
      <c r="B810" s="22" t="s">
        <v>1010</v>
      </c>
      <c r="C810" s="13" t="s">
        <v>387</v>
      </c>
      <c r="D810" s="23" t="s">
        <v>661</v>
      </c>
      <c r="E810" s="23" t="s">
        <v>391</v>
      </c>
      <c r="F810" s="24" t="s">
        <v>72</v>
      </c>
      <c r="G810" s="19" t="n">
        <v>15</v>
      </c>
      <c r="H810" s="13" t="s">
        <v>27</v>
      </c>
      <c r="I810" s="12" t="n">
        <f aca="false">IFERROR(VLOOKUP(F810,Insumos!$C$5:$G$143,5,FALSE()),0)</f>
        <v>0.028</v>
      </c>
      <c r="J810" s="25" t="n">
        <f aca="false">IF(C810="bizcocho",VLOOKUP(A810,'Recetas y precios'!$A$5:$G$55,6,FALSE()),IF(C810="jarabe",VLOOKUP(A810,'Recetas y precios'!$A$5:$G$55,7,FALSE()),1))</f>
        <v>0.875</v>
      </c>
      <c r="K810" s="15" t="n">
        <f aca="false">G810*I810*J810</f>
        <v>0.3675</v>
      </c>
    </row>
    <row r="811" customFormat="false" ht="15" hidden="false" customHeight="false" outlineLevel="0" collapsed="false">
      <c r="A811" s="0" t="n">
        <v>49</v>
      </c>
      <c r="B811" s="22" t="s">
        <v>1010</v>
      </c>
      <c r="C811" s="13" t="s">
        <v>387</v>
      </c>
      <c r="D811" s="23" t="s">
        <v>661</v>
      </c>
      <c r="E811" s="23" t="s">
        <v>1015</v>
      </c>
      <c r="F811" s="24" t="s">
        <v>315</v>
      </c>
      <c r="G811" s="19" t="n">
        <v>5</v>
      </c>
      <c r="H811" s="13" t="s">
        <v>34</v>
      </c>
      <c r="I811" s="12" t="n">
        <f aca="false">IFERROR(VLOOKUP(F811,Insumos!$C$5:$G$143,5,FALSE()),0)</f>
        <v>0.533333333333333</v>
      </c>
      <c r="J811" s="25" t="n">
        <f aca="false">IF(C811="bizcocho",VLOOKUP(A811,'Recetas y precios'!$A$5:$G$55,6,FALSE()),IF(C811="jarabe",VLOOKUP(A811,'Recetas y precios'!$A$5:$G$55,7,FALSE()),1))</f>
        <v>0.875</v>
      </c>
      <c r="K811" s="15" t="n">
        <f aca="false">G811*I811*J811</f>
        <v>2.33333333333333</v>
      </c>
    </row>
    <row r="812" customFormat="false" ht="15" hidden="false" customHeight="false" outlineLevel="0" collapsed="false">
      <c r="A812" s="0" t="n">
        <v>49</v>
      </c>
      <c r="B812" s="22" t="s">
        <v>1010</v>
      </c>
      <c r="C812" s="13" t="s">
        <v>393</v>
      </c>
      <c r="D812" s="23" t="s">
        <v>816</v>
      </c>
      <c r="E812" s="23" t="s">
        <v>666</v>
      </c>
      <c r="F812" s="24" t="s">
        <v>26</v>
      </c>
      <c r="G812" s="19" t="n">
        <v>190</v>
      </c>
      <c r="H812" s="13" t="s">
        <v>27</v>
      </c>
      <c r="I812" s="12" t="n">
        <f aca="false">IFERROR(VLOOKUP(F812,Insumos!$C$5:$G$143,5,FALSE()),0)</f>
        <v>0.38</v>
      </c>
      <c r="J812" s="25" t="n">
        <f aca="false">IF(C812="bizcocho",VLOOKUP(A812,'Recetas y precios'!$A$5:$G$55,6,FALSE()),IF(C812="jarabe",VLOOKUP(A812,'Recetas y precios'!$A$5:$G$55,7,FALSE()),1))</f>
        <v>1</v>
      </c>
      <c r="K812" s="15" t="n">
        <f aca="false">G812*I812*J812</f>
        <v>72.2</v>
      </c>
    </row>
    <row r="813" customFormat="false" ht="15" hidden="false" customHeight="false" outlineLevel="0" collapsed="false">
      <c r="A813" s="0" t="n">
        <v>49</v>
      </c>
      <c r="B813" s="22" t="s">
        <v>1010</v>
      </c>
      <c r="C813" s="13" t="s">
        <v>393</v>
      </c>
      <c r="D813" s="23" t="s">
        <v>816</v>
      </c>
      <c r="E813" s="23" t="s">
        <v>504</v>
      </c>
      <c r="F813" s="24" t="s">
        <v>33</v>
      </c>
      <c r="G813" s="19" t="n">
        <v>180</v>
      </c>
      <c r="H813" s="13" t="s">
        <v>34</v>
      </c>
      <c r="I813" s="12" t="n">
        <f aca="false">IFERROR(VLOOKUP(F813,Insumos!$C$5:$G$143,5,FALSE()),0)</f>
        <v>0.078</v>
      </c>
      <c r="J813" s="25" t="n">
        <f aca="false">IF(C813="bizcocho",VLOOKUP(A813,'Recetas y precios'!$A$5:$G$55,6,FALSE()),IF(C813="jarabe",VLOOKUP(A813,'Recetas y precios'!$A$5:$G$55,7,FALSE()),1))</f>
        <v>1</v>
      </c>
      <c r="K813" s="15" t="n">
        <f aca="false">G813*I813*J813</f>
        <v>14.04</v>
      </c>
    </row>
    <row r="814" customFormat="false" ht="15" hidden="false" customHeight="false" outlineLevel="0" collapsed="false">
      <c r="A814" s="0" t="n">
        <v>49</v>
      </c>
      <c r="B814" s="22" t="s">
        <v>1010</v>
      </c>
      <c r="C814" s="13" t="s">
        <v>393</v>
      </c>
      <c r="D814" s="23" t="s">
        <v>816</v>
      </c>
      <c r="E814" s="23" t="s">
        <v>1016</v>
      </c>
      <c r="F814" s="24" t="s">
        <v>154</v>
      </c>
      <c r="G814" s="19" t="n">
        <v>25</v>
      </c>
      <c r="H814" s="13" t="s">
        <v>27</v>
      </c>
      <c r="I814" s="12" t="n">
        <f aca="false">IFERROR(VLOOKUP(F814,Insumos!$C$5:$G$143,5,FALSE()),0)</f>
        <v>0.26</v>
      </c>
      <c r="J814" s="25" t="n">
        <f aca="false">IF(C814="bizcocho",VLOOKUP(A814,'Recetas y precios'!$A$5:$G$55,6,FALSE()),IF(C814="jarabe",VLOOKUP(A814,'Recetas y precios'!$A$5:$G$55,7,FALSE()),1))</f>
        <v>1</v>
      </c>
      <c r="K814" s="15" t="n">
        <f aca="false">G814*I814*J814</f>
        <v>6.5</v>
      </c>
    </row>
    <row r="815" customFormat="false" ht="15" hidden="false" customHeight="false" outlineLevel="0" collapsed="false">
      <c r="A815" s="0" t="n">
        <v>49</v>
      </c>
      <c r="B815" s="22" t="s">
        <v>1010</v>
      </c>
      <c r="C815" s="13" t="s">
        <v>393</v>
      </c>
      <c r="D815" s="23" t="s">
        <v>816</v>
      </c>
      <c r="E815" s="23" t="s">
        <v>506</v>
      </c>
      <c r="F815" s="24" t="s">
        <v>36</v>
      </c>
      <c r="G815" s="19" t="n">
        <v>45</v>
      </c>
      <c r="H815" s="13" t="s">
        <v>27</v>
      </c>
      <c r="I815" s="12" t="n">
        <f aca="false">IFERROR(VLOOKUP(F815,Insumos!$C$5:$G$143,5,FALSE()),0)</f>
        <v>0.085</v>
      </c>
      <c r="J815" s="25" t="n">
        <f aca="false">IF(C815="bizcocho",VLOOKUP(A815,'Recetas y precios'!$A$5:$G$55,6,FALSE()),IF(C815="jarabe",VLOOKUP(A815,'Recetas y precios'!$A$5:$G$55,7,FALSE()),1))</f>
        <v>1</v>
      </c>
      <c r="K815" s="15" t="n">
        <f aca="false">G815*I815*J815</f>
        <v>3.825</v>
      </c>
    </row>
    <row r="816" customFormat="false" ht="15" hidden="false" customHeight="false" outlineLevel="0" collapsed="false">
      <c r="A816" s="0" t="n">
        <v>49</v>
      </c>
      <c r="B816" s="22" t="s">
        <v>1010</v>
      </c>
      <c r="C816" s="13" t="s">
        <v>393</v>
      </c>
      <c r="D816" s="23" t="s">
        <v>816</v>
      </c>
      <c r="E816" s="23" t="s">
        <v>456</v>
      </c>
      <c r="F816" s="24" t="s">
        <v>74</v>
      </c>
      <c r="G816" s="19" t="n">
        <v>20</v>
      </c>
      <c r="H816" s="13" t="s">
        <v>27</v>
      </c>
      <c r="I816" s="12" t="n">
        <f aca="false">IFERROR(VLOOKUP(F816,Insumos!$C$5:$G$143,5,FALSE()),0)</f>
        <v>0.045</v>
      </c>
      <c r="J816" s="25" t="n">
        <f aca="false">IF(C816="bizcocho",VLOOKUP(A816,'Recetas y precios'!$A$5:$G$55,6,FALSE()),IF(C816="jarabe",VLOOKUP(A816,'Recetas y precios'!$A$5:$G$55,7,FALSE()),1))</f>
        <v>1</v>
      </c>
      <c r="K816" s="15" t="n">
        <f aca="false">G816*I816*J816</f>
        <v>0.9</v>
      </c>
    </row>
    <row r="817" customFormat="false" ht="15" hidden="false" customHeight="false" outlineLevel="0" collapsed="false">
      <c r="A817" s="0" t="n">
        <v>49</v>
      </c>
      <c r="B817" s="22" t="s">
        <v>1010</v>
      </c>
      <c r="C817" s="13" t="s">
        <v>400</v>
      </c>
      <c r="D817" s="23" t="s">
        <v>1017</v>
      </c>
      <c r="E817" s="23" t="s">
        <v>1018</v>
      </c>
      <c r="F817" s="24" t="s">
        <v>319</v>
      </c>
      <c r="G817" s="19" t="n">
        <v>40</v>
      </c>
      <c r="H817" s="13" t="s">
        <v>34</v>
      </c>
      <c r="I817" s="12" t="n">
        <f aca="false">IFERROR(VLOOKUP(F817,Insumos!$C$5:$G$143,5,FALSE()),0)</f>
        <v>0.72</v>
      </c>
      <c r="J817" s="25" t="n">
        <f aca="false">IF(C817="bizcocho",VLOOKUP(A817,'Recetas y precios'!$A$5:$G$55,6,FALSE()),IF(C817="jarabe",VLOOKUP(A817,'Recetas y precios'!$A$5:$G$55,7,FALSE()),1))</f>
        <v>1</v>
      </c>
      <c r="K817" s="15" t="n">
        <f aca="false">G817*I817*J817</f>
        <v>28.8</v>
      </c>
    </row>
    <row r="818" customFormat="false" ht="15" hidden="false" customHeight="false" outlineLevel="0" collapsed="false">
      <c r="A818" s="0" t="n">
        <v>49</v>
      </c>
      <c r="B818" s="22" t="s">
        <v>1010</v>
      </c>
      <c r="C818" s="13" t="s">
        <v>400</v>
      </c>
      <c r="D818" s="23" t="s">
        <v>1017</v>
      </c>
      <c r="E818" s="23" t="s">
        <v>1019</v>
      </c>
      <c r="F818" s="24" t="s">
        <v>150</v>
      </c>
      <c r="G818" s="19" t="n">
        <v>60</v>
      </c>
      <c r="H818" s="13" t="s">
        <v>27</v>
      </c>
      <c r="I818" s="12" t="n">
        <f aca="false">IFERROR(VLOOKUP(F818,Insumos!$C$5:$G$143,5,FALSE()),0)</f>
        <v>0.28</v>
      </c>
      <c r="J818" s="25" t="n">
        <f aca="false">IF(C818="bizcocho",VLOOKUP(A818,'Recetas y precios'!$A$5:$G$55,6,FALSE()),IF(C818="jarabe",VLOOKUP(A818,'Recetas y precios'!$A$5:$G$55,7,FALSE()),1))</f>
        <v>1</v>
      </c>
      <c r="K818" s="15" t="n">
        <f aca="false">G818*I818*J818</f>
        <v>16.8</v>
      </c>
    </row>
    <row r="819" customFormat="false" ht="15" hidden="false" customHeight="false" outlineLevel="0" collapsed="false">
      <c r="A819" s="0" t="n">
        <v>49</v>
      </c>
      <c r="B819" s="22" t="s">
        <v>1010</v>
      </c>
      <c r="C819" s="13" t="s">
        <v>400</v>
      </c>
      <c r="D819" s="23" t="s">
        <v>1017</v>
      </c>
      <c r="E819" s="23" t="s">
        <v>1020</v>
      </c>
      <c r="F819" s="24" t="s">
        <v>192</v>
      </c>
      <c r="G819" s="19" t="n">
        <v>6</v>
      </c>
      <c r="H819" s="13" t="s">
        <v>27</v>
      </c>
      <c r="I819" s="12" t="n">
        <f aca="false">IFERROR(VLOOKUP(F819,Insumos!$C$5:$G$143,5,FALSE()),0)</f>
        <v>1.8</v>
      </c>
      <c r="J819" s="25" t="n">
        <f aca="false">IF(C819="bizcocho",VLOOKUP(A819,'Recetas y precios'!$A$5:$G$55,6,FALSE()),IF(C819="jarabe",VLOOKUP(A819,'Recetas y precios'!$A$5:$G$55,7,FALSE()),1))</f>
        <v>1</v>
      </c>
      <c r="K819" s="15" t="n">
        <f aca="false">G819*I819*J819</f>
        <v>10.8</v>
      </c>
    </row>
    <row r="820" customFormat="false" ht="15" hidden="false" customHeight="false" outlineLevel="0" collapsed="false">
      <c r="A820" s="0" t="n">
        <v>50</v>
      </c>
      <c r="B820" s="22" t="s">
        <v>1021</v>
      </c>
      <c r="C820" s="13" t="s">
        <v>376</v>
      </c>
      <c r="D820" s="23" t="s">
        <v>1022</v>
      </c>
      <c r="E820" s="23" t="s">
        <v>432</v>
      </c>
      <c r="F820" s="24" t="s">
        <v>59</v>
      </c>
      <c r="G820" s="19" t="n">
        <v>45</v>
      </c>
      <c r="H820" s="13" t="s">
        <v>27</v>
      </c>
      <c r="I820" s="12" t="n">
        <f aca="false">IFERROR(VLOOKUP(F820,Insumos!$C$5:$G$143,5,FALSE()),0)</f>
        <v>0.032</v>
      </c>
      <c r="J820" s="25" t="n">
        <f aca="false">IF(C820="bizcocho",VLOOKUP(A820,'Recetas y precios'!$A$5:$G$55,6,FALSE()),IF(C820="jarabe",VLOOKUP(A820,'Recetas y precios'!$A$5:$G$55,7,FALSE()),1))</f>
        <v>0.321</v>
      </c>
      <c r="K820" s="15" t="n">
        <f aca="false">G820*I820*J820</f>
        <v>0.46224</v>
      </c>
    </row>
    <row r="821" customFormat="false" ht="15" hidden="false" customHeight="false" outlineLevel="0" collapsed="false">
      <c r="A821" s="0" t="n">
        <v>50</v>
      </c>
      <c r="B821" s="22" t="s">
        <v>1021</v>
      </c>
      <c r="C821" s="13" t="s">
        <v>376</v>
      </c>
      <c r="D821" s="23" t="s">
        <v>1022</v>
      </c>
      <c r="E821" s="23" t="s">
        <v>1023</v>
      </c>
      <c r="F821" s="24" t="s">
        <v>218</v>
      </c>
      <c r="G821" s="19" t="n">
        <v>10</v>
      </c>
      <c r="H821" s="13" t="s">
        <v>27</v>
      </c>
      <c r="I821" s="12" t="n">
        <f aca="false">IFERROR(VLOOKUP(F821,Insumos!$C$5:$G$143,5,FALSE()),0)</f>
        <v>0.42</v>
      </c>
      <c r="J821" s="25" t="n">
        <f aca="false">IF(C821="bizcocho",VLOOKUP(A821,'Recetas y precios'!$A$5:$G$55,6,FALSE()),IF(C821="jarabe",VLOOKUP(A821,'Recetas y precios'!$A$5:$G$55,7,FALSE()),1))</f>
        <v>0.321</v>
      </c>
      <c r="K821" s="15" t="n">
        <f aca="false">G821*I821*J821</f>
        <v>1.3482</v>
      </c>
    </row>
    <row r="822" customFormat="false" ht="15" hidden="false" customHeight="false" outlineLevel="0" collapsed="false">
      <c r="A822" s="0" t="n">
        <v>50</v>
      </c>
      <c r="B822" s="22" t="s">
        <v>1021</v>
      </c>
      <c r="C822" s="13" t="s">
        <v>376</v>
      </c>
      <c r="D822" s="23" t="s">
        <v>1022</v>
      </c>
      <c r="E822" s="23" t="s">
        <v>1024</v>
      </c>
      <c r="F822" s="24" t="s">
        <v>120</v>
      </c>
      <c r="G822" s="19" t="n">
        <v>3</v>
      </c>
      <c r="H822" s="13" t="s">
        <v>27</v>
      </c>
      <c r="I822" s="12" t="n">
        <f aca="false">IFERROR(VLOOKUP(F822,Insumos!$C$5:$G$143,5,FALSE()),0)</f>
        <v>0.7</v>
      </c>
      <c r="J822" s="25" t="n">
        <f aca="false">IF(C822="bizcocho",VLOOKUP(A822,'Recetas y precios'!$A$5:$G$55,6,FALSE()),IF(C822="jarabe",VLOOKUP(A822,'Recetas y precios'!$A$5:$G$55,7,FALSE()),1))</f>
        <v>0.321</v>
      </c>
      <c r="K822" s="15" t="n">
        <f aca="false">G822*I822*J822</f>
        <v>0.6741</v>
      </c>
    </row>
    <row r="823" customFormat="false" ht="15" hidden="false" customHeight="false" outlineLevel="0" collapsed="false">
      <c r="A823" s="0" t="n">
        <v>50</v>
      </c>
      <c r="B823" s="22" t="s">
        <v>1021</v>
      </c>
      <c r="C823" s="13" t="s">
        <v>376</v>
      </c>
      <c r="D823" s="23" t="s">
        <v>1022</v>
      </c>
      <c r="E823" s="23" t="s">
        <v>493</v>
      </c>
      <c r="F823" s="24" t="s">
        <v>48</v>
      </c>
      <c r="G823" s="19" t="n">
        <v>40</v>
      </c>
      <c r="H823" s="13" t="s">
        <v>27</v>
      </c>
      <c r="I823" s="12" t="n">
        <f aca="false">IFERROR(VLOOKUP(F823,Insumos!$C$5:$G$143,5,FALSE()),0)</f>
        <v>0.13</v>
      </c>
      <c r="J823" s="25" t="n">
        <f aca="false">IF(C823="bizcocho",VLOOKUP(A823,'Recetas y precios'!$A$5:$G$55,6,FALSE()),IF(C823="jarabe",VLOOKUP(A823,'Recetas y precios'!$A$5:$G$55,7,FALSE()),1))</f>
        <v>0.321</v>
      </c>
      <c r="K823" s="15" t="n">
        <f aca="false">G823*I823*J823</f>
        <v>1.6692</v>
      </c>
    </row>
    <row r="824" customFormat="false" ht="15" hidden="false" customHeight="false" outlineLevel="0" collapsed="false">
      <c r="A824" s="0" t="n">
        <v>50</v>
      </c>
      <c r="B824" s="22" t="s">
        <v>1021</v>
      </c>
      <c r="C824" s="13" t="s">
        <v>376</v>
      </c>
      <c r="D824" s="23" t="s">
        <v>1022</v>
      </c>
      <c r="E824" s="23" t="s">
        <v>494</v>
      </c>
      <c r="F824" s="24" t="s">
        <v>50</v>
      </c>
      <c r="G824" s="19" t="n">
        <v>80</v>
      </c>
      <c r="H824" s="13" t="s">
        <v>27</v>
      </c>
      <c r="I824" s="12" t="n">
        <f aca="false">IFERROR(VLOOKUP(F824,Insumos!$C$5:$G$143,5,FALSE()),0)</f>
        <v>0.075</v>
      </c>
      <c r="J824" s="25" t="n">
        <f aca="false">IF(C824="bizcocho",VLOOKUP(A824,'Recetas y precios'!$A$5:$G$55,6,FALSE()),IF(C824="jarabe",VLOOKUP(A824,'Recetas y precios'!$A$5:$G$55,7,FALSE()),1))</f>
        <v>0.321</v>
      </c>
      <c r="K824" s="15" t="n">
        <f aca="false">G824*I824*J824</f>
        <v>1.926</v>
      </c>
    </row>
    <row r="825" customFormat="false" ht="15" hidden="false" customHeight="false" outlineLevel="0" collapsed="false">
      <c r="A825" s="0" t="n">
        <v>50</v>
      </c>
      <c r="B825" s="22" t="s">
        <v>1021</v>
      </c>
      <c r="C825" s="13" t="s">
        <v>376</v>
      </c>
      <c r="D825" s="23" t="s">
        <v>1022</v>
      </c>
      <c r="E825" s="23" t="s">
        <v>1025</v>
      </c>
      <c r="F825" s="24" t="s">
        <v>76</v>
      </c>
      <c r="G825" s="19" t="n">
        <v>45</v>
      </c>
      <c r="H825" s="13" t="s">
        <v>27</v>
      </c>
      <c r="I825" s="12" t="n">
        <f aca="false">IFERROR(VLOOKUP(F825,Insumos!$C$5:$G$143,5,FALSE()),0)</f>
        <v>0.06</v>
      </c>
      <c r="J825" s="25" t="n">
        <f aca="false">IF(C825="bizcocho",VLOOKUP(A825,'Recetas y precios'!$A$5:$G$55,6,FALSE()),IF(C825="jarabe",VLOOKUP(A825,'Recetas y precios'!$A$5:$G$55,7,FALSE()),1))</f>
        <v>0.321</v>
      </c>
      <c r="K825" s="15" t="n">
        <f aca="false">G825*I825*J825</f>
        <v>0.8667</v>
      </c>
    </row>
    <row r="826" customFormat="false" ht="15" hidden="false" customHeight="false" outlineLevel="0" collapsed="false">
      <c r="A826" s="0" t="n">
        <v>50</v>
      </c>
      <c r="B826" s="22" t="s">
        <v>1021</v>
      </c>
      <c r="C826" s="13" t="s">
        <v>376</v>
      </c>
      <c r="D826" s="23" t="s">
        <v>1022</v>
      </c>
      <c r="E826" s="23" t="s">
        <v>531</v>
      </c>
      <c r="F826" s="24" t="s">
        <v>109</v>
      </c>
      <c r="G826" s="19" t="n">
        <v>25</v>
      </c>
      <c r="H826" s="13" t="s">
        <v>34</v>
      </c>
      <c r="I826" s="12" t="n">
        <f aca="false">IFERROR(VLOOKUP(F826,Insumos!$C$5:$G$143,5,FALSE()),0)</f>
        <v>0.045</v>
      </c>
      <c r="J826" s="25" t="n">
        <f aca="false">IF(C826="bizcocho",VLOOKUP(A826,'Recetas y precios'!$A$5:$G$55,6,FALSE()),IF(C826="jarabe",VLOOKUP(A826,'Recetas y precios'!$A$5:$G$55,7,FALSE()),1))</f>
        <v>0.321</v>
      </c>
      <c r="K826" s="15" t="n">
        <f aca="false">G826*I826*J826</f>
        <v>0.361125</v>
      </c>
    </row>
    <row r="827" customFormat="false" ht="15" hidden="false" customHeight="false" outlineLevel="0" collapsed="false">
      <c r="A827" s="0" t="n">
        <v>50</v>
      </c>
      <c r="B827" s="22" t="s">
        <v>1021</v>
      </c>
      <c r="C827" s="13" t="s">
        <v>376</v>
      </c>
      <c r="D827" s="23" t="s">
        <v>1022</v>
      </c>
      <c r="E827" s="23" t="s">
        <v>413</v>
      </c>
      <c r="F827" s="24" t="s">
        <v>103</v>
      </c>
      <c r="G827" s="19" t="n">
        <v>1</v>
      </c>
      <c r="H827" s="13" t="s">
        <v>27</v>
      </c>
      <c r="I827" s="12" t="n">
        <f aca="false">IFERROR(VLOOKUP(F827,Insumos!$C$5:$G$143,5,FALSE()),0)</f>
        <v>0.025</v>
      </c>
      <c r="J827" s="25" t="n">
        <f aca="false">IF(C827="bizcocho",VLOOKUP(A827,'Recetas y precios'!$A$5:$G$55,6,FALSE()),IF(C827="jarabe",VLOOKUP(A827,'Recetas y precios'!$A$5:$G$55,7,FALSE()),1))</f>
        <v>0.321</v>
      </c>
      <c r="K827" s="15" t="n">
        <f aca="false">G827*I827*J827</f>
        <v>0.008025</v>
      </c>
    </row>
    <row r="828" customFormat="false" ht="15" hidden="false" customHeight="false" outlineLevel="0" collapsed="false">
      <c r="A828" s="0" t="n">
        <v>50</v>
      </c>
      <c r="B828" s="22" t="s">
        <v>1021</v>
      </c>
      <c r="C828" s="13" t="s">
        <v>387</v>
      </c>
      <c r="D828" s="23" t="s">
        <v>1026</v>
      </c>
      <c r="E828" s="23" t="s">
        <v>909</v>
      </c>
      <c r="F828" s="24" t="s">
        <v>116</v>
      </c>
      <c r="G828" s="19" t="n">
        <v>50</v>
      </c>
      <c r="H828" s="13" t="s">
        <v>34</v>
      </c>
      <c r="I828" s="12" t="n">
        <f aca="false">IFERROR(VLOOKUP(F828,Insumos!$C$5:$G$143,5,FALSE()),0)</f>
        <v>0.145</v>
      </c>
      <c r="J828" s="25" t="n">
        <f aca="false">IF(C828="bizcocho",VLOOKUP(A828,'Recetas y precios'!$A$5:$G$55,6,FALSE()),IF(C828="jarabe",VLOOKUP(A828,'Recetas y precios'!$A$5:$G$55,7,FALSE()),1))</f>
        <v>0.938</v>
      </c>
      <c r="K828" s="15" t="n">
        <f aca="false">G828*I828*J828</f>
        <v>6.8005</v>
      </c>
    </row>
    <row r="829" customFormat="false" ht="15" hidden="false" customHeight="false" outlineLevel="0" collapsed="false">
      <c r="A829" s="0" t="n">
        <v>50</v>
      </c>
      <c r="B829" s="22" t="s">
        <v>1021</v>
      </c>
      <c r="C829" s="13" t="s">
        <v>387</v>
      </c>
      <c r="D829" s="23" t="s">
        <v>1026</v>
      </c>
      <c r="E829" s="23" t="s">
        <v>1027</v>
      </c>
      <c r="F829" s="24" t="s">
        <v>80</v>
      </c>
      <c r="G829" s="19" t="n">
        <v>15</v>
      </c>
      <c r="H829" s="13" t="s">
        <v>34</v>
      </c>
      <c r="I829" s="12" t="n">
        <f aca="false">IFERROR(VLOOKUP(F829,Insumos!$C$5:$G$143,5,FALSE()),0)</f>
        <v>0.018</v>
      </c>
      <c r="J829" s="25" t="n">
        <f aca="false">IF(C829="bizcocho",VLOOKUP(A829,'Recetas y precios'!$A$5:$G$55,6,FALSE()),IF(C829="jarabe",VLOOKUP(A829,'Recetas y precios'!$A$5:$G$55,7,FALSE()),1))</f>
        <v>0.938</v>
      </c>
      <c r="K829" s="15" t="n">
        <f aca="false">G829*I829*J829</f>
        <v>0.25326</v>
      </c>
    </row>
    <row r="830" customFormat="false" ht="15" hidden="false" customHeight="false" outlineLevel="0" collapsed="false">
      <c r="A830" s="0" t="n">
        <v>50</v>
      </c>
      <c r="B830" s="22" t="s">
        <v>1021</v>
      </c>
      <c r="C830" s="13" t="s">
        <v>387</v>
      </c>
      <c r="D830" s="23" t="s">
        <v>1026</v>
      </c>
      <c r="E830" s="23" t="s">
        <v>1028</v>
      </c>
      <c r="F830" s="24" t="s">
        <v>309</v>
      </c>
      <c r="G830" s="19" t="n">
        <v>15</v>
      </c>
      <c r="H830" s="13" t="s">
        <v>34</v>
      </c>
      <c r="I830" s="12" t="n">
        <f aca="false">IFERROR(VLOOKUP(F830,Insumos!$C$5:$G$143,5,FALSE()),0)</f>
        <v>1.06666666666667</v>
      </c>
      <c r="J830" s="25" t="n">
        <f aca="false">IF(C830="bizcocho",VLOOKUP(A830,'Recetas y precios'!$A$5:$G$55,6,FALSE()),IF(C830="jarabe",VLOOKUP(A830,'Recetas y precios'!$A$5:$G$55,7,FALSE()),1))</f>
        <v>0.938</v>
      </c>
      <c r="K830" s="15" t="n">
        <f aca="false">G830*I830*J830</f>
        <v>15.008</v>
      </c>
    </row>
    <row r="831" customFormat="false" ht="15" hidden="false" customHeight="false" outlineLevel="0" collapsed="false">
      <c r="A831" s="0" t="n">
        <v>50</v>
      </c>
      <c r="B831" s="22" t="s">
        <v>1021</v>
      </c>
      <c r="C831" s="13" t="s">
        <v>393</v>
      </c>
      <c r="D831" s="23" t="s">
        <v>1029</v>
      </c>
      <c r="E831" s="23" t="s">
        <v>503</v>
      </c>
      <c r="F831" s="24" t="s">
        <v>26</v>
      </c>
      <c r="G831" s="19" t="n">
        <v>180</v>
      </c>
      <c r="H831" s="13" t="s">
        <v>27</v>
      </c>
      <c r="I831" s="12" t="n">
        <f aca="false">IFERROR(VLOOKUP(F831,Insumos!$C$5:$G$143,5,FALSE()),0)</f>
        <v>0.38</v>
      </c>
      <c r="J831" s="25" t="n">
        <f aca="false">IF(C831="bizcocho",VLOOKUP(A831,'Recetas y precios'!$A$5:$G$55,6,FALSE()),IF(C831="jarabe",VLOOKUP(A831,'Recetas y precios'!$A$5:$G$55,7,FALSE()),1))</f>
        <v>1</v>
      </c>
      <c r="K831" s="15" t="n">
        <f aca="false">G831*I831*J831</f>
        <v>68.4</v>
      </c>
    </row>
    <row r="832" customFormat="false" ht="15" hidden="false" customHeight="false" outlineLevel="0" collapsed="false">
      <c r="A832" s="0" t="n">
        <v>50</v>
      </c>
      <c r="B832" s="22" t="s">
        <v>1021</v>
      </c>
      <c r="C832" s="13" t="s">
        <v>393</v>
      </c>
      <c r="D832" s="23" t="s">
        <v>1029</v>
      </c>
      <c r="E832" s="23" t="s">
        <v>831</v>
      </c>
      <c r="F832" s="24" t="s">
        <v>33</v>
      </c>
      <c r="G832" s="19" t="n">
        <v>170</v>
      </c>
      <c r="H832" s="13" t="s">
        <v>34</v>
      </c>
      <c r="I832" s="12" t="n">
        <f aca="false">IFERROR(VLOOKUP(F832,Insumos!$C$5:$G$143,5,FALSE()),0)</f>
        <v>0.078</v>
      </c>
      <c r="J832" s="25" t="n">
        <f aca="false">IF(C832="bizcocho",VLOOKUP(A832,'Recetas y precios'!$A$5:$G$55,6,FALSE()),IF(C832="jarabe",VLOOKUP(A832,'Recetas y precios'!$A$5:$G$55,7,FALSE()),1))</f>
        <v>1</v>
      </c>
      <c r="K832" s="15" t="n">
        <f aca="false">G832*I832*J832</f>
        <v>13.26</v>
      </c>
    </row>
    <row r="833" customFormat="false" ht="15" hidden="false" customHeight="false" outlineLevel="0" collapsed="false">
      <c r="A833" s="0" t="n">
        <v>50</v>
      </c>
      <c r="B833" s="22" t="s">
        <v>1021</v>
      </c>
      <c r="C833" s="13" t="s">
        <v>393</v>
      </c>
      <c r="D833" s="23" t="s">
        <v>1029</v>
      </c>
      <c r="E833" s="23" t="s">
        <v>1030</v>
      </c>
      <c r="F833" s="24" t="s">
        <v>309</v>
      </c>
      <c r="G833" s="19" t="n">
        <v>15</v>
      </c>
      <c r="H833" s="13" t="s">
        <v>34</v>
      </c>
      <c r="I833" s="12" t="n">
        <f aca="false">IFERROR(VLOOKUP(F833,Insumos!$C$5:$G$143,5,FALSE()),0)</f>
        <v>1.06666666666667</v>
      </c>
      <c r="J833" s="25" t="n">
        <f aca="false">IF(C833="bizcocho",VLOOKUP(A833,'Recetas y precios'!$A$5:$G$55,6,FALSE()),IF(C833="jarabe",VLOOKUP(A833,'Recetas y precios'!$A$5:$G$55,7,FALSE()),1))</f>
        <v>1</v>
      </c>
      <c r="K833" s="15" t="n">
        <f aca="false">G833*I833*J833</f>
        <v>16</v>
      </c>
    </row>
    <row r="834" customFormat="false" ht="15" hidden="false" customHeight="false" outlineLevel="0" collapsed="false">
      <c r="A834" s="0" t="n">
        <v>50</v>
      </c>
      <c r="B834" s="22" t="s">
        <v>1021</v>
      </c>
      <c r="C834" s="13" t="s">
        <v>393</v>
      </c>
      <c r="D834" s="23" t="s">
        <v>1029</v>
      </c>
      <c r="E834" s="23" t="s">
        <v>506</v>
      </c>
      <c r="F834" s="24" t="s">
        <v>36</v>
      </c>
      <c r="G834" s="19" t="n">
        <v>45</v>
      </c>
      <c r="H834" s="13" t="s">
        <v>27</v>
      </c>
      <c r="I834" s="12" t="n">
        <f aca="false">IFERROR(VLOOKUP(F834,Insumos!$C$5:$G$143,5,FALSE()),0)</f>
        <v>0.085</v>
      </c>
      <c r="J834" s="25" t="n">
        <f aca="false">IF(C834="bizcocho",VLOOKUP(A834,'Recetas y precios'!$A$5:$G$55,6,FALSE()),IF(C834="jarabe",VLOOKUP(A834,'Recetas y precios'!$A$5:$G$55,7,FALSE()),1))</f>
        <v>1</v>
      </c>
      <c r="K834" s="15" t="n">
        <f aca="false">G834*I834*J834</f>
        <v>3.825</v>
      </c>
    </row>
    <row r="835" customFormat="false" ht="15" hidden="false" customHeight="false" outlineLevel="0" collapsed="false">
      <c r="A835" s="0" t="n">
        <v>50</v>
      </c>
      <c r="B835" s="22" t="s">
        <v>1021</v>
      </c>
      <c r="C835" s="13" t="s">
        <v>393</v>
      </c>
      <c r="D835" s="23" t="s">
        <v>1029</v>
      </c>
      <c r="E835" s="23" t="s">
        <v>456</v>
      </c>
      <c r="F835" s="24" t="s">
        <v>74</v>
      </c>
      <c r="G835" s="19" t="n">
        <v>20</v>
      </c>
      <c r="H835" s="13" t="s">
        <v>27</v>
      </c>
      <c r="I835" s="12" t="n">
        <f aca="false">IFERROR(VLOOKUP(F835,Insumos!$C$5:$G$143,5,FALSE()),0)</f>
        <v>0.045</v>
      </c>
      <c r="J835" s="25" t="n">
        <f aca="false">IF(C835="bizcocho",VLOOKUP(A835,'Recetas y precios'!$A$5:$G$55,6,FALSE()),IF(C835="jarabe",VLOOKUP(A835,'Recetas y precios'!$A$5:$G$55,7,FALSE()),1))</f>
        <v>1</v>
      </c>
      <c r="K835" s="15" t="n">
        <f aca="false">G835*I835*J835</f>
        <v>0.9</v>
      </c>
    </row>
    <row r="836" customFormat="false" ht="15" hidden="false" customHeight="false" outlineLevel="0" collapsed="false">
      <c r="A836" s="0" t="n">
        <v>50</v>
      </c>
      <c r="B836" s="22" t="s">
        <v>1021</v>
      </c>
      <c r="C836" s="13" t="s">
        <v>393</v>
      </c>
      <c r="D836" s="23" t="s">
        <v>1029</v>
      </c>
      <c r="E836" s="23" t="s">
        <v>872</v>
      </c>
      <c r="F836" s="24" t="s">
        <v>284</v>
      </c>
      <c r="G836" s="19" t="n">
        <v>2</v>
      </c>
      <c r="H836" s="13" t="s">
        <v>34</v>
      </c>
      <c r="I836" s="12" t="n">
        <f aca="false">IFERROR(VLOOKUP(F836,Insumos!$C$5:$G$143,5,FALSE()),0)</f>
        <v>0.45</v>
      </c>
      <c r="J836" s="25" t="n">
        <f aca="false">IF(C836="bizcocho",VLOOKUP(A836,'Recetas y precios'!$A$5:$G$55,6,FALSE()),IF(C836="jarabe",VLOOKUP(A836,'Recetas y precios'!$A$5:$G$55,7,FALSE()),1))</f>
        <v>1</v>
      </c>
      <c r="K836" s="15" t="n">
        <f aca="false">G836*I836*J836</f>
        <v>0.9</v>
      </c>
    </row>
    <row r="837" customFormat="false" ht="15" hidden="false" customHeight="false" outlineLevel="0" collapsed="false">
      <c r="A837" s="0" t="n">
        <v>50</v>
      </c>
      <c r="B837" s="22" t="s">
        <v>1021</v>
      </c>
      <c r="C837" s="13" t="s">
        <v>400</v>
      </c>
      <c r="D837" s="23" t="s">
        <v>1031</v>
      </c>
      <c r="E837" s="23" t="s">
        <v>1032</v>
      </c>
      <c r="F837" s="24" t="s">
        <v>90</v>
      </c>
      <c r="G837" s="19" t="n">
        <v>40</v>
      </c>
      <c r="H837" s="13" t="s">
        <v>27</v>
      </c>
      <c r="I837" s="12" t="n">
        <f aca="false">IFERROR(VLOOKUP(F837,Insumos!$C$5:$G$143,5,FALSE()),0)</f>
        <v>0.15</v>
      </c>
      <c r="J837" s="25" t="n">
        <f aca="false">IF(C837="bizcocho",VLOOKUP(A837,'Recetas y precios'!$A$5:$G$55,6,FALSE()),IF(C837="jarabe",VLOOKUP(A837,'Recetas y precios'!$A$5:$G$55,7,FALSE()),1))</f>
        <v>1</v>
      </c>
      <c r="K837" s="15" t="n">
        <f aca="false">G837*I837*J837</f>
        <v>6</v>
      </c>
    </row>
    <row r="838" customFormat="false" ht="15" hidden="false" customHeight="false" outlineLevel="0" collapsed="false">
      <c r="A838" s="0" t="n">
        <v>50</v>
      </c>
      <c r="B838" s="22" t="s">
        <v>1021</v>
      </c>
      <c r="C838" s="13" t="s">
        <v>400</v>
      </c>
      <c r="D838" s="23" t="s">
        <v>1031</v>
      </c>
      <c r="E838" s="23" t="s">
        <v>1033</v>
      </c>
      <c r="F838" s="24" t="s">
        <v>218</v>
      </c>
      <c r="G838" s="19" t="n">
        <v>4</v>
      </c>
      <c r="H838" s="13" t="s">
        <v>27</v>
      </c>
      <c r="I838" s="12" t="n">
        <f aca="false">IFERROR(VLOOKUP(F838,Insumos!$C$5:$G$143,5,FALSE()),0)</f>
        <v>0.42</v>
      </c>
      <c r="J838" s="25" t="n">
        <f aca="false">IF(C838="bizcocho",VLOOKUP(A838,'Recetas y precios'!$A$5:$G$55,6,FALSE()),IF(C838="jarabe",VLOOKUP(A838,'Recetas y precios'!$A$5:$G$55,7,FALSE()),1))</f>
        <v>1</v>
      </c>
      <c r="K838" s="15" t="n">
        <f aca="false">G838*I838*J838</f>
        <v>1.68</v>
      </c>
    </row>
    <row r="839" customFormat="false" ht="15" hidden="false" customHeight="false" outlineLevel="0" collapsed="false">
      <c r="A839" s="0" t="n">
        <v>50</v>
      </c>
      <c r="B839" s="22" t="s">
        <v>1021</v>
      </c>
      <c r="C839" s="13" t="s">
        <v>400</v>
      </c>
      <c r="D839" s="23" t="s">
        <v>1031</v>
      </c>
      <c r="E839" s="23" t="s">
        <v>1034</v>
      </c>
      <c r="F839" s="24" t="s">
        <v>118</v>
      </c>
      <c r="G839" s="19" t="n">
        <v>2</v>
      </c>
      <c r="H839" s="13" t="s">
        <v>27</v>
      </c>
      <c r="I839" s="12" t="n">
        <f aca="false">IFERROR(VLOOKUP(F839,Insumos!$C$5:$G$143,5,FALSE()),0)</f>
        <v>0.52</v>
      </c>
      <c r="J839" s="25" t="n">
        <f aca="false">IF(C839="bizcocho",VLOOKUP(A839,'Recetas y precios'!$A$5:$G$55,6,FALSE()),IF(C839="jarabe",VLOOKUP(A839,'Recetas y precios'!$A$5:$G$55,7,FALSE()),1))</f>
        <v>1</v>
      </c>
      <c r="K839" s="15" t="n">
        <f aca="false">G839*I839*J839</f>
        <v>1.04</v>
      </c>
    </row>
    <row r="840" customFormat="false" ht="15" hidden="false" customHeight="false" outlineLevel="0" collapsed="false">
      <c r="A840" s="0" t="n">
        <v>51</v>
      </c>
      <c r="B840" s="22" t="s">
        <v>1035</v>
      </c>
      <c r="C840" s="13" t="s">
        <v>376</v>
      </c>
      <c r="D840" s="23" t="s">
        <v>1036</v>
      </c>
      <c r="E840" s="23" t="s">
        <v>530</v>
      </c>
      <c r="F840" s="24" t="s">
        <v>59</v>
      </c>
      <c r="G840" s="19" t="n">
        <v>50</v>
      </c>
      <c r="H840" s="13" t="s">
        <v>27</v>
      </c>
      <c r="I840" s="12" t="n">
        <f aca="false">IFERROR(VLOOKUP(F840,Insumos!$C$5:$G$143,5,FALSE()),0)</f>
        <v>0.032</v>
      </c>
      <c r="J840" s="25" t="n">
        <f aca="false">IF(C840="bizcocho",VLOOKUP(A840,'Recetas y precios'!$A$5:$G$55,6,FALSE()),IF(C840="jarabe",VLOOKUP(A840,'Recetas y precios'!$A$5:$G$55,7,FALSE()),1))</f>
        <v>0.29</v>
      </c>
      <c r="K840" s="15" t="n">
        <f aca="false">G840*I840*J840</f>
        <v>0.464</v>
      </c>
    </row>
    <row r="841" customFormat="false" ht="15" hidden="false" customHeight="false" outlineLevel="0" collapsed="false">
      <c r="A841" s="0" t="n">
        <v>51</v>
      </c>
      <c r="B841" s="22" t="s">
        <v>1035</v>
      </c>
      <c r="C841" s="13" t="s">
        <v>376</v>
      </c>
      <c r="D841" s="23" t="s">
        <v>1036</v>
      </c>
      <c r="E841" s="23" t="s">
        <v>1037</v>
      </c>
      <c r="F841" s="24" t="s">
        <v>282</v>
      </c>
      <c r="G841" s="19" t="n">
        <v>1</v>
      </c>
      <c r="H841" s="13" t="s">
        <v>179</v>
      </c>
      <c r="I841" s="12" t="n">
        <f aca="false">IFERROR(VLOOKUP(F841,Insumos!$C$5:$G$143,5,FALSE()),0)</f>
        <v>120</v>
      </c>
      <c r="J841" s="25" t="n">
        <f aca="false">IF(C841="bizcocho",VLOOKUP(A841,'Recetas y precios'!$A$5:$G$55,6,FALSE()),IF(C841="jarabe",VLOOKUP(A841,'Recetas y precios'!$A$5:$G$55,7,FALSE()),1))</f>
        <v>0.29</v>
      </c>
      <c r="K841" s="15" t="n">
        <f aca="false">G841*I841*J841</f>
        <v>34.8</v>
      </c>
    </row>
    <row r="842" customFormat="false" ht="15" hidden="false" customHeight="false" outlineLevel="0" collapsed="false">
      <c r="A842" s="0" t="n">
        <v>51</v>
      </c>
      <c r="B842" s="22" t="s">
        <v>1035</v>
      </c>
      <c r="C842" s="13" t="s">
        <v>376</v>
      </c>
      <c r="D842" s="23" t="s">
        <v>1036</v>
      </c>
      <c r="E842" s="23" t="s">
        <v>379</v>
      </c>
      <c r="F842" s="24" t="s">
        <v>48</v>
      </c>
      <c r="G842" s="19" t="n">
        <v>40</v>
      </c>
      <c r="H842" s="13" t="s">
        <v>27</v>
      </c>
      <c r="I842" s="12" t="n">
        <f aca="false">IFERROR(VLOOKUP(F842,Insumos!$C$5:$G$143,5,FALSE()),0)</f>
        <v>0.13</v>
      </c>
      <c r="J842" s="25" t="n">
        <f aca="false">IF(C842="bizcocho",VLOOKUP(A842,'Recetas y precios'!$A$5:$G$55,6,FALSE()),IF(C842="jarabe",VLOOKUP(A842,'Recetas y precios'!$A$5:$G$55,7,FALSE()),1))</f>
        <v>0.29</v>
      </c>
      <c r="K842" s="15" t="n">
        <f aca="false">G842*I842*J842</f>
        <v>1.508</v>
      </c>
    </row>
    <row r="843" customFormat="false" ht="15" hidden="false" customHeight="false" outlineLevel="0" collapsed="false">
      <c r="A843" s="0" t="n">
        <v>51</v>
      </c>
      <c r="B843" s="22" t="s">
        <v>1035</v>
      </c>
      <c r="C843" s="13" t="s">
        <v>376</v>
      </c>
      <c r="D843" s="23" t="s">
        <v>1036</v>
      </c>
      <c r="E843" s="23" t="s">
        <v>380</v>
      </c>
      <c r="F843" s="24" t="s">
        <v>50</v>
      </c>
      <c r="G843" s="19" t="n">
        <v>80</v>
      </c>
      <c r="H843" s="13" t="s">
        <v>27</v>
      </c>
      <c r="I843" s="12" t="n">
        <f aca="false">IFERROR(VLOOKUP(F843,Insumos!$C$5:$G$143,5,FALSE()),0)</f>
        <v>0.075</v>
      </c>
      <c r="J843" s="25" t="n">
        <f aca="false">IF(C843="bizcocho",VLOOKUP(A843,'Recetas y precios'!$A$5:$G$55,6,FALSE()),IF(C843="jarabe",VLOOKUP(A843,'Recetas y precios'!$A$5:$G$55,7,FALSE()),1))</f>
        <v>0.29</v>
      </c>
      <c r="K843" s="15" t="n">
        <f aca="false">G843*I843*J843</f>
        <v>1.74</v>
      </c>
    </row>
    <row r="844" customFormat="false" ht="15" hidden="false" customHeight="false" outlineLevel="0" collapsed="false">
      <c r="A844" s="0" t="n">
        <v>51</v>
      </c>
      <c r="B844" s="22" t="s">
        <v>1035</v>
      </c>
      <c r="C844" s="13" t="s">
        <v>376</v>
      </c>
      <c r="D844" s="23" t="s">
        <v>1036</v>
      </c>
      <c r="E844" s="23" t="s">
        <v>472</v>
      </c>
      <c r="F844" s="24" t="s">
        <v>72</v>
      </c>
      <c r="G844" s="19" t="n">
        <v>45</v>
      </c>
      <c r="H844" s="13" t="s">
        <v>27</v>
      </c>
      <c r="I844" s="12" t="n">
        <f aca="false">IFERROR(VLOOKUP(F844,Insumos!$C$5:$G$143,5,FALSE()),0)</f>
        <v>0.028</v>
      </c>
      <c r="J844" s="25" t="n">
        <f aca="false">IF(C844="bizcocho",VLOOKUP(A844,'Recetas y precios'!$A$5:$G$55,6,FALSE()),IF(C844="jarabe",VLOOKUP(A844,'Recetas y precios'!$A$5:$G$55,7,FALSE()),1))</f>
        <v>0.29</v>
      </c>
      <c r="K844" s="15" t="n">
        <f aca="false">G844*I844*J844</f>
        <v>0.3654</v>
      </c>
    </row>
    <row r="845" customFormat="false" ht="15" hidden="false" customHeight="false" outlineLevel="0" collapsed="false">
      <c r="A845" s="0" t="n">
        <v>51</v>
      </c>
      <c r="B845" s="22" t="s">
        <v>1035</v>
      </c>
      <c r="C845" s="13" t="s">
        <v>376</v>
      </c>
      <c r="D845" s="23" t="s">
        <v>1036</v>
      </c>
      <c r="E845" s="23" t="s">
        <v>772</v>
      </c>
      <c r="F845" s="24" t="s">
        <v>109</v>
      </c>
      <c r="G845" s="19" t="n">
        <v>25</v>
      </c>
      <c r="H845" s="13" t="s">
        <v>34</v>
      </c>
      <c r="I845" s="12" t="n">
        <f aca="false">IFERROR(VLOOKUP(F845,Insumos!$C$5:$G$143,5,FALSE()),0)</f>
        <v>0.045</v>
      </c>
      <c r="J845" s="25" t="n">
        <f aca="false">IF(C845="bizcocho",VLOOKUP(A845,'Recetas y precios'!$A$5:$G$55,6,FALSE()),IF(C845="jarabe",VLOOKUP(A845,'Recetas y precios'!$A$5:$G$55,7,FALSE()),1))</f>
        <v>0.29</v>
      </c>
      <c r="K845" s="15" t="n">
        <f aca="false">G845*I845*J845</f>
        <v>0.32625</v>
      </c>
    </row>
    <row r="846" customFormat="false" ht="15" hidden="false" customHeight="false" outlineLevel="0" collapsed="false">
      <c r="A846" s="0" t="n">
        <v>51</v>
      </c>
      <c r="B846" s="22" t="s">
        <v>1035</v>
      </c>
      <c r="C846" s="13" t="s">
        <v>376</v>
      </c>
      <c r="D846" s="23" t="s">
        <v>1036</v>
      </c>
      <c r="E846" s="23" t="s">
        <v>383</v>
      </c>
      <c r="F846" s="24" t="s">
        <v>40</v>
      </c>
      <c r="G846" s="19" t="n">
        <v>35</v>
      </c>
      <c r="H846" s="13" t="s">
        <v>34</v>
      </c>
      <c r="I846" s="12" t="n">
        <f aca="false">IFERROR(VLOOKUP(F846,Insumos!$C$5:$G$143,5,FALSE()),0)</f>
        <v>0.028</v>
      </c>
      <c r="J846" s="25" t="n">
        <f aca="false">IF(C846="bizcocho",VLOOKUP(A846,'Recetas y precios'!$A$5:$G$55,6,FALSE()),IF(C846="jarabe",VLOOKUP(A846,'Recetas y precios'!$A$5:$G$55,7,FALSE()),1))</f>
        <v>0.29</v>
      </c>
      <c r="K846" s="15" t="n">
        <f aca="false">G846*I846*J846</f>
        <v>0.2842</v>
      </c>
    </row>
    <row r="847" customFormat="false" ht="15" hidden="false" customHeight="false" outlineLevel="0" collapsed="false">
      <c r="A847" s="0" t="n">
        <v>51</v>
      </c>
      <c r="B847" s="22" t="s">
        <v>1035</v>
      </c>
      <c r="C847" s="13" t="s">
        <v>376</v>
      </c>
      <c r="D847" s="23" t="s">
        <v>1036</v>
      </c>
      <c r="E847" s="23" t="s">
        <v>385</v>
      </c>
      <c r="F847" s="24" t="s">
        <v>103</v>
      </c>
      <c r="G847" s="19" t="n">
        <v>1</v>
      </c>
      <c r="H847" s="13" t="s">
        <v>27</v>
      </c>
      <c r="I847" s="12" t="n">
        <f aca="false">IFERROR(VLOOKUP(F847,Insumos!$C$5:$G$143,5,FALSE()),0)</f>
        <v>0.025</v>
      </c>
      <c r="J847" s="25" t="n">
        <f aca="false">IF(C847="bizcocho",VLOOKUP(A847,'Recetas y precios'!$A$5:$G$55,6,FALSE()),IF(C847="jarabe",VLOOKUP(A847,'Recetas y precios'!$A$5:$G$55,7,FALSE()),1))</f>
        <v>0.29</v>
      </c>
      <c r="K847" s="15" t="n">
        <f aca="false">G847*I847*J847</f>
        <v>0.00725</v>
      </c>
    </row>
    <row r="848" customFormat="false" ht="15" hidden="false" customHeight="false" outlineLevel="0" collapsed="false">
      <c r="A848" s="0" t="n">
        <v>51</v>
      </c>
      <c r="B848" s="22" t="s">
        <v>1035</v>
      </c>
      <c r="C848" s="13" t="s">
        <v>387</v>
      </c>
      <c r="D848" s="23" t="s">
        <v>661</v>
      </c>
      <c r="E848" s="23" t="s">
        <v>1038</v>
      </c>
      <c r="F848" s="24" t="s">
        <v>116</v>
      </c>
      <c r="G848" s="19" t="n">
        <v>50</v>
      </c>
      <c r="H848" s="13" t="s">
        <v>34</v>
      </c>
      <c r="I848" s="12" t="n">
        <f aca="false">IFERROR(VLOOKUP(F848,Insumos!$C$5:$G$143,5,FALSE()),0)</f>
        <v>0.145</v>
      </c>
      <c r="J848" s="25" t="n">
        <f aca="false">IF(C848="bizcocho",VLOOKUP(A848,'Recetas y precios'!$A$5:$G$55,6,FALSE()),IF(C848="jarabe",VLOOKUP(A848,'Recetas y precios'!$A$5:$G$55,7,FALSE()),1))</f>
        <v>0.933</v>
      </c>
      <c r="K848" s="15" t="n">
        <f aca="false">G848*I848*J848</f>
        <v>6.76425</v>
      </c>
    </row>
    <row r="849" customFormat="false" ht="15" hidden="false" customHeight="false" outlineLevel="0" collapsed="false">
      <c r="A849" s="0" t="n">
        <v>51</v>
      </c>
      <c r="B849" s="22" t="s">
        <v>1035</v>
      </c>
      <c r="C849" s="13" t="s">
        <v>387</v>
      </c>
      <c r="D849" s="23" t="s">
        <v>661</v>
      </c>
      <c r="E849" s="23" t="s">
        <v>595</v>
      </c>
      <c r="F849" s="24" t="s">
        <v>80</v>
      </c>
      <c r="G849" s="19" t="n">
        <v>20</v>
      </c>
      <c r="H849" s="13" t="s">
        <v>34</v>
      </c>
      <c r="I849" s="12" t="n">
        <f aca="false">IFERROR(VLOOKUP(F849,Insumos!$C$5:$G$143,5,FALSE()),0)</f>
        <v>0.018</v>
      </c>
      <c r="J849" s="25" t="n">
        <f aca="false">IF(C849="bizcocho",VLOOKUP(A849,'Recetas y precios'!$A$5:$G$55,6,FALSE()),IF(C849="jarabe",VLOOKUP(A849,'Recetas y precios'!$A$5:$G$55,7,FALSE()),1))</f>
        <v>0.933</v>
      </c>
      <c r="K849" s="15" t="n">
        <f aca="false">G849*I849*J849</f>
        <v>0.33588</v>
      </c>
    </row>
    <row r="850" customFormat="false" ht="15" hidden="false" customHeight="false" outlineLevel="0" collapsed="false">
      <c r="A850" s="0" t="n">
        <v>51</v>
      </c>
      <c r="B850" s="22" t="s">
        <v>1035</v>
      </c>
      <c r="C850" s="13" t="s">
        <v>387</v>
      </c>
      <c r="D850" s="23" t="s">
        <v>661</v>
      </c>
      <c r="E850" s="23" t="s">
        <v>1039</v>
      </c>
      <c r="F850" s="24" t="s">
        <v>282</v>
      </c>
      <c r="G850" s="19" t="n">
        <v>0.5</v>
      </c>
      <c r="H850" s="13" t="s">
        <v>179</v>
      </c>
      <c r="I850" s="12" t="n">
        <f aca="false">IFERROR(VLOOKUP(F850,Insumos!$C$5:$G$143,5,FALSE()),0)</f>
        <v>120</v>
      </c>
      <c r="J850" s="25" t="n">
        <f aca="false">IF(C850="bizcocho",VLOOKUP(A850,'Recetas y precios'!$A$5:$G$55,6,FALSE()),IF(C850="jarabe",VLOOKUP(A850,'Recetas y precios'!$A$5:$G$55,7,FALSE()),1))</f>
        <v>0.933</v>
      </c>
      <c r="K850" s="15" t="n">
        <f aca="false">G850*I850*J850</f>
        <v>55.98</v>
      </c>
    </row>
    <row r="851" customFormat="false" ht="15" hidden="false" customHeight="false" outlineLevel="0" collapsed="false">
      <c r="A851" s="0" t="n">
        <v>51</v>
      </c>
      <c r="B851" s="22" t="s">
        <v>1035</v>
      </c>
      <c r="C851" s="13" t="s">
        <v>387</v>
      </c>
      <c r="D851" s="23" t="s">
        <v>661</v>
      </c>
      <c r="E851" s="23" t="s">
        <v>1040</v>
      </c>
      <c r="F851" s="24" t="s">
        <v>315</v>
      </c>
      <c r="G851" s="19" t="n">
        <v>5</v>
      </c>
      <c r="H851" s="13" t="s">
        <v>34</v>
      </c>
      <c r="I851" s="12" t="n">
        <f aca="false">IFERROR(VLOOKUP(F851,Insumos!$C$5:$G$143,5,FALSE()),0)</f>
        <v>0.533333333333333</v>
      </c>
      <c r="J851" s="25" t="n">
        <f aca="false">IF(C851="bizcocho",VLOOKUP(A851,'Recetas y precios'!$A$5:$G$55,6,FALSE()),IF(C851="jarabe",VLOOKUP(A851,'Recetas y precios'!$A$5:$G$55,7,FALSE()),1))</f>
        <v>0.933</v>
      </c>
      <c r="K851" s="15" t="n">
        <f aca="false">G851*I851*J851</f>
        <v>2.488</v>
      </c>
    </row>
    <row r="852" customFormat="false" ht="15" hidden="false" customHeight="false" outlineLevel="0" collapsed="false">
      <c r="A852" s="0" t="n">
        <v>51</v>
      </c>
      <c r="B852" s="22" t="s">
        <v>1035</v>
      </c>
      <c r="C852" s="13" t="s">
        <v>393</v>
      </c>
      <c r="D852" s="23" t="s">
        <v>1041</v>
      </c>
      <c r="E852" s="23" t="s">
        <v>1042</v>
      </c>
      <c r="F852" s="24" t="s">
        <v>26</v>
      </c>
      <c r="G852" s="19" t="n">
        <v>190</v>
      </c>
      <c r="H852" s="13" t="s">
        <v>27</v>
      </c>
      <c r="I852" s="12" t="n">
        <f aca="false">IFERROR(VLOOKUP(F852,Insumos!$C$5:$G$143,5,FALSE()),0)</f>
        <v>0.38</v>
      </c>
      <c r="J852" s="25" t="n">
        <f aca="false">IF(C852="bizcocho",VLOOKUP(A852,'Recetas y precios'!$A$5:$G$55,6,FALSE()),IF(C852="jarabe",VLOOKUP(A852,'Recetas y precios'!$A$5:$G$55,7,FALSE()),1))</f>
        <v>1</v>
      </c>
      <c r="K852" s="15" t="n">
        <f aca="false">G852*I852*J852</f>
        <v>72.2</v>
      </c>
    </row>
    <row r="853" customFormat="false" ht="15" hidden="false" customHeight="false" outlineLevel="0" collapsed="false">
      <c r="A853" s="0" t="n">
        <v>51</v>
      </c>
      <c r="B853" s="22" t="s">
        <v>1035</v>
      </c>
      <c r="C853" s="13" t="s">
        <v>393</v>
      </c>
      <c r="D853" s="23" t="s">
        <v>1041</v>
      </c>
      <c r="E853" s="23" t="s">
        <v>504</v>
      </c>
      <c r="F853" s="24" t="s">
        <v>33</v>
      </c>
      <c r="G853" s="19" t="n">
        <v>180</v>
      </c>
      <c r="H853" s="13" t="s">
        <v>34</v>
      </c>
      <c r="I853" s="12" t="n">
        <f aca="false">IFERROR(VLOOKUP(F853,Insumos!$C$5:$G$143,5,FALSE()),0)</f>
        <v>0.078</v>
      </c>
      <c r="J853" s="25" t="n">
        <f aca="false">IF(C853="bizcocho",VLOOKUP(A853,'Recetas y precios'!$A$5:$G$55,6,FALSE()),IF(C853="jarabe",VLOOKUP(A853,'Recetas y precios'!$A$5:$G$55,7,FALSE()),1))</f>
        <v>1</v>
      </c>
      <c r="K853" s="15" t="n">
        <f aca="false">G853*I853*J853</f>
        <v>14.04</v>
      </c>
    </row>
    <row r="854" customFormat="false" ht="15" hidden="false" customHeight="false" outlineLevel="0" collapsed="false">
      <c r="A854" s="0" t="n">
        <v>51</v>
      </c>
      <c r="B854" s="22" t="s">
        <v>1035</v>
      </c>
      <c r="C854" s="13" t="s">
        <v>393</v>
      </c>
      <c r="D854" s="23" t="s">
        <v>1041</v>
      </c>
      <c r="E854" s="23" t="s">
        <v>1043</v>
      </c>
      <c r="F854" s="24" t="s">
        <v>282</v>
      </c>
      <c r="G854" s="19" t="n">
        <v>1</v>
      </c>
      <c r="H854" s="13" t="s">
        <v>179</v>
      </c>
      <c r="I854" s="12" t="n">
        <f aca="false">IFERROR(VLOOKUP(F854,Insumos!$C$5:$G$143,5,FALSE()),0)</f>
        <v>120</v>
      </c>
      <c r="J854" s="25" t="n">
        <f aca="false">IF(C854="bizcocho",VLOOKUP(A854,'Recetas y precios'!$A$5:$G$55,6,FALSE()),IF(C854="jarabe",VLOOKUP(A854,'Recetas y precios'!$A$5:$G$55,7,FALSE()),1))</f>
        <v>1</v>
      </c>
      <c r="K854" s="15" t="n">
        <f aca="false">G854*I854*J854</f>
        <v>120</v>
      </c>
    </row>
    <row r="855" customFormat="false" ht="15" hidden="false" customHeight="false" outlineLevel="0" collapsed="false">
      <c r="A855" s="0" t="n">
        <v>51</v>
      </c>
      <c r="B855" s="22" t="s">
        <v>1035</v>
      </c>
      <c r="C855" s="13" t="s">
        <v>393</v>
      </c>
      <c r="D855" s="23" t="s">
        <v>1041</v>
      </c>
      <c r="E855" s="23" t="s">
        <v>444</v>
      </c>
      <c r="F855" s="24" t="s">
        <v>36</v>
      </c>
      <c r="G855" s="19" t="n">
        <v>50</v>
      </c>
      <c r="H855" s="13" t="s">
        <v>27</v>
      </c>
      <c r="I855" s="12" t="n">
        <f aca="false">IFERROR(VLOOKUP(F855,Insumos!$C$5:$G$143,5,FALSE()),0)</f>
        <v>0.085</v>
      </c>
      <c r="J855" s="25" t="n">
        <f aca="false">IF(C855="bizcocho",VLOOKUP(A855,'Recetas y precios'!$A$5:$G$55,6,FALSE()),IF(C855="jarabe",VLOOKUP(A855,'Recetas y precios'!$A$5:$G$55,7,FALSE()),1))</f>
        <v>1</v>
      </c>
      <c r="K855" s="15" t="n">
        <f aca="false">G855*I855*J855</f>
        <v>4.25</v>
      </c>
    </row>
    <row r="856" customFormat="false" ht="15" hidden="false" customHeight="false" outlineLevel="0" collapsed="false">
      <c r="A856" s="0" t="n">
        <v>51</v>
      </c>
      <c r="B856" s="22" t="s">
        <v>1035</v>
      </c>
      <c r="C856" s="13" t="s">
        <v>393</v>
      </c>
      <c r="D856" s="23" t="s">
        <v>1041</v>
      </c>
      <c r="E856" s="23" t="s">
        <v>456</v>
      </c>
      <c r="F856" s="24" t="s">
        <v>74</v>
      </c>
      <c r="G856" s="19" t="n">
        <v>20</v>
      </c>
      <c r="H856" s="13" t="s">
        <v>27</v>
      </c>
      <c r="I856" s="12" t="n">
        <f aca="false">IFERROR(VLOOKUP(F856,Insumos!$C$5:$G$143,5,FALSE()),0)</f>
        <v>0.045</v>
      </c>
      <c r="J856" s="25" t="n">
        <f aca="false">IF(C856="bizcocho",VLOOKUP(A856,'Recetas y precios'!$A$5:$G$55,6,FALSE()),IF(C856="jarabe",VLOOKUP(A856,'Recetas y precios'!$A$5:$G$55,7,FALSE()),1))</f>
        <v>1</v>
      </c>
      <c r="K856" s="15" t="n">
        <f aca="false">G856*I856*J856</f>
        <v>0.9</v>
      </c>
    </row>
    <row r="857" customFormat="false" ht="15" hidden="false" customHeight="false" outlineLevel="0" collapsed="false">
      <c r="A857" s="0" t="n">
        <v>51</v>
      </c>
      <c r="B857" s="22" t="s">
        <v>1035</v>
      </c>
      <c r="C857" s="13" t="s">
        <v>393</v>
      </c>
      <c r="D857" s="23" t="s">
        <v>1041</v>
      </c>
      <c r="E857" s="23" t="s">
        <v>1044</v>
      </c>
      <c r="F857" s="24" t="s">
        <v>103</v>
      </c>
      <c r="G857" s="19" t="n">
        <v>1</v>
      </c>
      <c r="H857" s="13" t="s">
        <v>27</v>
      </c>
      <c r="I857" s="12" t="n">
        <f aca="false">IFERROR(VLOOKUP(F857,Insumos!$C$5:$G$143,5,FALSE()),0)</f>
        <v>0.025</v>
      </c>
      <c r="J857" s="25" t="n">
        <f aca="false">IF(C857="bizcocho",VLOOKUP(A857,'Recetas y precios'!$A$5:$G$55,6,FALSE()),IF(C857="jarabe",VLOOKUP(A857,'Recetas y precios'!$A$5:$G$55,7,FALSE()),1))</f>
        <v>1</v>
      </c>
      <c r="K857" s="15" t="n">
        <f aca="false">G857*I857*J857</f>
        <v>0.025</v>
      </c>
    </row>
    <row r="858" customFormat="false" ht="15" hidden="false" customHeight="false" outlineLevel="0" collapsed="false">
      <c r="A858" s="0" t="n">
        <v>51</v>
      </c>
      <c r="B858" s="22" t="s">
        <v>1035</v>
      </c>
      <c r="C858" s="13" t="s">
        <v>400</v>
      </c>
      <c r="D858" s="23" t="s">
        <v>723</v>
      </c>
      <c r="E858" s="23" t="s">
        <v>1045</v>
      </c>
      <c r="F858" s="24" t="s">
        <v>224</v>
      </c>
      <c r="G858" s="19" t="n">
        <v>20</v>
      </c>
      <c r="H858" s="13" t="s">
        <v>27</v>
      </c>
      <c r="I858" s="12" t="n">
        <f aca="false">IFERROR(VLOOKUP(F858,Insumos!$C$5:$G$143,5,FALSE()),0)</f>
        <v>0.65</v>
      </c>
      <c r="J858" s="25" t="n">
        <f aca="false">IF(C858="bizcocho",VLOOKUP(A858,'Recetas y precios'!$A$5:$G$55,6,FALSE()),IF(C858="jarabe",VLOOKUP(A858,'Recetas y precios'!$A$5:$G$55,7,FALSE()),1))</f>
        <v>1</v>
      </c>
      <c r="K858" s="15" t="n">
        <f aca="false">G858*I858*J858</f>
        <v>13</v>
      </c>
    </row>
    <row r="859" customFormat="false" ht="15" hidden="false" customHeight="false" outlineLevel="0" collapsed="false">
      <c r="A859" s="0" t="n">
        <v>51</v>
      </c>
      <c r="B859" s="22" t="s">
        <v>1035</v>
      </c>
      <c r="C859" s="13" t="s">
        <v>400</v>
      </c>
      <c r="D859" s="23" t="s">
        <v>723</v>
      </c>
      <c r="E859" s="23" t="s">
        <v>1046</v>
      </c>
      <c r="F859" s="24" t="s">
        <v>228</v>
      </c>
      <c r="G859" s="19" t="n">
        <v>2</v>
      </c>
      <c r="H859" s="13" t="s">
        <v>179</v>
      </c>
      <c r="I859" s="12" t="n">
        <f aca="false">IFERROR(VLOOKUP(F859,Insumos!$C$5:$G$143,5,FALSE()),0)</f>
        <v>90</v>
      </c>
      <c r="J859" s="25" t="n">
        <f aca="false">IF(C859="bizcocho",VLOOKUP(A859,'Recetas y precios'!$A$5:$G$55,6,FALSE()),IF(C859="jarabe",VLOOKUP(A859,'Recetas y precios'!$A$5:$G$55,7,FALSE()),1))</f>
        <v>1</v>
      </c>
      <c r="K859" s="15" t="n">
        <f aca="false">G859*I859*J859</f>
        <v>180</v>
      </c>
    </row>
  </sheetData>
  <autoFilter ref="A4:K859"/>
  <conditionalFormatting sqref="I5:I859">
    <cfRule type="cellIs" priority="2" operator="equal" aboveAverage="0" equalAverage="0" bottom="0" percent="0" rank="0" text="" dxfId="7">
      <formula>0</formula>
    </cfRule>
  </conditionalFormatting>
  <dataValidations count="1">
    <dataValidation allowBlank="false" errorStyle="stop" operator="between" showDropDown="false" showErrorMessage="false" showInputMessage="false" sqref="F5:F859" type="list">
      <formula1>Insumos!$C$5:$C$143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1047</v>
      </c>
    </row>
    <row r="2" customFormat="false" ht="15" hidden="false" customHeight="false" outlineLevel="0" collapsed="false">
      <c r="A2" s="7" t="s">
        <v>1048</v>
      </c>
    </row>
    <row r="4" customFormat="false" ht="30" hidden="false" customHeight="true" outlineLevel="0" collapsed="false">
      <c r="A4" s="8"/>
      <c r="B4" s="8" t="s">
        <v>1049</v>
      </c>
      <c r="C4" s="8" t="s">
        <v>1050</v>
      </c>
      <c r="D4" s="8" t="s">
        <v>359</v>
      </c>
    </row>
    <row r="5" customFormat="false" ht="15" hidden="false" customHeight="false" outlineLevel="0" collapsed="false">
      <c r="B5" s="6" t="s">
        <v>1051</v>
      </c>
      <c r="C5" s="26" t="n">
        <v>5500</v>
      </c>
    </row>
    <row r="6" customFormat="false" ht="15" hidden="false" customHeight="false" outlineLevel="0" collapsed="false">
      <c r="B6" s="6" t="s">
        <v>1052</v>
      </c>
      <c r="C6" s="26" t="n">
        <v>1600</v>
      </c>
    </row>
    <row r="7" customFormat="false" ht="15" hidden="false" customHeight="false" outlineLevel="0" collapsed="false">
      <c r="B7" s="6" t="s">
        <v>1053</v>
      </c>
      <c r="C7" s="26" t="n">
        <v>600</v>
      </c>
    </row>
    <row r="8" customFormat="false" ht="15" hidden="false" customHeight="false" outlineLevel="0" collapsed="false">
      <c r="B8" s="6" t="s">
        <v>1054</v>
      </c>
      <c r="C8" s="26" t="n">
        <v>450</v>
      </c>
    </row>
    <row r="9" customFormat="false" ht="15" hidden="false" customHeight="false" outlineLevel="0" collapsed="false">
      <c r="B9" s="6" t="s">
        <v>1055</v>
      </c>
      <c r="C9" s="26" t="n">
        <v>1800</v>
      </c>
    </row>
    <row r="10" customFormat="false" ht="15" hidden="false" customHeight="false" outlineLevel="0" collapsed="false">
      <c r="B10" s="6" t="s">
        <v>1056</v>
      </c>
      <c r="C10" s="26" t="n">
        <v>900</v>
      </c>
    </row>
    <row r="11" customFormat="false" ht="15" hidden="false" customHeight="false" outlineLevel="0" collapsed="false">
      <c r="B11" s="6" t="s">
        <v>1057</v>
      </c>
      <c r="C11" s="26" t="n">
        <v>500</v>
      </c>
    </row>
    <row r="12" customFormat="false" ht="15" hidden="false" customHeight="false" outlineLevel="0" collapsed="false">
      <c r="B12" s="6" t="s">
        <v>1058</v>
      </c>
      <c r="C12" s="26" t="n">
        <v>1200</v>
      </c>
    </row>
    <row r="13" customFormat="false" ht="15" hidden="false" customHeight="false" outlineLevel="0" collapsed="false">
      <c r="B13" s="6" t="s">
        <v>1059</v>
      </c>
      <c r="C13" s="26" t="n">
        <v>600</v>
      </c>
    </row>
    <row r="14" customFormat="false" ht="15" hidden="false" customHeight="false" outlineLevel="0" collapsed="false">
      <c r="B14" s="6" t="s">
        <v>1060</v>
      </c>
      <c r="C14" s="26" t="n">
        <v>700</v>
      </c>
    </row>
    <row r="15" customFormat="false" ht="15" hidden="false" customHeight="false" outlineLevel="0" collapsed="false">
      <c r="B15" s="6"/>
      <c r="C15" s="26"/>
    </row>
    <row r="16" customFormat="false" ht="15" hidden="false" customHeight="false" outlineLevel="0" collapsed="false">
      <c r="B16" s="6"/>
      <c r="C16" s="26"/>
    </row>
    <row r="17" customFormat="false" ht="15" hidden="false" customHeight="false" outlineLevel="0" collapsed="false">
      <c r="B17" s="20" t="s">
        <v>1061</v>
      </c>
      <c r="C17" s="27" t="n">
        <f aca="false">SUM(C5:C16)</f>
        <v>13850</v>
      </c>
    </row>
    <row r="19" customFormat="false" ht="15" hidden="false" customHeight="false" outlineLevel="0" collapsed="false">
      <c r="B19" s="0" t="s">
        <v>1062</v>
      </c>
      <c r="C19" s="28" t="n">
        <v>800</v>
      </c>
      <c r="D19" s="7" t="s">
        <v>1063</v>
      </c>
    </row>
    <row r="20" customFormat="false" ht="15" hidden="false" customHeight="false" outlineLevel="0" collapsed="false">
      <c r="B20" s="0" t="s">
        <v>1064</v>
      </c>
      <c r="C20" s="29" t="n">
        <f aca="false">IFERROR(C17/C19,0)</f>
        <v>17.3125</v>
      </c>
      <c r="D20" s="7" t="s">
        <v>1065</v>
      </c>
    </row>
    <row r="21" customFormat="false" ht="15" hidden="false" customHeight="false" outlineLevel="0" collapsed="false">
      <c r="B21" s="0" t="s">
        <v>1066</v>
      </c>
      <c r="C21" s="26" t="n">
        <v>16000</v>
      </c>
      <c r="D21" s="7"/>
    </row>
    <row r="22" customFormat="false" ht="15" hidden="false" customHeight="false" outlineLevel="0" collapsed="false">
      <c r="B22" s="0" t="s">
        <v>1067</v>
      </c>
      <c r="C22" s="28" t="n">
        <v>200</v>
      </c>
      <c r="D22" s="7"/>
    </row>
    <row r="23" customFormat="false" ht="15" hidden="false" customHeight="false" outlineLevel="0" collapsed="false">
      <c r="B23" s="0" t="s">
        <v>1068</v>
      </c>
      <c r="C23" s="29" t="n">
        <f aca="false">IFERROR(C21/C22,0)</f>
        <v>80</v>
      </c>
      <c r="D23" s="7" t="s">
        <v>1069</v>
      </c>
    </row>
    <row r="24" customFormat="false" ht="15" hidden="false" customHeight="false" outlineLevel="0" collapsed="false">
      <c r="B24" s="0" t="s">
        <v>1070</v>
      </c>
      <c r="C24" s="30" t="n">
        <v>0.05</v>
      </c>
      <c r="D24" s="7" t="s">
        <v>1071</v>
      </c>
    </row>
    <row r="25" customFormat="false" ht="15" hidden="false" customHeight="false" outlineLevel="0" collapsed="false">
      <c r="B25" s="0" t="s">
        <v>1072</v>
      </c>
      <c r="C25" s="28" t="n">
        <v>5</v>
      </c>
      <c r="D25" s="7" t="s">
        <v>1073</v>
      </c>
    </row>
    <row r="26" customFormat="false" ht="15" hidden="false" customHeight="false" outlineLevel="0" collapsed="false">
      <c r="B26" s="31" t="s">
        <v>1074</v>
      </c>
    </row>
    <row r="27" customFormat="false" ht="15" hidden="false" customHeight="false" outlineLevel="0" collapsed="false">
      <c r="B27" s="0" t="s">
        <v>1075</v>
      </c>
      <c r="C27" s="30" t="n">
        <v>0.55</v>
      </c>
      <c r="D27" s="7" t="s">
        <v>1076</v>
      </c>
    </row>
    <row r="28" customFormat="false" ht="15" hidden="false" customHeight="false" outlineLevel="0" collapsed="false">
      <c r="B28" s="0" t="s">
        <v>1077</v>
      </c>
      <c r="C28" s="30" t="n">
        <v>0.6</v>
      </c>
      <c r="D28" s="7" t="s">
        <v>1078</v>
      </c>
    </row>
    <row r="29" customFormat="false" ht="15" hidden="false" customHeight="false" outlineLevel="0" collapsed="false">
      <c r="B29" s="0" t="s">
        <v>1079</v>
      </c>
      <c r="C29" s="30" t="n">
        <v>0.66</v>
      </c>
      <c r="D29" s="7" t="s">
        <v>1080</v>
      </c>
    </row>
    <row r="30" customFormat="false" ht="15" hidden="false" customHeight="false" outlineLevel="0" collapsed="false">
      <c r="B30" s="0" t="s">
        <v>1081</v>
      </c>
      <c r="C30" s="30" t="n">
        <v>0.32</v>
      </c>
      <c r="D30" s="7" t="s">
        <v>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X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3" min="19" style="0" width="11"/>
    <col collapsed="false" customWidth="true" hidden="false" outlineLevel="0" max="24" min="24" style="0" width="10"/>
  </cols>
  <sheetData>
    <row r="1" customFormat="false" ht="19.7" hidden="false" customHeight="false" outlineLevel="0" collapsed="false">
      <c r="A1" s="1" t="s">
        <v>1083</v>
      </c>
    </row>
    <row r="2" customFormat="false" ht="15" hidden="false" customHeight="false" outlineLevel="0" collapsed="false">
      <c r="A2" s="7" t="s">
        <v>1084</v>
      </c>
    </row>
    <row r="4" customFormat="false" ht="30" hidden="false" customHeight="true" outlineLevel="0" collapsed="false">
      <c r="A4" s="8" t="s">
        <v>369</v>
      </c>
      <c r="B4" s="8" t="s">
        <v>370</v>
      </c>
      <c r="C4" s="8" t="s">
        <v>1085</v>
      </c>
      <c r="D4" s="8" t="s">
        <v>1086</v>
      </c>
      <c r="E4" s="8" t="s">
        <v>1087</v>
      </c>
      <c r="F4" s="8" t="s">
        <v>1088</v>
      </c>
      <c r="G4" s="8" t="s">
        <v>1089</v>
      </c>
      <c r="H4" s="8" t="s">
        <v>1090</v>
      </c>
      <c r="I4" s="8" t="s">
        <v>1091</v>
      </c>
      <c r="J4" s="8" t="s">
        <v>1092</v>
      </c>
      <c r="K4" s="8" t="s">
        <v>1093</v>
      </c>
      <c r="L4" s="8" t="s">
        <v>1094</v>
      </c>
      <c r="M4" s="8" t="s">
        <v>1095</v>
      </c>
      <c r="N4" s="8" t="s">
        <v>1096</v>
      </c>
      <c r="O4" s="8" t="s">
        <v>1097</v>
      </c>
      <c r="P4" s="8" t="s">
        <v>1098</v>
      </c>
      <c r="Q4" s="8" t="s">
        <v>1099</v>
      </c>
      <c r="R4" s="8" t="s">
        <v>1100</v>
      </c>
      <c r="S4" s="8" t="s">
        <v>1101</v>
      </c>
      <c r="T4" s="8" t="s">
        <v>1102</v>
      </c>
      <c r="U4" s="8" t="s">
        <v>1103</v>
      </c>
      <c r="V4" s="8" t="s">
        <v>1104</v>
      </c>
      <c r="W4" s="8" t="s">
        <v>1105</v>
      </c>
      <c r="X4" s="8" t="s">
        <v>1106</v>
      </c>
    </row>
    <row r="5" customFormat="false" ht="15" hidden="false" customHeight="false" outlineLevel="0" collapsed="false">
      <c r="A5" s="0" t="n">
        <v>1</v>
      </c>
      <c r="B5" s="22" t="s">
        <v>375</v>
      </c>
      <c r="C5" s="23" t="s">
        <v>1107</v>
      </c>
      <c r="D5" s="13" t="s">
        <v>343</v>
      </c>
      <c r="E5" s="6" t="n">
        <v>2</v>
      </c>
      <c r="F5" s="32" t="n">
        <v>0.309</v>
      </c>
      <c r="G5" s="32" t="n">
        <v>0.762</v>
      </c>
      <c r="H5" s="15" t="n">
        <f aca="false">SUMIF(Ingredientes!$A$5:$A$859,A5,Ingredientes!$K$5:$K$859)</f>
        <v>127.723495</v>
      </c>
      <c r="I5" s="15" t="n">
        <f aca="false">IFERROR(H5/E5,0)</f>
        <v>63.8617475</v>
      </c>
      <c r="J5" s="15" t="n">
        <f aca="false">IFERROR(VLOOKUP(D5,Componentes!$A$11:$D$14,4,FALSE()),0)</f>
        <v>9</v>
      </c>
      <c r="K5" s="17" t="n">
        <v>3</v>
      </c>
      <c r="L5" s="6" t="n">
        <v>17</v>
      </c>
      <c r="M5" s="15" t="n">
        <f aca="false">L5/60*'Mi negocio'!$C$23</f>
        <v>22.6666666666667</v>
      </c>
      <c r="N5" s="15" t="n">
        <f aca="false">'Mi negocio'!$C$20</f>
        <v>17.3125</v>
      </c>
      <c r="O5" s="15" t="n">
        <f aca="false">I5+J5+K5+M5+N5</f>
        <v>115.840914166667</v>
      </c>
      <c r="P5" s="30"/>
      <c r="Q5" s="16" t="n">
        <f aca="false">IF(P5="",'Mi negocio'!$C$24,P5)</f>
        <v>0.05</v>
      </c>
      <c r="R5" s="21" t="n">
        <f aca="false">IFERROR(O5/(1-Q5),0)</f>
        <v>121.937804385965</v>
      </c>
      <c r="S5" s="33" t="n">
        <f aca="false">IFERROR(CEILING(ROUND(R5/(1-'Mi negocio'!$C$27),6),'Mi negocio'!$C$25),0)</f>
        <v>275</v>
      </c>
      <c r="T5" s="33" t="n">
        <f aca="false">IFERROR(CEILING(ROUND(R5/(1-'Mi negocio'!$C$28),6),'Mi negocio'!$C$25),0)</f>
        <v>305</v>
      </c>
      <c r="U5" s="33" t="n">
        <f aca="false">IFERROR(CEILING(ROUND(R5/(1-'Mi negocio'!$C$29),6),'Mi negocio'!$C$25),0)</f>
        <v>360</v>
      </c>
      <c r="V5" s="33" t="n">
        <f aca="false">IFERROR(CEILING(ROUND(R5/(1-'Mi negocio'!$C$30),6),'Mi negocio'!$C$25),0)</f>
        <v>180</v>
      </c>
      <c r="W5" s="15" t="n">
        <f aca="false">S5-R5</f>
        <v>153.062195614035</v>
      </c>
      <c r="X5" s="16" t="n">
        <f aca="false">IFERROR(W5/S5,0)</f>
        <v>0.556589802232855</v>
      </c>
    </row>
    <row r="6" customFormat="false" ht="15" hidden="false" customHeight="false" outlineLevel="0" collapsed="false">
      <c r="A6" s="0" t="n">
        <v>2</v>
      </c>
      <c r="B6" s="22" t="s">
        <v>404</v>
      </c>
      <c r="C6" s="23" t="s">
        <v>1107</v>
      </c>
      <c r="D6" s="13" t="s">
        <v>346</v>
      </c>
      <c r="E6" s="6" t="n">
        <v>2</v>
      </c>
      <c r="F6" s="32" t="n">
        <v>0.333</v>
      </c>
      <c r="G6" s="32" t="n">
        <v>0.933</v>
      </c>
      <c r="H6" s="15" t="n">
        <f aca="false">SUMIF(Ingredientes!$A$5:$A$859,A6,Ingredientes!$K$5:$K$859)</f>
        <v>90.0820435714286</v>
      </c>
      <c r="I6" s="15" t="n">
        <f aca="false">IFERROR(H6/E6,0)</f>
        <v>45.0410217857143</v>
      </c>
      <c r="J6" s="15" t="n">
        <f aca="false">IFERROR(VLOOKUP(D6,Componentes!$A$11:$D$14,4,FALSE()),0)</f>
        <v>16</v>
      </c>
      <c r="K6" s="17" t="n">
        <v>3</v>
      </c>
      <c r="L6" s="6" t="n">
        <v>17</v>
      </c>
      <c r="M6" s="15" t="n">
        <f aca="false">L6/60*'Mi negocio'!$C$23</f>
        <v>22.6666666666667</v>
      </c>
      <c r="N6" s="15" t="n">
        <f aca="false">'Mi negocio'!$C$20</f>
        <v>17.3125</v>
      </c>
      <c r="O6" s="15" t="n">
        <f aca="false">I6+J6+K6+M6+N6</f>
        <v>104.020188452381</v>
      </c>
      <c r="P6" s="30"/>
      <c r="Q6" s="16" t="n">
        <f aca="false">IF(P6="",'Mi negocio'!$C$24,P6)</f>
        <v>0.05</v>
      </c>
      <c r="R6" s="21" t="n">
        <f aca="false">IFERROR(O6/(1-Q6),0)</f>
        <v>109.494935213033</v>
      </c>
      <c r="S6" s="33" t="n">
        <f aca="false">IFERROR(CEILING(ROUND(R6/(1-'Mi negocio'!$C$27),6),'Mi negocio'!$C$25),0)</f>
        <v>245</v>
      </c>
      <c r="T6" s="33" t="n">
        <f aca="false">IFERROR(CEILING(ROUND(R6/(1-'Mi negocio'!$C$28),6),'Mi negocio'!$C$25),0)</f>
        <v>275</v>
      </c>
      <c r="U6" s="33" t="n">
        <f aca="false">IFERROR(CEILING(ROUND(R6/(1-'Mi negocio'!$C$29),6),'Mi negocio'!$C$25),0)</f>
        <v>325</v>
      </c>
      <c r="V6" s="33" t="n">
        <f aca="false">IFERROR(CEILING(ROUND(R6/(1-'Mi negocio'!$C$30),6),'Mi negocio'!$C$25),0)</f>
        <v>165</v>
      </c>
      <c r="W6" s="15" t="n">
        <f aca="false">S6-R6</f>
        <v>135.505064786967</v>
      </c>
      <c r="X6" s="16" t="n">
        <f aca="false">IFERROR(W6/S6,0)</f>
        <v>0.553081897089663</v>
      </c>
    </row>
    <row r="7" customFormat="false" ht="15" hidden="false" customHeight="false" outlineLevel="0" collapsed="false">
      <c r="A7" s="0" t="n">
        <v>3</v>
      </c>
      <c r="B7" s="22" t="s">
        <v>428</v>
      </c>
      <c r="C7" s="23" t="s">
        <v>1107</v>
      </c>
      <c r="D7" s="13" t="s">
        <v>349</v>
      </c>
      <c r="E7" s="6" t="n">
        <v>2</v>
      </c>
      <c r="F7" s="32" t="n">
        <v>0.407</v>
      </c>
      <c r="G7" s="32" t="n">
        <v>1</v>
      </c>
      <c r="H7" s="15" t="n">
        <f aca="false">SUMIF(Ingredientes!$A$5:$A$859,A7,Ingredientes!$K$5:$K$859)</f>
        <v>138.786385</v>
      </c>
      <c r="I7" s="15" t="n">
        <f aca="false">IFERROR(H7/E7,0)</f>
        <v>69.3931925</v>
      </c>
      <c r="J7" s="15" t="n">
        <f aca="false">IFERROR(VLOOKUP(D7,Componentes!$A$11:$D$14,4,FALSE()),0)</f>
        <v>12</v>
      </c>
      <c r="K7" s="17" t="n">
        <v>3</v>
      </c>
      <c r="L7" s="6" t="n">
        <v>17</v>
      </c>
      <c r="M7" s="15" t="n">
        <f aca="false">L7/60*'Mi negocio'!$C$23</f>
        <v>22.6666666666667</v>
      </c>
      <c r="N7" s="15" t="n">
        <f aca="false">'Mi negocio'!$C$20</f>
        <v>17.3125</v>
      </c>
      <c r="O7" s="15" t="n">
        <f aca="false">I7+J7+K7+M7+N7</f>
        <v>124.372359166667</v>
      </c>
      <c r="P7" s="30"/>
      <c r="Q7" s="16" t="n">
        <f aca="false">IF(P7="",'Mi negocio'!$C$24,P7)</f>
        <v>0.05</v>
      </c>
      <c r="R7" s="21" t="n">
        <f aca="false">IFERROR(O7/(1-Q7),0)</f>
        <v>130.918272807018</v>
      </c>
      <c r="S7" s="33" t="n">
        <f aca="false">IFERROR(CEILING(ROUND(R7/(1-'Mi negocio'!$C$27),6),'Mi negocio'!$C$25),0)</f>
        <v>295</v>
      </c>
      <c r="T7" s="33" t="n">
        <f aca="false">IFERROR(CEILING(ROUND(R7/(1-'Mi negocio'!$C$28),6),'Mi negocio'!$C$25),0)</f>
        <v>330</v>
      </c>
      <c r="U7" s="33" t="n">
        <f aca="false">IFERROR(CEILING(ROUND(R7/(1-'Mi negocio'!$C$29),6),'Mi negocio'!$C$25),0)</f>
        <v>390</v>
      </c>
      <c r="V7" s="33" t="n">
        <f aca="false">IFERROR(CEILING(ROUND(R7/(1-'Mi negocio'!$C$30),6),'Mi negocio'!$C$25),0)</f>
        <v>195</v>
      </c>
      <c r="W7" s="15" t="n">
        <f aca="false">S7-R7</f>
        <v>164.081727192982</v>
      </c>
      <c r="X7" s="16" t="n">
        <f aca="false">IFERROR(W7/S7,0)</f>
        <v>0.556209244721975</v>
      </c>
    </row>
    <row r="8" customFormat="false" ht="15" hidden="false" customHeight="false" outlineLevel="0" collapsed="false">
      <c r="A8" s="0" t="n">
        <v>4</v>
      </c>
      <c r="B8" s="22" t="s">
        <v>446</v>
      </c>
      <c r="C8" s="23" t="s">
        <v>1107</v>
      </c>
      <c r="D8" s="13" t="s">
        <v>349</v>
      </c>
      <c r="E8" s="6" t="n">
        <v>2</v>
      </c>
      <c r="F8" s="32" t="n">
        <v>0.552</v>
      </c>
      <c r="G8" s="32" t="n">
        <v>1</v>
      </c>
      <c r="H8" s="15" t="n">
        <f aca="false">SUMIF(Ingredientes!$A$5:$A$859,A8,Ingredientes!$K$5:$K$859)</f>
        <v>103.39816</v>
      </c>
      <c r="I8" s="15" t="n">
        <f aca="false">IFERROR(H8/E8,0)</f>
        <v>51.69908</v>
      </c>
      <c r="J8" s="15" t="n">
        <f aca="false">IFERROR(VLOOKUP(D8,Componentes!$A$11:$D$14,4,FALSE()),0)</f>
        <v>12</v>
      </c>
      <c r="K8" s="17" t="n">
        <v>3</v>
      </c>
      <c r="L8" s="6" t="n">
        <v>17</v>
      </c>
      <c r="M8" s="15" t="n">
        <f aca="false">L8/60*'Mi negocio'!$C$23</f>
        <v>22.6666666666667</v>
      </c>
      <c r="N8" s="15" t="n">
        <f aca="false">'Mi negocio'!$C$20</f>
        <v>17.3125</v>
      </c>
      <c r="O8" s="15" t="n">
        <f aca="false">I8+J8+K8+M8+N8</f>
        <v>106.678246666667</v>
      </c>
      <c r="P8" s="30"/>
      <c r="Q8" s="16" t="n">
        <f aca="false">IF(P8="",'Mi negocio'!$C$24,P8)</f>
        <v>0.05</v>
      </c>
      <c r="R8" s="21" t="n">
        <f aca="false">IFERROR(O8/(1-Q8),0)</f>
        <v>112.29289122807</v>
      </c>
      <c r="S8" s="33" t="n">
        <f aca="false">IFERROR(CEILING(ROUND(R8/(1-'Mi negocio'!$C$27),6),'Mi negocio'!$C$25),0)</f>
        <v>250</v>
      </c>
      <c r="T8" s="33" t="n">
        <f aca="false">IFERROR(CEILING(ROUND(R8/(1-'Mi negocio'!$C$28),6),'Mi negocio'!$C$25),0)</f>
        <v>285</v>
      </c>
      <c r="U8" s="33" t="n">
        <f aca="false">IFERROR(CEILING(ROUND(R8/(1-'Mi negocio'!$C$29),6),'Mi negocio'!$C$25),0)</f>
        <v>335</v>
      </c>
      <c r="V8" s="33" t="n">
        <f aca="false">IFERROR(CEILING(ROUND(R8/(1-'Mi negocio'!$C$30),6),'Mi negocio'!$C$25),0)</f>
        <v>170</v>
      </c>
      <c r="W8" s="15" t="n">
        <f aca="false">S8-R8</f>
        <v>137.70710877193</v>
      </c>
      <c r="X8" s="16" t="n">
        <f aca="false">IFERROR(W8/S8,0)</f>
        <v>0.550828435087719</v>
      </c>
    </row>
    <row r="9" customFormat="false" ht="15" hidden="false" customHeight="false" outlineLevel="0" collapsed="false">
      <c r="A9" s="0" t="n">
        <v>5</v>
      </c>
      <c r="B9" s="22" t="s">
        <v>468</v>
      </c>
      <c r="C9" s="23" t="s">
        <v>1107</v>
      </c>
      <c r="D9" s="13" t="s">
        <v>343</v>
      </c>
      <c r="E9" s="6" t="n">
        <v>2</v>
      </c>
      <c r="F9" s="32" t="n">
        <v>0.282</v>
      </c>
      <c r="G9" s="32" t="n">
        <v>0.737</v>
      </c>
      <c r="H9" s="15" t="n">
        <f aca="false">SUMIF(Ingredientes!$A$5:$A$859,A9,Ingredientes!$K$5:$K$859)</f>
        <v>135.786676666667</v>
      </c>
      <c r="I9" s="15" t="n">
        <f aca="false">IFERROR(H9/E9,0)</f>
        <v>67.8933383333333</v>
      </c>
      <c r="J9" s="15" t="n">
        <f aca="false">IFERROR(VLOOKUP(D9,Componentes!$A$11:$D$14,4,FALSE()),0)</f>
        <v>9</v>
      </c>
      <c r="K9" s="17" t="n">
        <v>3</v>
      </c>
      <c r="L9" s="6" t="n">
        <v>17</v>
      </c>
      <c r="M9" s="15" t="n">
        <f aca="false">L9/60*'Mi negocio'!$C$23</f>
        <v>22.6666666666667</v>
      </c>
      <c r="N9" s="15" t="n">
        <f aca="false">'Mi negocio'!$C$20</f>
        <v>17.3125</v>
      </c>
      <c r="O9" s="15" t="n">
        <f aca="false">I9+J9+K9+M9+N9</f>
        <v>119.872505</v>
      </c>
      <c r="P9" s="30"/>
      <c r="Q9" s="16" t="n">
        <f aca="false">IF(P9="",'Mi negocio'!$C$24,P9)</f>
        <v>0.05</v>
      </c>
      <c r="R9" s="21" t="n">
        <f aca="false">IFERROR(O9/(1-Q9),0)</f>
        <v>126.181584210526</v>
      </c>
      <c r="S9" s="33" t="n">
        <f aca="false">IFERROR(CEILING(ROUND(R9/(1-'Mi negocio'!$C$27),6),'Mi negocio'!$C$25),0)</f>
        <v>285</v>
      </c>
      <c r="T9" s="33" t="n">
        <f aca="false">IFERROR(CEILING(ROUND(R9/(1-'Mi negocio'!$C$28),6),'Mi negocio'!$C$25),0)</f>
        <v>320</v>
      </c>
      <c r="U9" s="33" t="n">
        <f aca="false">IFERROR(CEILING(ROUND(R9/(1-'Mi negocio'!$C$29),6),'Mi negocio'!$C$25),0)</f>
        <v>375</v>
      </c>
      <c r="V9" s="33" t="n">
        <f aca="false">IFERROR(CEILING(ROUND(R9/(1-'Mi negocio'!$C$30),6),'Mi negocio'!$C$25),0)</f>
        <v>190</v>
      </c>
      <c r="W9" s="15" t="n">
        <f aca="false">S9-R9</f>
        <v>158.818415789474</v>
      </c>
      <c r="X9" s="16" t="n">
        <f aca="false">IFERROR(W9/S9,0)</f>
        <v>0.557257599261311</v>
      </c>
    </row>
    <row r="10" customFormat="false" ht="15" hidden="false" customHeight="false" outlineLevel="0" collapsed="false">
      <c r="A10" s="0" t="n">
        <v>6</v>
      </c>
      <c r="B10" s="22" t="s">
        <v>490</v>
      </c>
      <c r="C10" s="23" t="s">
        <v>1107</v>
      </c>
      <c r="D10" s="13" t="s">
        <v>343</v>
      </c>
      <c r="E10" s="6" t="n">
        <v>2</v>
      </c>
      <c r="F10" s="32" t="n">
        <v>0.309</v>
      </c>
      <c r="G10" s="32" t="n">
        <v>0.789</v>
      </c>
      <c r="H10" s="15" t="n">
        <f aca="false">SUMIF(Ingredientes!$A$5:$A$859,A10,Ingredientes!$K$5:$K$859)</f>
        <v>129.978675</v>
      </c>
      <c r="I10" s="15" t="n">
        <f aca="false">IFERROR(H10/E10,0)</f>
        <v>64.9893375</v>
      </c>
      <c r="J10" s="15" t="n">
        <f aca="false">IFERROR(VLOOKUP(D10,Componentes!$A$11:$D$14,4,FALSE()),0)</f>
        <v>9</v>
      </c>
      <c r="K10" s="17" t="n">
        <v>4</v>
      </c>
      <c r="L10" s="6" t="n">
        <v>24</v>
      </c>
      <c r="M10" s="15" t="n">
        <f aca="false">L10/60*'Mi negocio'!$C$23</f>
        <v>32</v>
      </c>
      <c r="N10" s="15" t="n">
        <f aca="false">'Mi negocio'!$C$20</f>
        <v>17.3125</v>
      </c>
      <c r="O10" s="15" t="n">
        <f aca="false">I10+J10+K10+M10+N10</f>
        <v>127.3018375</v>
      </c>
      <c r="P10" s="30"/>
      <c r="Q10" s="16" t="n">
        <f aca="false">IF(P10="",'Mi negocio'!$C$24,P10)</f>
        <v>0.05</v>
      </c>
      <c r="R10" s="21" t="n">
        <f aca="false">IFERROR(O10/(1-Q10),0)</f>
        <v>134.001934210526</v>
      </c>
      <c r="S10" s="33" t="n">
        <f aca="false">IFERROR(CEILING(ROUND(R10/(1-'Mi negocio'!$C$27),6),'Mi negocio'!$C$25),0)</f>
        <v>300</v>
      </c>
      <c r="T10" s="33" t="n">
        <f aca="false">IFERROR(CEILING(ROUND(R10/(1-'Mi negocio'!$C$28),6),'Mi negocio'!$C$25),0)</f>
        <v>340</v>
      </c>
      <c r="U10" s="33" t="n">
        <f aca="false">IFERROR(CEILING(ROUND(R10/(1-'Mi negocio'!$C$29),6),'Mi negocio'!$C$25),0)</f>
        <v>395</v>
      </c>
      <c r="V10" s="33" t="n">
        <f aca="false">IFERROR(CEILING(ROUND(R10/(1-'Mi negocio'!$C$30),6),'Mi negocio'!$C$25),0)</f>
        <v>200</v>
      </c>
      <c r="W10" s="15" t="n">
        <f aca="false">S10-R10</f>
        <v>165.998065789474</v>
      </c>
      <c r="X10" s="16" t="n">
        <f aca="false">IFERROR(W10/S10,0)</f>
        <v>0.553326885964912</v>
      </c>
    </row>
    <row r="11" customFormat="false" ht="15" hidden="false" customHeight="false" outlineLevel="0" collapsed="false">
      <c r="A11" s="0" t="n">
        <v>7</v>
      </c>
      <c r="B11" s="22" t="s">
        <v>515</v>
      </c>
      <c r="C11" s="23" t="s">
        <v>1107</v>
      </c>
      <c r="D11" s="13" t="s">
        <v>349</v>
      </c>
      <c r="E11" s="6" t="n">
        <v>2</v>
      </c>
      <c r="F11" s="32" t="n">
        <v>0.364</v>
      </c>
      <c r="G11" s="32" t="n">
        <v>1</v>
      </c>
      <c r="H11" s="15" t="n">
        <f aca="false">SUMIF(Ingredientes!$A$5:$A$859,A11,Ingredientes!$K$5:$K$859)</f>
        <v>99.6559666666667</v>
      </c>
      <c r="I11" s="15" t="n">
        <f aca="false">IFERROR(H11/E11,0)</f>
        <v>49.8279833333333</v>
      </c>
      <c r="J11" s="15" t="n">
        <f aca="false">IFERROR(VLOOKUP(D11,Componentes!$A$11:$D$14,4,FALSE()),0)</f>
        <v>12</v>
      </c>
      <c r="K11" s="17" t="n">
        <v>3</v>
      </c>
      <c r="L11" s="6" t="n">
        <v>17</v>
      </c>
      <c r="M11" s="15" t="n">
        <f aca="false">L11/60*'Mi negocio'!$C$23</f>
        <v>22.6666666666667</v>
      </c>
      <c r="N11" s="15" t="n">
        <f aca="false">'Mi negocio'!$C$20</f>
        <v>17.3125</v>
      </c>
      <c r="O11" s="15" t="n">
        <f aca="false">I11+J11+K11+M11+N11</f>
        <v>104.80715</v>
      </c>
      <c r="P11" s="30"/>
      <c r="Q11" s="16" t="n">
        <f aca="false">IF(P11="",'Mi negocio'!$C$24,P11)</f>
        <v>0.05</v>
      </c>
      <c r="R11" s="21" t="n">
        <f aca="false">IFERROR(O11/(1-Q11),0)</f>
        <v>110.323315789474</v>
      </c>
      <c r="S11" s="33" t="n">
        <f aca="false">IFERROR(CEILING(ROUND(R11/(1-'Mi negocio'!$C$27),6),'Mi negocio'!$C$25),0)</f>
        <v>250</v>
      </c>
      <c r="T11" s="33" t="n">
        <f aca="false">IFERROR(CEILING(ROUND(R11/(1-'Mi negocio'!$C$28),6),'Mi negocio'!$C$25),0)</f>
        <v>280</v>
      </c>
      <c r="U11" s="33" t="n">
        <f aca="false">IFERROR(CEILING(ROUND(R11/(1-'Mi negocio'!$C$29),6),'Mi negocio'!$C$25),0)</f>
        <v>325</v>
      </c>
      <c r="V11" s="33" t="n">
        <f aca="false">IFERROR(CEILING(ROUND(R11/(1-'Mi negocio'!$C$30),6),'Mi negocio'!$C$25),0)</f>
        <v>165</v>
      </c>
      <c r="W11" s="15" t="n">
        <f aca="false">S11-R11</f>
        <v>139.676684210526</v>
      </c>
      <c r="X11" s="16" t="n">
        <f aca="false">IFERROR(W11/S11,0)</f>
        <v>0.558706736842105</v>
      </c>
    </row>
    <row r="12" customFormat="false" ht="15" hidden="false" customHeight="false" outlineLevel="0" collapsed="false">
      <c r="A12" s="0" t="n">
        <v>8</v>
      </c>
      <c r="B12" s="22" t="s">
        <v>528</v>
      </c>
      <c r="C12" s="23" t="s">
        <v>1107</v>
      </c>
      <c r="D12" s="13" t="s">
        <v>346</v>
      </c>
      <c r="E12" s="6" t="n">
        <v>2</v>
      </c>
      <c r="F12" s="32" t="n">
        <v>0.352</v>
      </c>
      <c r="G12" s="32" t="n">
        <v>1</v>
      </c>
      <c r="H12" s="15" t="n">
        <f aca="false">SUMIF(Ingredientes!$A$5:$A$859,A12,Ingredientes!$K$5:$K$859)</f>
        <v>107.482266666667</v>
      </c>
      <c r="I12" s="15" t="n">
        <f aca="false">IFERROR(H12/E12,0)</f>
        <v>53.7411333333333</v>
      </c>
      <c r="J12" s="15" t="n">
        <f aca="false">IFERROR(VLOOKUP(D12,Componentes!$A$11:$D$14,4,FALSE()),0)</f>
        <v>16</v>
      </c>
      <c r="K12" s="17" t="n">
        <v>3</v>
      </c>
      <c r="L12" s="6" t="n">
        <v>17</v>
      </c>
      <c r="M12" s="15" t="n">
        <f aca="false">L12/60*'Mi negocio'!$C$23</f>
        <v>22.6666666666667</v>
      </c>
      <c r="N12" s="15" t="n">
        <f aca="false">'Mi negocio'!$C$20</f>
        <v>17.3125</v>
      </c>
      <c r="O12" s="15" t="n">
        <f aca="false">I12+J12+K12+M12+N12</f>
        <v>112.7203</v>
      </c>
      <c r="P12" s="30"/>
      <c r="Q12" s="16" t="n">
        <f aca="false">IF(P12="",'Mi negocio'!$C$24,P12)</f>
        <v>0.05</v>
      </c>
      <c r="R12" s="21" t="n">
        <f aca="false">IFERROR(O12/(1-Q12),0)</f>
        <v>118.652947368421</v>
      </c>
      <c r="S12" s="33" t="n">
        <f aca="false">IFERROR(CEILING(ROUND(R12/(1-'Mi negocio'!$C$27),6),'Mi negocio'!$C$25),0)</f>
        <v>265</v>
      </c>
      <c r="T12" s="33" t="n">
        <f aca="false">IFERROR(CEILING(ROUND(R12/(1-'Mi negocio'!$C$28),6),'Mi negocio'!$C$25),0)</f>
        <v>300</v>
      </c>
      <c r="U12" s="33" t="n">
        <f aca="false">IFERROR(CEILING(ROUND(R12/(1-'Mi negocio'!$C$29),6),'Mi negocio'!$C$25),0)</f>
        <v>350</v>
      </c>
      <c r="V12" s="33" t="n">
        <f aca="false">IFERROR(CEILING(ROUND(R12/(1-'Mi negocio'!$C$30),6),'Mi negocio'!$C$25),0)</f>
        <v>175</v>
      </c>
      <c r="W12" s="15" t="n">
        <f aca="false">S12-R12</f>
        <v>146.347052631579</v>
      </c>
      <c r="X12" s="16" t="n">
        <f aca="false">IFERROR(W12/S12,0)</f>
        <v>0.552253028798411</v>
      </c>
    </row>
    <row r="13" customFormat="false" ht="15" hidden="false" customHeight="false" outlineLevel="0" collapsed="false">
      <c r="A13" s="0" t="n">
        <v>9</v>
      </c>
      <c r="B13" s="22" t="s">
        <v>544</v>
      </c>
      <c r="C13" s="23" t="s">
        <v>1107</v>
      </c>
      <c r="D13" s="13" t="s">
        <v>349</v>
      </c>
      <c r="E13" s="6" t="n">
        <v>2</v>
      </c>
      <c r="F13" s="32" t="n">
        <v>0.583</v>
      </c>
      <c r="G13" s="32" t="n">
        <v>1</v>
      </c>
      <c r="H13" s="15" t="n">
        <f aca="false">SUMIF(Ingredientes!$A$5:$A$859,A13,Ingredientes!$K$5:$K$859)</f>
        <v>104.57017</v>
      </c>
      <c r="I13" s="15" t="n">
        <f aca="false">IFERROR(H13/E13,0)</f>
        <v>52.285085</v>
      </c>
      <c r="J13" s="15" t="n">
        <f aca="false">IFERROR(VLOOKUP(D13,Componentes!$A$11:$D$14,4,FALSE()),0)</f>
        <v>12</v>
      </c>
      <c r="K13" s="17" t="n">
        <v>2.5</v>
      </c>
      <c r="L13" s="6" t="n">
        <v>12</v>
      </c>
      <c r="M13" s="15" t="n">
        <f aca="false">L13/60*'Mi negocio'!$C$23</f>
        <v>16</v>
      </c>
      <c r="N13" s="15" t="n">
        <f aca="false">'Mi negocio'!$C$20</f>
        <v>17.3125</v>
      </c>
      <c r="O13" s="15" t="n">
        <f aca="false">I13+J13+K13+M13+N13</f>
        <v>100.097585</v>
      </c>
      <c r="P13" s="30"/>
      <c r="Q13" s="16" t="n">
        <f aca="false">IF(P13="",'Mi negocio'!$C$24,P13)</f>
        <v>0.05</v>
      </c>
      <c r="R13" s="21" t="n">
        <f aca="false">IFERROR(O13/(1-Q13),0)</f>
        <v>105.365878947368</v>
      </c>
      <c r="S13" s="33" t="n">
        <f aca="false">IFERROR(CEILING(ROUND(R13/(1-'Mi negocio'!$C$27),6),'Mi negocio'!$C$25),0)</f>
        <v>235</v>
      </c>
      <c r="T13" s="33" t="n">
        <f aca="false">IFERROR(CEILING(ROUND(R13/(1-'Mi negocio'!$C$28),6),'Mi negocio'!$C$25),0)</f>
        <v>265</v>
      </c>
      <c r="U13" s="33" t="n">
        <f aca="false">IFERROR(CEILING(ROUND(R13/(1-'Mi negocio'!$C$29),6),'Mi negocio'!$C$25),0)</f>
        <v>310</v>
      </c>
      <c r="V13" s="33" t="n">
        <f aca="false">IFERROR(CEILING(ROUND(R13/(1-'Mi negocio'!$C$30),6),'Mi negocio'!$C$25),0)</f>
        <v>155</v>
      </c>
      <c r="W13" s="15" t="n">
        <f aca="false">S13-R13</f>
        <v>129.634121052632</v>
      </c>
      <c r="X13" s="16" t="n">
        <f aca="false">IFERROR(W13/S13,0)</f>
        <v>0.551634557670773</v>
      </c>
    </row>
    <row r="14" customFormat="false" ht="15" hidden="false" customHeight="false" outlineLevel="0" collapsed="false">
      <c r="A14" s="0" t="n">
        <v>10</v>
      </c>
      <c r="B14" s="22" t="s">
        <v>558</v>
      </c>
      <c r="C14" s="23" t="s">
        <v>1107</v>
      </c>
      <c r="D14" s="13" t="s">
        <v>346</v>
      </c>
      <c r="E14" s="6" t="n">
        <v>2</v>
      </c>
      <c r="F14" s="32" t="n">
        <v>0.516</v>
      </c>
      <c r="G14" s="32" t="n">
        <v>1</v>
      </c>
      <c r="H14" s="15" t="n">
        <f aca="false">SUMIF(Ingredientes!$A$5:$A$859,A14,Ingredientes!$K$5:$K$859)</f>
        <v>123.898002857143</v>
      </c>
      <c r="I14" s="15" t="n">
        <f aca="false">IFERROR(H14/E14,0)</f>
        <v>61.9490014285714</v>
      </c>
      <c r="J14" s="15" t="n">
        <f aca="false">IFERROR(VLOOKUP(D14,Componentes!$A$11:$D$14,4,FALSE()),0)</f>
        <v>16</v>
      </c>
      <c r="K14" s="17" t="n">
        <v>3</v>
      </c>
      <c r="L14" s="6" t="n">
        <v>17</v>
      </c>
      <c r="M14" s="15" t="n">
        <f aca="false">L14/60*'Mi negocio'!$C$23</f>
        <v>22.6666666666667</v>
      </c>
      <c r="N14" s="15" t="n">
        <f aca="false">'Mi negocio'!$C$20</f>
        <v>17.3125</v>
      </c>
      <c r="O14" s="15" t="n">
        <f aca="false">I14+J14+K14+M14+N14</f>
        <v>120.928168095238</v>
      </c>
      <c r="P14" s="30"/>
      <c r="Q14" s="16" t="n">
        <f aca="false">IF(P14="",'Mi negocio'!$C$24,P14)</f>
        <v>0.05</v>
      </c>
      <c r="R14" s="21" t="n">
        <f aca="false">IFERROR(O14/(1-Q14),0)</f>
        <v>127.292808521303</v>
      </c>
      <c r="S14" s="33" t="n">
        <f aca="false">IFERROR(CEILING(ROUND(R14/(1-'Mi negocio'!$C$27),6),'Mi negocio'!$C$25),0)</f>
        <v>285</v>
      </c>
      <c r="T14" s="33" t="n">
        <f aca="false">IFERROR(CEILING(ROUND(R14/(1-'Mi negocio'!$C$28),6),'Mi negocio'!$C$25),0)</f>
        <v>320</v>
      </c>
      <c r="U14" s="33" t="n">
        <f aca="false">IFERROR(CEILING(ROUND(R14/(1-'Mi negocio'!$C$29),6),'Mi negocio'!$C$25),0)</f>
        <v>375</v>
      </c>
      <c r="V14" s="33" t="n">
        <f aca="false">IFERROR(CEILING(ROUND(R14/(1-'Mi negocio'!$C$30),6),'Mi negocio'!$C$25),0)</f>
        <v>190</v>
      </c>
      <c r="W14" s="15" t="n">
        <f aca="false">S14-R14</f>
        <v>157.707191478697</v>
      </c>
      <c r="X14" s="16" t="n">
        <f aca="false">IFERROR(W14/S14,0)</f>
        <v>0.553358566591918</v>
      </c>
    </row>
    <row r="15" customFormat="false" ht="15" hidden="false" customHeight="false" outlineLevel="0" collapsed="false">
      <c r="A15" s="0" t="n">
        <v>11</v>
      </c>
      <c r="B15" s="22" t="s">
        <v>573</v>
      </c>
      <c r="C15" s="23" t="s">
        <v>1108</v>
      </c>
      <c r="D15" s="13" t="s">
        <v>343</v>
      </c>
      <c r="E15" s="6" t="n">
        <v>2</v>
      </c>
      <c r="F15" s="32" t="n">
        <v>0.27</v>
      </c>
      <c r="G15" s="32" t="n">
        <v>0.769</v>
      </c>
      <c r="H15" s="15" t="n">
        <f aca="false">SUMIF(Ingredientes!$A$5:$A$859,A15,Ingredientes!$K$5:$K$859)</f>
        <v>219.525636666667</v>
      </c>
      <c r="I15" s="15" t="n">
        <f aca="false">IFERROR(H15/E15,0)</f>
        <v>109.762818333333</v>
      </c>
      <c r="J15" s="15" t="n">
        <f aca="false">IFERROR(VLOOKUP(D15,Componentes!$A$11:$D$14,4,FALSE()),0)</f>
        <v>9</v>
      </c>
      <c r="K15" s="17" t="n">
        <v>3</v>
      </c>
      <c r="L15" s="6" t="n">
        <v>17</v>
      </c>
      <c r="M15" s="15" t="n">
        <f aca="false">L15/60*'Mi negocio'!$C$23</f>
        <v>22.6666666666667</v>
      </c>
      <c r="N15" s="15" t="n">
        <f aca="false">'Mi negocio'!$C$20</f>
        <v>17.3125</v>
      </c>
      <c r="O15" s="15" t="n">
        <f aca="false">I15+J15+K15+M15+N15</f>
        <v>161.741985</v>
      </c>
      <c r="P15" s="30"/>
      <c r="Q15" s="16" t="n">
        <f aca="false">IF(P15="",'Mi negocio'!$C$24,P15)</f>
        <v>0.05</v>
      </c>
      <c r="R15" s="21" t="n">
        <f aca="false">IFERROR(O15/(1-Q15),0)</f>
        <v>170.254721052632</v>
      </c>
      <c r="S15" s="33" t="n">
        <f aca="false">IFERROR(CEILING(ROUND(R15/(1-'Mi negocio'!$C$27),6),'Mi negocio'!$C$25),0)</f>
        <v>380</v>
      </c>
      <c r="T15" s="33" t="n">
        <f aca="false">IFERROR(CEILING(ROUND(R15/(1-'Mi negocio'!$C$28),6),'Mi negocio'!$C$25),0)</f>
        <v>430</v>
      </c>
      <c r="U15" s="33" t="n">
        <f aca="false">IFERROR(CEILING(ROUND(R15/(1-'Mi negocio'!$C$29),6),'Mi negocio'!$C$25),0)</f>
        <v>505</v>
      </c>
      <c r="V15" s="33" t="n">
        <f aca="false">IFERROR(CEILING(ROUND(R15/(1-'Mi negocio'!$C$30),6),'Mi negocio'!$C$25),0)</f>
        <v>255</v>
      </c>
      <c r="W15" s="15" t="n">
        <f aca="false">S15-R15</f>
        <v>209.745278947368</v>
      </c>
      <c r="X15" s="16" t="n">
        <f aca="false">IFERROR(W15/S15,0)</f>
        <v>0.551961260387812</v>
      </c>
    </row>
    <row r="16" customFormat="false" ht="15" hidden="false" customHeight="false" outlineLevel="0" collapsed="false">
      <c r="A16" s="0" t="n">
        <v>12</v>
      </c>
      <c r="B16" s="22" t="s">
        <v>590</v>
      </c>
      <c r="C16" s="23" t="s">
        <v>1108</v>
      </c>
      <c r="D16" s="13" t="s">
        <v>346</v>
      </c>
      <c r="E16" s="6" t="n">
        <v>2</v>
      </c>
      <c r="F16" s="32" t="n">
        <v>0.352</v>
      </c>
      <c r="G16" s="32" t="n">
        <v>1</v>
      </c>
      <c r="H16" s="15" t="n">
        <f aca="false">SUMIF(Ingredientes!$A$5:$A$859,A16,Ingredientes!$K$5:$K$859)</f>
        <v>110.204053333333</v>
      </c>
      <c r="I16" s="15" t="n">
        <f aca="false">IFERROR(H16/E16,0)</f>
        <v>55.1020266666667</v>
      </c>
      <c r="J16" s="15" t="n">
        <f aca="false">IFERROR(VLOOKUP(D16,Componentes!$A$11:$D$14,4,FALSE()),0)</f>
        <v>16</v>
      </c>
      <c r="K16" s="17" t="n">
        <v>4</v>
      </c>
      <c r="L16" s="6" t="n">
        <v>24</v>
      </c>
      <c r="M16" s="15" t="n">
        <f aca="false">L16/60*'Mi negocio'!$C$23</f>
        <v>32</v>
      </c>
      <c r="N16" s="15" t="n">
        <f aca="false">'Mi negocio'!$C$20</f>
        <v>17.3125</v>
      </c>
      <c r="O16" s="15" t="n">
        <f aca="false">I16+J16+K16+M16+N16</f>
        <v>124.414526666667</v>
      </c>
      <c r="P16" s="30"/>
      <c r="Q16" s="16" t="n">
        <f aca="false">IF(P16="",'Mi negocio'!$C$24,P16)</f>
        <v>0.05</v>
      </c>
      <c r="R16" s="21" t="n">
        <f aca="false">IFERROR(O16/(1-Q16),0)</f>
        <v>130.962659649123</v>
      </c>
      <c r="S16" s="33" t="n">
        <f aca="false">IFERROR(CEILING(ROUND(R16/(1-'Mi negocio'!$C$27),6),'Mi negocio'!$C$25),0)</f>
        <v>295</v>
      </c>
      <c r="T16" s="33" t="n">
        <f aca="false">IFERROR(CEILING(ROUND(R16/(1-'Mi negocio'!$C$28),6),'Mi negocio'!$C$25),0)</f>
        <v>330</v>
      </c>
      <c r="U16" s="33" t="n">
        <f aca="false">IFERROR(CEILING(ROUND(R16/(1-'Mi negocio'!$C$29),6),'Mi negocio'!$C$25),0)</f>
        <v>390</v>
      </c>
      <c r="V16" s="33" t="n">
        <f aca="false">IFERROR(CEILING(ROUND(R16/(1-'Mi negocio'!$C$30),6),'Mi negocio'!$C$25),0)</f>
        <v>195</v>
      </c>
      <c r="W16" s="15" t="n">
        <f aca="false">S16-R16</f>
        <v>164.037340350877</v>
      </c>
      <c r="X16" s="16" t="n">
        <f aca="false">IFERROR(W16/S16,0)</f>
        <v>0.556058780850431</v>
      </c>
    </row>
    <row r="17" customFormat="false" ht="15" hidden="false" customHeight="false" outlineLevel="0" collapsed="false">
      <c r="A17" s="0" t="n">
        <v>13</v>
      </c>
      <c r="B17" s="22" t="s">
        <v>603</v>
      </c>
      <c r="C17" s="23" t="s">
        <v>1108</v>
      </c>
      <c r="D17" s="13" t="s">
        <v>343</v>
      </c>
      <c r="E17" s="6" t="n">
        <v>2</v>
      </c>
      <c r="F17" s="32" t="n">
        <v>1</v>
      </c>
      <c r="G17" s="32" t="n">
        <v>1</v>
      </c>
      <c r="H17" s="15" t="n">
        <f aca="false">SUMIF(Ingredientes!$A$5:$A$859,A17,Ingredientes!$K$5:$K$859)</f>
        <v>105.176666666667</v>
      </c>
      <c r="I17" s="15" t="n">
        <f aca="false">IFERROR(H17/E17,0)</f>
        <v>52.5883333333333</v>
      </c>
      <c r="J17" s="15" t="n">
        <f aca="false">IFERROR(VLOOKUP(D17,Componentes!$A$11:$D$14,4,FALSE()),0)</f>
        <v>9</v>
      </c>
      <c r="K17" s="17" t="n">
        <v>3</v>
      </c>
      <c r="L17" s="6" t="n">
        <v>17</v>
      </c>
      <c r="M17" s="15" t="n">
        <f aca="false">L17/60*'Mi negocio'!$C$23</f>
        <v>22.6666666666667</v>
      </c>
      <c r="N17" s="15" t="n">
        <f aca="false">'Mi negocio'!$C$20</f>
        <v>17.3125</v>
      </c>
      <c r="O17" s="15" t="n">
        <f aca="false">I17+J17+K17+M17+N17</f>
        <v>104.5675</v>
      </c>
      <c r="P17" s="30"/>
      <c r="Q17" s="16" t="n">
        <f aca="false">IF(P17="",'Mi negocio'!$C$24,P17)</f>
        <v>0.05</v>
      </c>
      <c r="R17" s="21" t="n">
        <f aca="false">IFERROR(O17/(1-Q17),0)</f>
        <v>110.071052631579</v>
      </c>
      <c r="S17" s="33" t="n">
        <f aca="false">IFERROR(CEILING(ROUND(R17/(1-'Mi negocio'!$C$27),6),'Mi negocio'!$C$25),0)</f>
        <v>245</v>
      </c>
      <c r="T17" s="33" t="n">
        <f aca="false">IFERROR(CEILING(ROUND(R17/(1-'Mi negocio'!$C$28),6),'Mi negocio'!$C$25),0)</f>
        <v>280</v>
      </c>
      <c r="U17" s="33" t="n">
        <f aca="false">IFERROR(CEILING(ROUND(R17/(1-'Mi negocio'!$C$29),6),'Mi negocio'!$C$25),0)</f>
        <v>325</v>
      </c>
      <c r="V17" s="33" t="n">
        <f aca="false">IFERROR(CEILING(ROUND(R17/(1-'Mi negocio'!$C$30),6),'Mi negocio'!$C$25),0)</f>
        <v>165</v>
      </c>
      <c r="W17" s="15" t="n">
        <f aca="false">S17-R17</f>
        <v>134.928947368421</v>
      </c>
      <c r="X17" s="16" t="n">
        <f aca="false">IFERROR(W17/S17,0)</f>
        <v>0.550730397422127</v>
      </c>
    </row>
    <row r="18" customFormat="false" ht="15" hidden="false" customHeight="false" outlineLevel="0" collapsed="false">
      <c r="A18" s="0" t="n">
        <v>14</v>
      </c>
      <c r="B18" s="22" t="s">
        <v>614</v>
      </c>
      <c r="C18" s="23" t="s">
        <v>1108</v>
      </c>
      <c r="D18" s="13" t="s">
        <v>349</v>
      </c>
      <c r="E18" s="6" t="n">
        <v>2</v>
      </c>
      <c r="F18" s="32" t="n">
        <v>0.308</v>
      </c>
      <c r="G18" s="32" t="n">
        <v>1</v>
      </c>
      <c r="H18" s="15" t="n">
        <f aca="false">SUMIF(Ingredientes!$A$5:$A$859,A18,Ingredientes!$K$5:$K$859)</f>
        <v>152.078906666667</v>
      </c>
      <c r="I18" s="15" t="n">
        <f aca="false">IFERROR(H18/E18,0)</f>
        <v>76.0394533333333</v>
      </c>
      <c r="J18" s="15" t="n">
        <f aca="false">IFERROR(VLOOKUP(D18,Componentes!$A$11:$D$14,4,FALSE()),0)</f>
        <v>12</v>
      </c>
      <c r="K18" s="17" t="n">
        <v>4</v>
      </c>
      <c r="L18" s="6" t="n">
        <v>24</v>
      </c>
      <c r="M18" s="15" t="n">
        <f aca="false">L18/60*'Mi negocio'!$C$23</f>
        <v>32</v>
      </c>
      <c r="N18" s="15" t="n">
        <f aca="false">'Mi negocio'!$C$20</f>
        <v>17.3125</v>
      </c>
      <c r="O18" s="15" t="n">
        <f aca="false">I18+J18+K18+M18+N18</f>
        <v>141.351953333333</v>
      </c>
      <c r="P18" s="30"/>
      <c r="Q18" s="16" t="n">
        <f aca="false">IF(P18="",'Mi negocio'!$C$24,P18)</f>
        <v>0.05</v>
      </c>
      <c r="R18" s="21" t="n">
        <f aca="false">IFERROR(O18/(1-Q18),0)</f>
        <v>148.791529824561</v>
      </c>
      <c r="S18" s="33" t="n">
        <f aca="false">IFERROR(CEILING(ROUND(R18/(1-'Mi negocio'!$C$27),6),'Mi negocio'!$C$25),0)</f>
        <v>335</v>
      </c>
      <c r="T18" s="33" t="n">
        <f aca="false">IFERROR(CEILING(ROUND(R18/(1-'Mi negocio'!$C$28),6),'Mi negocio'!$C$25),0)</f>
        <v>375</v>
      </c>
      <c r="U18" s="33" t="n">
        <f aca="false">IFERROR(CEILING(ROUND(R18/(1-'Mi negocio'!$C$29),6),'Mi negocio'!$C$25),0)</f>
        <v>440</v>
      </c>
      <c r="V18" s="33" t="n">
        <f aca="false">IFERROR(CEILING(ROUND(R18/(1-'Mi negocio'!$C$30),6),'Mi negocio'!$C$25),0)</f>
        <v>220</v>
      </c>
      <c r="W18" s="15" t="n">
        <f aca="false">S18-R18</f>
        <v>186.208470175439</v>
      </c>
      <c r="X18" s="16" t="n">
        <f aca="false">IFERROR(W18/S18,0)</f>
        <v>0.555846179628175</v>
      </c>
    </row>
    <row r="19" customFormat="false" ht="15" hidden="false" customHeight="false" outlineLevel="0" collapsed="false">
      <c r="A19" s="0" t="n">
        <v>15</v>
      </c>
      <c r="B19" s="22" t="s">
        <v>625</v>
      </c>
      <c r="C19" s="23" t="s">
        <v>1108</v>
      </c>
      <c r="D19" s="13" t="s">
        <v>343</v>
      </c>
      <c r="E19" s="6" t="n">
        <v>2</v>
      </c>
      <c r="F19" s="32" t="n">
        <v>0.349</v>
      </c>
      <c r="G19" s="32" t="n">
        <v>1</v>
      </c>
      <c r="H19" s="15" t="n">
        <f aca="false">SUMIF(Ingredientes!$A$5:$A$859,A19,Ingredientes!$K$5:$K$859)</f>
        <v>154.931785</v>
      </c>
      <c r="I19" s="15" t="n">
        <f aca="false">IFERROR(H19/E19,0)</f>
        <v>77.4658925</v>
      </c>
      <c r="J19" s="15" t="n">
        <f aca="false">IFERROR(VLOOKUP(D19,Componentes!$A$11:$D$14,4,FALSE()),0)</f>
        <v>9</v>
      </c>
      <c r="K19" s="17" t="n">
        <v>3</v>
      </c>
      <c r="L19" s="6" t="n">
        <v>17</v>
      </c>
      <c r="M19" s="15" t="n">
        <f aca="false">L19/60*'Mi negocio'!$C$23</f>
        <v>22.6666666666667</v>
      </c>
      <c r="N19" s="15" t="n">
        <f aca="false">'Mi negocio'!$C$20</f>
        <v>17.3125</v>
      </c>
      <c r="O19" s="15" t="n">
        <f aca="false">I19+J19+K19+M19+N19</f>
        <v>129.445059166667</v>
      </c>
      <c r="P19" s="30"/>
      <c r="Q19" s="16" t="n">
        <f aca="false">IF(P19="",'Mi negocio'!$C$24,P19)</f>
        <v>0.05</v>
      </c>
      <c r="R19" s="21" t="n">
        <f aca="false">IFERROR(O19/(1-Q19),0)</f>
        <v>136.257957017544</v>
      </c>
      <c r="S19" s="33" t="n">
        <f aca="false">IFERROR(CEILING(ROUND(R19/(1-'Mi negocio'!$C$27),6),'Mi negocio'!$C$25),0)</f>
        <v>305</v>
      </c>
      <c r="T19" s="33" t="n">
        <f aca="false">IFERROR(CEILING(ROUND(R19/(1-'Mi negocio'!$C$28),6),'Mi negocio'!$C$25),0)</f>
        <v>345</v>
      </c>
      <c r="U19" s="33" t="n">
        <f aca="false">IFERROR(CEILING(ROUND(R19/(1-'Mi negocio'!$C$29),6),'Mi negocio'!$C$25),0)</f>
        <v>405</v>
      </c>
      <c r="V19" s="33" t="n">
        <f aca="false">IFERROR(CEILING(ROUND(R19/(1-'Mi negocio'!$C$30),6),'Mi negocio'!$C$25),0)</f>
        <v>205</v>
      </c>
      <c r="W19" s="15" t="n">
        <f aca="false">S19-R19</f>
        <v>168.742042982456</v>
      </c>
      <c r="X19" s="16" t="n">
        <f aca="false">IFERROR(W19/S19,0)</f>
        <v>0.553252599942479</v>
      </c>
    </row>
    <row r="20" customFormat="false" ht="15" hidden="false" customHeight="false" outlineLevel="0" collapsed="false">
      <c r="A20" s="0" t="n">
        <v>16</v>
      </c>
      <c r="B20" s="22" t="s">
        <v>638</v>
      </c>
      <c r="C20" s="23" t="s">
        <v>1108</v>
      </c>
      <c r="D20" s="13" t="s">
        <v>349</v>
      </c>
      <c r="E20" s="6" t="n">
        <v>2</v>
      </c>
      <c r="F20" s="32" t="n">
        <v>0.329</v>
      </c>
      <c r="G20" s="32" t="n">
        <v>1</v>
      </c>
      <c r="H20" s="15" t="n">
        <f aca="false">SUMIF(Ingredientes!$A$5:$A$859,A20,Ingredientes!$K$5:$K$859)</f>
        <v>121.579016666667</v>
      </c>
      <c r="I20" s="15" t="n">
        <f aca="false">IFERROR(H20/E20,0)</f>
        <v>60.7895083333333</v>
      </c>
      <c r="J20" s="15" t="n">
        <f aca="false">IFERROR(VLOOKUP(D20,Componentes!$A$11:$D$14,4,FALSE()),0)</f>
        <v>12</v>
      </c>
      <c r="K20" s="17" t="n">
        <v>4</v>
      </c>
      <c r="L20" s="6" t="n">
        <v>24</v>
      </c>
      <c r="M20" s="15" t="n">
        <f aca="false">L20/60*'Mi negocio'!$C$23</f>
        <v>32</v>
      </c>
      <c r="N20" s="15" t="n">
        <f aca="false">'Mi negocio'!$C$20</f>
        <v>17.3125</v>
      </c>
      <c r="O20" s="15" t="n">
        <f aca="false">I20+J20+K20+M20+N20</f>
        <v>126.102008333333</v>
      </c>
      <c r="P20" s="30"/>
      <c r="Q20" s="16" t="n">
        <f aca="false">IF(P20="",'Mi negocio'!$C$24,P20)</f>
        <v>0.05</v>
      </c>
      <c r="R20" s="21" t="n">
        <f aca="false">IFERROR(O20/(1-Q20),0)</f>
        <v>132.738956140351</v>
      </c>
      <c r="S20" s="33" t="n">
        <f aca="false">IFERROR(CEILING(ROUND(R20/(1-'Mi negocio'!$C$27),6),'Mi negocio'!$C$25),0)</f>
        <v>295</v>
      </c>
      <c r="T20" s="33" t="n">
        <f aca="false">IFERROR(CEILING(ROUND(R20/(1-'Mi negocio'!$C$28),6),'Mi negocio'!$C$25),0)</f>
        <v>335</v>
      </c>
      <c r="U20" s="33" t="n">
        <f aca="false">IFERROR(CEILING(ROUND(R20/(1-'Mi negocio'!$C$29),6),'Mi negocio'!$C$25),0)</f>
        <v>395</v>
      </c>
      <c r="V20" s="33" t="n">
        <f aca="false">IFERROR(CEILING(ROUND(R20/(1-'Mi negocio'!$C$30),6),'Mi negocio'!$C$25),0)</f>
        <v>200</v>
      </c>
      <c r="W20" s="15" t="n">
        <f aca="false">S20-R20</f>
        <v>162.261043859649</v>
      </c>
      <c r="X20" s="16" t="n">
        <f aca="false">IFERROR(W20/S20,0)</f>
        <v>0.55003743681237</v>
      </c>
    </row>
    <row r="21" customFormat="false" ht="15" hidden="false" customHeight="false" outlineLevel="0" collapsed="false">
      <c r="A21" s="0" t="n">
        <v>17</v>
      </c>
      <c r="B21" s="22" t="s">
        <v>657</v>
      </c>
      <c r="C21" s="23" t="s">
        <v>1108</v>
      </c>
      <c r="D21" s="13" t="s">
        <v>343</v>
      </c>
      <c r="E21" s="6" t="n">
        <v>2</v>
      </c>
      <c r="F21" s="32" t="n">
        <v>0.285</v>
      </c>
      <c r="G21" s="32" t="n">
        <v>1</v>
      </c>
      <c r="H21" s="15" t="n">
        <f aca="false">SUMIF(Ingredientes!$A$5:$A$859,A21,Ingredientes!$K$5:$K$859)</f>
        <v>206.524575</v>
      </c>
      <c r="I21" s="15" t="n">
        <f aca="false">IFERROR(H21/E21,0)</f>
        <v>103.2622875</v>
      </c>
      <c r="J21" s="15" t="n">
        <f aca="false">IFERROR(VLOOKUP(D21,Componentes!$A$11:$D$14,4,FALSE()),0)</f>
        <v>9</v>
      </c>
      <c r="K21" s="17" t="n">
        <v>3</v>
      </c>
      <c r="L21" s="6" t="n">
        <v>17</v>
      </c>
      <c r="M21" s="15" t="n">
        <f aca="false">L21/60*'Mi negocio'!$C$23</f>
        <v>22.6666666666667</v>
      </c>
      <c r="N21" s="15" t="n">
        <f aca="false">'Mi negocio'!$C$20</f>
        <v>17.3125</v>
      </c>
      <c r="O21" s="15" t="n">
        <f aca="false">I21+J21+K21+M21+N21</f>
        <v>155.241454166667</v>
      </c>
      <c r="P21" s="30"/>
      <c r="Q21" s="16" t="n">
        <f aca="false">IF(P21="",'Mi negocio'!$C$24,P21)</f>
        <v>0.05</v>
      </c>
      <c r="R21" s="21" t="n">
        <f aca="false">IFERROR(O21/(1-Q21),0)</f>
        <v>163.412057017544</v>
      </c>
      <c r="S21" s="33" t="n">
        <f aca="false">IFERROR(CEILING(ROUND(R21/(1-'Mi negocio'!$C$27),6),'Mi negocio'!$C$25),0)</f>
        <v>365</v>
      </c>
      <c r="T21" s="33" t="n">
        <f aca="false">IFERROR(CEILING(ROUND(R21/(1-'Mi negocio'!$C$28),6),'Mi negocio'!$C$25),0)</f>
        <v>410</v>
      </c>
      <c r="U21" s="33" t="n">
        <f aca="false">IFERROR(CEILING(ROUND(R21/(1-'Mi negocio'!$C$29),6),'Mi negocio'!$C$25),0)</f>
        <v>485</v>
      </c>
      <c r="V21" s="33" t="n">
        <f aca="false">IFERROR(CEILING(ROUND(R21/(1-'Mi negocio'!$C$30),6),'Mi negocio'!$C$25),0)</f>
        <v>245</v>
      </c>
      <c r="W21" s="15" t="n">
        <f aca="false">S21-R21</f>
        <v>201.587942982456</v>
      </c>
      <c r="X21" s="16" t="n">
        <f aca="false">IFERROR(W21/S21,0)</f>
        <v>0.55229573419851</v>
      </c>
    </row>
    <row r="22" customFormat="false" ht="15" hidden="false" customHeight="false" outlineLevel="0" collapsed="false">
      <c r="A22" s="0" t="n">
        <v>18</v>
      </c>
      <c r="B22" s="22" t="s">
        <v>672</v>
      </c>
      <c r="C22" s="23" t="s">
        <v>1108</v>
      </c>
      <c r="D22" s="13" t="s">
        <v>346</v>
      </c>
      <c r="E22" s="6" t="n">
        <v>2</v>
      </c>
      <c r="F22" s="32" t="n">
        <v>0.352</v>
      </c>
      <c r="G22" s="32" t="n">
        <v>1</v>
      </c>
      <c r="H22" s="15" t="n">
        <f aca="false">SUMIF(Ingredientes!$A$5:$A$859,A22,Ingredientes!$K$5:$K$859)</f>
        <v>94.026</v>
      </c>
      <c r="I22" s="15" t="n">
        <f aca="false">IFERROR(H22/E22,0)</f>
        <v>47.013</v>
      </c>
      <c r="J22" s="15" t="n">
        <f aca="false">IFERROR(VLOOKUP(D22,Componentes!$A$11:$D$14,4,FALSE()),0)</f>
        <v>16</v>
      </c>
      <c r="K22" s="17" t="n">
        <v>4</v>
      </c>
      <c r="L22" s="6" t="n">
        <v>24</v>
      </c>
      <c r="M22" s="15" t="n">
        <f aca="false">L22/60*'Mi negocio'!$C$23</f>
        <v>32</v>
      </c>
      <c r="N22" s="15" t="n">
        <f aca="false">'Mi negocio'!$C$20</f>
        <v>17.3125</v>
      </c>
      <c r="O22" s="15" t="n">
        <f aca="false">I22+J22+K22+M22+N22</f>
        <v>116.3255</v>
      </c>
      <c r="P22" s="30"/>
      <c r="Q22" s="16" t="n">
        <f aca="false">IF(P22="",'Mi negocio'!$C$24,P22)</f>
        <v>0.05</v>
      </c>
      <c r="R22" s="21" t="n">
        <f aca="false">IFERROR(O22/(1-Q22),0)</f>
        <v>122.447894736842</v>
      </c>
      <c r="S22" s="33" t="n">
        <f aca="false">IFERROR(CEILING(ROUND(R22/(1-'Mi negocio'!$C$27),6),'Mi negocio'!$C$25),0)</f>
        <v>275</v>
      </c>
      <c r="T22" s="33" t="n">
        <f aca="false">IFERROR(CEILING(ROUND(R22/(1-'Mi negocio'!$C$28),6),'Mi negocio'!$C$25),0)</f>
        <v>310</v>
      </c>
      <c r="U22" s="33" t="n">
        <f aca="false">IFERROR(CEILING(ROUND(R22/(1-'Mi negocio'!$C$29),6),'Mi negocio'!$C$25),0)</f>
        <v>365</v>
      </c>
      <c r="V22" s="33" t="n">
        <f aca="false">IFERROR(CEILING(ROUND(R22/(1-'Mi negocio'!$C$30),6),'Mi negocio'!$C$25),0)</f>
        <v>185</v>
      </c>
      <c r="W22" s="15" t="n">
        <f aca="false">S22-R22</f>
        <v>152.552105263158</v>
      </c>
      <c r="X22" s="16" t="n">
        <f aca="false">IFERROR(W22/S22,0)</f>
        <v>0.554734928229665</v>
      </c>
    </row>
    <row r="23" customFormat="false" ht="15" hidden="false" customHeight="false" outlineLevel="0" collapsed="false">
      <c r="A23" s="0" t="n">
        <v>19</v>
      </c>
      <c r="B23" s="22" t="s">
        <v>685</v>
      </c>
      <c r="C23" s="23" t="s">
        <v>1108</v>
      </c>
      <c r="D23" s="13" t="s">
        <v>349</v>
      </c>
      <c r="E23" s="6" t="n">
        <v>2</v>
      </c>
      <c r="F23" s="32" t="n">
        <v>0.323</v>
      </c>
      <c r="G23" s="32" t="n">
        <v>1</v>
      </c>
      <c r="H23" s="15" t="n">
        <f aca="false">SUMIF(Ingredientes!$A$5:$A$859,A23,Ingredientes!$K$5:$K$859)</f>
        <v>123.052931666667</v>
      </c>
      <c r="I23" s="15" t="n">
        <f aca="false">IFERROR(H23/E23,0)</f>
        <v>61.5264658333333</v>
      </c>
      <c r="J23" s="15" t="n">
        <f aca="false">IFERROR(VLOOKUP(D23,Componentes!$A$11:$D$14,4,FALSE()),0)</f>
        <v>12</v>
      </c>
      <c r="K23" s="17" t="n">
        <v>2.5</v>
      </c>
      <c r="L23" s="6" t="n">
        <v>12</v>
      </c>
      <c r="M23" s="15" t="n">
        <f aca="false">L23/60*'Mi negocio'!$C$23</f>
        <v>16</v>
      </c>
      <c r="N23" s="15" t="n">
        <f aca="false">'Mi negocio'!$C$20</f>
        <v>17.3125</v>
      </c>
      <c r="O23" s="15" t="n">
        <f aca="false">I23+J23+K23+M23+N23</f>
        <v>109.338965833333</v>
      </c>
      <c r="P23" s="30"/>
      <c r="Q23" s="16" t="n">
        <f aca="false">IF(P23="",'Mi negocio'!$C$24,P23)</f>
        <v>0.05</v>
      </c>
      <c r="R23" s="21" t="n">
        <f aca="false">IFERROR(O23/(1-Q23),0)</f>
        <v>115.093648245614</v>
      </c>
      <c r="S23" s="33" t="n">
        <f aca="false">IFERROR(CEILING(ROUND(R23/(1-'Mi negocio'!$C$27),6),'Mi negocio'!$C$25),0)</f>
        <v>260</v>
      </c>
      <c r="T23" s="33" t="n">
        <f aca="false">IFERROR(CEILING(ROUND(R23/(1-'Mi negocio'!$C$28),6),'Mi negocio'!$C$25),0)</f>
        <v>290</v>
      </c>
      <c r="U23" s="33" t="n">
        <f aca="false">IFERROR(CEILING(ROUND(R23/(1-'Mi negocio'!$C$29),6),'Mi negocio'!$C$25),0)</f>
        <v>340</v>
      </c>
      <c r="V23" s="33" t="n">
        <f aca="false">IFERROR(CEILING(ROUND(R23/(1-'Mi negocio'!$C$30),6),'Mi negocio'!$C$25),0)</f>
        <v>170</v>
      </c>
      <c r="W23" s="15" t="n">
        <f aca="false">S23-R23</f>
        <v>144.906351754386</v>
      </c>
      <c r="X23" s="16" t="n">
        <f aca="false">IFERROR(W23/S23,0)</f>
        <v>0.557332122132254</v>
      </c>
    </row>
    <row r="24" customFormat="false" ht="15" hidden="false" customHeight="false" outlineLevel="0" collapsed="false">
      <c r="A24" s="0" t="n">
        <v>20</v>
      </c>
      <c r="B24" s="22" t="s">
        <v>697</v>
      </c>
      <c r="C24" s="23" t="s">
        <v>1108</v>
      </c>
      <c r="D24" s="13" t="s">
        <v>343</v>
      </c>
      <c r="E24" s="6" t="n">
        <v>2</v>
      </c>
      <c r="F24" s="32" t="n">
        <v>0.275</v>
      </c>
      <c r="G24" s="32" t="n">
        <v>1</v>
      </c>
      <c r="H24" s="15" t="n">
        <f aca="false">SUMIF(Ingredientes!$A$5:$A$859,A24,Ingredientes!$K$5:$K$859)</f>
        <v>160.67375</v>
      </c>
      <c r="I24" s="15" t="n">
        <f aca="false">IFERROR(H24/E24,0)</f>
        <v>80.336875</v>
      </c>
      <c r="J24" s="15" t="n">
        <f aca="false">IFERROR(VLOOKUP(D24,Componentes!$A$11:$D$14,4,FALSE()),0)</f>
        <v>9</v>
      </c>
      <c r="K24" s="17" t="n">
        <v>3</v>
      </c>
      <c r="L24" s="6" t="n">
        <v>17</v>
      </c>
      <c r="M24" s="15" t="n">
        <f aca="false">L24/60*'Mi negocio'!$C$23</f>
        <v>22.6666666666667</v>
      </c>
      <c r="N24" s="15" t="n">
        <f aca="false">'Mi negocio'!$C$20</f>
        <v>17.3125</v>
      </c>
      <c r="O24" s="15" t="n">
        <f aca="false">I24+J24+K24+M24+N24</f>
        <v>132.316041666667</v>
      </c>
      <c r="P24" s="30"/>
      <c r="Q24" s="16" t="n">
        <f aca="false">IF(P24="",'Mi negocio'!$C$24,P24)</f>
        <v>0.05</v>
      </c>
      <c r="R24" s="21" t="n">
        <f aca="false">IFERROR(O24/(1-Q24),0)</f>
        <v>139.280043859649</v>
      </c>
      <c r="S24" s="33" t="n">
        <f aca="false">IFERROR(CEILING(ROUND(R24/(1-'Mi negocio'!$C$27),6),'Mi negocio'!$C$25),0)</f>
        <v>310</v>
      </c>
      <c r="T24" s="33" t="n">
        <f aca="false">IFERROR(CEILING(ROUND(R24/(1-'Mi negocio'!$C$28),6),'Mi negocio'!$C$25),0)</f>
        <v>350</v>
      </c>
      <c r="U24" s="33" t="n">
        <f aca="false">IFERROR(CEILING(ROUND(R24/(1-'Mi negocio'!$C$29),6),'Mi negocio'!$C$25),0)</f>
        <v>410</v>
      </c>
      <c r="V24" s="33" t="n">
        <f aca="false">IFERROR(CEILING(ROUND(R24/(1-'Mi negocio'!$C$30),6),'Mi negocio'!$C$25),0)</f>
        <v>205</v>
      </c>
      <c r="W24" s="15" t="n">
        <f aca="false">S24-R24</f>
        <v>170.719956140351</v>
      </c>
      <c r="X24" s="16" t="n">
        <f aca="false">IFERROR(W24/S24,0)</f>
        <v>0.550709535936616</v>
      </c>
    </row>
    <row r="25" customFormat="false" ht="15" hidden="false" customHeight="false" outlineLevel="0" collapsed="false">
      <c r="A25" s="0" t="n">
        <v>21</v>
      </c>
      <c r="B25" s="22" t="s">
        <v>712</v>
      </c>
      <c r="C25" s="23" t="s">
        <v>1109</v>
      </c>
      <c r="D25" s="13" t="s">
        <v>343</v>
      </c>
      <c r="E25" s="6" t="n">
        <v>2</v>
      </c>
      <c r="F25" s="32" t="n">
        <v>0.279</v>
      </c>
      <c r="G25" s="32" t="n">
        <v>0.778</v>
      </c>
      <c r="H25" s="15" t="n">
        <f aca="false">SUMIF(Ingredientes!$A$5:$A$859,A25,Ingredientes!$K$5:$K$859)</f>
        <v>124.925956666667</v>
      </c>
      <c r="I25" s="15" t="n">
        <f aca="false">IFERROR(H25/E25,0)</f>
        <v>62.4629783333333</v>
      </c>
      <c r="J25" s="15" t="n">
        <f aca="false">IFERROR(VLOOKUP(D25,Componentes!$A$11:$D$14,4,FALSE()),0)</f>
        <v>9</v>
      </c>
      <c r="K25" s="17" t="n">
        <v>2.5</v>
      </c>
      <c r="L25" s="6" t="n">
        <v>12</v>
      </c>
      <c r="M25" s="15" t="n">
        <f aca="false">L25/60*'Mi negocio'!$C$23</f>
        <v>16</v>
      </c>
      <c r="N25" s="15" t="n">
        <f aca="false">'Mi negocio'!$C$20</f>
        <v>17.3125</v>
      </c>
      <c r="O25" s="15" t="n">
        <f aca="false">I25+J25+K25+M25+N25</f>
        <v>107.275478333333</v>
      </c>
      <c r="P25" s="30"/>
      <c r="Q25" s="16" t="n">
        <f aca="false">IF(P25="",'Mi negocio'!$C$24,P25)</f>
        <v>0.05</v>
      </c>
      <c r="R25" s="21" t="n">
        <f aca="false">IFERROR(O25/(1-Q25),0)</f>
        <v>112.921556140351</v>
      </c>
      <c r="S25" s="33" t="n">
        <f aca="false">IFERROR(CEILING(ROUND(R25/(1-'Mi negocio'!$C$27),6),'Mi negocio'!$C$25),0)</f>
        <v>255</v>
      </c>
      <c r="T25" s="33" t="n">
        <f aca="false">IFERROR(CEILING(ROUND(R25/(1-'Mi negocio'!$C$28),6),'Mi negocio'!$C$25),0)</f>
        <v>285</v>
      </c>
      <c r="U25" s="33" t="n">
        <f aca="false">IFERROR(CEILING(ROUND(R25/(1-'Mi negocio'!$C$29),6),'Mi negocio'!$C$25),0)</f>
        <v>335</v>
      </c>
      <c r="V25" s="33" t="n">
        <f aca="false">IFERROR(CEILING(ROUND(R25/(1-'Mi negocio'!$C$30),6),'Mi negocio'!$C$25),0)</f>
        <v>170</v>
      </c>
      <c r="W25" s="15" t="n">
        <f aca="false">S25-R25</f>
        <v>142.078443859649</v>
      </c>
      <c r="X25" s="16" t="n">
        <f aca="false">IFERROR(W25/S25,0)</f>
        <v>0.557170368077055</v>
      </c>
    </row>
    <row r="26" customFormat="false" ht="15" hidden="false" customHeight="false" outlineLevel="0" collapsed="false">
      <c r="A26" s="0" t="n">
        <v>22</v>
      </c>
      <c r="B26" s="22" t="s">
        <v>726</v>
      </c>
      <c r="C26" s="23" t="s">
        <v>1109</v>
      </c>
      <c r="D26" s="13" t="s">
        <v>346</v>
      </c>
      <c r="E26" s="6" t="n">
        <v>2</v>
      </c>
      <c r="F26" s="32" t="n">
        <v>0.287</v>
      </c>
      <c r="G26" s="32" t="n">
        <v>0.812</v>
      </c>
      <c r="H26" s="15" t="n">
        <f aca="false">SUMIF(Ingredientes!$A$5:$A$859,A26,Ingredientes!$K$5:$K$859)</f>
        <v>107.521713333333</v>
      </c>
      <c r="I26" s="15" t="n">
        <f aca="false">IFERROR(H26/E26,0)</f>
        <v>53.7608566666667</v>
      </c>
      <c r="J26" s="15" t="n">
        <f aca="false">IFERROR(VLOOKUP(D26,Componentes!$A$11:$D$14,4,FALSE()),0)</f>
        <v>16</v>
      </c>
      <c r="K26" s="17" t="n">
        <v>3</v>
      </c>
      <c r="L26" s="6" t="n">
        <v>17</v>
      </c>
      <c r="M26" s="15" t="n">
        <f aca="false">L26/60*'Mi negocio'!$C$23</f>
        <v>22.6666666666667</v>
      </c>
      <c r="N26" s="15" t="n">
        <f aca="false">'Mi negocio'!$C$20</f>
        <v>17.3125</v>
      </c>
      <c r="O26" s="15" t="n">
        <f aca="false">I26+J26+K26+M26+N26</f>
        <v>112.740023333333</v>
      </c>
      <c r="P26" s="30"/>
      <c r="Q26" s="16" t="n">
        <f aca="false">IF(P26="",'Mi negocio'!$C$24,P26)</f>
        <v>0.05</v>
      </c>
      <c r="R26" s="21" t="n">
        <f aca="false">IFERROR(O26/(1-Q26),0)</f>
        <v>118.67370877193</v>
      </c>
      <c r="S26" s="33" t="n">
        <f aca="false">IFERROR(CEILING(ROUND(R26/(1-'Mi negocio'!$C$27),6),'Mi negocio'!$C$25),0)</f>
        <v>265</v>
      </c>
      <c r="T26" s="33" t="n">
        <f aca="false">IFERROR(CEILING(ROUND(R26/(1-'Mi negocio'!$C$28),6),'Mi negocio'!$C$25),0)</f>
        <v>300</v>
      </c>
      <c r="U26" s="33" t="n">
        <f aca="false">IFERROR(CEILING(ROUND(R26/(1-'Mi negocio'!$C$29),6),'Mi negocio'!$C$25),0)</f>
        <v>350</v>
      </c>
      <c r="V26" s="33" t="n">
        <f aca="false">IFERROR(CEILING(ROUND(R26/(1-'Mi negocio'!$C$30),6),'Mi negocio'!$C$25),0)</f>
        <v>175</v>
      </c>
      <c r="W26" s="15" t="n">
        <f aca="false">S26-R26</f>
        <v>146.32629122807</v>
      </c>
      <c r="X26" s="16" t="n">
        <f aca="false">IFERROR(W26/S26,0)</f>
        <v>0.55217468387951</v>
      </c>
    </row>
    <row r="27" customFormat="false" ht="15" hidden="false" customHeight="false" outlineLevel="0" collapsed="false">
      <c r="A27" s="0" t="n">
        <v>23</v>
      </c>
      <c r="B27" s="22" t="s">
        <v>743</v>
      </c>
      <c r="C27" s="23" t="s">
        <v>1109</v>
      </c>
      <c r="D27" s="13" t="s">
        <v>343</v>
      </c>
      <c r="E27" s="6" t="n">
        <v>2</v>
      </c>
      <c r="F27" s="32" t="n">
        <v>0.29</v>
      </c>
      <c r="G27" s="32" t="n">
        <v>0.737</v>
      </c>
      <c r="H27" s="15" t="n">
        <f aca="false">SUMIF(Ingredientes!$A$5:$A$859,A27,Ingredientes!$K$5:$K$859)</f>
        <v>161.073413333333</v>
      </c>
      <c r="I27" s="15" t="n">
        <f aca="false">IFERROR(H27/E27,0)</f>
        <v>80.5367066666667</v>
      </c>
      <c r="J27" s="15" t="n">
        <f aca="false">IFERROR(VLOOKUP(D27,Componentes!$A$11:$D$14,4,FALSE()),0)</f>
        <v>9</v>
      </c>
      <c r="K27" s="17" t="n">
        <v>4</v>
      </c>
      <c r="L27" s="6" t="n">
        <v>24</v>
      </c>
      <c r="M27" s="15" t="n">
        <f aca="false">L27/60*'Mi negocio'!$C$23</f>
        <v>32</v>
      </c>
      <c r="N27" s="15" t="n">
        <f aca="false">'Mi negocio'!$C$20</f>
        <v>17.3125</v>
      </c>
      <c r="O27" s="15" t="n">
        <f aca="false">I27+J27+K27+M27+N27</f>
        <v>142.849206666667</v>
      </c>
      <c r="P27" s="30"/>
      <c r="Q27" s="16" t="n">
        <f aca="false">IF(P27="",'Mi negocio'!$C$24,P27)</f>
        <v>0.05</v>
      </c>
      <c r="R27" s="21" t="n">
        <f aca="false">IFERROR(O27/(1-Q27),0)</f>
        <v>150.367585964912</v>
      </c>
      <c r="S27" s="33" t="n">
        <f aca="false">IFERROR(CEILING(ROUND(R27/(1-'Mi negocio'!$C$27),6),'Mi negocio'!$C$25),0)</f>
        <v>335</v>
      </c>
      <c r="T27" s="33" t="n">
        <f aca="false">IFERROR(CEILING(ROUND(R27/(1-'Mi negocio'!$C$28),6),'Mi negocio'!$C$25),0)</f>
        <v>380</v>
      </c>
      <c r="U27" s="33" t="n">
        <f aca="false">IFERROR(CEILING(ROUND(R27/(1-'Mi negocio'!$C$29),6),'Mi negocio'!$C$25),0)</f>
        <v>445</v>
      </c>
      <c r="V27" s="33" t="n">
        <f aca="false">IFERROR(CEILING(ROUND(R27/(1-'Mi negocio'!$C$30),6),'Mi negocio'!$C$25),0)</f>
        <v>225</v>
      </c>
      <c r="W27" s="15" t="n">
        <f aca="false">S27-R27</f>
        <v>184.632414035088</v>
      </c>
      <c r="X27" s="16" t="n">
        <f aca="false">IFERROR(W27/S27,0)</f>
        <v>0.551141534433098</v>
      </c>
    </row>
    <row r="28" customFormat="false" ht="15" hidden="false" customHeight="false" outlineLevel="0" collapsed="false">
      <c r="A28" s="0" t="n">
        <v>24</v>
      </c>
      <c r="B28" s="22" t="s">
        <v>757</v>
      </c>
      <c r="C28" s="23" t="s">
        <v>1109</v>
      </c>
      <c r="D28" s="13" t="s">
        <v>346</v>
      </c>
      <c r="E28" s="6" t="n">
        <v>2</v>
      </c>
      <c r="F28" s="32" t="n">
        <v>0.352</v>
      </c>
      <c r="G28" s="32" t="n">
        <v>1</v>
      </c>
      <c r="H28" s="15" t="n">
        <f aca="false">SUMIF(Ingredientes!$A$5:$A$859,A28,Ingredientes!$K$5:$K$859)</f>
        <v>85.7773866666667</v>
      </c>
      <c r="I28" s="15" t="n">
        <f aca="false">IFERROR(H28/E28,0)</f>
        <v>42.8886933333333</v>
      </c>
      <c r="J28" s="15" t="n">
        <f aca="false">IFERROR(VLOOKUP(D28,Componentes!$A$11:$D$14,4,FALSE()),0)</f>
        <v>16</v>
      </c>
      <c r="K28" s="17" t="n">
        <v>3</v>
      </c>
      <c r="L28" s="6" t="n">
        <v>17</v>
      </c>
      <c r="M28" s="15" t="n">
        <f aca="false">L28/60*'Mi negocio'!$C$23</f>
        <v>22.6666666666667</v>
      </c>
      <c r="N28" s="15" t="n">
        <f aca="false">'Mi negocio'!$C$20</f>
        <v>17.3125</v>
      </c>
      <c r="O28" s="15" t="n">
        <f aca="false">I28+J28+K28+M28+N28</f>
        <v>101.86786</v>
      </c>
      <c r="P28" s="30"/>
      <c r="Q28" s="16" t="n">
        <f aca="false">IF(P28="",'Mi negocio'!$C$24,P28)</f>
        <v>0.05</v>
      </c>
      <c r="R28" s="21" t="n">
        <f aca="false">IFERROR(O28/(1-Q28),0)</f>
        <v>107.229326315789</v>
      </c>
      <c r="S28" s="33" t="n">
        <f aca="false">IFERROR(CEILING(ROUND(R28/(1-'Mi negocio'!$C$27),6),'Mi negocio'!$C$25),0)</f>
        <v>240</v>
      </c>
      <c r="T28" s="33" t="n">
        <f aca="false">IFERROR(CEILING(ROUND(R28/(1-'Mi negocio'!$C$28),6),'Mi negocio'!$C$25),0)</f>
        <v>270</v>
      </c>
      <c r="U28" s="33" t="n">
        <f aca="false">IFERROR(CEILING(ROUND(R28/(1-'Mi negocio'!$C$29),6),'Mi negocio'!$C$25),0)</f>
        <v>320</v>
      </c>
      <c r="V28" s="33" t="n">
        <f aca="false">IFERROR(CEILING(ROUND(R28/(1-'Mi negocio'!$C$30),6),'Mi negocio'!$C$25),0)</f>
        <v>160</v>
      </c>
      <c r="W28" s="15" t="n">
        <f aca="false">S28-R28</f>
        <v>132.770673684211</v>
      </c>
      <c r="X28" s="16" t="n">
        <f aca="false">IFERROR(W28/S28,0)</f>
        <v>0.553211140350877</v>
      </c>
    </row>
    <row r="29" customFormat="false" ht="15" hidden="false" customHeight="false" outlineLevel="0" collapsed="false">
      <c r="A29" s="0" t="n">
        <v>25</v>
      </c>
      <c r="B29" s="22" t="s">
        <v>770</v>
      </c>
      <c r="C29" s="23" t="s">
        <v>1109</v>
      </c>
      <c r="D29" s="13" t="s">
        <v>343</v>
      </c>
      <c r="E29" s="6" t="n">
        <v>2</v>
      </c>
      <c r="F29" s="32" t="n">
        <v>0.285</v>
      </c>
      <c r="G29" s="32" t="n">
        <v>1</v>
      </c>
      <c r="H29" s="15" t="n">
        <f aca="false">SUMIF(Ingredientes!$A$5:$A$859,A29,Ingredientes!$K$5:$K$859)</f>
        <v>136.545291666667</v>
      </c>
      <c r="I29" s="15" t="n">
        <f aca="false">IFERROR(H29/E29,0)</f>
        <v>68.2726458333333</v>
      </c>
      <c r="J29" s="15" t="n">
        <f aca="false">IFERROR(VLOOKUP(D29,Componentes!$A$11:$D$14,4,FALSE()),0)</f>
        <v>9</v>
      </c>
      <c r="K29" s="17" t="n">
        <v>3</v>
      </c>
      <c r="L29" s="6" t="n">
        <v>17</v>
      </c>
      <c r="M29" s="15" t="n">
        <f aca="false">L29/60*'Mi negocio'!$C$23</f>
        <v>22.6666666666667</v>
      </c>
      <c r="N29" s="15" t="n">
        <f aca="false">'Mi negocio'!$C$20</f>
        <v>17.3125</v>
      </c>
      <c r="O29" s="15" t="n">
        <f aca="false">I29+J29+K29+M29+N29</f>
        <v>120.2518125</v>
      </c>
      <c r="P29" s="30"/>
      <c r="Q29" s="16" t="n">
        <f aca="false">IF(P29="",'Mi negocio'!$C$24,P29)</f>
        <v>0.05</v>
      </c>
      <c r="R29" s="21" t="n">
        <f aca="false">IFERROR(O29/(1-Q29),0)</f>
        <v>126.580855263158</v>
      </c>
      <c r="S29" s="33" t="n">
        <f aca="false">IFERROR(CEILING(ROUND(R29/(1-'Mi negocio'!$C$27),6),'Mi negocio'!$C$25),0)</f>
        <v>285</v>
      </c>
      <c r="T29" s="33" t="n">
        <f aca="false">IFERROR(CEILING(ROUND(R29/(1-'Mi negocio'!$C$28),6),'Mi negocio'!$C$25),0)</f>
        <v>320</v>
      </c>
      <c r="U29" s="33" t="n">
        <f aca="false">IFERROR(CEILING(ROUND(R29/(1-'Mi negocio'!$C$29),6),'Mi negocio'!$C$25),0)</f>
        <v>375</v>
      </c>
      <c r="V29" s="33" t="n">
        <f aca="false">IFERROR(CEILING(ROUND(R29/(1-'Mi negocio'!$C$30),6),'Mi negocio'!$C$25),0)</f>
        <v>190</v>
      </c>
      <c r="W29" s="15" t="n">
        <f aca="false">S29-R29</f>
        <v>158.419144736842</v>
      </c>
      <c r="X29" s="16" t="n">
        <f aca="false">IFERROR(W29/S29,0)</f>
        <v>0.555856648199446</v>
      </c>
    </row>
    <row r="30" customFormat="false" ht="15" hidden="false" customHeight="false" outlineLevel="0" collapsed="false">
      <c r="A30" s="0" t="n">
        <v>26</v>
      </c>
      <c r="B30" s="22" t="s">
        <v>784</v>
      </c>
      <c r="C30" s="23" t="s">
        <v>1109</v>
      </c>
      <c r="D30" s="13" t="s">
        <v>343</v>
      </c>
      <c r="E30" s="6" t="n">
        <v>2</v>
      </c>
      <c r="F30" s="32" t="n">
        <v>0.279</v>
      </c>
      <c r="G30" s="32" t="n">
        <v>0.824</v>
      </c>
      <c r="H30" s="15" t="n">
        <f aca="false">SUMIF(Ingredientes!$A$5:$A$859,A30,Ingredientes!$K$5:$K$859)</f>
        <v>150.14605</v>
      </c>
      <c r="I30" s="15" t="n">
        <f aca="false">IFERROR(H30/E30,0)</f>
        <v>75.073025</v>
      </c>
      <c r="J30" s="15" t="n">
        <f aca="false">IFERROR(VLOOKUP(D30,Componentes!$A$11:$D$14,4,FALSE()),0)</f>
        <v>9</v>
      </c>
      <c r="K30" s="17" t="n">
        <v>3</v>
      </c>
      <c r="L30" s="6" t="n">
        <v>17</v>
      </c>
      <c r="M30" s="15" t="n">
        <f aca="false">L30/60*'Mi negocio'!$C$23</f>
        <v>22.6666666666667</v>
      </c>
      <c r="N30" s="15" t="n">
        <f aca="false">'Mi negocio'!$C$20</f>
        <v>17.3125</v>
      </c>
      <c r="O30" s="15" t="n">
        <f aca="false">I30+J30+K30+M30+N30</f>
        <v>127.052191666667</v>
      </c>
      <c r="P30" s="30"/>
      <c r="Q30" s="16" t="n">
        <f aca="false">IF(P30="",'Mi negocio'!$C$24,P30)</f>
        <v>0.05</v>
      </c>
      <c r="R30" s="21" t="n">
        <f aca="false">IFERROR(O30/(1-Q30),0)</f>
        <v>133.739149122807</v>
      </c>
      <c r="S30" s="33" t="n">
        <f aca="false">IFERROR(CEILING(ROUND(R30/(1-'Mi negocio'!$C$27),6),'Mi negocio'!$C$25),0)</f>
        <v>300</v>
      </c>
      <c r="T30" s="33" t="n">
        <f aca="false">IFERROR(CEILING(ROUND(R30/(1-'Mi negocio'!$C$28),6),'Mi negocio'!$C$25),0)</f>
        <v>335</v>
      </c>
      <c r="U30" s="33" t="n">
        <f aca="false">IFERROR(CEILING(ROUND(R30/(1-'Mi negocio'!$C$29),6),'Mi negocio'!$C$25),0)</f>
        <v>395</v>
      </c>
      <c r="V30" s="33" t="n">
        <f aca="false">IFERROR(CEILING(ROUND(R30/(1-'Mi negocio'!$C$30),6),'Mi negocio'!$C$25),0)</f>
        <v>200</v>
      </c>
      <c r="W30" s="15" t="n">
        <f aca="false">S30-R30</f>
        <v>166.260850877193</v>
      </c>
      <c r="X30" s="16" t="n">
        <f aca="false">IFERROR(W30/S30,0)</f>
        <v>0.55420283625731</v>
      </c>
    </row>
    <row r="31" customFormat="false" ht="15" hidden="false" customHeight="false" outlineLevel="0" collapsed="false">
      <c r="A31" s="0" t="n">
        <v>27</v>
      </c>
      <c r="B31" s="22" t="s">
        <v>797</v>
      </c>
      <c r="C31" s="23" t="s">
        <v>1109</v>
      </c>
      <c r="D31" s="13" t="s">
        <v>346</v>
      </c>
      <c r="E31" s="6" t="n">
        <v>2</v>
      </c>
      <c r="F31" s="32" t="n">
        <v>0.282</v>
      </c>
      <c r="G31" s="32" t="n">
        <v>0.812</v>
      </c>
      <c r="H31" s="15" t="n">
        <f aca="false">SUMIF(Ingredientes!$A$5:$A$859,A31,Ingredientes!$K$5:$K$859)</f>
        <v>121.509883333333</v>
      </c>
      <c r="I31" s="15" t="n">
        <f aca="false">IFERROR(H31/E31,0)</f>
        <v>60.7549416666667</v>
      </c>
      <c r="J31" s="15" t="n">
        <f aca="false">IFERROR(VLOOKUP(D31,Componentes!$A$11:$D$14,4,FALSE()),0)</f>
        <v>16</v>
      </c>
      <c r="K31" s="17" t="n">
        <v>3</v>
      </c>
      <c r="L31" s="6" t="n">
        <v>17</v>
      </c>
      <c r="M31" s="15" t="n">
        <f aca="false">L31/60*'Mi negocio'!$C$23</f>
        <v>22.6666666666667</v>
      </c>
      <c r="N31" s="15" t="n">
        <f aca="false">'Mi negocio'!$C$20</f>
        <v>17.3125</v>
      </c>
      <c r="O31" s="15" t="n">
        <f aca="false">I31+J31+K31+M31+N31</f>
        <v>119.734108333333</v>
      </c>
      <c r="P31" s="30"/>
      <c r="Q31" s="16" t="n">
        <f aca="false">IF(P31="",'Mi negocio'!$C$24,P31)</f>
        <v>0.05</v>
      </c>
      <c r="R31" s="21" t="n">
        <f aca="false">IFERROR(O31/(1-Q31),0)</f>
        <v>126.035903508772</v>
      </c>
      <c r="S31" s="33" t="n">
        <f aca="false">IFERROR(CEILING(ROUND(R31/(1-'Mi negocio'!$C$27),6),'Mi negocio'!$C$25),0)</f>
        <v>285</v>
      </c>
      <c r="T31" s="33" t="n">
        <f aca="false">IFERROR(CEILING(ROUND(R31/(1-'Mi negocio'!$C$28),6),'Mi negocio'!$C$25),0)</f>
        <v>320</v>
      </c>
      <c r="U31" s="33" t="n">
        <f aca="false">IFERROR(CEILING(ROUND(R31/(1-'Mi negocio'!$C$29),6),'Mi negocio'!$C$25),0)</f>
        <v>375</v>
      </c>
      <c r="V31" s="33" t="n">
        <f aca="false">IFERROR(CEILING(ROUND(R31/(1-'Mi negocio'!$C$30),6),'Mi negocio'!$C$25),0)</f>
        <v>190</v>
      </c>
      <c r="W31" s="15" t="n">
        <f aca="false">S31-R31</f>
        <v>158.964096491228</v>
      </c>
      <c r="X31" s="16" t="n">
        <f aca="false">IFERROR(W31/S31,0)</f>
        <v>0.557768759618344</v>
      </c>
    </row>
    <row r="32" customFormat="false" ht="15" hidden="false" customHeight="false" outlineLevel="0" collapsed="false">
      <c r="A32" s="0" t="n">
        <v>28</v>
      </c>
      <c r="B32" s="22" t="s">
        <v>810</v>
      </c>
      <c r="C32" s="23" t="s">
        <v>1109</v>
      </c>
      <c r="D32" s="13" t="s">
        <v>343</v>
      </c>
      <c r="E32" s="6" t="n">
        <v>2</v>
      </c>
      <c r="F32" s="32" t="n">
        <v>0.28</v>
      </c>
      <c r="G32" s="32" t="n">
        <v>1</v>
      </c>
      <c r="H32" s="15" t="n">
        <f aca="false">SUMIF(Ingredientes!$A$5:$A$859,A32,Ingredientes!$K$5:$K$859)</f>
        <v>155.8432</v>
      </c>
      <c r="I32" s="15" t="n">
        <f aca="false">IFERROR(H32/E32,0)</f>
        <v>77.9216</v>
      </c>
      <c r="J32" s="15" t="n">
        <f aca="false">IFERROR(VLOOKUP(D32,Componentes!$A$11:$D$14,4,FALSE()),0)</f>
        <v>9</v>
      </c>
      <c r="K32" s="17" t="n">
        <v>3</v>
      </c>
      <c r="L32" s="6" t="n">
        <v>17</v>
      </c>
      <c r="M32" s="15" t="n">
        <f aca="false">L32/60*'Mi negocio'!$C$23</f>
        <v>22.6666666666667</v>
      </c>
      <c r="N32" s="15" t="n">
        <f aca="false">'Mi negocio'!$C$20</f>
        <v>17.3125</v>
      </c>
      <c r="O32" s="15" t="n">
        <f aca="false">I32+J32+K32+M32+N32</f>
        <v>129.900766666667</v>
      </c>
      <c r="P32" s="30"/>
      <c r="Q32" s="16" t="n">
        <f aca="false">IF(P32="",'Mi negocio'!$C$24,P32)</f>
        <v>0.05</v>
      </c>
      <c r="R32" s="21" t="n">
        <f aca="false">IFERROR(O32/(1-Q32),0)</f>
        <v>136.737649122807</v>
      </c>
      <c r="S32" s="33" t="n">
        <f aca="false">IFERROR(CEILING(ROUND(R32/(1-'Mi negocio'!$C$27),6),'Mi negocio'!$C$25),0)</f>
        <v>305</v>
      </c>
      <c r="T32" s="33" t="n">
        <f aca="false">IFERROR(CEILING(ROUND(R32/(1-'Mi negocio'!$C$28),6),'Mi negocio'!$C$25),0)</f>
        <v>345</v>
      </c>
      <c r="U32" s="33" t="n">
        <f aca="false">IFERROR(CEILING(ROUND(R32/(1-'Mi negocio'!$C$29),6),'Mi negocio'!$C$25),0)</f>
        <v>405</v>
      </c>
      <c r="V32" s="33" t="n">
        <f aca="false">IFERROR(CEILING(ROUND(R32/(1-'Mi negocio'!$C$30),6),'Mi negocio'!$C$25),0)</f>
        <v>205</v>
      </c>
      <c r="W32" s="15" t="n">
        <f aca="false">S32-R32</f>
        <v>168.262350877193</v>
      </c>
      <c r="X32" s="16" t="n">
        <f aca="false">IFERROR(W32/S32,0)</f>
        <v>0.551679838941616</v>
      </c>
    </row>
    <row r="33" customFormat="false" ht="15" hidden="false" customHeight="false" outlineLevel="0" collapsed="false">
      <c r="A33" s="0" t="n">
        <v>29</v>
      </c>
      <c r="B33" s="22" t="s">
        <v>822</v>
      </c>
      <c r="C33" s="23" t="s">
        <v>1109</v>
      </c>
      <c r="D33" s="13" t="s">
        <v>343</v>
      </c>
      <c r="E33" s="6" t="n">
        <v>2</v>
      </c>
      <c r="F33" s="32" t="n">
        <v>0.29</v>
      </c>
      <c r="G33" s="32" t="n">
        <v>0.824</v>
      </c>
      <c r="H33" s="15" t="n">
        <f aca="false">SUMIF(Ingredientes!$A$5:$A$859,A33,Ingredientes!$K$5:$K$859)</f>
        <v>107.135166666667</v>
      </c>
      <c r="I33" s="15" t="n">
        <f aca="false">IFERROR(H33/E33,0)</f>
        <v>53.5675833333333</v>
      </c>
      <c r="J33" s="15" t="n">
        <f aca="false">IFERROR(VLOOKUP(D33,Componentes!$A$11:$D$14,4,FALSE()),0)</f>
        <v>9</v>
      </c>
      <c r="K33" s="17" t="n">
        <v>3</v>
      </c>
      <c r="L33" s="6" t="n">
        <v>17</v>
      </c>
      <c r="M33" s="15" t="n">
        <f aca="false">L33/60*'Mi negocio'!$C$23</f>
        <v>22.6666666666667</v>
      </c>
      <c r="N33" s="15" t="n">
        <f aca="false">'Mi negocio'!$C$20</f>
        <v>17.3125</v>
      </c>
      <c r="O33" s="15" t="n">
        <f aca="false">I33+J33+K33+M33+N33</f>
        <v>105.54675</v>
      </c>
      <c r="P33" s="30"/>
      <c r="Q33" s="16" t="n">
        <f aca="false">IF(P33="",'Mi negocio'!$C$24,P33)</f>
        <v>0.05</v>
      </c>
      <c r="R33" s="21" t="n">
        <f aca="false">IFERROR(O33/(1-Q33),0)</f>
        <v>111.101842105263</v>
      </c>
      <c r="S33" s="33" t="n">
        <f aca="false">IFERROR(CEILING(ROUND(R33/(1-'Mi negocio'!$C$27),6),'Mi negocio'!$C$25),0)</f>
        <v>250</v>
      </c>
      <c r="T33" s="33" t="n">
        <f aca="false">IFERROR(CEILING(ROUND(R33/(1-'Mi negocio'!$C$28),6),'Mi negocio'!$C$25),0)</f>
        <v>280</v>
      </c>
      <c r="U33" s="33" t="n">
        <f aca="false">IFERROR(CEILING(ROUND(R33/(1-'Mi negocio'!$C$29),6),'Mi negocio'!$C$25),0)</f>
        <v>330</v>
      </c>
      <c r="V33" s="33" t="n">
        <f aca="false">IFERROR(CEILING(ROUND(R33/(1-'Mi negocio'!$C$30),6),'Mi negocio'!$C$25),0)</f>
        <v>165</v>
      </c>
      <c r="W33" s="15" t="n">
        <f aca="false">S33-R33</f>
        <v>138.898157894737</v>
      </c>
      <c r="X33" s="16" t="n">
        <f aca="false">IFERROR(W33/S33,0)</f>
        <v>0.555592631578947</v>
      </c>
    </row>
    <row r="34" customFormat="false" ht="15" hidden="false" customHeight="false" outlineLevel="0" collapsed="false">
      <c r="A34" s="0" t="n">
        <v>30</v>
      </c>
      <c r="B34" s="22" t="s">
        <v>836</v>
      </c>
      <c r="C34" s="23" t="s">
        <v>1109</v>
      </c>
      <c r="D34" s="13" t="s">
        <v>346</v>
      </c>
      <c r="E34" s="6" t="n">
        <v>2</v>
      </c>
      <c r="F34" s="32" t="n">
        <v>0.304</v>
      </c>
      <c r="G34" s="32" t="n">
        <v>0.933</v>
      </c>
      <c r="H34" s="15" t="n">
        <f aca="false">SUMIF(Ingredientes!$A$5:$A$859,A34,Ingredientes!$K$5:$K$859)</f>
        <v>83.24196</v>
      </c>
      <c r="I34" s="15" t="n">
        <f aca="false">IFERROR(H34/E34,0)</f>
        <v>41.62098</v>
      </c>
      <c r="J34" s="15" t="n">
        <f aca="false">IFERROR(VLOOKUP(D34,Componentes!$A$11:$D$14,4,FALSE()),0)</f>
        <v>16</v>
      </c>
      <c r="K34" s="17" t="n">
        <v>2.5</v>
      </c>
      <c r="L34" s="6" t="n">
        <v>12</v>
      </c>
      <c r="M34" s="15" t="n">
        <f aca="false">L34/60*'Mi negocio'!$C$23</f>
        <v>16</v>
      </c>
      <c r="N34" s="15" t="n">
        <f aca="false">'Mi negocio'!$C$20</f>
        <v>17.3125</v>
      </c>
      <c r="O34" s="15" t="n">
        <f aca="false">I34+J34+K34+M34+N34</f>
        <v>93.43348</v>
      </c>
      <c r="P34" s="30"/>
      <c r="Q34" s="16" t="n">
        <f aca="false">IF(P34="",'Mi negocio'!$C$24,P34)</f>
        <v>0.05</v>
      </c>
      <c r="R34" s="21" t="n">
        <f aca="false">IFERROR(O34/(1-Q34),0)</f>
        <v>98.3510315789474</v>
      </c>
      <c r="S34" s="33" t="n">
        <f aca="false">IFERROR(CEILING(ROUND(R34/(1-'Mi negocio'!$C$27),6),'Mi negocio'!$C$25),0)</f>
        <v>220</v>
      </c>
      <c r="T34" s="33" t="n">
        <f aca="false">IFERROR(CEILING(ROUND(R34/(1-'Mi negocio'!$C$28),6),'Mi negocio'!$C$25),0)</f>
        <v>250</v>
      </c>
      <c r="U34" s="33" t="n">
        <f aca="false">IFERROR(CEILING(ROUND(R34/(1-'Mi negocio'!$C$29),6),'Mi negocio'!$C$25),0)</f>
        <v>290</v>
      </c>
      <c r="V34" s="33" t="n">
        <f aca="false">IFERROR(CEILING(ROUND(R34/(1-'Mi negocio'!$C$30),6),'Mi negocio'!$C$25),0)</f>
        <v>145</v>
      </c>
      <c r="W34" s="15" t="n">
        <f aca="false">S34-R34</f>
        <v>121.648968421053</v>
      </c>
      <c r="X34" s="16" t="n">
        <f aca="false">IFERROR(W34/S34,0)</f>
        <v>0.55294985645933</v>
      </c>
    </row>
    <row r="35" customFormat="false" ht="15" hidden="false" customHeight="false" outlineLevel="0" collapsed="false">
      <c r="A35" s="0" t="n">
        <v>31</v>
      </c>
      <c r="B35" s="22" t="s">
        <v>849</v>
      </c>
      <c r="C35" s="23" t="s">
        <v>1110</v>
      </c>
      <c r="D35" s="13" t="s">
        <v>343</v>
      </c>
      <c r="E35" s="6" t="n">
        <v>2</v>
      </c>
      <c r="F35" s="32" t="n">
        <v>1</v>
      </c>
      <c r="G35" s="32" t="n">
        <v>0.778</v>
      </c>
      <c r="H35" s="15" t="n">
        <f aca="false">SUMIF(Ingredientes!$A$5:$A$859,A35,Ingredientes!$K$5:$K$859)</f>
        <v>125.170116666667</v>
      </c>
      <c r="I35" s="15" t="n">
        <f aca="false">IFERROR(H35/E35,0)</f>
        <v>62.5850583333333</v>
      </c>
      <c r="J35" s="15" t="n">
        <f aca="false">IFERROR(VLOOKUP(D35,Componentes!$A$11:$D$14,4,FALSE()),0)</f>
        <v>9</v>
      </c>
      <c r="K35" s="17" t="n">
        <v>3</v>
      </c>
      <c r="L35" s="6" t="n">
        <v>17</v>
      </c>
      <c r="M35" s="15" t="n">
        <f aca="false">L35/60*'Mi negocio'!$C$23</f>
        <v>22.6666666666667</v>
      </c>
      <c r="N35" s="15" t="n">
        <f aca="false">'Mi negocio'!$C$20</f>
        <v>17.3125</v>
      </c>
      <c r="O35" s="15" t="n">
        <f aca="false">I35+J35+K35+M35+N35</f>
        <v>114.564225</v>
      </c>
      <c r="P35" s="30"/>
      <c r="Q35" s="16" t="n">
        <f aca="false">IF(P35="",'Mi negocio'!$C$24,P35)</f>
        <v>0.05</v>
      </c>
      <c r="R35" s="21" t="n">
        <f aca="false">IFERROR(O35/(1-Q35),0)</f>
        <v>120.593921052632</v>
      </c>
      <c r="S35" s="33" t="n">
        <f aca="false">IFERROR(CEILING(ROUND(R35/(1-'Mi negocio'!$C$27),6),'Mi negocio'!$C$25),0)</f>
        <v>270</v>
      </c>
      <c r="T35" s="33" t="n">
        <f aca="false">IFERROR(CEILING(ROUND(R35/(1-'Mi negocio'!$C$28),6),'Mi negocio'!$C$25),0)</f>
        <v>305</v>
      </c>
      <c r="U35" s="33" t="n">
        <f aca="false">IFERROR(CEILING(ROUND(R35/(1-'Mi negocio'!$C$29),6),'Mi negocio'!$C$25),0)</f>
        <v>355</v>
      </c>
      <c r="V35" s="33" t="n">
        <f aca="false">IFERROR(CEILING(ROUND(R35/(1-'Mi negocio'!$C$30),6),'Mi negocio'!$C$25),0)</f>
        <v>180</v>
      </c>
      <c r="W35" s="15" t="n">
        <f aca="false">S35-R35</f>
        <v>149.406078947368</v>
      </c>
      <c r="X35" s="16" t="n">
        <f aca="false">IFERROR(W35/S35,0)</f>
        <v>0.553355847953216</v>
      </c>
    </row>
    <row r="36" customFormat="false" ht="15" hidden="false" customHeight="false" outlineLevel="0" collapsed="false">
      <c r="A36" s="0" t="n">
        <v>32</v>
      </c>
      <c r="B36" s="22" t="s">
        <v>860</v>
      </c>
      <c r="C36" s="23" t="s">
        <v>1110</v>
      </c>
      <c r="D36" s="13" t="s">
        <v>343</v>
      </c>
      <c r="E36" s="6" t="n">
        <v>2</v>
      </c>
      <c r="F36" s="32" t="n">
        <v>1</v>
      </c>
      <c r="G36" s="32" t="n">
        <v>0.875</v>
      </c>
      <c r="H36" s="15" t="n">
        <f aca="false">SUMIF(Ingredientes!$A$5:$A$859,A36,Ingredientes!$K$5:$K$859)</f>
        <v>192.240416666667</v>
      </c>
      <c r="I36" s="15" t="n">
        <f aca="false">IFERROR(H36/E36,0)</f>
        <v>96.1202083333333</v>
      </c>
      <c r="J36" s="15" t="n">
        <f aca="false">IFERROR(VLOOKUP(D36,Componentes!$A$11:$D$14,4,FALSE()),0)</f>
        <v>9</v>
      </c>
      <c r="K36" s="17" t="n">
        <v>4</v>
      </c>
      <c r="L36" s="6" t="n">
        <v>24</v>
      </c>
      <c r="M36" s="15" t="n">
        <f aca="false">L36/60*'Mi negocio'!$C$23</f>
        <v>32</v>
      </c>
      <c r="N36" s="15" t="n">
        <f aca="false">'Mi negocio'!$C$20</f>
        <v>17.3125</v>
      </c>
      <c r="O36" s="15" t="n">
        <f aca="false">I36+J36+K36+M36+N36</f>
        <v>158.432708333333</v>
      </c>
      <c r="P36" s="30"/>
      <c r="Q36" s="16" t="n">
        <f aca="false">IF(P36="",'Mi negocio'!$C$24,P36)</f>
        <v>0.05</v>
      </c>
      <c r="R36" s="21" t="n">
        <f aca="false">IFERROR(O36/(1-Q36),0)</f>
        <v>166.771271929825</v>
      </c>
      <c r="S36" s="33" t="n">
        <f aca="false">IFERROR(CEILING(ROUND(R36/(1-'Mi negocio'!$C$27),6),'Mi negocio'!$C$25),0)</f>
        <v>375</v>
      </c>
      <c r="T36" s="33" t="n">
        <f aca="false">IFERROR(CEILING(ROUND(R36/(1-'Mi negocio'!$C$28),6),'Mi negocio'!$C$25),0)</f>
        <v>420</v>
      </c>
      <c r="U36" s="33" t="n">
        <f aca="false">IFERROR(CEILING(ROUND(R36/(1-'Mi negocio'!$C$29),6),'Mi negocio'!$C$25),0)</f>
        <v>495</v>
      </c>
      <c r="V36" s="33" t="n">
        <f aca="false">IFERROR(CEILING(ROUND(R36/(1-'Mi negocio'!$C$30),6),'Mi negocio'!$C$25),0)</f>
        <v>250</v>
      </c>
      <c r="W36" s="15" t="n">
        <f aca="false">S36-R36</f>
        <v>208.228728070175</v>
      </c>
      <c r="X36" s="16" t="n">
        <f aca="false">IFERROR(W36/S36,0)</f>
        <v>0.555276608187135</v>
      </c>
    </row>
    <row r="37" customFormat="false" ht="15" hidden="false" customHeight="false" outlineLevel="0" collapsed="false">
      <c r="A37" s="0" t="n">
        <v>33</v>
      </c>
      <c r="B37" s="22" t="s">
        <v>869</v>
      </c>
      <c r="C37" s="23" t="s">
        <v>1110</v>
      </c>
      <c r="D37" s="13" t="s">
        <v>346</v>
      </c>
      <c r="E37" s="6" t="n">
        <v>2</v>
      </c>
      <c r="F37" s="32" t="n">
        <v>1</v>
      </c>
      <c r="G37" s="32" t="n">
        <v>0.793</v>
      </c>
      <c r="H37" s="15" t="n">
        <f aca="false">SUMIF(Ingredientes!$A$5:$A$859,A37,Ingredientes!$K$5:$K$859)</f>
        <v>98.112595</v>
      </c>
      <c r="I37" s="15" t="n">
        <f aca="false">IFERROR(H37/E37,0)</f>
        <v>49.0562975</v>
      </c>
      <c r="J37" s="15" t="n">
        <f aca="false">IFERROR(VLOOKUP(D37,Componentes!$A$11:$D$14,4,FALSE()),0)</f>
        <v>16</v>
      </c>
      <c r="K37" s="17" t="n">
        <v>3</v>
      </c>
      <c r="L37" s="6" t="n">
        <v>17</v>
      </c>
      <c r="M37" s="15" t="n">
        <f aca="false">L37/60*'Mi negocio'!$C$23</f>
        <v>22.6666666666667</v>
      </c>
      <c r="N37" s="15" t="n">
        <f aca="false">'Mi negocio'!$C$20</f>
        <v>17.3125</v>
      </c>
      <c r="O37" s="15" t="n">
        <f aca="false">I37+J37+K37+M37+N37</f>
        <v>108.035464166667</v>
      </c>
      <c r="P37" s="30"/>
      <c r="Q37" s="16" t="n">
        <f aca="false">IF(P37="",'Mi negocio'!$C$24,P37)</f>
        <v>0.05</v>
      </c>
      <c r="R37" s="21" t="n">
        <f aca="false">IFERROR(O37/(1-Q37),0)</f>
        <v>113.72154122807</v>
      </c>
      <c r="S37" s="33" t="n">
        <f aca="false">IFERROR(CEILING(ROUND(R37/(1-'Mi negocio'!$C$27),6),'Mi negocio'!$C$25),0)</f>
        <v>255</v>
      </c>
      <c r="T37" s="33" t="n">
        <f aca="false">IFERROR(CEILING(ROUND(R37/(1-'Mi negocio'!$C$28),6),'Mi negocio'!$C$25),0)</f>
        <v>285</v>
      </c>
      <c r="U37" s="33" t="n">
        <f aca="false">IFERROR(CEILING(ROUND(R37/(1-'Mi negocio'!$C$29),6),'Mi negocio'!$C$25),0)</f>
        <v>335</v>
      </c>
      <c r="V37" s="33" t="n">
        <f aca="false">IFERROR(CEILING(ROUND(R37/(1-'Mi negocio'!$C$30),6),'Mi negocio'!$C$25),0)</f>
        <v>170</v>
      </c>
      <c r="W37" s="15" t="n">
        <f aca="false">S37-R37</f>
        <v>141.27845877193</v>
      </c>
      <c r="X37" s="16" t="n">
        <f aca="false">IFERROR(W37/S37,0)</f>
        <v>0.554033171654627</v>
      </c>
    </row>
    <row r="38" customFormat="false" ht="15" hidden="false" customHeight="false" outlineLevel="0" collapsed="false">
      <c r="A38" s="0" t="n">
        <v>34</v>
      </c>
      <c r="B38" s="22" t="s">
        <v>880</v>
      </c>
      <c r="C38" s="23" t="s">
        <v>1110</v>
      </c>
      <c r="D38" s="13" t="s">
        <v>346</v>
      </c>
      <c r="E38" s="6" t="n">
        <v>2</v>
      </c>
      <c r="F38" s="32" t="n">
        <v>1</v>
      </c>
      <c r="G38" s="32" t="n">
        <v>0.933</v>
      </c>
      <c r="H38" s="15" t="n">
        <f aca="false">SUMIF(Ingredientes!$A$5:$A$859,A38,Ingredientes!$K$5:$K$859)</f>
        <v>115.79805</v>
      </c>
      <c r="I38" s="15" t="n">
        <f aca="false">IFERROR(H38/E38,0)</f>
        <v>57.899025</v>
      </c>
      <c r="J38" s="15" t="n">
        <f aca="false">IFERROR(VLOOKUP(D38,Componentes!$A$11:$D$14,4,FALSE()),0)</f>
        <v>16</v>
      </c>
      <c r="K38" s="17" t="n">
        <v>3</v>
      </c>
      <c r="L38" s="6" t="n">
        <v>17</v>
      </c>
      <c r="M38" s="15" t="n">
        <f aca="false">L38/60*'Mi negocio'!$C$23</f>
        <v>22.6666666666667</v>
      </c>
      <c r="N38" s="15" t="n">
        <f aca="false">'Mi negocio'!$C$20</f>
        <v>17.3125</v>
      </c>
      <c r="O38" s="15" t="n">
        <f aca="false">I38+J38+K38+M38+N38</f>
        <v>116.878191666667</v>
      </c>
      <c r="P38" s="30"/>
      <c r="Q38" s="16" t="n">
        <f aca="false">IF(P38="",'Mi negocio'!$C$24,P38)</f>
        <v>0.05</v>
      </c>
      <c r="R38" s="21" t="n">
        <f aca="false">IFERROR(O38/(1-Q38),0)</f>
        <v>123.029675438596</v>
      </c>
      <c r="S38" s="33" t="n">
        <f aca="false">IFERROR(CEILING(ROUND(R38/(1-'Mi negocio'!$C$27),6),'Mi negocio'!$C$25),0)</f>
        <v>275</v>
      </c>
      <c r="T38" s="33" t="n">
        <f aca="false">IFERROR(CEILING(ROUND(R38/(1-'Mi negocio'!$C$28),6),'Mi negocio'!$C$25),0)</f>
        <v>310</v>
      </c>
      <c r="U38" s="33" t="n">
        <f aca="false">IFERROR(CEILING(ROUND(R38/(1-'Mi negocio'!$C$29),6),'Mi negocio'!$C$25),0)</f>
        <v>365</v>
      </c>
      <c r="V38" s="33" t="n">
        <f aca="false">IFERROR(CEILING(ROUND(R38/(1-'Mi negocio'!$C$30),6),'Mi negocio'!$C$25),0)</f>
        <v>185</v>
      </c>
      <c r="W38" s="15" t="n">
        <f aca="false">S38-R38</f>
        <v>151.970324561404</v>
      </c>
      <c r="X38" s="16" t="n">
        <f aca="false">IFERROR(W38/S38,0)</f>
        <v>0.552619362041467</v>
      </c>
    </row>
    <row r="39" customFormat="false" ht="15" hidden="false" customHeight="false" outlineLevel="0" collapsed="false">
      <c r="A39" s="0" t="n">
        <v>35</v>
      </c>
      <c r="B39" s="22" t="s">
        <v>889</v>
      </c>
      <c r="C39" s="23" t="s">
        <v>1110</v>
      </c>
      <c r="D39" s="13" t="s">
        <v>343</v>
      </c>
      <c r="E39" s="6" t="n">
        <v>2</v>
      </c>
      <c r="F39" s="32" t="n">
        <v>1</v>
      </c>
      <c r="G39" s="32" t="n">
        <v>0.933</v>
      </c>
      <c r="H39" s="15" t="n">
        <f aca="false">SUMIF(Ingredientes!$A$5:$A$859,A39,Ingredientes!$K$5:$K$859)</f>
        <v>160.061905</v>
      </c>
      <c r="I39" s="15" t="n">
        <f aca="false">IFERROR(H39/E39,0)</f>
        <v>80.0309525</v>
      </c>
      <c r="J39" s="15" t="n">
        <f aca="false">IFERROR(VLOOKUP(D39,Componentes!$A$11:$D$14,4,FALSE()),0)</f>
        <v>9</v>
      </c>
      <c r="K39" s="17" t="n">
        <v>4</v>
      </c>
      <c r="L39" s="6" t="n">
        <v>24</v>
      </c>
      <c r="M39" s="15" t="n">
        <f aca="false">L39/60*'Mi negocio'!$C$23</f>
        <v>32</v>
      </c>
      <c r="N39" s="15" t="n">
        <f aca="false">'Mi negocio'!$C$20</f>
        <v>17.3125</v>
      </c>
      <c r="O39" s="15" t="n">
        <f aca="false">I39+J39+K39+M39+N39</f>
        <v>142.3434525</v>
      </c>
      <c r="P39" s="30"/>
      <c r="Q39" s="16" t="n">
        <f aca="false">IF(P39="",'Mi negocio'!$C$24,P39)</f>
        <v>0.05</v>
      </c>
      <c r="R39" s="21" t="n">
        <f aca="false">IFERROR(O39/(1-Q39),0)</f>
        <v>149.835213157895</v>
      </c>
      <c r="S39" s="33" t="n">
        <f aca="false">IFERROR(CEILING(ROUND(R39/(1-'Mi negocio'!$C$27),6),'Mi negocio'!$C$25),0)</f>
        <v>335</v>
      </c>
      <c r="T39" s="33" t="n">
        <f aca="false">IFERROR(CEILING(ROUND(R39/(1-'Mi negocio'!$C$28),6),'Mi negocio'!$C$25),0)</f>
        <v>375</v>
      </c>
      <c r="U39" s="33" t="n">
        <f aca="false">IFERROR(CEILING(ROUND(R39/(1-'Mi negocio'!$C$29),6),'Mi negocio'!$C$25),0)</f>
        <v>445</v>
      </c>
      <c r="V39" s="33" t="n">
        <f aca="false">IFERROR(CEILING(ROUND(R39/(1-'Mi negocio'!$C$30),6),'Mi negocio'!$C$25),0)</f>
        <v>225</v>
      </c>
      <c r="W39" s="15" t="n">
        <f aca="false">S39-R39</f>
        <v>185.164786842105</v>
      </c>
      <c r="X39" s="16" t="n">
        <f aca="false">IFERROR(W39/S39,0)</f>
        <v>0.552730706991359</v>
      </c>
    </row>
    <row r="40" customFormat="false" ht="15" hidden="false" customHeight="false" outlineLevel="0" collapsed="false">
      <c r="A40" s="0" t="n">
        <v>36</v>
      </c>
      <c r="B40" s="22" t="s">
        <v>898</v>
      </c>
      <c r="C40" s="23" t="s">
        <v>1110</v>
      </c>
      <c r="D40" s="13" t="s">
        <v>343</v>
      </c>
      <c r="E40" s="6" t="n">
        <v>2</v>
      </c>
      <c r="F40" s="32" t="n">
        <v>1</v>
      </c>
      <c r="G40" s="32" t="n">
        <v>0.875</v>
      </c>
      <c r="H40" s="15" t="n">
        <f aca="false">SUMIF(Ingredientes!$A$5:$A$859,A40,Ingredientes!$K$5:$K$859)</f>
        <v>175.99875</v>
      </c>
      <c r="I40" s="15" t="n">
        <f aca="false">IFERROR(H40/E40,0)</f>
        <v>87.999375</v>
      </c>
      <c r="J40" s="15" t="n">
        <f aca="false">IFERROR(VLOOKUP(D40,Componentes!$A$11:$D$14,4,FALSE()),0)</f>
        <v>9</v>
      </c>
      <c r="K40" s="17" t="n">
        <v>3</v>
      </c>
      <c r="L40" s="6" t="n">
        <v>17</v>
      </c>
      <c r="M40" s="15" t="n">
        <f aca="false">L40/60*'Mi negocio'!$C$23</f>
        <v>22.6666666666667</v>
      </c>
      <c r="N40" s="15" t="n">
        <f aca="false">'Mi negocio'!$C$20</f>
        <v>17.3125</v>
      </c>
      <c r="O40" s="15" t="n">
        <f aca="false">I40+J40+K40+M40+N40</f>
        <v>139.978541666667</v>
      </c>
      <c r="P40" s="30"/>
      <c r="Q40" s="16" t="n">
        <f aca="false">IF(P40="",'Mi negocio'!$C$24,P40)</f>
        <v>0.05</v>
      </c>
      <c r="R40" s="21" t="n">
        <f aca="false">IFERROR(O40/(1-Q40),0)</f>
        <v>147.345833333333</v>
      </c>
      <c r="S40" s="33" t="n">
        <f aca="false">IFERROR(CEILING(ROUND(R40/(1-'Mi negocio'!$C$27),6),'Mi negocio'!$C$25),0)</f>
        <v>330</v>
      </c>
      <c r="T40" s="33" t="n">
        <f aca="false">IFERROR(CEILING(ROUND(R40/(1-'Mi negocio'!$C$28),6),'Mi negocio'!$C$25),0)</f>
        <v>370</v>
      </c>
      <c r="U40" s="33" t="n">
        <f aca="false">IFERROR(CEILING(ROUND(R40/(1-'Mi negocio'!$C$29),6),'Mi negocio'!$C$25),0)</f>
        <v>435</v>
      </c>
      <c r="V40" s="33" t="n">
        <f aca="false">IFERROR(CEILING(ROUND(R40/(1-'Mi negocio'!$C$30),6),'Mi negocio'!$C$25),0)</f>
        <v>220</v>
      </c>
      <c r="W40" s="15" t="n">
        <f aca="false">S40-R40</f>
        <v>182.654166666667</v>
      </c>
      <c r="X40" s="16" t="n">
        <f aca="false">IFERROR(W40/S40,0)</f>
        <v>0.553497474747475</v>
      </c>
    </row>
    <row r="41" customFormat="false" ht="15" hidden="false" customHeight="false" outlineLevel="0" collapsed="false">
      <c r="A41" s="0" t="n">
        <v>37</v>
      </c>
      <c r="B41" s="22" t="s">
        <v>907</v>
      </c>
      <c r="C41" s="23" t="s">
        <v>1110</v>
      </c>
      <c r="D41" s="13" t="s">
        <v>349</v>
      </c>
      <c r="E41" s="6" t="n">
        <v>2</v>
      </c>
      <c r="F41" s="32" t="n">
        <v>1</v>
      </c>
      <c r="G41" s="32" t="n">
        <v>0.844</v>
      </c>
      <c r="H41" s="15" t="n">
        <f aca="false">SUMIF(Ingredientes!$A$5:$A$859,A41,Ingredientes!$K$5:$K$859)</f>
        <v>130.007506666667</v>
      </c>
      <c r="I41" s="15" t="n">
        <f aca="false">IFERROR(H41/E41,0)</f>
        <v>65.0037533333333</v>
      </c>
      <c r="J41" s="15" t="n">
        <f aca="false">IFERROR(VLOOKUP(D41,Componentes!$A$11:$D$14,4,FALSE()),0)</f>
        <v>12</v>
      </c>
      <c r="K41" s="17" t="n">
        <v>3</v>
      </c>
      <c r="L41" s="6" t="n">
        <v>17</v>
      </c>
      <c r="M41" s="15" t="n">
        <f aca="false">L41/60*'Mi negocio'!$C$23</f>
        <v>22.6666666666667</v>
      </c>
      <c r="N41" s="15" t="n">
        <f aca="false">'Mi negocio'!$C$20</f>
        <v>17.3125</v>
      </c>
      <c r="O41" s="15" t="n">
        <f aca="false">I41+J41+K41+M41+N41</f>
        <v>119.98292</v>
      </c>
      <c r="P41" s="30"/>
      <c r="Q41" s="16" t="n">
        <f aca="false">IF(P41="",'Mi negocio'!$C$24,P41)</f>
        <v>0.05</v>
      </c>
      <c r="R41" s="21" t="n">
        <f aca="false">IFERROR(O41/(1-Q41),0)</f>
        <v>126.297810526316</v>
      </c>
      <c r="S41" s="33" t="n">
        <f aca="false">IFERROR(CEILING(ROUND(R41/(1-'Mi negocio'!$C$27),6),'Mi negocio'!$C$25),0)</f>
        <v>285</v>
      </c>
      <c r="T41" s="33" t="n">
        <f aca="false">IFERROR(CEILING(ROUND(R41/(1-'Mi negocio'!$C$28),6),'Mi negocio'!$C$25),0)</f>
        <v>320</v>
      </c>
      <c r="U41" s="33" t="n">
        <f aca="false">IFERROR(CEILING(ROUND(R41/(1-'Mi negocio'!$C$29),6),'Mi negocio'!$C$25),0)</f>
        <v>375</v>
      </c>
      <c r="V41" s="33" t="n">
        <f aca="false">IFERROR(CEILING(ROUND(R41/(1-'Mi negocio'!$C$30),6),'Mi negocio'!$C$25),0)</f>
        <v>190</v>
      </c>
      <c r="W41" s="15" t="n">
        <f aca="false">S41-R41</f>
        <v>158.702189473684</v>
      </c>
      <c r="X41" s="16" t="n">
        <f aca="false">IFERROR(W41/S41,0)</f>
        <v>0.556849787626962</v>
      </c>
    </row>
    <row r="42" customFormat="false" ht="15" hidden="false" customHeight="false" outlineLevel="0" collapsed="false">
      <c r="A42" s="0" t="n">
        <v>38</v>
      </c>
      <c r="B42" s="22" t="s">
        <v>915</v>
      </c>
      <c r="C42" s="23" t="s">
        <v>1110</v>
      </c>
      <c r="D42" s="13" t="s">
        <v>343</v>
      </c>
      <c r="E42" s="6" t="n">
        <v>2</v>
      </c>
      <c r="F42" s="32" t="n">
        <v>1</v>
      </c>
      <c r="G42" s="32" t="n">
        <v>0.833</v>
      </c>
      <c r="H42" s="15" t="n">
        <f aca="false">SUMIF(Ingredientes!$A$5:$A$859,A42,Ingredientes!$K$5:$K$859)</f>
        <v>146.132775</v>
      </c>
      <c r="I42" s="15" t="n">
        <f aca="false">IFERROR(H42/E42,0)</f>
        <v>73.0663875</v>
      </c>
      <c r="J42" s="15" t="n">
        <f aca="false">IFERROR(VLOOKUP(D42,Componentes!$A$11:$D$14,4,FALSE()),0)</f>
        <v>9</v>
      </c>
      <c r="K42" s="17" t="n">
        <v>3</v>
      </c>
      <c r="L42" s="6" t="n">
        <v>17</v>
      </c>
      <c r="M42" s="15" t="n">
        <f aca="false">L42/60*'Mi negocio'!$C$23</f>
        <v>22.6666666666667</v>
      </c>
      <c r="N42" s="15" t="n">
        <f aca="false">'Mi negocio'!$C$20</f>
        <v>17.3125</v>
      </c>
      <c r="O42" s="15" t="n">
        <f aca="false">I42+J42+K42+M42+N42</f>
        <v>125.045554166667</v>
      </c>
      <c r="P42" s="30"/>
      <c r="Q42" s="16" t="n">
        <f aca="false">IF(P42="",'Mi negocio'!$C$24,P42)</f>
        <v>0.05</v>
      </c>
      <c r="R42" s="21" t="n">
        <f aca="false">IFERROR(O42/(1-Q42),0)</f>
        <v>131.626899122807</v>
      </c>
      <c r="S42" s="33" t="n">
        <f aca="false">IFERROR(CEILING(ROUND(R42/(1-'Mi negocio'!$C$27),6),'Mi negocio'!$C$25),0)</f>
        <v>295</v>
      </c>
      <c r="T42" s="33" t="n">
        <f aca="false">IFERROR(CEILING(ROUND(R42/(1-'Mi negocio'!$C$28),6),'Mi negocio'!$C$25),0)</f>
        <v>330</v>
      </c>
      <c r="U42" s="33" t="n">
        <f aca="false">IFERROR(CEILING(ROUND(R42/(1-'Mi negocio'!$C$29),6),'Mi negocio'!$C$25),0)</f>
        <v>390</v>
      </c>
      <c r="V42" s="33" t="n">
        <f aca="false">IFERROR(CEILING(ROUND(R42/(1-'Mi negocio'!$C$30),6),'Mi negocio'!$C$25),0)</f>
        <v>195</v>
      </c>
      <c r="W42" s="15" t="n">
        <f aca="false">S42-R42</f>
        <v>163.373100877193</v>
      </c>
      <c r="X42" s="16" t="n">
        <f aca="false">IFERROR(W42/S42,0)</f>
        <v>0.553807121617603</v>
      </c>
    </row>
    <row r="43" customFormat="false" ht="15" hidden="false" customHeight="false" outlineLevel="0" collapsed="false">
      <c r="A43" s="0" t="n">
        <v>39</v>
      </c>
      <c r="B43" s="22" t="s">
        <v>923</v>
      </c>
      <c r="C43" s="23" t="s">
        <v>1110</v>
      </c>
      <c r="D43" s="13" t="s">
        <v>346</v>
      </c>
      <c r="E43" s="6" t="n">
        <v>2</v>
      </c>
      <c r="F43" s="32" t="n">
        <v>1</v>
      </c>
      <c r="G43" s="32" t="n">
        <v>1</v>
      </c>
      <c r="H43" s="15" t="n">
        <f aca="false">SUMIF(Ingredientes!$A$5:$A$859,A43,Ingredientes!$K$5:$K$859)</f>
        <v>82.0466666666667</v>
      </c>
      <c r="I43" s="15" t="n">
        <f aca="false">IFERROR(H43/E43,0)</f>
        <v>41.0233333333333</v>
      </c>
      <c r="J43" s="15" t="n">
        <f aca="false">IFERROR(VLOOKUP(D43,Componentes!$A$11:$D$14,4,FALSE()),0)</f>
        <v>16</v>
      </c>
      <c r="K43" s="17" t="n">
        <v>4</v>
      </c>
      <c r="L43" s="6" t="n">
        <v>24</v>
      </c>
      <c r="M43" s="15" t="n">
        <f aca="false">L43/60*'Mi negocio'!$C$23</f>
        <v>32</v>
      </c>
      <c r="N43" s="15" t="n">
        <f aca="false">'Mi negocio'!$C$20</f>
        <v>17.3125</v>
      </c>
      <c r="O43" s="15" t="n">
        <f aca="false">I43+J43+K43+M43+N43</f>
        <v>110.335833333333</v>
      </c>
      <c r="P43" s="30"/>
      <c r="Q43" s="16" t="n">
        <f aca="false">IF(P43="",'Mi negocio'!$C$24,P43)</f>
        <v>0.05</v>
      </c>
      <c r="R43" s="21" t="n">
        <f aca="false">IFERROR(O43/(1-Q43),0)</f>
        <v>116.14298245614</v>
      </c>
      <c r="S43" s="33" t="n">
        <f aca="false">IFERROR(CEILING(ROUND(R43/(1-'Mi negocio'!$C$27),6),'Mi negocio'!$C$25),0)</f>
        <v>260</v>
      </c>
      <c r="T43" s="33" t="n">
        <f aca="false">IFERROR(CEILING(ROUND(R43/(1-'Mi negocio'!$C$28),6),'Mi negocio'!$C$25),0)</f>
        <v>295</v>
      </c>
      <c r="U43" s="33" t="n">
        <f aca="false">IFERROR(CEILING(ROUND(R43/(1-'Mi negocio'!$C$29),6),'Mi negocio'!$C$25),0)</f>
        <v>345</v>
      </c>
      <c r="V43" s="33" t="n">
        <f aca="false">IFERROR(CEILING(ROUND(R43/(1-'Mi negocio'!$C$30),6),'Mi negocio'!$C$25),0)</f>
        <v>175</v>
      </c>
      <c r="W43" s="15" t="n">
        <f aca="false">S43-R43</f>
        <v>143.85701754386</v>
      </c>
      <c r="X43" s="16" t="n">
        <f aca="false">IFERROR(W43/S43,0)</f>
        <v>0.553296221322537</v>
      </c>
    </row>
    <row r="44" customFormat="false" ht="15" hidden="false" customHeight="false" outlineLevel="0" collapsed="false">
      <c r="A44" s="0" t="n">
        <v>40</v>
      </c>
      <c r="B44" s="22" t="s">
        <v>932</v>
      </c>
      <c r="C44" s="23" t="s">
        <v>1110</v>
      </c>
      <c r="D44" s="13" t="s">
        <v>343</v>
      </c>
      <c r="E44" s="6" t="n">
        <v>2</v>
      </c>
      <c r="F44" s="32" t="n">
        <v>1</v>
      </c>
      <c r="G44" s="32" t="n">
        <v>0.933</v>
      </c>
      <c r="H44" s="15" t="n">
        <f aca="false">SUMIF(Ingredientes!$A$5:$A$859,A44,Ingredientes!$K$5:$K$859)</f>
        <v>189.0196</v>
      </c>
      <c r="I44" s="15" t="n">
        <f aca="false">IFERROR(H44/E44,0)</f>
        <v>94.5098</v>
      </c>
      <c r="J44" s="15" t="n">
        <f aca="false">IFERROR(VLOOKUP(D44,Componentes!$A$11:$D$14,4,FALSE()),0)</f>
        <v>9</v>
      </c>
      <c r="K44" s="17" t="n">
        <v>3</v>
      </c>
      <c r="L44" s="6" t="n">
        <v>17</v>
      </c>
      <c r="M44" s="15" t="n">
        <f aca="false">L44/60*'Mi negocio'!$C$23</f>
        <v>22.6666666666667</v>
      </c>
      <c r="N44" s="15" t="n">
        <f aca="false">'Mi negocio'!$C$20</f>
        <v>17.3125</v>
      </c>
      <c r="O44" s="15" t="n">
        <f aca="false">I44+J44+K44+M44+N44</f>
        <v>146.488966666667</v>
      </c>
      <c r="P44" s="30"/>
      <c r="Q44" s="16" t="n">
        <f aca="false">IF(P44="",'Mi negocio'!$C$24,P44)</f>
        <v>0.05</v>
      </c>
      <c r="R44" s="21" t="n">
        <f aca="false">IFERROR(O44/(1-Q44),0)</f>
        <v>154.198912280702</v>
      </c>
      <c r="S44" s="33" t="n">
        <f aca="false">IFERROR(CEILING(ROUND(R44/(1-'Mi negocio'!$C$27),6),'Mi negocio'!$C$25),0)</f>
        <v>345</v>
      </c>
      <c r="T44" s="33" t="n">
        <f aca="false">IFERROR(CEILING(ROUND(R44/(1-'Mi negocio'!$C$28),6),'Mi negocio'!$C$25),0)</f>
        <v>390</v>
      </c>
      <c r="U44" s="33" t="n">
        <f aca="false">IFERROR(CEILING(ROUND(R44/(1-'Mi negocio'!$C$29),6),'Mi negocio'!$C$25),0)</f>
        <v>455</v>
      </c>
      <c r="V44" s="33" t="n">
        <f aca="false">IFERROR(CEILING(ROUND(R44/(1-'Mi negocio'!$C$30),6),'Mi negocio'!$C$25),0)</f>
        <v>230</v>
      </c>
      <c r="W44" s="15" t="n">
        <f aca="false">S44-R44</f>
        <v>190.801087719298</v>
      </c>
      <c r="X44" s="16" t="n">
        <f aca="false">IFERROR(W44/S44,0)</f>
        <v>0.55304663107043</v>
      </c>
    </row>
    <row r="45" customFormat="false" ht="15" hidden="false" customHeight="false" outlineLevel="0" collapsed="false">
      <c r="A45" s="0" t="n">
        <v>41</v>
      </c>
      <c r="B45" s="22" t="s">
        <v>942</v>
      </c>
      <c r="C45" s="23" t="s">
        <v>1111</v>
      </c>
      <c r="D45" s="13" t="s">
        <v>346</v>
      </c>
      <c r="E45" s="6" t="n">
        <v>2</v>
      </c>
      <c r="F45" s="32" t="n">
        <v>1</v>
      </c>
      <c r="G45" s="32" t="n">
        <v>0.778</v>
      </c>
      <c r="H45" s="15" t="n">
        <f aca="false">SUMIF(Ingredientes!$A$5:$A$859,A45,Ingredientes!$K$5:$K$859)</f>
        <v>85.7749333333333</v>
      </c>
      <c r="I45" s="15" t="n">
        <f aca="false">IFERROR(H45/E45,0)</f>
        <v>42.8874666666667</v>
      </c>
      <c r="J45" s="15" t="n">
        <f aca="false">IFERROR(VLOOKUP(D45,Componentes!$A$11:$D$14,4,FALSE()),0)</f>
        <v>16</v>
      </c>
      <c r="K45" s="17" t="n">
        <v>4</v>
      </c>
      <c r="L45" s="6" t="n">
        <v>24</v>
      </c>
      <c r="M45" s="15" t="n">
        <f aca="false">L45/60*'Mi negocio'!$C$23</f>
        <v>32</v>
      </c>
      <c r="N45" s="15" t="n">
        <f aca="false">'Mi negocio'!$C$20</f>
        <v>17.3125</v>
      </c>
      <c r="O45" s="15" t="n">
        <f aca="false">I45+J45+K45+M45+N45</f>
        <v>112.199966666667</v>
      </c>
      <c r="P45" s="30"/>
      <c r="Q45" s="16" t="n">
        <f aca="false">IF(P45="",'Mi negocio'!$C$24,P45)</f>
        <v>0.05</v>
      </c>
      <c r="R45" s="21" t="n">
        <f aca="false">IFERROR(O45/(1-Q45),0)</f>
        <v>118.105228070175</v>
      </c>
      <c r="S45" s="33" t="n">
        <f aca="false">IFERROR(CEILING(ROUND(R45/(1-'Mi negocio'!$C$27),6),'Mi negocio'!$C$25),0)</f>
        <v>265</v>
      </c>
      <c r="T45" s="33" t="n">
        <f aca="false">IFERROR(CEILING(ROUND(R45/(1-'Mi negocio'!$C$28),6),'Mi negocio'!$C$25),0)</f>
        <v>300</v>
      </c>
      <c r="U45" s="33" t="n">
        <f aca="false">IFERROR(CEILING(ROUND(R45/(1-'Mi negocio'!$C$29),6),'Mi negocio'!$C$25),0)</f>
        <v>350</v>
      </c>
      <c r="V45" s="33" t="n">
        <f aca="false">IFERROR(CEILING(ROUND(R45/(1-'Mi negocio'!$C$30),6),'Mi negocio'!$C$25),0)</f>
        <v>175</v>
      </c>
      <c r="W45" s="15" t="n">
        <f aca="false">S45-R45</f>
        <v>146.894771929825</v>
      </c>
      <c r="X45" s="16" t="n">
        <f aca="false">IFERROR(W45/S45,0)</f>
        <v>0.55431989407481</v>
      </c>
    </row>
    <row r="46" customFormat="false" ht="15" hidden="false" customHeight="false" outlineLevel="0" collapsed="false">
      <c r="A46" s="0" t="n">
        <v>42</v>
      </c>
      <c r="B46" s="22" t="s">
        <v>949</v>
      </c>
      <c r="C46" s="23" t="s">
        <v>1111</v>
      </c>
      <c r="D46" s="13" t="s">
        <v>343</v>
      </c>
      <c r="E46" s="6" t="n">
        <v>2</v>
      </c>
      <c r="F46" s="32" t="n">
        <v>1</v>
      </c>
      <c r="G46" s="32" t="n">
        <v>0.824</v>
      </c>
      <c r="H46" s="15" t="n">
        <f aca="false">SUMIF(Ingredientes!$A$5:$A$859,A46,Ingredientes!$K$5:$K$859)</f>
        <v>144.916426666667</v>
      </c>
      <c r="I46" s="15" t="n">
        <f aca="false">IFERROR(H46/E46,0)</f>
        <v>72.4582133333333</v>
      </c>
      <c r="J46" s="15" t="n">
        <f aca="false">IFERROR(VLOOKUP(D46,Componentes!$A$11:$D$14,4,FALSE()),0)</f>
        <v>9</v>
      </c>
      <c r="K46" s="17" t="n">
        <v>3</v>
      </c>
      <c r="L46" s="6" t="n">
        <v>17</v>
      </c>
      <c r="M46" s="15" t="n">
        <f aca="false">L46/60*'Mi negocio'!$C$23</f>
        <v>22.6666666666667</v>
      </c>
      <c r="N46" s="15" t="n">
        <f aca="false">'Mi negocio'!$C$20</f>
        <v>17.3125</v>
      </c>
      <c r="O46" s="15" t="n">
        <f aca="false">I46+J46+K46+M46+N46</f>
        <v>124.43738</v>
      </c>
      <c r="P46" s="30"/>
      <c r="Q46" s="16" t="n">
        <f aca="false">IF(P46="",'Mi negocio'!$C$24,P46)</f>
        <v>0.05</v>
      </c>
      <c r="R46" s="21" t="n">
        <f aca="false">IFERROR(O46/(1-Q46),0)</f>
        <v>130.986715789474</v>
      </c>
      <c r="S46" s="33" t="n">
        <f aca="false">IFERROR(CEILING(ROUND(R46/(1-'Mi negocio'!$C$27),6),'Mi negocio'!$C$25),0)</f>
        <v>295</v>
      </c>
      <c r="T46" s="33" t="n">
        <f aca="false">IFERROR(CEILING(ROUND(R46/(1-'Mi negocio'!$C$28),6),'Mi negocio'!$C$25),0)</f>
        <v>330</v>
      </c>
      <c r="U46" s="33" t="n">
        <f aca="false">IFERROR(CEILING(ROUND(R46/(1-'Mi negocio'!$C$29),6),'Mi negocio'!$C$25),0)</f>
        <v>390</v>
      </c>
      <c r="V46" s="33" t="n">
        <f aca="false">IFERROR(CEILING(ROUND(R46/(1-'Mi negocio'!$C$30),6),'Mi negocio'!$C$25),0)</f>
        <v>195</v>
      </c>
      <c r="W46" s="15" t="n">
        <f aca="false">S46-R46</f>
        <v>164.013284210526</v>
      </c>
      <c r="X46" s="16" t="n">
        <f aca="false">IFERROR(W46/S46,0)</f>
        <v>0.555977234611954</v>
      </c>
    </row>
    <row r="47" customFormat="false" ht="15" hidden="false" customHeight="false" outlineLevel="0" collapsed="false">
      <c r="A47" s="0" t="n">
        <v>43</v>
      </c>
      <c r="B47" s="22" t="s">
        <v>958</v>
      </c>
      <c r="C47" s="23" t="s">
        <v>1111</v>
      </c>
      <c r="D47" s="13" t="s">
        <v>343</v>
      </c>
      <c r="E47" s="6" t="n">
        <v>2</v>
      </c>
      <c r="F47" s="32" t="n">
        <v>1</v>
      </c>
      <c r="G47" s="32" t="n">
        <v>0.824</v>
      </c>
      <c r="H47" s="15" t="n">
        <f aca="false">SUMIF(Ingredientes!$A$5:$A$859,A47,Ingredientes!$K$5:$K$859)</f>
        <v>120.03116</v>
      </c>
      <c r="I47" s="15" t="n">
        <f aca="false">IFERROR(H47/E47,0)</f>
        <v>60.01558</v>
      </c>
      <c r="J47" s="15" t="n">
        <f aca="false">IFERROR(VLOOKUP(D47,Componentes!$A$11:$D$14,4,FALSE()),0)</f>
        <v>9</v>
      </c>
      <c r="K47" s="17" t="n">
        <v>3</v>
      </c>
      <c r="L47" s="6" t="n">
        <v>17</v>
      </c>
      <c r="M47" s="15" t="n">
        <f aca="false">L47/60*'Mi negocio'!$C$23</f>
        <v>22.6666666666667</v>
      </c>
      <c r="N47" s="15" t="n">
        <f aca="false">'Mi negocio'!$C$20</f>
        <v>17.3125</v>
      </c>
      <c r="O47" s="15" t="n">
        <f aca="false">I47+J47+K47+M47+N47</f>
        <v>111.994746666667</v>
      </c>
      <c r="P47" s="30"/>
      <c r="Q47" s="16" t="n">
        <f aca="false">IF(P47="",'Mi negocio'!$C$24,P47)</f>
        <v>0.05</v>
      </c>
      <c r="R47" s="21" t="n">
        <f aca="false">IFERROR(O47/(1-Q47),0)</f>
        <v>117.889207017544</v>
      </c>
      <c r="S47" s="33" t="n">
        <f aca="false">IFERROR(CEILING(ROUND(R47/(1-'Mi negocio'!$C$27),6),'Mi negocio'!$C$25),0)</f>
        <v>265</v>
      </c>
      <c r="T47" s="33" t="n">
        <f aca="false">IFERROR(CEILING(ROUND(R47/(1-'Mi negocio'!$C$28),6),'Mi negocio'!$C$25),0)</f>
        <v>295</v>
      </c>
      <c r="U47" s="33" t="n">
        <f aca="false">IFERROR(CEILING(ROUND(R47/(1-'Mi negocio'!$C$29),6),'Mi negocio'!$C$25),0)</f>
        <v>350</v>
      </c>
      <c r="V47" s="33" t="n">
        <f aca="false">IFERROR(CEILING(ROUND(R47/(1-'Mi negocio'!$C$30),6),'Mi negocio'!$C$25),0)</f>
        <v>175</v>
      </c>
      <c r="W47" s="15" t="n">
        <f aca="false">S47-R47</f>
        <v>147.110792982456</v>
      </c>
      <c r="X47" s="16" t="n">
        <f aca="false">IFERROR(W47/S47,0)</f>
        <v>0.555135067858325</v>
      </c>
    </row>
    <row r="48" customFormat="false" ht="15" hidden="false" customHeight="false" outlineLevel="0" collapsed="false">
      <c r="A48" s="0" t="n">
        <v>44</v>
      </c>
      <c r="B48" s="22" t="s">
        <v>967</v>
      </c>
      <c r="C48" s="23" t="s">
        <v>1111</v>
      </c>
      <c r="D48" s="13" t="s">
        <v>352</v>
      </c>
      <c r="E48" s="6" t="n">
        <v>2</v>
      </c>
      <c r="F48" s="32" t="n">
        <v>1</v>
      </c>
      <c r="G48" s="32" t="n">
        <v>1</v>
      </c>
      <c r="H48" s="15" t="n">
        <f aca="false">SUMIF(Ingredientes!$A$5:$A$859,A48,Ingredientes!$K$5:$K$859)</f>
        <v>98.9333333333333</v>
      </c>
      <c r="I48" s="15" t="n">
        <f aca="false">IFERROR(H48/E48,0)</f>
        <v>49.4666666666667</v>
      </c>
      <c r="J48" s="15" t="n">
        <f aca="false">IFERROR(VLOOKUP(D48,Componentes!$A$11:$D$14,4,FALSE()),0)</f>
        <v>11</v>
      </c>
      <c r="K48" s="17" t="n">
        <v>4</v>
      </c>
      <c r="L48" s="6" t="n">
        <v>24</v>
      </c>
      <c r="M48" s="15" t="n">
        <f aca="false">L48/60*'Mi negocio'!$C$23</f>
        <v>32</v>
      </c>
      <c r="N48" s="15" t="n">
        <f aca="false">'Mi negocio'!$C$20</f>
        <v>17.3125</v>
      </c>
      <c r="O48" s="15" t="n">
        <f aca="false">I48+J48+K48+M48+N48</f>
        <v>113.779166666667</v>
      </c>
      <c r="P48" s="30"/>
      <c r="Q48" s="16" t="n">
        <f aca="false">IF(P48="",'Mi negocio'!$C$24,P48)</f>
        <v>0.05</v>
      </c>
      <c r="R48" s="21" t="n">
        <f aca="false">IFERROR(O48/(1-Q48),0)</f>
        <v>119.767543859649</v>
      </c>
      <c r="S48" s="33" t="n">
        <f aca="false">IFERROR(CEILING(ROUND(R48/(1-'Mi negocio'!$C$27),6),'Mi negocio'!$C$25),0)</f>
        <v>270</v>
      </c>
      <c r="T48" s="33" t="n">
        <f aca="false">IFERROR(CEILING(ROUND(R48/(1-'Mi negocio'!$C$28),6),'Mi negocio'!$C$25),0)</f>
        <v>300</v>
      </c>
      <c r="U48" s="33" t="n">
        <f aca="false">IFERROR(CEILING(ROUND(R48/(1-'Mi negocio'!$C$29),6),'Mi negocio'!$C$25),0)</f>
        <v>355</v>
      </c>
      <c r="V48" s="33" t="n">
        <f aca="false">IFERROR(CEILING(ROUND(R48/(1-'Mi negocio'!$C$30),6),'Mi negocio'!$C$25),0)</f>
        <v>180</v>
      </c>
      <c r="W48" s="15" t="n">
        <f aca="false">S48-R48</f>
        <v>150.232456140351</v>
      </c>
      <c r="X48" s="16" t="n">
        <f aca="false">IFERROR(W48/S48,0)</f>
        <v>0.556416504223522</v>
      </c>
    </row>
    <row r="49" customFormat="false" ht="15" hidden="false" customHeight="false" outlineLevel="0" collapsed="false">
      <c r="A49" s="0" t="n">
        <v>45</v>
      </c>
      <c r="B49" s="22" t="s">
        <v>975</v>
      </c>
      <c r="C49" s="23" t="s">
        <v>1111</v>
      </c>
      <c r="D49" s="13" t="s">
        <v>346</v>
      </c>
      <c r="E49" s="6" t="n">
        <v>2</v>
      </c>
      <c r="F49" s="32" t="n">
        <v>1</v>
      </c>
      <c r="G49" s="32" t="n">
        <v>0.933</v>
      </c>
      <c r="H49" s="15" t="n">
        <f aca="false">SUMIF(Ingredientes!$A$5:$A$859,A49,Ingredientes!$K$5:$K$859)</f>
        <v>98.15553</v>
      </c>
      <c r="I49" s="15" t="n">
        <f aca="false">IFERROR(H49/E49,0)</f>
        <v>49.077765</v>
      </c>
      <c r="J49" s="15" t="n">
        <f aca="false">IFERROR(VLOOKUP(D49,Componentes!$A$11:$D$14,4,FALSE()),0)</f>
        <v>16</v>
      </c>
      <c r="K49" s="17" t="n">
        <v>3</v>
      </c>
      <c r="L49" s="6" t="n">
        <v>17</v>
      </c>
      <c r="M49" s="15" t="n">
        <f aca="false">L49/60*'Mi negocio'!$C$23</f>
        <v>22.6666666666667</v>
      </c>
      <c r="N49" s="15" t="n">
        <f aca="false">'Mi negocio'!$C$20</f>
        <v>17.3125</v>
      </c>
      <c r="O49" s="15" t="n">
        <f aca="false">I49+J49+K49+M49+N49</f>
        <v>108.056931666667</v>
      </c>
      <c r="P49" s="30"/>
      <c r="Q49" s="16" t="n">
        <f aca="false">IF(P49="",'Mi negocio'!$C$24,P49)</f>
        <v>0.05</v>
      </c>
      <c r="R49" s="21" t="n">
        <f aca="false">IFERROR(O49/(1-Q49),0)</f>
        <v>113.744138596491</v>
      </c>
      <c r="S49" s="33" t="n">
        <f aca="false">IFERROR(CEILING(ROUND(R49/(1-'Mi negocio'!$C$27),6),'Mi negocio'!$C$25),0)</f>
        <v>255</v>
      </c>
      <c r="T49" s="33" t="n">
        <f aca="false">IFERROR(CEILING(ROUND(R49/(1-'Mi negocio'!$C$28),6),'Mi negocio'!$C$25),0)</f>
        <v>285</v>
      </c>
      <c r="U49" s="33" t="n">
        <f aca="false">IFERROR(CEILING(ROUND(R49/(1-'Mi negocio'!$C$29),6),'Mi negocio'!$C$25),0)</f>
        <v>335</v>
      </c>
      <c r="V49" s="33" t="n">
        <f aca="false">IFERROR(CEILING(ROUND(R49/(1-'Mi negocio'!$C$30),6),'Mi negocio'!$C$25),0)</f>
        <v>170</v>
      </c>
      <c r="W49" s="15" t="n">
        <f aca="false">S49-R49</f>
        <v>141.255861403509</v>
      </c>
      <c r="X49" s="16" t="n">
        <f aca="false">IFERROR(W49/S49,0)</f>
        <v>0.553944554523564</v>
      </c>
    </row>
    <row r="50" customFormat="false" ht="15" hidden="false" customHeight="false" outlineLevel="0" collapsed="false">
      <c r="A50" s="0" t="n">
        <v>46</v>
      </c>
      <c r="B50" s="22" t="s">
        <v>984</v>
      </c>
      <c r="C50" s="23" t="s">
        <v>1111</v>
      </c>
      <c r="D50" s="13" t="s">
        <v>343</v>
      </c>
      <c r="E50" s="6" t="n">
        <v>2</v>
      </c>
      <c r="F50" s="32" t="n">
        <v>0.32</v>
      </c>
      <c r="G50" s="32" t="n">
        <v>1</v>
      </c>
      <c r="H50" s="15" t="n">
        <f aca="false">SUMIF(Ingredientes!$A$5:$A$859,A50,Ingredientes!$K$5:$K$859)</f>
        <v>149.411</v>
      </c>
      <c r="I50" s="15" t="n">
        <f aca="false">IFERROR(H50/E50,0)</f>
        <v>74.7055</v>
      </c>
      <c r="J50" s="15" t="n">
        <f aca="false">IFERROR(VLOOKUP(D50,Componentes!$A$11:$D$14,4,FALSE()),0)</f>
        <v>9</v>
      </c>
      <c r="K50" s="17" t="n">
        <v>3</v>
      </c>
      <c r="L50" s="6" t="n">
        <v>17</v>
      </c>
      <c r="M50" s="15" t="n">
        <f aca="false">L50/60*'Mi negocio'!$C$23</f>
        <v>22.6666666666667</v>
      </c>
      <c r="N50" s="15" t="n">
        <f aca="false">'Mi negocio'!$C$20</f>
        <v>17.3125</v>
      </c>
      <c r="O50" s="15" t="n">
        <f aca="false">I50+J50+K50+M50+N50</f>
        <v>126.684666666667</v>
      </c>
      <c r="P50" s="30"/>
      <c r="Q50" s="16" t="n">
        <f aca="false">IF(P50="",'Mi negocio'!$C$24,P50)</f>
        <v>0.05</v>
      </c>
      <c r="R50" s="21" t="n">
        <f aca="false">IFERROR(O50/(1-Q50),0)</f>
        <v>133.352280701754</v>
      </c>
      <c r="S50" s="33" t="n">
        <f aca="false">IFERROR(CEILING(ROUND(R50/(1-'Mi negocio'!$C$27),6),'Mi negocio'!$C$25),0)</f>
        <v>300</v>
      </c>
      <c r="T50" s="33" t="n">
        <f aca="false">IFERROR(CEILING(ROUND(R50/(1-'Mi negocio'!$C$28),6),'Mi negocio'!$C$25),0)</f>
        <v>335</v>
      </c>
      <c r="U50" s="33" t="n">
        <f aca="false">IFERROR(CEILING(ROUND(R50/(1-'Mi negocio'!$C$29),6),'Mi negocio'!$C$25),0)</f>
        <v>395</v>
      </c>
      <c r="V50" s="33" t="n">
        <f aca="false">IFERROR(CEILING(ROUND(R50/(1-'Mi negocio'!$C$30),6),'Mi negocio'!$C$25),0)</f>
        <v>200</v>
      </c>
      <c r="W50" s="15" t="n">
        <f aca="false">S50-R50</f>
        <v>166.647719298246</v>
      </c>
      <c r="X50" s="16" t="n">
        <f aca="false">IFERROR(W50/S50,0)</f>
        <v>0.555492397660819</v>
      </c>
    </row>
    <row r="51" customFormat="false" ht="15" hidden="false" customHeight="false" outlineLevel="0" collapsed="false">
      <c r="A51" s="0" t="n">
        <v>47</v>
      </c>
      <c r="B51" s="22" t="s">
        <v>994</v>
      </c>
      <c r="C51" s="23" t="s">
        <v>1111</v>
      </c>
      <c r="D51" s="13" t="s">
        <v>343</v>
      </c>
      <c r="E51" s="6" t="n">
        <v>2</v>
      </c>
      <c r="F51" s="32" t="n">
        <v>0.275</v>
      </c>
      <c r="G51" s="32" t="n">
        <v>0.778</v>
      </c>
      <c r="H51" s="15" t="n">
        <f aca="false">SUMIF(Ingredientes!$A$5:$A$859,A51,Ingredientes!$K$5:$K$859)</f>
        <v>150.193778571429</v>
      </c>
      <c r="I51" s="15" t="n">
        <f aca="false">IFERROR(H51/E51,0)</f>
        <v>75.0968892857143</v>
      </c>
      <c r="J51" s="15" t="n">
        <f aca="false">IFERROR(VLOOKUP(D51,Componentes!$A$11:$D$14,4,FALSE()),0)</f>
        <v>9</v>
      </c>
      <c r="K51" s="17" t="n">
        <v>4</v>
      </c>
      <c r="L51" s="6" t="n">
        <v>24</v>
      </c>
      <c r="M51" s="15" t="n">
        <f aca="false">L51/60*'Mi negocio'!$C$23</f>
        <v>32</v>
      </c>
      <c r="N51" s="15" t="n">
        <f aca="false">'Mi negocio'!$C$20</f>
        <v>17.3125</v>
      </c>
      <c r="O51" s="15" t="n">
        <f aca="false">I51+J51+K51+M51+N51</f>
        <v>137.409389285714</v>
      </c>
      <c r="P51" s="30"/>
      <c r="Q51" s="16" t="n">
        <f aca="false">IF(P51="",'Mi negocio'!$C$24,P51)</f>
        <v>0.05</v>
      </c>
      <c r="R51" s="21" t="n">
        <f aca="false">IFERROR(O51/(1-Q51),0)</f>
        <v>144.641462406015</v>
      </c>
      <c r="S51" s="33" t="n">
        <f aca="false">IFERROR(CEILING(ROUND(R51/(1-'Mi negocio'!$C$27),6),'Mi negocio'!$C$25),0)</f>
        <v>325</v>
      </c>
      <c r="T51" s="33" t="n">
        <f aca="false">IFERROR(CEILING(ROUND(R51/(1-'Mi negocio'!$C$28),6),'Mi negocio'!$C$25),0)</f>
        <v>365</v>
      </c>
      <c r="U51" s="33" t="n">
        <f aca="false">IFERROR(CEILING(ROUND(R51/(1-'Mi negocio'!$C$29),6),'Mi negocio'!$C$25),0)</f>
        <v>430</v>
      </c>
      <c r="V51" s="33" t="n">
        <f aca="false">IFERROR(CEILING(ROUND(R51/(1-'Mi negocio'!$C$30),6),'Mi negocio'!$C$25),0)</f>
        <v>215</v>
      </c>
      <c r="W51" s="15" t="n">
        <f aca="false">S51-R51</f>
        <v>180.358537593985</v>
      </c>
      <c r="X51" s="16" t="n">
        <f aca="false">IFERROR(W51/S51,0)</f>
        <v>0.554949346443031</v>
      </c>
    </row>
    <row r="52" customFormat="false" ht="15" hidden="false" customHeight="false" outlineLevel="0" collapsed="false">
      <c r="A52" s="0" t="n">
        <v>48</v>
      </c>
      <c r="B52" s="22" t="s">
        <v>1004</v>
      </c>
      <c r="C52" s="23" t="s">
        <v>1111</v>
      </c>
      <c r="D52" s="13" t="s">
        <v>349</v>
      </c>
      <c r="E52" s="6" t="n">
        <v>2</v>
      </c>
      <c r="F52" s="32" t="n">
        <v>0.285</v>
      </c>
      <c r="G52" s="32" t="n">
        <v>0.765</v>
      </c>
      <c r="H52" s="15" t="n">
        <f aca="false">SUMIF(Ingredientes!$A$5:$A$859,A52,Ingredientes!$K$5:$K$859)</f>
        <v>127.595778571429</v>
      </c>
      <c r="I52" s="15" t="n">
        <f aca="false">IFERROR(H52/E52,0)</f>
        <v>63.7978892857143</v>
      </c>
      <c r="J52" s="15" t="n">
        <f aca="false">IFERROR(VLOOKUP(D52,Componentes!$A$11:$D$14,4,FALSE()),0)</f>
        <v>12</v>
      </c>
      <c r="K52" s="17" t="n">
        <v>4</v>
      </c>
      <c r="L52" s="6" t="n">
        <v>24</v>
      </c>
      <c r="M52" s="15" t="n">
        <f aca="false">L52/60*'Mi negocio'!$C$23</f>
        <v>32</v>
      </c>
      <c r="N52" s="15" t="n">
        <f aca="false">'Mi negocio'!$C$20</f>
        <v>17.3125</v>
      </c>
      <c r="O52" s="15" t="n">
        <f aca="false">I52+J52+K52+M52+N52</f>
        <v>129.110389285714</v>
      </c>
      <c r="P52" s="30"/>
      <c r="Q52" s="16" t="n">
        <f aca="false">IF(P52="",'Mi negocio'!$C$24,P52)</f>
        <v>0.05</v>
      </c>
      <c r="R52" s="21" t="n">
        <f aca="false">IFERROR(O52/(1-Q52),0)</f>
        <v>135.905672932331</v>
      </c>
      <c r="S52" s="33" t="n">
        <f aca="false">IFERROR(CEILING(ROUND(R52/(1-'Mi negocio'!$C$27),6),'Mi negocio'!$C$25),0)</f>
        <v>305</v>
      </c>
      <c r="T52" s="33" t="n">
        <f aca="false">IFERROR(CEILING(ROUND(R52/(1-'Mi negocio'!$C$28),6),'Mi negocio'!$C$25),0)</f>
        <v>340</v>
      </c>
      <c r="U52" s="33" t="n">
        <f aca="false">IFERROR(CEILING(ROUND(R52/(1-'Mi negocio'!$C$29),6),'Mi negocio'!$C$25),0)</f>
        <v>400</v>
      </c>
      <c r="V52" s="33" t="n">
        <f aca="false">IFERROR(CEILING(ROUND(R52/(1-'Mi negocio'!$C$30),6),'Mi negocio'!$C$25),0)</f>
        <v>200</v>
      </c>
      <c r="W52" s="15" t="n">
        <f aca="false">S52-R52</f>
        <v>169.094327067669</v>
      </c>
      <c r="X52" s="16" t="n">
        <f aca="false">IFERROR(W52/S52,0)</f>
        <v>0.554407629730063</v>
      </c>
    </row>
    <row r="53" customFormat="false" ht="15" hidden="false" customHeight="false" outlineLevel="0" collapsed="false">
      <c r="A53" s="0" t="n">
        <v>49</v>
      </c>
      <c r="B53" s="22" t="s">
        <v>1010</v>
      </c>
      <c r="C53" s="23" t="s">
        <v>1111</v>
      </c>
      <c r="D53" s="13" t="s">
        <v>343</v>
      </c>
      <c r="E53" s="6" t="n">
        <v>2</v>
      </c>
      <c r="F53" s="32" t="n">
        <v>0.283</v>
      </c>
      <c r="G53" s="32" t="n">
        <v>0.875</v>
      </c>
      <c r="H53" s="15" t="n">
        <f aca="false">SUMIF(Ingredientes!$A$5:$A$859,A53,Ingredientes!$K$5:$K$859)</f>
        <v>186.563023333333</v>
      </c>
      <c r="I53" s="15" t="n">
        <f aca="false">IFERROR(H53/E53,0)</f>
        <v>93.2815116666667</v>
      </c>
      <c r="J53" s="15" t="n">
        <f aca="false">IFERROR(VLOOKUP(D53,Componentes!$A$11:$D$14,4,FALSE()),0)</f>
        <v>9</v>
      </c>
      <c r="K53" s="17" t="n">
        <v>3</v>
      </c>
      <c r="L53" s="6" t="n">
        <v>17</v>
      </c>
      <c r="M53" s="15" t="n">
        <f aca="false">L53/60*'Mi negocio'!$C$23</f>
        <v>22.6666666666667</v>
      </c>
      <c r="N53" s="15" t="n">
        <f aca="false">'Mi negocio'!$C$20</f>
        <v>17.3125</v>
      </c>
      <c r="O53" s="15" t="n">
        <f aca="false">I53+J53+K53+M53+N53</f>
        <v>145.260678333333</v>
      </c>
      <c r="P53" s="30"/>
      <c r="Q53" s="16" t="n">
        <f aca="false">IF(P53="",'Mi negocio'!$C$24,P53)</f>
        <v>0.05</v>
      </c>
      <c r="R53" s="21" t="n">
        <f aca="false">IFERROR(O53/(1-Q53),0)</f>
        <v>152.905977192982</v>
      </c>
      <c r="S53" s="33" t="n">
        <f aca="false">IFERROR(CEILING(ROUND(R53/(1-'Mi negocio'!$C$27),6),'Mi negocio'!$C$25),0)</f>
        <v>340</v>
      </c>
      <c r="T53" s="33" t="n">
        <f aca="false">IFERROR(CEILING(ROUND(R53/(1-'Mi negocio'!$C$28),6),'Mi negocio'!$C$25),0)</f>
        <v>385</v>
      </c>
      <c r="U53" s="33" t="n">
        <f aca="false">IFERROR(CEILING(ROUND(R53/(1-'Mi negocio'!$C$29),6),'Mi negocio'!$C$25),0)</f>
        <v>450</v>
      </c>
      <c r="V53" s="33" t="n">
        <f aca="false">IFERROR(CEILING(ROUND(R53/(1-'Mi negocio'!$C$30),6),'Mi negocio'!$C$25),0)</f>
        <v>225</v>
      </c>
      <c r="W53" s="15" t="n">
        <f aca="false">S53-R53</f>
        <v>187.094022807018</v>
      </c>
      <c r="X53" s="16" t="n">
        <f aca="false">IFERROR(W53/S53,0)</f>
        <v>0.550276537667699</v>
      </c>
    </row>
    <row r="54" customFormat="false" ht="15" hidden="false" customHeight="false" outlineLevel="0" collapsed="false">
      <c r="A54" s="0" t="n">
        <v>50</v>
      </c>
      <c r="B54" s="22" t="s">
        <v>1021</v>
      </c>
      <c r="C54" s="23" t="s">
        <v>1111</v>
      </c>
      <c r="D54" s="13" t="s">
        <v>349</v>
      </c>
      <c r="E54" s="6" t="n">
        <v>2</v>
      </c>
      <c r="F54" s="32" t="n">
        <v>0.321</v>
      </c>
      <c r="G54" s="32" t="n">
        <v>0.938</v>
      </c>
      <c r="H54" s="15" t="n">
        <f aca="false">SUMIF(Ingredientes!$A$5:$A$859,A54,Ingredientes!$K$5:$K$859)</f>
        <v>141.38235</v>
      </c>
      <c r="I54" s="15" t="n">
        <f aca="false">IFERROR(H54/E54,0)</f>
        <v>70.691175</v>
      </c>
      <c r="J54" s="15" t="n">
        <f aca="false">IFERROR(VLOOKUP(D54,Componentes!$A$11:$D$14,4,FALSE()),0)</f>
        <v>12</v>
      </c>
      <c r="K54" s="17" t="n">
        <v>3</v>
      </c>
      <c r="L54" s="6" t="n">
        <v>17</v>
      </c>
      <c r="M54" s="15" t="n">
        <f aca="false">L54/60*'Mi negocio'!$C$23</f>
        <v>22.6666666666667</v>
      </c>
      <c r="N54" s="15" t="n">
        <f aca="false">'Mi negocio'!$C$20</f>
        <v>17.3125</v>
      </c>
      <c r="O54" s="15" t="n">
        <f aca="false">I54+J54+K54+M54+N54</f>
        <v>125.670341666667</v>
      </c>
      <c r="P54" s="30"/>
      <c r="Q54" s="16" t="n">
        <f aca="false">IF(P54="",'Mi negocio'!$C$24,P54)</f>
        <v>0.05</v>
      </c>
      <c r="R54" s="21" t="n">
        <f aca="false">IFERROR(O54/(1-Q54),0)</f>
        <v>132.284570175439</v>
      </c>
      <c r="S54" s="33" t="n">
        <f aca="false">IFERROR(CEILING(ROUND(R54/(1-'Mi negocio'!$C$27),6),'Mi negocio'!$C$25),0)</f>
        <v>295</v>
      </c>
      <c r="T54" s="33" t="n">
        <f aca="false">IFERROR(CEILING(ROUND(R54/(1-'Mi negocio'!$C$28),6),'Mi negocio'!$C$25),0)</f>
        <v>335</v>
      </c>
      <c r="U54" s="33" t="n">
        <f aca="false">IFERROR(CEILING(ROUND(R54/(1-'Mi negocio'!$C$29),6),'Mi negocio'!$C$25),0)</f>
        <v>390</v>
      </c>
      <c r="V54" s="33" t="n">
        <f aca="false">IFERROR(CEILING(ROUND(R54/(1-'Mi negocio'!$C$30),6),'Mi negocio'!$C$25),0)</f>
        <v>195</v>
      </c>
      <c r="W54" s="15" t="n">
        <f aca="false">S54-R54</f>
        <v>162.715429824561</v>
      </c>
      <c r="X54" s="16" t="n">
        <f aca="false">IFERROR(W54/S54,0)</f>
        <v>0.551577728218852</v>
      </c>
    </row>
    <row r="55" customFormat="false" ht="15" hidden="false" customHeight="false" outlineLevel="0" collapsed="false">
      <c r="A55" s="0" t="n">
        <v>51</v>
      </c>
      <c r="B55" s="22" t="s">
        <v>1035</v>
      </c>
      <c r="C55" s="23" t="s">
        <v>1111</v>
      </c>
      <c r="D55" s="13" t="s">
        <v>343</v>
      </c>
      <c r="E55" s="6" t="n">
        <v>2</v>
      </c>
      <c r="F55" s="32" t="n">
        <v>0.29</v>
      </c>
      <c r="G55" s="32" t="n">
        <v>0.933</v>
      </c>
      <c r="H55" s="15" t="n">
        <f aca="false">SUMIF(Ingredientes!$A$5:$A$859,A55,Ingredientes!$K$5:$K$859)</f>
        <v>509.47823</v>
      </c>
      <c r="I55" s="15" t="n">
        <f aca="false">IFERROR(H55/E55,0)</f>
        <v>254.739115</v>
      </c>
      <c r="J55" s="15" t="n">
        <f aca="false">IFERROR(VLOOKUP(D55,Componentes!$A$11:$D$14,4,FALSE()),0)</f>
        <v>9</v>
      </c>
      <c r="K55" s="17" t="n">
        <v>4</v>
      </c>
      <c r="L55" s="6" t="n">
        <v>24</v>
      </c>
      <c r="M55" s="15" t="n">
        <f aca="false">L55/60*'Mi negocio'!$C$23</f>
        <v>32</v>
      </c>
      <c r="N55" s="15" t="n">
        <f aca="false">'Mi negocio'!$C$20</f>
        <v>17.3125</v>
      </c>
      <c r="O55" s="15" t="n">
        <f aca="false">I55+J55+K55+M55+N55</f>
        <v>317.051615</v>
      </c>
      <c r="P55" s="30"/>
      <c r="Q55" s="16" t="n">
        <f aca="false">IF(P55="",'Mi negocio'!$C$24,P55)</f>
        <v>0.05</v>
      </c>
      <c r="R55" s="21" t="n">
        <f aca="false">IFERROR(O55/(1-Q55),0)</f>
        <v>333.738542105263</v>
      </c>
      <c r="S55" s="33" t="n">
        <f aca="false">IFERROR(CEILING(ROUND(R55/(1-'Mi negocio'!$C$27),6),'Mi negocio'!$C$25),0)</f>
        <v>745</v>
      </c>
      <c r="T55" s="33" t="n">
        <f aca="false">IFERROR(CEILING(ROUND(R55/(1-'Mi negocio'!$C$28),6),'Mi negocio'!$C$25),0)</f>
        <v>835</v>
      </c>
      <c r="U55" s="33" t="n">
        <f aca="false">IFERROR(CEILING(ROUND(R55/(1-'Mi negocio'!$C$29),6),'Mi negocio'!$C$25),0)</f>
        <v>985</v>
      </c>
      <c r="V55" s="33" t="n">
        <f aca="false">IFERROR(CEILING(ROUND(R55/(1-'Mi negocio'!$C$30),6),'Mi negocio'!$C$25),0)</f>
        <v>495</v>
      </c>
      <c r="W55" s="15" t="n">
        <f aca="false">S55-R55</f>
        <v>411.261457894737</v>
      </c>
      <c r="X55" s="16" t="n">
        <f aca="false">IFERROR(W55/S55,0)</f>
        <v>0.552028802543271</v>
      </c>
    </row>
    <row r="57" customFormat="false" ht="15" hidden="false" customHeight="false" outlineLevel="0" collapsed="false">
      <c r="B57" s="7" t="s">
        <v>1112</v>
      </c>
    </row>
  </sheetData>
  <autoFilter ref="A4:X55"/>
  <conditionalFormatting sqref="R5:R55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conditionalFormatting sqref="X5:X55">
    <cfRule type="expression" priority="3" aboveAverage="0" equalAverage="0" bottom="0" percent="0" rank="0" text="" dxfId="7">
      <formula>X5&lt;'Mi negocio'!$C$27-0.02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2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1113</v>
      </c>
    </row>
    <row r="2" customFormat="false" ht="15" hidden="false" customHeight="false" outlineLevel="0" collapsed="false">
      <c r="A2" s="7" t="s">
        <v>1114</v>
      </c>
    </row>
    <row r="4" customFormat="false" ht="30" hidden="false" customHeight="true" outlineLevel="0" collapsed="false">
      <c r="A4" s="8" t="s">
        <v>1115</v>
      </c>
      <c r="B4" s="8" t="s">
        <v>1116</v>
      </c>
      <c r="C4" s="8" t="s">
        <v>1117</v>
      </c>
      <c r="D4" s="8" t="s">
        <v>370</v>
      </c>
      <c r="E4" s="8" t="s">
        <v>1118</v>
      </c>
      <c r="F4" s="8" t="s">
        <v>1119</v>
      </c>
      <c r="G4" s="8" t="s">
        <v>1120</v>
      </c>
      <c r="H4" s="8" t="s">
        <v>1121</v>
      </c>
      <c r="I4" s="8" t="s">
        <v>1122</v>
      </c>
      <c r="J4" s="8" t="s">
        <v>1123</v>
      </c>
      <c r="K4" s="8" t="s">
        <v>1124</v>
      </c>
      <c r="L4" s="8" t="s">
        <v>1125</v>
      </c>
    </row>
    <row r="5" customFormat="false" ht="15" hidden="false" customHeight="false" outlineLevel="0" collapsed="false">
      <c r="A5" s="34" t="n">
        <v>46298</v>
      </c>
      <c r="B5" s="6" t="s">
        <v>1126</v>
      </c>
      <c r="C5" s="6" t="n">
        <v>1</v>
      </c>
      <c r="D5" s="0" t="str">
        <f aca="false">IF(C5="","",IFERROR(VLOOKUP(C5,'Recetas y precios'!$A$5:$B$55,2,FALSE()),""))</f>
        <v>Tiramisú Clásico de Cascada Douyin (Pull-Me-Up Lava Tiramisu)</v>
      </c>
      <c r="E5" s="6" t="n">
        <v>10</v>
      </c>
      <c r="F5" s="6" t="n">
        <v>9</v>
      </c>
      <c r="G5" s="6" t="n">
        <v>1</v>
      </c>
      <c r="H5" s="16" t="n">
        <f aca="false">IF((F5+G5)&gt;0,G5/(F5+G5),"")</f>
        <v>0.1</v>
      </c>
      <c r="I5" s="15" t="n">
        <f aca="false">IF(C5="",0,IFERROR(VLOOKUP(C5,'Recetas y precios'!$A$5:$R$55,18,FALSE()),0))</f>
        <v>121.937804385965</v>
      </c>
      <c r="J5" s="15" t="n">
        <f aca="false">G5*I5</f>
        <v>121.937804385965</v>
      </c>
      <c r="K5" s="24" t="s">
        <v>1127</v>
      </c>
      <c r="L5" s="6" t="s">
        <v>1128</v>
      </c>
    </row>
    <row r="6" customFormat="false" ht="15" hidden="false" customHeight="false" outlineLevel="0" collapsed="false">
      <c r="A6" s="34"/>
      <c r="B6" s="6"/>
      <c r="C6" s="6"/>
      <c r="D6" s="0" t="str">
        <f aca="false">IF(C6="","",IFERROR(VLOOKUP(C6,'Recetas y precios'!$A$5:$B$55,2,FALSE()),""))</f>
        <v/>
      </c>
      <c r="E6" s="6"/>
      <c r="F6" s="6"/>
      <c r="G6" s="6"/>
      <c r="H6" s="16" t="str">
        <f aca="false">IF((F6+G6)&gt;0,G6/(F6+G6),"")</f>
        <v/>
      </c>
      <c r="I6" s="15" t="n">
        <f aca="false">IF(C6="",0,IFERROR(VLOOKUP(C6,'Recetas y precios'!$A$5:$R$55,18,FALSE()),0))</f>
        <v>0</v>
      </c>
      <c r="J6" s="15" t="n">
        <f aca="false">G6*I6</f>
        <v>0</v>
      </c>
      <c r="K6" s="24"/>
      <c r="L6" s="6"/>
    </row>
    <row r="7" customFormat="false" ht="15" hidden="false" customHeight="false" outlineLevel="0" collapsed="false">
      <c r="A7" s="34"/>
      <c r="B7" s="6"/>
      <c r="C7" s="6"/>
      <c r="D7" s="0" t="str">
        <f aca="false">IF(C7="","",IFERROR(VLOOKUP(C7,'Recetas y precios'!$A$5:$B$55,2,FALSE()),""))</f>
        <v/>
      </c>
      <c r="E7" s="6"/>
      <c r="F7" s="6"/>
      <c r="G7" s="6"/>
      <c r="H7" s="16" t="str">
        <f aca="false">IF((F7+G7)&gt;0,G7/(F7+G7),"")</f>
        <v/>
      </c>
      <c r="I7" s="15" t="n">
        <f aca="false">IF(C7="",0,IFERROR(VLOOKUP(C7,'Recetas y precios'!$A$5:$R$55,18,FALSE()),0))</f>
        <v>0</v>
      </c>
      <c r="J7" s="15" t="n">
        <f aca="false">G7*I7</f>
        <v>0</v>
      </c>
      <c r="K7" s="24"/>
      <c r="L7" s="6"/>
    </row>
    <row r="8" customFormat="false" ht="15" hidden="false" customHeight="false" outlineLevel="0" collapsed="false">
      <c r="A8" s="34"/>
      <c r="B8" s="6"/>
      <c r="C8" s="6"/>
      <c r="D8" s="0" t="str">
        <f aca="false">IF(C8="","",IFERROR(VLOOKUP(C8,'Recetas y precios'!$A$5:$B$55,2,FALSE()),""))</f>
        <v/>
      </c>
      <c r="E8" s="6"/>
      <c r="F8" s="6"/>
      <c r="G8" s="6"/>
      <c r="H8" s="16" t="str">
        <f aca="false">IF((F8+G8)&gt;0,G8/(F8+G8),"")</f>
        <v/>
      </c>
      <c r="I8" s="15" t="n">
        <f aca="false">IF(C8="",0,IFERROR(VLOOKUP(C8,'Recetas y precios'!$A$5:$R$55,18,FALSE()),0))</f>
        <v>0</v>
      </c>
      <c r="J8" s="15" t="n">
        <f aca="false">G8*I8</f>
        <v>0</v>
      </c>
      <c r="K8" s="24"/>
      <c r="L8" s="6"/>
    </row>
    <row r="9" customFormat="false" ht="15" hidden="false" customHeight="false" outlineLevel="0" collapsed="false">
      <c r="A9" s="34"/>
      <c r="B9" s="6"/>
      <c r="C9" s="6"/>
      <c r="D9" s="0" t="str">
        <f aca="false">IF(C9="","",IFERROR(VLOOKUP(C9,'Recetas y precios'!$A$5:$B$55,2,FALSE()),""))</f>
        <v/>
      </c>
      <c r="E9" s="6"/>
      <c r="F9" s="6"/>
      <c r="G9" s="6"/>
      <c r="H9" s="16" t="str">
        <f aca="false">IF((F9+G9)&gt;0,G9/(F9+G9),"")</f>
        <v/>
      </c>
      <c r="I9" s="15" t="n">
        <f aca="false">IF(C9="",0,IFERROR(VLOOKUP(C9,'Recetas y precios'!$A$5:$R$55,18,FALSE()),0))</f>
        <v>0</v>
      </c>
      <c r="J9" s="15" t="n">
        <f aca="false">G9*I9</f>
        <v>0</v>
      </c>
      <c r="K9" s="24"/>
      <c r="L9" s="6"/>
    </row>
    <row r="10" customFormat="false" ht="15" hidden="false" customHeight="false" outlineLevel="0" collapsed="false">
      <c r="A10" s="34"/>
      <c r="B10" s="6"/>
      <c r="C10" s="6"/>
      <c r="D10" s="0" t="str">
        <f aca="false">IF(C10="","",IFERROR(VLOOKUP(C10,'Recetas y precios'!$A$5:$B$55,2,FALSE()),""))</f>
        <v/>
      </c>
      <c r="E10" s="6"/>
      <c r="F10" s="6"/>
      <c r="G10" s="6"/>
      <c r="H10" s="16" t="str">
        <f aca="false">IF((F10+G10)&gt;0,G10/(F10+G10),"")</f>
        <v/>
      </c>
      <c r="I10" s="15" t="n">
        <f aca="false">IF(C10="",0,IFERROR(VLOOKUP(C10,'Recetas y precios'!$A$5:$R$55,18,FALSE()),0))</f>
        <v>0</v>
      </c>
      <c r="J10" s="15" t="n">
        <f aca="false">G10*I10</f>
        <v>0</v>
      </c>
      <c r="K10" s="24"/>
      <c r="L10" s="6"/>
    </row>
    <row r="11" customFormat="false" ht="15" hidden="false" customHeight="false" outlineLevel="0" collapsed="false">
      <c r="A11" s="34"/>
      <c r="B11" s="6"/>
      <c r="C11" s="6"/>
      <c r="D11" s="0" t="str">
        <f aca="false">IF(C11="","",IFERROR(VLOOKUP(C11,'Recetas y precios'!$A$5:$B$55,2,FALSE()),""))</f>
        <v/>
      </c>
      <c r="E11" s="6"/>
      <c r="F11" s="6"/>
      <c r="G11" s="6"/>
      <c r="H11" s="16" t="str">
        <f aca="false">IF((F11+G11)&gt;0,G11/(F11+G11),"")</f>
        <v/>
      </c>
      <c r="I11" s="15" t="n">
        <f aca="false">IF(C11="",0,IFERROR(VLOOKUP(C11,'Recetas y precios'!$A$5:$R$55,18,FALSE()),0))</f>
        <v>0</v>
      </c>
      <c r="J11" s="15" t="n">
        <f aca="false">G11*I11</f>
        <v>0</v>
      </c>
      <c r="K11" s="24"/>
      <c r="L11" s="6"/>
    </row>
    <row r="12" customFormat="false" ht="15" hidden="false" customHeight="false" outlineLevel="0" collapsed="false">
      <c r="A12" s="34"/>
      <c r="B12" s="6"/>
      <c r="C12" s="6"/>
      <c r="D12" s="0" t="str">
        <f aca="false">IF(C12="","",IFERROR(VLOOKUP(C12,'Recetas y precios'!$A$5:$B$55,2,FALSE()),""))</f>
        <v/>
      </c>
      <c r="E12" s="6"/>
      <c r="F12" s="6"/>
      <c r="G12" s="6"/>
      <c r="H12" s="16" t="str">
        <f aca="false">IF((F12+G12)&gt;0,G12/(F12+G12),"")</f>
        <v/>
      </c>
      <c r="I12" s="15" t="n">
        <f aca="false">IF(C12="",0,IFERROR(VLOOKUP(C12,'Recetas y precios'!$A$5:$R$55,18,FALSE()),0))</f>
        <v>0</v>
      </c>
      <c r="J12" s="15" t="n">
        <f aca="false">G12*I12</f>
        <v>0</v>
      </c>
      <c r="K12" s="24"/>
      <c r="L12" s="6"/>
    </row>
    <row r="13" customFormat="false" ht="15" hidden="false" customHeight="false" outlineLevel="0" collapsed="false">
      <c r="A13" s="34"/>
      <c r="B13" s="6"/>
      <c r="C13" s="6"/>
      <c r="D13" s="0" t="str">
        <f aca="false">IF(C13="","",IFERROR(VLOOKUP(C13,'Recetas y precios'!$A$5:$B$55,2,FALSE()),""))</f>
        <v/>
      </c>
      <c r="E13" s="6"/>
      <c r="F13" s="6"/>
      <c r="G13" s="6"/>
      <c r="H13" s="16" t="str">
        <f aca="false">IF((F13+G13)&gt;0,G13/(F13+G13),"")</f>
        <v/>
      </c>
      <c r="I13" s="15" t="n">
        <f aca="false">IF(C13="",0,IFERROR(VLOOKUP(C13,'Recetas y precios'!$A$5:$R$55,18,FALSE()),0))</f>
        <v>0</v>
      </c>
      <c r="J13" s="15" t="n">
        <f aca="false">G13*I13</f>
        <v>0</v>
      </c>
      <c r="K13" s="24"/>
      <c r="L13" s="6"/>
    </row>
    <row r="14" customFormat="false" ht="15" hidden="false" customHeight="false" outlineLevel="0" collapsed="false">
      <c r="A14" s="34"/>
      <c r="B14" s="6"/>
      <c r="C14" s="6"/>
      <c r="D14" s="0" t="str">
        <f aca="false">IF(C14="","",IFERROR(VLOOKUP(C14,'Recetas y precios'!$A$5:$B$55,2,FALSE()),""))</f>
        <v/>
      </c>
      <c r="E14" s="6"/>
      <c r="F14" s="6"/>
      <c r="G14" s="6"/>
      <c r="H14" s="16" t="str">
        <f aca="false">IF((F14+G14)&gt;0,G14/(F14+G14),"")</f>
        <v/>
      </c>
      <c r="I14" s="15" t="n">
        <f aca="false">IF(C14="",0,IFERROR(VLOOKUP(C14,'Recetas y precios'!$A$5:$R$55,18,FALSE()),0))</f>
        <v>0</v>
      </c>
      <c r="J14" s="15" t="n">
        <f aca="false">G14*I14</f>
        <v>0</v>
      </c>
      <c r="K14" s="24"/>
      <c r="L14" s="6"/>
    </row>
    <row r="15" customFormat="false" ht="15" hidden="false" customHeight="false" outlineLevel="0" collapsed="false">
      <c r="A15" s="34"/>
      <c r="B15" s="6"/>
      <c r="C15" s="6"/>
      <c r="D15" s="0" t="str">
        <f aca="false">IF(C15="","",IFERROR(VLOOKUP(C15,'Recetas y precios'!$A$5:$B$55,2,FALSE()),""))</f>
        <v/>
      </c>
      <c r="E15" s="6"/>
      <c r="F15" s="6"/>
      <c r="G15" s="6"/>
      <c r="H15" s="16" t="str">
        <f aca="false">IF((F15+G15)&gt;0,G15/(F15+G15),"")</f>
        <v/>
      </c>
      <c r="I15" s="15" t="n">
        <f aca="false">IF(C15="",0,IFERROR(VLOOKUP(C15,'Recetas y precios'!$A$5:$R$55,18,FALSE()),0))</f>
        <v>0</v>
      </c>
      <c r="J15" s="15" t="n">
        <f aca="false">G15*I15</f>
        <v>0</v>
      </c>
      <c r="K15" s="24"/>
      <c r="L15" s="6"/>
    </row>
    <row r="16" customFormat="false" ht="15" hidden="false" customHeight="false" outlineLevel="0" collapsed="false">
      <c r="A16" s="34"/>
      <c r="B16" s="6"/>
      <c r="C16" s="6"/>
      <c r="D16" s="0" t="str">
        <f aca="false">IF(C16="","",IFERROR(VLOOKUP(C16,'Recetas y precios'!$A$5:$B$55,2,FALSE()),""))</f>
        <v/>
      </c>
      <c r="E16" s="6"/>
      <c r="F16" s="6"/>
      <c r="G16" s="6"/>
      <c r="H16" s="16" t="str">
        <f aca="false">IF((F16+G16)&gt;0,G16/(F16+G16),"")</f>
        <v/>
      </c>
      <c r="I16" s="15" t="n">
        <f aca="false">IF(C16="",0,IFERROR(VLOOKUP(C16,'Recetas y precios'!$A$5:$R$55,18,FALSE()),0))</f>
        <v>0</v>
      </c>
      <c r="J16" s="15" t="n">
        <f aca="false">G16*I16</f>
        <v>0</v>
      </c>
      <c r="K16" s="24"/>
      <c r="L16" s="6"/>
    </row>
    <row r="17" customFormat="false" ht="15" hidden="false" customHeight="false" outlineLevel="0" collapsed="false">
      <c r="A17" s="34"/>
      <c r="B17" s="6"/>
      <c r="C17" s="6"/>
      <c r="D17" s="0" t="str">
        <f aca="false">IF(C17="","",IFERROR(VLOOKUP(C17,'Recetas y precios'!$A$5:$B$55,2,FALSE()),""))</f>
        <v/>
      </c>
      <c r="E17" s="6"/>
      <c r="F17" s="6"/>
      <c r="G17" s="6"/>
      <c r="H17" s="16" t="str">
        <f aca="false">IF((F17+G17)&gt;0,G17/(F17+G17),"")</f>
        <v/>
      </c>
      <c r="I17" s="15" t="n">
        <f aca="false">IF(C17="",0,IFERROR(VLOOKUP(C17,'Recetas y precios'!$A$5:$R$55,18,FALSE()),0))</f>
        <v>0</v>
      </c>
      <c r="J17" s="15" t="n">
        <f aca="false">G17*I17</f>
        <v>0</v>
      </c>
      <c r="K17" s="24"/>
      <c r="L17" s="6"/>
    </row>
    <row r="18" customFormat="false" ht="15" hidden="false" customHeight="false" outlineLevel="0" collapsed="false">
      <c r="A18" s="34"/>
      <c r="B18" s="6"/>
      <c r="C18" s="6"/>
      <c r="D18" s="0" t="str">
        <f aca="false">IF(C18="","",IFERROR(VLOOKUP(C18,'Recetas y precios'!$A$5:$B$55,2,FALSE()),""))</f>
        <v/>
      </c>
      <c r="E18" s="6"/>
      <c r="F18" s="6"/>
      <c r="G18" s="6"/>
      <c r="H18" s="16" t="str">
        <f aca="false">IF((F18+G18)&gt;0,G18/(F18+G18),"")</f>
        <v/>
      </c>
      <c r="I18" s="15" t="n">
        <f aca="false">IF(C18="",0,IFERROR(VLOOKUP(C18,'Recetas y precios'!$A$5:$R$55,18,FALSE()),0))</f>
        <v>0</v>
      </c>
      <c r="J18" s="15" t="n">
        <f aca="false">G18*I18</f>
        <v>0</v>
      </c>
      <c r="K18" s="24"/>
      <c r="L18" s="6"/>
    </row>
    <row r="19" customFormat="false" ht="15" hidden="false" customHeight="false" outlineLevel="0" collapsed="false">
      <c r="A19" s="34"/>
      <c r="B19" s="6"/>
      <c r="C19" s="6"/>
      <c r="D19" s="0" t="str">
        <f aca="false">IF(C19="","",IFERROR(VLOOKUP(C19,'Recetas y precios'!$A$5:$B$55,2,FALSE()),""))</f>
        <v/>
      </c>
      <c r="E19" s="6"/>
      <c r="F19" s="6"/>
      <c r="G19" s="6"/>
      <c r="H19" s="16" t="str">
        <f aca="false">IF((F19+G19)&gt;0,G19/(F19+G19),"")</f>
        <v/>
      </c>
      <c r="I19" s="15" t="n">
        <f aca="false">IF(C19="",0,IFERROR(VLOOKUP(C19,'Recetas y precios'!$A$5:$R$55,18,FALSE()),0))</f>
        <v>0</v>
      </c>
      <c r="J19" s="15" t="n">
        <f aca="false">G19*I19</f>
        <v>0</v>
      </c>
      <c r="K19" s="24"/>
      <c r="L19" s="6"/>
    </row>
    <row r="20" customFormat="false" ht="15" hidden="false" customHeight="false" outlineLevel="0" collapsed="false">
      <c r="A20" s="34"/>
      <c r="B20" s="6"/>
      <c r="C20" s="6"/>
      <c r="D20" s="0" t="str">
        <f aca="false">IF(C20="","",IFERROR(VLOOKUP(C20,'Recetas y precios'!$A$5:$B$55,2,FALSE()),""))</f>
        <v/>
      </c>
      <c r="E20" s="6"/>
      <c r="F20" s="6"/>
      <c r="G20" s="6"/>
      <c r="H20" s="16" t="str">
        <f aca="false">IF((F20+G20)&gt;0,G20/(F20+G20),"")</f>
        <v/>
      </c>
      <c r="I20" s="15" t="n">
        <f aca="false">IF(C20="",0,IFERROR(VLOOKUP(C20,'Recetas y precios'!$A$5:$R$55,18,FALSE()),0))</f>
        <v>0</v>
      </c>
      <c r="J20" s="15" t="n">
        <f aca="false">G20*I20</f>
        <v>0</v>
      </c>
      <c r="K20" s="24"/>
      <c r="L20" s="6"/>
    </row>
    <row r="21" customFormat="false" ht="15" hidden="false" customHeight="false" outlineLevel="0" collapsed="false">
      <c r="A21" s="34"/>
      <c r="B21" s="6"/>
      <c r="C21" s="6"/>
      <c r="D21" s="0" t="str">
        <f aca="false">IF(C21="","",IFERROR(VLOOKUP(C21,'Recetas y precios'!$A$5:$B$55,2,FALSE()),""))</f>
        <v/>
      </c>
      <c r="E21" s="6"/>
      <c r="F21" s="6"/>
      <c r="G21" s="6"/>
      <c r="H21" s="16" t="str">
        <f aca="false">IF((F21+G21)&gt;0,G21/(F21+G21),"")</f>
        <v/>
      </c>
      <c r="I21" s="15" t="n">
        <f aca="false">IF(C21="",0,IFERROR(VLOOKUP(C21,'Recetas y precios'!$A$5:$R$55,18,FALSE()),0))</f>
        <v>0</v>
      </c>
      <c r="J21" s="15" t="n">
        <f aca="false">G21*I21</f>
        <v>0</v>
      </c>
      <c r="K21" s="24"/>
      <c r="L21" s="6"/>
    </row>
    <row r="22" customFormat="false" ht="15" hidden="false" customHeight="false" outlineLevel="0" collapsed="false">
      <c r="A22" s="34"/>
      <c r="B22" s="6"/>
      <c r="C22" s="6"/>
      <c r="D22" s="0" t="str">
        <f aca="false">IF(C22="","",IFERROR(VLOOKUP(C22,'Recetas y precios'!$A$5:$B$55,2,FALSE()),""))</f>
        <v/>
      </c>
      <c r="E22" s="6"/>
      <c r="F22" s="6"/>
      <c r="G22" s="6"/>
      <c r="H22" s="16" t="str">
        <f aca="false">IF((F22+G22)&gt;0,G22/(F22+G22),"")</f>
        <v/>
      </c>
      <c r="I22" s="15" t="n">
        <f aca="false">IF(C22="",0,IFERROR(VLOOKUP(C22,'Recetas y precios'!$A$5:$R$55,18,FALSE()),0))</f>
        <v>0</v>
      </c>
      <c r="J22" s="15" t="n">
        <f aca="false">G22*I22</f>
        <v>0</v>
      </c>
      <c r="K22" s="24"/>
      <c r="L22" s="6"/>
    </row>
    <row r="23" customFormat="false" ht="15" hidden="false" customHeight="false" outlineLevel="0" collapsed="false">
      <c r="A23" s="34"/>
      <c r="B23" s="6"/>
      <c r="C23" s="6"/>
      <c r="D23" s="0" t="str">
        <f aca="false">IF(C23="","",IFERROR(VLOOKUP(C23,'Recetas y precios'!$A$5:$B$55,2,FALSE()),""))</f>
        <v/>
      </c>
      <c r="E23" s="6"/>
      <c r="F23" s="6"/>
      <c r="G23" s="6"/>
      <c r="H23" s="16" t="str">
        <f aca="false">IF((F23+G23)&gt;0,G23/(F23+G23),"")</f>
        <v/>
      </c>
      <c r="I23" s="15" t="n">
        <f aca="false">IF(C23="",0,IFERROR(VLOOKUP(C23,'Recetas y precios'!$A$5:$R$55,18,FALSE()),0))</f>
        <v>0</v>
      </c>
      <c r="J23" s="15" t="n">
        <f aca="false">G23*I23</f>
        <v>0</v>
      </c>
      <c r="K23" s="24"/>
      <c r="L23" s="6"/>
    </row>
    <row r="24" customFormat="false" ht="15" hidden="false" customHeight="false" outlineLevel="0" collapsed="false">
      <c r="A24" s="34"/>
      <c r="B24" s="6"/>
      <c r="C24" s="6"/>
      <c r="D24" s="0" t="str">
        <f aca="false">IF(C24="","",IFERROR(VLOOKUP(C24,'Recetas y precios'!$A$5:$B$55,2,FALSE()),""))</f>
        <v/>
      </c>
      <c r="E24" s="6"/>
      <c r="F24" s="6"/>
      <c r="G24" s="6"/>
      <c r="H24" s="16" t="str">
        <f aca="false">IF((F24+G24)&gt;0,G24/(F24+G24),"")</f>
        <v/>
      </c>
      <c r="I24" s="15" t="n">
        <f aca="false">IF(C24="",0,IFERROR(VLOOKUP(C24,'Recetas y precios'!$A$5:$R$55,18,FALSE()),0))</f>
        <v>0</v>
      </c>
      <c r="J24" s="15" t="n">
        <f aca="false">G24*I24</f>
        <v>0</v>
      </c>
      <c r="K24" s="24"/>
      <c r="L24" s="6"/>
    </row>
    <row r="25" customFormat="false" ht="15" hidden="false" customHeight="false" outlineLevel="0" collapsed="false">
      <c r="A25" s="34"/>
      <c r="B25" s="6"/>
      <c r="C25" s="6"/>
      <c r="D25" s="0" t="str">
        <f aca="false">IF(C25="","",IFERROR(VLOOKUP(C25,'Recetas y precios'!$A$5:$B$55,2,FALSE()),""))</f>
        <v/>
      </c>
      <c r="E25" s="6"/>
      <c r="F25" s="6"/>
      <c r="G25" s="6"/>
      <c r="H25" s="16" t="str">
        <f aca="false">IF((F25+G25)&gt;0,G25/(F25+G25),"")</f>
        <v/>
      </c>
      <c r="I25" s="15" t="n">
        <f aca="false">IF(C25="",0,IFERROR(VLOOKUP(C25,'Recetas y precios'!$A$5:$R$55,18,FALSE()),0))</f>
        <v>0</v>
      </c>
      <c r="J25" s="15" t="n">
        <f aca="false">G25*I25</f>
        <v>0</v>
      </c>
      <c r="K25" s="24"/>
      <c r="L25" s="6"/>
    </row>
    <row r="26" customFormat="false" ht="15" hidden="false" customHeight="false" outlineLevel="0" collapsed="false">
      <c r="A26" s="34"/>
      <c r="B26" s="6"/>
      <c r="C26" s="6"/>
      <c r="D26" s="0" t="str">
        <f aca="false">IF(C26="","",IFERROR(VLOOKUP(C26,'Recetas y precios'!$A$5:$B$55,2,FALSE()),""))</f>
        <v/>
      </c>
      <c r="E26" s="6"/>
      <c r="F26" s="6"/>
      <c r="G26" s="6"/>
      <c r="H26" s="16" t="str">
        <f aca="false">IF((F26+G26)&gt;0,G26/(F26+G26),"")</f>
        <v/>
      </c>
      <c r="I26" s="15" t="n">
        <f aca="false">IF(C26="",0,IFERROR(VLOOKUP(C26,'Recetas y precios'!$A$5:$R$55,18,FALSE()),0))</f>
        <v>0</v>
      </c>
      <c r="J26" s="15" t="n">
        <f aca="false">G26*I26</f>
        <v>0</v>
      </c>
      <c r="K26" s="24"/>
      <c r="L26" s="6"/>
    </row>
    <row r="27" customFormat="false" ht="15" hidden="false" customHeight="false" outlineLevel="0" collapsed="false">
      <c r="A27" s="34"/>
      <c r="B27" s="6"/>
      <c r="C27" s="6"/>
      <c r="D27" s="0" t="str">
        <f aca="false">IF(C27="","",IFERROR(VLOOKUP(C27,'Recetas y precios'!$A$5:$B$55,2,FALSE()),""))</f>
        <v/>
      </c>
      <c r="E27" s="6"/>
      <c r="F27" s="6"/>
      <c r="G27" s="6"/>
      <c r="H27" s="16" t="str">
        <f aca="false">IF((F27+G27)&gt;0,G27/(F27+G27),"")</f>
        <v/>
      </c>
      <c r="I27" s="15" t="n">
        <f aca="false">IF(C27="",0,IFERROR(VLOOKUP(C27,'Recetas y precios'!$A$5:$R$55,18,FALSE()),0))</f>
        <v>0</v>
      </c>
      <c r="J27" s="15" t="n">
        <f aca="false">G27*I27</f>
        <v>0</v>
      </c>
      <c r="K27" s="24"/>
      <c r="L27" s="6"/>
    </row>
    <row r="28" customFormat="false" ht="15" hidden="false" customHeight="false" outlineLevel="0" collapsed="false">
      <c r="A28" s="34"/>
      <c r="B28" s="6"/>
      <c r="C28" s="6"/>
      <c r="D28" s="0" t="str">
        <f aca="false">IF(C28="","",IFERROR(VLOOKUP(C28,'Recetas y precios'!$A$5:$B$55,2,FALSE()),""))</f>
        <v/>
      </c>
      <c r="E28" s="6"/>
      <c r="F28" s="6"/>
      <c r="G28" s="6"/>
      <c r="H28" s="16" t="str">
        <f aca="false">IF((F28+G28)&gt;0,G28/(F28+G28),"")</f>
        <v/>
      </c>
      <c r="I28" s="15" t="n">
        <f aca="false">IF(C28="",0,IFERROR(VLOOKUP(C28,'Recetas y precios'!$A$5:$R$55,18,FALSE()),0))</f>
        <v>0</v>
      </c>
      <c r="J28" s="15" t="n">
        <f aca="false">G28*I28</f>
        <v>0</v>
      </c>
      <c r="K28" s="24"/>
      <c r="L28" s="6"/>
    </row>
    <row r="29" customFormat="false" ht="15" hidden="false" customHeight="false" outlineLevel="0" collapsed="false">
      <c r="A29" s="34"/>
      <c r="B29" s="6"/>
      <c r="C29" s="6"/>
      <c r="D29" s="0" t="str">
        <f aca="false">IF(C29="","",IFERROR(VLOOKUP(C29,'Recetas y precios'!$A$5:$B$55,2,FALSE()),""))</f>
        <v/>
      </c>
      <c r="E29" s="6"/>
      <c r="F29" s="6"/>
      <c r="G29" s="6"/>
      <c r="H29" s="16" t="str">
        <f aca="false">IF((F29+G29)&gt;0,G29/(F29+G29),"")</f>
        <v/>
      </c>
      <c r="I29" s="15" t="n">
        <f aca="false">IF(C29="",0,IFERROR(VLOOKUP(C29,'Recetas y precios'!$A$5:$R$55,18,FALSE()),0))</f>
        <v>0</v>
      </c>
      <c r="J29" s="15" t="n">
        <f aca="false">G29*I29</f>
        <v>0</v>
      </c>
      <c r="K29" s="24"/>
      <c r="L29" s="6"/>
    </row>
    <row r="30" customFormat="false" ht="15" hidden="false" customHeight="false" outlineLevel="0" collapsed="false">
      <c r="A30" s="34"/>
      <c r="B30" s="6"/>
      <c r="C30" s="6"/>
      <c r="D30" s="0" t="str">
        <f aca="false">IF(C30="","",IFERROR(VLOOKUP(C30,'Recetas y precios'!$A$5:$B$55,2,FALSE()),""))</f>
        <v/>
      </c>
      <c r="E30" s="6"/>
      <c r="F30" s="6"/>
      <c r="G30" s="6"/>
      <c r="H30" s="16" t="str">
        <f aca="false">IF((F30+G30)&gt;0,G30/(F30+G30),"")</f>
        <v/>
      </c>
      <c r="I30" s="15" t="n">
        <f aca="false">IF(C30="",0,IFERROR(VLOOKUP(C30,'Recetas y precios'!$A$5:$R$55,18,FALSE()),0))</f>
        <v>0</v>
      </c>
      <c r="J30" s="15" t="n">
        <f aca="false">G30*I30</f>
        <v>0</v>
      </c>
      <c r="K30" s="24"/>
      <c r="L30" s="6"/>
    </row>
    <row r="31" customFormat="false" ht="15" hidden="false" customHeight="false" outlineLevel="0" collapsed="false">
      <c r="A31" s="34"/>
      <c r="B31" s="6"/>
      <c r="C31" s="6"/>
      <c r="D31" s="0" t="str">
        <f aca="false">IF(C31="","",IFERROR(VLOOKUP(C31,'Recetas y precios'!$A$5:$B$55,2,FALSE()),""))</f>
        <v/>
      </c>
      <c r="E31" s="6"/>
      <c r="F31" s="6"/>
      <c r="G31" s="6"/>
      <c r="H31" s="16" t="str">
        <f aca="false">IF((F31+G31)&gt;0,G31/(F31+G31),"")</f>
        <v/>
      </c>
      <c r="I31" s="15" t="n">
        <f aca="false">IF(C31="",0,IFERROR(VLOOKUP(C31,'Recetas y precios'!$A$5:$R$55,18,FALSE()),0))</f>
        <v>0</v>
      </c>
      <c r="J31" s="15" t="n">
        <f aca="false">G31*I31</f>
        <v>0</v>
      </c>
      <c r="K31" s="24"/>
      <c r="L31" s="6"/>
    </row>
    <row r="32" customFormat="false" ht="15" hidden="false" customHeight="false" outlineLevel="0" collapsed="false">
      <c r="A32" s="34"/>
      <c r="B32" s="6"/>
      <c r="C32" s="6"/>
      <c r="D32" s="0" t="str">
        <f aca="false">IF(C32="","",IFERROR(VLOOKUP(C32,'Recetas y precios'!$A$5:$B$55,2,FALSE()),""))</f>
        <v/>
      </c>
      <c r="E32" s="6"/>
      <c r="F32" s="6"/>
      <c r="G32" s="6"/>
      <c r="H32" s="16" t="str">
        <f aca="false">IF((F32+G32)&gt;0,G32/(F32+G32),"")</f>
        <v/>
      </c>
      <c r="I32" s="15" t="n">
        <f aca="false">IF(C32="",0,IFERROR(VLOOKUP(C32,'Recetas y precios'!$A$5:$R$55,18,FALSE()),0))</f>
        <v>0</v>
      </c>
      <c r="J32" s="15" t="n">
        <f aca="false">G32*I32</f>
        <v>0</v>
      </c>
      <c r="K32" s="24"/>
      <c r="L32" s="6"/>
    </row>
    <row r="33" customFormat="false" ht="15" hidden="false" customHeight="false" outlineLevel="0" collapsed="false">
      <c r="A33" s="34"/>
      <c r="B33" s="6"/>
      <c r="C33" s="6"/>
      <c r="D33" s="0" t="str">
        <f aca="false">IF(C33="","",IFERROR(VLOOKUP(C33,'Recetas y precios'!$A$5:$B$55,2,FALSE()),""))</f>
        <v/>
      </c>
      <c r="E33" s="6"/>
      <c r="F33" s="6"/>
      <c r="G33" s="6"/>
      <c r="H33" s="16" t="str">
        <f aca="false">IF((F33+G33)&gt;0,G33/(F33+G33),"")</f>
        <v/>
      </c>
      <c r="I33" s="15" t="n">
        <f aca="false">IF(C33="",0,IFERROR(VLOOKUP(C33,'Recetas y precios'!$A$5:$R$55,18,FALSE()),0))</f>
        <v>0</v>
      </c>
      <c r="J33" s="15" t="n">
        <f aca="false">G33*I33</f>
        <v>0</v>
      </c>
      <c r="K33" s="24"/>
      <c r="L33" s="6"/>
    </row>
    <row r="34" customFormat="false" ht="15" hidden="false" customHeight="false" outlineLevel="0" collapsed="false">
      <c r="A34" s="34"/>
      <c r="B34" s="6"/>
      <c r="C34" s="6"/>
      <c r="D34" s="0" t="str">
        <f aca="false">IF(C34="","",IFERROR(VLOOKUP(C34,'Recetas y precios'!$A$5:$B$55,2,FALSE()),""))</f>
        <v/>
      </c>
      <c r="E34" s="6"/>
      <c r="F34" s="6"/>
      <c r="G34" s="6"/>
      <c r="H34" s="16" t="str">
        <f aca="false">IF((F34+G34)&gt;0,G34/(F34+G34),"")</f>
        <v/>
      </c>
      <c r="I34" s="15" t="n">
        <f aca="false">IF(C34="",0,IFERROR(VLOOKUP(C34,'Recetas y precios'!$A$5:$R$55,18,FALSE()),0))</f>
        <v>0</v>
      </c>
      <c r="J34" s="15" t="n">
        <f aca="false">G34*I34</f>
        <v>0</v>
      </c>
      <c r="K34" s="24"/>
      <c r="L34" s="6"/>
    </row>
    <row r="35" customFormat="false" ht="15" hidden="false" customHeight="false" outlineLevel="0" collapsed="false">
      <c r="A35" s="34"/>
      <c r="B35" s="6"/>
      <c r="C35" s="6"/>
      <c r="D35" s="0" t="str">
        <f aca="false">IF(C35="","",IFERROR(VLOOKUP(C35,'Recetas y precios'!$A$5:$B$55,2,FALSE()),""))</f>
        <v/>
      </c>
      <c r="E35" s="6"/>
      <c r="F35" s="6"/>
      <c r="G35" s="6"/>
      <c r="H35" s="16" t="str">
        <f aca="false">IF((F35+G35)&gt;0,G35/(F35+G35),"")</f>
        <v/>
      </c>
      <c r="I35" s="15" t="n">
        <f aca="false">IF(C35="",0,IFERROR(VLOOKUP(C35,'Recetas y precios'!$A$5:$R$55,18,FALSE()),0))</f>
        <v>0</v>
      </c>
      <c r="J35" s="15" t="n">
        <f aca="false">G35*I35</f>
        <v>0</v>
      </c>
      <c r="K35" s="24"/>
      <c r="L35" s="6"/>
    </row>
    <row r="36" customFormat="false" ht="15" hidden="false" customHeight="false" outlineLevel="0" collapsed="false">
      <c r="A36" s="34"/>
      <c r="B36" s="6"/>
      <c r="C36" s="6"/>
      <c r="D36" s="0" t="str">
        <f aca="false">IF(C36="","",IFERROR(VLOOKUP(C36,'Recetas y precios'!$A$5:$B$55,2,FALSE()),""))</f>
        <v/>
      </c>
      <c r="E36" s="6"/>
      <c r="F36" s="6"/>
      <c r="G36" s="6"/>
      <c r="H36" s="16" t="str">
        <f aca="false">IF((F36+G36)&gt;0,G36/(F36+G36),"")</f>
        <v/>
      </c>
      <c r="I36" s="15" t="n">
        <f aca="false">IF(C36="",0,IFERROR(VLOOKUP(C36,'Recetas y precios'!$A$5:$R$55,18,FALSE()),0))</f>
        <v>0</v>
      </c>
      <c r="J36" s="15" t="n">
        <f aca="false">G36*I36</f>
        <v>0</v>
      </c>
      <c r="K36" s="24"/>
      <c r="L36" s="6"/>
    </row>
    <row r="37" customFormat="false" ht="15" hidden="false" customHeight="false" outlineLevel="0" collapsed="false">
      <c r="A37" s="34"/>
      <c r="B37" s="6"/>
      <c r="C37" s="6"/>
      <c r="D37" s="0" t="str">
        <f aca="false">IF(C37="","",IFERROR(VLOOKUP(C37,'Recetas y precios'!$A$5:$B$55,2,FALSE()),""))</f>
        <v/>
      </c>
      <c r="E37" s="6"/>
      <c r="F37" s="6"/>
      <c r="G37" s="6"/>
      <c r="H37" s="16" t="str">
        <f aca="false">IF((F37+G37)&gt;0,G37/(F37+G37),"")</f>
        <v/>
      </c>
      <c r="I37" s="15" t="n">
        <f aca="false">IF(C37="",0,IFERROR(VLOOKUP(C37,'Recetas y precios'!$A$5:$R$55,18,FALSE()),0))</f>
        <v>0</v>
      </c>
      <c r="J37" s="15" t="n">
        <f aca="false">G37*I37</f>
        <v>0</v>
      </c>
      <c r="K37" s="24"/>
      <c r="L37" s="6"/>
    </row>
    <row r="38" customFormat="false" ht="15" hidden="false" customHeight="false" outlineLevel="0" collapsed="false">
      <c r="A38" s="34"/>
      <c r="B38" s="6"/>
      <c r="C38" s="6"/>
      <c r="D38" s="0" t="str">
        <f aca="false">IF(C38="","",IFERROR(VLOOKUP(C38,'Recetas y precios'!$A$5:$B$55,2,FALSE()),""))</f>
        <v/>
      </c>
      <c r="E38" s="6"/>
      <c r="F38" s="6"/>
      <c r="G38" s="6"/>
      <c r="H38" s="16" t="str">
        <f aca="false">IF((F38+G38)&gt;0,G38/(F38+G38),"")</f>
        <v/>
      </c>
      <c r="I38" s="15" t="n">
        <f aca="false">IF(C38="",0,IFERROR(VLOOKUP(C38,'Recetas y precios'!$A$5:$R$55,18,FALSE()),0))</f>
        <v>0</v>
      </c>
      <c r="J38" s="15" t="n">
        <f aca="false">G38*I38</f>
        <v>0</v>
      </c>
      <c r="K38" s="24"/>
      <c r="L38" s="6"/>
    </row>
    <row r="39" customFormat="false" ht="15" hidden="false" customHeight="false" outlineLevel="0" collapsed="false">
      <c r="A39" s="34"/>
      <c r="B39" s="6"/>
      <c r="C39" s="6"/>
      <c r="D39" s="0" t="str">
        <f aca="false">IF(C39="","",IFERROR(VLOOKUP(C39,'Recetas y precios'!$A$5:$B$55,2,FALSE()),""))</f>
        <v/>
      </c>
      <c r="E39" s="6"/>
      <c r="F39" s="6"/>
      <c r="G39" s="6"/>
      <c r="H39" s="16" t="str">
        <f aca="false">IF((F39+G39)&gt;0,G39/(F39+G39),"")</f>
        <v/>
      </c>
      <c r="I39" s="15" t="n">
        <f aca="false">IF(C39="",0,IFERROR(VLOOKUP(C39,'Recetas y precios'!$A$5:$R$55,18,FALSE()),0))</f>
        <v>0</v>
      </c>
      <c r="J39" s="15" t="n">
        <f aca="false">G39*I39</f>
        <v>0</v>
      </c>
      <c r="K39" s="24"/>
      <c r="L39" s="6"/>
    </row>
    <row r="40" customFormat="false" ht="15" hidden="false" customHeight="false" outlineLevel="0" collapsed="false">
      <c r="A40" s="34"/>
      <c r="B40" s="6"/>
      <c r="C40" s="6"/>
      <c r="D40" s="0" t="str">
        <f aca="false">IF(C40="","",IFERROR(VLOOKUP(C40,'Recetas y precios'!$A$5:$B$55,2,FALSE()),""))</f>
        <v/>
      </c>
      <c r="E40" s="6"/>
      <c r="F40" s="6"/>
      <c r="G40" s="6"/>
      <c r="H40" s="16" t="str">
        <f aca="false">IF((F40+G40)&gt;0,G40/(F40+G40),"")</f>
        <v/>
      </c>
      <c r="I40" s="15" t="n">
        <f aca="false">IF(C40="",0,IFERROR(VLOOKUP(C40,'Recetas y precios'!$A$5:$R$55,18,FALSE()),0))</f>
        <v>0</v>
      </c>
      <c r="J40" s="15" t="n">
        <f aca="false">G40*I40</f>
        <v>0</v>
      </c>
      <c r="K40" s="24"/>
      <c r="L40" s="6"/>
    </row>
    <row r="41" customFormat="false" ht="15" hidden="false" customHeight="false" outlineLevel="0" collapsed="false">
      <c r="A41" s="34"/>
      <c r="B41" s="6"/>
      <c r="C41" s="6"/>
      <c r="D41" s="0" t="str">
        <f aca="false">IF(C41="","",IFERROR(VLOOKUP(C41,'Recetas y precios'!$A$5:$B$55,2,FALSE()),""))</f>
        <v/>
      </c>
      <c r="E41" s="6"/>
      <c r="F41" s="6"/>
      <c r="G41" s="6"/>
      <c r="H41" s="16" t="str">
        <f aca="false">IF((F41+G41)&gt;0,G41/(F41+G41),"")</f>
        <v/>
      </c>
      <c r="I41" s="15" t="n">
        <f aca="false">IF(C41="",0,IFERROR(VLOOKUP(C41,'Recetas y precios'!$A$5:$R$55,18,FALSE()),0))</f>
        <v>0</v>
      </c>
      <c r="J41" s="15" t="n">
        <f aca="false">G41*I41</f>
        <v>0</v>
      </c>
      <c r="K41" s="24"/>
      <c r="L41" s="6"/>
    </row>
    <row r="42" customFormat="false" ht="15" hidden="false" customHeight="false" outlineLevel="0" collapsed="false">
      <c r="A42" s="34"/>
      <c r="B42" s="6"/>
      <c r="C42" s="6"/>
      <c r="D42" s="0" t="str">
        <f aca="false">IF(C42="","",IFERROR(VLOOKUP(C42,'Recetas y precios'!$A$5:$B$55,2,FALSE()),""))</f>
        <v/>
      </c>
      <c r="E42" s="6"/>
      <c r="F42" s="6"/>
      <c r="G42" s="6"/>
      <c r="H42" s="16" t="str">
        <f aca="false">IF((F42+G42)&gt;0,G42/(F42+G42),"")</f>
        <v/>
      </c>
      <c r="I42" s="15" t="n">
        <f aca="false">IF(C42="",0,IFERROR(VLOOKUP(C42,'Recetas y precios'!$A$5:$R$55,18,FALSE()),0))</f>
        <v>0</v>
      </c>
      <c r="J42" s="15" t="n">
        <f aca="false">G42*I42</f>
        <v>0</v>
      </c>
      <c r="K42" s="24"/>
      <c r="L42" s="6"/>
    </row>
    <row r="43" customFormat="false" ht="15" hidden="false" customHeight="false" outlineLevel="0" collapsed="false">
      <c r="A43" s="34"/>
      <c r="B43" s="6"/>
      <c r="C43" s="6"/>
      <c r="D43" s="0" t="str">
        <f aca="false">IF(C43="","",IFERROR(VLOOKUP(C43,'Recetas y precios'!$A$5:$B$55,2,FALSE()),""))</f>
        <v/>
      </c>
      <c r="E43" s="6"/>
      <c r="F43" s="6"/>
      <c r="G43" s="6"/>
      <c r="H43" s="16" t="str">
        <f aca="false">IF((F43+G43)&gt;0,G43/(F43+G43),"")</f>
        <v/>
      </c>
      <c r="I43" s="15" t="n">
        <f aca="false">IF(C43="",0,IFERROR(VLOOKUP(C43,'Recetas y precios'!$A$5:$R$55,18,FALSE()),0))</f>
        <v>0</v>
      </c>
      <c r="J43" s="15" t="n">
        <f aca="false">G43*I43</f>
        <v>0</v>
      </c>
      <c r="K43" s="24"/>
      <c r="L43" s="6"/>
    </row>
    <row r="44" customFormat="false" ht="15" hidden="false" customHeight="false" outlineLevel="0" collapsed="false">
      <c r="A44" s="34"/>
      <c r="B44" s="6"/>
      <c r="C44" s="6"/>
      <c r="D44" s="0" t="str">
        <f aca="false">IF(C44="","",IFERROR(VLOOKUP(C44,'Recetas y precios'!$A$5:$B$55,2,FALSE()),""))</f>
        <v/>
      </c>
      <c r="E44" s="6"/>
      <c r="F44" s="6"/>
      <c r="G44" s="6"/>
      <c r="H44" s="16" t="str">
        <f aca="false">IF((F44+G44)&gt;0,G44/(F44+G44),"")</f>
        <v/>
      </c>
      <c r="I44" s="15" t="n">
        <f aca="false">IF(C44="",0,IFERROR(VLOOKUP(C44,'Recetas y precios'!$A$5:$R$55,18,FALSE()),0))</f>
        <v>0</v>
      </c>
      <c r="J44" s="15" t="n">
        <f aca="false">G44*I44</f>
        <v>0</v>
      </c>
      <c r="K44" s="24"/>
      <c r="L44" s="6"/>
    </row>
    <row r="45" customFormat="false" ht="15" hidden="false" customHeight="false" outlineLevel="0" collapsed="false">
      <c r="A45" s="34"/>
      <c r="B45" s="6"/>
      <c r="C45" s="6"/>
      <c r="D45" s="0" t="str">
        <f aca="false">IF(C45="","",IFERROR(VLOOKUP(C45,'Recetas y precios'!$A$5:$B$55,2,FALSE()),""))</f>
        <v/>
      </c>
      <c r="E45" s="6"/>
      <c r="F45" s="6"/>
      <c r="G45" s="6"/>
      <c r="H45" s="16" t="str">
        <f aca="false">IF((F45+G45)&gt;0,G45/(F45+G45),"")</f>
        <v/>
      </c>
      <c r="I45" s="15" t="n">
        <f aca="false">IF(C45="",0,IFERROR(VLOOKUP(C45,'Recetas y precios'!$A$5:$R$55,18,FALSE()),0))</f>
        <v>0</v>
      </c>
      <c r="J45" s="15" t="n">
        <f aca="false">G45*I45</f>
        <v>0</v>
      </c>
      <c r="K45" s="24"/>
      <c r="L45" s="6"/>
    </row>
    <row r="46" customFormat="false" ht="15" hidden="false" customHeight="false" outlineLevel="0" collapsed="false">
      <c r="A46" s="34"/>
      <c r="B46" s="6"/>
      <c r="C46" s="6"/>
      <c r="D46" s="0" t="str">
        <f aca="false">IF(C46="","",IFERROR(VLOOKUP(C46,'Recetas y precios'!$A$5:$B$55,2,FALSE()),""))</f>
        <v/>
      </c>
      <c r="E46" s="6"/>
      <c r="F46" s="6"/>
      <c r="G46" s="6"/>
      <c r="H46" s="16" t="str">
        <f aca="false">IF((F46+G46)&gt;0,G46/(F46+G46),"")</f>
        <v/>
      </c>
      <c r="I46" s="15" t="n">
        <f aca="false">IF(C46="",0,IFERROR(VLOOKUP(C46,'Recetas y precios'!$A$5:$R$55,18,FALSE()),0))</f>
        <v>0</v>
      </c>
      <c r="J46" s="15" t="n">
        <f aca="false">G46*I46</f>
        <v>0</v>
      </c>
      <c r="K46" s="24"/>
      <c r="L46" s="6"/>
    </row>
    <row r="47" customFormat="false" ht="15" hidden="false" customHeight="false" outlineLevel="0" collapsed="false">
      <c r="A47" s="34"/>
      <c r="B47" s="6"/>
      <c r="C47" s="6"/>
      <c r="D47" s="0" t="str">
        <f aca="false">IF(C47="","",IFERROR(VLOOKUP(C47,'Recetas y precios'!$A$5:$B$55,2,FALSE()),""))</f>
        <v/>
      </c>
      <c r="E47" s="6"/>
      <c r="F47" s="6"/>
      <c r="G47" s="6"/>
      <c r="H47" s="16" t="str">
        <f aca="false">IF((F47+G47)&gt;0,G47/(F47+G47),"")</f>
        <v/>
      </c>
      <c r="I47" s="15" t="n">
        <f aca="false">IF(C47="",0,IFERROR(VLOOKUP(C47,'Recetas y precios'!$A$5:$R$55,18,FALSE()),0))</f>
        <v>0</v>
      </c>
      <c r="J47" s="15" t="n">
        <f aca="false">G47*I47</f>
        <v>0</v>
      </c>
      <c r="K47" s="24"/>
      <c r="L47" s="6"/>
    </row>
    <row r="48" customFormat="false" ht="15" hidden="false" customHeight="false" outlineLevel="0" collapsed="false">
      <c r="A48" s="34"/>
      <c r="B48" s="6"/>
      <c r="C48" s="6"/>
      <c r="D48" s="0" t="str">
        <f aca="false">IF(C48="","",IFERROR(VLOOKUP(C48,'Recetas y precios'!$A$5:$B$55,2,FALSE()),""))</f>
        <v/>
      </c>
      <c r="E48" s="6"/>
      <c r="F48" s="6"/>
      <c r="G48" s="6"/>
      <c r="H48" s="16" t="str">
        <f aca="false">IF((F48+G48)&gt;0,G48/(F48+G48),"")</f>
        <v/>
      </c>
      <c r="I48" s="15" t="n">
        <f aca="false">IF(C48="",0,IFERROR(VLOOKUP(C48,'Recetas y precios'!$A$5:$R$55,18,FALSE()),0))</f>
        <v>0</v>
      </c>
      <c r="J48" s="15" t="n">
        <f aca="false">G48*I48</f>
        <v>0</v>
      </c>
      <c r="K48" s="24"/>
      <c r="L48" s="6"/>
    </row>
    <row r="49" customFormat="false" ht="15" hidden="false" customHeight="false" outlineLevel="0" collapsed="false">
      <c r="A49" s="34"/>
      <c r="B49" s="6"/>
      <c r="C49" s="6"/>
      <c r="D49" s="0" t="str">
        <f aca="false">IF(C49="","",IFERROR(VLOOKUP(C49,'Recetas y precios'!$A$5:$B$55,2,FALSE()),""))</f>
        <v/>
      </c>
      <c r="E49" s="6"/>
      <c r="F49" s="6"/>
      <c r="G49" s="6"/>
      <c r="H49" s="16" t="str">
        <f aca="false">IF((F49+G49)&gt;0,G49/(F49+G49),"")</f>
        <v/>
      </c>
      <c r="I49" s="15" t="n">
        <f aca="false">IF(C49="",0,IFERROR(VLOOKUP(C49,'Recetas y precios'!$A$5:$R$55,18,FALSE()),0))</f>
        <v>0</v>
      </c>
      <c r="J49" s="15" t="n">
        <f aca="false">G49*I49</f>
        <v>0</v>
      </c>
      <c r="K49" s="24"/>
      <c r="L49" s="6"/>
    </row>
    <row r="50" customFormat="false" ht="15" hidden="false" customHeight="false" outlineLevel="0" collapsed="false">
      <c r="A50" s="34"/>
      <c r="B50" s="6"/>
      <c r="C50" s="6"/>
      <c r="D50" s="0" t="str">
        <f aca="false">IF(C50="","",IFERROR(VLOOKUP(C50,'Recetas y precios'!$A$5:$B$55,2,FALSE()),""))</f>
        <v/>
      </c>
      <c r="E50" s="6"/>
      <c r="F50" s="6"/>
      <c r="G50" s="6"/>
      <c r="H50" s="16" t="str">
        <f aca="false">IF((F50+G50)&gt;0,G50/(F50+G50),"")</f>
        <v/>
      </c>
      <c r="I50" s="15" t="n">
        <f aca="false">IF(C50="",0,IFERROR(VLOOKUP(C50,'Recetas y precios'!$A$5:$R$55,18,FALSE()),0))</f>
        <v>0</v>
      </c>
      <c r="J50" s="15" t="n">
        <f aca="false">G50*I50</f>
        <v>0</v>
      </c>
      <c r="K50" s="24"/>
      <c r="L50" s="6"/>
    </row>
    <row r="51" customFormat="false" ht="15" hidden="false" customHeight="false" outlineLevel="0" collapsed="false">
      <c r="A51" s="34"/>
      <c r="B51" s="6"/>
      <c r="C51" s="6"/>
      <c r="D51" s="0" t="str">
        <f aca="false">IF(C51="","",IFERROR(VLOOKUP(C51,'Recetas y precios'!$A$5:$B$55,2,FALSE()),""))</f>
        <v/>
      </c>
      <c r="E51" s="6"/>
      <c r="F51" s="6"/>
      <c r="G51" s="6"/>
      <c r="H51" s="16" t="str">
        <f aca="false">IF((F51+G51)&gt;0,G51/(F51+G51),"")</f>
        <v/>
      </c>
      <c r="I51" s="15" t="n">
        <f aca="false">IF(C51="",0,IFERROR(VLOOKUP(C51,'Recetas y precios'!$A$5:$R$55,18,FALSE()),0))</f>
        <v>0</v>
      </c>
      <c r="J51" s="15" t="n">
        <f aca="false">G51*I51</f>
        <v>0</v>
      </c>
      <c r="K51" s="24"/>
      <c r="L51" s="6"/>
    </row>
    <row r="52" customFormat="false" ht="15" hidden="false" customHeight="false" outlineLevel="0" collapsed="false">
      <c r="A52" s="34"/>
      <c r="B52" s="6"/>
      <c r="C52" s="6"/>
      <c r="D52" s="0" t="str">
        <f aca="false">IF(C52="","",IFERROR(VLOOKUP(C52,'Recetas y precios'!$A$5:$B$55,2,FALSE()),""))</f>
        <v/>
      </c>
      <c r="E52" s="6"/>
      <c r="F52" s="6"/>
      <c r="G52" s="6"/>
      <c r="H52" s="16" t="str">
        <f aca="false">IF((F52+G52)&gt;0,G52/(F52+G52),"")</f>
        <v/>
      </c>
      <c r="I52" s="15" t="n">
        <f aca="false">IF(C52="",0,IFERROR(VLOOKUP(C52,'Recetas y precios'!$A$5:$R$55,18,FALSE()),0))</f>
        <v>0</v>
      </c>
      <c r="J52" s="15" t="n">
        <f aca="false">G52*I52</f>
        <v>0</v>
      </c>
      <c r="K52" s="24"/>
      <c r="L52" s="6"/>
    </row>
    <row r="53" customFormat="false" ht="15" hidden="false" customHeight="false" outlineLevel="0" collapsed="false">
      <c r="A53" s="34"/>
      <c r="B53" s="6"/>
      <c r="C53" s="6"/>
      <c r="D53" s="0" t="str">
        <f aca="false">IF(C53="","",IFERROR(VLOOKUP(C53,'Recetas y precios'!$A$5:$B$55,2,FALSE()),""))</f>
        <v/>
      </c>
      <c r="E53" s="6"/>
      <c r="F53" s="6"/>
      <c r="G53" s="6"/>
      <c r="H53" s="16" t="str">
        <f aca="false">IF((F53+G53)&gt;0,G53/(F53+G53),"")</f>
        <v/>
      </c>
      <c r="I53" s="15" t="n">
        <f aca="false">IF(C53="",0,IFERROR(VLOOKUP(C53,'Recetas y precios'!$A$5:$R$55,18,FALSE()),0))</f>
        <v>0</v>
      </c>
      <c r="J53" s="15" t="n">
        <f aca="false">G53*I53</f>
        <v>0</v>
      </c>
      <c r="K53" s="24"/>
      <c r="L53" s="6"/>
    </row>
    <row r="54" customFormat="false" ht="15" hidden="false" customHeight="false" outlineLevel="0" collapsed="false">
      <c r="A54" s="34"/>
      <c r="B54" s="6"/>
      <c r="C54" s="6"/>
      <c r="D54" s="0" t="str">
        <f aca="false">IF(C54="","",IFERROR(VLOOKUP(C54,'Recetas y precios'!$A$5:$B$55,2,FALSE()),""))</f>
        <v/>
      </c>
      <c r="E54" s="6"/>
      <c r="F54" s="6"/>
      <c r="G54" s="6"/>
      <c r="H54" s="16" t="str">
        <f aca="false">IF((F54+G54)&gt;0,G54/(F54+G54),"")</f>
        <v/>
      </c>
      <c r="I54" s="15" t="n">
        <f aca="false">IF(C54="",0,IFERROR(VLOOKUP(C54,'Recetas y precios'!$A$5:$R$55,18,FALSE()),0))</f>
        <v>0</v>
      </c>
      <c r="J54" s="15" t="n">
        <f aca="false">G54*I54</f>
        <v>0</v>
      </c>
      <c r="K54" s="24"/>
      <c r="L54" s="6"/>
    </row>
    <row r="55" customFormat="false" ht="15" hidden="false" customHeight="false" outlineLevel="0" collapsed="false">
      <c r="A55" s="34"/>
      <c r="B55" s="6"/>
      <c r="C55" s="6"/>
      <c r="D55" s="0" t="str">
        <f aca="false">IF(C55="","",IFERROR(VLOOKUP(C55,'Recetas y precios'!$A$5:$B$55,2,FALSE()),""))</f>
        <v/>
      </c>
      <c r="E55" s="6"/>
      <c r="F55" s="6"/>
      <c r="G55" s="6"/>
      <c r="H55" s="16" t="str">
        <f aca="false">IF((F55+G55)&gt;0,G55/(F55+G55),"")</f>
        <v/>
      </c>
      <c r="I55" s="15" t="n">
        <f aca="false">IF(C55="",0,IFERROR(VLOOKUP(C55,'Recetas y precios'!$A$5:$R$55,18,FALSE()),0))</f>
        <v>0</v>
      </c>
      <c r="J55" s="15" t="n">
        <f aca="false">G55*I55</f>
        <v>0</v>
      </c>
      <c r="K55" s="24"/>
      <c r="L55" s="6"/>
    </row>
    <row r="56" customFormat="false" ht="15" hidden="false" customHeight="false" outlineLevel="0" collapsed="false">
      <c r="A56" s="34"/>
      <c r="B56" s="6"/>
      <c r="C56" s="6"/>
      <c r="D56" s="0" t="str">
        <f aca="false">IF(C56="","",IFERROR(VLOOKUP(C56,'Recetas y precios'!$A$5:$B$55,2,FALSE()),""))</f>
        <v/>
      </c>
      <c r="E56" s="6"/>
      <c r="F56" s="6"/>
      <c r="G56" s="6"/>
      <c r="H56" s="16" t="str">
        <f aca="false">IF((F56+G56)&gt;0,G56/(F56+G56),"")</f>
        <v/>
      </c>
      <c r="I56" s="15" t="n">
        <f aca="false">IF(C56="",0,IFERROR(VLOOKUP(C56,'Recetas y precios'!$A$5:$R$55,18,FALSE()),0))</f>
        <v>0</v>
      </c>
      <c r="J56" s="15" t="n">
        <f aca="false">G56*I56</f>
        <v>0</v>
      </c>
      <c r="K56" s="24"/>
      <c r="L56" s="6"/>
    </row>
    <row r="57" customFormat="false" ht="15" hidden="false" customHeight="false" outlineLevel="0" collapsed="false">
      <c r="A57" s="34"/>
      <c r="B57" s="6"/>
      <c r="C57" s="6"/>
      <c r="D57" s="0" t="str">
        <f aca="false">IF(C57="","",IFERROR(VLOOKUP(C57,'Recetas y precios'!$A$5:$B$55,2,FALSE()),""))</f>
        <v/>
      </c>
      <c r="E57" s="6"/>
      <c r="F57" s="6"/>
      <c r="G57" s="6"/>
      <c r="H57" s="16" t="str">
        <f aca="false">IF((F57+G57)&gt;0,G57/(F57+G57),"")</f>
        <v/>
      </c>
      <c r="I57" s="15" t="n">
        <f aca="false">IF(C57="",0,IFERROR(VLOOKUP(C57,'Recetas y precios'!$A$5:$R$55,18,FALSE()),0))</f>
        <v>0</v>
      </c>
      <c r="J57" s="15" t="n">
        <f aca="false">G57*I57</f>
        <v>0</v>
      </c>
      <c r="K57" s="24"/>
      <c r="L57" s="6"/>
    </row>
    <row r="58" customFormat="false" ht="15" hidden="false" customHeight="false" outlineLevel="0" collapsed="false">
      <c r="A58" s="34"/>
      <c r="B58" s="6"/>
      <c r="C58" s="6"/>
      <c r="D58" s="0" t="str">
        <f aca="false">IF(C58="","",IFERROR(VLOOKUP(C58,'Recetas y precios'!$A$5:$B$55,2,FALSE()),""))</f>
        <v/>
      </c>
      <c r="E58" s="6"/>
      <c r="F58" s="6"/>
      <c r="G58" s="6"/>
      <c r="H58" s="16" t="str">
        <f aca="false">IF((F58+G58)&gt;0,G58/(F58+G58),"")</f>
        <v/>
      </c>
      <c r="I58" s="15" t="n">
        <f aca="false">IF(C58="",0,IFERROR(VLOOKUP(C58,'Recetas y precios'!$A$5:$R$55,18,FALSE()),0))</f>
        <v>0</v>
      </c>
      <c r="J58" s="15" t="n">
        <f aca="false">G58*I58</f>
        <v>0</v>
      </c>
      <c r="K58" s="24"/>
      <c r="L58" s="6"/>
    </row>
    <row r="59" customFormat="false" ht="15" hidden="false" customHeight="false" outlineLevel="0" collapsed="false">
      <c r="A59" s="34"/>
      <c r="B59" s="6"/>
      <c r="C59" s="6"/>
      <c r="D59" s="0" t="str">
        <f aca="false">IF(C59="","",IFERROR(VLOOKUP(C59,'Recetas y precios'!$A$5:$B$55,2,FALSE()),""))</f>
        <v/>
      </c>
      <c r="E59" s="6"/>
      <c r="F59" s="6"/>
      <c r="G59" s="6"/>
      <c r="H59" s="16" t="str">
        <f aca="false">IF((F59+G59)&gt;0,G59/(F59+G59),"")</f>
        <v/>
      </c>
      <c r="I59" s="15" t="n">
        <f aca="false">IF(C59="",0,IFERROR(VLOOKUP(C59,'Recetas y precios'!$A$5:$R$55,18,FALSE()),0))</f>
        <v>0</v>
      </c>
      <c r="J59" s="15" t="n">
        <f aca="false">G59*I59</f>
        <v>0</v>
      </c>
      <c r="K59" s="24"/>
      <c r="L59" s="6"/>
    </row>
    <row r="60" customFormat="false" ht="15" hidden="false" customHeight="false" outlineLevel="0" collapsed="false">
      <c r="A60" s="34"/>
      <c r="B60" s="6"/>
      <c r="C60" s="6"/>
      <c r="D60" s="0" t="str">
        <f aca="false">IF(C60="","",IFERROR(VLOOKUP(C60,'Recetas y precios'!$A$5:$B$55,2,FALSE()),""))</f>
        <v/>
      </c>
      <c r="E60" s="6"/>
      <c r="F60" s="6"/>
      <c r="G60" s="6"/>
      <c r="H60" s="16" t="str">
        <f aca="false">IF((F60+G60)&gt;0,G60/(F60+G60),"")</f>
        <v/>
      </c>
      <c r="I60" s="15" t="n">
        <f aca="false">IF(C60="",0,IFERROR(VLOOKUP(C60,'Recetas y precios'!$A$5:$R$55,18,FALSE()),0))</f>
        <v>0</v>
      </c>
      <c r="J60" s="15" t="n">
        <f aca="false">G60*I60</f>
        <v>0</v>
      </c>
      <c r="K60" s="24"/>
      <c r="L60" s="6"/>
    </row>
    <row r="61" customFormat="false" ht="15" hidden="false" customHeight="false" outlineLevel="0" collapsed="false">
      <c r="A61" s="34"/>
      <c r="B61" s="6"/>
      <c r="C61" s="6"/>
      <c r="D61" s="0" t="str">
        <f aca="false">IF(C61="","",IFERROR(VLOOKUP(C61,'Recetas y precios'!$A$5:$B$55,2,FALSE()),""))</f>
        <v/>
      </c>
      <c r="E61" s="6"/>
      <c r="F61" s="6"/>
      <c r="G61" s="6"/>
      <c r="H61" s="16" t="str">
        <f aca="false">IF((F61+G61)&gt;0,G61/(F61+G61),"")</f>
        <v/>
      </c>
      <c r="I61" s="15" t="n">
        <f aca="false">IF(C61="",0,IFERROR(VLOOKUP(C61,'Recetas y precios'!$A$5:$R$55,18,FALSE()),0))</f>
        <v>0</v>
      </c>
      <c r="J61" s="15" t="n">
        <f aca="false">G61*I61</f>
        <v>0</v>
      </c>
      <c r="K61" s="24"/>
      <c r="L61" s="6"/>
    </row>
    <row r="62" customFormat="false" ht="15" hidden="false" customHeight="false" outlineLevel="0" collapsed="false">
      <c r="A62" s="34"/>
      <c r="B62" s="6"/>
      <c r="C62" s="6"/>
      <c r="D62" s="0" t="str">
        <f aca="false">IF(C62="","",IFERROR(VLOOKUP(C62,'Recetas y precios'!$A$5:$B$55,2,FALSE()),""))</f>
        <v/>
      </c>
      <c r="E62" s="6"/>
      <c r="F62" s="6"/>
      <c r="G62" s="6"/>
      <c r="H62" s="16" t="str">
        <f aca="false">IF((F62+G62)&gt;0,G62/(F62+G62),"")</f>
        <v/>
      </c>
      <c r="I62" s="15" t="n">
        <f aca="false">IF(C62="",0,IFERROR(VLOOKUP(C62,'Recetas y precios'!$A$5:$R$55,18,FALSE()),0))</f>
        <v>0</v>
      </c>
      <c r="J62" s="15" t="n">
        <f aca="false">G62*I62</f>
        <v>0</v>
      </c>
      <c r="K62" s="24"/>
      <c r="L62" s="6"/>
    </row>
    <row r="63" customFormat="false" ht="15" hidden="false" customHeight="false" outlineLevel="0" collapsed="false">
      <c r="A63" s="34"/>
      <c r="B63" s="6"/>
      <c r="C63" s="6"/>
      <c r="D63" s="0" t="str">
        <f aca="false">IF(C63="","",IFERROR(VLOOKUP(C63,'Recetas y precios'!$A$5:$B$55,2,FALSE()),""))</f>
        <v/>
      </c>
      <c r="E63" s="6"/>
      <c r="F63" s="6"/>
      <c r="G63" s="6"/>
      <c r="H63" s="16" t="str">
        <f aca="false">IF((F63+G63)&gt;0,G63/(F63+G63),"")</f>
        <v/>
      </c>
      <c r="I63" s="15" t="n">
        <f aca="false">IF(C63="",0,IFERROR(VLOOKUP(C63,'Recetas y precios'!$A$5:$R$55,18,FALSE()),0))</f>
        <v>0</v>
      </c>
      <c r="J63" s="15" t="n">
        <f aca="false">G63*I63</f>
        <v>0</v>
      </c>
      <c r="K63" s="24"/>
      <c r="L63" s="6"/>
    </row>
    <row r="64" customFormat="false" ht="15" hidden="false" customHeight="false" outlineLevel="0" collapsed="false">
      <c r="A64" s="34"/>
      <c r="B64" s="6"/>
      <c r="C64" s="6"/>
      <c r="D64" s="0" t="str">
        <f aca="false">IF(C64="","",IFERROR(VLOOKUP(C64,'Recetas y precios'!$A$5:$B$55,2,FALSE()),""))</f>
        <v/>
      </c>
      <c r="E64" s="6"/>
      <c r="F64" s="6"/>
      <c r="G64" s="6"/>
      <c r="H64" s="16" t="str">
        <f aca="false">IF((F64+G64)&gt;0,G64/(F64+G64),"")</f>
        <v/>
      </c>
      <c r="I64" s="15" t="n">
        <f aca="false">IF(C64="",0,IFERROR(VLOOKUP(C64,'Recetas y precios'!$A$5:$R$55,18,FALSE()),0))</f>
        <v>0</v>
      </c>
      <c r="J64" s="15" t="n">
        <f aca="false">G64*I64</f>
        <v>0</v>
      </c>
      <c r="K64" s="24"/>
      <c r="L64" s="6"/>
    </row>
    <row r="65" customFormat="false" ht="15" hidden="false" customHeight="false" outlineLevel="0" collapsed="false">
      <c r="A65" s="34"/>
      <c r="B65" s="6"/>
      <c r="C65" s="6"/>
      <c r="D65" s="0" t="str">
        <f aca="false">IF(C65="","",IFERROR(VLOOKUP(C65,'Recetas y precios'!$A$5:$B$55,2,FALSE()),""))</f>
        <v/>
      </c>
      <c r="E65" s="6"/>
      <c r="F65" s="6"/>
      <c r="G65" s="6"/>
      <c r="H65" s="16" t="str">
        <f aca="false">IF((F65+G65)&gt;0,G65/(F65+G65),"")</f>
        <v/>
      </c>
      <c r="I65" s="15" t="n">
        <f aca="false">IF(C65="",0,IFERROR(VLOOKUP(C65,'Recetas y precios'!$A$5:$R$55,18,FALSE()),0))</f>
        <v>0</v>
      </c>
      <c r="J65" s="15" t="n">
        <f aca="false">G65*I65</f>
        <v>0</v>
      </c>
      <c r="K65" s="24"/>
      <c r="L65" s="6"/>
    </row>
    <row r="66" customFormat="false" ht="15" hidden="false" customHeight="false" outlineLevel="0" collapsed="false">
      <c r="A66" s="34"/>
      <c r="B66" s="6"/>
      <c r="C66" s="6"/>
      <c r="D66" s="0" t="str">
        <f aca="false">IF(C66="","",IFERROR(VLOOKUP(C66,'Recetas y precios'!$A$5:$B$55,2,FALSE()),""))</f>
        <v/>
      </c>
      <c r="E66" s="6"/>
      <c r="F66" s="6"/>
      <c r="G66" s="6"/>
      <c r="H66" s="16" t="str">
        <f aca="false">IF((F66+G66)&gt;0,G66/(F66+G66),"")</f>
        <v/>
      </c>
      <c r="I66" s="15" t="n">
        <f aca="false">IF(C66="",0,IFERROR(VLOOKUP(C66,'Recetas y precios'!$A$5:$R$55,18,FALSE()),0))</f>
        <v>0</v>
      </c>
      <c r="J66" s="15" t="n">
        <f aca="false">G66*I66</f>
        <v>0</v>
      </c>
      <c r="K66" s="24"/>
      <c r="L66" s="6"/>
    </row>
    <row r="67" customFormat="false" ht="15" hidden="false" customHeight="false" outlineLevel="0" collapsed="false">
      <c r="A67" s="34"/>
      <c r="B67" s="6"/>
      <c r="C67" s="6"/>
      <c r="D67" s="0" t="str">
        <f aca="false">IF(C67="","",IFERROR(VLOOKUP(C67,'Recetas y precios'!$A$5:$B$55,2,FALSE()),""))</f>
        <v/>
      </c>
      <c r="E67" s="6"/>
      <c r="F67" s="6"/>
      <c r="G67" s="6"/>
      <c r="H67" s="16" t="str">
        <f aca="false">IF((F67+G67)&gt;0,G67/(F67+G67),"")</f>
        <v/>
      </c>
      <c r="I67" s="15" t="n">
        <f aca="false">IF(C67="",0,IFERROR(VLOOKUP(C67,'Recetas y precios'!$A$5:$R$55,18,FALSE()),0))</f>
        <v>0</v>
      </c>
      <c r="J67" s="15" t="n">
        <f aca="false">G67*I67</f>
        <v>0</v>
      </c>
      <c r="K67" s="24"/>
      <c r="L67" s="6"/>
    </row>
    <row r="68" customFormat="false" ht="15" hidden="false" customHeight="false" outlineLevel="0" collapsed="false">
      <c r="A68" s="34"/>
      <c r="B68" s="6"/>
      <c r="C68" s="6"/>
      <c r="D68" s="0" t="str">
        <f aca="false">IF(C68="","",IFERROR(VLOOKUP(C68,'Recetas y precios'!$A$5:$B$55,2,FALSE()),""))</f>
        <v/>
      </c>
      <c r="E68" s="6"/>
      <c r="F68" s="6"/>
      <c r="G68" s="6"/>
      <c r="H68" s="16" t="str">
        <f aca="false">IF((F68+G68)&gt;0,G68/(F68+G68),"")</f>
        <v/>
      </c>
      <c r="I68" s="15" t="n">
        <f aca="false">IF(C68="",0,IFERROR(VLOOKUP(C68,'Recetas y precios'!$A$5:$R$55,18,FALSE()),0))</f>
        <v>0</v>
      </c>
      <c r="J68" s="15" t="n">
        <f aca="false">G68*I68</f>
        <v>0</v>
      </c>
      <c r="K68" s="24"/>
      <c r="L68" s="6"/>
    </row>
    <row r="69" customFormat="false" ht="15" hidden="false" customHeight="false" outlineLevel="0" collapsed="false">
      <c r="A69" s="34"/>
      <c r="B69" s="6"/>
      <c r="C69" s="6"/>
      <c r="D69" s="0" t="str">
        <f aca="false">IF(C69="","",IFERROR(VLOOKUP(C69,'Recetas y precios'!$A$5:$B$55,2,FALSE()),""))</f>
        <v/>
      </c>
      <c r="E69" s="6"/>
      <c r="F69" s="6"/>
      <c r="G69" s="6"/>
      <c r="H69" s="16" t="str">
        <f aca="false">IF((F69+G69)&gt;0,G69/(F69+G69),"")</f>
        <v/>
      </c>
      <c r="I69" s="15" t="n">
        <f aca="false">IF(C69="",0,IFERROR(VLOOKUP(C69,'Recetas y precios'!$A$5:$R$55,18,FALSE()),0))</f>
        <v>0</v>
      </c>
      <c r="J69" s="15" t="n">
        <f aca="false">G69*I69</f>
        <v>0</v>
      </c>
      <c r="K69" s="24"/>
      <c r="L69" s="6"/>
    </row>
    <row r="70" customFormat="false" ht="15" hidden="false" customHeight="false" outlineLevel="0" collapsed="false">
      <c r="A70" s="34"/>
      <c r="B70" s="6"/>
      <c r="C70" s="6"/>
      <c r="D70" s="0" t="str">
        <f aca="false">IF(C70="","",IFERROR(VLOOKUP(C70,'Recetas y precios'!$A$5:$B$55,2,FALSE()),""))</f>
        <v/>
      </c>
      <c r="E70" s="6"/>
      <c r="F70" s="6"/>
      <c r="G70" s="6"/>
      <c r="H70" s="16" t="str">
        <f aca="false">IF((F70+G70)&gt;0,G70/(F70+G70),"")</f>
        <v/>
      </c>
      <c r="I70" s="15" t="n">
        <f aca="false">IF(C70="",0,IFERROR(VLOOKUP(C70,'Recetas y precios'!$A$5:$R$55,18,FALSE()),0))</f>
        <v>0</v>
      </c>
      <c r="J70" s="15" t="n">
        <f aca="false">G70*I70</f>
        <v>0</v>
      </c>
      <c r="K70" s="24"/>
      <c r="L70" s="6"/>
    </row>
    <row r="71" customFormat="false" ht="15" hidden="false" customHeight="false" outlineLevel="0" collapsed="false">
      <c r="A71" s="34"/>
      <c r="B71" s="6"/>
      <c r="C71" s="6"/>
      <c r="D71" s="0" t="str">
        <f aca="false">IF(C71="","",IFERROR(VLOOKUP(C71,'Recetas y precios'!$A$5:$B$55,2,FALSE()),""))</f>
        <v/>
      </c>
      <c r="E71" s="6"/>
      <c r="F71" s="6"/>
      <c r="G71" s="6"/>
      <c r="H71" s="16" t="str">
        <f aca="false">IF((F71+G71)&gt;0,G71/(F71+G71),"")</f>
        <v/>
      </c>
      <c r="I71" s="15" t="n">
        <f aca="false">IF(C71="",0,IFERROR(VLOOKUP(C71,'Recetas y precios'!$A$5:$R$55,18,FALSE()),0))</f>
        <v>0</v>
      </c>
      <c r="J71" s="15" t="n">
        <f aca="false">G71*I71</f>
        <v>0</v>
      </c>
      <c r="K71" s="24"/>
      <c r="L71" s="6"/>
    </row>
    <row r="72" customFormat="false" ht="15" hidden="false" customHeight="false" outlineLevel="0" collapsed="false">
      <c r="A72" s="34"/>
      <c r="B72" s="6"/>
      <c r="C72" s="6"/>
      <c r="D72" s="0" t="str">
        <f aca="false">IF(C72="","",IFERROR(VLOOKUP(C72,'Recetas y precios'!$A$5:$B$55,2,FALSE()),""))</f>
        <v/>
      </c>
      <c r="E72" s="6"/>
      <c r="F72" s="6"/>
      <c r="G72" s="6"/>
      <c r="H72" s="16" t="str">
        <f aca="false">IF((F72+G72)&gt;0,G72/(F72+G72),"")</f>
        <v/>
      </c>
      <c r="I72" s="15" t="n">
        <f aca="false">IF(C72="",0,IFERROR(VLOOKUP(C72,'Recetas y precios'!$A$5:$R$55,18,FALSE()),0))</f>
        <v>0</v>
      </c>
      <c r="J72" s="15" t="n">
        <f aca="false">G72*I72</f>
        <v>0</v>
      </c>
      <c r="K72" s="24"/>
      <c r="L72" s="6"/>
    </row>
    <row r="73" customFormat="false" ht="15" hidden="false" customHeight="false" outlineLevel="0" collapsed="false">
      <c r="A73" s="34"/>
      <c r="B73" s="6"/>
      <c r="C73" s="6"/>
      <c r="D73" s="0" t="str">
        <f aca="false">IF(C73="","",IFERROR(VLOOKUP(C73,'Recetas y precios'!$A$5:$B$55,2,FALSE()),""))</f>
        <v/>
      </c>
      <c r="E73" s="6"/>
      <c r="F73" s="6"/>
      <c r="G73" s="6"/>
      <c r="H73" s="16" t="str">
        <f aca="false">IF((F73+G73)&gt;0,G73/(F73+G73),"")</f>
        <v/>
      </c>
      <c r="I73" s="15" t="n">
        <f aca="false">IF(C73="",0,IFERROR(VLOOKUP(C73,'Recetas y precios'!$A$5:$R$55,18,FALSE()),0))</f>
        <v>0</v>
      </c>
      <c r="J73" s="15" t="n">
        <f aca="false">G73*I73</f>
        <v>0</v>
      </c>
      <c r="K73" s="24"/>
      <c r="L73" s="6"/>
    </row>
    <row r="74" customFormat="false" ht="15" hidden="false" customHeight="false" outlineLevel="0" collapsed="false">
      <c r="A74" s="34"/>
      <c r="B74" s="6"/>
      <c r="C74" s="6"/>
      <c r="D74" s="0" t="str">
        <f aca="false">IF(C74="","",IFERROR(VLOOKUP(C74,'Recetas y precios'!$A$5:$B$55,2,FALSE()),""))</f>
        <v/>
      </c>
      <c r="E74" s="6"/>
      <c r="F74" s="6"/>
      <c r="G74" s="6"/>
      <c r="H74" s="16" t="str">
        <f aca="false">IF((F74+G74)&gt;0,G74/(F74+G74),"")</f>
        <v/>
      </c>
      <c r="I74" s="15" t="n">
        <f aca="false">IF(C74="",0,IFERROR(VLOOKUP(C74,'Recetas y precios'!$A$5:$R$55,18,FALSE()),0))</f>
        <v>0</v>
      </c>
      <c r="J74" s="15" t="n">
        <f aca="false">G74*I74</f>
        <v>0</v>
      </c>
      <c r="K74" s="24"/>
      <c r="L74" s="6"/>
    </row>
    <row r="75" customFormat="false" ht="15" hidden="false" customHeight="false" outlineLevel="0" collapsed="false">
      <c r="A75" s="34"/>
      <c r="B75" s="6"/>
      <c r="C75" s="6"/>
      <c r="D75" s="0" t="str">
        <f aca="false">IF(C75="","",IFERROR(VLOOKUP(C75,'Recetas y precios'!$A$5:$B$55,2,FALSE()),""))</f>
        <v/>
      </c>
      <c r="E75" s="6"/>
      <c r="F75" s="6"/>
      <c r="G75" s="6"/>
      <c r="H75" s="16" t="str">
        <f aca="false">IF((F75+G75)&gt;0,G75/(F75+G75),"")</f>
        <v/>
      </c>
      <c r="I75" s="15" t="n">
        <f aca="false">IF(C75="",0,IFERROR(VLOOKUP(C75,'Recetas y precios'!$A$5:$R$55,18,FALSE()),0))</f>
        <v>0</v>
      </c>
      <c r="J75" s="15" t="n">
        <f aca="false">G75*I75</f>
        <v>0</v>
      </c>
      <c r="K75" s="24"/>
      <c r="L75" s="6"/>
    </row>
    <row r="76" customFormat="false" ht="15" hidden="false" customHeight="false" outlineLevel="0" collapsed="false">
      <c r="A76" s="34"/>
      <c r="B76" s="6"/>
      <c r="C76" s="6"/>
      <c r="D76" s="0" t="str">
        <f aca="false">IF(C76="","",IFERROR(VLOOKUP(C76,'Recetas y precios'!$A$5:$B$55,2,FALSE()),""))</f>
        <v/>
      </c>
      <c r="E76" s="6"/>
      <c r="F76" s="6"/>
      <c r="G76" s="6"/>
      <c r="H76" s="16" t="str">
        <f aca="false">IF((F76+G76)&gt;0,G76/(F76+G76),"")</f>
        <v/>
      </c>
      <c r="I76" s="15" t="n">
        <f aca="false">IF(C76="",0,IFERROR(VLOOKUP(C76,'Recetas y precios'!$A$5:$R$55,18,FALSE()),0))</f>
        <v>0</v>
      </c>
      <c r="J76" s="15" t="n">
        <f aca="false">G76*I76</f>
        <v>0</v>
      </c>
      <c r="K76" s="24"/>
      <c r="L76" s="6"/>
    </row>
    <row r="77" customFormat="false" ht="15" hidden="false" customHeight="false" outlineLevel="0" collapsed="false">
      <c r="A77" s="34"/>
      <c r="B77" s="6"/>
      <c r="C77" s="6"/>
      <c r="D77" s="0" t="str">
        <f aca="false">IF(C77="","",IFERROR(VLOOKUP(C77,'Recetas y precios'!$A$5:$B$55,2,FALSE()),""))</f>
        <v/>
      </c>
      <c r="E77" s="6"/>
      <c r="F77" s="6"/>
      <c r="G77" s="6"/>
      <c r="H77" s="16" t="str">
        <f aca="false">IF((F77+G77)&gt;0,G77/(F77+G77),"")</f>
        <v/>
      </c>
      <c r="I77" s="15" t="n">
        <f aca="false">IF(C77="",0,IFERROR(VLOOKUP(C77,'Recetas y precios'!$A$5:$R$55,18,FALSE()),0))</f>
        <v>0</v>
      </c>
      <c r="J77" s="15" t="n">
        <f aca="false">G77*I77</f>
        <v>0</v>
      </c>
      <c r="K77" s="24"/>
      <c r="L77" s="6"/>
    </row>
    <row r="78" customFormat="false" ht="15" hidden="false" customHeight="false" outlineLevel="0" collapsed="false">
      <c r="A78" s="34"/>
      <c r="B78" s="6"/>
      <c r="C78" s="6"/>
      <c r="D78" s="0" t="str">
        <f aca="false">IF(C78="","",IFERROR(VLOOKUP(C78,'Recetas y precios'!$A$5:$B$55,2,FALSE()),""))</f>
        <v/>
      </c>
      <c r="E78" s="6"/>
      <c r="F78" s="6"/>
      <c r="G78" s="6"/>
      <c r="H78" s="16" t="str">
        <f aca="false">IF((F78+G78)&gt;0,G78/(F78+G78),"")</f>
        <v/>
      </c>
      <c r="I78" s="15" t="n">
        <f aca="false">IF(C78="",0,IFERROR(VLOOKUP(C78,'Recetas y precios'!$A$5:$R$55,18,FALSE()),0))</f>
        <v>0</v>
      </c>
      <c r="J78" s="15" t="n">
        <f aca="false">G78*I78</f>
        <v>0</v>
      </c>
      <c r="K78" s="24"/>
      <c r="L78" s="6"/>
    </row>
    <row r="79" customFormat="false" ht="15" hidden="false" customHeight="false" outlineLevel="0" collapsed="false">
      <c r="A79" s="34"/>
      <c r="B79" s="6"/>
      <c r="C79" s="6"/>
      <c r="D79" s="0" t="str">
        <f aca="false">IF(C79="","",IFERROR(VLOOKUP(C79,'Recetas y precios'!$A$5:$B$55,2,FALSE()),""))</f>
        <v/>
      </c>
      <c r="E79" s="6"/>
      <c r="F79" s="6"/>
      <c r="G79" s="6"/>
      <c r="H79" s="16" t="str">
        <f aca="false">IF((F79+G79)&gt;0,G79/(F79+G79),"")</f>
        <v/>
      </c>
      <c r="I79" s="15" t="n">
        <f aca="false">IF(C79="",0,IFERROR(VLOOKUP(C79,'Recetas y precios'!$A$5:$R$55,18,FALSE()),0))</f>
        <v>0</v>
      </c>
      <c r="J79" s="15" t="n">
        <f aca="false">G79*I79</f>
        <v>0</v>
      </c>
      <c r="K79" s="24"/>
      <c r="L79" s="6"/>
    </row>
    <row r="80" customFormat="false" ht="15" hidden="false" customHeight="false" outlineLevel="0" collapsed="false">
      <c r="A80" s="34"/>
      <c r="B80" s="6"/>
      <c r="C80" s="6"/>
      <c r="D80" s="0" t="str">
        <f aca="false">IF(C80="","",IFERROR(VLOOKUP(C80,'Recetas y precios'!$A$5:$B$55,2,FALSE()),""))</f>
        <v/>
      </c>
      <c r="E80" s="6"/>
      <c r="F80" s="6"/>
      <c r="G80" s="6"/>
      <c r="H80" s="16" t="str">
        <f aca="false">IF((F80+G80)&gt;0,G80/(F80+G80),"")</f>
        <v/>
      </c>
      <c r="I80" s="15" t="n">
        <f aca="false">IF(C80="",0,IFERROR(VLOOKUP(C80,'Recetas y precios'!$A$5:$R$55,18,FALSE()),0))</f>
        <v>0</v>
      </c>
      <c r="J80" s="15" t="n">
        <f aca="false">G80*I80</f>
        <v>0</v>
      </c>
      <c r="K80" s="24"/>
      <c r="L80" s="6"/>
    </row>
    <row r="81" customFormat="false" ht="15" hidden="false" customHeight="false" outlineLevel="0" collapsed="false">
      <c r="A81" s="34"/>
      <c r="B81" s="6"/>
      <c r="C81" s="6"/>
      <c r="D81" s="0" t="str">
        <f aca="false">IF(C81="","",IFERROR(VLOOKUP(C81,'Recetas y precios'!$A$5:$B$55,2,FALSE()),""))</f>
        <v/>
      </c>
      <c r="E81" s="6"/>
      <c r="F81" s="6"/>
      <c r="G81" s="6"/>
      <c r="H81" s="16" t="str">
        <f aca="false">IF((F81+G81)&gt;0,G81/(F81+G81),"")</f>
        <v/>
      </c>
      <c r="I81" s="15" t="n">
        <f aca="false">IF(C81="",0,IFERROR(VLOOKUP(C81,'Recetas y precios'!$A$5:$R$55,18,FALSE()),0))</f>
        <v>0</v>
      </c>
      <c r="J81" s="15" t="n">
        <f aca="false">G81*I81</f>
        <v>0</v>
      </c>
      <c r="K81" s="24"/>
      <c r="L81" s="6"/>
    </row>
    <row r="82" customFormat="false" ht="15" hidden="false" customHeight="false" outlineLevel="0" collapsed="false">
      <c r="A82" s="34"/>
      <c r="B82" s="6"/>
      <c r="C82" s="6"/>
      <c r="D82" s="0" t="str">
        <f aca="false">IF(C82="","",IFERROR(VLOOKUP(C82,'Recetas y precios'!$A$5:$B$55,2,FALSE()),""))</f>
        <v/>
      </c>
      <c r="E82" s="6"/>
      <c r="F82" s="6"/>
      <c r="G82" s="6"/>
      <c r="H82" s="16" t="str">
        <f aca="false">IF((F82+G82)&gt;0,G82/(F82+G82),"")</f>
        <v/>
      </c>
      <c r="I82" s="15" t="n">
        <f aca="false">IF(C82="",0,IFERROR(VLOOKUP(C82,'Recetas y precios'!$A$5:$R$55,18,FALSE()),0))</f>
        <v>0</v>
      </c>
      <c r="J82" s="15" t="n">
        <f aca="false">G82*I82</f>
        <v>0</v>
      </c>
      <c r="K82" s="24"/>
      <c r="L82" s="6"/>
    </row>
    <row r="83" customFormat="false" ht="15" hidden="false" customHeight="false" outlineLevel="0" collapsed="false">
      <c r="A83" s="34"/>
      <c r="B83" s="6"/>
      <c r="C83" s="6"/>
      <c r="D83" s="0" t="str">
        <f aca="false">IF(C83="","",IFERROR(VLOOKUP(C83,'Recetas y precios'!$A$5:$B$55,2,FALSE()),""))</f>
        <v/>
      </c>
      <c r="E83" s="6"/>
      <c r="F83" s="6"/>
      <c r="G83" s="6"/>
      <c r="H83" s="16" t="str">
        <f aca="false">IF((F83+G83)&gt;0,G83/(F83+G83),"")</f>
        <v/>
      </c>
      <c r="I83" s="15" t="n">
        <f aca="false">IF(C83="",0,IFERROR(VLOOKUP(C83,'Recetas y precios'!$A$5:$R$55,18,FALSE()),0))</f>
        <v>0</v>
      </c>
      <c r="J83" s="15" t="n">
        <f aca="false">G83*I83</f>
        <v>0</v>
      </c>
      <c r="K83" s="24"/>
      <c r="L83" s="6"/>
    </row>
    <row r="84" customFormat="false" ht="15" hidden="false" customHeight="false" outlineLevel="0" collapsed="false">
      <c r="A84" s="34"/>
      <c r="B84" s="6"/>
      <c r="C84" s="6"/>
      <c r="D84" s="0" t="str">
        <f aca="false">IF(C84="","",IFERROR(VLOOKUP(C84,'Recetas y precios'!$A$5:$B$55,2,FALSE()),""))</f>
        <v/>
      </c>
      <c r="E84" s="6"/>
      <c r="F84" s="6"/>
      <c r="G84" s="6"/>
      <c r="H84" s="16" t="str">
        <f aca="false">IF((F84+G84)&gt;0,G84/(F84+G84),"")</f>
        <v/>
      </c>
      <c r="I84" s="15" t="n">
        <f aca="false">IF(C84="",0,IFERROR(VLOOKUP(C84,'Recetas y precios'!$A$5:$R$55,18,FALSE()),0))</f>
        <v>0</v>
      </c>
      <c r="J84" s="15" t="n">
        <f aca="false">G84*I84</f>
        <v>0</v>
      </c>
      <c r="K84" s="24"/>
      <c r="L84" s="6"/>
    </row>
    <row r="85" customFormat="false" ht="15" hidden="false" customHeight="false" outlineLevel="0" collapsed="false">
      <c r="A85" s="34"/>
      <c r="B85" s="6"/>
      <c r="C85" s="6"/>
      <c r="D85" s="0" t="str">
        <f aca="false">IF(C85="","",IFERROR(VLOOKUP(C85,'Recetas y precios'!$A$5:$B$55,2,FALSE()),""))</f>
        <v/>
      </c>
      <c r="E85" s="6"/>
      <c r="F85" s="6"/>
      <c r="G85" s="6"/>
      <c r="H85" s="16" t="str">
        <f aca="false">IF((F85+G85)&gt;0,G85/(F85+G85),"")</f>
        <v/>
      </c>
      <c r="I85" s="15" t="n">
        <f aca="false">IF(C85="",0,IFERROR(VLOOKUP(C85,'Recetas y precios'!$A$5:$R$55,18,FALSE()),0))</f>
        <v>0</v>
      </c>
      <c r="J85" s="15" t="n">
        <f aca="false">G85*I85</f>
        <v>0</v>
      </c>
      <c r="K85" s="24"/>
      <c r="L85" s="6"/>
    </row>
    <row r="86" customFormat="false" ht="15" hidden="false" customHeight="false" outlineLevel="0" collapsed="false">
      <c r="A86" s="34"/>
      <c r="B86" s="6"/>
      <c r="C86" s="6"/>
      <c r="D86" s="0" t="str">
        <f aca="false">IF(C86="","",IFERROR(VLOOKUP(C86,'Recetas y precios'!$A$5:$B$55,2,FALSE()),""))</f>
        <v/>
      </c>
      <c r="E86" s="6"/>
      <c r="F86" s="6"/>
      <c r="G86" s="6"/>
      <c r="H86" s="16" t="str">
        <f aca="false">IF((F86+G86)&gt;0,G86/(F86+G86),"")</f>
        <v/>
      </c>
      <c r="I86" s="15" t="n">
        <f aca="false">IF(C86="",0,IFERROR(VLOOKUP(C86,'Recetas y precios'!$A$5:$R$55,18,FALSE()),0))</f>
        <v>0</v>
      </c>
      <c r="J86" s="15" t="n">
        <f aca="false">G86*I86</f>
        <v>0</v>
      </c>
      <c r="K86" s="24"/>
      <c r="L86" s="6"/>
    </row>
    <row r="87" customFormat="false" ht="15" hidden="false" customHeight="false" outlineLevel="0" collapsed="false">
      <c r="A87" s="34"/>
      <c r="B87" s="6"/>
      <c r="C87" s="6"/>
      <c r="D87" s="0" t="str">
        <f aca="false">IF(C87="","",IFERROR(VLOOKUP(C87,'Recetas y precios'!$A$5:$B$55,2,FALSE()),""))</f>
        <v/>
      </c>
      <c r="E87" s="6"/>
      <c r="F87" s="6"/>
      <c r="G87" s="6"/>
      <c r="H87" s="16" t="str">
        <f aca="false">IF((F87+G87)&gt;0,G87/(F87+G87),"")</f>
        <v/>
      </c>
      <c r="I87" s="15" t="n">
        <f aca="false">IF(C87="",0,IFERROR(VLOOKUP(C87,'Recetas y precios'!$A$5:$R$55,18,FALSE()),0))</f>
        <v>0</v>
      </c>
      <c r="J87" s="15" t="n">
        <f aca="false">G87*I87</f>
        <v>0</v>
      </c>
      <c r="K87" s="24"/>
      <c r="L87" s="6"/>
    </row>
    <row r="88" customFormat="false" ht="15" hidden="false" customHeight="false" outlineLevel="0" collapsed="false">
      <c r="A88" s="34"/>
      <c r="B88" s="6"/>
      <c r="C88" s="6"/>
      <c r="D88" s="0" t="str">
        <f aca="false">IF(C88="","",IFERROR(VLOOKUP(C88,'Recetas y precios'!$A$5:$B$55,2,FALSE()),""))</f>
        <v/>
      </c>
      <c r="E88" s="6"/>
      <c r="F88" s="6"/>
      <c r="G88" s="6"/>
      <c r="H88" s="16" t="str">
        <f aca="false">IF((F88+G88)&gt;0,G88/(F88+G88),"")</f>
        <v/>
      </c>
      <c r="I88" s="15" t="n">
        <f aca="false">IF(C88="",0,IFERROR(VLOOKUP(C88,'Recetas y precios'!$A$5:$R$55,18,FALSE()),0))</f>
        <v>0</v>
      </c>
      <c r="J88" s="15" t="n">
        <f aca="false">G88*I88</f>
        <v>0</v>
      </c>
      <c r="K88" s="24"/>
      <c r="L88" s="6"/>
    </row>
    <row r="89" customFormat="false" ht="15" hidden="false" customHeight="false" outlineLevel="0" collapsed="false">
      <c r="A89" s="34"/>
      <c r="B89" s="6"/>
      <c r="C89" s="6"/>
      <c r="D89" s="0" t="str">
        <f aca="false">IF(C89="","",IFERROR(VLOOKUP(C89,'Recetas y precios'!$A$5:$B$55,2,FALSE()),""))</f>
        <v/>
      </c>
      <c r="E89" s="6"/>
      <c r="F89" s="6"/>
      <c r="G89" s="6"/>
      <c r="H89" s="16" t="str">
        <f aca="false">IF((F89+G89)&gt;0,G89/(F89+G89),"")</f>
        <v/>
      </c>
      <c r="I89" s="15" t="n">
        <f aca="false">IF(C89="",0,IFERROR(VLOOKUP(C89,'Recetas y precios'!$A$5:$R$55,18,FALSE()),0))</f>
        <v>0</v>
      </c>
      <c r="J89" s="15" t="n">
        <f aca="false">G89*I89</f>
        <v>0</v>
      </c>
      <c r="K89" s="24"/>
      <c r="L89" s="6"/>
    </row>
    <row r="90" customFormat="false" ht="15" hidden="false" customHeight="false" outlineLevel="0" collapsed="false">
      <c r="A90" s="34"/>
      <c r="B90" s="6"/>
      <c r="C90" s="6"/>
      <c r="D90" s="0" t="str">
        <f aca="false">IF(C90="","",IFERROR(VLOOKUP(C90,'Recetas y precios'!$A$5:$B$55,2,FALSE()),""))</f>
        <v/>
      </c>
      <c r="E90" s="6"/>
      <c r="F90" s="6"/>
      <c r="G90" s="6"/>
      <c r="H90" s="16" t="str">
        <f aca="false">IF((F90+G90)&gt;0,G90/(F90+G90),"")</f>
        <v/>
      </c>
      <c r="I90" s="15" t="n">
        <f aca="false">IF(C90="",0,IFERROR(VLOOKUP(C90,'Recetas y precios'!$A$5:$R$55,18,FALSE()),0))</f>
        <v>0</v>
      </c>
      <c r="J90" s="15" t="n">
        <f aca="false">G90*I90</f>
        <v>0</v>
      </c>
      <c r="K90" s="24"/>
      <c r="L90" s="6"/>
    </row>
    <row r="91" customFormat="false" ht="15" hidden="false" customHeight="false" outlineLevel="0" collapsed="false">
      <c r="A91" s="34"/>
      <c r="B91" s="6"/>
      <c r="C91" s="6"/>
      <c r="D91" s="0" t="str">
        <f aca="false">IF(C91="","",IFERROR(VLOOKUP(C91,'Recetas y precios'!$A$5:$B$55,2,FALSE()),""))</f>
        <v/>
      </c>
      <c r="E91" s="6"/>
      <c r="F91" s="6"/>
      <c r="G91" s="6"/>
      <c r="H91" s="16" t="str">
        <f aca="false">IF((F91+G91)&gt;0,G91/(F91+G91),"")</f>
        <v/>
      </c>
      <c r="I91" s="15" t="n">
        <f aca="false">IF(C91="",0,IFERROR(VLOOKUP(C91,'Recetas y precios'!$A$5:$R$55,18,FALSE()),0))</f>
        <v>0</v>
      </c>
      <c r="J91" s="15" t="n">
        <f aca="false">G91*I91</f>
        <v>0</v>
      </c>
      <c r="K91" s="24"/>
      <c r="L91" s="6"/>
    </row>
    <row r="92" customFormat="false" ht="15" hidden="false" customHeight="false" outlineLevel="0" collapsed="false">
      <c r="A92" s="34"/>
      <c r="B92" s="6"/>
      <c r="C92" s="6"/>
      <c r="D92" s="0" t="str">
        <f aca="false">IF(C92="","",IFERROR(VLOOKUP(C92,'Recetas y precios'!$A$5:$B$55,2,FALSE()),""))</f>
        <v/>
      </c>
      <c r="E92" s="6"/>
      <c r="F92" s="6"/>
      <c r="G92" s="6"/>
      <c r="H92" s="16" t="str">
        <f aca="false">IF((F92+G92)&gt;0,G92/(F92+G92),"")</f>
        <v/>
      </c>
      <c r="I92" s="15" t="n">
        <f aca="false">IF(C92="",0,IFERROR(VLOOKUP(C92,'Recetas y precios'!$A$5:$R$55,18,FALSE()),0))</f>
        <v>0</v>
      </c>
      <c r="J92" s="15" t="n">
        <f aca="false">G92*I92</f>
        <v>0</v>
      </c>
      <c r="K92" s="24"/>
      <c r="L92" s="6"/>
    </row>
    <row r="93" customFormat="false" ht="15" hidden="false" customHeight="false" outlineLevel="0" collapsed="false">
      <c r="A93" s="34"/>
      <c r="B93" s="6"/>
      <c r="C93" s="6"/>
      <c r="D93" s="0" t="str">
        <f aca="false">IF(C93="","",IFERROR(VLOOKUP(C93,'Recetas y precios'!$A$5:$B$55,2,FALSE()),""))</f>
        <v/>
      </c>
      <c r="E93" s="6"/>
      <c r="F93" s="6"/>
      <c r="G93" s="6"/>
      <c r="H93" s="16" t="str">
        <f aca="false">IF((F93+G93)&gt;0,G93/(F93+G93),"")</f>
        <v/>
      </c>
      <c r="I93" s="15" t="n">
        <f aca="false">IF(C93="",0,IFERROR(VLOOKUP(C93,'Recetas y precios'!$A$5:$R$55,18,FALSE()),0))</f>
        <v>0</v>
      </c>
      <c r="J93" s="15" t="n">
        <f aca="false">G93*I93</f>
        <v>0</v>
      </c>
      <c r="K93" s="24"/>
      <c r="L93" s="6"/>
    </row>
    <row r="94" customFormat="false" ht="15" hidden="false" customHeight="false" outlineLevel="0" collapsed="false">
      <c r="A94" s="34"/>
      <c r="B94" s="6"/>
      <c r="C94" s="6"/>
      <c r="D94" s="0" t="str">
        <f aca="false">IF(C94="","",IFERROR(VLOOKUP(C94,'Recetas y precios'!$A$5:$B$55,2,FALSE()),""))</f>
        <v/>
      </c>
      <c r="E94" s="6"/>
      <c r="F94" s="6"/>
      <c r="G94" s="6"/>
      <c r="H94" s="16" t="str">
        <f aca="false">IF((F94+G94)&gt;0,G94/(F94+G94),"")</f>
        <v/>
      </c>
      <c r="I94" s="15" t="n">
        <f aca="false">IF(C94="",0,IFERROR(VLOOKUP(C94,'Recetas y precios'!$A$5:$R$55,18,FALSE()),0))</f>
        <v>0</v>
      </c>
      <c r="J94" s="15" t="n">
        <f aca="false">G94*I94</f>
        <v>0</v>
      </c>
      <c r="K94" s="24"/>
      <c r="L94" s="6"/>
    </row>
    <row r="95" customFormat="false" ht="15" hidden="false" customHeight="false" outlineLevel="0" collapsed="false">
      <c r="A95" s="34"/>
      <c r="B95" s="6"/>
      <c r="C95" s="6"/>
      <c r="D95" s="0" t="str">
        <f aca="false">IF(C95="","",IFERROR(VLOOKUP(C95,'Recetas y precios'!$A$5:$B$55,2,FALSE()),""))</f>
        <v/>
      </c>
      <c r="E95" s="6"/>
      <c r="F95" s="6"/>
      <c r="G95" s="6"/>
      <c r="H95" s="16" t="str">
        <f aca="false">IF((F95+G95)&gt;0,G95/(F95+G95),"")</f>
        <v/>
      </c>
      <c r="I95" s="15" t="n">
        <f aca="false">IF(C95="",0,IFERROR(VLOOKUP(C95,'Recetas y precios'!$A$5:$R$55,18,FALSE()),0))</f>
        <v>0</v>
      </c>
      <c r="J95" s="15" t="n">
        <f aca="false">G95*I95</f>
        <v>0</v>
      </c>
      <c r="K95" s="24"/>
      <c r="L95" s="6"/>
    </row>
    <row r="96" customFormat="false" ht="15" hidden="false" customHeight="false" outlineLevel="0" collapsed="false">
      <c r="A96" s="34"/>
      <c r="B96" s="6"/>
      <c r="C96" s="6"/>
      <c r="D96" s="0" t="str">
        <f aca="false">IF(C96="","",IFERROR(VLOOKUP(C96,'Recetas y precios'!$A$5:$B$55,2,FALSE()),""))</f>
        <v/>
      </c>
      <c r="E96" s="6"/>
      <c r="F96" s="6"/>
      <c r="G96" s="6"/>
      <c r="H96" s="16" t="str">
        <f aca="false">IF((F96+G96)&gt;0,G96/(F96+G96),"")</f>
        <v/>
      </c>
      <c r="I96" s="15" t="n">
        <f aca="false">IF(C96="",0,IFERROR(VLOOKUP(C96,'Recetas y precios'!$A$5:$R$55,18,FALSE()),0))</f>
        <v>0</v>
      </c>
      <c r="J96" s="15" t="n">
        <f aca="false">G96*I96</f>
        <v>0</v>
      </c>
      <c r="K96" s="24"/>
      <c r="L96" s="6"/>
    </row>
    <row r="97" customFormat="false" ht="15" hidden="false" customHeight="false" outlineLevel="0" collapsed="false">
      <c r="A97" s="34"/>
      <c r="B97" s="6"/>
      <c r="C97" s="6"/>
      <c r="D97" s="0" t="str">
        <f aca="false">IF(C97="","",IFERROR(VLOOKUP(C97,'Recetas y precios'!$A$5:$B$55,2,FALSE()),""))</f>
        <v/>
      </c>
      <c r="E97" s="6"/>
      <c r="F97" s="6"/>
      <c r="G97" s="6"/>
      <c r="H97" s="16" t="str">
        <f aca="false">IF((F97+G97)&gt;0,G97/(F97+G97),"")</f>
        <v/>
      </c>
      <c r="I97" s="15" t="n">
        <f aca="false">IF(C97="",0,IFERROR(VLOOKUP(C97,'Recetas y precios'!$A$5:$R$55,18,FALSE()),0))</f>
        <v>0</v>
      </c>
      <c r="J97" s="15" t="n">
        <f aca="false">G97*I97</f>
        <v>0</v>
      </c>
      <c r="K97" s="24"/>
      <c r="L97" s="6"/>
    </row>
    <row r="98" customFormat="false" ht="15" hidden="false" customHeight="false" outlineLevel="0" collapsed="false">
      <c r="A98" s="34"/>
      <c r="B98" s="6"/>
      <c r="C98" s="6"/>
      <c r="D98" s="0" t="str">
        <f aca="false">IF(C98="","",IFERROR(VLOOKUP(C98,'Recetas y precios'!$A$5:$B$55,2,FALSE()),""))</f>
        <v/>
      </c>
      <c r="E98" s="6"/>
      <c r="F98" s="6"/>
      <c r="G98" s="6"/>
      <c r="H98" s="16" t="str">
        <f aca="false">IF((F98+G98)&gt;0,G98/(F98+G98),"")</f>
        <v/>
      </c>
      <c r="I98" s="15" t="n">
        <f aca="false">IF(C98="",0,IFERROR(VLOOKUP(C98,'Recetas y precios'!$A$5:$R$55,18,FALSE()),0))</f>
        <v>0</v>
      </c>
      <c r="J98" s="15" t="n">
        <f aca="false">G98*I98</f>
        <v>0</v>
      </c>
      <c r="K98" s="24"/>
      <c r="L98" s="6"/>
    </row>
    <row r="99" customFormat="false" ht="15" hidden="false" customHeight="false" outlineLevel="0" collapsed="false">
      <c r="A99" s="34"/>
      <c r="B99" s="6"/>
      <c r="C99" s="6"/>
      <c r="D99" s="0" t="str">
        <f aca="false">IF(C99="","",IFERROR(VLOOKUP(C99,'Recetas y precios'!$A$5:$B$55,2,FALSE()),""))</f>
        <v/>
      </c>
      <c r="E99" s="6"/>
      <c r="F99" s="6"/>
      <c r="G99" s="6"/>
      <c r="H99" s="16" t="str">
        <f aca="false">IF((F99+G99)&gt;0,G99/(F99+G99),"")</f>
        <v/>
      </c>
      <c r="I99" s="15" t="n">
        <f aca="false">IF(C99="",0,IFERROR(VLOOKUP(C99,'Recetas y precios'!$A$5:$R$55,18,FALSE()),0))</f>
        <v>0</v>
      </c>
      <c r="J99" s="15" t="n">
        <f aca="false">G99*I99</f>
        <v>0</v>
      </c>
      <c r="K99" s="24"/>
      <c r="L99" s="6"/>
    </row>
    <row r="100" customFormat="false" ht="15" hidden="false" customHeight="false" outlineLevel="0" collapsed="false">
      <c r="A100" s="34"/>
      <c r="B100" s="6"/>
      <c r="C100" s="6"/>
      <c r="D100" s="0" t="str">
        <f aca="false">IF(C100="","",IFERROR(VLOOKUP(C100,'Recetas y precios'!$A$5:$B$55,2,FALSE()),""))</f>
        <v/>
      </c>
      <c r="E100" s="6"/>
      <c r="F100" s="6"/>
      <c r="G100" s="6"/>
      <c r="H100" s="16" t="str">
        <f aca="false">IF((F100+G100)&gt;0,G100/(F100+G100),"")</f>
        <v/>
      </c>
      <c r="I100" s="15" t="n">
        <f aca="false">IF(C100="",0,IFERROR(VLOOKUP(C100,'Recetas y precios'!$A$5:$R$55,18,FALSE()),0))</f>
        <v>0</v>
      </c>
      <c r="J100" s="15" t="n">
        <f aca="false">G100*I100</f>
        <v>0</v>
      </c>
      <c r="K100" s="24"/>
      <c r="L100" s="6"/>
    </row>
    <row r="101" customFormat="false" ht="15" hidden="false" customHeight="false" outlineLevel="0" collapsed="false">
      <c r="A101" s="34"/>
      <c r="B101" s="6"/>
      <c r="C101" s="6"/>
      <c r="D101" s="0" t="str">
        <f aca="false">IF(C101="","",IFERROR(VLOOKUP(C101,'Recetas y precios'!$A$5:$B$55,2,FALSE()),""))</f>
        <v/>
      </c>
      <c r="E101" s="6"/>
      <c r="F101" s="6"/>
      <c r="G101" s="6"/>
      <c r="H101" s="16" t="str">
        <f aca="false">IF((F101+G101)&gt;0,G101/(F101+G101),"")</f>
        <v/>
      </c>
      <c r="I101" s="15" t="n">
        <f aca="false">IF(C101="",0,IFERROR(VLOOKUP(C101,'Recetas y precios'!$A$5:$R$55,18,FALSE()),0))</f>
        <v>0</v>
      </c>
      <c r="J101" s="15" t="n">
        <f aca="false">G101*I101</f>
        <v>0</v>
      </c>
      <c r="K101" s="24"/>
      <c r="L101" s="6"/>
    </row>
    <row r="102" customFormat="false" ht="15" hidden="false" customHeight="false" outlineLevel="0" collapsed="false">
      <c r="A102" s="34"/>
      <c r="B102" s="6"/>
      <c r="C102" s="6"/>
      <c r="D102" s="0" t="str">
        <f aca="false">IF(C102="","",IFERROR(VLOOKUP(C102,'Recetas y precios'!$A$5:$B$55,2,FALSE()),""))</f>
        <v/>
      </c>
      <c r="E102" s="6"/>
      <c r="F102" s="6"/>
      <c r="G102" s="6"/>
      <c r="H102" s="16" t="str">
        <f aca="false">IF((F102+G102)&gt;0,G102/(F102+G102),"")</f>
        <v/>
      </c>
      <c r="I102" s="15" t="n">
        <f aca="false">IF(C102="",0,IFERROR(VLOOKUP(C102,'Recetas y precios'!$A$5:$R$55,18,FALSE()),0))</f>
        <v>0</v>
      </c>
      <c r="J102" s="15" t="n">
        <f aca="false">G102*I102</f>
        <v>0</v>
      </c>
      <c r="K102" s="24"/>
      <c r="L102" s="6"/>
    </row>
    <row r="103" customFormat="false" ht="15" hidden="false" customHeight="false" outlineLevel="0" collapsed="false">
      <c r="A103" s="34"/>
      <c r="B103" s="6"/>
      <c r="C103" s="6"/>
      <c r="D103" s="0" t="str">
        <f aca="false">IF(C103="","",IFERROR(VLOOKUP(C103,'Recetas y precios'!$A$5:$B$55,2,FALSE()),""))</f>
        <v/>
      </c>
      <c r="E103" s="6"/>
      <c r="F103" s="6"/>
      <c r="G103" s="6"/>
      <c r="H103" s="16" t="str">
        <f aca="false">IF((F103+G103)&gt;0,G103/(F103+G103),"")</f>
        <v/>
      </c>
      <c r="I103" s="15" t="n">
        <f aca="false">IF(C103="",0,IFERROR(VLOOKUP(C103,'Recetas y precios'!$A$5:$R$55,18,FALSE()),0))</f>
        <v>0</v>
      </c>
      <c r="J103" s="15" t="n">
        <f aca="false">G103*I103</f>
        <v>0</v>
      </c>
      <c r="K103" s="24"/>
      <c r="L103" s="6"/>
    </row>
    <row r="104" customFormat="false" ht="15" hidden="false" customHeight="false" outlineLevel="0" collapsed="false">
      <c r="A104" s="34"/>
      <c r="B104" s="6"/>
      <c r="C104" s="6"/>
      <c r="D104" s="0" t="str">
        <f aca="false">IF(C104="","",IFERROR(VLOOKUP(C104,'Recetas y precios'!$A$5:$B$55,2,FALSE()),""))</f>
        <v/>
      </c>
      <c r="E104" s="6"/>
      <c r="F104" s="6"/>
      <c r="G104" s="6"/>
      <c r="H104" s="16" t="str">
        <f aca="false">IF((F104+G104)&gt;0,G104/(F104+G104),"")</f>
        <v/>
      </c>
      <c r="I104" s="15" t="n">
        <f aca="false">IF(C104="",0,IFERROR(VLOOKUP(C104,'Recetas y precios'!$A$5:$R$55,18,FALSE()),0))</f>
        <v>0</v>
      </c>
      <c r="J104" s="15" t="n">
        <f aca="false">G104*I104</f>
        <v>0</v>
      </c>
      <c r="K104" s="24"/>
      <c r="L104" s="6"/>
    </row>
    <row r="105" customFormat="false" ht="15" hidden="false" customHeight="false" outlineLevel="0" collapsed="false">
      <c r="A105" s="34"/>
      <c r="B105" s="6"/>
      <c r="C105" s="6"/>
      <c r="D105" s="0" t="str">
        <f aca="false">IF(C105="","",IFERROR(VLOOKUP(C105,'Recetas y precios'!$A$5:$B$55,2,FALSE()),""))</f>
        <v/>
      </c>
      <c r="E105" s="6"/>
      <c r="F105" s="6"/>
      <c r="G105" s="6"/>
      <c r="H105" s="16" t="str">
        <f aca="false">IF((F105+G105)&gt;0,G105/(F105+G105),"")</f>
        <v/>
      </c>
      <c r="I105" s="15" t="n">
        <f aca="false">IF(C105="",0,IFERROR(VLOOKUP(C105,'Recetas y precios'!$A$5:$R$55,18,FALSE()),0))</f>
        <v>0</v>
      </c>
      <c r="J105" s="15" t="n">
        <f aca="false">G105*I105</f>
        <v>0</v>
      </c>
      <c r="K105" s="24"/>
      <c r="L105" s="6"/>
    </row>
    <row r="106" customFormat="false" ht="15" hidden="false" customHeight="false" outlineLevel="0" collapsed="false">
      <c r="A106" s="34"/>
      <c r="B106" s="6"/>
      <c r="C106" s="6"/>
      <c r="D106" s="0" t="str">
        <f aca="false">IF(C106="","",IFERROR(VLOOKUP(C106,'Recetas y precios'!$A$5:$B$55,2,FALSE()),""))</f>
        <v/>
      </c>
      <c r="E106" s="6"/>
      <c r="F106" s="6"/>
      <c r="G106" s="6"/>
      <c r="H106" s="16" t="str">
        <f aca="false">IF((F106+G106)&gt;0,G106/(F106+G106),"")</f>
        <v/>
      </c>
      <c r="I106" s="15" t="n">
        <f aca="false">IF(C106="",0,IFERROR(VLOOKUP(C106,'Recetas y precios'!$A$5:$R$55,18,FALSE()),0))</f>
        <v>0</v>
      </c>
      <c r="J106" s="15" t="n">
        <f aca="false">G106*I106</f>
        <v>0</v>
      </c>
      <c r="K106" s="24"/>
      <c r="L106" s="6"/>
    </row>
    <row r="107" customFormat="false" ht="15" hidden="false" customHeight="false" outlineLevel="0" collapsed="false">
      <c r="A107" s="34"/>
      <c r="B107" s="6"/>
      <c r="C107" s="6"/>
      <c r="D107" s="0" t="str">
        <f aca="false">IF(C107="","",IFERROR(VLOOKUP(C107,'Recetas y precios'!$A$5:$B$55,2,FALSE()),""))</f>
        <v/>
      </c>
      <c r="E107" s="6"/>
      <c r="F107" s="6"/>
      <c r="G107" s="6"/>
      <c r="H107" s="16" t="str">
        <f aca="false">IF((F107+G107)&gt;0,G107/(F107+G107),"")</f>
        <v/>
      </c>
      <c r="I107" s="15" t="n">
        <f aca="false">IF(C107="",0,IFERROR(VLOOKUP(C107,'Recetas y precios'!$A$5:$R$55,18,FALSE()),0))</f>
        <v>0</v>
      </c>
      <c r="J107" s="15" t="n">
        <f aca="false">G107*I107</f>
        <v>0</v>
      </c>
      <c r="K107" s="24"/>
      <c r="L107" s="6"/>
    </row>
    <row r="108" customFormat="false" ht="15" hidden="false" customHeight="false" outlineLevel="0" collapsed="false">
      <c r="A108" s="34"/>
      <c r="B108" s="6"/>
      <c r="C108" s="6"/>
      <c r="D108" s="0" t="str">
        <f aca="false">IF(C108="","",IFERROR(VLOOKUP(C108,'Recetas y precios'!$A$5:$B$55,2,FALSE()),""))</f>
        <v/>
      </c>
      <c r="E108" s="6"/>
      <c r="F108" s="6"/>
      <c r="G108" s="6"/>
      <c r="H108" s="16" t="str">
        <f aca="false">IF((F108+G108)&gt;0,G108/(F108+G108),"")</f>
        <v/>
      </c>
      <c r="I108" s="15" t="n">
        <f aca="false">IF(C108="",0,IFERROR(VLOOKUP(C108,'Recetas y precios'!$A$5:$R$55,18,FALSE()),0))</f>
        <v>0</v>
      </c>
      <c r="J108" s="15" t="n">
        <f aca="false">G108*I108</f>
        <v>0</v>
      </c>
      <c r="K108" s="24"/>
      <c r="L108" s="6"/>
    </row>
    <row r="109" customFormat="false" ht="15" hidden="false" customHeight="false" outlineLevel="0" collapsed="false">
      <c r="A109" s="34"/>
      <c r="B109" s="6"/>
      <c r="C109" s="6"/>
      <c r="D109" s="0" t="str">
        <f aca="false">IF(C109="","",IFERROR(VLOOKUP(C109,'Recetas y precios'!$A$5:$B$55,2,FALSE()),""))</f>
        <v/>
      </c>
      <c r="E109" s="6"/>
      <c r="F109" s="6"/>
      <c r="G109" s="6"/>
      <c r="H109" s="16" t="str">
        <f aca="false">IF((F109+G109)&gt;0,G109/(F109+G109),"")</f>
        <v/>
      </c>
      <c r="I109" s="15" t="n">
        <f aca="false">IF(C109="",0,IFERROR(VLOOKUP(C109,'Recetas y precios'!$A$5:$R$55,18,FALSE()),0))</f>
        <v>0</v>
      </c>
      <c r="J109" s="15" t="n">
        <f aca="false">G109*I109</f>
        <v>0</v>
      </c>
      <c r="K109" s="24"/>
      <c r="L109" s="6"/>
    </row>
    <row r="110" customFormat="false" ht="15" hidden="false" customHeight="false" outlineLevel="0" collapsed="false">
      <c r="A110" s="34"/>
      <c r="B110" s="6"/>
      <c r="C110" s="6"/>
      <c r="D110" s="0" t="str">
        <f aca="false">IF(C110="","",IFERROR(VLOOKUP(C110,'Recetas y precios'!$A$5:$B$55,2,FALSE()),""))</f>
        <v/>
      </c>
      <c r="E110" s="6"/>
      <c r="F110" s="6"/>
      <c r="G110" s="6"/>
      <c r="H110" s="16" t="str">
        <f aca="false">IF((F110+G110)&gt;0,G110/(F110+G110),"")</f>
        <v/>
      </c>
      <c r="I110" s="15" t="n">
        <f aca="false">IF(C110="",0,IFERROR(VLOOKUP(C110,'Recetas y precios'!$A$5:$R$55,18,FALSE()),0))</f>
        <v>0</v>
      </c>
      <c r="J110" s="15" t="n">
        <f aca="false">G110*I110</f>
        <v>0</v>
      </c>
      <c r="K110" s="24"/>
      <c r="L110" s="6"/>
    </row>
    <row r="111" customFormat="false" ht="15" hidden="false" customHeight="false" outlineLevel="0" collapsed="false">
      <c r="A111" s="34"/>
      <c r="B111" s="6"/>
      <c r="C111" s="6"/>
      <c r="D111" s="0" t="str">
        <f aca="false">IF(C111="","",IFERROR(VLOOKUP(C111,'Recetas y precios'!$A$5:$B$55,2,FALSE()),""))</f>
        <v/>
      </c>
      <c r="E111" s="6"/>
      <c r="F111" s="6"/>
      <c r="G111" s="6"/>
      <c r="H111" s="16" t="str">
        <f aca="false">IF((F111+G111)&gt;0,G111/(F111+G111),"")</f>
        <v/>
      </c>
      <c r="I111" s="15" t="n">
        <f aca="false">IF(C111="",0,IFERROR(VLOOKUP(C111,'Recetas y precios'!$A$5:$R$55,18,FALSE()),0))</f>
        <v>0</v>
      </c>
      <c r="J111" s="15" t="n">
        <f aca="false">G111*I111</f>
        <v>0</v>
      </c>
      <c r="K111" s="24"/>
      <c r="L111" s="6"/>
    </row>
    <row r="112" customFormat="false" ht="15" hidden="false" customHeight="false" outlineLevel="0" collapsed="false">
      <c r="A112" s="34"/>
      <c r="B112" s="6"/>
      <c r="C112" s="6"/>
      <c r="D112" s="0" t="str">
        <f aca="false">IF(C112="","",IFERROR(VLOOKUP(C112,'Recetas y precios'!$A$5:$B$55,2,FALSE()),""))</f>
        <v/>
      </c>
      <c r="E112" s="6"/>
      <c r="F112" s="6"/>
      <c r="G112" s="6"/>
      <c r="H112" s="16" t="str">
        <f aca="false">IF((F112+G112)&gt;0,G112/(F112+G112),"")</f>
        <v/>
      </c>
      <c r="I112" s="15" t="n">
        <f aca="false">IF(C112="",0,IFERROR(VLOOKUP(C112,'Recetas y precios'!$A$5:$R$55,18,FALSE()),0))</f>
        <v>0</v>
      </c>
      <c r="J112" s="15" t="n">
        <f aca="false">G112*I112</f>
        <v>0</v>
      </c>
      <c r="K112" s="24"/>
      <c r="L112" s="6"/>
    </row>
    <row r="113" customFormat="false" ht="15" hidden="false" customHeight="false" outlineLevel="0" collapsed="false">
      <c r="A113" s="34"/>
      <c r="B113" s="6"/>
      <c r="C113" s="6"/>
      <c r="D113" s="0" t="str">
        <f aca="false">IF(C113="","",IFERROR(VLOOKUP(C113,'Recetas y precios'!$A$5:$B$55,2,FALSE()),""))</f>
        <v/>
      </c>
      <c r="E113" s="6"/>
      <c r="F113" s="6"/>
      <c r="G113" s="6"/>
      <c r="H113" s="16" t="str">
        <f aca="false">IF((F113+G113)&gt;0,G113/(F113+G113),"")</f>
        <v/>
      </c>
      <c r="I113" s="15" t="n">
        <f aca="false">IF(C113="",0,IFERROR(VLOOKUP(C113,'Recetas y precios'!$A$5:$R$55,18,FALSE()),0))</f>
        <v>0</v>
      </c>
      <c r="J113" s="15" t="n">
        <f aca="false">G113*I113</f>
        <v>0</v>
      </c>
      <c r="K113" s="24"/>
      <c r="L113" s="6"/>
    </row>
    <row r="114" customFormat="false" ht="15" hidden="false" customHeight="false" outlineLevel="0" collapsed="false">
      <c r="A114" s="34"/>
      <c r="B114" s="6"/>
      <c r="C114" s="6"/>
      <c r="D114" s="0" t="str">
        <f aca="false">IF(C114="","",IFERROR(VLOOKUP(C114,'Recetas y precios'!$A$5:$B$55,2,FALSE()),""))</f>
        <v/>
      </c>
      <c r="E114" s="6"/>
      <c r="F114" s="6"/>
      <c r="G114" s="6"/>
      <c r="H114" s="16" t="str">
        <f aca="false">IF((F114+G114)&gt;0,G114/(F114+G114),"")</f>
        <v/>
      </c>
      <c r="I114" s="15" t="n">
        <f aca="false">IF(C114="",0,IFERROR(VLOOKUP(C114,'Recetas y precios'!$A$5:$R$55,18,FALSE()),0))</f>
        <v>0</v>
      </c>
      <c r="J114" s="15" t="n">
        <f aca="false">G114*I114</f>
        <v>0</v>
      </c>
      <c r="K114" s="24"/>
      <c r="L114" s="6"/>
    </row>
    <row r="115" customFormat="false" ht="15" hidden="false" customHeight="false" outlineLevel="0" collapsed="false">
      <c r="A115" s="34"/>
      <c r="B115" s="6"/>
      <c r="C115" s="6"/>
      <c r="D115" s="0" t="str">
        <f aca="false">IF(C115="","",IFERROR(VLOOKUP(C115,'Recetas y precios'!$A$5:$B$55,2,FALSE()),""))</f>
        <v/>
      </c>
      <c r="E115" s="6"/>
      <c r="F115" s="6"/>
      <c r="G115" s="6"/>
      <c r="H115" s="16" t="str">
        <f aca="false">IF((F115+G115)&gt;0,G115/(F115+G115),"")</f>
        <v/>
      </c>
      <c r="I115" s="15" t="n">
        <f aca="false">IF(C115="",0,IFERROR(VLOOKUP(C115,'Recetas y precios'!$A$5:$R$55,18,FALSE()),0))</f>
        <v>0</v>
      </c>
      <c r="J115" s="15" t="n">
        <f aca="false">G115*I115</f>
        <v>0</v>
      </c>
      <c r="K115" s="24"/>
      <c r="L115" s="6"/>
    </row>
    <row r="116" customFormat="false" ht="15" hidden="false" customHeight="false" outlineLevel="0" collapsed="false">
      <c r="A116" s="34"/>
      <c r="B116" s="6"/>
      <c r="C116" s="6"/>
      <c r="D116" s="0" t="str">
        <f aca="false">IF(C116="","",IFERROR(VLOOKUP(C116,'Recetas y precios'!$A$5:$B$55,2,FALSE()),""))</f>
        <v/>
      </c>
      <c r="E116" s="6"/>
      <c r="F116" s="6"/>
      <c r="G116" s="6"/>
      <c r="H116" s="16" t="str">
        <f aca="false">IF((F116+G116)&gt;0,G116/(F116+G116),"")</f>
        <v/>
      </c>
      <c r="I116" s="15" t="n">
        <f aca="false">IF(C116="",0,IFERROR(VLOOKUP(C116,'Recetas y precios'!$A$5:$R$55,18,FALSE()),0))</f>
        <v>0</v>
      </c>
      <c r="J116" s="15" t="n">
        <f aca="false">G116*I116</f>
        <v>0</v>
      </c>
      <c r="K116" s="24"/>
      <c r="L116" s="6"/>
    </row>
    <row r="117" customFormat="false" ht="15" hidden="false" customHeight="false" outlineLevel="0" collapsed="false">
      <c r="A117" s="34"/>
      <c r="B117" s="6"/>
      <c r="C117" s="6"/>
      <c r="D117" s="0" t="str">
        <f aca="false">IF(C117="","",IFERROR(VLOOKUP(C117,'Recetas y precios'!$A$5:$B$55,2,FALSE()),""))</f>
        <v/>
      </c>
      <c r="E117" s="6"/>
      <c r="F117" s="6"/>
      <c r="G117" s="6"/>
      <c r="H117" s="16" t="str">
        <f aca="false">IF((F117+G117)&gt;0,G117/(F117+G117),"")</f>
        <v/>
      </c>
      <c r="I117" s="15" t="n">
        <f aca="false">IF(C117="",0,IFERROR(VLOOKUP(C117,'Recetas y precios'!$A$5:$R$55,18,FALSE()),0))</f>
        <v>0</v>
      </c>
      <c r="J117" s="15" t="n">
        <f aca="false">G117*I117</f>
        <v>0</v>
      </c>
      <c r="K117" s="24"/>
      <c r="L117" s="6"/>
    </row>
    <row r="118" customFormat="false" ht="15" hidden="false" customHeight="false" outlineLevel="0" collapsed="false">
      <c r="A118" s="34"/>
      <c r="B118" s="6"/>
      <c r="C118" s="6"/>
      <c r="D118" s="0" t="str">
        <f aca="false">IF(C118="","",IFERROR(VLOOKUP(C118,'Recetas y precios'!$A$5:$B$55,2,FALSE()),""))</f>
        <v/>
      </c>
      <c r="E118" s="6"/>
      <c r="F118" s="6"/>
      <c r="G118" s="6"/>
      <c r="H118" s="16" t="str">
        <f aca="false">IF((F118+G118)&gt;0,G118/(F118+G118),"")</f>
        <v/>
      </c>
      <c r="I118" s="15" t="n">
        <f aca="false">IF(C118="",0,IFERROR(VLOOKUP(C118,'Recetas y precios'!$A$5:$R$55,18,FALSE()),0))</f>
        <v>0</v>
      </c>
      <c r="J118" s="15" t="n">
        <f aca="false">G118*I118</f>
        <v>0</v>
      </c>
      <c r="K118" s="24"/>
      <c r="L118" s="6"/>
    </row>
    <row r="119" customFormat="false" ht="15" hidden="false" customHeight="false" outlineLevel="0" collapsed="false">
      <c r="A119" s="34"/>
      <c r="B119" s="6"/>
      <c r="C119" s="6"/>
      <c r="D119" s="0" t="str">
        <f aca="false">IF(C119="","",IFERROR(VLOOKUP(C119,'Recetas y precios'!$A$5:$B$55,2,FALSE()),""))</f>
        <v/>
      </c>
      <c r="E119" s="6"/>
      <c r="F119" s="6"/>
      <c r="G119" s="6"/>
      <c r="H119" s="16" t="str">
        <f aca="false">IF((F119+G119)&gt;0,G119/(F119+G119),"")</f>
        <v/>
      </c>
      <c r="I119" s="15" t="n">
        <f aca="false">IF(C119="",0,IFERROR(VLOOKUP(C119,'Recetas y precios'!$A$5:$R$55,18,FALSE()),0))</f>
        <v>0</v>
      </c>
      <c r="J119" s="15" t="n">
        <f aca="false">G119*I119</f>
        <v>0</v>
      </c>
      <c r="K119" s="24"/>
      <c r="L119" s="6"/>
    </row>
    <row r="120" customFormat="false" ht="15" hidden="false" customHeight="false" outlineLevel="0" collapsed="false">
      <c r="A120" s="34"/>
      <c r="B120" s="6"/>
      <c r="C120" s="6"/>
      <c r="D120" s="0" t="str">
        <f aca="false">IF(C120="","",IFERROR(VLOOKUP(C120,'Recetas y precios'!$A$5:$B$55,2,FALSE()),""))</f>
        <v/>
      </c>
      <c r="E120" s="6"/>
      <c r="F120" s="6"/>
      <c r="G120" s="6"/>
      <c r="H120" s="16" t="str">
        <f aca="false">IF((F120+G120)&gt;0,G120/(F120+G120),"")</f>
        <v/>
      </c>
      <c r="I120" s="15" t="n">
        <f aca="false">IF(C120="",0,IFERROR(VLOOKUP(C120,'Recetas y precios'!$A$5:$R$55,18,FALSE()),0))</f>
        <v>0</v>
      </c>
      <c r="J120" s="15" t="n">
        <f aca="false">G120*I120</f>
        <v>0</v>
      </c>
      <c r="K120" s="24"/>
      <c r="L120" s="6"/>
    </row>
    <row r="121" customFormat="false" ht="15" hidden="false" customHeight="false" outlineLevel="0" collapsed="false">
      <c r="A121" s="34"/>
      <c r="B121" s="6"/>
      <c r="C121" s="6"/>
      <c r="D121" s="0" t="str">
        <f aca="false">IF(C121="","",IFERROR(VLOOKUP(C121,'Recetas y precios'!$A$5:$B$55,2,FALSE()),""))</f>
        <v/>
      </c>
      <c r="E121" s="6"/>
      <c r="F121" s="6"/>
      <c r="G121" s="6"/>
      <c r="H121" s="16" t="str">
        <f aca="false">IF((F121+G121)&gt;0,G121/(F121+G121),"")</f>
        <v/>
      </c>
      <c r="I121" s="15" t="n">
        <f aca="false">IF(C121="",0,IFERROR(VLOOKUP(C121,'Recetas y precios'!$A$5:$R$55,18,FALSE()),0))</f>
        <v>0</v>
      </c>
      <c r="J121" s="15" t="n">
        <f aca="false">G121*I121</f>
        <v>0</v>
      </c>
      <c r="K121" s="24"/>
      <c r="L121" s="6"/>
    </row>
    <row r="122" customFormat="false" ht="15" hidden="false" customHeight="false" outlineLevel="0" collapsed="false">
      <c r="A122" s="34"/>
      <c r="B122" s="6"/>
      <c r="C122" s="6"/>
      <c r="D122" s="0" t="str">
        <f aca="false">IF(C122="","",IFERROR(VLOOKUP(C122,'Recetas y precios'!$A$5:$B$55,2,FALSE()),""))</f>
        <v/>
      </c>
      <c r="E122" s="6"/>
      <c r="F122" s="6"/>
      <c r="G122" s="6"/>
      <c r="H122" s="16" t="str">
        <f aca="false">IF((F122+G122)&gt;0,G122/(F122+G122),"")</f>
        <v/>
      </c>
      <c r="I122" s="15" t="n">
        <f aca="false">IF(C122="",0,IFERROR(VLOOKUP(C122,'Recetas y precios'!$A$5:$R$55,18,FALSE()),0))</f>
        <v>0</v>
      </c>
      <c r="J122" s="15" t="n">
        <f aca="false">G122*I122</f>
        <v>0</v>
      </c>
      <c r="K122" s="24"/>
      <c r="L122" s="6"/>
    </row>
    <row r="123" customFormat="false" ht="15" hidden="false" customHeight="false" outlineLevel="0" collapsed="false">
      <c r="A123" s="34"/>
      <c r="B123" s="6"/>
      <c r="C123" s="6"/>
      <c r="D123" s="0" t="str">
        <f aca="false">IF(C123="","",IFERROR(VLOOKUP(C123,'Recetas y precios'!$A$5:$B$55,2,FALSE()),""))</f>
        <v/>
      </c>
      <c r="E123" s="6"/>
      <c r="F123" s="6"/>
      <c r="G123" s="6"/>
      <c r="H123" s="16" t="str">
        <f aca="false">IF((F123+G123)&gt;0,G123/(F123+G123),"")</f>
        <v/>
      </c>
      <c r="I123" s="15" t="n">
        <f aca="false">IF(C123="",0,IFERROR(VLOOKUP(C123,'Recetas y precios'!$A$5:$R$55,18,FALSE()),0))</f>
        <v>0</v>
      </c>
      <c r="J123" s="15" t="n">
        <f aca="false">G123*I123</f>
        <v>0</v>
      </c>
      <c r="K123" s="24"/>
      <c r="L123" s="6"/>
    </row>
    <row r="124" customFormat="false" ht="15" hidden="false" customHeight="false" outlineLevel="0" collapsed="false">
      <c r="A124" s="34"/>
      <c r="B124" s="6"/>
      <c r="C124" s="6"/>
      <c r="D124" s="0" t="str">
        <f aca="false">IF(C124="","",IFERROR(VLOOKUP(C124,'Recetas y precios'!$A$5:$B$55,2,FALSE()),""))</f>
        <v/>
      </c>
      <c r="E124" s="6"/>
      <c r="F124" s="6"/>
      <c r="G124" s="6"/>
      <c r="H124" s="16" t="str">
        <f aca="false">IF((F124+G124)&gt;0,G124/(F124+G124),"")</f>
        <v/>
      </c>
      <c r="I124" s="15" t="n">
        <f aca="false">IF(C124="",0,IFERROR(VLOOKUP(C124,'Recetas y precios'!$A$5:$R$55,18,FALSE()),0))</f>
        <v>0</v>
      </c>
      <c r="J124" s="15" t="n">
        <f aca="false">G124*I124</f>
        <v>0</v>
      </c>
      <c r="K124" s="24"/>
      <c r="L124" s="6"/>
    </row>
    <row r="125" customFormat="false" ht="15" hidden="false" customHeight="false" outlineLevel="0" collapsed="false">
      <c r="A125" s="34"/>
      <c r="B125" s="6"/>
      <c r="C125" s="6"/>
      <c r="D125" s="0" t="str">
        <f aca="false">IF(C125="","",IFERROR(VLOOKUP(C125,'Recetas y precios'!$A$5:$B$55,2,FALSE()),""))</f>
        <v/>
      </c>
      <c r="E125" s="6"/>
      <c r="F125" s="6"/>
      <c r="G125" s="6"/>
      <c r="H125" s="16" t="str">
        <f aca="false">IF((F125+G125)&gt;0,G125/(F125+G125),"")</f>
        <v/>
      </c>
      <c r="I125" s="15" t="n">
        <f aca="false">IF(C125="",0,IFERROR(VLOOKUP(C125,'Recetas y precios'!$A$5:$R$55,18,FALSE()),0))</f>
        <v>0</v>
      </c>
      <c r="J125" s="15" t="n">
        <f aca="false">G125*I125</f>
        <v>0</v>
      </c>
      <c r="K125" s="24"/>
      <c r="L125" s="6"/>
    </row>
    <row r="126" customFormat="false" ht="15" hidden="false" customHeight="false" outlineLevel="0" collapsed="false">
      <c r="A126" s="34"/>
      <c r="B126" s="6"/>
      <c r="C126" s="6"/>
      <c r="D126" s="0" t="str">
        <f aca="false">IF(C126="","",IFERROR(VLOOKUP(C126,'Recetas y precios'!$A$5:$B$55,2,FALSE()),""))</f>
        <v/>
      </c>
      <c r="E126" s="6"/>
      <c r="F126" s="6"/>
      <c r="G126" s="6"/>
      <c r="H126" s="16" t="str">
        <f aca="false">IF((F126+G126)&gt;0,G126/(F126+G126),"")</f>
        <v/>
      </c>
      <c r="I126" s="15" t="n">
        <f aca="false">IF(C126="",0,IFERROR(VLOOKUP(C126,'Recetas y precios'!$A$5:$R$55,18,FALSE()),0))</f>
        <v>0</v>
      </c>
      <c r="J126" s="15" t="n">
        <f aca="false">G126*I126</f>
        <v>0</v>
      </c>
      <c r="K126" s="24"/>
      <c r="L126" s="6"/>
    </row>
    <row r="127" customFormat="false" ht="15" hidden="false" customHeight="false" outlineLevel="0" collapsed="false">
      <c r="A127" s="34"/>
      <c r="B127" s="6"/>
      <c r="C127" s="6"/>
      <c r="D127" s="0" t="str">
        <f aca="false">IF(C127="","",IFERROR(VLOOKUP(C127,'Recetas y precios'!$A$5:$B$55,2,FALSE()),""))</f>
        <v/>
      </c>
      <c r="E127" s="6"/>
      <c r="F127" s="6"/>
      <c r="G127" s="6"/>
      <c r="H127" s="16" t="str">
        <f aca="false">IF((F127+G127)&gt;0,G127/(F127+G127),"")</f>
        <v/>
      </c>
      <c r="I127" s="15" t="n">
        <f aca="false">IF(C127="",0,IFERROR(VLOOKUP(C127,'Recetas y precios'!$A$5:$R$55,18,FALSE()),0))</f>
        <v>0</v>
      </c>
      <c r="J127" s="15" t="n">
        <f aca="false">G127*I127</f>
        <v>0</v>
      </c>
      <c r="K127" s="24"/>
      <c r="L127" s="6"/>
    </row>
    <row r="128" customFormat="false" ht="15" hidden="false" customHeight="false" outlineLevel="0" collapsed="false">
      <c r="A128" s="34"/>
      <c r="B128" s="6"/>
      <c r="C128" s="6"/>
      <c r="D128" s="0" t="str">
        <f aca="false">IF(C128="","",IFERROR(VLOOKUP(C128,'Recetas y precios'!$A$5:$B$55,2,FALSE()),""))</f>
        <v/>
      </c>
      <c r="E128" s="6"/>
      <c r="F128" s="6"/>
      <c r="G128" s="6"/>
      <c r="H128" s="16" t="str">
        <f aca="false">IF((F128+G128)&gt;0,G128/(F128+G128),"")</f>
        <v/>
      </c>
      <c r="I128" s="15" t="n">
        <f aca="false">IF(C128="",0,IFERROR(VLOOKUP(C128,'Recetas y precios'!$A$5:$R$55,18,FALSE()),0))</f>
        <v>0</v>
      </c>
      <c r="J128" s="15" t="n">
        <f aca="false">G128*I128</f>
        <v>0</v>
      </c>
      <c r="K128" s="24"/>
      <c r="L128" s="6"/>
    </row>
    <row r="129" customFormat="false" ht="15" hidden="false" customHeight="false" outlineLevel="0" collapsed="false">
      <c r="A129" s="34"/>
      <c r="B129" s="6"/>
      <c r="C129" s="6"/>
      <c r="D129" s="0" t="str">
        <f aca="false">IF(C129="","",IFERROR(VLOOKUP(C129,'Recetas y precios'!$A$5:$B$55,2,FALSE()),""))</f>
        <v/>
      </c>
      <c r="E129" s="6"/>
      <c r="F129" s="6"/>
      <c r="G129" s="6"/>
      <c r="H129" s="16" t="str">
        <f aca="false">IF((F129+G129)&gt;0,G129/(F129+G129),"")</f>
        <v/>
      </c>
      <c r="I129" s="15" t="n">
        <f aca="false">IF(C129="",0,IFERROR(VLOOKUP(C129,'Recetas y precios'!$A$5:$R$55,18,FALSE()),0))</f>
        <v>0</v>
      </c>
      <c r="J129" s="15" t="n">
        <f aca="false">G129*I129</f>
        <v>0</v>
      </c>
      <c r="K129" s="24"/>
      <c r="L129" s="6"/>
    </row>
    <row r="130" customFormat="false" ht="15" hidden="false" customHeight="false" outlineLevel="0" collapsed="false">
      <c r="A130" s="34"/>
      <c r="B130" s="6"/>
      <c r="C130" s="6"/>
      <c r="D130" s="0" t="str">
        <f aca="false">IF(C130="","",IFERROR(VLOOKUP(C130,'Recetas y precios'!$A$5:$B$55,2,FALSE()),""))</f>
        <v/>
      </c>
      <c r="E130" s="6"/>
      <c r="F130" s="6"/>
      <c r="G130" s="6"/>
      <c r="H130" s="16" t="str">
        <f aca="false">IF((F130+G130)&gt;0,G130/(F130+G130),"")</f>
        <v/>
      </c>
      <c r="I130" s="15" t="n">
        <f aca="false">IF(C130="",0,IFERROR(VLOOKUP(C130,'Recetas y precios'!$A$5:$R$55,18,FALSE()),0))</f>
        <v>0</v>
      </c>
      <c r="J130" s="15" t="n">
        <f aca="false">G130*I130</f>
        <v>0</v>
      </c>
      <c r="K130" s="24"/>
      <c r="L130" s="6"/>
    </row>
    <row r="131" customFormat="false" ht="15" hidden="false" customHeight="false" outlineLevel="0" collapsed="false">
      <c r="A131" s="34"/>
      <c r="B131" s="6"/>
      <c r="C131" s="6"/>
      <c r="D131" s="0" t="str">
        <f aca="false">IF(C131="","",IFERROR(VLOOKUP(C131,'Recetas y precios'!$A$5:$B$55,2,FALSE()),""))</f>
        <v/>
      </c>
      <c r="E131" s="6"/>
      <c r="F131" s="6"/>
      <c r="G131" s="6"/>
      <c r="H131" s="16" t="str">
        <f aca="false">IF((F131+G131)&gt;0,G131/(F131+G131),"")</f>
        <v/>
      </c>
      <c r="I131" s="15" t="n">
        <f aca="false">IF(C131="",0,IFERROR(VLOOKUP(C131,'Recetas y precios'!$A$5:$R$55,18,FALSE()),0))</f>
        <v>0</v>
      </c>
      <c r="J131" s="15" t="n">
        <f aca="false">G131*I131</f>
        <v>0</v>
      </c>
      <c r="K131" s="24"/>
      <c r="L131" s="6"/>
    </row>
    <row r="132" customFormat="false" ht="15" hidden="false" customHeight="false" outlineLevel="0" collapsed="false">
      <c r="A132" s="34"/>
      <c r="B132" s="6"/>
      <c r="C132" s="6"/>
      <c r="D132" s="0" t="str">
        <f aca="false">IF(C132="","",IFERROR(VLOOKUP(C132,'Recetas y precios'!$A$5:$B$55,2,FALSE()),""))</f>
        <v/>
      </c>
      <c r="E132" s="6"/>
      <c r="F132" s="6"/>
      <c r="G132" s="6"/>
      <c r="H132" s="16" t="str">
        <f aca="false">IF((F132+G132)&gt;0,G132/(F132+G132),"")</f>
        <v/>
      </c>
      <c r="I132" s="15" t="n">
        <f aca="false">IF(C132="",0,IFERROR(VLOOKUP(C132,'Recetas y precios'!$A$5:$R$55,18,FALSE()),0))</f>
        <v>0</v>
      </c>
      <c r="J132" s="15" t="n">
        <f aca="false">G132*I132</f>
        <v>0</v>
      </c>
      <c r="K132" s="24"/>
      <c r="L132" s="6"/>
    </row>
    <row r="133" customFormat="false" ht="15" hidden="false" customHeight="false" outlineLevel="0" collapsed="false">
      <c r="A133" s="34"/>
      <c r="B133" s="6"/>
      <c r="C133" s="6"/>
      <c r="D133" s="0" t="str">
        <f aca="false">IF(C133="","",IFERROR(VLOOKUP(C133,'Recetas y precios'!$A$5:$B$55,2,FALSE()),""))</f>
        <v/>
      </c>
      <c r="E133" s="6"/>
      <c r="F133" s="6"/>
      <c r="G133" s="6"/>
      <c r="H133" s="16" t="str">
        <f aca="false">IF((F133+G133)&gt;0,G133/(F133+G133),"")</f>
        <v/>
      </c>
      <c r="I133" s="15" t="n">
        <f aca="false">IF(C133="",0,IFERROR(VLOOKUP(C133,'Recetas y precios'!$A$5:$R$55,18,FALSE()),0))</f>
        <v>0</v>
      </c>
      <c r="J133" s="15" t="n">
        <f aca="false">G133*I133</f>
        <v>0</v>
      </c>
      <c r="K133" s="24"/>
      <c r="L133" s="6"/>
    </row>
    <row r="134" customFormat="false" ht="15" hidden="false" customHeight="false" outlineLevel="0" collapsed="false">
      <c r="A134" s="34"/>
      <c r="B134" s="6"/>
      <c r="C134" s="6"/>
      <c r="D134" s="0" t="str">
        <f aca="false">IF(C134="","",IFERROR(VLOOKUP(C134,'Recetas y precios'!$A$5:$B$55,2,FALSE()),""))</f>
        <v/>
      </c>
      <c r="E134" s="6"/>
      <c r="F134" s="6"/>
      <c r="G134" s="6"/>
      <c r="H134" s="16" t="str">
        <f aca="false">IF((F134+G134)&gt;0,G134/(F134+G134),"")</f>
        <v/>
      </c>
      <c r="I134" s="15" t="n">
        <f aca="false">IF(C134="",0,IFERROR(VLOOKUP(C134,'Recetas y precios'!$A$5:$R$55,18,FALSE()),0))</f>
        <v>0</v>
      </c>
      <c r="J134" s="15" t="n">
        <f aca="false">G134*I134</f>
        <v>0</v>
      </c>
      <c r="K134" s="24"/>
      <c r="L134" s="6"/>
    </row>
    <row r="135" customFormat="false" ht="15" hidden="false" customHeight="false" outlineLevel="0" collapsed="false">
      <c r="A135" s="34"/>
      <c r="B135" s="6"/>
      <c r="C135" s="6"/>
      <c r="D135" s="0" t="str">
        <f aca="false">IF(C135="","",IFERROR(VLOOKUP(C135,'Recetas y precios'!$A$5:$B$55,2,FALSE()),""))</f>
        <v/>
      </c>
      <c r="E135" s="6"/>
      <c r="F135" s="6"/>
      <c r="G135" s="6"/>
      <c r="H135" s="16" t="str">
        <f aca="false">IF((F135+G135)&gt;0,G135/(F135+G135),"")</f>
        <v/>
      </c>
      <c r="I135" s="15" t="n">
        <f aca="false">IF(C135="",0,IFERROR(VLOOKUP(C135,'Recetas y precios'!$A$5:$R$55,18,FALSE()),0))</f>
        <v>0</v>
      </c>
      <c r="J135" s="15" t="n">
        <f aca="false">G135*I135</f>
        <v>0</v>
      </c>
      <c r="K135" s="24"/>
      <c r="L135" s="6"/>
    </row>
    <row r="136" customFormat="false" ht="15" hidden="false" customHeight="false" outlineLevel="0" collapsed="false">
      <c r="A136" s="34"/>
      <c r="B136" s="6"/>
      <c r="C136" s="6"/>
      <c r="D136" s="0" t="str">
        <f aca="false">IF(C136="","",IFERROR(VLOOKUP(C136,'Recetas y precios'!$A$5:$B$55,2,FALSE()),""))</f>
        <v/>
      </c>
      <c r="E136" s="6"/>
      <c r="F136" s="6"/>
      <c r="G136" s="6"/>
      <c r="H136" s="16" t="str">
        <f aca="false">IF((F136+G136)&gt;0,G136/(F136+G136),"")</f>
        <v/>
      </c>
      <c r="I136" s="15" t="n">
        <f aca="false">IF(C136="",0,IFERROR(VLOOKUP(C136,'Recetas y precios'!$A$5:$R$55,18,FALSE()),0))</f>
        <v>0</v>
      </c>
      <c r="J136" s="15" t="n">
        <f aca="false">G136*I136</f>
        <v>0</v>
      </c>
      <c r="K136" s="24"/>
      <c r="L136" s="6"/>
    </row>
    <row r="137" customFormat="false" ht="15" hidden="false" customHeight="false" outlineLevel="0" collapsed="false">
      <c r="A137" s="34"/>
      <c r="B137" s="6"/>
      <c r="C137" s="6"/>
      <c r="D137" s="0" t="str">
        <f aca="false">IF(C137="","",IFERROR(VLOOKUP(C137,'Recetas y precios'!$A$5:$B$55,2,FALSE()),""))</f>
        <v/>
      </c>
      <c r="E137" s="6"/>
      <c r="F137" s="6"/>
      <c r="G137" s="6"/>
      <c r="H137" s="16" t="str">
        <f aca="false">IF((F137+G137)&gt;0,G137/(F137+G137),"")</f>
        <v/>
      </c>
      <c r="I137" s="15" t="n">
        <f aca="false">IF(C137="",0,IFERROR(VLOOKUP(C137,'Recetas y precios'!$A$5:$R$55,18,FALSE()),0))</f>
        <v>0</v>
      </c>
      <c r="J137" s="15" t="n">
        <f aca="false">G137*I137</f>
        <v>0</v>
      </c>
      <c r="K137" s="24"/>
      <c r="L137" s="6"/>
    </row>
    <row r="138" customFormat="false" ht="15" hidden="false" customHeight="false" outlineLevel="0" collapsed="false">
      <c r="A138" s="34"/>
      <c r="B138" s="6"/>
      <c r="C138" s="6"/>
      <c r="D138" s="0" t="str">
        <f aca="false">IF(C138="","",IFERROR(VLOOKUP(C138,'Recetas y precios'!$A$5:$B$55,2,FALSE()),""))</f>
        <v/>
      </c>
      <c r="E138" s="6"/>
      <c r="F138" s="6"/>
      <c r="G138" s="6"/>
      <c r="H138" s="16" t="str">
        <f aca="false">IF((F138+G138)&gt;0,G138/(F138+G138),"")</f>
        <v/>
      </c>
      <c r="I138" s="15" t="n">
        <f aca="false">IF(C138="",0,IFERROR(VLOOKUP(C138,'Recetas y precios'!$A$5:$R$55,18,FALSE()),0))</f>
        <v>0</v>
      </c>
      <c r="J138" s="15" t="n">
        <f aca="false">G138*I138</f>
        <v>0</v>
      </c>
      <c r="K138" s="24"/>
      <c r="L138" s="6"/>
    </row>
    <row r="139" customFormat="false" ht="15" hidden="false" customHeight="false" outlineLevel="0" collapsed="false">
      <c r="A139" s="34"/>
      <c r="B139" s="6"/>
      <c r="C139" s="6"/>
      <c r="D139" s="0" t="str">
        <f aca="false">IF(C139="","",IFERROR(VLOOKUP(C139,'Recetas y precios'!$A$5:$B$55,2,FALSE()),""))</f>
        <v/>
      </c>
      <c r="E139" s="6"/>
      <c r="F139" s="6"/>
      <c r="G139" s="6"/>
      <c r="H139" s="16" t="str">
        <f aca="false">IF((F139+G139)&gt;0,G139/(F139+G139),"")</f>
        <v/>
      </c>
      <c r="I139" s="15" t="n">
        <f aca="false">IF(C139="",0,IFERROR(VLOOKUP(C139,'Recetas y precios'!$A$5:$R$55,18,FALSE()),0))</f>
        <v>0</v>
      </c>
      <c r="J139" s="15" t="n">
        <f aca="false">G139*I139</f>
        <v>0</v>
      </c>
      <c r="K139" s="24"/>
      <c r="L139" s="6"/>
    </row>
    <row r="140" customFormat="false" ht="15" hidden="false" customHeight="false" outlineLevel="0" collapsed="false">
      <c r="A140" s="34"/>
      <c r="B140" s="6"/>
      <c r="C140" s="6"/>
      <c r="D140" s="0" t="str">
        <f aca="false">IF(C140="","",IFERROR(VLOOKUP(C140,'Recetas y precios'!$A$5:$B$55,2,FALSE()),""))</f>
        <v/>
      </c>
      <c r="E140" s="6"/>
      <c r="F140" s="6"/>
      <c r="G140" s="6"/>
      <c r="H140" s="16" t="str">
        <f aca="false">IF((F140+G140)&gt;0,G140/(F140+G140),"")</f>
        <v/>
      </c>
      <c r="I140" s="15" t="n">
        <f aca="false">IF(C140="",0,IFERROR(VLOOKUP(C140,'Recetas y precios'!$A$5:$R$55,18,FALSE()),0))</f>
        <v>0</v>
      </c>
      <c r="J140" s="15" t="n">
        <f aca="false">G140*I140</f>
        <v>0</v>
      </c>
      <c r="K140" s="24"/>
      <c r="L140" s="6"/>
    </row>
    <row r="141" customFormat="false" ht="15" hidden="false" customHeight="false" outlineLevel="0" collapsed="false">
      <c r="A141" s="34"/>
      <c r="B141" s="6"/>
      <c r="C141" s="6"/>
      <c r="D141" s="0" t="str">
        <f aca="false">IF(C141="","",IFERROR(VLOOKUP(C141,'Recetas y precios'!$A$5:$B$55,2,FALSE()),""))</f>
        <v/>
      </c>
      <c r="E141" s="6"/>
      <c r="F141" s="6"/>
      <c r="G141" s="6"/>
      <c r="H141" s="16" t="str">
        <f aca="false">IF((F141+G141)&gt;0,G141/(F141+G141),"")</f>
        <v/>
      </c>
      <c r="I141" s="15" t="n">
        <f aca="false">IF(C141="",0,IFERROR(VLOOKUP(C141,'Recetas y precios'!$A$5:$R$55,18,FALSE()),0))</f>
        <v>0</v>
      </c>
      <c r="J141" s="15" t="n">
        <f aca="false">G141*I141</f>
        <v>0</v>
      </c>
      <c r="K141" s="24"/>
      <c r="L141" s="6"/>
    </row>
    <row r="142" customFormat="false" ht="15" hidden="false" customHeight="false" outlineLevel="0" collapsed="false">
      <c r="A142" s="34"/>
      <c r="B142" s="6"/>
      <c r="C142" s="6"/>
      <c r="D142" s="0" t="str">
        <f aca="false">IF(C142="","",IFERROR(VLOOKUP(C142,'Recetas y precios'!$A$5:$B$55,2,FALSE()),""))</f>
        <v/>
      </c>
      <c r="E142" s="6"/>
      <c r="F142" s="6"/>
      <c r="G142" s="6"/>
      <c r="H142" s="16" t="str">
        <f aca="false">IF((F142+G142)&gt;0,G142/(F142+G142),"")</f>
        <v/>
      </c>
      <c r="I142" s="15" t="n">
        <f aca="false">IF(C142="",0,IFERROR(VLOOKUP(C142,'Recetas y precios'!$A$5:$R$55,18,FALSE()),0))</f>
        <v>0</v>
      </c>
      <c r="J142" s="15" t="n">
        <f aca="false">G142*I142</f>
        <v>0</v>
      </c>
      <c r="K142" s="24"/>
      <c r="L142" s="6"/>
    </row>
    <row r="143" customFormat="false" ht="15" hidden="false" customHeight="false" outlineLevel="0" collapsed="false">
      <c r="A143" s="34"/>
      <c r="B143" s="6"/>
      <c r="C143" s="6"/>
      <c r="D143" s="0" t="str">
        <f aca="false">IF(C143="","",IFERROR(VLOOKUP(C143,'Recetas y precios'!$A$5:$B$55,2,FALSE()),""))</f>
        <v/>
      </c>
      <c r="E143" s="6"/>
      <c r="F143" s="6"/>
      <c r="G143" s="6"/>
      <c r="H143" s="16" t="str">
        <f aca="false">IF((F143+G143)&gt;0,G143/(F143+G143),"")</f>
        <v/>
      </c>
      <c r="I143" s="15" t="n">
        <f aca="false">IF(C143="",0,IFERROR(VLOOKUP(C143,'Recetas y precios'!$A$5:$R$55,18,FALSE()),0))</f>
        <v>0</v>
      </c>
      <c r="J143" s="15" t="n">
        <f aca="false">G143*I143</f>
        <v>0</v>
      </c>
      <c r="K143" s="24"/>
      <c r="L143" s="6"/>
    </row>
    <row r="144" customFormat="false" ht="15" hidden="false" customHeight="false" outlineLevel="0" collapsed="false">
      <c r="A144" s="34"/>
      <c r="B144" s="6"/>
      <c r="C144" s="6"/>
      <c r="D144" s="0" t="str">
        <f aca="false">IF(C144="","",IFERROR(VLOOKUP(C144,'Recetas y precios'!$A$5:$B$55,2,FALSE()),""))</f>
        <v/>
      </c>
      <c r="E144" s="6"/>
      <c r="F144" s="6"/>
      <c r="G144" s="6"/>
      <c r="H144" s="16" t="str">
        <f aca="false">IF((F144+G144)&gt;0,G144/(F144+G144),"")</f>
        <v/>
      </c>
      <c r="I144" s="15" t="n">
        <f aca="false">IF(C144="",0,IFERROR(VLOOKUP(C144,'Recetas y precios'!$A$5:$R$55,18,FALSE()),0))</f>
        <v>0</v>
      </c>
      <c r="J144" s="15" t="n">
        <f aca="false">G144*I144</f>
        <v>0</v>
      </c>
      <c r="K144" s="24"/>
      <c r="L144" s="6"/>
    </row>
    <row r="145" customFormat="false" ht="15" hidden="false" customHeight="false" outlineLevel="0" collapsed="false">
      <c r="A145" s="34"/>
      <c r="B145" s="6"/>
      <c r="C145" s="6"/>
      <c r="D145" s="0" t="str">
        <f aca="false">IF(C145="","",IFERROR(VLOOKUP(C145,'Recetas y precios'!$A$5:$B$55,2,FALSE()),""))</f>
        <v/>
      </c>
      <c r="E145" s="6"/>
      <c r="F145" s="6"/>
      <c r="G145" s="6"/>
      <c r="H145" s="16" t="str">
        <f aca="false">IF((F145+G145)&gt;0,G145/(F145+G145),"")</f>
        <v/>
      </c>
      <c r="I145" s="15" t="n">
        <f aca="false">IF(C145="",0,IFERROR(VLOOKUP(C145,'Recetas y precios'!$A$5:$R$55,18,FALSE()),0))</f>
        <v>0</v>
      </c>
      <c r="J145" s="15" t="n">
        <f aca="false">G145*I145</f>
        <v>0</v>
      </c>
      <c r="K145" s="24"/>
      <c r="L145" s="6"/>
    </row>
    <row r="146" customFormat="false" ht="15" hidden="false" customHeight="false" outlineLevel="0" collapsed="false">
      <c r="A146" s="34"/>
      <c r="B146" s="6"/>
      <c r="C146" s="6"/>
      <c r="D146" s="0" t="str">
        <f aca="false">IF(C146="","",IFERROR(VLOOKUP(C146,'Recetas y precios'!$A$5:$B$55,2,FALSE()),""))</f>
        <v/>
      </c>
      <c r="E146" s="6"/>
      <c r="F146" s="6"/>
      <c r="G146" s="6"/>
      <c r="H146" s="16" t="str">
        <f aca="false">IF((F146+G146)&gt;0,G146/(F146+G146),"")</f>
        <v/>
      </c>
      <c r="I146" s="15" t="n">
        <f aca="false">IF(C146="",0,IFERROR(VLOOKUP(C146,'Recetas y precios'!$A$5:$R$55,18,FALSE()),0))</f>
        <v>0</v>
      </c>
      <c r="J146" s="15" t="n">
        <f aca="false">G146*I146</f>
        <v>0</v>
      </c>
      <c r="K146" s="24"/>
      <c r="L146" s="6"/>
    </row>
    <row r="147" customFormat="false" ht="15" hidden="false" customHeight="false" outlineLevel="0" collapsed="false">
      <c r="A147" s="34"/>
      <c r="B147" s="6"/>
      <c r="C147" s="6"/>
      <c r="D147" s="0" t="str">
        <f aca="false">IF(C147="","",IFERROR(VLOOKUP(C147,'Recetas y precios'!$A$5:$B$55,2,FALSE()),""))</f>
        <v/>
      </c>
      <c r="E147" s="6"/>
      <c r="F147" s="6"/>
      <c r="G147" s="6"/>
      <c r="H147" s="16" t="str">
        <f aca="false">IF((F147+G147)&gt;0,G147/(F147+G147),"")</f>
        <v/>
      </c>
      <c r="I147" s="15" t="n">
        <f aca="false">IF(C147="",0,IFERROR(VLOOKUP(C147,'Recetas y precios'!$A$5:$R$55,18,FALSE()),0))</f>
        <v>0</v>
      </c>
      <c r="J147" s="15" t="n">
        <f aca="false">G147*I147</f>
        <v>0</v>
      </c>
      <c r="K147" s="24"/>
      <c r="L147" s="6"/>
    </row>
    <row r="148" customFormat="false" ht="15" hidden="false" customHeight="false" outlineLevel="0" collapsed="false">
      <c r="A148" s="34"/>
      <c r="B148" s="6"/>
      <c r="C148" s="6"/>
      <c r="D148" s="0" t="str">
        <f aca="false">IF(C148="","",IFERROR(VLOOKUP(C148,'Recetas y precios'!$A$5:$B$55,2,FALSE()),""))</f>
        <v/>
      </c>
      <c r="E148" s="6"/>
      <c r="F148" s="6"/>
      <c r="G148" s="6"/>
      <c r="H148" s="16" t="str">
        <f aca="false">IF((F148+G148)&gt;0,G148/(F148+G148),"")</f>
        <v/>
      </c>
      <c r="I148" s="15" t="n">
        <f aca="false">IF(C148="",0,IFERROR(VLOOKUP(C148,'Recetas y precios'!$A$5:$R$55,18,FALSE()),0))</f>
        <v>0</v>
      </c>
      <c r="J148" s="15" t="n">
        <f aca="false">G148*I148</f>
        <v>0</v>
      </c>
      <c r="K148" s="24"/>
      <c r="L148" s="6"/>
    </row>
    <row r="149" customFormat="false" ht="15" hidden="false" customHeight="false" outlineLevel="0" collapsed="false">
      <c r="A149" s="34"/>
      <c r="B149" s="6"/>
      <c r="C149" s="6"/>
      <c r="D149" s="0" t="str">
        <f aca="false">IF(C149="","",IFERROR(VLOOKUP(C149,'Recetas y precios'!$A$5:$B$55,2,FALSE()),""))</f>
        <v/>
      </c>
      <c r="E149" s="6"/>
      <c r="F149" s="6"/>
      <c r="G149" s="6"/>
      <c r="H149" s="16" t="str">
        <f aca="false">IF((F149+G149)&gt;0,G149/(F149+G149),"")</f>
        <v/>
      </c>
      <c r="I149" s="15" t="n">
        <f aca="false">IF(C149="",0,IFERROR(VLOOKUP(C149,'Recetas y precios'!$A$5:$R$55,18,FALSE()),0))</f>
        <v>0</v>
      </c>
      <c r="J149" s="15" t="n">
        <f aca="false">G149*I149</f>
        <v>0</v>
      </c>
      <c r="K149" s="24"/>
      <c r="L149" s="6"/>
    </row>
    <row r="150" customFormat="false" ht="15" hidden="false" customHeight="false" outlineLevel="0" collapsed="false">
      <c r="A150" s="34"/>
      <c r="B150" s="6"/>
      <c r="C150" s="6"/>
      <c r="D150" s="0" t="str">
        <f aca="false">IF(C150="","",IFERROR(VLOOKUP(C150,'Recetas y precios'!$A$5:$B$55,2,FALSE()),""))</f>
        <v/>
      </c>
      <c r="E150" s="6"/>
      <c r="F150" s="6"/>
      <c r="G150" s="6"/>
      <c r="H150" s="16" t="str">
        <f aca="false">IF((F150+G150)&gt;0,G150/(F150+G150),"")</f>
        <v/>
      </c>
      <c r="I150" s="15" t="n">
        <f aca="false">IF(C150="",0,IFERROR(VLOOKUP(C150,'Recetas y precios'!$A$5:$R$55,18,FALSE()),0))</f>
        <v>0</v>
      </c>
      <c r="J150" s="15" t="n">
        <f aca="false">G150*I150</f>
        <v>0</v>
      </c>
      <c r="K150" s="24"/>
      <c r="L150" s="6"/>
    </row>
    <row r="151" customFormat="false" ht="15" hidden="false" customHeight="false" outlineLevel="0" collapsed="false">
      <c r="A151" s="34"/>
      <c r="B151" s="6"/>
      <c r="C151" s="6"/>
      <c r="D151" s="0" t="str">
        <f aca="false">IF(C151="","",IFERROR(VLOOKUP(C151,'Recetas y precios'!$A$5:$B$55,2,FALSE()),""))</f>
        <v/>
      </c>
      <c r="E151" s="6"/>
      <c r="F151" s="6"/>
      <c r="G151" s="6"/>
      <c r="H151" s="16" t="str">
        <f aca="false">IF((F151+G151)&gt;0,G151/(F151+G151),"")</f>
        <v/>
      </c>
      <c r="I151" s="15" t="n">
        <f aca="false">IF(C151="",0,IFERROR(VLOOKUP(C151,'Recetas y precios'!$A$5:$R$55,18,FALSE()),0))</f>
        <v>0</v>
      </c>
      <c r="J151" s="15" t="n">
        <f aca="false">G151*I151</f>
        <v>0</v>
      </c>
      <c r="K151" s="24"/>
      <c r="L151" s="6"/>
    </row>
    <row r="152" customFormat="false" ht="15" hidden="false" customHeight="false" outlineLevel="0" collapsed="false">
      <c r="A152" s="34"/>
      <c r="B152" s="6"/>
      <c r="C152" s="6"/>
      <c r="D152" s="0" t="str">
        <f aca="false">IF(C152="","",IFERROR(VLOOKUP(C152,'Recetas y precios'!$A$5:$B$55,2,FALSE()),""))</f>
        <v/>
      </c>
      <c r="E152" s="6"/>
      <c r="F152" s="6"/>
      <c r="G152" s="6"/>
      <c r="H152" s="16" t="str">
        <f aca="false">IF((F152+G152)&gt;0,G152/(F152+G152),"")</f>
        <v/>
      </c>
      <c r="I152" s="15" t="n">
        <f aca="false">IF(C152="",0,IFERROR(VLOOKUP(C152,'Recetas y precios'!$A$5:$R$55,18,FALSE()),0))</f>
        <v>0</v>
      </c>
      <c r="J152" s="15" t="n">
        <f aca="false">G152*I152</f>
        <v>0</v>
      </c>
      <c r="K152" s="24"/>
      <c r="L152" s="6"/>
    </row>
    <row r="153" customFormat="false" ht="15" hidden="false" customHeight="false" outlineLevel="0" collapsed="false">
      <c r="A153" s="34"/>
      <c r="B153" s="6"/>
      <c r="C153" s="6"/>
      <c r="D153" s="0" t="str">
        <f aca="false">IF(C153="","",IFERROR(VLOOKUP(C153,'Recetas y precios'!$A$5:$B$55,2,FALSE()),""))</f>
        <v/>
      </c>
      <c r="E153" s="6"/>
      <c r="F153" s="6"/>
      <c r="G153" s="6"/>
      <c r="H153" s="16" t="str">
        <f aca="false">IF((F153+G153)&gt;0,G153/(F153+G153),"")</f>
        <v/>
      </c>
      <c r="I153" s="15" t="n">
        <f aca="false">IF(C153="",0,IFERROR(VLOOKUP(C153,'Recetas y precios'!$A$5:$R$55,18,FALSE()),0))</f>
        <v>0</v>
      </c>
      <c r="J153" s="15" t="n">
        <f aca="false">G153*I153</f>
        <v>0</v>
      </c>
      <c r="K153" s="24"/>
      <c r="L153" s="6"/>
    </row>
    <row r="154" customFormat="false" ht="15" hidden="false" customHeight="false" outlineLevel="0" collapsed="false">
      <c r="A154" s="34"/>
      <c r="B154" s="6"/>
      <c r="C154" s="6"/>
      <c r="D154" s="0" t="str">
        <f aca="false">IF(C154="","",IFERROR(VLOOKUP(C154,'Recetas y precios'!$A$5:$B$55,2,FALSE()),""))</f>
        <v/>
      </c>
      <c r="E154" s="6"/>
      <c r="F154" s="6"/>
      <c r="G154" s="6"/>
      <c r="H154" s="16" t="str">
        <f aca="false">IF((F154+G154)&gt;0,G154/(F154+G154),"")</f>
        <v/>
      </c>
      <c r="I154" s="15" t="n">
        <f aca="false">IF(C154="",0,IFERROR(VLOOKUP(C154,'Recetas y precios'!$A$5:$R$55,18,FALSE()),0))</f>
        <v>0</v>
      </c>
      <c r="J154" s="15" t="n">
        <f aca="false">G154*I154</f>
        <v>0</v>
      </c>
      <c r="K154" s="24"/>
      <c r="L154" s="6"/>
    </row>
    <row r="155" customFormat="false" ht="15" hidden="false" customHeight="false" outlineLevel="0" collapsed="false">
      <c r="A155" s="34"/>
      <c r="B155" s="6"/>
      <c r="C155" s="6"/>
      <c r="D155" s="0" t="str">
        <f aca="false">IF(C155="","",IFERROR(VLOOKUP(C155,'Recetas y precios'!$A$5:$B$55,2,FALSE()),""))</f>
        <v/>
      </c>
      <c r="E155" s="6"/>
      <c r="F155" s="6"/>
      <c r="G155" s="6"/>
      <c r="H155" s="16" t="str">
        <f aca="false">IF((F155+G155)&gt;0,G155/(F155+G155),"")</f>
        <v/>
      </c>
      <c r="I155" s="15" t="n">
        <f aca="false">IF(C155="",0,IFERROR(VLOOKUP(C155,'Recetas y precios'!$A$5:$R$55,18,FALSE()),0))</f>
        <v>0</v>
      </c>
      <c r="J155" s="15" t="n">
        <f aca="false">G155*I155</f>
        <v>0</v>
      </c>
      <c r="K155" s="24"/>
      <c r="L155" s="6"/>
    </row>
    <row r="156" customFormat="false" ht="15" hidden="false" customHeight="false" outlineLevel="0" collapsed="false">
      <c r="A156" s="34"/>
      <c r="B156" s="6"/>
      <c r="C156" s="6"/>
      <c r="D156" s="0" t="str">
        <f aca="false">IF(C156="","",IFERROR(VLOOKUP(C156,'Recetas y precios'!$A$5:$B$55,2,FALSE()),""))</f>
        <v/>
      </c>
      <c r="E156" s="6"/>
      <c r="F156" s="6"/>
      <c r="G156" s="6"/>
      <c r="H156" s="16" t="str">
        <f aca="false">IF((F156+G156)&gt;0,G156/(F156+G156),"")</f>
        <v/>
      </c>
      <c r="I156" s="15" t="n">
        <f aca="false">IF(C156="",0,IFERROR(VLOOKUP(C156,'Recetas y precios'!$A$5:$R$55,18,FALSE()),0))</f>
        <v>0</v>
      </c>
      <c r="J156" s="15" t="n">
        <f aca="false">G156*I156</f>
        <v>0</v>
      </c>
      <c r="K156" s="24"/>
      <c r="L156" s="6"/>
    </row>
    <row r="157" customFormat="false" ht="15" hidden="false" customHeight="false" outlineLevel="0" collapsed="false">
      <c r="A157" s="34"/>
      <c r="B157" s="6"/>
      <c r="C157" s="6"/>
      <c r="D157" s="0" t="str">
        <f aca="false">IF(C157="","",IFERROR(VLOOKUP(C157,'Recetas y precios'!$A$5:$B$55,2,FALSE()),""))</f>
        <v/>
      </c>
      <c r="E157" s="6"/>
      <c r="F157" s="6"/>
      <c r="G157" s="6"/>
      <c r="H157" s="16" t="str">
        <f aca="false">IF((F157+G157)&gt;0,G157/(F157+G157),"")</f>
        <v/>
      </c>
      <c r="I157" s="15" t="n">
        <f aca="false">IF(C157="",0,IFERROR(VLOOKUP(C157,'Recetas y precios'!$A$5:$R$55,18,FALSE()),0))</f>
        <v>0</v>
      </c>
      <c r="J157" s="15" t="n">
        <f aca="false">G157*I157</f>
        <v>0</v>
      </c>
      <c r="K157" s="24"/>
      <c r="L157" s="6"/>
    </row>
    <row r="158" customFormat="false" ht="15" hidden="false" customHeight="false" outlineLevel="0" collapsed="false">
      <c r="A158" s="34"/>
      <c r="B158" s="6"/>
      <c r="C158" s="6"/>
      <c r="D158" s="0" t="str">
        <f aca="false">IF(C158="","",IFERROR(VLOOKUP(C158,'Recetas y precios'!$A$5:$B$55,2,FALSE()),""))</f>
        <v/>
      </c>
      <c r="E158" s="6"/>
      <c r="F158" s="6"/>
      <c r="G158" s="6"/>
      <c r="H158" s="16" t="str">
        <f aca="false">IF((F158+G158)&gt;0,G158/(F158+G158),"")</f>
        <v/>
      </c>
      <c r="I158" s="15" t="n">
        <f aca="false">IF(C158="",0,IFERROR(VLOOKUP(C158,'Recetas y precios'!$A$5:$R$55,18,FALSE()),0))</f>
        <v>0</v>
      </c>
      <c r="J158" s="15" t="n">
        <f aca="false">G158*I158</f>
        <v>0</v>
      </c>
      <c r="K158" s="24"/>
      <c r="L158" s="6"/>
    </row>
    <row r="159" customFormat="false" ht="15" hidden="false" customHeight="false" outlineLevel="0" collapsed="false">
      <c r="A159" s="34"/>
      <c r="B159" s="6"/>
      <c r="C159" s="6"/>
      <c r="D159" s="0" t="str">
        <f aca="false">IF(C159="","",IFERROR(VLOOKUP(C159,'Recetas y precios'!$A$5:$B$55,2,FALSE()),""))</f>
        <v/>
      </c>
      <c r="E159" s="6"/>
      <c r="F159" s="6"/>
      <c r="G159" s="6"/>
      <c r="H159" s="16" t="str">
        <f aca="false">IF((F159+G159)&gt;0,G159/(F159+G159),"")</f>
        <v/>
      </c>
      <c r="I159" s="15" t="n">
        <f aca="false">IF(C159="",0,IFERROR(VLOOKUP(C159,'Recetas y precios'!$A$5:$R$55,18,FALSE()),0))</f>
        <v>0</v>
      </c>
      <c r="J159" s="15" t="n">
        <f aca="false">G159*I159</f>
        <v>0</v>
      </c>
      <c r="K159" s="24"/>
      <c r="L159" s="6"/>
    </row>
    <row r="160" customFormat="false" ht="15" hidden="false" customHeight="false" outlineLevel="0" collapsed="false">
      <c r="A160" s="34"/>
      <c r="B160" s="6"/>
      <c r="C160" s="6"/>
      <c r="D160" s="0" t="str">
        <f aca="false">IF(C160="","",IFERROR(VLOOKUP(C160,'Recetas y precios'!$A$5:$B$55,2,FALSE()),""))</f>
        <v/>
      </c>
      <c r="E160" s="6"/>
      <c r="F160" s="6"/>
      <c r="G160" s="6"/>
      <c r="H160" s="16" t="str">
        <f aca="false">IF((F160+G160)&gt;0,G160/(F160+G160),"")</f>
        <v/>
      </c>
      <c r="I160" s="15" t="n">
        <f aca="false">IF(C160="",0,IFERROR(VLOOKUP(C160,'Recetas y precios'!$A$5:$R$55,18,FALSE()),0))</f>
        <v>0</v>
      </c>
      <c r="J160" s="15" t="n">
        <f aca="false">G160*I160</f>
        <v>0</v>
      </c>
      <c r="K160" s="24"/>
      <c r="L160" s="6"/>
    </row>
    <row r="161" customFormat="false" ht="15" hidden="false" customHeight="false" outlineLevel="0" collapsed="false">
      <c r="A161" s="34"/>
      <c r="B161" s="6"/>
      <c r="C161" s="6"/>
      <c r="D161" s="0" t="str">
        <f aca="false">IF(C161="","",IFERROR(VLOOKUP(C161,'Recetas y precios'!$A$5:$B$55,2,FALSE()),""))</f>
        <v/>
      </c>
      <c r="E161" s="6"/>
      <c r="F161" s="6"/>
      <c r="G161" s="6"/>
      <c r="H161" s="16" t="str">
        <f aca="false">IF((F161+G161)&gt;0,G161/(F161+G161),"")</f>
        <v/>
      </c>
      <c r="I161" s="15" t="n">
        <f aca="false">IF(C161="",0,IFERROR(VLOOKUP(C161,'Recetas y precios'!$A$5:$R$55,18,FALSE()),0))</f>
        <v>0</v>
      </c>
      <c r="J161" s="15" t="n">
        <f aca="false">G161*I161</f>
        <v>0</v>
      </c>
      <c r="K161" s="24"/>
      <c r="L161" s="6"/>
    </row>
    <row r="162" customFormat="false" ht="15" hidden="false" customHeight="false" outlineLevel="0" collapsed="false">
      <c r="A162" s="34"/>
      <c r="B162" s="6"/>
      <c r="C162" s="6"/>
      <c r="D162" s="0" t="str">
        <f aca="false">IF(C162="","",IFERROR(VLOOKUP(C162,'Recetas y precios'!$A$5:$B$55,2,FALSE()),""))</f>
        <v/>
      </c>
      <c r="E162" s="6"/>
      <c r="F162" s="6"/>
      <c r="G162" s="6"/>
      <c r="H162" s="16" t="str">
        <f aca="false">IF((F162+G162)&gt;0,G162/(F162+G162),"")</f>
        <v/>
      </c>
      <c r="I162" s="15" t="n">
        <f aca="false">IF(C162="",0,IFERROR(VLOOKUP(C162,'Recetas y precios'!$A$5:$R$55,18,FALSE()),0))</f>
        <v>0</v>
      </c>
      <c r="J162" s="15" t="n">
        <f aca="false">G162*I162</f>
        <v>0</v>
      </c>
      <c r="K162" s="24"/>
      <c r="L162" s="6"/>
    </row>
    <row r="163" customFormat="false" ht="15" hidden="false" customHeight="false" outlineLevel="0" collapsed="false">
      <c r="A163" s="34"/>
      <c r="B163" s="6"/>
      <c r="C163" s="6"/>
      <c r="D163" s="0" t="str">
        <f aca="false">IF(C163="","",IFERROR(VLOOKUP(C163,'Recetas y precios'!$A$5:$B$55,2,FALSE()),""))</f>
        <v/>
      </c>
      <c r="E163" s="6"/>
      <c r="F163" s="6"/>
      <c r="G163" s="6"/>
      <c r="H163" s="16" t="str">
        <f aca="false">IF((F163+G163)&gt;0,G163/(F163+G163),"")</f>
        <v/>
      </c>
      <c r="I163" s="15" t="n">
        <f aca="false">IF(C163="",0,IFERROR(VLOOKUP(C163,'Recetas y precios'!$A$5:$R$55,18,FALSE()),0))</f>
        <v>0</v>
      </c>
      <c r="J163" s="15" t="n">
        <f aca="false">G163*I163</f>
        <v>0</v>
      </c>
      <c r="K163" s="24"/>
      <c r="L163" s="6"/>
    </row>
    <row r="164" customFormat="false" ht="15" hidden="false" customHeight="false" outlineLevel="0" collapsed="false">
      <c r="A164" s="34"/>
      <c r="B164" s="6"/>
      <c r="C164" s="6"/>
      <c r="D164" s="0" t="str">
        <f aca="false">IF(C164="","",IFERROR(VLOOKUP(C164,'Recetas y precios'!$A$5:$B$55,2,FALSE()),""))</f>
        <v/>
      </c>
      <c r="E164" s="6"/>
      <c r="F164" s="6"/>
      <c r="G164" s="6"/>
      <c r="H164" s="16" t="str">
        <f aca="false">IF((F164+G164)&gt;0,G164/(F164+G164),"")</f>
        <v/>
      </c>
      <c r="I164" s="15" t="n">
        <f aca="false">IF(C164="",0,IFERROR(VLOOKUP(C164,'Recetas y precios'!$A$5:$R$55,18,FALSE()),0))</f>
        <v>0</v>
      </c>
      <c r="J164" s="15" t="n">
        <f aca="false">G164*I164</f>
        <v>0</v>
      </c>
      <c r="K164" s="24"/>
      <c r="L164" s="6"/>
    </row>
    <row r="165" customFormat="false" ht="15" hidden="false" customHeight="false" outlineLevel="0" collapsed="false">
      <c r="A165" s="34"/>
      <c r="B165" s="6"/>
      <c r="C165" s="6"/>
      <c r="D165" s="0" t="str">
        <f aca="false">IF(C165="","",IFERROR(VLOOKUP(C165,'Recetas y precios'!$A$5:$B$55,2,FALSE()),""))</f>
        <v/>
      </c>
      <c r="E165" s="6"/>
      <c r="F165" s="6"/>
      <c r="G165" s="6"/>
      <c r="H165" s="16" t="str">
        <f aca="false">IF((F165+G165)&gt;0,G165/(F165+G165),"")</f>
        <v/>
      </c>
      <c r="I165" s="15" t="n">
        <f aca="false">IF(C165="",0,IFERROR(VLOOKUP(C165,'Recetas y precios'!$A$5:$R$55,18,FALSE()),0))</f>
        <v>0</v>
      </c>
      <c r="J165" s="15" t="n">
        <f aca="false">G165*I165</f>
        <v>0</v>
      </c>
      <c r="K165" s="24"/>
      <c r="L165" s="6"/>
    </row>
    <row r="166" customFormat="false" ht="15" hidden="false" customHeight="false" outlineLevel="0" collapsed="false">
      <c r="A166" s="34"/>
      <c r="B166" s="6"/>
      <c r="C166" s="6"/>
      <c r="D166" s="0" t="str">
        <f aca="false">IF(C166="","",IFERROR(VLOOKUP(C166,'Recetas y precios'!$A$5:$B$55,2,FALSE()),""))</f>
        <v/>
      </c>
      <c r="E166" s="6"/>
      <c r="F166" s="6"/>
      <c r="G166" s="6"/>
      <c r="H166" s="16" t="str">
        <f aca="false">IF((F166+G166)&gt;0,G166/(F166+G166),"")</f>
        <v/>
      </c>
      <c r="I166" s="15" t="n">
        <f aca="false">IF(C166="",0,IFERROR(VLOOKUP(C166,'Recetas y precios'!$A$5:$R$55,18,FALSE()),0))</f>
        <v>0</v>
      </c>
      <c r="J166" s="15" t="n">
        <f aca="false">G166*I166</f>
        <v>0</v>
      </c>
      <c r="K166" s="24"/>
      <c r="L166" s="6"/>
    </row>
    <row r="167" customFormat="false" ht="15" hidden="false" customHeight="false" outlineLevel="0" collapsed="false">
      <c r="A167" s="34"/>
      <c r="B167" s="6"/>
      <c r="C167" s="6"/>
      <c r="D167" s="0" t="str">
        <f aca="false">IF(C167="","",IFERROR(VLOOKUP(C167,'Recetas y precios'!$A$5:$B$55,2,FALSE()),""))</f>
        <v/>
      </c>
      <c r="E167" s="6"/>
      <c r="F167" s="6"/>
      <c r="G167" s="6"/>
      <c r="H167" s="16" t="str">
        <f aca="false">IF((F167+G167)&gt;0,G167/(F167+G167),"")</f>
        <v/>
      </c>
      <c r="I167" s="15" t="n">
        <f aca="false">IF(C167="",0,IFERROR(VLOOKUP(C167,'Recetas y precios'!$A$5:$R$55,18,FALSE()),0))</f>
        <v>0</v>
      </c>
      <c r="J167" s="15" t="n">
        <f aca="false">G167*I167</f>
        <v>0</v>
      </c>
      <c r="K167" s="24"/>
      <c r="L167" s="6"/>
    </row>
    <row r="168" customFormat="false" ht="15" hidden="false" customHeight="false" outlineLevel="0" collapsed="false">
      <c r="A168" s="34"/>
      <c r="B168" s="6"/>
      <c r="C168" s="6"/>
      <c r="D168" s="0" t="str">
        <f aca="false">IF(C168="","",IFERROR(VLOOKUP(C168,'Recetas y precios'!$A$5:$B$55,2,FALSE()),""))</f>
        <v/>
      </c>
      <c r="E168" s="6"/>
      <c r="F168" s="6"/>
      <c r="G168" s="6"/>
      <c r="H168" s="16" t="str">
        <f aca="false">IF((F168+G168)&gt;0,G168/(F168+G168),"")</f>
        <v/>
      </c>
      <c r="I168" s="15" t="n">
        <f aca="false">IF(C168="",0,IFERROR(VLOOKUP(C168,'Recetas y precios'!$A$5:$R$55,18,FALSE()),0))</f>
        <v>0</v>
      </c>
      <c r="J168" s="15" t="n">
        <f aca="false">G168*I168</f>
        <v>0</v>
      </c>
      <c r="K168" s="24"/>
      <c r="L168" s="6"/>
    </row>
    <row r="169" customFormat="false" ht="15" hidden="false" customHeight="false" outlineLevel="0" collapsed="false">
      <c r="A169" s="34"/>
      <c r="B169" s="6"/>
      <c r="C169" s="6"/>
      <c r="D169" s="0" t="str">
        <f aca="false">IF(C169="","",IFERROR(VLOOKUP(C169,'Recetas y precios'!$A$5:$B$55,2,FALSE()),""))</f>
        <v/>
      </c>
      <c r="E169" s="6"/>
      <c r="F169" s="6"/>
      <c r="G169" s="6"/>
      <c r="H169" s="16" t="str">
        <f aca="false">IF((F169+G169)&gt;0,G169/(F169+G169),"")</f>
        <v/>
      </c>
      <c r="I169" s="15" t="n">
        <f aca="false">IF(C169="",0,IFERROR(VLOOKUP(C169,'Recetas y precios'!$A$5:$R$55,18,FALSE()),0))</f>
        <v>0</v>
      </c>
      <c r="J169" s="15" t="n">
        <f aca="false">G169*I169</f>
        <v>0</v>
      </c>
      <c r="K169" s="24"/>
      <c r="L169" s="6"/>
    </row>
    <row r="170" customFormat="false" ht="15" hidden="false" customHeight="false" outlineLevel="0" collapsed="false">
      <c r="A170" s="34"/>
      <c r="B170" s="6"/>
      <c r="C170" s="6"/>
      <c r="D170" s="0" t="str">
        <f aca="false">IF(C170="","",IFERROR(VLOOKUP(C170,'Recetas y precios'!$A$5:$B$55,2,FALSE()),""))</f>
        <v/>
      </c>
      <c r="E170" s="6"/>
      <c r="F170" s="6"/>
      <c r="G170" s="6"/>
      <c r="H170" s="16" t="str">
        <f aca="false">IF((F170+G170)&gt;0,G170/(F170+G170),"")</f>
        <v/>
      </c>
      <c r="I170" s="15" t="n">
        <f aca="false">IF(C170="",0,IFERROR(VLOOKUP(C170,'Recetas y precios'!$A$5:$R$55,18,FALSE()),0))</f>
        <v>0</v>
      </c>
      <c r="J170" s="15" t="n">
        <f aca="false">G170*I170</f>
        <v>0</v>
      </c>
      <c r="K170" s="24"/>
      <c r="L170" s="6"/>
    </row>
    <row r="171" customFormat="false" ht="15" hidden="false" customHeight="false" outlineLevel="0" collapsed="false">
      <c r="A171" s="34"/>
      <c r="B171" s="6"/>
      <c r="C171" s="6"/>
      <c r="D171" s="0" t="str">
        <f aca="false">IF(C171="","",IFERROR(VLOOKUP(C171,'Recetas y precios'!$A$5:$B$55,2,FALSE()),""))</f>
        <v/>
      </c>
      <c r="E171" s="6"/>
      <c r="F171" s="6"/>
      <c r="G171" s="6"/>
      <c r="H171" s="16" t="str">
        <f aca="false">IF((F171+G171)&gt;0,G171/(F171+G171),"")</f>
        <v/>
      </c>
      <c r="I171" s="15" t="n">
        <f aca="false">IF(C171="",0,IFERROR(VLOOKUP(C171,'Recetas y precios'!$A$5:$R$55,18,FALSE()),0))</f>
        <v>0</v>
      </c>
      <c r="J171" s="15" t="n">
        <f aca="false">G171*I171</f>
        <v>0</v>
      </c>
      <c r="K171" s="24"/>
      <c r="L171" s="6"/>
    </row>
    <row r="172" customFormat="false" ht="15" hidden="false" customHeight="false" outlineLevel="0" collapsed="false">
      <c r="A172" s="34"/>
      <c r="B172" s="6"/>
      <c r="C172" s="6"/>
      <c r="D172" s="0" t="str">
        <f aca="false">IF(C172="","",IFERROR(VLOOKUP(C172,'Recetas y precios'!$A$5:$B$55,2,FALSE()),""))</f>
        <v/>
      </c>
      <c r="E172" s="6"/>
      <c r="F172" s="6"/>
      <c r="G172" s="6"/>
      <c r="H172" s="16" t="str">
        <f aca="false">IF((F172+G172)&gt;0,G172/(F172+G172),"")</f>
        <v/>
      </c>
      <c r="I172" s="15" t="n">
        <f aca="false">IF(C172="",0,IFERROR(VLOOKUP(C172,'Recetas y precios'!$A$5:$R$55,18,FALSE()),0))</f>
        <v>0</v>
      </c>
      <c r="J172" s="15" t="n">
        <f aca="false">G172*I172</f>
        <v>0</v>
      </c>
      <c r="K172" s="24"/>
      <c r="L172" s="6"/>
    </row>
    <row r="173" customFormat="false" ht="15" hidden="false" customHeight="false" outlineLevel="0" collapsed="false">
      <c r="A173" s="34"/>
      <c r="B173" s="6"/>
      <c r="C173" s="6"/>
      <c r="D173" s="0" t="str">
        <f aca="false">IF(C173="","",IFERROR(VLOOKUP(C173,'Recetas y precios'!$A$5:$B$55,2,FALSE()),""))</f>
        <v/>
      </c>
      <c r="E173" s="6"/>
      <c r="F173" s="6"/>
      <c r="G173" s="6"/>
      <c r="H173" s="16" t="str">
        <f aca="false">IF((F173+G173)&gt;0,G173/(F173+G173),"")</f>
        <v/>
      </c>
      <c r="I173" s="15" t="n">
        <f aca="false">IF(C173="",0,IFERROR(VLOOKUP(C173,'Recetas y precios'!$A$5:$R$55,18,FALSE()),0))</f>
        <v>0</v>
      </c>
      <c r="J173" s="15" t="n">
        <f aca="false">G173*I173</f>
        <v>0</v>
      </c>
      <c r="K173" s="24"/>
      <c r="L173" s="6"/>
    </row>
    <row r="174" customFormat="false" ht="15" hidden="false" customHeight="false" outlineLevel="0" collapsed="false">
      <c r="A174" s="34"/>
      <c r="B174" s="6"/>
      <c r="C174" s="6"/>
      <c r="D174" s="0" t="str">
        <f aca="false">IF(C174="","",IFERROR(VLOOKUP(C174,'Recetas y precios'!$A$5:$B$55,2,FALSE()),""))</f>
        <v/>
      </c>
      <c r="E174" s="6"/>
      <c r="F174" s="6"/>
      <c r="G174" s="6"/>
      <c r="H174" s="16" t="str">
        <f aca="false">IF((F174+G174)&gt;0,G174/(F174+G174),"")</f>
        <v/>
      </c>
      <c r="I174" s="15" t="n">
        <f aca="false">IF(C174="",0,IFERROR(VLOOKUP(C174,'Recetas y precios'!$A$5:$R$55,18,FALSE()),0))</f>
        <v>0</v>
      </c>
      <c r="J174" s="15" t="n">
        <f aca="false">G174*I174</f>
        <v>0</v>
      </c>
      <c r="K174" s="24"/>
      <c r="L174" s="6"/>
    </row>
    <row r="175" customFormat="false" ht="15" hidden="false" customHeight="false" outlineLevel="0" collapsed="false">
      <c r="A175" s="34"/>
      <c r="B175" s="6"/>
      <c r="C175" s="6"/>
      <c r="D175" s="0" t="str">
        <f aca="false">IF(C175="","",IFERROR(VLOOKUP(C175,'Recetas y precios'!$A$5:$B$55,2,FALSE()),""))</f>
        <v/>
      </c>
      <c r="E175" s="6"/>
      <c r="F175" s="6"/>
      <c r="G175" s="6"/>
      <c r="H175" s="16" t="str">
        <f aca="false">IF((F175+G175)&gt;0,G175/(F175+G175),"")</f>
        <v/>
      </c>
      <c r="I175" s="15" t="n">
        <f aca="false">IF(C175="",0,IFERROR(VLOOKUP(C175,'Recetas y precios'!$A$5:$R$55,18,FALSE()),0))</f>
        <v>0</v>
      </c>
      <c r="J175" s="15" t="n">
        <f aca="false">G175*I175</f>
        <v>0</v>
      </c>
      <c r="K175" s="24"/>
      <c r="L175" s="6"/>
    </row>
    <row r="176" customFormat="false" ht="15" hidden="false" customHeight="false" outlineLevel="0" collapsed="false">
      <c r="A176" s="34"/>
      <c r="B176" s="6"/>
      <c r="C176" s="6"/>
      <c r="D176" s="0" t="str">
        <f aca="false">IF(C176="","",IFERROR(VLOOKUP(C176,'Recetas y precios'!$A$5:$B$55,2,FALSE()),""))</f>
        <v/>
      </c>
      <c r="E176" s="6"/>
      <c r="F176" s="6"/>
      <c r="G176" s="6"/>
      <c r="H176" s="16" t="str">
        <f aca="false">IF((F176+G176)&gt;0,G176/(F176+G176),"")</f>
        <v/>
      </c>
      <c r="I176" s="15" t="n">
        <f aca="false">IF(C176="",0,IFERROR(VLOOKUP(C176,'Recetas y precios'!$A$5:$R$55,18,FALSE()),0))</f>
        <v>0</v>
      </c>
      <c r="J176" s="15" t="n">
        <f aca="false">G176*I176</f>
        <v>0</v>
      </c>
      <c r="K176" s="24"/>
      <c r="L176" s="6"/>
    </row>
    <row r="177" customFormat="false" ht="15" hidden="false" customHeight="false" outlineLevel="0" collapsed="false">
      <c r="A177" s="34"/>
      <c r="B177" s="6"/>
      <c r="C177" s="6"/>
      <c r="D177" s="0" t="str">
        <f aca="false">IF(C177="","",IFERROR(VLOOKUP(C177,'Recetas y precios'!$A$5:$B$55,2,FALSE()),""))</f>
        <v/>
      </c>
      <c r="E177" s="6"/>
      <c r="F177" s="6"/>
      <c r="G177" s="6"/>
      <c r="H177" s="16" t="str">
        <f aca="false">IF((F177+G177)&gt;0,G177/(F177+G177),"")</f>
        <v/>
      </c>
      <c r="I177" s="15" t="n">
        <f aca="false">IF(C177="",0,IFERROR(VLOOKUP(C177,'Recetas y precios'!$A$5:$R$55,18,FALSE()),0))</f>
        <v>0</v>
      </c>
      <c r="J177" s="15" t="n">
        <f aca="false">G177*I177</f>
        <v>0</v>
      </c>
      <c r="K177" s="24"/>
      <c r="L177" s="6"/>
    </row>
    <row r="178" customFormat="false" ht="15" hidden="false" customHeight="false" outlineLevel="0" collapsed="false">
      <c r="A178" s="34"/>
      <c r="B178" s="6"/>
      <c r="C178" s="6"/>
      <c r="D178" s="0" t="str">
        <f aca="false">IF(C178="","",IFERROR(VLOOKUP(C178,'Recetas y precios'!$A$5:$B$55,2,FALSE()),""))</f>
        <v/>
      </c>
      <c r="E178" s="6"/>
      <c r="F178" s="6"/>
      <c r="G178" s="6"/>
      <c r="H178" s="16" t="str">
        <f aca="false">IF((F178+G178)&gt;0,G178/(F178+G178),"")</f>
        <v/>
      </c>
      <c r="I178" s="15" t="n">
        <f aca="false">IF(C178="",0,IFERROR(VLOOKUP(C178,'Recetas y precios'!$A$5:$R$55,18,FALSE()),0))</f>
        <v>0</v>
      </c>
      <c r="J178" s="15" t="n">
        <f aca="false">G178*I178</f>
        <v>0</v>
      </c>
      <c r="K178" s="24"/>
      <c r="L178" s="6"/>
    </row>
    <row r="179" customFormat="false" ht="15" hidden="false" customHeight="false" outlineLevel="0" collapsed="false">
      <c r="A179" s="34"/>
      <c r="B179" s="6"/>
      <c r="C179" s="6"/>
      <c r="D179" s="0" t="str">
        <f aca="false">IF(C179="","",IFERROR(VLOOKUP(C179,'Recetas y precios'!$A$5:$B$55,2,FALSE()),""))</f>
        <v/>
      </c>
      <c r="E179" s="6"/>
      <c r="F179" s="6"/>
      <c r="G179" s="6"/>
      <c r="H179" s="16" t="str">
        <f aca="false">IF((F179+G179)&gt;0,G179/(F179+G179),"")</f>
        <v/>
      </c>
      <c r="I179" s="15" t="n">
        <f aca="false">IF(C179="",0,IFERROR(VLOOKUP(C179,'Recetas y precios'!$A$5:$R$55,18,FALSE()),0))</f>
        <v>0</v>
      </c>
      <c r="J179" s="15" t="n">
        <f aca="false">G179*I179</f>
        <v>0</v>
      </c>
      <c r="K179" s="24"/>
      <c r="L179" s="6"/>
    </row>
    <row r="180" customFormat="false" ht="15" hidden="false" customHeight="false" outlineLevel="0" collapsed="false">
      <c r="A180" s="34"/>
      <c r="B180" s="6"/>
      <c r="C180" s="6"/>
      <c r="D180" s="0" t="str">
        <f aca="false">IF(C180="","",IFERROR(VLOOKUP(C180,'Recetas y precios'!$A$5:$B$55,2,FALSE()),""))</f>
        <v/>
      </c>
      <c r="E180" s="6"/>
      <c r="F180" s="6"/>
      <c r="G180" s="6"/>
      <c r="H180" s="16" t="str">
        <f aca="false">IF((F180+G180)&gt;0,G180/(F180+G180),"")</f>
        <v/>
      </c>
      <c r="I180" s="15" t="n">
        <f aca="false">IF(C180="",0,IFERROR(VLOOKUP(C180,'Recetas y precios'!$A$5:$R$55,18,FALSE()),0))</f>
        <v>0</v>
      </c>
      <c r="J180" s="15" t="n">
        <f aca="false">G180*I180</f>
        <v>0</v>
      </c>
      <c r="K180" s="24"/>
      <c r="L180" s="6"/>
    </row>
    <row r="181" customFormat="false" ht="15" hidden="false" customHeight="false" outlineLevel="0" collapsed="false">
      <c r="A181" s="34"/>
      <c r="B181" s="6"/>
      <c r="C181" s="6"/>
      <c r="D181" s="0" t="str">
        <f aca="false">IF(C181="","",IFERROR(VLOOKUP(C181,'Recetas y precios'!$A$5:$B$55,2,FALSE()),""))</f>
        <v/>
      </c>
      <c r="E181" s="6"/>
      <c r="F181" s="6"/>
      <c r="G181" s="6"/>
      <c r="H181" s="16" t="str">
        <f aca="false">IF((F181+G181)&gt;0,G181/(F181+G181),"")</f>
        <v/>
      </c>
      <c r="I181" s="15" t="n">
        <f aca="false">IF(C181="",0,IFERROR(VLOOKUP(C181,'Recetas y precios'!$A$5:$R$55,18,FALSE()),0))</f>
        <v>0</v>
      </c>
      <c r="J181" s="15" t="n">
        <f aca="false">G181*I181</f>
        <v>0</v>
      </c>
      <c r="K181" s="24"/>
      <c r="L181" s="6"/>
    </row>
    <row r="182" customFormat="false" ht="15" hidden="false" customHeight="false" outlineLevel="0" collapsed="false">
      <c r="A182" s="34"/>
      <c r="B182" s="6"/>
      <c r="C182" s="6"/>
      <c r="D182" s="0" t="str">
        <f aca="false">IF(C182="","",IFERROR(VLOOKUP(C182,'Recetas y precios'!$A$5:$B$55,2,FALSE()),""))</f>
        <v/>
      </c>
      <c r="E182" s="6"/>
      <c r="F182" s="6"/>
      <c r="G182" s="6"/>
      <c r="H182" s="16" t="str">
        <f aca="false">IF((F182+G182)&gt;0,G182/(F182+G182),"")</f>
        <v/>
      </c>
      <c r="I182" s="15" t="n">
        <f aca="false">IF(C182="",0,IFERROR(VLOOKUP(C182,'Recetas y precios'!$A$5:$R$55,18,FALSE()),0))</f>
        <v>0</v>
      </c>
      <c r="J182" s="15" t="n">
        <f aca="false">G182*I182</f>
        <v>0</v>
      </c>
      <c r="K182" s="24"/>
      <c r="L182" s="6"/>
    </row>
    <row r="183" customFormat="false" ht="15" hidden="false" customHeight="false" outlineLevel="0" collapsed="false">
      <c r="A183" s="34"/>
      <c r="B183" s="6"/>
      <c r="C183" s="6"/>
      <c r="D183" s="0" t="str">
        <f aca="false">IF(C183="","",IFERROR(VLOOKUP(C183,'Recetas y precios'!$A$5:$B$55,2,FALSE()),""))</f>
        <v/>
      </c>
      <c r="E183" s="6"/>
      <c r="F183" s="6"/>
      <c r="G183" s="6"/>
      <c r="H183" s="16" t="str">
        <f aca="false">IF((F183+G183)&gt;0,G183/(F183+G183),"")</f>
        <v/>
      </c>
      <c r="I183" s="15" t="n">
        <f aca="false">IF(C183="",0,IFERROR(VLOOKUP(C183,'Recetas y precios'!$A$5:$R$55,18,FALSE()),0))</f>
        <v>0</v>
      </c>
      <c r="J183" s="15" t="n">
        <f aca="false">G183*I183</f>
        <v>0</v>
      </c>
      <c r="K183" s="24"/>
      <c r="L183" s="6"/>
    </row>
    <row r="184" customFormat="false" ht="15" hidden="false" customHeight="false" outlineLevel="0" collapsed="false">
      <c r="A184" s="34"/>
      <c r="B184" s="6"/>
      <c r="C184" s="6"/>
      <c r="D184" s="0" t="str">
        <f aca="false">IF(C184="","",IFERROR(VLOOKUP(C184,'Recetas y precios'!$A$5:$B$55,2,FALSE()),""))</f>
        <v/>
      </c>
      <c r="E184" s="6"/>
      <c r="F184" s="6"/>
      <c r="G184" s="6"/>
      <c r="H184" s="16" t="str">
        <f aca="false">IF((F184+G184)&gt;0,G184/(F184+G184),"")</f>
        <v/>
      </c>
      <c r="I184" s="15" t="n">
        <f aca="false">IF(C184="",0,IFERROR(VLOOKUP(C184,'Recetas y precios'!$A$5:$R$55,18,FALSE()),0))</f>
        <v>0</v>
      </c>
      <c r="J184" s="15" t="n">
        <f aca="false">G184*I184</f>
        <v>0</v>
      </c>
      <c r="K184" s="24"/>
      <c r="L184" s="6"/>
    </row>
    <row r="185" customFormat="false" ht="15" hidden="false" customHeight="false" outlineLevel="0" collapsed="false">
      <c r="A185" s="34"/>
      <c r="B185" s="6"/>
      <c r="C185" s="6"/>
      <c r="D185" s="0" t="str">
        <f aca="false">IF(C185="","",IFERROR(VLOOKUP(C185,'Recetas y precios'!$A$5:$B$55,2,FALSE()),""))</f>
        <v/>
      </c>
      <c r="E185" s="6"/>
      <c r="F185" s="6"/>
      <c r="G185" s="6"/>
      <c r="H185" s="16" t="str">
        <f aca="false">IF((F185+G185)&gt;0,G185/(F185+G185),"")</f>
        <v/>
      </c>
      <c r="I185" s="15" t="n">
        <f aca="false">IF(C185="",0,IFERROR(VLOOKUP(C185,'Recetas y precios'!$A$5:$R$55,18,FALSE()),0))</f>
        <v>0</v>
      </c>
      <c r="J185" s="15" t="n">
        <f aca="false">G185*I185</f>
        <v>0</v>
      </c>
      <c r="K185" s="24"/>
      <c r="L185" s="6"/>
    </row>
    <row r="186" customFormat="false" ht="15" hidden="false" customHeight="false" outlineLevel="0" collapsed="false">
      <c r="A186" s="34"/>
      <c r="B186" s="6"/>
      <c r="C186" s="6"/>
      <c r="D186" s="0" t="str">
        <f aca="false">IF(C186="","",IFERROR(VLOOKUP(C186,'Recetas y precios'!$A$5:$B$55,2,FALSE()),""))</f>
        <v/>
      </c>
      <c r="E186" s="6"/>
      <c r="F186" s="6"/>
      <c r="G186" s="6"/>
      <c r="H186" s="16" t="str">
        <f aca="false">IF((F186+G186)&gt;0,G186/(F186+G186),"")</f>
        <v/>
      </c>
      <c r="I186" s="15" t="n">
        <f aca="false">IF(C186="",0,IFERROR(VLOOKUP(C186,'Recetas y precios'!$A$5:$R$55,18,FALSE()),0))</f>
        <v>0</v>
      </c>
      <c r="J186" s="15" t="n">
        <f aca="false">G186*I186</f>
        <v>0</v>
      </c>
      <c r="K186" s="24"/>
      <c r="L186" s="6"/>
    </row>
    <row r="187" customFormat="false" ht="15" hidden="false" customHeight="false" outlineLevel="0" collapsed="false">
      <c r="A187" s="34"/>
      <c r="B187" s="6"/>
      <c r="C187" s="6"/>
      <c r="D187" s="0" t="str">
        <f aca="false">IF(C187="","",IFERROR(VLOOKUP(C187,'Recetas y precios'!$A$5:$B$55,2,FALSE()),""))</f>
        <v/>
      </c>
      <c r="E187" s="6"/>
      <c r="F187" s="6"/>
      <c r="G187" s="6"/>
      <c r="H187" s="16" t="str">
        <f aca="false">IF((F187+G187)&gt;0,G187/(F187+G187),"")</f>
        <v/>
      </c>
      <c r="I187" s="15" t="n">
        <f aca="false">IF(C187="",0,IFERROR(VLOOKUP(C187,'Recetas y precios'!$A$5:$R$55,18,FALSE()),0))</f>
        <v>0</v>
      </c>
      <c r="J187" s="15" t="n">
        <f aca="false">G187*I187</f>
        <v>0</v>
      </c>
      <c r="K187" s="24"/>
      <c r="L187" s="6"/>
    </row>
    <row r="188" customFormat="false" ht="15" hidden="false" customHeight="false" outlineLevel="0" collapsed="false">
      <c r="A188" s="34"/>
      <c r="B188" s="6"/>
      <c r="C188" s="6"/>
      <c r="D188" s="0" t="str">
        <f aca="false">IF(C188="","",IFERROR(VLOOKUP(C188,'Recetas y precios'!$A$5:$B$55,2,FALSE()),""))</f>
        <v/>
      </c>
      <c r="E188" s="6"/>
      <c r="F188" s="6"/>
      <c r="G188" s="6"/>
      <c r="H188" s="16" t="str">
        <f aca="false">IF((F188+G188)&gt;0,G188/(F188+G188),"")</f>
        <v/>
      </c>
      <c r="I188" s="15" t="n">
        <f aca="false">IF(C188="",0,IFERROR(VLOOKUP(C188,'Recetas y precios'!$A$5:$R$55,18,FALSE()),0))</f>
        <v>0</v>
      </c>
      <c r="J188" s="15" t="n">
        <f aca="false">G188*I188</f>
        <v>0</v>
      </c>
      <c r="K188" s="24"/>
      <c r="L188" s="6"/>
    </row>
    <row r="189" customFormat="false" ht="15" hidden="false" customHeight="false" outlineLevel="0" collapsed="false">
      <c r="A189" s="34"/>
      <c r="B189" s="6"/>
      <c r="C189" s="6"/>
      <c r="D189" s="0" t="str">
        <f aca="false">IF(C189="","",IFERROR(VLOOKUP(C189,'Recetas y precios'!$A$5:$B$55,2,FALSE()),""))</f>
        <v/>
      </c>
      <c r="E189" s="6"/>
      <c r="F189" s="6"/>
      <c r="G189" s="6"/>
      <c r="H189" s="16" t="str">
        <f aca="false">IF((F189+G189)&gt;0,G189/(F189+G189),"")</f>
        <v/>
      </c>
      <c r="I189" s="15" t="n">
        <f aca="false">IF(C189="",0,IFERROR(VLOOKUP(C189,'Recetas y precios'!$A$5:$R$55,18,FALSE()),0))</f>
        <v>0</v>
      </c>
      <c r="J189" s="15" t="n">
        <f aca="false">G189*I189</f>
        <v>0</v>
      </c>
      <c r="K189" s="24"/>
      <c r="L189" s="6"/>
    </row>
    <row r="190" customFormat="false" ht="15" hidden="false" customHeight="false" outlineLevel="0" collapsed="false">
      <c r="A190" s="34"/>
      <c r="B190" s="6"/>
      <c r="C190" s="6"/>
      <c r="D190" s="0" t="str">
        <f aca="false">IF(C190="","",IFERROR(VLOOKUP(C190,'Recetas y precios'!$A$5:$B$55,2,FALSE()),""))</f>
        <v/>
      </c>
      <c r="E190" s="6"/>
      <c r="F190" s="6"/>
      <c r="G190" s="6"/>
      <c r="H190" s="16" t="str">
        <f aca="false">IF((F190+G190)&gt;0,G190/(F190+G190),"")</f>
        <v/>
      </c>
      <c r="I190" s="15" t="n">
        <f aca="false">IF(C190="",0,IFERROR(VLOOKUP(C190,'Recetas y precios'!$A$5:$R$55,18,FALSE()),0))</f>
        <v>0</v>
      </c>
      <c r="J190" s="15" t="n">
        <f aca="false">G190*I190</f>
        <v>0</v>
      </c>
      <c r="K190" s="24"/>
      <c r="L190" s="6"/>
    </row>
    <row r="191" customFormat="false" ht="15" hidden="false" customHeight="false" outlineLevel="0" collapsed="false">
      <c r="A191" s="34"/>
      <c r="B191" s="6"/>
      <c r="C191" s="6"/>
      <c r="D191" s="0" t="str">
        <f aca="false">IF(C191="","",IFERROR(VLOOKUP(C191,'Recetas y precios'!$A$5:$B$55,2,FALSE()),""))</f>
        <v/>
      </c>
      <c r="E191" s="6"/>
      <c r="F191" s="6"/>
      <c r="G191" s="6"/>
      <c r="H191" s="16" t="str">
        <f aca="false">IF((F191+G191)&gt;0,G191/(F191+G191),"")</f>
        <v/>
      </c>
      <c r="I191" s="15" t="n">
        <f aca="false">IF(C191="",0,IFERROR(VLOOKUP(C191,'Recetas y precios'!$A$5:$R$55,18,FALSE()),0))</f>
        <v>0</v>
      </c>
      <c r="J191" s="15" t="n">
        <f aca="false">G191*I191</f>
        <v>0</v>
      </c>
      <c r="K191" s="24"/>
      <c r="L191" s="6"/>
    </row>
    <row r="192" customFormat="false" ht="15" hidden="false" customHeight="false" outlineLevel="0" collapsed="false">
      <c r="A192" s="34"/>
      <c r="B192" s="6"/>
      <c r="C192" s="6"/>
      <c r="D192" s="0" t="str">
        <f aca="false">IF(C192="","",IFERROR(VLOOKUP(C192,'Recetas y precios'!$A$5:$B$55,2,FALSE()),""))</f>
        <v/>
      </c>
      <c r="E192" s="6"/>
      <c r="F192" s="6"/>
      <c r="G192" s="6"/>
      <c r="H192" s="16" t="str">
        <f aca="false">IF((F192+G192)&gt;0,G192/(F192+G192),"")</f>
        <v/>
      </c>
      <c r="I192" s="15" t="n">
        <f aca="false">IF(C192="",0,IFERROR(VLOOKUP(C192,'Recetas y precios'!$A$5:$R$55,18,FALSE()),0))</f>
        <v>0</v>
      </c>
      <c r="J192" s="15" t="n">
        <f aca="false">G192*I192</f>
        <v>0</v>
      </c>
      <c r="K192" s="24"/>
      <c r="L192" s="6"/>
    </row>
    <row r="193" customFormat="false" ht="15" hidden="false" customHeight="false" outlineLevel="0" collapsed="false">
      <c r="A193" s="34"/>
      <c r="B193" s="6"/>
      <c r="C193" s="6"/>
      <c r="D193" s="0" t="str">
        <f aca="false">IF(C193="","",IFERROR(VLOOKUP(C193,'Recetas y precios'!$A$5:$B$55,2,FALSE()),""))</f>
        <v/>
      </c>
      <c r="E193" s="6"/>
      <c r="F193" s="6"/>
      <c r="G193" s="6"/>
      <c r="H193" s="16" t="str">
        <f aca="false">IF((F193+G193)&gt;0,G193/(F193+G193),"")</f>
        <v/>
      </c>
      <c r="I193" s="15" t="n">
        <f aca="false">IF(C193="",0,IFERROR(VLOOKUP(C193,'Recetas y precios'!$A$5:$R$55,18,FALSE()),0))</f>
        <v>0</v>
      </c>
      <c r="J193" s="15" t="n">
        <f aca="false">G193*I193</f>
        <v>0</v>
      </c>
      <c r="K193" s="24"/>
      <c r="L193" s="6"/>
    </row>
    <row r="194" customFormat="false" ht="15" hidden="false" customHeight="false" outlineLevel="0" collapsed="false">
      <c r="A194" s="34"/>
      <c r="B194" s="6"/>
      <c r="C194" s="6"/>
      <c r="D194" s="0" t="str">
        <f aca="false">IF(C194="","",IFERROR(VLOOKUP(C194,'Recetas y precios'!$A$5:$B$55,2,FALSE()),""))</f>
        <v/>
      </c>
      <c r="E194" s="6"/>
      <c r="F194" s="6"/>
      <c r="G194" s="6"/>
      <c r="H194" s="16" t="str">
        <f aca="false">IF((F194+G194)&gt;0,G194/(F194+G194),"")</f>
        <v/>
      </c>
      <c r="I194" s="15" t="n">
        <f aca="false">IF(C194="",0,IFERROR(VLOOKUP(C194,'Recetas y precios'!$A$5:$R$55,18,FALSE()),0))</f>
        <v>0</v>
      </c>
      <c r="J194" s="15" t="n">
        <f aca="false">G194*I194</f>
        <v>0</v>
      </c>
      <c r="K194" s="24"/>
      <c r="L194" s="6"/>
    </row>
    <row r="195" customFormat="false" ht="15" hidden="false" customHeight="false" outlineLevel="0" collapsed="false">
      <c r="A195" s="34"/>
      <c r="B195" s="6"/>
      <c r="C195" s="6"/>
      <c r="D195" s="0" t="str">
        <f aca="false">IF(C195="","",IFERROR(VLOOKUP(C195,'Recetas y precios'!$A$5:$B$55,2,FALSE()),""))</f>
        <v/>
      </c>
      <c r="E195" s="6"/>
      <c r="F195" s="6"/>
      <c r="G195" s="6"/>
      <c r="H195" s="16" t="str">
        <f aca="false">IF((F195+G195)&gt;0,G195/(F195+G195),"")</f>
        <v/>
      </c>
      <c r="I195" s="15" t="n">
        <f aca="false">IF(C195="",0,IFERROR(VLOOKUP(C195,'Recetas y precios'!$A$5:$R$55,18,FALSE()),0))</f>
        <v>0</v>
      </c>
      <c r="J195" s="15" t="n">
        <f aca="false">G195*I195</f>
        <v>0</v>
      </c>
      <c r="K195" s="24"/>
      <c r="L195" s="6"/>
    </row>
    <row r="196" customFormat="false" ht="15" hidden="false" customHeight="false" outlineLevel="0" collapsed="false">
      <c r="A196" s="34"/>
      <c r="B196" s="6"/>
      <c r="C196" s="6"/>
      <c r="D196" s="0" t="str">
        <f aca="false">IF(C196="","",IFERROR(VLOOKUP(C196,'Recetas y precios'!$A$5:$B$55,2,FALSE()),""))</f>
        <v/>
      </c>
      <c r="E196" s="6"/>
      <c r="F196" s="6"/>
      <c r="G196" s="6"/>
      <c r="H196" s="16" t="str">
        <f aca="false">IF((F196+G196)&gt;0,G196/(F196+G196),"")</f>
        <v/>
      </c>
      <c r="I196" s="15" t="n">
        <f aca="false">IF(C196="",0,IFERROR(VLOOKUP(C196,'Recetas y precios'!$A$5:$R$55,18,FALSE()),0))</f>
        <v>0</v>
      </c>
      <c r="J196" s="15" t="n">
        <f aca="false">G196*I196</f>
        <v>0</v>
      </c>
      <c r="K196" s="24"/>
      <c r="L196" s="6"/>
    </row>
    <row r="197" customFormat="false" ht="15" hidden="false" customHeight="false" outlineLevel="0" collapsed="false">
      <c r="A197" s="34"/>
      <c r="B197" s="6"/>
      <c r="C197" s="6"/>
      <c r="D197" s="0" t="str">
        <f aca="false">IF(C197="","",IFERROR(VLOOKUP(C197,'Recetas y precios'!$A$5:$B$55,2,FALSE()),""))</f>
        <v/>
      </c>
      <c r="E197" s="6"/>
      <c r="F197" s="6"/>
      <c r="G197" s="6"/>
      <c r="H197" s="16" t="str">
        <f aca="false">IF((F197+G197)&gt;0,G197/(F197+G197),"")</f>
        <v/>
      </c>
      <c r="I197" s="15" t="n">
        <f aca="false">IF(C197="",0,IFERROR(VLOOKUP(C197,'Recetas y precios'!$A$5:$R$55,18,FALSE()),0))</f>
        <v>0</v>
      </c>
      <c r="J197" s="15" t="n">
        <f aca="false">G197*I197</f>
        <v>0</v>
      </c>
      <c r="K197" s="24"/>
      <c r="L197" s="6"/>
    </row>
    <row r="198" customFormat="false" ht="15" hidden="false" customHeight="false" outlineLevel="0" collapsed="false">
      <c r="A198" s="34"/>
      <c r="B198" s="6"/>
      <c r="C198" s="6"/>
      <c r="D198" s="0" t="str">
        <f aca="false">IF(C198="","",IFERROR(VLOOKUP(C198,'Recetas y precios'!$A$5:$B$55,2,FALSE()),""))</f>
        <v/>
      </c>
      <c r="E198" s="6"/>
      <c r="F198" s="6"/>
      <c r="G198" s="6"/>
      <c r="H198" s="16" t="str">
        <f aca="false">IF((F198+G198)&gt;0,G198/(F198+G198),"")</f>
        <v/>
      </c>
      <c r="I198" s="15" t="n">
        <f aca="false">IF(C198="",0,IFERROR(VLOOKUP(C198,'Recetas y precios'!$A$5:$R$55,18,FALSE()),0))</f>
        <v>0</v>
      </c>
      <c r="J198" s="15" t="n">
        <f aca="false">G198*I198</f>
        <v>0</v>
      </c>
      <c r="K198" s="24"/>
      <c r="L198" s="6"/>
    </row>
    <row r="199" customFormat="false" ht="15" hidden="false" customHeight="false" outlineLevel="0" collapsed="false">
      <c r="A199" s="34"/>
      <c r="B199" s="6"/>
      <c r="C199" s="6"/>
      <c r="D199" s="0" t="str">
        <f aca="false">IF(C199="","",IFERROR(VLOOKUP(C199,'Recetas y precios'!$A$5:$B$55,2,FALSE()),""))</f>
        <v/>
      </c>
      <c r="E199" s="6"/>
      <c r="F199" s="6"/>
      <c r="G199" s="6"/>
      <c r="H199" s="16" t="str">
        <f aca="false">IF((F199+G199)&gt;0,G199/(F199+G199),"")</f>
        <v/>
      </c>
      <c r="I199" s="15" t="n">
        <f aca="false">IF(C199="",0,IFERROR(VLOOKUP(C199,'Recetas y precios'!$A$5:$R$55,18,FALSE()),0))</f>
        <v>0</v>
      </c>
      <c r="J199" s="15" t="n">
        <f aca="false">G199*I199</f>
        <v>0</v>
      </c>
      <c r="K199" s="24"/>
      <c r="L199" s="6"/>
    </row>
    <row r="200" customFormat="false" ht="15" hidden="false" customHeight="false" outlineLevel="0" collapsed="false">
      <c r="A200" s="34"/>
      <c r="B200" s="6"/>
      <c r="C200" s="6"/>
      <c r="D200" s="0" t="str">
        <f aca="false">IF(C200="","",IFERROR(VLOOKUP(C200,'Recetas y precios'!$A$5:$B$55,2,FALSE()),""))</f>
        <v/>
      </c>
      <c r="E200" s="6"/>
      <c r="F200" s="6"/>
      <c r="G200" s="6"/>
      <c r="H200" s="16" t="str">
        <f aca="false">IF((F200+G200)&gt;0,G200/(F200+G200),"")</f>
        <v/>
      </c>
      <c r="I200" s="15" t="n">
        <f aca="false">IF(C200="",0,IFERROR(VLOOKUP(C200,'Recetas y precios'!$A$5:$R$55,18,FALSE()),0))</f>
        <v>0</v>
      </c>
      <c r="J200" s="15" t="n">
        <f aca="false">G200*I200</f>
        <v>0</v>
      </c>
      <c r="K200" s="24"/>
      <c r="L200" s="6"/>
    </row>
    <row r="201" customFormat="false" ht="15" hidden="false" customHeight="false" outlineLevel="0" collapsed="false">
      <c r="A201" s="34"/>
      <c r="B201" s="6"/>
      <c r="C201" s="6"/>
      <c r="D201" s="0" t="str">
        <f aca="false">IF(C201="","",IFERROR(VLOOKUP(C201,'Recetas y precios'!$A$5:$B$55,2,FALSE()),""))</f>
        <v/>
      </c>
      <c r="E201" s="6"/>
      <c r="F201" s="6"/>
      <c r="G201" s="6"/>
      <c r="H201" s="16" t="str">
        <f aca="false">IF((F201+G201)&gt;0,G201/(F201+G201),"")</f>
        <v/>
      </c>
      <c r="I201" s="15" t="n">
        <f aca="false">IF(C201="",0,IFERROR(VLOOKUP(C201,'Recetas y precios'!$A$5:$R$55,18,FALSE()),0))</f>
        <v>0</v>
      </c>
      <c r="J201" s="15" t="n">
        <f aca="false">G201*I201</f>
        <v>0</v>
      </c>
      <c r="K201" s="24"/>
      <c r="L201" s="6"/>
    </row>
    <row r="202" customFormat="false" ht="15" hidden="false" customHeight="false" outlineLevel="0" collapsed="false">
      <c r="A202" s="34"/>
      <c r="B202" s="6"/>
      <c r="C202" s="6"/>
      <c r="D202" s="0" t="str">
        <f aca="false">IF(C202="","",IFERROR(VLOOKUP(C202,'Recetas y precios'!$A$5:$B$55,2,FALSE()),""))</f>
        <v/>
      </c>
      <c r="E202" s="6"/>
      <c r="F202" s="6"/>
      <c r="G202" s="6"/>
      <c r="H202" s="16" t="str">
        <f aca="false">IF((F202+G202)&gt;0,G202/(F202+G202),"")</f>
        <v/>
      </c>
      <c r="I202" s="15" t="n">
        <f aca="false">IF(C202="",0,IFERROR(VLOOKUP(C202,'Recetas y precios'!$A$5:$R$55,18,FALSE()),0))</f>
        <v>0</v>
      </c>
      <c r="J202" s="15" t="n">
        <f aca="false">G202*I202</f>
        <v>0</v>
      </c>
      <c r="K202" s="24"/>
      <c r="L202" s="6"/>
    </row>
    <row r="203" customFormat="false" ht="15" hidden="false" customHeight="false" outlineLevel="0" collapsed="false">
      <c r="A203" s="34"/>
      <c r="B203" s="6"/>
      <c r="C203" s="6"/>
      <c r="D203" s="0" t="str">
        <f aca="false">IF(C203="","",IFERROR(VLOOKUP(C203,'Recetas y precios'!$A$5:$B$55,2,FALSE()),""))</f>
        <v/>
      </c>
      <c r="E203" s="6"/>
      <c r="F203" s="6"/>
      <c r="G203" s="6"/>
      <c r="H203" s="16" t="str">
        <f aca="false">IF((F203+G203)&gt;0,G203/(F203+G203),"")</f>
        <v/>
      </c>
      <c r="I203" s="15" t="n">
        <f aca="false">IF(C203="",0,IFERROR(VLOOKUP(C203,'Recetas y precios'!$A$5:$R$55,18,FALSE()),0))</f>
        <v>0</v>
      </c>
      <c r="J203" s="15" t="n">
        <f aca="false">G203*I203</f>
        <v>0</v>
      </c>
      <c r="K203" s="24"/>
      <c r="L203" s="6"/>
    </row>
    <row r="204" customFormat="false" ht="15" hidden="false" customHeight="false" outlineLevel="0" collapsed="false">
      <c r="A204" s="34"/>
      <c r="B204" s="6"/>
      <c r="C204" s="6"/>
      <c r="D204" s="0" t="str">
        <f aca="false">IF(C204="","",IFERROR(VLOOKUP(C204,'Recetas y precios'!$A$5:$B$55,2,FALSE()),""))</f>
        <v/>
      </c>
      <c r="E204" s="6"/>
      <c r="F204" s="6"/>
      <c r="G204" s="6"/>
      <c r="H204" s="16" t="str">
        <f aca="false">IF((F204+G204)&gt;0,G204/(F204+G204),"")</f>
        <v/>
      </c>
      <c r="I204" s="15" t="n">
        <f aca="false">IF(C204="",0,IFERROR(VLOOKUP(C204,'Recetas y precios'!$A$5:$R$55,18,FALSE()),0))</f>
        <v>0</v>
      </c>
      <c r="J204" s="15" t="n">
        <f aca="false">G204*I204</f>
        <v>0</v>
      </c>
      <c r="K204" s="24"/>
      <c r="L204" s="6"/>
    </row>
    <row r="205" customFormat="false" ht="15" hidden="false" customHeight="false" outlineLevel="0" collapsed="false">
      <c r="A205" s="34"/>
      <c r="B205" s="6"/>
      <c r="C205" s="6"/>
      <c r="D205" s="0" t="str">
        <f aca="false">IF(C205="","",IFERROR(VLOOKUP(C205,'Recetas y precios'!$A$5:$B$55,2,FALSE()),""))</f>
        <v/>
      </c>
      <c r="E205" s="6"/>
      <c r="F205" s="6"/>
      <c r="G205" s="6"/>
      <c r="H205" s="16" t="str">
        <f aca="false">IF((F205+G205)&gt;0,G205/(F205+G205),"")</f>
        <v/>
      </c>
      <c r="I205" s="15" t="n">
        <f aca="false">IF(C205="",0,IFERROR(VLOOKUP(C205,'Recetas y precios'!$A$5:$R$55,18,FALSE()),0))</f>
        <v>0</v>
      </c>
      <c r="J205" s="15" t="n">
        <f aca="false">G205*I205</f>
        <v>0</v>
      </c>
      <c r="K205" s="24"/>
      <c r="L205" s="6"/>
    </row>
    <row r="206" customFormat="false" ht="15" hidden="false" customHeight="false" outlineLevel="0" collapsed="false">
      <c r="A206" s="34"/>
      <c r="B206" s="6"/>
      <c r="C206" s="6"/>
      <c r="D206" s="0" t="str">
        <f aca="false">IF(C206="","",IFERROR(VLOOKUP(C206,'Recetas y precios'!$A$5:$B$55,2,FALSE()),""))</f>
        <v/>
      </c>
      <c r="E206" s="6"/>
      <c r="F206" s="6"/>
      <c r="G206" s="6"/>
      <c r="H206" s="16" t="str">
        <f aca="false">IF((F206+G206)&gt;0,G206/(F206+G206),"")</f>
        <v/>
      </c>
      <c r="I206" s="15" t="n">
        <f aca="false">IF(C206="",0,IFERROR(VLOOKUP(C206,'Recetas y precios'!$A$5:$R$55,18,FALSE()),0))</f>
        <v>0</v>
      </c>
      <c r="J206" s="15" t="n">
        <f aca="false">G206*I206</f>
        <v>0</v>
      </c>
      <c r="K206" s="24"/>
      <c r="L206" s="6"/>
    </row>
    <row r="207" customFormat="false" ht="15" hidden="false" customHeight="false" outlineLevel="0" collapsed="false">
      <c r="A207" s="34"/>
      <c r="B207" s="6"/>
      <c r="C207" s="6"/>
      <c r="D207" s="0" t="str">
        <f aca="false">IF(C207="","",IFERROR(VLOOKUP(C207,'Recetas y precios'!$A$5:$B$55,2,FALSE()),""))</f>
        <v/>
      </c>
      <c r="E207" s="6"/>
      <c r="F207" s="6"/>
      <c r="G207" s="6"/>
      <c r="H207" s="16" t="str">
        <f aca="false">IF((F207+G207)&gt;0,G207/(F207+G207),"")</f>
        <v/>
      </c>
      <c r="I207" s="15" t="n">
        <f aca="false">IF(C207="",0,IFERROR(VLOOKUP(C207,'Recetas y precios'!$A$5:$R$55,18,FALSE()),0))</f>
        <v>0</v>
      </c>
      <c r="J207" s="15" t="n">
        <f aca="false">G207*I207</f>
        <v>0</v>
      </c>
      <c r="K207" s="24"/>
      <c r="L207" s="6"/>
    </row>
    <row r="208" customFormat="false" ht="15" hidden="false" customHeight="false" outlineLevel="0" collapsed="false">
      <c r="A208" s="34"/>
      <c r="B208" s="6"/>
      <c r="C208" s="6"/>
      <c r="D208" s="0" t="str">
        <f aca="false">IF(C208="","",IFERROR(VLOOKUP(C208,'Recetas y precios'!$A$5:$B$55,2,FALSE()),""))</f>
        <v/>
      </c>
      <c r="E208" s="6"/>
      <c r="F208" s="6"/>
      <c r="G208" s="6"/>
      <c r="H208" s="16" t="str">
        <f aca="false">IF((F208+G208)&gt;0,G208/(F208+G208),"")</f>
        <v/>
      </c>
      <c r="I208" s="15" t="n">
        <f aca="false">IF(C208="",0,IFERROR(VLOOKUP(C208,'Recetas y precios'!$A$5:$R$55,18,FALSE()),0))</f>
        <v>0</v>
      </c>
      <c r="J208" s="15" t="n">
        <f aca="false">G208*I208</f>
        <v>0</v>
      </c>
      <c r="K208" s="24"/>
      <c r="L208" s="6"/>
    </row>
    <row r="209" customFormat="false" ht="15" hidden="false" customHeight="false" outlineLevel="0" collapsed="false">
      <c r="A209" s="34"/>
      <c r="B209" s="6"/>
      <c r="C209" s="6"/>
      <c r="D209" s="0" t="str">
        <f aca="false">IF(C209="","",IFERROR(VLOOKUP(C209,'Recetas y precios'!$A$5:$B$55,2,FALSE()),""))</f>
        <v/>
      </c>
      <c r="E209" s="6"/>
      <c r="F209" s="6"/>
      <c r="G209" s="6"/>
      <c r="H209" s="16" t="str">
        <f aca="false">IF((F209+G209)&gt;0,G209/(F209+G209),"")</f>
        <v/>
      </c>
      <c r="I209" s="15" t="n">
        <f aca="false">IF(C209="",0,IFERROR(VLOOKUP(C209,'Recetas y precios'!$A$5:$R$55,18,FALSE()),0))</f>
        <v>0</v>
      </c>
      <c r="J209" s="15" t="n">
        <f aca="false">G209*I209</f>
        <v>0</v>
      </c>
      <c r="K209" s="24"/>
      <c r="L209" s="6"/>
    </row>
    <row r="210" customFormat="false" ht="15" hidden="false" customHeight="false" outlineLevel="0" collapsed="false">
      <c r="A210" s="34"/>
      <c r="B210" s="6"/>
      <c r="C210" s="6"/>
      <c r="D210" s="0" t="str">
        <f aca="false">IF(C210="","",IFERROR(VLOOKUP(C210,'Recetas y precios'!$A$5:$B$55,2,FALSE()),""))</f>
        <v/>
      </c>
      <c r="E210" s="6"/>
      <c r="F210" s="6"/>
      <c r="G210" s="6"/>
      <c r="H210" s="16" t="str">
        <f aca="false">IF((F210+G210)&gt;0,G210/(F210+G210),"")</f>
        <v/>
      </c>
      <c r="I210" s="15" t="n">
        <f aca="false">IF(C210="",0,IFERROR(VLOOKUP(C210,'Recetas y precios'!$A$5:$R$55,18,FALSE()),0))</f>
        <v>0</v>
      </c>
      <c r="J210" s="15" t="n">
        <f aca="false">G210*I210</f>
        <v>0</v>
      </c>
      <c r="K210" s="24"/>
      <c r="L210" s="6"/>
    </row>
    <row r="211" customFormat="false" ht="15" hidden="false" customHeight="false" outlineLevel="0" collapsed="false">
      <c r="A211" s="34"/>
      <c r="B211" s="6"/>
      <c r="C211" s="6"/>
      <c r="D211" s="0" t="str">
        <f aca="false">IF(C211="","",IFERROR(VLOOKUP(C211,'Recetas y precios'!$A$5:$B$55,2,FALSE()),""))</f>
        <v/>
      </c>
      <c r="E211" s="6"/>
      <c r="F211" s="6"/>
      <c r="G211" s="6"/>
      <c r="H211" s="16" t="str">
        <f aca="false">IF((F211+G211)&gt;0,G211/(F211+G211),"")</f>
        <v/>
      </c>
      <c r="I211" s="15" t="n">
        <f aca="false">IF(C211="",0,IFERROR(VLOOKUP(C211,'Recetas y precios'!$A$5:$R$55,18,FALSE()),0))</f>
        <v>0</v>
      </c>
      <c r="J211" s="15" t="n">
        <f aca="false">G211*I211</f>
        <v>0</v>
      </c>
      <c r="K211" s="24"/>
      <c r="L211" s="6"/>
    </row>
    <row r="212" customFormat="false" ht="15" hidden="false" customHeight="false" outlineLevel="0" collapsed="false">
      <c r="A212" s="34"/>
      <c r="B212" s="6"/>
      <c r="C212" s="6"/>
      <c r="D212" s="0" t="str">
        <f aca="false">IF(C212="","",IFERROR(VLOOKUP(C212,'Recetas y precios'!$A$5:$B$55,2,FALSE()),""))</f>
        <v/>
      </c>
      <c r="E212" s="6"/>
      <c r="F212" s="6"/>
      <c r="G212" s="6"/>
      <c r="H212" s="16" t="str">
        <f aca="false">IF((F212+G212)&gt;0,G212/(F212+G212),"")</f>
        <v/>
      </c>
      <c r="I212" s="15" t="n">
        <f aca="false">IF(C212="",0,IFERROR(VLOOKUP(C212,'Recetas y precios'!$A$5:$R$55,18,FALSE()),0))</f>
        <v>0</v>
      </c>
      <c r="J212" s="15" t="n">
        <f aca="false">G212*I212</f>
        <v>0</v>
      </c>
      <c r="K212" s="24"/>
      <c r="L212" s="6"/>
    </row>
    <row r="213" customFormat="false" ht="15" hidden="false" customHeight="false" outlineLevel="0" collapsed="false">
      <c r="A213" s="34"/>
      <c r="B213" s="6"/>
      <c r="C213" s="6"/>
      <c r="D213" s="0" t="str">
        <f aca="false">IF(C213="","",IFERROR(VLOOKUP(C213,'Recetas y precios'!$A$5:$B$55,2,FALSE()),""))</f>
        <v/>
      </c>
      <c r="E213" s="6"/>
      <c r="F213" s="6"/>
      <c r="G213" s="6"/>
      <c r="H213" s="16" t="str">
        <f aca="false">IF((F213+G213)&gt;0,G213/(F213+G213),"")</f>
        <v/>
      </c>
      <c r="I213" s="15" t="n">
        <f aca="false">IF(C213="",0,IFERROR(VLOOKUP(C213,'Recetas y precios'!$A$5:$R$55,18,FALSE()),0))</f>
        <v>0</v>
      </c>
      <c r="J213" s="15" t="n">
        <f aca="false">G213*I213</f>
        <v>0</v>
      </c>
      <c r="K213" s="24"/>
      <c r="L213" s="6"/>
    </row>
    <row r="214" customFormat="false" ht="15" hidden="false" customHeight="false" outlineLevel="0" collapsed="false">
      <c r="A214" s="34"/>
      <c r="B214" s="6"/>
      <c r="C214" s="6"/>
      <c r="D214" s="0" t="str">
        <f aca="false">IF(C214="","",IFERROR(VLOOKUP(C214,'Recetas y precios'!$A$5:$B$55,2,FALSE()),""))</f>
        <v/>
      </c>
      <c r="E214" s="6"/>
      <c r="F214" s="6"/>
      <c r="G214" s="6"/>
      <c r="H214" s="16" t="str">
        <f aca="false">IF((F214+G214)&gt;0,G214/(F214+G214),"")</f>
        <v/>
      </c>
      <c r="I214" s="15" t="n">
        <f aca="false">IF(C214="",0,IFERROR(VLOOKUP(C214,'Recetas y precios'!$A$5:$R$55,18,FALSE()),0))</f>
        <v>0</v>
      </c>
      <c r="J214" s="15" t="n">
        <f aca="false">G214*I214</f>
        <v>0</v>
      </c>
      <c r="K214" s="24"/>
      <c r="L214" s="6"/>
    </row>
    <row r="215" customFormat="false" ht="15" hidden="false" customHeight="false" outlineLevel="0" collapsed="false">
      <c r="A215" s="34"/>
      <c r="B215" s="6"/>
      <c r="C215" s="6"/>
      <c r="D215" s="0" t="str">
        <f aca="false">IF(C215="","",IFERROR(VLOOKUP(C215,'Recetas y precios'!$A$5:$B$55,2,FALSE()),""))</f>
        <v/>
      </c>
      <c r="E215" s="6"/>
      <c r="F215" s="6"/>
      <c r="G215" s="6"/>
      <c r="H215" s="16" t="str">
        <f aca="false">IF((F215+G215)&gt;0,G215/(F215+G215),"")</f>
        <v/>
      </c>
      <c r="I215" s="15" t="n">
        <f aca="false">IF(C215="",0,IFERROR(VLOOKUP(C215,'Recetas y precios'!$A$5:$R$55,18,FALSE()),0))</f>
        <v>0</v>
      </c>
      <c r="J215" s="15" t="n">
        <f aca="false">G215*I215</f>
        <v>0</v>
      </c>
      <c r="K215" s="24"/>
      <c r="L215" s="6"/>
    </row>
    <row r="216" customFormat="false" ht="15" hidden="false" customHeight="false" outlineLevel="0" collapsed="false">
      <c r="A216" s="34"/>
      <c r="B216" s="6"/>
      <c r="C216" s="6"/>
      <c r="D216" s="0" t="str">
        <f aca="false">IF(C216="","",IFERROR(VLOOKUP(C216,'Recetas y precios'!$A$5:$B$55,2,FALSE()),""))</f>
        <v/>
      </c>
      <c r="E216" s="6"/>
      <c r="F216" s="6"/>
      <c r="G216" s="6"/>
      <c r="H216" s="16" t="str">
        <f aca="false">IF((F216+G216)&gt;0,G216/(F216+G216),"")</f>
        <v/>
      </c>
      <c r="I216" s="15" t="n">
        <f aca="false">IF(C216="",0,IFERROR(VLOOKUP(C216,'Recetas y precios'!$A$5:$R$55,18,FALSE()),0))</f>
        <v>0</v>
      </c>
      <c r="J216" s="15" t="n">
        <f aca="false">G216*I216</f>
        <v>0</v>
      </c>
      <c r="K216" s="24"/>
      <c r="L216" s="6"/>
    </row>
    <row r="217" customFormat="false" ht="15" hidden="false" customHeight="false" outlineLevel="0" collapsed="false">
      <c r="A217" s="34"/>
      <c r="B217" s="6"/>
      <c r="C217" s="6"/>
      <c r="D217" s="0" t="str">
        <f aca="false">IF(C217="","",IFERROR(VLOOKUP(C217,'Recetas y precios'!$A$5:$B$55,2,FALSE()),""))</f>
        <v/>
      </c>
      <c r="E217" s="6"/>
      <c r="F217" s="6"/>
      <c r="G217" s="6"/>
      <c r="H217" s="16" t="str">
        <f aca="false">IF((F217+G217)&gt;0,G217/(F217+G217),"")</f>
        <v/>
      </c>
      <c r="I217" s="15" t="n">
        <f aca="false">IF(C217="",0,IFERROR(VLOOKUP(C217,'Recetas y precios'!$A$5:$R$55,18,FALSE()),0))</f>
        <v>0</v>
      </c>
      <c r="J217" s="15" t="n">
        <f aca="false">G217*I217</f>
        <v>0</v>
      </c>
      <c r="K217" s="24"/>
      <c r="L217" s="6"/>
    </row>
    <row r="218" customFormat="false" ht="15" hidden="false" customHeight="false" outlineLevel="0" collapsed="false">
      <c r="A218" s="34"/>
      <c r="B218" s="6"/>
      <c r="C218" s="6"/>
      <c r="D218" s="0" t="str">
        <f aca="false">IF(C218="","",IFERROR(VLOOKUP(C218,'Recetas y precios'!$A$5:$B$55,2,FALSE()),""))</f>
        <v/>
      </c>
      <c r="E218" s="6"/>
      <c r="F218" s="6"/>
      <c r="G218" s="6"/>
      <c r="H218" s="16" t="str">
        <f aca="false">IF((F218+G218)&gt;0,G218/(F218+G218),"")</f>
        <v/>
      </c>
      <c r="I218" s="15" t="n">
        <f aca="false">IF(C218="",0,IFERROR(VLOOKUP(C218,'Recetas y precios'!$A$5:$R$55,18,FALSE()),0))</f>
        <v>0</v>
      </c>
      <c r="J218" s="15" t="n">
        <f aca="false">G218*I218</f>
        <v>0</v>
      </c>
      <c r="K218" s="24"/>
      <c r="L218" s="6"/>
    </row>
    <row r="219" customFormat="false" ht="15" hidden="false" customHeight="false" outlineLevel="0" collapsed="false">
      <c r="A219" s="34"/>
      <c r="B219" s="6"/>
      <c r="C219" s="6"/>
      <c r="D219" s="0" t="str">
        <f aca="false">IF(C219="","",IFERROR(VLOOKUP(C219,'Recetas y precios'!$A$5:$B$55,2,FALSE()),""))</f>
        <v/>
      </c>
      <c r="E219" s="6"/>
      <c r="F219" s="6"/>
      <c r="G219" s="6"/>
      <c r="H219" s="16" t="str">
        <f aca="false">IF((F219+G219)&gt;0,G219/(F219+G219),"")</f>
        <v/>
      </c>
      <c r="I219" s="15" t="n">
        <f aca="false">IF(C219="",0,IFERROR(VLOOKUP(C219,'Recetas y precios'!$A$5:$R$55,18,FALSE()),0))</f>
        <v>0</v>
      </c>
      <c r="J219" s="15" t="n">
        <f aca="false">G219*I219</f>
        <v>0</v>
      </c>
      <c r="K219" s="24"/>
      <c r="L219" s="6"/>
    </row>
    <row r="220" customFormat="false" ht="15" hidden="false" customHeight="false" outlineLevel="0" collapsed="false">
      <c r="A220" s="34"/>
      <c r="B220" s="6"/>
      <c r="C220" s="6"/>
      <c r="D220" s="0" t="str">
        <f aca="false">IF(C220="","",IFERROR(VLOOKUP(C220,'Recetas y precios'!$A$5:$B$55,2,FALSE()),""))</f>
        <v/>
      </c>
      <c r="E220" s="6"/>
      <c r="F220" s="6"/>
      <c r="G220" s="6"/>
      <c r="H220" s="16" t="str">
        <f aca="false">IF((F220+G220)&gt;0,G220/(F220+G220),"")</f>
        <v/>
      </c>
      <c r="I220" s="15" t="n">
        <f aca="false">IF(C220="",0,IFERROR(VLOOKUP(C220,'Recetas y precios'!$A$5:$R$55,18,FALSE()),0))</f>
        <v>0</v>
      </c>
      <c r="J220" s="15" t="n">
        <f aca="false">G220*I220</f>
        <v>0</v>
      </c>
      <c r="K220" s="24"/>
      <c r="L220" s="6"/>
    </row>
    <row r="221" customFormat="false" ht="15" hidden="false" customHeight="false" outlineLevel="0" collapsed="false">
      <c r="A221" s="34"/>
      <c r="B221" s="6"/>
      <c r="C221" s="6"/>
      <c r="D221" s="0" t="str">
        <f aca="false">IF(C221="","",IFERROR(VLOOKUP(C221,'Recetas y precios'!$A$5:$B$55,2,FALSE()),""))</f>
        <v/>
      </c>
      <c r="E221" s="6"/>
      <c r="F221" s="6"/>
      <c r="G221" s="6"/>
      <c r="H221" s="16" t="str">
        <f aca="false">IF((F221+G221)&gt;0,G221/(F221+G221),"")</f>
        <v/>
      </c>
      <c r="I221" s="15" t="n">
        <f aca="false">IF(C221="",0,IFERROR(VLOOKUP(C221,'Recetas y precios'!$A$5:$R$55,18,FALSE()),0))</f>
        <v>0</v>
      </c>
      <c r="J221" s="15" t="n">
        <f aca="false">G221*I221</f>
        <v>0</v>
      </c>
      <c r="K221" s="24"/>
      <c r="L221" s="6"/>
    </row>
    <row r="222" customFormat="false" ht="15" hidden="false" customHeight="false" outlineLevel="0" collapsed="false">
      <c r="A222" s="34"/>
      <c r="B222" s="6"/>
      <c r="C222" s="6"/>
      <c r="D222" s="0" t="str">
        <f aca="false">IF(C222="","",IFERROR(VLOOKUP(C222,'Recetas y precios'!$A$5:$B$55,2,FALSE()),""))</f>
        <v/>
      </c>
      <c r="E222" s="6"/>
      <c r="F222" s="6"/>
      <c r="G222" s="6"/>
      <c r="H222" s="16" t="str">
        <f aca="false">IF((F222+G222)&gt;0,G222/(F222+G222),"")</f>
        <v/>
      </c>
      <c r="I222" s="15" t="n">
        <f aca="false">IF(C222="",0,IFERROR(VLOOKUP(C222,'Recetas y precios'!$A$5:$R$55,18,FALSE()),0))</f>
        <v>0</v>
      </c>
      <c r="J222" s="15" t="n">
        <f aca="false">G222*I222</f>
        <v>0</v>
      </c>
      <c r="K222" s="24"/>
      <c r="L222" s="6"/>
    </row>
    <row r="223" customFormat="false" ht="15" hidden="false" customHeight="false" outlineLevel="0" collapsed="false">
      <c r="A223" s="34"/>
      <c r="B223" s="6"/>
      <c r="C223" s="6"/>
      <c r="D223" s="0" t="str">
        <f aca="false">IF(C223="","",IFERROR(VLOOKUP(C223,'Recetas y precios'!$A$5:$B$55,2,FALSE()),""))</f>
        <v/>
      </c>
      <c r="E223" s="6"/>
      <c r="F223" s="6"/>
      <c r="G223" s="6"/>
      <c r="H223" s="16" t="str">
        <f aca="false">IF((F223+G223)&gt;0,G223/(F223+G223),"")</f>
        <v/>
      </c>
      <c r="I223" s="15" t="n">
        <f aca="false">IF(C223="",0,IFERROR(VLOOKUP(C223,'Recetas y precios'!$A$5:$R$55,18,FALSE()),0))</f>
        <v>0</v>
      </c>
      <c r="J223" s="15" t="n">
        <f aca="false">G223*I223</f>
        <v>0</v>
      </c>
      <c r="K223" s="24"/>
      <c r="L223" s="6"/>
    </row>
    <row r="224" customFormat="false" ht="15" hidden="false" customHeight="false" outlineLevel="0" collapsed="false">
      <c r="A224" s="34"/>
      <c r="B224" s="6"/>
      <c r="C224" s="6"/>
      <c r="D224" s="0" t="str">
        <f aca="false">IF(C224="","",IFERROR(VLOOKUP(C224,'Recetas y precios'!$A$5:$B$55,2,FALSE()),""))</f>
        <v/>
      </c>
      <c r="E224" s="6"/>
      <c r="F224" s="6"/>
      <c r="G224" s="6"/>
      <c r="H224" s="16" t="str">
        <f aca="false">IF((F224+G224)&gt;0,G224/(F224+G224),"")</f>
        <v/>
      </c>
      <c r="I224" s="15" t="n">
        <f aca="false">IF(C224="",0,IFERROR(VLOOKUP(C224,'Recetas y precios'!$A$5:$R$55,18,FALSE()),0))</f>
        <v>0</v>
      </c>
      <c r="J224" s="15" t="n">
        <f aca="false">G224*I224</f>
        <v>0</v>
      </c>
      <c r="K224" s="24"/>
      <c r="L224" s="6"/>
    </row>
    <row r="225" customFormat="false" ht="15" hidden="false" customHeight="false" outlineLevel="0" collapsed="false">
      <c r="A225" s="34"/>
      <c r="B225" s="6"/>
      <c r="C225" s="6"/>
      <c r="D225" s="0" t="str">
        <f aca="false">IF(C225="","",IFERROR(VLOOKUP(C225,'Recetas y precios'!$A$5:$B$55,2,FALSE()),""))</f>
        <v/>
      </c>
      <c r="E225" s="6"/>
      <c r="F225" s="6"/>
      <c r="G225" s="6"/>
      <c r="H225" s="16" t="str">
        <f aca="false">IF((F225+G225)&gt;0,G225/(F225+G225),"")</f>
        <v/>
      </c>
      <c r="I225" s="15" t="n">
        <f aca="false">IF(C225="",0,IFERROR(VLOOKUP(C225,'Recetas y precios'!$A$5:$R$55,18,FALSE()),0))</f>
        <v>0</v>
      </c>
      <c r="J225" s="15" t="n">
        <f aca="false">G225*I225</f>
        <v>0</v>
      </c>
      <c r="K225" s="24"/>
      <c r="L225" s="6"/>
    </row>
    <row r="226" customFormat="false" ht="15" hidden="false" customHeight="false" outlineLevel="0" collapsed="false">
      <c r="A226" s="34"/>
      <c r="B226" s="6"/>
      <c r="C226" s="6"/>
      <c r="D226" s="0" t="str">
        <f aca="false">IF(C226="","",IFERROR(VLOOKUP(C226,'Recetas y precios'!$A$5:$B$55,2,FALSE()),""))</f>
        <v/>
      </c>
      <c r="E226" s="6"/>
      <c r="F226" s="6"/>
      <c r="G226" s="6"/>
      <c r="H226" s="16" t="str">
        <f aca="false">IF((F226+G226)&gt;0,G226/(F226+G226),"")</f>
        <v/>
      </c>
      <c r="I226" s="15" t="n">
        <f aca="false">IF(C226="",0,IFERROR(VLOOKUP(C226,'Recetas y precios'!$A$5:$R$55,18,FALSE()),0))</f>
        <v>0</v>
      </c>
      <c r="J226" s="15" t="n">
        <f aca="false">G226*I226</f>
        <v>0</v>
      </c>
      <c r="K226" s="24"/>
      <c r="L226" s="6"/>
    </row>
    <row r="227" customFormat="false" ht="15" hidden="false" customHeight="false" outlineLevel="0" collapsed="false">
      <c r="A227" s="34"/>
      <c r="B227" s="6"/>
      <c r="C227" s="6"/>
      <c r="D227" s="0" t="str">
        <f aca="false">IF(C227="","",IFERROR(VLOOKUP(C227,'Recetas y precios'!$A$5:$B$55,2,FALSE()),""))</f>
        <v/>
      </c>
      <c r="E227" s="6"/>
      <c r="F227" s="6"/>
      <c r="G227" s="6"/>
      <c r="H227" s="16" t="str">
        <f aca="false">IF((F227+G227)&gt;0,G227/(F227+G227),"")</f>
        <v/>
      </c>
      <c r="I227" s="15" t="n">
        <f aca="false">IF(C227="",0,IFERROR(VLOOKUP(C227,'Recetas y precios'!$A$5:$R$55,18,FALSE()),0))</f>
        <v>0</v>
      </c>
      <c r="J227" s="15" t="n">
        <f aca="false">G227*I227</f>
        <v>0</v>
      </c>
      <c r="K227" s="24"/>
      <c r="L227" s="6"/>
    </row>
    <row r="228" customFormat="false" ht="15" hidden="false" customHeight="false" outlineLevel="0" collapsed="false">
      <c r="A228" s="34"/>
      <c r="B228" s="6"/>
      <c r="C228" s="6"/>
      <c r="D228" s="0" t="str">
        <f aca="false">IF(C228="","",IFERROR(VLOOKUP(C228,'Recetas y precios'!$A$5:$B$55,2,FALSE()),""))</f>
        <v/>
      </c>
      <c r="E228" s="6"/>
      <c r="F228" s="6"/>
      <c r="G228" s="6"/>
      <c r="H228" s="16" t="str">
        <f aca="false">IF((F228+G228)&gt;0,G228/(F228+G228),"")</f>
        <v/>
      </c>
      <c r="I228" s="15" t="n">
        <f aca="false">IF(C228="",0,IFERROR(VLOOKUP(C228,'Recetas y precios'!$A$5:$R$55,18,FALSE()),0))</f>
        <v>0</v>
      </c>
      <c r="J228" s="15" t="n">
        <f aca="false">G228*I228</f>
        <v>0</v>
      </c>
      <c r="K228" s="24"/>
      <c r="L228" s="6"/>
    </row>
    <row r="229" customFormat="false" ht="15" hidden="false" customHeight="false" outlineLevel="0" collapsed="false">
      <c r="A229" s="34"/>
      <c r="B229" s="6"/>
      <c r="C229" s="6"/>
      <c r="D229" s="0" t="str">
        <f aca="false">IF(C229="","",IFERROR(VLOOKUP(C229,'Recetas y precios'!$A$5:$B$55,2,FALSE()),""))</f>
        <v/>
      </c>
      <c r="E229" s="6"/>
      <c r="F229" s="6"/>
      <c r="G229" s="6"/>
      <c r="H229" s="16" t="str">
        <f aca="false">IF((F229+G229)&gt;0,G229/(F229+G229),"")</f>
        <v/>
      </c>
      <c r="I229" s="15" t="n">
        <f aca="false">IF(C229="",0,IFERROR(VLOOKUP(C229,'Recetas y precios'!$A$5:$R$55,18,FALSE()),0))</f>
        <v>0</v>
      </c>
      <c r="J229" s="15" t="n">
        <f aca="false">G229*I229</f>
        <v>0</v>
      </c>
      <c r="K229" s="24"/>
      <c r="L229" s="6"/>
    </row>
    <row r="230" customFormat="false" ht="15" hidden="false" customHeight="false" outlineLevel="0" collapsed="false">
      <c r="A230" s="34"/>
      <c r="B230" s="6"/>
      <c r="C230" s="6"/>
      <c r="D230" s="0" t="str">
        <f aca="false">IF(C230="","",IFERROR(VLOOKUP(C230,'Recetas y precios'!$A$5:$B$55,2,FALSE()),""))</f>
        <v/>
      </c>
      <c r="E230" s="6"/>
      <c r="F230" s="6"/>
      <c r="G230" s="6"/>
      <c r="H230" s="16" t="str">
        <f aca="false">IF((F230+G230)&gt;0,G230/(F230+G230),"")</f>
        <v/>
      </c>
      <c r="I230" s="15" t="n">
        <f aca="false">IF(C230="",0,IFERROR(VLOOKUP(C230,'Recetas y precios'!$A$5:$R$55,18,FALSE()),0))</f>
        <v>0</v>
      </c>
      <c r="J230" s="15" t="n">
        <f aca="false">G230*I230</f>
        <v>0</v>
      </c>
      <c r="K230" s="24"/>
      <c r="L230" s="6"/>
    </row>
    <row r="231" customFormat="false" ht="15" hidden="false" customHeight="false" outlineLevel="0" collapsed="false">
      <c r="A231" s="34"/>
      <c r="B231" s="6"/>
      <c r="C231" s="6"/>
      <c r="D231" s="0" t="str">
        <f aca="false">IF(C231="","",IFERROR(VLOOKUP(C231,'Recetas y precios'!$A$5:$B$55,2,FALSE()),""))</f>
        <v/>
      </c>
      <c r="E231" s="6"/>
      <c r="F231" s="6"/>
      <c r="G231" s="6"/>
      <c r="H231" s="16" t="str">
        <f aca="false">IF((F231+G231)&gt;0,G231/(F231+G231),"")</f>
        <v/>
      </c>
      <c r="I231" s="15" t="n">
        <f aca="false">IF(C231="",0,IFERROR(VLOOKUP(C231,'Recetas y precios'!$A$5:$R$55,18,FALSE()),0))</f>
        <v>0</v>
      </c>
      <c r="J231" s="15" t="n">
        <f aca="false">G231*I231</f>
        <v>0</v>
      </c>
      <c r="K231" s="24"/>
      <c r="L231" s="6"/>
    </row>
    <row r="232" customFormat="false" ht="15" hidden="false" customHeight="false" outlineLevel="0" collapsed="false">
      <c r="A232" s="34"/>
      <c r="B232" s="6"/>
      <c r="C232" s="6"/>
      <c r="D232" s="0" t="str">
        <f aca="false">IF(C232="","",IFERROR(VLOOKUP(C232,'Recetas y precios'!$A$5:$B$55,2,FALSE()),""))</f>
        <v/>
      </c>
      <c r="E232" s="6"/>
      <c r="F232" s="6"/>
      <c r="G232" s="6"/>
      <c r="H232" s="16" t="str">
        <f aca="false">IF((F232+G232)&gt;0,G232/(F232+G232),"")</f>
        <v/>
      </c>
      <c r="I232" s="15" t="n">
        <f aca="false">IF(C232="",0,IFERROR(VLOOKUP(C232,'Recetas y precios'!$A$5:$R$55,18,FALSE()),0))</f>
        <v>0</v>
      </c>
      <c r="J232" s="15" t="n">
        <f aca="false">G232*I232</f>
        <v>0</v>
      </c>
      <c r="K232" s="24"/>
      <c r="L232" s="6"/>
    </row>
    <row r="233" customFormat="false" ht="15" hidden="false" customHeight="false" outlineLevel="0" collapsed="false">
      <c r="A233" s="34"/>
      <c r="B233" s="6"/>
      <c r="C233" s="6"/>
      <c r="D233" s="0" t="str">
        <f aca="false">IF(C233="","",IFERROR(VLOOKUP(C233,'Recetas y precios'!$A$5:$B$55,2,FALSE()),""))</f>
        <v/>
      </c>
      <c r="E233" s="6"/>
      <c r="F233" s="6"/>
      <c r="G233" s="6"/>
      <c r="H233" s="16" t="str">
        <f aca="false">IF((F233+G233)&gt;0,G233/(F233+G233),"")</f>
        <v/>
      </c>
      <c r="I233" s="15" t="n">
        <f aca="false">IF(C233="",0,IFERROR(VLOOKUP(C233,'Recetas y precios'!$A$5:$R$55,18,FALSE()),0))</f>
        <v>0</v>
      </c>
      <c r="J233" s="15" t="n">
        <f aca="false">G233*I233</f>
        <v>0</v>
      </c>
      <c r="K233" s="24"/>
      <c r="L233" s="6"/>
    </row>
    <row r="234" customFormat="false" ht="15" hidden="false" customHeight="false" outlineLevel="0" collapsed="false">
      <c r="A234" s="34"/>
      <c r="B234" s="6"/>
      <c r="C234" s="6"/>
      <c r="D234" s="0" t="str">
        <f aca="false">IF(C234="","",IFERROR(VLOOKUP(C234,'Recetas y precios'!$A$5:$B$55,2,FALSE()),""))</f>
        <v/>
      </c>
      <c r="E234" s="6"/>
      <c r="F234" s="6"/>
      <c r="G234" s="6"/>
      <c r="H234" s="16" t="str">
        <f aca="false">IF((F234+G234)&gt;0,G234/(F234+G234),"")</f>
        <v/>
      </c>
      <c r="I234" s="15" t="n">
        <f aca="false">IF(C234="",0,IFERROR(VLOOKUP(C234,'Recetas y precios'!$A$5:$R$55,18,FALSE()),0))</f>
        <v>0</v>
      </c>
      <c r="J234" s="15" t="n">
        <f aca="false">G234*I234</f>
        <v>0</v>
      </c>
      <c r="K234" s="24"/>
      <c r="L234" s="6"/>
    </row>
    <row r="235" customFormat="false" ht="15" hidden="false" customHeight="false" outlineLevel="0" collapsed="false">
      <c r="A235" s="34"/>
      <c r="B235" s="6"/>
      <c r="C235" s="6"/>
      <c r="D235" s="0" t="str">
        <f aca="false">IF(C235="","",IFERROR(VLOOKUP(C235,'Recetas y precios'!$A$5:$B$55,2,FALSE()),""))</f>
        <v/>
      </c>
      <c r="E235" s="6"/>
      <c r="F235" s="6"/>
      <c r="G235" s="6"/>
      <c r="H235" s="16" t="str">
        <f aca="false">IF((F235+G235)&gt;0,G235/(F235+G235),"")</f>
        <v/>
      </c>
      <c r="I235" s="15" t="n">
        <f aca="false">IF(C235="",0,IFERROR(VLOOKUP(C235,'Recetas y precios'!$A$5:$R$55,18,FALSE()),0))</f>
        <v>0</v>
      </c>
      <c r="J235" s="15" t="n">
        <f aca="false">G235*I235</f>
        <v>0</v>
      </c>
      <c r="K235" s="24"/>
      <c r="L235" s="6"/>
    </row>
    <row r="236" customFormat="false" ht="15" hidden="false" customHeight="false" outlineLevel="0" collapsed="false">
      <c r="A236" s="34"/>
      <c r="B236" s="6"/>
      <c r="C236" s="6"/>
      <c r="D236" s="0" t="str">
        <f aca="false">IF(C236="","",IFERROR(VLOOKUP(C236,'Recetas y precios'!$A$5:$B$55,2,FALSE()),""))</f>
        <v/>
      </c>
      <c r="E236" s="6"/>
      <c r="F236" s="6"/>
      <c r="G236" s="6"/>
      <c r="H236" s="16" t="str">
        <f aca="false">IF((F236+G236)&gt;0,G236/(F236+G236),"")</f>
        <v/>
      </c>
      <c r="I236" s="15" t="n">
        <f aca="false">IF(C236="",0,IFERROR(VLOOKUP(C236,'Recetas y precios'!$A$5:$R$55,18,FALSE()),0))</f>
        <v>0</v>
      </c>
      <c r="J236" s="15" t="n">
        <f aca="false">G236*I236</f>
        <v>0</v>
      </c>
      <c r="K236" s="24"/>
      <c r="L236" s="6"/>
    </row>
    <row r="237" customFormat="false" ht="15" hidden="false" customHeight="false" outlineLevel="0" collapsed="false">
      <c r="A237" s="34"/>
      <c r="B237" s="6"/>
      <c r="C237" s="6"/>
      <c r="D237" s="0" t="str">
        <f aca="false">IF(C237="","",IFERROR(VLOOKUP(C237,'Recetas y precios'!$A$5:$B$55,2,FALSE()),""))</f>
        <v/>
      </c>
      <c r="E237" s="6"/>
      <c r="F237" s="6"/>
      <c r="G237" s="6"/>
      <c r="H237" s="16" t="str">
        <f aca="false">IF((F237+G237)&gt;0,G237/(F237+G237),"")</f>
        <v/>
      </c>
      <c r="I237" s="15" t="n">
        <f aca="false">IF(C237="",0,IFERROR(VLOOKUP(C237,'Recetas y precios'!$A$5:$R$55,18,FALSE()),0))</f>
        <v>0</v>
      </c>
      <c r="J237" s="15" t="n">
        <f aca="false">G237*I237</f>
        <v>0</v>
      </c>
      <c r="K237" s="24"/>
      <c r="L237" s="6"/>
    </row>
    <row r="238" customFormat="false" ht="15" hidden="false" customHeight="false" outlineLevel="0" collapsed="false">
      <c r="A238" s="34"/>
      <c r="B238" s="6"/>
      <c r="C238" s="6"/>
      <c r="D238" s="0" t="str">
        <f aca="false">IF(C238="","",IFERROR(VLOOKUP(C238,'Recetas y precios'!$A$5:$B$55,2,FALSE()),""))</f>
        <v/>
      </c>
      <c r="E238" s="6"/>
      <c r="F238" s="6"/>
      <c r="G238" s="6"/>
      <c r="H238" s="16" t="str">
        <f aca="false">IF((F238+G238)&gt;0,G238/(F238+G238),"")</f>
        <v/>
      </c>
      <c r="I238" s="15" t="n">
        <f aca="false">IF(C238="",0,IFERROR(VLOOKUP(C238,'Recetas y precios'!$A$5:$R$55,18,FALSE()),0))</f>
        <v>0</v>
      </c>
      <c r="J238" s="15" t="n">
        <f aca="false">G238*I238</f>
        <v>0</v>
      </c>
      <c r="K238" s="24"/>
      <c r="L238" s="6"/>
    </row>
    <row r="239" customFormat="false" ht="15" hidden="false" customHeight="false" outlineLevel="0" collapsed="false">
      <c r="A239" s="34"/>
      <c r="B239" s="6"/>
      <c r="C239" s="6"/>
      <c r="D239" s="0" t="str">
        <f aca="false">IF(C239="","",IFERROR(VLOOKUP(C239,'Recetas y precios'!$A$5:$B$55,2,FALSE()),""))</f>
        <v/>
      </c>
      <c r="E239" s="6"/>
      <c r="F239" s="6"/>
      <c r="G239" s="6"/>
      <c r="H239" s="16" t="str">
        <f aca="false">IF((F239+G239)&gt;0,G239/(F239+G239),"")</f>
        <v/>
      </c>
      <c r="I239" s="15" t="n">
        <f aca="false">IF(C239="",0,IFERROR(VLOOKUP(C239,'Recetas y precios'!$A$5:$R$55,18,FALSE()),0))</f>
        <v>0</v>
      </c>
      <c r="J239" s="15" t="n">
        <f aca="false">G239*I239</f>
        <v>0</v>
      </c>
      <c r="K239" s="24"/>
      <c r="L239" s="6"/>
    </row>
    <row r="240" customFormat="false" ht="15" hidden="false" customHeight="false" outlineLevel="0" collapsed="false">
      <c r="A240" s="34"/>
      <c r="B240" s="6"/>
      <c r="C240" s="6"/>
      <c r="D240" s="0" t="str">
        <f aca="false">IF(C240="","",IFERROR(VLOOKUP(C240,'Recetas y precios'!$A$5:$B$55,2,FALSE()),""))</f>
        <v/>
      </c>
      <c r="E240" s="6"/>
      <c r="F240" s="6"/>
      <c r="G240" s="6"/>
      <c r="H240" s="16" t="str">
        <f aca="false">IF((F240+G240)&gt;0,G240/(F240+G240),"")</f>
        <v/>
      </c>
      <c r="I240" s="15" t="n">
        <f aca="false">IF(C240="",0,IFERROR(VLOOKUP(C240,'Recetas y precios'!$A$5:$R$55,18,FALSE()),0))</f>
        <v>0</v>
      </c>
      <c r="J240" s="15" t="n">
        <f aca="false">G240*I240</f>
        <v>0</v>
      </c>
      <c r="K240" s="24"/>
      <c r="L240" s="6"/>
    </row>
    <row r="241" customFormat="false" ht="15" hidden="false" customHeight="false" outlineLevel="0" collapsed="false">
      <c r="A241" s="34"/>
      <c r="B241" s="6"/>
      <c r="C241" s="6"/>
      <c r="D241" s="0" t="str">
        <f aca="false">IF(C241="","",IFERROR(VLOOKUP(C241,'Recetas y precios'!$A$5:$B$55,2,FALSE()),""))</f>
        <v/>
      </c>
      <c r="E241" s="6"/>
      <c r="F241" s="6"/>
      <c r="G241" s="6"/>
      <c r="H241" s="16" t="str">
        <f aca="false">IF((F241+G241)&gt;0,G241/(F241+G241),"")</f>
        <v/>
      </c>
      <c r="I241" s="15" t="n">
        <f aca="false">IF(C241="",0,IFERROR(VLOOKUP(C241,'Recetas y precios'!$A$5:$R$55,18,FALSE()),0))</f>
        <v>0</v>
      </c>
      <c r="J241" s="15" t="n">
        <f aca="false">G241*I241</f>
        <v>0</v>
      </c>
      <c r="K241" s="24"/>
      <c r="L241" s="6"/>
    </row>
    <row r="242" customFormat="false" ht="15" hidden="false" customHeight="false" outlineLevel="0" collapsed="false">
      <c r="A242" s="34"/>
      <c r="B242" s="6"/>
      <c r="C242" s="6"/>
      <c r="D242" s="0" t="str">
        <f aca="false">IF(C242="","",IFERROR(VLOOKUP(C242,'Recetas y precios'!$A$5:$B$55,2,FALSE()),""))</f>
        <v/>
      </c>
      <c r="E242" s="6"/>
      <c r="F242" s="6"/>
      <c r="G242" s="6"/>
      <c r="H242" s="16" t="str">
        <f aca="false">IF((F242+G242)&gt;0,G242/(F242+G242),"")</f>
        <v/>
      </c>
      <c r="I242" s="15" t="n">
        <f aca="false">IF(C242="",0,IFERROR(VLOOKUP(C242,'Recetas y precios'!$A$5:$R$55,18,FALSE()),0))</f>
        <v>0</v>
      </c>
      <c r="J242" s="15" t="n">
        <f aca="false">G242*I242</f>
        <v>0</v>
      </c>
      <c r="K242" s="24"/>
      <c r="L242" s="6"/>
    </row>
    <row r="243" customFormat="false" ht="15" hidden="false" customHeight="false" outlineLevel="0" collapsed="false">
      <c r="A243" s="34"/>
      <c r="B243" s="6"/>
      <c r="C243" s="6"/>
      <c r="D243" s="0" t="str">
        <f aca="false">IF(C243="","",IFERROR(VLOOKUP(C243,'Recetas y precios'!$A$5:$B$55,2,FALSE()),""))</f>
        <v/>
      </c>
      <c r="E243" s="6"/>
      <c r="F243" s="6"/>
      <c r="G243" s="6"/>
      <c r="H243" s="16" t="str">
        <f aca="false">IF((F243+G243)&gt;0,G243/(F243+G243),"")</f>
        <v/>
      </c>
      <c r="I243" s="15" t="n">
        <f aca="false">IF(C243="",0,IFERROR(VLOOKUP(C243,'Recetas y precios'!$A$5:$R$55,18,FALSE()),0))</f>
        <v>0</v>
      </c>
      <c r="J243" s="15" t="n">
        <f aca="false">G243*I243</f>
        <v>0</v>
      </c>
      <c r="K243" s="24"/>
      <c r="L243" s="6"/>
    </row>
    <row r="244" customFormat="false" ht="15" hidden="false" customHeight="false" outlineLevel="0" collapsed="false">
      <c r="A244" s="34"/>
      <c r="B244" s="6"/>
      <c r="C244" s="6"/>
      <c r="D244" s="0" t="str">
        <f aca="false">IF(C244="","",IFERROR(VLOOKUP(C244,'Recetas y precios'!$A$5:$B$55,2,FALSE()),""))</f>
        <v/>
      </c>
      <c r="E244" s="6"/>
      <c r="F244" s="6"/>
      <c r="G244" s="6"/>
      <c r="H244" s="16" t="str">
        <f aca="false">IF((F244+G244)&gt;0,G244/(F244+G244),"")</f>
        <v/>
      </c>
      <c r="I244" s="15" t="n">
        <f aca="false">IF(C244="",0,IFERROR(VLOOKUP(C244,'Recetas y precios'!$A$5:$R$55,18,FALSE()),0))</f>
        <v>0</v>
      </c>
      <c r="J244" s="15" t="n">
        <f aca="false">G244*I244</f>
        <v>0</v>
      </c>
      <c r="K244" s="24"/>
      <c r="L244" s="6"/>
    </row>
    <row r="245" customFormat="false" ht="15" hidden="false" customHeight="false" outlineLevel="0" collapsed="false">
      <c r="A245" s="34"/>
      <c r="B245" s="6"/>
      <c r="C245" s="6"/>
      <c r="D245" s="0" t="str">
        <f aca="false">IF(C245="","",IFERROR(VLOOKUP(C245,'Recetas y precios'!$A$5:$B$55,2,FALSE()),""))</f>
        <v/>
      </c>
      <c r="E245" s="6"/>
      <c r="F245" s="6"/>
      <c r="G245" s="6"/>
      <c r="H245" s="16" t="str">
        <f aca="false">IF((F245+G245)&gt;0,G245/(F245+G245),"")</f>
        <v/>
      </c>
      <c r="I245" s="15" t="n">
        <f aca="false">IF(C245="",0,IFERROR(VLOOKUP(C245,'Recetas y precios'!$A$5:$R$55,18,FALSE()),0))</f>
        <v>0</v>
      </c>
      <c r="J245" s="15" t="n">
        <f aca="false">G245*I245</f>
        <v>0</v>
      </c>
      <c r="K245" s="24"/>
      <c r="L245" s="6"/>
    </row>
    <row r="246" customFormat="false" ht="15" hidden="false" customHeight="false" outlineLevel="0" collapsed="false">
      <c r="A246" s="34"/>
      <c r="B246" s="6"/>
      <c r="C246" s="6"/>
      <c r="D246" s="0" t="str">
        <f aca="false">IF(C246="","",IFERROR(VLOOKUP(C246,'Recetas y precios'!$A$5:$B$55,2,FALSE()),""))</f>
        <v/>
      </c>
      <c r="E246" s="6"/>
      <c r="F246" s="6"/>
      <c r="G246" s="6"/>
      <c r="H246" s="16" t="str">
        <f aca="false">IF((F246+G246)&gt;0,G246/(F246+G246),"")</f>
        <v/>
      </c>
      <c r="I246" s="15" t="n">
        <f aca="false">IF(C246="",0,IFERROR(VLOOKUP(C246,'Recetas y precios'!$A$5:$R$55,18,FALSE()),0))</f>
        <v>0</v>
      </c>
      <c r="J246" s="15" t="n">
        <f aca="false">G246*I246</f>
        <v>0</v>
      </c>
      <c r="K246" s="24"/>
      <c r="L246" s="6"/>
    </row>
    <row r="247" customFormat="false" ht="15" hidden="false" customHeight="false" outlineLevel="0" collapsed="false">
      <c r="A247" s="34"/>
      <c r="B247" s="6"/>
      <c r="C247" s="6"/>
      <c r="D247" s="0" t="str">
        <f aca="false">IF(C247="","",IFERROR(VLOOKUP(C247,'Recetas y precios'!$A$5:$B$55,2,FALSE()),""))</f>
        <v/>
      </c>
      <c r="E247" s="6"/>
      <c r="F247" s="6"/>
      <c r="G247" s="6"/>
      <c r="H247" s="16" t="str">
        <f aca="false">IF((F247+G247)&gt;0,G247/(F247+G247),"")</f>
        <v/>
      </c>
      <c r="I247" s="15" t="n">
        <f aca="false">IF(C247="",0,IFERROR(VLOOKUP(C247,'Recetas y precios'!$A$5:$R$55,18,FALSE()),0))</f>
        <v>0</v>
      </c>
      <c r="J247" s="15" t="n">
        <f aca="false">G247*I247</f>
        <v>0</v>
      </c>
      <c r="K247" s="24"/>
      <c r="L247" s="6"/>
    </row>
    <row r="248" customFormat="false" ht="15" hidden="false" customHeight="false" outlineLevel="0" collapsed="false">
      <c r="A248" s="34"/>
      <c r="B248" s="6"/>
      <c r="C248" s="6"/>
      <c r="D248" s="0" t="str">
        <f aca="false">IF(C248="","",IFERROR(VLOOKUP(C248,'Recetas y precios'!$A$5:$B$55,2,FALSE()),""))</f>
        <v/>
      </c>
      <c r="E248" s="6"/>
      <c r="F248" s="6"/>
      <c r="G248" s="6"/>
      <c r="H248" s="16" t="str">
        <f aca="false">IF((F248+G248)&gt;0,G248/(F248+G248),"")</f>
        <v/>
      </c>
      <c r="I248" s="15" t="n">
        <f aca="false">IF(C248="",0,IFERROR(VLOOKUP(C248,'Recetas y precios'!$A$5:$R$55,18,FALSE()),0))</f>
        <v>0</v>
      </c>
      <c r="J248" s="15" t="n">
        <f aca="false">G248*I248</f>
        <v>0</v>
      </c>
      <c r="K248" s="24"/>
      <c r="L248" s="6"/>
    </row>
    <row r="249" customFormat="false" ht="15" hidden="false" customHeight="false" outlineLevel="0" collapsed="false">
      <c r="A249" s="34"/>
      <c r="B249" s="6"/>
      <c r="C249" s="6"/>
      <c r="D249" s="0" t="str">
        <f aca="false">IF(C249="","",IFERROR(VLOOKUP(C249,'Recetas y precios'!$A$5:$B$55,2,FALSE()),""))</f>
        <v/>
      </c>
      <c r="E249" s="6"/>
      <c r="F249" s="6"/>
      <c r="G249" s="6"/>
      <c r="H249" s="16" t="str">
        <f aca="false">IF((F249+G249)&gt;0,G249/(F249+G249),"")</f>
        <v/>
      </c>
      <c r="I249" s="15" t="n">
        <f aca="false">IF(C249="",0,IFERROR(VLOOKUP(C249,'Recetas y precios'!$A$5:$R$55,18,FALSE()),0))</f>
        <v>0</v>
      </c>
      <c r="J249" s="15" t="n">
        <f aca="false">G249*I249</f>
        <v>0</v>
      </c>
      <c r="K249" s="24"/>
      <c r="L249" s="6"/>
    </row>
    <row r="250" customFormat="false" ht="15" hidden="false" customHeight="false" outlineLevel="0" collapsed="false">
      <c r="A250" s="34"/>
      <c r="B250" s="6"/>
      <c r="C250" s="6"/>
      <c r="D250" s="0" t="str">
        <f aca="false">IF(C250="","",IFERROR(VLOOKUP(C250,'Recetas y precios'!$A$5:$B$55,2,FALSE()),""))</f>
        <v/>
      </c>
      <c r="E250" s="6"/>
      <c r="F250" s="6"/>
      <c r="G250" s="6"/>
      <c r="H250" s="16" t="str">
        <f aca="false">IF((F250+G250)&gt;0,G250/(F250+G250),"")</f>
        <v/>
      </c>
      <c r="I250" s="15" t="n">
        <f aca="false">IF(C250="",0,IFERROR(VLOOKUP(C250,'Recetas y precios'!$A$5:$R$55,18,FALSE()),0))</f>
        <v>0</v>
      </c>
      <c r="J250" s="15" t="n">
        <f aca="false">G250*I250</f>
        <v>0</v>
      </c>
      <c r="K250" s="24"/>
      <c r="L250" s="6"/>
    </row>
    <row r="251" customFormat="false" ht="15" hidden="false" customHeight="false" outlineLevel="0" collapsed="false">
      <c r="A251" s="34"/>
      <c r="B251" s="6"/>
      <c r="C251" s="6"/>
      <c r="D251" s="0" t="str">
        <f aca="false">IF(C251="","",IFERROR(VLOOKUP(C251,'Recetas y precios'!$A$5:$B$55,2,FALSE()),""))</f>
        <v/>
      </c>
      <c r="E251" s="6"/>
      <c r="F251" s="6"/>
      <c r="G251" s="6"/>
      <c r="H251" s="16" t="str">
        <f aca="false">IF((F251+G251)&gt;0,G251/(F251+G251),"")</f>
        <v/>
      </c>
      <c r="I251" s="15" t="n">
        <f aca="false">IF(C251="",0,IFERROR(VLOOKUP(C251,'Recetas y precios'!$A$5:$R$55,18,FALSE()),0))</f>
        <v>0</v>
      </c>
      <c r="J251" s="15" t="n">
        <f aca="false">G251*I251</f>
        <v>0</v>
      </c>
      <c r="K251" s="24"/>
      <c r="L251" s="6"/>
    </row>
    <row r="252" customFormat="false" ht="15" hidden="false" customHeight="false" outlineLevel="0" collapsed="false">
      <c r="A252" s="34"/>
      <c r="B252" s="6"/>
      <c r="C252" s="6"/>
      <c r="D252" s="0" t="str">
        <f aca="false">IF(C252="","",IFERROR(VLOOKUP(C252,'Recetas y precios'!$A$5:$B$55,2,FALSE()),""))</f>
        <v/>
      </c>
      <c r="E252" s="6"/>
      <c r="F252" s="6"/>
      <c r="G252" s="6"/>
      <c r="H252" s="16" t="str">
        <f aca="false">IF((F252+G252)&gt;0,G252/(F252+G252),"")</f>
        <v/>
      </c>
      <c r="I252" s="15" t="n">
        <f aca="false">IF(C252="",0,IFERROR(VLOOKUP(C252,'Recetas y precios'!$A$5:$R$55,18,FALSE()),0))</f>
        <v>0</v>
      </c>
      <c r="J252" s="15" t="n">
        <f aca="false">G252*I252</f>
        <v>0</v>
      </c>
      <c r="K252" s="24"/>
      <c r="L252" s="6"/>
    </row>
    <row r="253" customFormat="false" ht="15" hidden="false" customHeight="false" outlineLevel="0" collapsed="false">
      <c r="A253" s="34"/>
      <c r="B253" s="6"/>
      <c r="C253" s="6"/>
      <c r="D253" s="0" t="str">
        <f aca="false">IF(C253="","",IFERROR(VLOOKUP(C253,'Recetas y precios'!$A$5:$B$55,2,FALSE()),""))</f>
        <v/>
      </c>
      <c r="E253" s="6"/>
      <c r="F253" s="6"/>
      <c r="G253" s="6"/>
      <c r="H253" s="16" t="str">
        <f aca="false">IF((F253+G253)&gt;0,G253/(F253+G253),"")</f>
        <v/>
      </c>
      <c r="I253" s="15" t="n">
        <f aca="false">IF(C253="",0,IFERROR(VLOOKUP(C253,'Recetas y precios'!$A$5:$R$55,18,FALSE()),0))</f>
        <v>0</v>
      </c>
      <c r="J253" s="15" t="n">
        <f aca="false">G253*I253</f>
        <v>0</v>
      </c>
      <c r="K253" s="24"/>
      <c r="L253" s="6"/>
    </row>
    <row r="254" customFormat="false" ht="15" hidden="false" customHeight="false" outlineLevel="0" collapsed="false">
      <c r="A254" s="34"/>
      <c r="B254" s="6"/>
      <c r="C254" s="6"/>
      <c r="D254" s="0" t="str">
        <f aca="false">IF(C254="","",IFERROR(VLOOKUP(C254,'Recetas y precios'!$A$5:$B$55,2,FALSE()),""))</f>
        <v/>
      </c>
      <c r="E254" s="6"/>
      <c r="F254" s="6"/>
      <c r="G254" s="6"/>
      <c r="H254" s="16" t="str">
        <f aca="false">IF((F254+G254)&gt;0,G254/(F254+G254),"")</f>
        <v/>
      </c>
      <c r="I254" s="15" t="n">
        <f aca="false">IF(C254="",0,IFERROR(VLOOKUP(C254,'Recetas y precios'!$A$5:$R$55,18,FALSE()),0))</f>
        <v>0</v>
      </c>
      <c r="J254" s="15" t="n">
        <f aca="false">G254*I254</f>
        <v>0</v>
      </c>
      <c r="K254" s="24"/>
      <c r="L254" s="6"/>
    </row>
    <row r="255" customFormat="false" ht="15" hidden="false" customHeight="false" outlineLevel="0" collapsed="false">
      <c r="A255" s="34"/>
      <c r="B255" s="6"/>
      <c r="C255" s="6"/>
      <c r="D255" s="0" t="str">
        <f aca="false">IF(C255="","",IFERROR(VLOOKUP(C255,'Recetas y precios'!$A$5:$B$55,2,FALSE()),""))</f>
        <v/>
      </c>
      <c r="E255" s="6"/>
      <c r="F255" s="6"/>
      <c r="G255" s="6"/>
      <c r="H255" s="16" t="str">
        <f aca="false">IF((F255+G255)&gt;0,G255/(F255+G255),"")</f>
        <v/>
      </c>
      <c r="I255" s="15" t="n">
        <f aca="false">IF(C255="",0,IFERROR(VLOOKUP(C255,'Recetas y precios'!$A$5:$R$55,18,FALSE()),0))</f>
        <v>0</v>
      </c>
      <c r="J255" s="15" t="n">
        <f aca="false">G255*I255</f>
        <v>0</v>
      </c>
      <c r="K255" s="24"/>
      <c r="L255" s="6"/>
    </row>
    <row r="256" customFormat="false" ht="15" hidden="false" customHeight="false" outlineLevel="0" collapsed="false">
      <c r="A256" s="34"/>
      <c r="B256" s="6"/>
      <c r="C256" s="6"/>
      <c r="D256" s="0" t="str">
        <f aca="false">IF(C256="","",IFERROR(VLOOKUP(C256,'Recetas y precios'!$A$5:$B$55,2,FALSE()),""))</f>
        <v/>
      </c>
      <c r="E256" s="6"/>
      <c r="F256" s="6"/>
      <c r="G256" s="6"/>
      <c r="H256" s="16" t="str">
        <f aca="false">IF((F256+G256)&gt;0,G256/(F256+G256),"")</f>
        <v/>
      </c>
      <c r="I256" s="15" t="n">
        <f aca="false">IF(C256="",0,IFERROR(VLOOKUP(C256,'Recetas y precios'!$A$5:$R$55,18,FALSE()),0))</f>
        <v>0</v>
      </c>
      <c r="J256" s="15" t="n">
        <f aca="false">G256*I256</f>
        <v>0</v>
      </c>
      <c r="K256" s="24"/>
      <c r="L256" s="6"/>
    </row>
    <row r="257" customFormat="false" ht="15" hidden="false" customHeight="false" outlineLevel="0" collapsed="false">
      <c r="A257" s="34"/>
      <c r="B257" s="6"/>
      <c r="C257" s="6"/>
      <c r="D257" s="0" t="str">
        <f aca="false">IF(C257="","",IFERROR(VLOOKUP(C257,'Recetas y precios'!$A$5:$B$55,2,FALSE()),""))</f>
        <v/>
      </c>
      <c r="E257" s="6"/>
      <c r="F257" s="6"/>
      <c r="G257" s="6"/>
      <c r="H257" s="16" t="str">
        <f aca="false">IF((F257+G257)&gt;0,G257/(F257+G257),"")</f>
        <v/>
      </c>
      <c r="I257" s="15" t="n">
        <f aca="false">IF(C257="",0,IFERROR(VLOOKUP(C257,'Recetas y precios'!$A$5:$R$55,18,FALSE()),0))</f>
        <v>0</v>
      </c>
      <c r="J257" s="15" t="n">
        <f aca="false">G257*I257</f>
        <v>0</v>
      </c>
      <c r="K257" s="24"/>
      <c r="L257" s="6"/>
    </row>
    <row r="258" customFormat="false" ht="15" hidden="false" customHeight="false" outlineLevel="0" collapsed="false">
      <c r="A258" s="34"/>
      <c r="B258" s="6"/>
      <c r="C258" s="6"/>
      <c r="D258" s="0" t="str">
        <f aca="false">IF(C258="","",IFERROR(VLOOKUP(C258,'Recetas y precios'!$A$5:$B$55,2,FALSE()),""))</f>
        <v/>
      </c>
      <c r="E258" s="6"/>
      <c r="F258" s="6"/>
      <c r="G258" s="6"/>
      <c r="H258" s="16" t="str">
        <f aca="false">IF((F258+G258)&gt;0,G258/(F258+G258),"")</f>
        <v/>
      </c>
      <c r="I258" s="15" t="n">
        <f aca="false">IF(C258="",0,IFERROR(VLOOKUP(C258,'Recetas y precios'!$A$5:$R$55,18,FALSE()),0))</f>
        <v>0</v>
      </c>
      <c r="J258" s="15" t="n">
        <f aca="false">G258*I258</f>
        <v>0</v>
      </c>
      <c r="K258" s="24"/>
      <c r="L258" s="6"/>
    </row>
    <row r="259" customFormat="false" ht="15" hidden="false" customHeight="false" outlineLevel="0" collapsed="false">
      <c r="A259" s="34"/>
      <c r="B259" s="6"/>
      <c r="C259" s="6"/>
      <c r="D259" s="0" t="str">
        <f aca="false">IF(C259="","",IFERROR(VLOOKUP(C259,'Recetas y precios'!$A$5:$B$55,2,FALSE()),""))</f>
        <v/>
      </c>
      <c r="E259" s="6"/>
      <c r="F259" s="6"/>
      <c r="G259" s="6"/>
      <c r="H259" s="16" t="str">
        <f aca="false">IF((F259+G259)&gt;0,G259/(F259+G259),"")</f>
        <v/>
      </c>
      <c r="I259" s="15" t="n">
        <f aca="false">IF(C259="",0,IFERROR(VLOOKUP(C259,'Recetas y precios'!$A$5:$R$55,18,FALSE()),0))</f>
        <v>0</v>
      </c>
      <c r="J259" s="15" t="n">
        <f aca="false">G259*I259</f>
        <v>0</v>
      </c>
      <c r="K259" s="24"/>
      <c r="L259" s="6"/>
    </row>
    <row r="260" customFormat="false" ht="15" hidden="false" customHeight="false" outlineLevel="0" collapsed="false">
      <c r="A260" s="34"/>
      <c r="B260" s="6"/>
      <c r="C260" s="6"/>
      <c r="D260" s="0" t="str">
        <f aca="false">IF(C260="","",IFERROR(VLOOKUP(C260,'Recetas y precios'!$A$5:$B$55,2,FALSE()),""))</f>
        <v/>
      </c>
      <c r="E260" s="6"/>
      <c r="F260" s="6"/>
      <c r="G260" s="6"/>
      <c r="H260" s="16" t="str">
        <f aca="false">IF((F260+G260)&gt;0,G260/(F260+G260),"")</f>
        <v/>
      </c>
      <c r="I260" s="15" t="n">
        <f aca="false">IF(C260="",0,IFERROR(VLOOKUP(C260,'Recetas y precios'!$A$5:$R$55,18,FALSE()),0))</f>
        <v>0</v>
      </c>
      <c r="J260" s="15" t="n">
        <f aca="false">G260*I260</f>
        <v>0</v>
      </c>
      <c r="K260" s="24"/>
      <c r="L260" s="6"/>
    </row>
    <row r="261" customFormat="false" ht="15" hidden="false" customHeight="false" outlineLevel="0" collapsed="false">
      <c r="A261" s="34"/>
      <c r="B261" s="6"/>
      <c r="C261" s="6"/>
      <c r="D261" s="0" t="str">
        <f aca="false">IF(C261="","",IFERROR(VLOOKUP(C261,'Recetas y precios'!$A$5:$B$55,2,FALSE()),""))</f>
        <v/>
      </c>
      <c r="E261" s="6"/>
      <c r="F261" s="6"/>
      <c r="G261" s="6"/>
      <c r="H261" s="16" t="str">
        <f aca="false">IF((F261+G261)&gt;0,G261/(F261+G261),"")</f>
        <v/>
      </c>
      <c r="I261" s="15" t="n">
        <f aca="false">IF(C261="",0,IFERROR(VLOOKUP(C261,'Recetas y precios'!$A$5:$R$55,18,FALSE()),0))</f>
        <v>0</v>
      </c>
      <c r="J261" s="15" t="n">
        <f aca="false">G261*I261</f>
        <v>0</v>
      </c>
      <c r="K261" s="24"/>
      <c r="L261" s="6"/>
    </row>
    <row r="262" customFormat="false" ht="15" hidden="false" customHeight="false" outlineLevel="0" collapsed="false">
      <c r="A262" s="34"/>
      <c r="B262" s="6"/>
      <c r="C262" s="6"/>
      <c r="D262" s="0" t="str">
        <f aca="false">IF(C262="","",IFERROR(VLOOKUP(C262,'Recetas y precios'!$A$5:$B$55,2,FALSE()),""))</f>
        <v/>
      </c>
      <c r="E262" s="6"/>
      <c r="F262" s="6"/>
      <c r="G262" s="6"/>
      <c r="H262" s="16" t="str">
        <f aca="false">IF((F262+G262)&gt;0,G262/(F262+G262),"")</f>
        <v/>
      </c>
      <c r="I262" s="15" t="n">
        <f aca="false">IF(C262="",0,IFERROR(VLOOKUP(C262,'Recetas y precios'!$A$5:$R$55,18,FALSE()),0))</f>
        <v>0</v>
      </c>
      <c r="J262" s="15" t="n">
        <f aca="false">G262*I262</f>
        <v>0</v>
      </c>
      <c r="K262" s="24"/>
      <c r="L262" s="6"/>
    </row>
    <row r="263" customFormat="false" ht="15" hidden="false" customHeight="false" outlineLevel="0" collapsed="false">
      <c r="A263" s="34"/>
      <c r="B263" s="6"/>
      <c r="C263" s="6"/>
      <c r="D263" s="0" t="str">
        <f aca="false">IF(C263="","",IFERROR(VLOOKUP(C263,'Recetas y precios'!$A$5:$B$55,2,FALSE()),""))</f>
        <v/>
      </c>
      <c r="E263" s="6"/>
      <c r="F263" s="6"/>
      <c r="G263" s="6"/>
      <c r="H263" s="16" t="str">
        <f aca="false">IF((F263+G263)&gt;0,G263/(F263+G263),"")</f>
        <v/>
      </c>
      <c r="I263" s="15" t="n">
        <f aca="false">IF(C263="",0,IFERROR(VLOOKUP(C263,'Recetas y precios'!$A$5:$R$55,18,FALSE()),0))</f>
        <v>0</v>
      </c>
      <c r="J263" s="15" t="n">
        <f aca="false">G263*I263</f>
        <v>0</v>
      </c>
      <c r="K263" s="24"/>
      <c r="L263" s="6"/>
    </row>
    <row r="264" customFormat="false" ht="15" hidden="false" customHeight="false" outlineLevel="0" collapsed="false">
      <c r="A264" s="34"/>
      <c r="B264" s="6"/>
      <c r="C264" s="6"/>
      <c r="D264" s="0" t="str">
        <f aca="false">IF(C264="","",IFERROR(VLOOKUP(C264,'Recetas y precios'!$A$5:$B$55,2,FALSE()),""))</f>
        <v/>
      </c>
      <c r="E264" s="6"/>
      <c r="F264" s="6"/>
      <c r="G264" s="6"/>
      <c r="H264" s="16" t="str">
        <f aca="false">IF((F264+G264)&gt;0,G264/(F264+G264),"")</f>
        <v/>
      </c>
      <c r="I264" s="15" t="n">
        <f aca="false">IF(C264="",0,IFERROR(VLOOKUP(C264,'Recetas y precios'!$A$5:$R$55,18,FALSE()),0))</f>
        <v>0</v>
      </c>
      <c r="J264" s="15" t="n">
        <f aca="false">G264*I264</f>
        <v>0</v>
      </c>
      <c r="K264" s="24"/>
      <c r="L264" s="6"/>
    </row>
    <row r="265" customFormat="false" ht="15" hidden="false" customHeight="false" outlineLevel="0" collapsed="false">
      <c r="A265" s="34"/>
      <c r="B265" s="6"/>
      <c r="C265" s="6"/>
      <c r="D265" s="0" t="str">
        <f aca="false">IF(C265="","",IFERROR(VLOOKUP(C265,'Recetas y precios'!$A$5:$B$55,2,FALSE()),""))</f>
        <v/>
      </c>
      <c r="E265" s="6"/>
      <c r="F265" s="6"/>
      <c r="G265" s="6"/>
      <c r="H265" s="16" t="str">
        <f aca="false">IF((F265+G265)&gt;0,G265/(F265+G265),"")</f>
        <v/>
      </c>
      <c r="I265" s="15" t="n">
        <f aca="false">IF(C265="",0,IFERROR(VLOOKUP(C265,'Recetas y precios'!$A$5:$R$55,18,FALSE()),0))</f>
        <v>0</v>
      </c>
      <c r="J265" s="15" t="n">
        <f aca="false">G265*I265</f>
        <v>0</v>
      </c>
      <c r="K265" s="24"/>
      <c r="L265" s="6"/>
    </row>
    <row r="266" customFormat="false" ht="15" hidden="false" customHeight="false" outlineLevel="0" collapsed="false">
      <c r="A266" s="34"/>
      <c r="B266" s="6"/>
      <c r="C266" s="6"/>
      <c r="D266" s="0" t="str">
        <f aca="false">IF(C266="","",IFERROR(VLOOKUP(C266,'Recetas y precios'!$A$5:$B$55,2,FALSE()),""))</f>
        <v/>
      </c>
      <c r="E266" s="6"/>
      <c r="F266" s="6"/>
      <c r="G266" s="6"/>
      <c r="H266" s="16" t="str">
        <f aca="false">IF((F266+G266)&gt;0,G266/(F266+G266),"")</f>
        <v/>
      </c>
      <c r="I266" s="15" t="n">
        <f aca="false">IF(C266="",0,IFERROR(VLOOKUP(C266,'Recetas y precios'!$A$5:$R$55,18,FALSE()),0))</f>
        <v>0</v>
      </c>
      <c r="J266" s="15" t="n">
        <f aca="false">G266*I266</f>
        <v>0</v>
      </c>
      <c r="K266" s="24"/>
      <c r="L266" s="6"/>
    </row>
    <row r="267" customFormat="false" ht="15" hidden="false" customHeight="false" outlineLevel="0" collapsed="false">
      <c r="A267" s="34"/>
      <c r="B267" s="6"/>
      <c r="C267" s="6"/>
      <c r="D267" s="0" t="str">
        <f aca="false">IF(C267="","",IFERROR(VLOOKUP(C267,'Recetas y precios'!$A$5:$B$55,2,FALSE()),""))</f>
        <v/>
      </c>
      <c r="E267" s="6"/>
      <c r="F267" s="6"/>
      <c r="G267" s="6"/>
      <c r="H267" s="16" t="str">
        <f aca="false">IF((F267+G267)&gt;0,G267/(F267+G267),"")</f>
        <v/>
      </c>
      <c r="I267" s="15" t="n">
        <f aca="false">IF(C267="",0,IFERROR(VLOOKUP(C267,'Recetas y precios'!$A$5:$R$55,18,FALSE()),0))</f>
        <v>0</v>
      </c>
      <c r="J267" s="15" t="n">
        <f aca="false">G267*I267</f>
        <v>0</v>
      </c>
      <c r="K267" s="24"/>
      <c r="L267" s="6"/>
    </row>
    <row r="268" customFormat="false" ht="15" hidden="false" customHeight="false" outlineLevel="0" collapsed="false">
      <c r="A268" s="34"/>
      <c r="B268" s="6"/>
      <c r="C268" s="6"/>
      <c r="D268" s="0" t="str">
        <f aca="false">IF(C268="","",IFERROR(VLOOKUP(C268,'Recetas y precios'!$A$5:$B$55,2,FALSE()),""))</f>
        <v/>
      </c>
      <c r="E268" s="6"/>
      <c r="F268" s="6"/>
      <c r="G268" s="6"/>
      <c r="H268" s="16" t="str">
        <f aca="false">IF((F268+G268)&gt;0,G268/(F268+G268),"")</f>
        <v/>
      </c>
      <c r="I268" s="15" t="n">
        <f aca="false">IF(C268="",0,IFERROR(VLOOKUP(C268,'Recetas y precios'!$A$5:$R$55,18,FALSE()),0))</f>
        <v>0</v>
      </c>
      <c r="J268" s="15" t="n">
        <f aca="false">G268*I268</f>
        <v>0</v>
      </c>
      <c r="K268" s="24"/>
      <c r="L268" s="6"/>
    </row>
    <row r="269" customFormat="false" ht="15" hidden="false" customHeight="false" outlineLevel="0" collapsed="false">
      <c r="A269" s="34"/>
      <c r="B269" s="6"/>
      <c r="C269" s="6"/>
      <c r="D269" s="0" t="str">
        <f aca="false">IF(C269="","",IFERROR(VLOOKUP(C269,'Recetas y precios'!$A$5:$B$55,2,FALSE()),""))</f>
        <v/>
      </c>
      <c r="E269" s="6"/>
      <c r="F269" s="6"/>
      <c r="G269" s="6"/>
      <c r="H269" s="16" t="str">
        <f aca="false">IF((F269+G269)&gt;0,G269/(F269+G269),"")</f>
        <v/>
      </c>
      <c r="I269" s="15" t="n">
        <f aca="false">IF(C269="",0,IFERROR(VLOOKUP(C269,'Recetas y precios'!$A$5:$R$55,18,FALSE()),0))</f>
        <v>0</v>
      </c>
      <c r="J269" s="15" t="n">
        <f aca="false">G269*I269</f>
        <v>0</v>
      </c>
      <c r="K269" s="24"/>
      <c r="L269" s="6"/>
    </row>
    <row r="270" customFormat="false" ht="15" hidden="false" customHeight="false" outlineLevel="0" collapsed="false">
      <c r="A270" s="34"/>
      <c r="B270" s="6"/>
      <c r="C270" s="6"/>
      <c r="D270" s="0" t="str">
        <f aca="false">IF(C270="","",IFERROR(VLOOKUP(C270,'Recetas y precios'!$A$5:$B$55,2,FALSE()),""))</f>
        <v/>
      </c>
      <c r="E270" s="6"/>
      <c r="F270" s="6"/>
      <c r="G270" s="6"/>
      <c r="H270" s="16" t="str">
        <f aca="false">IF((F270+G270)&gt;0,G270/(F270+G270),"")</f>
        <v/>
      </c>
      <c r="I270" s="15" t="n">
        <f aca="false">IF(C270="",0,IFERROR(VLOOKUP(C270,'Recetas y precios'!$A$5:$R$55,18,FALSE()),0))</f>
        <v>0</v>
      </c>
      <c r="J270" s="15" t="n">
        <f aca="false">G270*I270</f>
        <v>0</v>
      </c>
      <c r="K270" s="24"/>
      <c r="L270" s="6"/>
    </row>
    <row r="271" customFormat="false" ht="15" hidden="false" customHeight="false" outlineLevel="0" collapsed="false">
      <c r="A271" s="34"/>
      <c r="B271" s="6"/>
      <c r="C271" s="6"/>
      <c r="D271" s="0" t="str">
        <f aca="false">IF(C271="","",IFERROR(VLOOKUP(C271,'Recetas y precios'!$A$5:$B$55,2,FALSE()),""))</f>
        <v/>
      </c>
      <c r="E271" s="6"/>
      <c r="F271" s="6"/>
      <c r="G271" s="6"/>
      <c r="H271" s="16" t="str">
        <f aca="false">IF((F271+G271)&gt;0,G271/(F271+G271),"")</f>
        <v/>
      </c>
      <c r="I271" s="15" t="n">
        <f aca="false">IF(C271="",0,IFERROR(VLOOKUP(C271,'Recetas y precios'!$A$5:$R$55,18,FALSE()),0))</f>
        <v>0</v>
      </c>
      <c r="J271" s="15" t="n">
        <f aca="false">G271*I271</f>
        <v>0</v>
      </c>
      <c r="K271" s="24"/>
      <c r="L271" s="6"/>
    </row>
    <row r="272" customFormat="false" ht="15" hidden="false" customHeight="false" outlineLevel="0" collapsed="false">
      <c r="A272" s="34"/>
      <c r="B272" s="6"/>
      <c r="C272" s="6"/>
      <c r="D272" s="0" t="str">
        <f aca="false">IF(C272="","",IFERROR(VLOOKUP(C272,'Recetas y precios'!$A$5:$B$55,2,FALSE()),""))</f>
        <v/>
      </c>
      <c r="E272" s="6"/>
      <c r="F272" s="6"/>
      <c r="G272" s="6"/>
      <c r="H272" s="16" t="str">
        <f aca="false">IF((F272+G272)&gt;0,G272/(F272+G272),"")</f>
        <v/>
      </c>
      <c r="I272" s="15" t="n">
        <f aca="false">IF(C272="",0,IFERROR(VLOOKUP(C272,'Recetas y precios'!$A$5:$R$55,18,FALSE()),0))</f>
        <v>0</v>
      </c>
      <c r="J272" s="15" t="n">
        <f aca="false">G272*I272</f>
        <v>0</v>
      </c>
      <c r="K272" s="24"/>
      <c r="L272" s="6"/>
    </row>
    <row r="273" customFormat="false" ht="15" hidden="false" customHeight="false" outlineLevel="0" collapsed="false">
      <c r="A273" s="34"/>
      <c r="B273" s="6"/>
      <c r="C273" s="6"/>
      <c r="D273" s="0" t="str">
        <f aca="false">IF(C273="","",IFERROR(VLOOKUP(C273,'Recetas y precios'!$A$5:$B$55,2,FALSE()),""))</f>
        <v/>
      </c>
      <c r="E273" s="6"/>
      <c r="F273" s="6"/>
      <c r="G273" s="6"/>
      <c r="H273" s="16" t="str">
        <f aca="false">IF((F273+G273)&gt;0,G273/(F273+G273),"")</f>
        <v/>
      </c>
      <c r="I273" s="15" t="n">
        <f aca="false">IF(C273="",0,IFERROR(VLOOKUP(C273,'Recetas y precios'!$A$5:$R$55,18,FALSE()),0))</f>
        <v>0</v>
      </c>
      <c r="J273" s="15" t="n">
        <f aca="false">G273*I273</f>
        <v>0</v>
      </c>
      <c r="K273" s="24"/>
      <c r="L273" s="6"/>
    </row>
    <row r="274" customFormat="false" ht="15" hidden="false" customHeight="false" outlineLevel="0" collapsed="false">
      <c r="A274" s="34"/>
      <c r="B274" s="6"/>
      <c r="C274" s="6"/>
      <c r="D274" s="0" t="str">
        <f aca="false">IF(C274="","",IFERROR(VLOOKUP(C274,'Recetas y precios'!$A$5:$B$55,2,FALSE()),""))</f>
        <v/>
      </c>
      <c r="E274" s="6"/>
      <c r="F274" s="6"/>
      <c r="G274" s="6"/>
      <c r="H274" s="16" t="str">
        <f aca="false">IF((F274+G274)&gt;0,G274/(F274+G274),"")</f>
        <v/>
      </c>
      <c r="I274" s="15" t="n">
        <f aca="false">IF(C274="",0,IFERROR(VLOOKUP(C274,'Recetas y precios'!$A$5:$R$55,18,FALSE()),0))</f>
        <v>0</v>
      </c>
      <c r="J274" s="15" t="n">
        <f aca="false">G274*I274</f>
        <v>0</v>
      </c>
      <c r="K274" s="24"/>
      <c r="L274" s="6"/>
    </row>
    <row r="275" customFormat="false" ht="15" hidden="false" customHeight="false" outlineLevel="0" collapsed="false">
      <c r="A275" s="34"/>
      <c r="B275" s="6"/>
      <c r="C275" s="6"/>
      <c r="D275" s="0" t="str">
        <f aca="false">IF(C275="","",IFERROR(VLOOKUP(C275,'Recetas y precios'!$A$5:$B$55,2,FALSE()),""))</f>
        <v/>
      </c>
      <c r="E275" s="6"/>
      <c r="F275" s="6"/>
      <c r="G275" s="6"/>
      <c r="H275" s="16" t="str">
        <f aca="false">IF((F275+G275)&gt;0,G275/(F275+G275),"")</f>
        <v/>
      </c>
      <c r="I275" s="15" t="n">
        <f aca="false">IF(C275="",0,IFERROR(VLOOKUP(C275,'Recetas y precios'!$A$5:$R$55,18,FALSE()),0))</f>
        <v>0</v>
      </c>
      <c r="J275" s="15" t="n">
        <f aca="false">G275*I275</f>
        <v>0</v>
      </c>
      <c r="K275" s="24"/>
      <c r="L275" s="6"/>
    </row>
    <row r="276" customFormat="false" ht="15" hidden="false" customHeight="false" outlineLevel="0" collapsed="false">
      <c r="A276" s="34"/>
      <c r="B276" s="6"/>
      <c r="C276" s="6"/>
      <c r="D276" s="0" t="str">
        <f aca="false">IF(C276="","",IFERROR(VLOOKUP(C276,'Recetas y precios'!$A$5:$B$55,2,FALSE()),""))</f>
        <v/>
      </c>
      <c r="E276" s="6"/>
      <c r="F276" s="6"/>
      <c r="G276" s="6"/>
      <c r="H276" s="16" t="str">
        <f aca="false">IF((F276+G276)&gt;0,G276/(F276+G276),"")</f>
        <v/>
      </c>
      <c r="I276" s="15" t="n">
        <f aca="false">IF(C276="",0,IFERROR(VLOOKUP(C276,'Recetas y precios'!$A$5:$R$55,18,FALSE()),0))</f>
        <v>0</v>
      </c>
      <c r="J276" s="15" t="n">
        <f aca="false">G276*I276</f>
        <v>0</v>
      </c>
      <c r="K276" s="24"/>
      <c r="L276" s="6"/>
    </row>
    <row r="277" customFormat="false" ht="15" hidden="false" customHeight="false" outlineLevel="0" collapsed="false">
      <c r="A277" s="34"/>
      <c r="B277" s="6"/>
      <c r="C277" s="6"/>
      <c r="D277" s="0" t="str">
        <f aca="false">IF(C277="","",IFERROR(VLOOKUP(C277,'Recetas y precios'!$A$5:$B$55,2,FALSE()),""))</f>
        <v/>
      </c>
      <c r="E277" s="6"/>
      <c r="F277" s="6"/>
      <c r="G277" s="6"/>
      <c r="H277" s="16" t="str">
        <f aca="false">IF((F277+G277)&gt;0,G277/(F277+G277),"")</f>
        <v/>
      </c>
      <c r="I277" s="15" t="n">
        <f aca="false">IF(C277="",0,IFERROR(VLOOKUP(C277,'Recetas y precios'!$A$5:$R$55,18,FALSE()),0))</f>
        <v>0</v>
      </c>
      <c r="J277" s="15" t="n">
        <f aca="false">G277*I277</f>
        <v>0</v>
      </c>
      <c r="K277" s="24"/>
      <c r="L277" s="6"/>
    </row>
    <row r="278" customFormat="false" ht="15" hidden="false" customHeight="false" outlineLevel="0" collapsed="false">
      <c r="A278" s="34"/>
      <c r="B278" s="6"/>
      <c r="C278" s="6"/>
      <c r="D278" s="0" t="str">
        <f aca="false">IF(C278="","",IFERROR(VLOOKUP(C278,'Recetas y precios'!$A$5:$B$55,2,FALSE()),""))</f>
        <v/>
      </c>
      <c r="E278" s="6"/>
      <c r="F278" s="6"/>
      <c r="G278" s="6"/>
      <c r="H278" s="16" t="str">
        <f aca="false">IF((F278+G278)&gt;0,G278/(F278+G278),"")</f>
        <v/>
      </c>
      <c r="I278" s="15" t="n">
        <f aca="false">IF(C278="",0,IFERROR(VLOOKUP(C278,'Recetas y precios'!$A$5:$R$55,18,FALSE()),0))</f>
        <v>0</v>
      </c>
      <c r="J278" s="15" t="n">
        <f aca="false">G278*I278</f>
        <v>0</v>
      </c>
      <c r="K278" s="24"/>
      <c r="L278" s="6"/>
    </row>
    <row r="279" customFormat="false" ht="15" hidden="false" customHeight="false" outlineLevel="0" collapsed="false">
      <c r="A279" s="34"/>
      <c r="B279" s="6"/>
      <c r="C279" s="6"/>
      <c r="D279" s="0" t="str">
        <f aca="false">IF(C279="","",IFERROR(VLOOKUP(C279,'Recetas y precios'!$A$5:$B$55,2,FALSE()),""))</f>
        <v/>
      </c>
      <c r="E279" s="6"/>
      <c r="F279" s="6"/>
      <c r="G279" s="6"/>
      <c r="H279" s="16" t="str">
        <f aca="false">IF((F279+G279)&gt;0,G279/(F279+G279),"")</f>
        <v/>
      </c>
      <c r="I279" s="15" t="n">
        <f aca="false">IF(C279="",0,IFERROR(VLOOKUP(C279,'Recetas y precios'!$A$5:$R$55,18,FALSE()),0))</f>
        <v>0</v>
      </c>
      <c r="J279" s="15" t="n">
        <f aca="false">G279*I279</f>
        <v>0</v>
      </c>
      <c r="K279" s="24"/>
      <c r="L279" s="6"/>
    </row>
    <row r="280" customFormat="false" ht="15" hidden="false" customHeight="false" outlineLevel="0" collapsed="false">
      <c r="A280" s="34"/>
      <c r="B280" s="6"/>
      <c r="C280" s="6"/>
      <c r="D280" s="0" t="str">
        <f aca="false">IF(C280="","",IFERROR(VLOOKUP(C280,'Recetas y precios'!$A$5:$B$55,2,FALSE()),""))</f>
        <v/>
      </c>
      <c r="E280" s="6"/>
      <c r="F280" s="6"/>
      <c r="G280" s="6"/>
      <c r="H280" s="16" t="str">
        <f aca="false">IF((F280+G280)&gt;0,G280/(F280+G280),"")</f>
        <v/>
      </c>
      <c r="I280" s="15" t="n">
        <f aca="false">IF(C280="",0,IFERROR(VLOOKUP(C280,'Recetas y precios'!$A$5:$R$55,18,FALSE()),0))</f>
        <v>0</v>
      </c>
      <c r="J280" s="15" t="n">
        <f aca="false">G280*I280</f>
        <v>0</v>
      </c>
      <c r="K280" s="24"/>
      <c r="L280" s="6"/>
    </row>
    <row r="281" customFormat="false" ht="15" hidden="false" customHeight="false" outlineLevel="0" collapsed="false">
      <c r="A281" s="34"/>
      <c r="B281" s="6"/>
      <c r="C281" s="6"/>
      <c r="D281" s="0" t="str">
        <f aca="false">IF(C281="","",IFERROR(VLOOKUP(C281,'Recetas y precios'!$A$5:$B$55,2,FALSE()),""))</f>
        <v/>
      </c>
      <c r="E281" s="6"/>
      <c r="F281" s="6"/>
      <c r="G281" s="6"/>
      <c r="H281" s="16" t="str">
        <f aca="false">IF((F281+G281)&gt;0,G281/(F281+G281),"")</f>
        <v/>
      </c>
      <c r="I281" s="15" t="n">
        <f aca="false">IF(C281="",0,IFERROR(VLOOKUP(C281,'Recetas y precios'!$A$5:$R$55,18,FALSE()),0))</f>
        <v>0</v>
      </c>
      <c r="J281" s="15" t="n">
        <f aca="false">G281*I281</f>
        <v>0</v>
      </c>
      <c r="K281" s="24"/>
      <c r="L281" s="6"/>
    </row>
    <row r="282" customFormat="false" ht="15" hidden="false" customHeight="false" outlineLevel="0" collapsed="false">
      <c r="A282" s="34"/>
      <c r="B282" s="6"/>
      <c r="C282" s="6"/>
      <c r="D282" s="0" t="str">
        <f aca="false">IF(C282="","",IFERROR(VLOOKUP(C282,'Recetas y precios'!$A$5:$B$55,2,FALSE()),""))</f>
        <v/>
      </c>
      <c r="E282" s="6"/>
      <c r="F282" s="6"/>
      <c r="G282" s="6"/>
      <c r="H282" s="16" t="str">
        <f aca="false">IF((F282+G282)&gt;0,G282/(F282+G282),"")</f>
        <v/>
      </c>
      <c r="I282" s="15" t="n">
        <f aca="false">IF(C282="",0,IFERROR(VLOOKUP(C282,'Recetas y precios'!$A$5:$R$55,18,FALSE()),0))</f>
        <v>0</v>
      </c>
      <c r="J282" s="15" t="n">
        <f aca="false">G282*I282</f>
        <v>0</v>
      </c>
      <c r="K282" s="24"/>
      <c r="L282" s="6"/>
    </row>
    <row r="283" customFormat="false" ht="15" hidden="false" customHeight="false" outlineLevel="0" collapsed="false">
      <c r="A283" s="34"/>
      <c r="B283" s="6"/>
      <c r="C283" s="6"/>
      <c r="D283" s="0" t="str">
        <f aca="false">IF(C283="","",IFERROR(VLOOKUP(C283,'Recetas y precios'!$A$5:$B$55,2,FALSE()),""))</f>
        <v/>
      </c>
      <c r="E283" s="6"/>
      <c r="F283" s="6"/>
      <c r="G283" s="6"/>
      <c r="H283" s="16" t="str">
        <f aca="false">IF((F283+G283)&gt;0,G283/(F283+G283),"")</f>
        <v/>
      </c>
      <c r="I283" s="15" t="n">
        <f aca="false">IF(C283="",0,IFERROR(VLOOKUP(C283,'Recetas y precios'!$A$5:$R$55,18,FALSE()),0))</f>
        <v>0</v>
      </c>
      <c r="J283" s="15" t="n">
        <f aca="false">G283*I283</f>
        <v>0</v>
      </c>
      <c r="K283" s="24"/>
      <c r="L283" s="6"/>
    </row>
    <row r="284" customFormat="false" ht="15" hidden="false" customHeight="false" outlineLevel="0" collapsed="false">
      <c r="A284" s="34"/>
      <c r="B284" s="6"/>
      <c r="C284" s="6"/>
      <c r="D284" s="0" t="str">
        <f aca="false">IF(C284="","",IFERROR(VLOOKUP(C284,'Recetas y precios'!$A$5:$B$55,2,FALSE()),""))</f>
        <v/>
      </c>
      <c r="E284" s="6"/>
      <c r="F284" s="6"/>
      <c r="G284" s="6"/>
      <c r="H284" s="16" t="str">
        <f aca="false">IF((F284+G284)&gt;0,G284/(F284+G284),"")</f>
        <v/>
      </c>
      <c r="I284" s="15" t="n">
        <f aca="false">IF(C284="",0,IFERROR(VLOOKUP(C284,'Recetas y precios'!$A$5:$R$55,18,FALSE()),0))</f>
        <v>0</v>
      </c>
      <c r="J284" s="15" t="n">
        <f aca="false">G284*I284</f>
        <v>0</v>
      </c>
      <c r="K284" s="24"/>
      <c r="L284" s="6"/>
    </row>
    <row r="285" customFormat="false" ht="15" hidden="false" customHeight="false" outlineLevel="0" collapsed="false">
      <c r="A285" s="34"/>
      <c r="B285" s="6"/>
      <c r="C285" s="6"/>
      <c r="D285" s="0" t="str">
        <f aca="false">IF(C285="","",IFERROR(VLOOKUP(C285,'Recetas y precios'!$A$5:$B$55,2,FALSE()),""))</f>
        <v/>
      </c>
      <c r="E285" s="6"/>
      <c r="F285" s="6"/>
      <c r="G285" s="6"/>
      <c r="H285" s="16" t="str">
        <f aca="false">IF((F285+G285)&gt;0,G285/(F285+G285),"")</f>
        <v/>
      </c>
      <c r="I285" s="15" t="n">
        <f aca="false">IF(C285="",0,IFERROR(VLOOKUP(C285,'Recetas y precios'!$A$5:$R$55,18,FALSE()),0))</f>
        <v>0</v>
      </c>
      <c r="J285" s="15" t="n">
        <f aca="false">G285*I285</f>
        <v>0</v>
      </c>
      <c r="K285" s="24"/>
      <c r="L285" s="6"/>
    </row>
    <row r="286" customFormat="false" ht="15" hidden="false" customHeight="false" outlineLevel="0" collapsed="false">
      <c r="A286" s="34"/>
      <c r="B286" s="6"/>
      <c r="C286" s="6"/>
      <c r="D286" s="0" t="str">
        <f aca="false">IF(C286="","",IFERROR(VLOOKUP(C286,'Recetas y precios'!$A$5:$B$55,2,FALSE()),""))</f>
        <v/>
      </c>
      <c r="E286" s="6"/>
      <c r="F286" s="6"/>
      <c r="G286" s="6"/>
      <c r="H286" s="16" t="str">
        <f aca="false">IF((F286+G286)&gt;0,G286/(F286+G286),"")</f>
        <v/>
      </c>
      <c r="I286" s="15" t="n">
        <f aca="false">IF(C286="",0,IFERROR(VLOOKUP(C286,'Recetas y precios'!$A$5:$R$55,18,FALSE()),0))</f>
        <v>0</v>
      </c>
      <c r="J286" s="15" t="n">
        <f aca="false">G286*I286</f>
        <v>0</v>
      </c>
      <c r="K286" s="24"/>
      <c r="L286" s="6"/>
    </row>
    <row r="287" customFormat="false" ht="15" hidden="false" customHeight="false" outlineLevel="0" collapsed="false">
      <c r="A287" s="34"/>
      <c r="B287" s="6"/>
      <c r="C287" s="6"/>
      <c r="D287" s="0" t="str">
        <f aca="false">IF(C287="","",IFERROR(VLOOKUP(C287,'Recetas y precios'!$A$5:$B$55,2,FALSE()),""))</f>
        <v/>
      </c>
      <c r="E287" s="6"/>
      <c r="F287" s="6"/>
      <c r="G287" s="6"/>
      <c r="H287" s="16" t="str">
        <f aca="false">IF((F287+G287)&gt;0,G287/(F287+G287),"")</f>
        <v/>
      </c>
      <c r="I287" s="15" t="n">
        <f aca="false">IF(C287="",0,IFERROR(VLOOKUP(C287,'Recetas y precios'!$A$5:$R$55,18,FALSE()),0))</f>
        <v>0</v>
      </c>
      <c r="J287" s="15" t="n">
        <f aca="false">G287*I287</f>
        <v>0</v>
      </c>
      <c r="K287" s="24"/>
      <c r="L287" s="6"/>
    </row>
    <row r="288" customFormat="false" ht="15" hidden="false" customHeight="false" outlineLevel="0" collapsed="false">
      <c r="A288" s="34"/>
      <c r="B288" s="6"/>
      <c r="C288" s="6"/>
      <c r="D288" s="0" t="str">
        <f aca="false">IF(C288="","",IFERROR(VLOOKUP(C288,'Recetas y precios'!$A$5:$B$55,2,FALSE()),""))</f>
        <v/>
      </c>
      <c r="E288" s="6"/>
      <c r="F288" s="6"/>
      <c r="G288" s="6"/>
      <c r="H288" s="16" t="str">
        <f aca="false">IF((F288+G288)&gt;0,G288/(F288+G288),"")</f>
        <v/>
      </c>
      <c r="I288" s="15" t="n">
        <f aca="false">IF(C288="",0,IFERROR(VLOOKUP(C288,'Recetas y precios'!$A$5:$R$55,18,FALSE()),0))</f>
        <v>0</v>
      </c>
      <c r="J288" s="15" t="n">
        <f aca="false">G288*I288</f>
        <v>0</v>
      </c>
      <c r="K288" s="24"/>
      <c r="L288" s="6"/>
    </row>
    <row r="289" customFormat="false" ht="15" hidden="false" customHeight="false" outlineLevel="0" collapsed="false">
      <c r="A289" s="34"/>
      <c r="B289" s="6"/>
      <c r="C289" s="6"/>
      <c r="D289" s="0" t="str">
        <f aca="false">IF(C289="","",IFERROR(VLOOKUP(C289,'Recetas y precios'!$A$5:$B$55,2,FALSE()),""))</f>
        <v/>
      </c>
      <c r="E289" s="6"/>
      <c r="F289" s="6"/>
      <c r="G289" s="6"/>
      <c r="H289" s="16" t="str">
        <f aca="false">IF((F289+G289)&gt;0,G289/(F289+G289),"")</f>
        <v/>
      </c>
      <c r="I289" s="15" t="n">
        <f aca="false">IF(C289="",0,IFERROR(VLOOKUP(C289,'Recetas y precios'!$A$5:$R$55,18,FALSE()),0))</f>
        <v>0</v>
      </c>
      <c r="J289" s="15" t="n">
        <f aca="false">G289*I289</f>
        <v>0</v>
      </c>
      <c r="K289" s="24"/>
      <c r="L289" s="6"/>
    </row>
    <row r="290" customFormat="false" ht="15" hidden="false" customHeight="false" outlineLevel="0" collapsed="false">
      <c r="A290" s="34"/>
      <c r="B290" s="6"/>
      <c r="C290" s="6"/>
      <c r="D290" s="0" t="str">
        <f aca="false">IF(C290="","",IFERROR(VLOOKUP(C290,'Recetas y precios'!$A$5:$B$55,2,FALSE()),""))</f>
        <v/>
      </c>
      <c r="E290" s="6"/>
      <c r="F290" s="6"/>
      <c r="G290" s="6"/>
      <c r="H290" s="16" t="str">
        <f aca="false">IF((F290+G290)&gt;0,G290/(F290+G290),"")</f>
        <v/>
      </c>
      <c r="I290" s="15" t="n">
        <f aca="false">IF(C290="",0,IFERROR(VLOOKUP(C290,'Recetas y precios'!$A$5:$R$55,18,FALSE()),0))</f>
        <v>0</v>
      </c>
      <c r="J290" s="15" t="n">
        <f aca="false">G290*I290</f>
        <v>0</v>
      </c>
      <c r="K290" s="24"/>
      <c r="L290" s="6"/>
    </row>
    <row r="291" customFormat="false" ht="15" hidden="false" customHeight="false" outlineLevel="0" collapsed="false">
      <c r="A291" s="34"/>
      <c r="B291" s="6"/>
      <c r="C291" s="6"/>
      <c r="D291" s="0" t="str">
        <f aca="false">IF(C291="","",IFERROR(VLOOKUP(C291,'Recetas y precios'!$A$5:$B$55,2,FALSE()),""))</f>
        <v/>
      </c>
      <c r="E291" s="6"/>
      <c r="F291" s="6"/>
      <c r="G291" s="6"/>
      <c r="H291" s="16" t="str">
        <f aca="false">IF((F291+G291)&gt;0,G291/(F291+G291),"")</f>
        <v/>
      </c>
      <c r="I291" s="15" t="n">
        <f aca="false">IF(C291="",0,IFERROR(VLOOKUP(C291,'Recetas y precios'!$A$5:$R$55,18,FALSE()),0))</f>
        <v>0</v>
      </c>
      <c r="J291" s="15" t="n">
        <f aca="false">G291*I291</f>
        <v>0</v>
      </c>
      <c r="K291" s="24"/>
      <c r="L291" s="6"/>
    </row>
    <row r="292" customFormat="false" ht="15" hidden="false" customHeight="false" outlineLevel="0" collapsed="false">
      <c r="A292" s="34"/>
      <c r="B292" s="6"/>
      <c r="C292" s="6"/>
      <c r="D292" s="0" t="str">
        <f aca="false">IF(C292="","",IFERROR(VLOOKUP(C292,'Recetas y precios'!$A$5:$B$55,2,FALSE()),""))</f>
        <v/>
      </c>
      <c r="E292" s="6"/>
      <c r="F292" s="6"/>
      <c r="G292" s="6"/>
      <c r="H292" s="16" t="str">
        <f aca="false">IF((F292+G292)&gt;0,G292/(F292+G292),"")</f>
        <v/>
      </c>
      <c r="I292" s="15" t="n">
        <f aca="false">IF(C292="",0,IFERROR(VLOOKUP(C292,'Recetas y precios'!$A$5:$R$55,18,FALSE()),0))</f>
        <v>0</v>
      </c>
      <c r="J292" s="15" t="n">
        <f aca="false">G292*I292</f>
        <v>0</v>
      </c>
      <c r="K292" s="24"/>
      <c r="L292" s="6"/>
    </row>
    <row r="293" customFormat="false" ht="15" hidden="false" customHeight="false" outlineLevel="0" collapsed="false">
      <c r="A293" s="34"/>
      <c r="B293" s="6"/>
      <c r="C293" s="6"/>
      <c r="D293" s="0" t="str">
        <f aca="false">IF(C293="","",IFERROR(VLOOKUP(C293,'Recetas y precios'!$A$5:$B$55,2,FALSE()),""))</f>
        <v/>
      </c>
      <c r="E293" s="6"/>
      <c r="F293" s="6"/>
      <c r="G293" s="6"/>
      <c r="H293" s="16" t="str">
        <f aca="false">IF((F293+G293)&gt;0,G293/(F293+G293),"")</f>
        <v/>
      </c>
      <c r="I293" s="15" t="n">
        <f aca="false">IF(C293="",0,IFERROR(VLOOKUP(C293,'Recetas y precios'!$A$5:$R$55,18,FALSE()),0))</f>
        <v>0</v>
      </c>
      <c r="J293" s="15" t="n">
        <f aca="false">G293*I293</f>
        <v>0</v>
      </c>
      <c r="K293" s="24"/>
      <c r="L293" s="6"/>
    </row>
    <row r="294" customFormat="false" ht="15" hidden="false" customHeight="false" outlineLevel="0" collapsed="false">
      <c r="A294" s="34"/>
      <c r="B294" s="6"/>
      <c r="C294" s="6"/>
      <c r="D294" s="0" t="str">
        <f aca="false">IF(C294="","",IFERROR(VLOOKUP(C294,'Recetas y precios'!$A$5:$B$55,2,FALSE()),""))</f>
        <v/>
      </c>
      <c r="E294" s="6"/>
      <c r="F294" s="6"/>
      <c r="G294" s="6"/>
      <c r="H294" s="16" t="str">
        <f aca="false">IF((F294+G294)&gt;0,G294/(F294+G294),"")</f>
        <v/>
      </c>
      <c r="I294" s="15" t="n">
        <f aca="false">IF(C294="",0,IFERROR(VLOOKUP(C294,'Recetas y precios'!$A$5:$R$55,18,FALSE()),0))</f>
        <v>0</v>
      </c>
      <c r="J294" s="15" t="n">
        <f aca="false">G294*I294</f>
        <v>0</v>
      </c>
      <c r="K294" s="24"/>
      <c r="L294" s="6"/>
    </row>
    <row r="295" customFormat="false" ht="15" hidden="false" customHeight="false" outlineLevel="0" collapsed="false">
      <c r="A295" s="34"/>
      <c r="B295" s="6"/>
      <c r="C295" s="6"/>
      <c r="D295" s="0" t="str">
        <f aca="false">IF(C295="","",IFERROR(VLOOKUP(C295,'Recetas y precios'!$A$5:$B$55,2,FALSE()),""))</f>
        <v/>
      </c>
      <c r="E295" s="6"/>
      <c r="F295" s="6"/>
      <c r="G295" s="6"/>
      <c r="H295" s="16" t="str">
        <f aca="false">IF((F295+G295)&gt;0,G295/(F295+G295),"")</f>
        <v/>
      </c>
      <c r="I295" s="15" t="n">
        <f aca="false">IF(C295="",0,IFERROR(VLOOKUP(C295,'Recetas y precios'!$A$5:$R$55,18,FALSE()),0))</f>
        <v>0</v>
      </c>
      <c r="J295" s="15" t="n">
        <f aca="false">G295*I295</f>
        <v>0</v>
      </c>
      <c r="K295" s="24"/>
      <c r="L295" s="6"/>
    </row>
    <row r="296" customFormat="false" ht="15" hidden="false" customHeight="false" outlineLevel="0" collapsed="false">
      <c r="A296" s="34"/>
      <c r="B296" s="6"/>
      <c r="C296" s="6"/>
      <c r="D296" s="0" t="str">
        <f aca="false">IF(C296="","",IFERROR(VLOOKUP(C296,'Recetas y precios'!$A$5:$B$55,2,FALSE()),""))</f>
        <v/>
      </c>
      <c r="E296" s="6"/>
      <c r="F296" s="6"/>
      <c r="G296" s="6"/>
      <c r="H296" s="16" t="str">
        <f aca="false">IF((F296+G296)&gt;0,G296/(F296+G296),"")</f>
        <v/>
      </c>
      <c r="I296" s="15" t="n">
        <f aca="false">IF(C296="",0,IFERROR(VLOOKUP(C296,'Recetas y precios'!$A$5:$R$55,18,FALSE()),0))</f>
        <v>0</v>
      </c>
      <c r="J296" s="15" t="n">
        <f aca="false">G296*I296</f>
        <v>0</v>
      </c>
      <c r="K296" s="24"/>
      <c r="L296" s="6"/>
    </row>
    <row r="297" customFormat="false" ht="15" hidden="false" customHeight="false" outlineLevel="0" collapsed="false">
      <c r="A297" s="34"/>
      <c r="B297" s="6"/>
      <c r="C297" s="6"/>
      <c r="D297" s="0" t="str">
        <f aca="false">IF(C297="","",IFERROR(VLOOKUP(C297,'Recetas y precios'!$A$5:$B$55,2,FALSE()),""))</f>
        <v/>
      </c>
      <c r="E297" s="6"/>
      <c r="F297" s="6"/>
      <c r="G297" s="6"/>
      <c r="H297" s="16" t="str">
        <f aca="false">IF((F297+G297)&gt;0,G297/(F297+G297),"")</f>
        <v/>
      </c>
      <c r="I297" s="15" t="n">
        <f aca="false">IF(C297="",0,IFERROR(VLOOKUP(C297,'Recetas y precios'!$A$5:$R$55,18,FALSE()),0))</f>
        <v>0</v>
      </c>
      <c r="J297" s="15" t="n">
        <f aca="false">G297*I297</f>
        <v>0</v>
      </c>
      <c r="K297" s="24"/>
      <c r="L297" s="6"/>
    </row>
    <row r="298" customFormat="false" ht="15" hidden="false" customHeight="false" outlineLevel="0" collapsed="false">
      <c r="A298" s="34"/>
      <c r="B298" s="6"/>
      <c r="C298" s="6"/>
      <c r="D298" s="0" t="str">
        <f aca="false">IF(C298="","",IFERROR(VLOOKUP(C298,'Recetas y precios'!$A$5:$B$55,2,FALSE()),""))</f>
        <v/>
      </c>
      <c r="E298" s="6"/>
      <c r="F298" s="6"/>
      <c r="G298" s="6"/>
      <c r="H298" s="16" t="str">
        <f aca="false">IF((F298+G298)&gt;0,G298/(F298+G298),"")</f>
        <v/>
      </c>
      <c r="I298" s="15" t="n">
        <f aca="false">IF(C298="",0,IFERROR(VLOOKUP(C298,'Recetas y precios'!$A$5:$R$55,18,FALSE()),0))</f>
        <v>0</v>
      </c>
      <c r="J298" s="15" t="n">
        <f aca="false">G298*I298</f>
        <v>0</v>
      </c>
      <c r="K298" s="24"/>
      <c r="L298" s="6"/>
    </row>
    <row r="299" customFormat="false" ht="15" hidden="false" customHeight="false" outlineLevel="0" collapsed="false">
      <c r="A299" s="34"/>
      <c r="B299" s="6"/>
      <c r="C299" s="6"/>
      <c r="D299" s="0" t="str">
        <f aca="false">IF(C299="","",IFERROR(VLOOKUP(C299,'Recetas y precios'!$A$5:$B$55,2,FALSE()),""))</f>
        <v/>
      </c>
      <c r="E299" s="6"/>
      <c r="F299" s="6"/>
      <c r="G299" s="6"/>
      <c r="H299" s="16" t="str">
        <f aca="false">IF((F299+G299)&gt;0,G299/(F299+G299),"")</f>
        <v/>
      </c>
      <c r="I299" s="15" t="n">
        <f aca="false">IF(C299="",0,IFERROR(VLOOKUP(C299,'Recetas y precios'!$A$5:$R$55,18,FALSE()),0))</f>
        <v>0</v>
      </c>
      <c r="J299" s="15" t="n">
        <f aca="false">G299*I299</f>
        <v>0</v>
      </c>
      <c r="K299" s="24"/>
      <c r="L299" s="6"/>
    </row>
    <row r="300" customFormat="false" ht="15" hidden="false" customHeight="false" outlineLevel="0" collapsed="false">
      <c r="A300" s="34"/>
      <c r="B300" s="6"/>
      <c r="C300" s="6"/>
      <c r="D300" s="0" t="str">
        <f aca="false">IF(C300="","",IFERROR(VLOOKUP(C300,'Recetas y precios'!$A$5:$B$55,2,FALSE()),""))</f>
        <v/>
      </c>
      <c r="E300" s="6"/>
      <c r="F300" s="6"/>
      <c r="G300" s="6"/>
      <c r="H300" s="16" t="str">
        <f aca="false">IF((F300+G300)&gt;0,G300/(F300+G300),"")</f>
        <v/>
      </c>
      <c r="I300" s="15" t="n">
        <f aca="false">IF(C300="",0,IFERROR(VLOOKUP(C300,'Recetas y precios'!$A$5:$R$55,18,FALSE()),0))</f>
        <v>0</v>
      </c>
      <c r="J300" s="15" t="n">
        <f aca="false">G300*I300</f>
        <v>0</v>
      </c>
      <c r="K300" s="24"/>
      <c r="L300" s="6"/>
    </row>
    <row r="301" customFormat="false" ht="15" hidden="false" customHeight="false" outlineLevel="0" collapsed="false">
      <c r="A301" s="34"/>
      <c r="B301" s="6"/>
      <c r="C301" s="6"/>
      <c r="D301" s="0" t="str">
        <f aca="false">IF(C301="","",IFERROR(VLOOKUP(C301,'Recetas y precios'!$A$5:$B$55,2,FALSE()),""))</f>
        <v/>
      </c>
      <c r="E301" s="6"/>
      <c r="F301" s="6"/>
      <c r="G301" s="6"/>
      <c r="H301" s="16" t="str">
        <f aca="false">IF((F301+G301)&gt;0,G301/(F301+G301),"")</f>
        <v/>
      </c>
      <c r="I301" s="15" t="n">
        <f aca="false">IF(C301="",0,IFERROR(VLOOKUP(C301,'Recetas y precios'!$A$5:$R$55,18,FALSE()),0))</f>
        <v>0</v>
      </c>
      <c r="J301" s="15" t="n">
        <f aca="false">G301*I301</f>
        <v>0</v>
      </c>
      <c r="K301" s="24"/>
      <c r="L301" s="6"/>
    </row>
    <row r="302" customFormat="false" ht="15" hidden="false" customHeight="false" outlineLevel="0" collapsed="false">
      <c r="A302" s="34"/>
      <c r="B302" s="6"/>
      <c r="C302" s="6"/>
      <c r="D302" s="0" t="str">
        <f aca="false">IF(C302="","",IFERROR(VLOOKUP(C302,'Recetas y precios'!$A$5:$B$55,2,FALSE()),""))</f>
        <v/>
      </c>
      <c r="E302" s="6"/>
      <c r="F302" s="6"/>
      <c r="G302" s="6"/>
      <c r="H302" s="16" t="str">
        <f aca="false">IF((F302+G302)&gt;0,G302/(F302+G302),"")</f>
        <v/>
      </c>
      <c r="I302" s="15" t="n">
        <f aca="false">IF(C302="",0,IFERROR(VLOOKUP(C302,'Recetas y precios'!$A$5:$R$55,18,FALSE()),0))</f>
        <v>0</v>
      </c>
      <c r="J302" s="15" t="n">
        <f aca="false">G302*I302</f>
        <v>0</v>
      </c>
      <c r="K302" s="24"/>
      <c r="L302" s="6"/>
    </row>
    <row r="303" customFormat="false" ht="15" hidden="false" customHeight="false" outlineLevel="0" collapsed="false">
      <c r="A303" s="34"/>
      <c r="B303" s="6"/>
      <c r="C303" s="6"/>
      <c r="D303" s="0" t="str">
        <f aca="false">IF(C303="","",IFERROR(VLOOKUP(C303,'Recetas y precios'!$A$5:$B$55,2,FALSE()),""))</f>
        <v/>
      </c>
      <c r="E303" s="6"/>
      <c r="F303" s="6"/>
      <c r="G303" s="6"/>
      <c r="H303" s="16" t="str">
        <f aca="false">IF((F303+G303)&gt;0,G303/(F303+G303),"")</f>
        <v/>
      </c>
      <c r="I303" s="15" t="n">
        <f aca="false">IF(C303="",0,IFERROR(VLOOKUP(C303,'Recetas y precios'!$A$5:$R$55,18,FALSE()),0))</f>
        <v>0</v>
      </c>
      <c r="J303" s="15" t="n">
        <f aca="false">G303*I303</f>
        <v>0</v>
      </c>
      <c r="K303" s="24"/>
      <c r="L303" s="6"/>
    </row>
    <row r="304" customFormat="false" ht="15" hidden="false" customHeight="false" outlineLevel="0" collapsed="false">
      <c r="A304" s="34"/>
      <c r="B304" s="6"/>
      <c r="C304" s="6"/>
      <c r="D304" s="0" t="str">
        <f aca="false">IF(C304="","",IFERROR(VLOOKUP(C304,'Recetas y precios'!$A$5:$B$55,2,FALSE()),""))</f>
        <v/>
      </c>
      <c r="E304" s="6"/>
      <c r="F304" s="6"/>
      <c r="G304" s="6"/>
      <c r="H304" s="16" t="str">
        <f aca="false">IF((F304+G304)&gt;0,G304/(F304+G304),"")</f>
        <v/>
      </c>
      <c r="I304" s="15" t="n">
        <f aca="false">IF(C304="",0,IFERROR(VLOOKUP(C304,'Recetas y precios'!$A$5:$R$55,18,FALSE()),0))</f>
        <v>0</v>
      </c>
      <c r="J304" s="15" t="n">
        <f aca="false">G304*I304</f>
        <v>0</v>
      </c>
      <c r="K304" s="24"/>
      <c r="L304" s="6"/>
    </row>
  </sheetData>
  <conditionalFormatting sqref="H5:H304">
    <cfRule type="expression" priority="2" aboveAverage="0" equalAverage="0" bottom="0" percent="0" rank="0" text="" dxfId="7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"Crema cortada o sobrebatida,Crema demasiado líquida (no cuaja),Bizcocho desmoronado o gomoso,Exceso de jarabe (charco en la base),Cascada que no fluye al retirar el acetato,Cubierta craquelada rota antes de tiempo,Ruptura de la cadena de frío,Fruta fresca"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1129</v>
      </c>
    </row>
    <row r="2" customFormat="false" ht="15" hidden="false" customHeight="false" outlineLevel="0" collapsed="false">
      <c r="A2" s="7" t="s">
        <v>1130</v>
      </c>
    </row>
    <row r="4" customFormat="false" ht="30" hidden="false" customHeight="true" outlineLevel="0" collapsed="false">
      <c r="A4" s="8" t="s">
        <v>1115</v>
      </c>
      <c r="B4" s="8" t="s">
        <v>1117</v>
      </c>
      <c r="C4" s="8" t="s">
        <v>370</v>
      </c>
      <c r="D4" s="8" t="s">
        <v>1131</v>
      </c>
      <c r="E4" s="8" t="s">
        <v>1087</v>
      </c>
      <c r="F4" s="8" t="s">
        <v>1132</v>
      </c>
      <c r="G4" s="8" t="s">
        <v>1133</v>
      </c>
      <c r="H4" s="8" t="s">
        <v>1134</v>
      </c>
      <c r="I4" s="8" t="s">
        <v>1135</v>
      </c>
      <c r="J4" s="8" t="s">
        <v>1136</v>
      </c>
      <c r="K4" s="8" t="s">
        <v>1137</v>
      </c>
      <c r="L4" s="8" t="s">
        <v>1138</v>
      </c>
      <c r="M4" s="8" t="s">
        <v>1139</v>
      </c>
    </row>
    <row r="5" customFormat="false" ht="15" hidden="false" customHeight="false" outlineLevel="0" collapsed="false">
      <c r="A5" s="34" t="n">
        <v>46298</v>
      </c>
      <c r="B5" s="6" t="n">
        <v>1</v>
      </c>
      <c r="C5" s="0" t="str">
        <f aca="false">IF(B5="","",IFERROR(VLOOKUP(B5,'Recetas y precios'!$A$5:$B$55,2,FALSE()),""))</f>
        <v>Tiramisú Clásico de Cascada Douyin (Pull-Me-Up Lava Tiramisu)</v>
      </c>
      <c r="D5" s="24" t="s">
        <v>1140</v>
      </c>
      <c r="E5" s="6" t="n">
        <v>4</v>
      </c>
      <c r="F5" s="17" t="n">
        <v>275</v>
      </c>
      <c r="G5" s="15" t="n">
        <f aca="false">E5*F5</f>
        <v>1100</v>
      </c>
      <c r="H5" s="15" t="n">
        <f aca="false">IF(B5="",0,E5*IFERROR(VLOOKUP(B5,'Recetas y precios'!$A$5:$R$55,18,FALSE()),0))</f>
        <v>487.75121754386</v>
      </c>
      <c r="I5" s="30" t="n">
        <v>0</v>
      </c>
      <c r="J5" s="15" t="n">
        <f aca="false">G5*I5</f>
        <v>0</v>
      </c>
      <c r="K5" s="15" t="n">
        <f aca="false">G5-H5-J5</f>
        <v>612.24878245614</v>
      </c>
      <c r="L5" s="16" t="n">
        <f aca="false">IF(G5&gt;0,K5/G5,"")</f>
        <v>0.556589802232855</v>
      </c>
      <c r="M5" s="6" t="s">
        <v>1128</v>
      </c>
    </row>
    <row r="6" customFormat="false" ht="15" hidden="false" customHeight="false" outlineLevel="0" collapsed="false">
      <c r="A6" s="34"/>
      <c r="B6" s="6"/>
      <c r="C6" s="0" t="str">
        <f aca="false">IF(B6="","",IFERROR(VLOOKUP(B6,'Recetas y precios'!$A$5:$B$55,2,FALSE()),""))</f>
        <v/>
      </c>
      <c r="D6" s="24"/>
      <c r="E6" s="6"/>
      <c r="F6" s="17"/>
      <c r="G6" s="15" t="n">
        <f aca="false">E6*F6</f>
        <v>0</v>
      </c>
      <c r="H6" s="15" t="n">
        <f aca="false">IF(B6="",0,E6*IFERROR(VLOOKUP(B6,'Recetas y precios'!$A$5:$R$55,18,FALSE()),0))</f>
        <v>0</v>
      </c>
      <c r="I6" s="30"/>
      <c r="J6" s="15" t="n">
        <f aca="false">G6*I6</f>
        <v>0</v>
      </c>
      <c r="K6" s="15" t="n">
        <f aca="false">G6-H6-J6</f>
        <v>0</v>
      </c>
      <c r="L6" s="16" t="str">
        <f aca="false">IF(G6&gt;0,K6/G6,"")</f>
        <v/>
      </c>
      <c r="M6" s="6"/>
    </row>
    <row r="7" customFormat="false" ht="15" hidden="false" customHeight="false" outlineLevel="0" collapsed="false">
      <c r="A7" s="34"/>
      <c r="B7" s="6"/>
      <c r="C7" s="0" t="str">
        <f aca="false">IF(B7="","",IFERROR(VLOOKUP(B7,'Recetas y precios'!$A$5:$B$55,2,FALSE()),""))</f>
        <v/>
      </c>
      <c r="D7" s="24"/>
      <c r="E7" s="6"/>
      <c r="F7" s="17"/>
      <c r="G7" s="15" t="n">
        <f aca="false">E7*F7</f>
        <v>0</v>
      </c>
      <c r="H7" s="15" t="n">
        <f aca="false">IF(B7="",0,E7*IFERROR(VLOOKUP(B7,'Recetas y precios'!$A$5:$R$55,18,FALSE()),0))</f>
        <v>0</v>
      </c>
      <c r="I7" s="30"/>
      <c r="J7" s="15" t="n">
        <f aca="false">G7*I7</f>
        <v>0</v>
      </c>
      <c r="K7" s="15" t="n">
        <f aca="false">G7-H7-J7</f>
        <v>0</v>
      </c>
      <c r="L7" s="16" t="str">
        <f aca="false">IF(G7&gt;0,K7/G7,"")</f>
        <v/>
      </c>
      <c r="M7" s="6"/>
    </row>
    <row r="8" customFormat="false" ht="15" hidden="false" customHeight="false" outlineLevel="0" collapsed="false">
      <c r="A8" s="34"/>
      <c r="B8" s="6"/>
      <c r="C8" s="0" t="str">
        <f aca="false">IF(B8="","",IFERROR(VLOOKUP(B8,'Recetas y precios'!$A$5:$B$55,2,FALSE()),""))</f>
        <v/>
      </c>
      <c r="D8" s="24"/>
      <c r="E8" s="6"/>
      <c r="F8" s="17"/>
      <c r="G8" s="15" t="n">
        <f aca="false">E8*F8</f>
        <v>0</v>
      </c>
      <c r="H8" s="15" t="n">
        <f aca="false">IF(B8="",0,E8*IFERROR(VLOOKUP(B8,'Recetas y precios'!$A$5:$R$55,18,FALSE()),0))</f>
        <v>0</v>
      </c>
      <c r="I8" s="30"/>
      <c r="J8" s="15" t="n">
        <f aca="false">G8*I8</f>
        <v>0</v>
      </c>
      <c r="K8" s="15" t="n">
        <f aca="false">G8-H8-J8</f>
        <v>0</v>
      </c>
      <c r="L8" s="16" t="str">
        <f aca="false">IF(G8&gt;0,K8/G8,"")</f>
        <v/>
      </c>
      <c r="M8" s="6"/>
    </row>
    <row r="9" customFormat="false" ht="15" hidden="false" customHeight="false" outlineLevel="0" collapsed="false">
      <c r="A9" s="34"/>
      <c r="B9" s="6"/>
      <c r="C9" s="0" t="str">
        <f aca="false">IF(B9="","",IFERROR(VLOOKUP(B9,'Recetas y precios'!$A$5:$B$55,2,FALSE()),""))</f>
        <v/>
      </c>
      <c r="D9" s="24"/>
      <c r="E9" s="6"/>
      <c r="F9" s="17"/>
      <c r="G9" s="15" t="n">
        <f aca="false">E9*F9</f>
        <v>0</v>
      </c>
      <c r="H9" s="15" t="n">
        <f aca="false">IF(B9="",0,E9*IFERROR(VLOOKUP(B9,'Recetas y precios'!$A$5:$R$55,18,FALSE()),0))</f>
        <v>0</v>
      </c>
      <c r="I9" s="30"/>
      <c r="J9" s="15" t="n">
        <f aca="false">G9*I9</f>
        <v>0</v>
      </c>
      <c r="K9" s="15" t="n">
        <f aca="false">G9-H9-J9</f>
        <v>0</v>
      </c>
      <c r="L9" s="16" t="str">
        <f aca="false">IF(G9&gt;0,K9/G9,"")</f>
        <v/>
      </c>
      <c r="M9" s="6"/>
    </row>
    <row r="10" customFormat="false" ht="15" hidden="false" customHeight="false" outlineLevel="0" collapsed="false">
      <c r="A10" s="34"/>
      <c r="B10" s="6"/>
      <c r="C10" s="0" t="str">
        <f aca="false">IF(B10="","",IFERROR(VLOOKUP(B10,'Recetas y precios'!$A$5:$B$55,2,FALSE()),""))</f>
        <v/>
      </c>
      <c r="D10" s="24"/>
      <c r="E10" s="6"/>
      <c r="F10" s="17"/>
      <c r="G10" s="15" t="n">
        <f aca="false">E10*F10</f>
        <v>0</v>
      </c>
      <c r="H10" s="15" t="n">
        <f aca="false">IF(B10="",0,E10*IFERROR(VLOOKUP(B10,'Recetas y precios'!$A$5:$R$55,18,FALSE()),0))</f>
        <v>0</v>
      </c>
      <c r="I10" s="30"/>
      <c r="J10" s="15" t="n">
        <f aca="false">G10*I10</f>
        <v>0</v>
      </c>
      <c r="K10" s="15" t="n">
        <f aca="false">G10-H10-J10</f>
        <v>0</v>
      </c>
      <c r="L10" s="16" t="str">
        <f aca="false">IF(G10&gt;0,K10/G10,"")</f>
        <v/>
      </c>
      <c r="M10" s="6"/>
    </row>
    <row r="11" customFormat="false" ht="15" hidden="false" customHeight="false" outlineLevel="0" collapsed="false">
      <c r="A11" s="34"/>
      <c r="B11" s="6"/>
      <c r="C11" s="0" t="str">
        <f aca="false">IF(B11="","",IFERROR(VLOOKUP(B11,'Recetas y precios'!$A$5:$B$55,2,FALSE()),""))</f>
        <v/>
      </c>
      <c r="D11" s="24"/>
      <c r="E11" s="6"/>
      <c r="F11" s="17"/>
      <c r="G11" s="15" t="n">
        <f aca="false">E11*F11</f>
        <v>0</v>
      </c>
      <c r="H11" s="15" t="n">
        <f aca="false">IF(B11="",0,E11*IFERROR(VLOOKUP(B11,'Recetas y precios'!$A$5:$R$55,18,FALSE()),0))</f>
        <v>0</v>
      </c>
      <c r="I11" s="30"/>
      <c r="J11" s="15" t="n">
        <f aca="false">G11*I11</f>
        <v>0</v>
      </c>
      <c r="K11" s="15" t="n">
        <f aca="false">G11-H11-J11</f>
        <v>0</v>
      </c>
      <c r="L11" s="16" t="str">
        <f aca="false">IF(G11&gt;0,K11/G11,"")</f>
        <v/>
      </c>
      <c r="M11" s="6"/>
    </row>
    <row r="12" customFormat="false" ht="15" hidden="false" customHeight="false" outlineLevel="0" collapsed="false">
      <c r="A12" s="34"/>
      <c r="B12" s="6"/>
      <c r="C12" s="0" t="str">
        <f aca="false">IF(B12="","",IFERROR(VLOOKUP(B12,'Recetas y precios'!$A$5:$B$55,2,FALSE()),""))</f>
        <v/>
      </c>
      <c r="D12" s="24"/>
      <c r="E12" s="6"/>
      <c r="F12" s="17"/>
      <c r="G12" s="15" t="n">
        <f aca="false">E12*F12</f>
        <v>0</v>
      </c>
      <c r="H12" s="15" t="n">
        <f aca="false">IF(B12="",0,E12*IFERROR(VLOOKUP(B12,'Recetas y precios'!$A$5:$R$55,18,FALSE()),0))</f>
        <v>0</v>
      </c>
      <c r="I12" s="30"/>
      <c r="J12" s="15" t="n">
        <f aca="false">G12*I12</f>
        <v>0</v>
      </c>
      <c r="K12" s="15" t="n">
        <f aca="false">G12-H12-J12</f>
        <v>0</v>
      </c>
      <c r="L12" s="16" t="str">
        <f aca="false">IF(G12&gt;0,K12/G12,"")</f>
        <v/>
      </c>
      <c r="M12" s="6"/>
    </row>
    <row r="13" customFormat="false" ht="15" hidden="false" customHeight="false" outlineLevel="0" collapsed="false">
      <c r="A13" s="34"/>
      <c r="B13" s="6"/>
      <c r="C13" s="0" t="str">
        <f aca="false">IF(B13="","",IFERROR(VLOOKUP(B13,'Recetas y precios'!$A$5:$B$55,2,FALSE()),""))</f>
        <v/>
      </c>
      <c r="D13" s="24"/>
      <c r="E13" s="6"/>
      <c r="F13" s="17"/>
      <c r="G13" s="15" t="n">
        <f aca="false">E13*F13</f>
        <v>0</v>
      </c>
      <c r="H13" s="15" t="n">
        <f aca="false">IF(B13="",0,E13*IFERROR(VLOOKUP(B13,'Recetas y precios'!$A$5:$R$55,18,FALSE()),0))</f>
        <v>0</v>
      </c>
      <c r="I13" s="30"/>
      <c r="J13" s="15" t="n">
        <f aca="false">G13*I13</f>
        <v>0</v>
      </c>
      <c r="K13" s="15" t="n">
        <f aca="false">G13-H13-J13</f>
        <v>0</v>
      </c>
      <c r="L13" s="16" t="str">
        <f aca="false">IF(G13&gt;0,K13/G13,"")</f>
        <v/>
      </c>
      <c r="M13" s="6"/>
    </row>
    <row r="14" customFormat="false" ht="15" hidden="false" customHeight="false" outlineLevel="0" collapsed="false">
      <c r="A14" s="34"/>
      <c r="B14" s="6"/>
      <c r="C14" s="0" t="str">
        <f aca="false">IF(B14="","",IFERROR(VLOOKUP(B14,'Recetas y precios'!$A$5:$B$55,2,FALSE()),""))</f>
        <v/>
      </c>
      <c r="D14" s="24"/>
      <c r="E14" s="6"/>
      <c r="F14" s="17"/>
      <c r="G14" s="15" t="n">
        <f aca="false">E14*F14</f>
        <v>0</v>
      </c>
      <c r="H14" s="15" t="n">
        <f aca="false">IF(B14="",0,E14*IFERROR(VLOOKUP(B14,'Recetas y precios'!$A$5:$R$55,18,FALSE()),0))</f>
        <v>0</v>
      </c>
      <c r="I14" s="30"/>
      <c r="J14" s="15" t="n">
        <f aca="false">G14*I14</f>
        <v>0</v>
      </c>
      <c r="K14" s="15" t="n">
        <f aca="false">G14-H14-J14</f>
        <v>0</v>
      </c>
      <c r="L14" s="16" t="str">
        <f aca="false">IF(G14&gt;0,K14/G14,"")</f>
        <v/>
      </c>
      <c r="M14" s="6"/>
    </row>
    <row r="15" customFormat="false" ht="15" hidden="false" customHeight="false" outlineLevel="0" collapsed="false">
      <c r="A15" s="34"/>
      <c r="B15" s="6"/>
      <c r="C15" s="0" t="str">
        <f aca="false">IF(B15="","",IFERROR(VLOOKUP(B15,'Recetas y precios'!$A$5:$B$55,2,FALSE()),""))</f>
        <v/>
      </c>
      <c r="D15" s="24"/>
      <c r="E15" s="6"/>
      <c r="F15" s="17"/>
      <c r="G15" s="15" t="n">
        <f aca="false">E15*F15</f>
        <v>0</v>
      </c>
      <c r="H15" s="15" t="n">
        <f aca="false">IF(B15="",0,E15*IFERROR(VLOOKUP(B15,'Recetas y precios'!$A$5:$R$55,18,FALSE()),0))</f>
        <v>0</v>
      </c>
      <c r="I15" s="30"/>
      <c r="J15" s="15" t="n">
        <f aca="false">G15*I15</f>
        <v>0</v>
      </c>
      <c r="K15" s="15" t="n">
        <f aca="false">G15-H15-J15</f>
        <v>0</v>
      </c>
      <c r="L15" s="16" t="str">
        <f aca="false">IF(G15&gt;0,K15/G15,"")</f>
        <v/>
      </c>
      <c r="M15" s="6"/>
    </row>
    <row r="16" customFormat="false" ht="15" hidden="false" customHeight="false" outlineLevel="0" collapsed="false">
      <c r="A16" s="34"/>
      <c r="B16" s="6"/>
      <c r="C16" s="0" t="str">
        <f aca="false">IF(B16="","",IFERROR(VLOOKUP(B16,'Recetas y precios'!$A$5:$B$55,2,FALSE()),""))</f>
        <v/>
      </c>
      <c r="D16" s="24"/>
      <c r="E16" s="6"/>
      <c r="F16" s="17"/>
      <c r="G16" s="15" t="n">
        <f aca="false">E16*F16</f>
        <v>0</v>
      </c>
      <c r="H16" s="15" t="n">
        <f aca="false">IF(B16="",0,E16*IFERROR(VLOOKUP(B16,'Recetas y precios'!$A$5:$R$55,18,FALSE()),0))</f>
        <v>0</v>
      </c>
      <c r="I16" s="30"/>
      <c r="J16" s="15" t="n">
        <f aca="false">G16*I16</f>
        <v>0</v>
      </c>
      <c r="K16" s="15" t="n">
        <f aca="false">G16-H16-J16</f>
        <v>0</v>
      </c>
      <c r="L16" s="16" t="str">
        <f aca="false">IF(G16&gt;0,K16/G16,"")</f>
        <v/>
      </c>
      <c r="M16" s="6"/>
    </row>
    <row r="17" customFormat="false" ht="15" hidden="false" customHeight="false" outlineLevel="0" collapsed="false">
      <c r="A17" s="34"/>
      <c r="B17" s="6"/>
      <c r="C17" s="0" t="str">
        <f aca="false">IF(B17="","",IFERROR(VLOOKUP(B17,'Recetas y precios'!$A$5:$B$55,2,FALSE()),""))</f>
        <v/>
      </c>
      <c r="D17" s="24"/>
      <c r="E17" s="6"/>
      <c r="F17" s="17"/>
      <c r="G17" s="15" t="n">
        <f aca="false">E17*F17</f>
        <v>0</v>
      </c>
      <c r="H17" s="15" t="n">
        <f aca="false">IF(B17="",0,E17*IFERROR(VLOOKUP(B17,'Recetas y precios'!$A$5:$R$55,18,FALSE()),0))</f>
        <v>0</v>
      </c>
      <c r="I17" s="30"/>
      <c r="J17" s="15" t="n">
        <f aca="false">G17*I17</f>
        <v>0</v>
      </c>
      <c r="K17" s="15" t="n">
        <f aca="false">G17-H17-J17</f>
        <v>0</v>
      </c>
      <c r="L17" s="16" t="str">
        <f aca="false">IF(G17&gt;0,K17/G17,"")</f>
        <v/>
      </c>
      <c r="M17" s="6"/>
    </row>
    <row r="18" customFormat="false" ht="15" hidden="false" customHeight="false" outlineLevel="0" collapsed="false">
      <c r="A18" s="34"/>
      <c r="B18" s="6"/>
      <c r="C18" s="0" t="str">
        <f aca="false">IF(B18="","",IFERROR(VLOOKUP(B18,'Recetas y precios'!$A$5:$B$55,2,FALSE()),""))</f>
        <v/>
      </c>
      <c r="D18" s="24"/>
      <c r="E18" s="6"/>
      <c r="F18" s="17"/>
      <c r="G18" s="15" t="n">
        <f aca="false">E18*F18</f>
        <v>0</v>
      </c>
      <c r="H18" s="15" t="n">
        <f aca="false">IF(B18="",0,E18*IFERROR(VLOOKUP(B18,'Recetas y precios'!$A$5:$R$55,18,FALSE()),0))</f>
        <v>0</v>
      </c>
      <c r="I18" s="30"/>
      <c r="J18" s="15" t="n">
        <f aca="false">G18*I18</f>
        <v>0</v>
      </c>
      <c r="K18" s="15" t="n">
        <f aca="false">G18-H18-J18</f>
        <v>0</v>
      </c>
      <c r="L18" s="16" t="str">
        <f aca="false">IF(G18&gt;0,K18/G18,"")</f>
        <v/>
      </c>
      <c r="M18" s="6"/>
    </row>
    <row r="19" customFormat="false" ht="15" hidden="false" customHeight="false" outlineLevel="0" collapsed="false">
      <c r="A19" s="34"/>
      <c r="B19" s="6"/>
      <c r="C19" s="0" t="str">
        <f aca="false">IF(B19="","",IFERROR(VLOOKUP(B19,'Recetas y precios'!$A$5:$B$55,2,FALSE()),""))</f>
        <v/>
      </c>
      <c r="D19" s="24"/>
      <c r="E19" s="6"/>
      <c r="F19" s="17"/>
      <c r="G19" s="15" t="n">
        <f aca="false">E19*F19</f>
        <v>0</v>
      </c>
      <c r="H19" s="15" t="n">
        <f aca="false">IF(B19="",0,E19*IFERROR(VLOOKUP(B19,'Recetas y precios'!$A$5:$R$55,18,FALSE()),0))</f>
        <v>0</v>
      </c>
      <c r="I19" s="30"/>
      <c r="J19" s="15" t="n">
        <f aca="false">G19*I19</f>
        <v>0</v>
      </c>
      <c r="K19" s="15" t="n">
        <f aca="false">G19-H19-J19</f>
        <v>0</v>
      </c>
      <c r="L19" s="16" t="str">
        <f aca="false">IF(G19&gt;0,K19/G19,"")</f>
        <v/>
      </c>
      <c r="M19" s="6"/>
    </row>
    <row r="20" customFormat="false" ht="15" hidden="false" customHeight="false" outlineLevel="0" collapsed="false">
      <c r="A20" s="34"/>
      <c r="B20" s="6"/>
      <c r="C20" s="0" t="str">
        <f aca="false">IF(B20="","",IFERROR(VLOOKUP(B20,'Recetas y precios'!$A$5:$B$55,2,FALSE()),""))</f>
        <v/>
      </c>
      <c r="D20" s="24"/>
      <c r="E20" s="6"/>
      <c r="F20" s="17"/>
      <c r="G20" s="15" t="n">
        <f aca="false">E20*F20</f>
        <v>0</v>
      </c>
      <c r="H20" s="15" t="n">
        <f aca="false">IF(B20="",0,E20*IFERROR(VLOOKUP(B20,'Recetas y precios'!$A$5:$R$55,18,FALSE()),0))</f>
        <v>0</v>
      </c>
      <c r="I20" s="30"/>
      <c r="J20" s="15" t="n">
        <f aca="false">G20*I20</f>
        <v>0</v>
      </c>
      <c r="K20" s="15" t="n">
        <f aca="false">G20-H20-J20</f>
        <v>0</v>
      </c>
      <c r="L20" s="16" t="str">
        <f aca="false">IF(G20&gt;0,K20/G20,"")</f>
        <v/>
      </c>
      <c r="M20" s="6"/>
    </row>
    <row r="21" customFormat="false" ht="15" hidden="false" customHeight="false" outlineLevel="0" collapsed="false">
      <c r="A21" s="34"/>
      <c r="B21" s="6"/>
      <c r="C21" s="0" t="str">
        <f aca="false">IF(B21="","",IFERROR(VLOOKUP(B21,'Recetas y precios'!$A$5:$B$55,2,FALSE()),""))</f>
        <v/>
      </c>
      <c r="D21" s="24"/>
      <c r="E21" s="6"/>
      <c r="F21" s="17"/>
      <c r="G21" s="15" t="n">
        <f aca="false">E21*F21</f>
        <v>0</v>
      </c>
      <c r="H21" s="15" t="n">
        <f aca="false">IF(B21="",0,E21*IFERROR(VLOOKUP(B21,'Recetas y precios'!$A$5:$R$55,18,FALSE()),0))</f>
        <v>0</v>
      </c>
      <c r="I21" s="30"/>
      <c r="J21" s="15" t="n">
        <f aca="false">G21*I21</f>
        <v>0</v>
      </c>
      <c r="K21" s="15" t="n">
        <f aca="false">G21-H21-J21</f>
        <v>0</v>
      </c>
      <c r="L21" s="16" t="str">
        <f aca="false">IF(G21&gt;0,K21/G21,"")</f>
        <v/>
      </c>
      <c r="M21" s="6"/>
    </row>
    <row r="22" customFormat="false" ht="15" hidden="false" customHeight="false" outlineLevel="0" collapsed="false">
      <c r="A22" s="34"/>
      <c r="B22" s="6"/>
      <c r="C22" s="0" t="str">
        <f aca="false">IF(B22="","",IFERROR(VLOOKUP(B22,'Recetas y precios'!$A$5:$B$55,2,FALSE()),""))</f>
        <v/>
      </c>
      <c r="D22" s="24"/>
      <c r="E22" s="6"/>
      <c r="F22" s="17"/>
      <c r="G22" s="15" t="n">
        <f aca="false">E22*F22</f>
        <v>0</v>
      </c>
      <c r="H22" s="15" t="n">
        <f aca="false">IF(B22="",0,E22*IFERROR(VLOOKUP(B22,'Recetas y precios'!$A$5:$R$55,18,FALSE()),0))</f>
        <v>0</v>
      </c>
      <c r="I22" s="30"/>
      <c r="J22" s="15" t="n">
        <f aca="false">G22*I22</f>
        <v>0</v>
      </c>
      <c r="K22" s="15" t="n">
        <f aca="false">G22-H22-J22</f>
        <v>0</v>
      </c>
      <c r="L22" s="16" t="str">
        <f aca="false">IF(G22&gt;0,K22/G22,"")</f>
        <v/>
      </c>
      <c r="M22" s="6"/>
    </row>
    <row r="23" customFormat="false" ht="15" hidden="false" customHeight="false" outlineLevel="0" collapsed="false">
      <c r="A23" s="34"/>
      <c r="B23" s="6"/>
      <c r="C23" s="0" t="str">
        <f aca="false">IF(B23="","",IFERROR(VLOOKUP(B23,'Recetas y precios'!$A$5:$B$55,2,FALSE()),""))</f>
        <v/>
      </c>
      <c r="D23" s="24"/>
      <c r="E23" s="6"/>
      <c r="F23" s="17"/>
      <c r="G23" s="15" t="n">
        <f aca="false">E23*F23</f>
        <v>0</v>
      </c>
      <c r="H23" s="15" t="n">
        <f aca="false">IF(B23="",0,E23*IFERROR(VLOOKUP(B23,'Recetas y precios'!$A$5:$R$55,18,FALSE()),0))</f>
        <v>0</v>
      </c>
      <c r="I23" s="30"/>
      <c r="J23" s="15" t="n">
        <f aca="false">G23*I23</f>
        <v>0</v>
      </c>
      <c r="K23" s="15" t="n">
        <f aca="false">G23-H23-J23</f>
        <v>0</v>
      </c>
      <c r="L23" s="16" t="str">
        <f aca="false">IF(G23&gt;0,K23/G23,"")</f>
        <v/>
      </c>
      <c r="M23" s="6"/>
    </row>
    <row r="24" customFormat="false" ht="15" hidden="false" customHeight="false" outlineLevel="0" collapsed="false">
      <c r="A24" s="34"/>
      <c r="B24" s="6"/>
      <c r="C24" s="0" t="str">
        <f aca="false">IF(B24="","",IFERROR(VLOOKUP(B24,'Recetas y precios'!$A$5:$B$55,2,FALSE()),""))</f>
        <v/>
      </c>
      <c r="D24" s="24"/>
      <c r="E24" s="6"/>
      <c r="F24" s="17"/>
      <c r="G24" s="15" t="n">
        <f aca="false">E24*F24</f>
        <v>0</v>
      </c>
      <c r="H24" s="15" t="n">
        <f aca="false">IF(B24="",0,E24*IFERROR(VLOOKUP(B24,'Recetas y precios'!$A$5:$R$55,18,FALSE()),0))</f>
        <v>0</v>
      </c>
      <c r="I24" s="30"/>
      <c r="J24" s="15" t="n">
        <f aca="false">G24*I24</f>
        <v>0</v>
      </c>
      <c r="K24" s="15" t="n">
        <f aca="false">G24-H24-J24</f>
        <v>0</v>
      </c>
      <c r="L24" s="16" t="str">
        <f aca="false">IF(G24&gt;0,K24/G24,"")</f>
        <v/>
      </c>
      <c r="M24" s="6"/>
    </row>
    <row r="25" customFormat="false" ht="15" hidden="false" customHeight="false" outlineLevel="0" collapsed="false">
      <c r="A25" s="34"/>
      <c r="B25" s="6"/>
      <c r="C25" s="0" t="str">
        <f aca="false">IF(B25="","",IFERROR(VLOOKUP(B25,'Recetas y precios'!$A$5:$B$55,2,FALSE()),""))</f>
        <v/>
      </c>
      <c r="D25" s="24"/>
      <c r="E25" s="6"/>
      <c r="F25" s="17"/>
      <c r="G25" s="15" t="n">
        <f aca="false">E25*F25</f>
        <v>0</v>
      </c>
      <c r="H25" s="15" t="n">
        <f aca="false">IF(B25="",0,E25*IFERROR(VLOOKUP(B25,'Recetas y precios'!$A$5:$R$55,18,FALSE()),0))</f>
        <v>0</v>
      </c>
      <c r="I25" s="30"/>
      <c r="J25" s="15" t="n">
        <f aca="false">G25*I25</f>
        <v>0</v>
      </c>
      <c r="K25" s="15" t="n">
        <f aca="false">G25-H25-J25</f>
        <v>0</v>
      </c>
      <c r="L25" s="16" t="str">
        <f aca="false">IF(G25&gt;0,K25/G25,"")</f>
        <v/>
      </c>
      <c r="M25" s="6"/>
    </row>
    <row r="26" customFormat="false" ht="15" hidden="false" customHeight="false" outlineLevel="0" collapsed="false">
      <c r="A26" s="34"/>
      <c r="B26" s="6"/>
      <c r="C26" s="0" t="str">
        <f aca="false">IF(B26="","",IFERROR(VLOOKUP(B26,'Recetas y precios'!$A$5:$B$55,2,FALSE()),""))</f>
        <v/>
      </c>
      <c r="D26" s="24"/>
      <c r="E26" s="6"/>
      <c r="F26" s="17"/>
      <c r="G26" s="15" t="n">
        <f aca="false">E26*F26</f>
        <v>0</v>
      </c>
      <c r="H26" s="15" t="n">
        <f aca="false">IF(B26="",0,E26*IFERROR(VLOOKUP(B26,'Recetas y precios'!$A$5:$R$55,18,FALSE()),0))</f>
        <v>0</v>
      </c>
      <c r="I26" s="30"/>
      <c r="J26" s="15" t="n">
        <f aca="false">G26*I26</f>
        <v>0</v>
      </c>
      <c r="K26" s="15" t="n">
        <f aca="false">G26-H26-J26</f>
        <v>0</v>
      </c>
      <c r="L26" s="16" t="str">
        <f aca="false">IF(G26&gt;0,K26/G26,"")</f>
        <v/>
      </c>
      <c r="M26" s="6"/>
    </row>
    <row r="27" customFormat="false" ht="15" hidden="false" customHeight="false" outlineLevel="0" collapsed="false">
      <c r="A27" s="34"/>
      <c r="B27" s="6"/>
      <c r="C27" s="0" t="str">
        <f aca="false">IF(B27="","",IFERROR(VLOOKUP(B27,'Recetas y precios'!$A$5:$B$55,2,FALSE()),""))</f>
        <v/>
      </c>
      <c r="D27" s="24"/>
      <c r="E27" s="6"/>
      <c r="F27" s="17"/>
      <c r="G27" s="15" t="n">
        <f aca="false">E27*F27</f>
        <v>0</v>
      </c>
      <c r="H27" s="15" t="n">
        <f aca="false">IF(B27="",0,E27*IFERROR(VLOOKUP(B27,'Recetas y precios'!$A$5:$R$55,18,FALSE()),0))</f>
        <v>0</v>
      </c>
      <c r="I27" s="30"/>
      <c r="J27" s="15" t="n">
        <f aca="false">G27*I27</f>
        <v>0</v>
      </c>
      <c r="K27" s="15" t="n">
        <f aca="false">G27-H27-J27</f>
        <v>0</v>
      </c>
      <c r="L27" s="16" t="str">
        <f aca="false">IF(G27&gt;0,K27/G27,"")</f>
        <v/>
      </c>
      <c r="M27" s="6"/>
    </row>
    <row r="28" customFormat="false" ht="15" hidden="false" customHeight="false" outlineLevel="0" collapsed="false">
      <c r="A28" s="34"/>
      <c r="B28" s="6"/>
      <c r="C28" s="0" t="str">
        <f aca="false">IF(B28="","",IFERROR(VLOOKUP(B28,'Recetas y precios'!$A$5:$B$55,2,FALSE()),""))</f>
        <v/>
      </c>
      <c r="D28" s="24"/>
      <c r="E28" s="6"/>
      <c r="F28" s="17"/>
      <c r="G28" s="15" t="n">
        <f aca="false">E28*F28</f>
        <v>0</v>
      </c>
      <c r="H28" s="15" t="n">
        <f aca="false">IF(B28="",0,E28*IFERROR(VLOOKUP(B28,'Recetas y precios'!$A$5:$R$55,18,FALSE()),0))</f>
        <v>0</v>
      </c>
      <c r="I28" s="30"/>
      <c r="J28" s="15" t="n">
        <f aca="false">G28*I28</f>
        <v>0</v>
      </c>
      <c r="K28" s="15" t="n">
        <f aca="false">G28-H28-J28</f>
        <v>0</v>
      </c>
      <c r="L28" s="16" t="str">
        <f aca="false">IF(G28&gt;0,K28/G28,"")</f>
        <v/>
      </c>
      <c r="M28" s="6"/>
    </row>
    <row r="29" customFormat="false" ht="15" hidden="false" customHeight="false" outlineLevel="0" collapsed="false">
      <c r="A29" s="34"/>
      <c r="B29" s="6"/>
      <c r="C29" s="0" t="str">
        <f aca="false">IF(B29="","",IFERROR(VLOOKUP(B29,'Recetas y precios'!$A$5:$B$55,2,FALSE()),""))</f>
        <v/>
      </c>
      <c r="D29" s="24"/>
      <c r="E29" s="6"/>
      <c r="F29" s="17"/>
      <c r="G29" s="15" t="n">
        <f aca="false">E29*F29</f>
        <v>0</v>
      </c>
      <c r="H29" s="15" t="n">
        <f aca="false">IF(B29="",0,E29*IFERROR(VLOOKUP(B29,'Recetas y precios'!$A$5:$R$55,18,FALSE()),0))</f>
        <v>0</v>
      </c>
      <c r="I29" s="30"/>
      <c r="J29" s="15" t="n">
        <f aca="false">G29*I29</f>
        <v>0</v>
      </c>
      <c r="K29" s="15" t="n">
        <f aca="false">G29-H29-J29</f>
        <v>0</v>
      </c>
      <c r="L29" s="16" t="str">
        <f aca="false">IF(G29&gt;0,K29/G29,"")</f>
        <v/>
      </c>
      <c r="M29" s="6"/>
    </row>
    <row r="30" customFormat="false" ht="15" hidden="false" customHeight="false" outlineLevel="0" collapsed="false">
      <c r="A30" s="34"/>
      <c r="B30" s="6"/>
      <c r="C30" s="0" t="str">
        <f aca="false">IF(B30="","",IFERROR(VLOOKUP(B30,'Recetas y precios'!$A$5:$B$55,2,FALSE()),""))</f>
        <v/>
      </c>
      <c r="D30" s="24"/>
      <c r="E30" s="6"/>
      <c r="F30" s="17"/>
      <c r="G30" s="15" t="n">
        <f aca="false">E30*F30</f>
        <v>0</v>
      </c>
      <c r="H30" s="15" t="n">
        <f aca="false">IF(B30="",0,E30*IFERROR(VLOOKUP(B30,'Recetas y precios'!$A$5:$R$55,18,FALSE()),0))</f>
        <v>0</v>
      </c>
      <c r="I30" s="30"/>
      <c r="J30" s="15" t="n">
        <f aca="false">G30*I30</f>
        <v>0</v>
      </c>
      <c r="K30" s="15" t="n">
        <f aca="false">G30-H30-J30</f>
        <v>0</v>
      </c>
      <c r="L30" s="16" t="str">
        <f aca="false">IF(G30&gt;0,K30/G30,"")</f>
        <v/>
      </c>
      <c r="M30" s="6"/>
    </row>
    <row r="31" customFormat="false" ht="15" hidden="false" customHeight="false" outlineLevel="0" collapsed="false">
      <c r="A31" s="34"/>
      <c r="B31" s="6"/>
      <c r="C31" s="0" t="str">
        <f aca="false">IF(B31="","",IFERROR(VLOOKUP(B31,'Recetas y precios'!$A$5:$B$55,2,FALSE()),""))</f>
        <v/>
      </c>
      <c r="D31" s="24"/>
      <c r="E31" s="6"/>
      <c r="F31" s="17"/>
      <c r="G31" s="15" t="n">
        <f aca="false">E31*F31</f>
        <v>0</v>
      </c>
      <c r="H31" s="15" t="n">
        <f aca="false">IF(B31="",0,E31*IFERROR(VLOOKUP(B31,'Recetas y precios'!$A$5:$R$55,18,FALSE()),0))</f>
        <v>0</v>
      </c>
      <c r="I31" s="30"/>
      <c r="J31" s="15" t="n">
        <f aca="false">G31*I31</f>
        <v>0</v>
      </c>
      <c r="K31" s="15" t="n">
        <f aca="false">G31-H31-J31</f>
        <v>0</v>
      </c>
      <c r="L31" s="16" t="str">
        <f aca="false">IF(G31&gt;0,K31/G31,"")</f>
        <v/>
      </c>
      <c r="M31" s="6"/>
    </row>
    <row r="32" customFormat="false" ht="15" hidden="false" customHeight="false" outlineLevel="0" collapsed="false">
      <c r="A32" s="34"/>
      <c r="B32" s="6"/>
      <c r="C32" s="0" t="str">
        <f aca="false">IF(B32="","",IFERROR(VLOOKUP(B32,'Recetas y precios'!$A$5:$B$55,2,FALSE()),""))</f>
        <v/>
      </c>
      <c r="D32" s="24"/>
      <c r="E32" s="6"/>
      <c r="F32" s="17"/>
      <c r="G32" s="15" t="n">
        <f aca="false">E32*F32</f>
        <v>0</v>
      </c>
      <c r="H32" s="15" t="n">
        <f aca="false">IF(B32="",0,E32*IFERROR(VLOOKUP(B32,'Recetas y precios'!$A$5:$R$55,18,FALSE()),0))</f>
        <v>0</v>
      </c>
      <c r="I32" s="30"/>
      <c r="J32" s="15" t="n">
        <f aca="false">G32*I32</f>
        <v>0</v>
      </c>
      <c r="K32" s="15" t="n">
        <f aca="false">G32-H32-J32</f>
        <v>0</v>
      </c>
      <c r="L32" s="16" t="str">
        <f aca="false">IF(G32&gt;0,K32/G32,"")</f>
        <v/>
      </c>
      <c r="M32" s="6"/>
    </row>
    <row r="33" customFormat="false" ht="15" hidden="false" customHeight="false" outlineLevel="0" collapsed="false">
      <c r="A33" s="34"/>
      <c r="B33" s="6"/>
      <c r="C33" s="0" t="str">
        <f aca="false">IF(B33="","",IFERROR(VLOOKUP(B33,'Recetas y precios'!$A$5:$B$55,2,FALSE()),""))</f>
        <v/>
      </c>
      <c r="D33" s="24"/>
      <c r="E33" s="6"/>
      <c r="F33" s="17"/>
      <c r="G33" s="15" t="n">
        <f aca="false">E33*F33</f>
        <v>0</v>
      </c>
      <c r="H33" s="15" t="n">
        <f aca="false">IF(B33="",0,E33*IFERROR(VLOOKUP(B33,'Recetas y precios'!$A$5:$R$55,18,FALSE()),0))</f>
        <v>0</v>
      </c>
      <c r="I33" s="30"/>
      <c r="J33" s="15" t="n">
        <f aca="false">G33*I33</f>
        <v>0</v>
      </c>
      <c r="K33" s="15" t="n">
        <f aca="false">G33-H33-J33</f>
        <v>0</v>
      </c>
      <c r="L33" s="16" t="str">
        <f aca="false">IF(G33&gt;0,K33/G33,"")</f>
        <v/>
      </c>
      <c r="M33" s="6"/>
    </row>
    <row r="34" customFormat="false" ht="15" hidden="false" customHeight="false" outlineLevel="0" collapsed="false">
      <c r="A34" s="34"/>
      <c r="B34" s="6"/>
      <c r="C34" s="0" t="str">
        <f aca="false">IF(B34="","",IFERROR(VLOOKUP(B34,'Recetas y precios'!$A$5:$B$55,2,FALSE()),""))</f>
        <v/>
      </c>
      <c r="D34" s="24"/>
      <c r="E34" s="6"/>
      <c r="F34" s="17"/>
      <c r="G34" s="15" t="n">
        <f aca="false">E34*F34</f>
        <v>0</v>
      </c>
      <c r="H34" s="15" t="n">
        <f aca="false">IF(B34="",0,E34*IFERROR(VLOOKUP(B34,'Recetas y precios'!$A$5:$R$55,18,FALSE()),0))</f>
        <v>0</v>
      </c>
      <c r="I34" s="30"/>
      <c r="J34" s="15" t="n">
        <f aca="false">G34*I34</f>
        <v>0</v>
      </c>
      <c r="K34" s="15" t="n">
        <f aca="false">G34-H34-J34</f>
        <v>0</v>
      </c>
      <c r="L34" s="16" t="str">
        <f aca="false">IF(G34&gt;0,K34/G34,"")</f>
        <v/>
      </c>
      <c r="M34" s="6"/>
    </row>
    <row r="35" customFormat="false" ht="15" hidden="false" customHeight="false" outlineLevel="0" collapsed="false">
      <c r="A35" s="34"/>
      <c r="B35" s="6"/>
      <c r="C35" s="0" t="str">
        <f aca="false">IF(B35="","",IFERROR(VLOOKUP(B35,'Recetas y precios'!$A$5:$B$55,2,FALSE()),""))</f>
        <v/>
      </c>
      <c r="D35" s="24"/>
      <c r="E35" s="6"/>
      <c r="F35" s="17"/>
      <c r="G35" s="15" t="n">
        <f aca="false">E35*F35</f>
        <v>0</v>
      </c>
      <c r="H35" s="15" t="n">
        <f aca="false">IF(B35="",0,E35*IFERROR(VLOOKUP(B35,'Recetas y precios'!$A$5:$R$55,18,FALSE()),0))</f>
        <v>0</v>
      </c>
      <c r="I35" s="30"/>
      <c r="J35" s="15" t="n">
        <f aca="false">G35*I35</f>
        <v>0</v>
      </c>
      <c r="K35" s="15" t="n">
        <f aca="false">G35-H35-J35</f>
        <v>0</v>
      </c>
      <c r="L35" s="16" t="str">
        <f aca="false">IF(G35&gt;0,K35/G35,"")</f>
        <v/>
      </c>
      <c r="M35" s="6"/>
    </row>
    <row r="36" customFormat="false" ht="15" hidden="false" customHeight="false" outlineLevel="0" collapsed="false">
      <c r="A36" s="34"/>
      <c r="B36" s="6"/>
      <c r="C36" s="0" t="str">
        <f aca="false">IF(B36="","",IFERROR(VLOOKUP(B36,'Recetas y precios'!$A$5:$B$55,2,FALSE()),""))</f>
        <v/>
      </c>
      <c r="D36" s="24"/>
      <c r="E36" s="6"/>
      <c r="F36" s="17"/>
      <c r="G36" s="15" t="n">
        <f aca="false">E36*F36</f>
        <v>0</v>
      </c>
      <c r="H36" s="15" t="n">
        <f aca="false">IF(B36="",0,E36*IFERROR(VLOOKUP(B36,'Recetas y precios'!$A$5:$R$55,18,FALSE()),0))</f>
        <v>0</v>
      </c>
      <c r="I36" s="30"/>
      <c r="J36" s="15" t="n">
        <f aca="false">G36*I36</f>
        <v>0</v>
      </c>
      <c r="K36" s="15" t="n">
        <f aca="false">G36-H36-J36</f>
        <v>0</v>
      </c>
      <c r="L36" s="16" t="str">
        <f aca="false">IF(G36&gt;0,K36/G36,"")</f>
        <v/>
      </c>
      <c r="M36" s="6"/>
    </row>
    <row r="37" customFormat="false" ht="15" hidden="false" customHeight="false" outlineLevel="0" collapsed="false">
      <c r="A37" s="34"/>
      <c r="B37" s="6"/>
      <c r="C37" s="0" t="str">
        <f aca="false">IF(B37="","",IFERROR(VLOOKUP(B37,'Recetas y precios'!$A$5:$B$55,2,FALSE()),""))</f>
        <v/>
      </c>
      <c r="D37" s="24"/>
      <c r="E37" s="6"/>
      <c r="F37" s="17"/>
      <c r="G37" s="15" t="n">
        <f aca="false">E37*F37</f>
        <v>0</v>
      </c>
      <c r="H37" s="15" t="n">
        <f aca="false">IF(B37="",0,E37*IFERROR(VLOOKUP(B37,'Recetas y precios'!$A$5:$R$55,18,FALSE()),0))</f>
        <v>0</v>
      </c>
      <c r="I37" s="30"/>
      <c r="J37" s="15" t="n">
        <f aca="false">G37*I37</f>
        <v>0</v>
      </c>
      <c r="K37" s="15" t="n">
        <f aca="false">G37-H37-J37</f>
        <v>0</v>
      </c>
      <c r="L37" s="16" t="str">
        <f aca="false">IF(G37&gt;0,K37/G37,"")</f>
        <v/>
      </c>
      <c r="M37" s="6"/>
    </row>
    <row r="38" customFormat="false" ht="15" hidden="false" customHeight="false" outlineLevel="0" collapsed="false">
      <c r="A38" s="34"/>
      <c r="B38" s="6"/>
      <c r="C38" s="0" t="str">
        <f aca="false">IF(B38="","",IFERROR(VLOOKUP(B38,'Recetas y precios'!$A$5:$B$55,2,FALSE()),""))</f>
        <v/>
      </c>
      <c r="D38" s="24"/>
      <c r="E38" s="6"/>
      <c r="F38" s="17"/>
      <c r="G38" s="15" t="n">
        <f aca="false">E38*F38</f>
        <v>0</v>
      </c>
      <c r="H38" s="15" t="n">
        <f aca="false">IF(B38="",0,E38*IFERROR(VLOOKUP(B38,'Recetas y precios'!$A$5:$R$55,18,FALSE()),0))</f>
        <v>0</v>
      </c>
      <c r="I38" s="30"/>
      <c r="J38" s="15" t="n">
        <f aca="false">G38*I38</f>
        <v>0</v>
      </c>
      <c r="K38" s="15" t="n">
        <f aca="false">G38-H38-J38</f>
        <v>0</v>
      </c>
      <c r="L38" s="16" t="str">
        <f aca="false">IF(G38&gt;0,K38/G38,"")</f>
        <v/>
      </c>
      <c r="M38" s="6"/>
    </row>
    <row r="39" customFormat="false" ht="15" hidden="false" customHeight="false" outlineLevel="0" collapsed="false">
      <c r="A39" s="34"/>
      <c r="B39" s="6"/>
      <c r="C39" s="0" t="str">
        <f aca="false">IF(B39="","",IFERROR(VLOOKUP(B39,'Recetas y precios'!$A$5:$B$55,2,FALSE()),""))</f>
        <v/>
      </c>
      <c r="D39" s="24"/>
      <c r="E39" s="6"/>
      <c r="F39" s="17"/>
      <c r="G39" s="15" t="n">
        <f aca="false">E39*F39</f>
        <v>0</v>
      </c>
      <c r="H39" s="15" t="n">
        <f aca="false">IF(B39="",0,E39*IFERROR(VLOOKUP(B39,'Recetas y precios'!$A$5:$R$55,18,FALSE()),0))</f>
        <v>0</v>
      </c>
      <c r="I39" s="30"/>
      <c r="J39" s="15" t="n">
        <f aca="false">G39*I39</f>
        <v>0</v>
      </c>
      <c r="K39" s="15" t="n">
        <f aca="false">G39-H39-J39</f>
        <v>0</v>
      </c>
      <c r="L39" s="16" t="str">
        <f aca="false">IF(G39&gt;0,K39/G39,"")</f>
        <v/>
      </c>
      <c r="M39" s="6"/>
    </row>
    <row r="40" customFormat="false" ht="15" hidden="false" customHeight="false" outlineLevel="0" collapsed="false">
      <c r="A40" s="34"/>
      <c r="B40" s="6"/>
      <c r="C40" s="0" t="str">
        <f aca="false">IF(B40="","",IFERROR(VLOOKUP(B40,'Recetas y precios'!$A$5:$B$55,2,FALSE()),""))</f>
        <v/>
      </c>
      <c r="D40" s="24"/>
      <c r="E40" s="6"/>
      <c r="F40" s="17"/>
      <c r="G40" s="15" t="n">
        <f aca="false">E40*F40</f>
        <v>0</v>
      </c>
      <c r="H40" s="15" t="n">
        <f aca="false">IF(B40="",0,E40*IFERROR(VLOOKUP(B40,'Recetas y precios'!$A$5:$R$55,18,FALSE()),0))</f>
        <v>0</v>
      </c>
      <c r="I40" s="30"/>
      <c r="J40" s="15" t="n">
        <f aca="false">G40*I40</f>
        <v>0</v>
      </c>
      <c r="K40" s="15" t="n">
        <f aca="false">G40-H40-J40</f>
        <v>0</v>
      </c>
      <c r="L40" s="16" t="str">
        <f aca="false">IF(G40&gt;0,K40/G40,"")</f>
        <v/>
      </c>
      <c r="M40" s="6"/>
    </row>
    <row r="41" customFormat="false" ht="15" hidden="false" customHeight="false" outlineLevel="0" collapsed="false">
      <c r="A41" s="34"/>
      <c r="B41" s="6"/>
      <c r="C41" s="0" t="str">
        <f aca="false">IF(B41="","",IFERROR(VLOOKUP(B41,'Recetas y precios'!$A$5:$B$55,2,FALSE()),""))</f>
        <v/>
      </c>
      <c r="D41" s="24"/>
      <c r="E41" s="6"/>
      <c r="F41" s="17"/>
      <c r="G41" s="15" t="n">
        <f aca="false">E41*F41</f>
        <v>0</v>
      </c>
      <c r="H41" s="15" t="n">
        <f aca="false">IF(B41="",0,E41*IFERROR(VLOOKUP(B41,'Recetas y precios'!$A$5:$R$55,18,FALSE()),0))</f>
        <v>0</v>
      </c>
      <c r="I41" s="30"/>
      <c r="J41" s="15" t="n">
        <f aca="false">G41*I41</f>
        <v>0</v>
      </c>
      <c r="K41" s="15" t="n">
        <f aca="false">G41-H41-J41</f>
        <v>0</v>
      </c>
      <c r="L41" s="16" t="str">
        <f aca="false">IF(G41&gt;0,K41/G41,"")</f>
        <v/>
      </c>
      <c r="M41" s="6"/>
    </row>
    <row r="42" customFormat="false" ht="15" hidden="false" customHeight="false" outlineLevel="0" collapsed="false">
      <c r="A42" s="34"/>
      <c r="B42" s="6"/>
      <c r="C42" s="0" t="str">
        <f aca="false">IF(B42="","",IFERROR(VLOOKUP(B42,'Recetas y precios'!$A$5:$B$55,2,FALSE()),""))</f>
        <v/>
      </c>
      <c r="D42" s="24"/>
      <c r="E42" s="6"/>
      <c r="F42" s="17"/>
      <c r="G42" s="15" t="n">
        <f aca="false">E42*F42</f>
        <v>0</v>
      </c>
      <c r="H42" s="15" t="n">
        <f aca="false">IF(B42="",0,E42*IFERROR(VLOOKUP(B42,'Recetas y precios'!$A$5:$R$55,18,FALSE()),0))</f>
        <v>0</v>
      </c>
      <c r="I42" s="30"/>
      <c r="J42" s="15" t="n">
        <f aca="false">G42*I42</f>
        <v>0</v>
      </c>
      <c r="K42" s="15" t="n">
        <f aca="false">G42-H42-J42</f>
        <v>0</v>
      </c>
      <c r="L42" s="16" t="str">
        <f aca="false">IF(G42&gt;0,K42/G42,"")</f>
        <v/>
      </c>
      <c r="M42" s="6"/>
    </row>
    <row r="43" customFormat="false" ht="15" hidden="false" customHeight="false" outlineLevel="0" collapsed="false">
      <c r="A43" s="34"/>
      <c r="B43" s="6"/>
      <c r="C43" s="0" t="str">
        <f aca="false">IF(B43="","",IFERROR(VLOOKUP(B43,'Recetas y precios'!$A$5:$B$55,2,FALSE()),""))</f>
        <v/>
      </c>
      <c r="D43" s="24"/>
      <c r="E43" s="6"/>
      <c r="F43" s="17"/>
      <c r="G43" s="15" t="n">
        <f aca="false">E43*F43</f>
        <v>0</v>
      </c>
      <c r="H43" s="15" t="n">
        <f aca="false">IF(B43="",0,E43*IFERROR(VLOOKUP(B43,'Recetas y precios'!$A$5:$R$55,18,FALSE()),0))</f>
        <v>0</v>
      </c>
      <c r="I43" s="30"/>
      <c r="J43" s="15" t="n">
        <f aca="false">G43*I43</f>
        <v>0</v>
      </c>
      <c r="K43" s="15" t="n">
        <f aca="false">G43-H43-J43</f>
        <v>0</v>
      </c>
      <c r="L43" s="16" t="str">
        <f aca="false">IF(G43&gt;0,K43/G43,"")</f>
        <v/>
      </c>
      <c r="M43" s="6"/>
    </row>
    <row r="44" customFormat="false" ht="15" hidden="false" customHeight="false" outlineLevel="0" collapsed="false">
      <c r="A44" s="34"/>
      <c r="B44" s="6"/>
      <c r="C44" s="0" t="str">
        <f aca="false">IF(B44="","",IFERROR(VLOOKUP(B44,'Recetas y precios'!$A$5:$B$55,2,FALSE()),""))</f>
        <v/>
      </c>
      <c r="D44" s="24"/>
      <c r="E44" s="6"/>
      <c r="F44" s="17"/>
      <c r="G44" s="15" t="n">
        <f aca="false">E44*F44</f>
        <v>0</v>
      </c>
      <c r="H44" s="15" t="n">
        <f aca="false">IF(B44="",0,E44*IFERROR(VLOOKUP(B44,'Recetas y precios'!$A$5:$R$55,18,FALSE()),0))</f>
        <v>0</v>
      </c>
      <c r="I44" s="30"/>
      <c r="J44" s="15" t="n">
        <f aca="false">G44*I44</f>
        <v>0</v>
      </c>
      <c r="K44" s="15" t="n">
        <f aca="false">G44-H44-J44</f>
        <v>0</v>
      </c>
      <c r="L44" s="16" t="str">
        <f aca="false">IF(G44&gt;0,K44/G44,"")</f>
        <v/>
      </c>
      <c r="M44" s="6"/>
    </row>
    <row r="45" customFormat="false" ht="15" hidden="false" customHeight="false" outlineLevel="0" collapsed="false">
      <c r="A45" s="34"/>
      <c r="B45" s="6"/>
      <c r="C45" s="0" t="str">
        <f aca="false">IF(B45="","",IFERROR(VLOOKUP(B45,'Recetas y precios'!$A$5:$B$55,2,FALSE()),""))</f>
        <v/>
      </c>
      <c r="D45" s="24"/>
      <c r="E45" s="6"/>
      <c r="F45" s="17"/>
      <c r="G45" s="15" t="n">
        <f aca="false">E45*F45</f>
        <v>0</v>
      </c>
      <c r="H45" s="15" t="n">
        <f aca="false">IF(B45="",0,E45*IFERROR(VLOOKUP(B45,'Recetas y precios'!$A$5:$R$55,18,FALSE()),0))</f>
        <v>0</v>
      </c>
      <c r="I45" s="30"/>
      <c r="J45" s="15" t="n">
        <f aca="false">G45*I45</f>
        <v>0</v>
      </c>
      <c r="K45" s="15" t="n">
        <f aca="false">G45-H45-J45</f>
        <v>0</v>
      </c>
      <c r="L45" s="16" t="str">
        <f aca="false">IF(G45&gt;0,K45/G45,"")</f>
        <v/>
      </c>
      <c r="M45" s="6"/>
    </row>
    <row r="46" customFormat="false" ht="15" hidden="false" customHeight="false" outlineLevel="0" collapsed="false">
      <c r="A46" s="34"/>
      <c r="B46" s="6"/>
      <c r="C46" s="0" t="str">
        <f aca="false">IF(B46="","",IFERROR(VLOOKUP(B46,'Recetas y precios'!$A$5:$B$55,2,FALSE()),""))</f>
        <v/>
      </c>
      <c r="D46" s="24"/>
      <c r="E46" s="6"/>
      <c r="F46" s="17"/>
      <c r="G46" s="15" t="n">
        <f aca="false">E46*F46</f>
        <v>0</v>
      </c>
      <c r="H46" s="15" t="n">
        <f aca="false">IF(B46="",0,E46*IFERROR(VLOOKUP(B46,'Recetas y precios'!$A$5:$R$55,18,FALSE()),0))</f>
        <v>0</v>
      </c>
      <c r="I46" s="30"/>
      <c r="J46" s="15" t="n">
        <f aca="false">G46*I46</f>
        <v>0</v>
      </c>
      <c r="K46" s="15" t="n">
        <f aca="false">G46-H46-J46</f>
        <v>0</v>
      </c>
      <c r="L46" s="16" t="str">
        <f aca="false">IF(G46&gt;0,K46/G46,"")</f>
        <v/>
      </c>
      <c r="M46" s="6"/>
    </row>
    <row r="47" customFormat="false" ht="15" hidden="false" customHeight="false" outlineLevel="0" collapsed="false">
      <c r="A47" s="34"/>
      <c r="B47" s="6"/>
      <c r="C47" s="0" t="str">
        <f aca="false">IF(B47="","",IFERROR(VLOOKUP(B47,'Recetas y precios'!$A$5:$B$55,2,FALSE()),""))</f>
        <v/>
      </c>
      <c r="D47" s="24"/>
      <c r="E47" s="6"/>
      <c r="F47" s="17"/>
      <c r="G47" s="15" t="n">
        <f aca="false">E47*F47</f>
        <v>0</v>
      </c>
      <c r="H47" s="15" t="n">
        <f aca="false">IF(B47="",0,E47*IFERROR(VLOOKUP(B47,'Recetas y precios'!$A$5:$R$55,18,FALSE()),0))</f>
        <v>0</v>
      </c>
      <c r="I47" s="30"/>
      <c r="J47" s="15" t="n">
        <f aca="false">G47*I47</f>
        <v>0</v>
      </c>
      <c r="K47" s="15" t="n">
        <f aca="false">G47-H47-J47</f>
        <v>0</v>
      </c>
      <c r="L47" s="16" t="str">
        <f aca="false">IF(G47&gt;0,K47/G47,"")</f>
        <v/>
      </c>
      <c r="M47" s="6"/>
    </row>
    <row r="48" customFormat="false" ht="15" hidden="false" customHeight="false" outlineLevel="0" collapsed="false">
      <c r="A48" s="34"/>
      <c r="B48" s="6"/>
      <c r="C48" s="0" t="str">
        <f aca="false">IF(B48="","",IFERROR(VLOOKUP(B48,'Recetas y precios'!$A$5:$B$55,2,FALSE()),""))</f>
        <v/>
      </c>
      <c r="D48" s="24"/>
      <c r="E48" s="6"/>
      <c r="F48" s="17"/>
      <c r="G48" s="15" t="n">
        <f aca="false">E48*F48</f>
        <v>0</v>
      </c>
      <c r="H48" s="15" t="n">
        <f aca="false">IF(B48="",0,E48*IFERROR(VLOOKUP(B48,'Recetas y precios'!$A$5:$R$55,18,FALSE()),0))</f>
        <v>0</v>
      </c>
      <c r="I48" s="30"/>
      <c r="J48" s="15" t="n">
        <f aca="false">G48*I48</f>
        <v>0</v>
      </c>
      <c r="K48" s="15" t="n">
        <f aca="false">G48-H48-J48</f>
        <v>0</v>
      </c>
      <c r="L48" s="16" t="str">
        <f aca="false">IF(G48&gt;0,K48/G48,"")</f>
        <v/>
      </c>
      <c r="M48" s="6"/>
    </row>
    <row r="49" customFormat="false" ht="15" hidden="false" customHeight="false" outlineLevel="0" collapsed="false">
      <c r="A49" s="34"/>
      <c r="B49" s="6"/>
      <c r="C49" s="0" t="str">
        <f aca="false">IF(B49="","",IFERROR(VLOOKUP(B49,'Recetas y precios'!$A$5:$B$55,2,FALSE()),""))</f>
        <v/>
      </c>
      <c r="D49" s="24"/>
      <c r="E49" s="6"/>
      <c r="F49" s="17"/>
      <c r="G49" s="15" t="n">
        <f aca="false">E49*F49</f>
        <v>0</v>
      </c>
      <c r="H49" s="15" t="n">
        <f aca="false">IF(B49="",0,E49*IFERROR(VLOOKUP(B49,'Recetas y precios'!$A$5:$R$55,18,FALSE()),0))</f>
        <v>0</v>
      </c>
      <c r="I49" s="30"/>
      <c r="J49" s="15" t="n">
        <f aca="false">G49*I49</f>
        <v>0</v>
      </c>
      <c r="K49" s="15" t="n">
        <f aca="false">G49-H49-J49</f>
        <v>0</v>
      </c>
      <c r="L49" s="16" t="str">
        <f aca="false">IF(G49&gt;0,K49/G49,"")</f>
        <v/>
      </c>
      <c r="M49" s="6"/>
    </row>
    <row r="50" customFormat="false" ht="15" hidden="false" customHeight="false" outlineLevel="0" collapsed="false">
      <c r="A50" s="34"/>
      <c r="B50" s="6"/>
      <c r="C50" s="0" t="str">
        <f aca="false">IF(B50="","",IFERROR(VLOOKUP(B50,'Recetas y precios'!$A$5:$B$55,2,FALSE()),""))</f>
        <v/>
      </c>
      <c r="D50" s="24"/>
      <c r="E50" s="6"/>
      <c r="F50" s="17"/>
      <c r="G50" s="15" t="n">
        <f aca="false">E50*F50</f>
        <v>0</v>
      </c>
      <c r="H50" s="15" t="n">
        <f aca="false">IF(B50="",0,E50*IFERROR(VLOOKUP(B50,'Recetas y precios'!$A$5:$R$55,18,FALSE()),0))</f>
        <v>0</v>
      </c>
      <c r="I50" s="30"/>
      <c r="J50" s="15" t="n">
        <f aca="false">G50*I50</f>
        <v>0</v>
      </c>
      <c r="K50" s="15" t="n">
        <f aca="false">G50-H50-J50</f>
        <v>0</v>
      </c>
      <c r="L50" s="16" t="str">
        <f aca="false">IF(G50&gt;0,K50/G50,"")</f>
        <v/>
      </c>
      <c r="M50" s="6"/>
    </row>
    <row r="51" customFormat="false" ht="15" hidden="false" customHeight="false" outlineLevel="0" collapsed="false">
      <c r="A51" s="34"/>
      <c r="B51" s="6"/>
      <c r="C51" s="0" t="str">
        <f aca="false">IF(B51="","",IFERROR(VLOOKUP(B51,'Recetas y precios'!$A$5:$B$55,2,FALSE()),""))</f>
        <v/>
      </c>
      <c r="D51" s="24"/>
      <c r="E51" s="6"/>
      <c r="F51" s="17"/>
      <c r="G51" s="15" t="n">
        <f aca="false">E51*F51</f>
        <v>0</v>
      </c>
      <c r="H51" s="15" t="n">
        <f aca="false">IF(B51="",0,E51*IFERROR(VLOOKUP(B51,'Recetas y precios'!$A$5:$R$55,18,FALSE()),0))</f>
        <v>0</v>
      </c>
      <c r="I51" s="30"/>
      <c r="J51" s="15" t="n">
        <f aca="false">G51*I51</f>
        <v>0</v>
      </c>
      <c r="K51" s="15" t="n">
        <f aca="false">G51-H51-J51</f>
        <v>0</v>
      </c>
      <c r="L51" s="16" t="str">
        <f aca="false">IF(G51&gt;0,K51/G51,"")</f>
        <v/>
      </c>
      <c r="M51" s="6"/>
    </row>
    <row r="52" customFormat="false" ht="15" hidden="false" customHeight="false" outlineLevel="0" collapsed="false">
      <c r="A52" s="34"/>
      <c r="B52" s="6"/>
      <c r="C52" s="0" t="str">
        <f aca="false">IF(B52="","",IFERROR(VLOOKUP(B52,'Recetas y precios'!$A$5:$B$55,2,FALSE()),""))</f>
        <v/>
      </c>
      <c r="D52" s="24"/>
      <c r="E52" s="6"/>
      <c r="F52" s="17"/>
      <c r="G52" s="15" t="n">
        <f aca="false">E52*F52</f>
        <v>0</v>
      </c>
      <c r="H52" s="15" t="n">
        <f aca="false">IF(B52="",0,E52*IFERROR(VLOOKUP(B52,'Recetas y precios'!$A$5:$R$55,18,FALSE()),0))</f>
        <v>0</v>
      </c>
      <c r="I52" s="30"/>
      <c r="J52" s="15" t="n">
        <f aca="false">G52*I52</f>
        <v>0</v>
      </c>
      <c r="K52" s="15" t="n">
        <f aca="false">G52-H52-J52</f>
        <v>0</v>
      </c>
      <c r="L52" s="16" t="str">
        <f aca="false">IF(G52&gt;0,K52/G52,"")</f>
        <v/>
      </c>
      <c r="M52" s="6"/>
    </row>
    <row r="53" customFormat="false" ht="15" hidden="false" customHeight="false" outlineLevel="0" collapsed="false">
      <c r="A53" s="34"/>
      <c r="B53" s="6"/>
      <c r="C53" s="0" t="str">
        <f aca="false">IF(B53="","",IFERROR(VLOOKUP(B53,'Recetas y precios'!$A$5:$B$55,2,FALSE()),""))</f>
        <v/>
      </c>
      <c r="D53" s="24"/>
      <c r="E53" s="6"/>
      <c r="F53" s="17"/>
      <c r="G53" s="15" t="n">
        <f aca="false">E53*F53</f>
        <v>0</v>
      </c>
      <c r="H53" s="15" t="n">
        <f aca="false">IF(B53="",0,E53*IFERROR(VLOOKUP(B53,'Recetas y precios'!$A$5:$R$55,18,FALSE()),0))</f>
        <v>0</v>
      </c>
      <c r="I53" s="30"/>
      <c r="J53" s="15" t="n">
        <f aca="false">G53*I53</f>
        <v>0</v>
      </c>
      <c r="K53" s="15" t="n">
        <f aca="false">G53-H53-J53</f>
        <v>0</v>
      </c>
      <c r="L53" s="16" t="str">
        <f aca="false">IF(G53&gt;0,K53/G53,"")</f>
        <v/>
      </c>
      <c r="M53" s="6"/>
    </row>
    <row r="54" customFormat="false" ht="15" hidden="false" customHeight="false" outlineLevel="0" collapsed="false">
      <c r="A54" s="34"/>
      <c r="B54" s="6"/>
      <c r="C54" s="0" t="str">
        <f aca="false">IF(B54="","",IFERROR(VLOOKUP(B54,'Recetas y precios'!$A$5:$B$55,2,FALSE()),""))</f>
        <v/>
      </c>
      <c r="D54" s="24"/>
      <c r="E54" s="6"/>
      <c r="F54" s="17"/>
      <c r="G54" s="15" t="n">
        <f aca="false">E54*F54</f>
        <v>0</v>
      </c>
      <c r="H54" s="15" t="n">
        <f aca="false">IF(B54="",0,E54*IFERROR(VLOOKUP(B54,'Recetas y precios'!$A$5:$R$55,18,FALSE()),0))</f>
        <v>0</v>
      </c>
      <c r="I54" s="30"/>
      <c r="J54" s="15" t="n">
        <f aca="false">G54*I54</f>
        <v>0</v>
      </c>
      <c r="K54" s="15" t="n">
        <f aca="false">G54-H54-J54</f>
        <v>0</v>
      </c>
      <c r="L54" s="16" t="str">
        <f aca="false">IF(G54&gt;0,K54/G54,"")</f>
        <v/>
      </c>
      <c r="M54" s="6"/>
    </row>
    <row r="55" customFormat="false" ht="15" hidden="false" customHeight="false" outlineLevel="0" collapsed="false">
      <c r="A55" s="34"/>
      <c r="B55" s="6"/>
      <c r="C55" s="0" t="str">
        <f aca="false">IF(B55="","",IFERROR(VLOOKUP(B55,'Recetas y precios'!$A$5:$B$55,2,FALSE()),""))</f>
        <v/>
      </c>
      <c r="D55" s="24"/>
      <c r="E55" s="6"/>
      <c r="F55" s="17"/>
      <c r="G55" s="15" t="n">
        <f aca="false">E55*F55</f>
        <v>0</v>
      </c>
      <c r="H55" s="15" t="n">
        <f aca="false">IF(B55="",0,E55*IFERROR(VLOOKUP(B55,'Recetas y precios'!$A$5:$R$55,18,FALSE()),0))</f>
        <v>0</v>
      </c>
      <c r="I55" s="30"/>
      <c r="J55" s="15" t="n">
        <f aca="false">G55*I55</f>
        <v>0</v>
      </c>
      <c r="K55" s="15" t="n">
        <f aca="false">G55-H55-J55</f>
        <v>0</v>
      </c>
      <c r="L55" s="16" t="str">
        <f aca="false">IF(G55&gt;0,K55/G55,"")</f>
        <v/>
      </c>
      <c r="M55" s="6"/>
    </row>
    <row r="56" customFormat="false" ht="15" hidden="false" customHeight="false" outlineLevel="0" collapsed="false">
      <c r="A56" s="34"/>
      <c r="B56" s="6"/>
      <c r="C56" s="0" t="str">
        <f aca="false">IF(B56="","",IFERROR(VLOOKUP(B56,'Recetas y precios'!$A$5:$B$55,2,FALSE()),""))</f>
        <v/>
      </c>
      <c r="D56" s="24"/>
      <c r="E56" s="6"/>
      <c r="F56" s="17"/>
      <c r="G56" s="15" t="n">
        <f aca="false">E56*F56</f>
        <v>0</v>
      </c>
      <c r="H56" s="15" t="n">
        <f aca="false">IF(B56="",0,E56*IFERROR(VLOOKUP(B56,'Recetas y precios'!$A$5:$R$55,18,FALSE()),0))</f>
        <v>0</v>
      </c>
      <c r="I56" s="30"/>
      <c r="J56" s="15" t="n">
        <f aca="false">G56*I56</f>
        <v>0</v>
      </c>
      <c r="K56" s="15" t="n">
        <f aca="false">G56-H56-J56</f>
        <v>0</v>
      </c>
      <c r="L56" s="16" t="str">
        <f aca="false">IF(G56&gt;0,K56/G56,"")</f>
        <v/>
      </c>
      <c r="M56" s="6"/>
    </row>
    <row r="57" customFormat="false" ht="15" hidden="false" customHeight="false" outlineLevel="0" collapsed="false">
      <c r="A57" s="34"/>
      <c r="B57" s="6"/>
      <c r="C57" s="0" t="str">
        <f aca="false">IF(B57="","",IFERROR(VLOOKUP(B57,'Recetas y precios'!$A$5:$B$55,2,FALSE()),""))</f>
        <v/>
      </c>
      <c r="D57" s="24"/>
      <c r="E57" s="6"/>
      <c r="F57" s="17"/>
      <c r="G57" s="15" t="n">
        <f aca="false">E57*F57</f>
        <v>0</v>
      </c>
      <c r="H57" s="15" t="n">
        <f aca="false">IF(B57="",0,E57*IFERROR(VLOOKUP(B57,'Recetas y precios'!$A$5:$R$55,18,FALSE()),0))</f>
        <v>0</v>
      </c>
      <c r="I57" s="30"/>
      <c r="J57" s="15" t="n">
        <f aca="false">G57*I57</f>
        <v>0</v>
      </c>
      <c r="K57" s="15" t="n">
        <f aca="false">G57-H57-J57</f>
        <v>0</v>
      </c>
      <c r="L57" s="16" t="str">
        <f aca="false">IF(G57&gt;0,K57/G57,"")</f>
        <v/>
      </c>
      <c r="M57" s="6"/>
    </row>
    <row r="58" customFormat="false" ht="15" hidden="false" customHeight="false" outlineLevel="0" collapsed="false">
      <c r="A58" s="34"/>
      <c r="B58" s="6"/>
      <c r="C58" s="0" t="str">
        <f aca="false">IF(B58="","",IFERROR(VLOOKUP(B58,'Recetas y precios'!$A$5:$B$55,2,FALSE()),""))</f>
        <v/>
      </c>
      <c r="D58" s="24"/>
      <c r="E58" s="6"/>
      <c r="F58" s="17"/>
      <c r="G58" s="15" t="n">
        <f aca="false">E58*F58</f>
        <v>0</v>
      </c>
      <c r="H58" s="15" t="n">
        <f aca="false">IF(B58="",0,E58*IFERROR(VLOOKUP(B58,'Recetas y precios'!$A$5:$R$55,18,FALSE()),0))</f>
        <v>0</v>
      </c>
      <c r="I58" s="30"/>
      <c r="J58" s="15" t="n">
        <f aca="false">G58*I58</f>
        <v>0</v>
      </c>
      <c r="K58" s="15" t="n">
        <f aca="false">G58-H58-J58</f>
        <v>0</v>
      </c>
      <c r="L58" s="16" t="str">
        <f aca="false">IF(G58&gt;0,K58/G58,"")</f>
        <v/>
      </c>
      <c r="M58" s="6"/>
    </row>
    <row r="59" customFormat="false" ht="15" hidden="false" customHeight="false" outlineLevel="0" collapsed="false">
      <c r="A59" s="34"/>
      <c r="B59" s="6"/>
      <c r="C59" s="0" t="str">
        <f aca="false">IF(B59="","",IFERROR(VLOOKUP(B59,'Recetas y precios'!$A$5:$B$55,2,FALSE()),""))</f>
        <v/>
      </c>
      <c r="D59" s="24"/>
      <c r="E59" s="6"/>
      <c r="F59" s="17"/>
      <c r="G59" s="15" t="n">
        <f aca="false">E59*F59</f>
        <v>0</v>
      </c>
      <c r="H59" s="15" t="n">
        <f aca="false">IF(B59="",0,E59*IFERROR(VLOOKUP(B59,'Recetas y precios'!$A$5:$R$55,18,FALSE()),0))</f>
        <v>0</v>
      </c>
      <c r="I59" s="30"/>
      <c r="J59" s="15" t="n">
        <f aca="false">G59*I59</f>
        <v>0</v>
      </c>
      <c r="K59" s="15" t="n">
        <f aca="false">G59-H59-J59</f>
        <v>0</v>
      </c>
      <c r="L59" s="16" t="str">
        <f aca="false">IF(G59&gt;0,K59/G59,"")</f>
        <v/>
      </c>
      <c r="M59" s="6"/>
    </row>
    <row r="60" customFormat="false" ht="15" hidden="false" customHeight="false" outlineLevel="0" collapsed="false">
      <c r="A60" s="34"/>
      <c r="B60" s="6"/>
      <c r="C60" s="0" t="str">
        <f aca="false">IF(B60="","",IFERROR(VLOOKUP(B60,'Recetas y precios'!$A$5:$B$55,2,FALSE()),""))</f>
        <v/>
      </c>
      <c r="D60" s="24"/>
      <c r="E60" s="6"/>
      <c r="F60" s="17"/>
      <c r="G60" s="15" t="n">
        <f aca="false">E60*F60</f>
        <v>0</v>
      </c>
      <c r="H60" s="15" t="n">
        <f aca="false">IF(B60="",0,E60*IFERROR(VLOOKUP(B60,'Recetas y precios'!$A$5:$R$55,18,FALSE()),0))</f>
        <v>0</v>
      </c>
      <c r="I60" s="30"/>
      <c r="J60" s="15" t="n">
        <f aca="false">G60*I60</f>
        <v>0</v>
      </c>
      <c r="K60" s="15" t="n">
        <f aca="false">G60-H60-J60</f>
        <v>0</v>
      </c>
      <c r="L60" s="16" t="str">
        <f aca="false">IF(G60&gt;0,K60/G60,"")</f>
        <v/>
      </c>
      <c r="M60" s="6"/>
    </row>
    <row r="61" customFormat="false" ht="15" hidden="false" customHeight="false" outlineLevel="0" collapsed="false">
      <c r="A61" s="34"/>
      <c r="B61" s="6"/>
      <c r="C61" s="0" t="str">
        <f aca="false">IF(B61="","",IFERROR(VLOOKUP(B61,'Recetas y precios'!$A$5:$B$55,2,FALSE()),""))</f>
        <v/>
      </c>
      <c r="D61" s="24"/>
      <c r="E61" s="6"/>
      <c r="F61" s="17"/>
      <c r="G61" s="15" t="n">
        <f aca="false">E61*F61</f>
        <v>0</v>
      </c>
      <c r="H61" s="15" t="n">
        <f aca="false">IF(B61="",0,E61*IFERROR(VLOOKUP(B61,'Recetas y precios'!$A$5:$R$55,18,FALSE()),0))</f>
        <v>0</v>
      </c>
      <c r="I61" s="30"/>
      <c r="J61" s="15" t="n">
        <f aca="false">G61*I61</f>
        <v>0</v>
      </c>
      <c r="K61" s="15" t="n">
        <f aca="false">G61-H61-J61</f>
        <v>0</v>
      </c>
      <c r="L61" s="16" t="str">
        <f aca="false">IF(G61&gt;0,K61/G61,"")</f>
        <v/>
      </c>
      <c r="M61" s="6"/>
    </row>
    <row r="62" customFormat="false" ht="15" hidden="false" customHeight="false" outlineLevel="0" collapsed="false">
      <c r="A62" s="34"/>
      <c r="B62" s="6"/>
      <c r="C62" s="0" t="str">
        <f aca="false">IF(B62="","",IFERROR(VLOOKUP(B62,'Recetas y precios'!$A$5:$B$55,2,FALSE()),""))</f>
        <v/>
      </c>
      <c r="D62" s="24"/>
      <c r="E62" s="6"/>
      <c r="F62" s="17"/>
      <c r="G62" s="15" t="n">
        <f aca="false">E62*F62</f>
        <v>0</v>
      </c>
      <c r="H62" s="15" t="n">
        <f aca="false">IF(B62="",0,E62*IFERROR(VLOOKUP(B62,'Recetas y precios'!$A$5:$R$55,18,FALSE()),0))</f>
        <v>0</v>
      </c>
      <c r="I62" s="30"/>
      <c r="J62" s="15" t="n">
        <f aca="false">G62*I62</f>
        <v>0</v>
      </c>
      <c r="K62" s="15" t="n">
        <f aca="false">G62-H62-J62</f>
        <v>0</v>
      </c>
      <c r="L62" s="16" t="str">
        <f aca="false">IF(G62&gt;0,K62/G62,"")</f>
        <v/>
      </c>
      <c r="M62" s="6"/>
    </row>
    <row r="63" customFormat="false" ht="15" hidden="false" customHeight="false" outlineLevel="0" collapsed="false">
      <c r="A63" s="34"/>
      <c r="B63" s="6"/>
      <c r="C63" s="0" t="str">
        <f aca="false">IF(B63="","",IFERROR(VLOOKUP(B63,'Recetas y precios'!$A$5:$B$55,2,FALSE()),""))</f>
        <v/>
      </c>
      <c r="D63" s="24"/>
      <c r="E63" s="6"/>
      <c r="F63" s="17"/>
      <c r="G63" s="15" t="n">
        <f aca="false">E63*F63</f>
        <v>0</v>
      </c>
      <c r="H63" s="15" t="n">
        <f aca="false">IF(B63="",0,E63*IFERROR(VLOOKUP(B63,'Recetas y precios'!$A$5:$R$55,18,FALSE()),0))</f>
        <v>0</v>
      </c>
      <c r="I63" s="30"/>
      <c r="J63" s="15" t="n">
        <f aca="false">G63*I63</f>
        <v>0</v>
      </c>
      <c r="K63" s="15" t="n">
        <f aca="false">G63-H63-J63</f>
        <v>0</v>
      </c>
      <c r="L63" s="16" t="str">
        <f aca="false">IF(G63&gt;0,K63/G63,"")</f>
        <v/>
      </c>
      <c r="M63" s="6"/>
    </row>
    <row r="64" customFormat="false" ht="15" hidden="false" customHeight="false" outlineLevel="0" collapsed="false">
      <c r="A64" s="34"/>
      <c r="B64" s="6"/>
      <c r="C64" s="0" t="str">
        <f aca="false">IF(B64="","",IFERROR(VLOOKUP(B64,'Recetas y precios'!$A$5:$B$55,2,FALSE()),""))</f>
        <v/>
      </c>
      <c r="D64" s="24"/>
      <c r="E64" s="6"/>
      <c r="F64" s="17"/>
      <c r="G64" s="15" t="n">
        <f aca="false">E64*F64</f>
        <v>0</v>
      </c>
      <c r="H64" s="15" t="n">
        <f aca="false">IF(B64="",0,E64*IFERROR(VLOOKUP(B64,'Recetas y precios'!$A$5:$R$55,18,FALSE()),0))</f>
        <v>0</v>
      </c>
      <c r="I64" s="30"/>
      <c r="J64" s="15" t="n">
        <f aca="false">G64*I64</f>
        <v>0</v>
      </c>
      <c r="K64" s="15" t="n">
        <f aca="false">G64-H64-J64</f>
        <v>0</v>
      </c>
      <c r="L64" s="16" t="str">
        <f aca="false">IF(G64&gt;0,K64/G64,"")</f>
        <v/>
      </c>
      <c r="M64" s="6"/>
    </row>
    <row r="65" customFormat="false" ht="15" hidden="false" customHeight="false" outlineLevel="0" collapsed="false">
      <c r="A65" s="34"/>
      <c r="B65" s="6"/>
      <c r="C65" s="0" t="str">
        <f aca="false">IF(B65="","",IFERROR(VLOOKUP(B65,'Recetas y precios'!$A$5:$B$55,2,FALSE()),""))</f>
        <v/>
      </c>
      <c r="D65" s="24"/>
      <c r="E65" s="6"/>
      <c r="F65" s="17"/>
      <c r="G65" s="15" t="n">
        <f aca="false">E65*F65</f>
        <v>0</v>
      </c>
      <c r="H65" s="15" t="n">
        <f aca="false">IF(B65="",0,E65*IFERROR(VLOOKUP(B65,'Recetas y precios'!$A$5:$R$55,18,FALSE()),0))</f>
        <v>0</v>
      </c>
      <c r="I65" s="30"/>
      <c r="J65" s="15" t="n">
        <f aca="false">G65*I65</f>
        <v>0</v>
      </c>
      <c r="K65" s="15" t="n">
        <f aca="false">G65-H65-J65</f>
        <v>0</v>
      </c>
      <c r="L65" s="16" t="str">
        <f aca="false">IF(G65&gt;0,K65/G65,"")</f>
        <v/>
      </c>
      <c r="M65" s="6"/>
    </row>
    <row r="66" customFormat="false" ht="15" hidden="false" customHeight="false" outlineLevel="0" collapsed="false">
      <c r="A66" s="34"/>
      <c r="B66" s="6"/>
      <c r="C66" s="0" t="str">
        <f aca="false">IF(B66="","",IFERROR(VLOOKUP(B66,'Recetas y precios'!$A$5:$B$55,2,FALSE()),""))</f>
        <v/>
      </c>
      <c r="D66" s="24"/>
      <c r="E66" s="6"/>
      <c r="F66" s="17"/>
      <c r="G66" s="15" t="n">
        <f aca="false">E66*F66</f>
        <v>0</v>
      </c>
      <c r="H66" s="15" t="n">
        <f aca="false">IF(B66="",0,E66*IFERROR(VLOOKUP(B66,'Recetas y precios'!$A$5:$R$55,18,FALSE()),0))</f>
        <v>0</v>
      </c>
      <c r="I66" s="30"/>
      <c r="J66" s="15" t="n">
        <f aca="false">G66*I66</f>
        <v>0</v>
      </c>
      <c r="K66" s="15" t="n">
        <f aca="false">G66-H66-J66</f>
        <v>0</v>
      </c>
      <c r="L66" s="16" t="str">
        <f aca="false">IF(G66&gt;0,K66/G66,"")</f>
        <v/>
      </c>
      <c r="M66" s="6"/>
    </row>
    <row r="67" customFormat="false" ht="15" hidden="false" customHeight="false" outlineLevel="0" collapsed="false">
      <c r="A67" s="34"/>
      <c r="B67" s="6"/>
      <c r="C67" s="0" t="str">
        <f aca="false">IF(B67="","",IFERROR(VLOOKUP(B67,'Recetas y precios'!$A$5:$B$55,2,FALSE()),""))</f>
        <v/>
      </c>
      <c r="D67" s="24"/>
      <c r="E67" s="6"/>
      <c r="F67" s="17"/>
      <c r="G67" s="15" t="n">
        <f aca="false">E67*F67</f>
        <v>0</v>
      </c>
      <c r="H67" s="15" t="n">
        <f aca="false">IF(B67="",0,E67*IFERROR(VLOOKUP(B67,'Recetas y precios'!$A$5:$R$55,18,FALSE()),0))</f>
        <v>0</v>
      </c>
      <c r="I67" s="30"/>
      <c r="J67" s="15" t="n">
        <f aca="false">G67*I67</f>
        <v>0</v>
      </c>
      <c r="K67" s="15" t="n">
        <f aca="false">G67-H67-J67</f>
        <v>0</v>
      </c>
      <c r="L67" s="16" t="str">
        <f aca="false">IF(G67&gt;0,K67/G67,"")</f>
        <v/>
      </c>
      <c r="M67" s="6"/>
    </row>
    <row r="68" customFormat="false" ht="15" hidden="false" customHeight="false" outlineLevel="0" collapsed="false">
      <c r="A68" s="34"/>
      <c r="B68" s="6"/>
      <c r="C68" s="0" t="str">
        <f aca="false">IF(B68="","",IFERROR(VLOOKUP(B68,'Recetas y precios'!$A$5:$B$55,2,FALSE()),""))</f>
        <v/>
      </c>
      <c r="D68" s="24"/>
      <c r="E68" s="6"/>
      <c r="F68" s="17"/>
      <c r="G68" s="15" t="n">
        <f aca="false">E68*F68</f>
        <v>0</v>
      </c>
      <c r="H68" s="15" t="n">
        <f aca="false">IF(B68="",0,E68*IFERROR(VLOOKUP(B68,'Recetas y precios'!$A$5:$R$55,18,FALSE()),0))</f>
        <v>0</v>
      </c>
      <c r="I68" s="30"/>
      <c r="J68" s="15" t="n">
        <f aca="false">G68*I68</f>
        <v>0</v>
      </c>
      <c r="K68" s="15" t="n">
        <f aca="false">G68-H68-J68</f>
        <v>0</v>
      </c>
      <c r="L68" s="16" t="str">
        <f aca="false">IF(G68&gt;0,K68/G68,"")</f>
        <v/>
      </c>
      <c r="M68" s="6"/>
    </row>
    <row r="69" customFormat="false" ht="15" hidden="false" customHeight="false" outlineLevel="0" collapsed="false">
      <c r="A69" s="34"/>
      <c r="B69" s="6"/>
      <c r="C69" s="0" t="str">
        <f aca="false">IF(B69="","",IFERROR(VLOOKUP(B69,'Recetas y precios'!$A$5:$B$55,2,FALSE()),""))</f>
        <v/>
      </c>
      <c r="D69" s="24"/>
      <c r="E69" s="6"/>
      <c r="F69" s="17"/>
      <c r="G69" s="15" t="n">
        <f aca="false">E69*F69</f>
        <v>0</v>
      </c>
      <c r="H69" s="15" t="n">
        <f aca="false">IF(B69="",0,E69*IFERROR(VLOOKUP(B69,'Recetas y precios'!$A$5:$R$55,18,FALSE()),0))</f>
        <v>0</v>
      </c>
      <c r="I69" s="30"/>
      <c r="J69" s="15" t="n">
        <f aca="false">G69*I69</f>
        <v>0</v>
      </c>
      <c r="K69" s="15" t="n">
        <f aca="false">G69-H69-J69</f>
        <v>0</v>
      </c>
      <c r="L69" s="16" t="str">
        <f aca="false">IF(G69&gt;0,K69/G69,"")</f>
        <v/>
      </c>
      <c r="M69" s="6"/>
    </row>
    <row r="70" customFormat="false" ht="15" hidden="false" customHeight="false" outlineLevel="0" collapsed="false">
      <c r="A70" s="34"/>
      <c r="B70" s="6"/>
      <c r="C70" s="0" t="str">
        <f aca="false">IF(B70="","",IFERROR(VLOOKUP(B70,'Recetas y precios'!$A$5:$B$55,2,FALSE()),""))</f>
        <v/>
      </c>
      <c r="D70" s="24"/>
      <c r="E70" s="6"/>
      <c r="F70" s="17"/>
      <c r="G70" s="15" t="n">
        <f aca="false">E70*F70</f>
        <v>0</v>
      </c>
      <c r="H70" s="15" t="n">
        <f aca="false">IF(B70="",0,E70*IFERROR(VLOOKUP(B70,'Recetas y precios'!$A$5:$R$55,18,FALSE()),0))</f>
        <v>0</v>
      </c>
      <c r="I70" s="30"/>
      <c r="J70" s="15" t="n">
        <f aca="false">G70*I70</f>
        <v>0</v>
      </c>
      <c r="K70" s="15" t="n">
        <f aca="false">G70-H70-J70</f>
        <v>0</v>
      </c>
      <c r="L70" s="16" t="str">
        <f aca="false">IF(G70&gt;0,K70/G70,"")</f>
        <v/>
      </c>
      <c r="M70" s="6"/>
    </row>
    <row r="71" customFormat="false" ht="15" hidden="false" customHeight="false" outlineLevel="0" collapsed="false">
      <c r="A71" s="34"/>
      <c r="B71" s="6"/>
      <c r="C71" s="0" t="str">
        <f aca="false">IF(B71="","",IFERROR(VLOOKUP(B71,'Recetas y precios'!$A$5:$B$55,2,FALSE()),""))</f>
        <v/>
      </c>
      <c r="D71" s="24"/>
      <c r="E71" s="6"/>
      <c r="F71" s="17"/>
      <c r="G71" s="15" t="n">
        <f aca="false">E71*F71</f>
        <v>0</v>
      </c>
      <c r="H71" s="15" t="n">
        <f aca="false">IF(B71="",0,E71*IFERROR(VLOOKUP(B71,'Recetas y precios'!$A$5:$R$55,18,FALSE()),0))</f>
        <v>0</v>
      </c>
      <c r="I71" s="30"/>
      <c r="J71" s="15" t="n">
        <f aca="false">G71*I71</f>
        <v>0</v>
      </c>
      <c r="K71" s="15" t="n">
        <f aca="false">G71-H71-J71</f>
        <v>0</v>
      </c>
      <c r="L71" s="16" t="str">
        <f aca="false">IF(G71&gt;0,K71/G71,"")</f>
        <v/>
      </c>
      <c r="M71" s="6"/>
    </row>
    <row r="72" customFormat="false" ht="15" hidden="false" customHeight="false" outlineLevel="0" collapsed="false">
      <c r="A72" s="34"/>
      <c r="B72" s="6"/>
      <c r="C72" s="0" t="str">
        <f aca="false">IF(B72="","",IFERROR(VLOOKUP(B72,'Recetas y precios'!$A$5:$B$55,2,FALSE()),""))</f>
        <v/>
      </c>
      <c r="D72" s="24"/>
      <c r="E72" s="6"/>
      <c r="F72" s="17"/>
      <c r="G72" s="15" t="n">
        <f aca="false">E72*F72</f>
        <v>0</v>
      </c>
      <c r="H72" s="15" t="n">
        <f aca="false">IF(B72="",0,E72*IFERROR(VLOOKUP(B72,'Recetas y precios'!$A$5:$R$55,18,FALSE()),0))</f>
        <v>0</v>
      </c>
      <c r="I72" s="30"/>
      <c r="J72" s="15" t="n">
        <f aca="false">G72*I72</f>
        <v>0</v>
      </c>
      <c r="K72" s="15" t="n">
        <f aca="false">G72-H72-J72</f>
        <v>0</v>
      </c>
      <c r="L72" s="16" t="str">
        <f aca="false">IF(G72&gt;0,K72/G72,"")</f>
        <v/>
      </c>
      <c r="M72" s="6"/>
    </row>
    <row r="73" customFormat="false" ht="15" hidden="false" customHeight="false" outlineLevel="0" collapsed="false">
      <c r="A73" s="34"/>
      <c r="B73" s="6"/>
      <c r="C73" s="0" t="str">
        <f aca="false">IF(B73="","",IFERROR(VLOOKUP(B73,'Recetas y precios'!$A$5:$B$55,2,FALSE()),""))</f>
        <v/>
      </c>
      <c r="D73" s="24"/>
      <c r="E73" s="6"/>
      <c r="F73" s="17"/>
      <c r="G73" s="15" t="n">
        <f aca="false">E73*F73</f>
        <v>0</v>
      </c>
      <c r="H73" s="15" t="n">
        <f aca="false">IF(B73="",0,E73*IFERROR(VLOOKUP(B73,'Recetas y precios'!$A$5:$R$55,18,FALSE()),0))</f>
        <v>0</v>
      </c>
      <c r="I73" s="30"/>
      <c r="J73" s="15" t="n">
        <f aca="false">G73*I73</f>
        <v>0</v>
      </c>
      <c r="K73" s="15" t="n">
        <f aca="false">G73-H73-J73</f>
        <v>0</v>
      </c>
      <c r="L73" s="16" t="str">
        <f aca="false">IF(G73&gt;0,K73/G73,"")</f>
        <v/>
      </c>
      <c r="M73" s="6"/>
    </row>
    <row r="74" customFormat="false" ht="15" hidden="false" customHeight="false" outlineLevel="0" collapsed="false">
      <c r="A74" s="34"/>
      <c r="B74" s="6"/>
      <c r="C74" s="0" t="str">
        <f aca="false">IF(B74="","",IFERROR(VLOOKUP(B74,'Recetas y precios'!$A$5:$B$55,2,FALSE()),""))</f>
        <v/>
      </c>
      <c r="D74" s="24"/>
      <c r="E74" s="6"/>
      <c r="F74" s="17"/>
      <c r="G74" s="15" t="n">
        <f aca="false">E74*F74</f>
        <v>0</v>
      </c>
      <c r="H74" s="15" t="n">
        <f aca="false">IF(B74="",0,E74*IFERROR(VLOOKUP(B74,'Recetas y precios'!$A$5:$R$55,18,FALSE()),0))</f>
        <v>0</v>
      </c>
      <c r="I74" s="30"/>
      <c r="J74" s="15" t="n">
        <f aca="false">G74*I74</f>
        <v>0</v>
      </c>
      <c r="K74" s="15" t="n">
        <f aca="false">G74-H74-J74</f>
        <v>0</v>
      </c>
      <c r="L74" s="16" t="str">
        <f aca="false">IF(G74&gt;0,K74/G74,"")</f>
        <v/>
      </c>
      <c r="M74" s="6"/>
    </row>
    <row r="75" customFormat="false" ht="15" hidden="false" customHeight="false" outlineLevel="0" collapsed="false">
      <c r="A75" s="34"/>
      <c r="B75" s="6"/>
      <c r="C75" s="0" t="str">
        <f aca="false">IF(B75="","",IFERROR(VLOOKUP(B75,'Recetas y precios'!$A$5:$B$55,2,FALSE()),""))</f>
        <v/>
      </c>
      <c r="D75" s="24"/>
      <c r="E75" s="6"/>
      <c r="F75" s="17"/>
      <c r="G75" s="15" t="n">
        <f aca="false">E75*F75</f>
        <v>0</v>
      </c>
      <c r="H75" s="15" t="n">
        <f aca="false">IF(B75="",0,E75*IFERROR(VLOOKUP(B75,'Recetas y precios'!$A$5:$R$55,18,FALSE()),0))</f>
        <v>0</v>
      </c>
      <c r="I75" s="30"/>
      <c r="J75" s="15" t="n">
        <f aca="false">G75*I75</f>
        <v>0</v>
      </c>
      <c r="K75" s="15" t="n">
        <f aca="false">G75-H75-J75</f>
        <v>0</v>
      </c>
      <c r="L75" s="16" t="str">
        <f aca="false">IF(G75&gt;0,K75/G75,"")</f>
        <v/>
      </c>
      <c r="M75" s="6"/>
    </row>
    <row r="76" customFormat="false" ht="15" hidden="false" customHeight="false" outlineLevel="0" collapsed="false">
      <c r="A76" s="34"/>
      <c r="B76" s="6"/>
      <c r="C76" s="0" t="str">
        <f aca="false">IF(B76="","",IFERROR(VLOOKUP(B76,'Recetas y precios'!$A$5:$B$55,2,FALSE()),""))</f>
        <v/>
      </c>
      <c r="D76" s="24"/>
      <c r="E76" s="6"/>
      <c r="F76" s="17"/>
      <c r="G76" s="15" t="n">
        <f aca="false">E76*F76</f>
        <v>0</v>
      </c>
      <c r="H76" s="15" t="n">
        <f aca="false">IF(B76="",0,E76*IFERROR(VLOOKUP(B76,'Recetas y precios'!$A$5:$R$55,18,FALSE()),0))</f>
        <v>0</v>
      </c>
      <c r="I76" s="30"/>
      <c r="J76" s="15" t="n">
        <f aca="false">G76*I76</f>
        <v>0</v>
      </c>
      <c r="K76" s="15" t="n">
        <f aca="false">G76-H76-J76</f>
        <v>0</v>
      </c>
      <c r="L76" s="16" t="str">
        <f aca="false">IF(G76&gt;0,K76/G76,"")</f>
        <v/>
      </c>
      <c r="M76" s="6"/>
    </row>
    <row r="77" customFormat="false" ht="15" hidden="false" customHeight="false" outlineLevel="0" collapsed="false">
      <c r="A77" s="34"/>
      <c r="B77" s="6"/>
      <c r="C77" s="0" t="str">
        <f aca="false">IF(B77="","",IFERROR(VLOOKUP(B77,'Recetas y precios'!$A$5:$B$55,2,FALSE()),""))</f>
        <v/>
      </c>
      <c r="D77" s="24"/>
      <c r="E77" s="6"/>
      <c r="F77" s="17"/>
      <c r="G77" s="15" t="n">
        <f aca="false">E77*F77</f>
        <v>0</v>
      </c>
      <c r="H77" s="15" t="n">
        <f aca="false">IF(B77="",0,E77*IFERROR(VLOOKUP(B77,'Recetas y precios'!$A$5:$R$55,18,FALSE()),0))</f>
        <v>0</v>
      </c>
      <c r="I77" s="30"/>
      <c r="J77" s="15" t="n">
        <f aca="false">G77*I77</f>
        <v>0</v>
      </c>
      <c r="K77" s="15" t="n">
        <f aca="false">G77-H77-J77</f>
        <v>0</v>
      </c>
      <c r="L77" s="16" t="str">
        <f aca="false">IF(G77&gt;0,K77/G77,"")</f>
        <v/>
      </c>
      <c r="M77" s="6"/>
    </row>
    <row r="78" customFormat="false" ht="15" hidden="false" customHeight="false" outlineLevel="0" collapsed="false">
      <c r="A78" s="34"/>
      <c r="B78" s="6"/>
      <c r="C78" s="0" t="str">
        <f aca="false">IF(B78="","",IFERROR(VLOOKUP(B78,'Recetas y precios'!$A$5:$B$55,2,FALSE()),""))</f>
        <v/>
      </c>
      <c r="D78" s="24"/>
      <c r="E78" s="6"/>
      <c r="F78" s="17"/>
      <c r="G78" s="15" t="n">
        <f aca="false">E78*F78</f>
        <v>0</v>
      </c>
      <c r="H78" s="15" t="n">
        <f aca="false">IF(B78="",0,E78*IFERROR(VLOOKUP(B78,'Recetas y precios'!$A$5:$R$55,18,FALSE()),0))</f>
        <v>0</v>
      </c>
      <c r="I78" s="30"/>
      <c r="J78" s="15" t="n">
        <f aca="false">G78*I78</f>
        <v>0</v>
      </c>
      <c r="K78" s="15" t="n">
        <f aca="false">G78-H78-J78</f>
        <v>0</v>
      </c>
      <c r="L78" s="16" t="str">
        <f aca="false">IF(G78&gt;0,K78/G78,"")</f>
        <v/>
      </c>
      <c r="M78" s="6"/>
    </row>
    <row r="79" customFormat="false" ht="15" hidden="false" customHeight="false" outlineLevel="0" collapsed="false">
      <c r="A79" s="34"/>
      <c r="B79" s="6"/>
      <c r="C79" s="0" t="str">
        <f aca="false">IF(B79="","",IFERROR(VLOOKUP(B79,'Recetas y precios'!$A$5:$B$55,2,FALSE()),""))</f>
        <v/>
      </c>
      <c r="D79" s="24"/>
      <c r="E79" s="6"/>
      <c r="F79" s="17"/>
      <c r="G79" s="15" t="n">
        <f aca="false">E79*F79</f>
        <v>0</v>
      </c>
      <c r="H79" s="15" t="n">
        <f aca="false">IF(B79="",0,E79*IFERROR(VLOOKUP(B79,'Recetas y precios'!$A$5:$R$55,18,FALSE()),0))</f>
        <v>0</v>
      </c>
      <c r="I79" s="30"/>
      <c r="J79" s="15" t="n">
        <f aca="false">G79*I79</f>
        <v>0</v>
      </c>
      <c r="K79" s="15" t="n">
        <f aca="false">G79-H79-J79</f>
        <v>0</v>
      </c>
      <c r="L79" s="16" t="str">
        <f aca="false">IF(G79&gt;0,K79/G79,"")</f>
        <v/>
      </c>
      <c r="M79" s="6"/>
    </row>
    <row r="80" customFormat="false" ht="15" hidden="false" customHeight="false" outlineLevel="0" collapsed="false">
      <c r="A80" s="34"/>
      <c r="B80" s="6"/>
      <c r="C80" s="0" t="str">
        <f aca="false">IF(B80="","",IFERROR(VLOOKUP(B80,'Recetas y precios'!$A$5:$B$55,2,FALSE()),""))</f>
        <v/>
      </c>
      <c r="D80" s="24"/>
      <c r="E80" s="6"/>
      <c r="F80" s="17"/>
      <c r="G80" s="15" t="n">
        <f aca="false">E80*F80</f>
        <v>0</v>
      </c>
      <c r="H80" s="15" t="n">
        <f aca="false">IF(B80="",0,E80*IFERROR(VLOOKUP(B80,'Recetas y precios'!$A$5:$R$55,18,FALSE()),0))</f>
        <v>0</v>
      </c>
      <c r="I80" s="30"/>
      <c r="J80" s="15" t="n">
        <f aca="false">G80*I80</f>
        <v>0</v>
      </c>
      <c r="K80" s="15" t="n">
        <f aca="false">G80-H80-J80</f>
        <v>0</v>
      </c>
      <c r="L80" s="16" t="str">
        <f aca="false">IF(G80&gt;0,K80/G80,"")</f>
        <v/>
      </c>
      <c r="M80" s="6"/>
    </row>
    <row r="81" customFormat="false" ht="15" hidden="false" customHeight="false" outlineLevel="0" collapsed="false">
      <c r="A81" s="34"/>
      <c r="B81" s="6"/>
      <c r="C81" s="0" t="str">
        <f aca="false">IF(B81="","",IFERROR(VLOOKUP(B81,'Recetas y precios'!$A$5:$B$55,2,FALSE()),""))</f>
        <v/>
      </c>
      <c r="D81" s="24"/>
      <c r="E81" s="6"/>
      <c r="F81" s="17"/>
      <c r="G81" s="15" t="n">
        <f aca="false">E81*F81</f>
        <v>0</v>
      </c>
      <c r="H81" s="15" t="n">
        <f aca="false">IF(B81="",0,E81*IFERROR(VLOOKUP(B81,'Recetas y precios'!$A$5:$R$55,18,FALSE()),0))</f>
        <v>0</v>
      </c>
      <c r="I81" s="30"/>
      <c r="J81" s="15" t="n">
        <f aca="false">G81*I81</f>
        <v>0</v>
      </c>
      <c r="K81" s="15" t="n">
        <f aca="false">G81-H81-J81</f>
        <v>0</v>
      </c>
      <c r="L81" s="16" t="str">
        <f aca="false">IF(G81&gt;0,K81/G81,"")</f>
        <v/>
      </c>
      <c r="M81" s="6"/>
    </row>
    <row r="82" customFormat="false" ht="15" hidden="false" customHeight="false" outlineLevel="0" collapsed="false">
      <c r="A82" s="34"/>
      <c r="B82" s="6"/>
      <c r="C82" s="0" t="str">
        <f aca="false">IF(B82="","",IFERROR(VLOOKUP(B82,'Recetas y precios'!$A$5:$B$55,2,FALSE()),""))</f>
        <v/>
      </c>
      <c r="D82" s="24"/>
      <c r="E82" s="6"/>
      <c r="F82" s="17"/>
      <c r="G82" s="15" t="n">
        <f aca="false">E82*F82</f>
        <v>0</v>
      </c>
      <c r="H82" s="15" t="n">
        <f aca="false">IF(B82="",0,E82*IFERROR(VLOOKUP(B82,'Recetas y precios'!$A$5:$R$55,18,FALSE()),0))</f>
        <v>0</v>
      </c>
      <c r="I82" s="30"/>
      <c r="J82" s="15" t="n">
        <f aca="false">G82*I82</f>
        <v>0</v>
      </c>
      <c r="K82" s="15" t="n">
        <f aca="false">G82-H82-J82</f>
        <v>0</v>
      </c>
      <c r="L82" s="16" t="str">
        <f aca="false">IF(G82&gt;0,K82/G82,"")</f>
        <v/>
      </c>
      <c r="M82" s="6"/>
    </row>
    <row r="83" customFormat="false" ht="15" hidden="false" customHeight="false" outlineLevel="0" collapsed="false">
      <c r="A83" s="34"/>
      <c r="B83" s="6"/>
      <c r="C83" s="0" t="str">
        <f aca="false">IF(B83="","",IFERROR(VLOOKUP(B83,'Recetas y precios'!$A$5:$B$55,2,FALSE()),""))</f>
        <v/>
      </c>
      <c r="D83" s="24"/>
      <c r="E83" s="6"/>
      <c r="F83" s="17"/>
      <c r="G83" s="15" t="n">
        <f aca="false">E83*F83</f>
        <v>0</v>
      </c>
      <c r="H83" s="15" t="n">
        <f aca="false">IF(B83="",0,E83*IFERROR(VLOOKUP(B83,'Recetas y precios'!$A$5:$R$55,18,FALSE()),0))</f>
        <v>0</v>
      </c>
      <c r="I83" s="30"/>
      <c r="J83" s="15" t="n">
        <f aca="false">G83*I83</f>
        <v>0</v>
      </c>
      <c r="K83" s="15" t="n">
        <f aca="false">G83-H83-J83</f>
        <v>0</v>
      </c>
      <c r="L83" s="16" t="str">
        <f aca="false">IF(G83&gt;0,K83/G83,"")</f>
        <v/>
      </c>
      <c r="M83" s="6"/>
    </row>
    <row r="84" customFormat="false" ht="15" hidden="false" customHeight="false" outlineLevel="0" collapsed="false">
      <c r="A84" s="34"/>
      <c r="B84" s="6"/>
      <c r="C84" s="0" t="str">
        <f aca="false">IF(B84="","",IFERROR(VLOOKUP(B84,'Recetas y precios'!$A$5:$B$55,2,FALSE()),""))</f>
        <v/>
      </c>
      <c r="D84" s="24"/>
      <c r="E84" s="6"/>
      <c r="F84" s="17"/>
      <c r="G84" s="15" t="n">
        <f aca="false">E84*F84</f>
        <v>0</v>
      </c>
      <c r="H84" s="15" t="n">
        <f aca="false">IF(B84="",0,E84*IFERROR(VLOOKUP(B84,'Recetas y precios'!$A$5:$R$55,18,FALSE()),0))</f>
        <v>0</v>
      </c>
      <c r="I84" s="30"/>
      <c r="J84" s="15" t="n">
        <f aca="false">G84*I84</f>
        <v>0</v>
      </c>
      <c r="K84" s="15" t="n">
        <f aca="false">G84-H84-J84</f>
        <v>0</v>
      </c>
      <c r="L84" s="16" t="str">
        <f aca="false">IF(G84&gt;0,K84/G84,"")</f>
        <v/>
      </c>
      <c r="M84" s="6"/>
    </row>
    <row r="85" customFormat="false" ht="15" hidden="false" customHeight="false" outlineLevel="0" collapsed="false">
      <c r="A85" s="34"/>
      <c r="B85" s="6"/>
      <c r="C85" s="0" t="str">
        <f aca="false">IF(B85="","",IFERROR(VLOOKUP(B85,'Recetas y precios'!$A$5:$B$55,2,FALSE()),""))</f>
        <v/>
      </c>
      <c r="D85" s="24"/>
      <c r="E85" s="6"/>
      <c r="F85" s="17"/>
      <c r="G85" s="15" t="n">
        <f aca="false">E85*F85</f>
        <v>0</v>
      </c>
      <c r="H85" s="15" t="n">
        <f aca="false">IF(B85="",0,E85*IFERROR(VLOOKUP(B85,'Recetas y precios'!$A$5:$R$55,18,FALSE()),0))</f>
        <v>0</v>
      </c>
      <c r="I85" s="30"/>
      <c r="J85" s="15" t="n">
        <f aca="false">G85*I85</f>
        <v>0</v>
      </c>
      <c r="K85" s="15" t="n">
        <f aca="false">G85-H85-J85</f>
        <v>0</v>
      </c>
      <c r="L85" s="16" t="str">
        <f aca="false">IF(G85&gt;0,K85/G85,"")</f>
        <v/>
      </c>
      <c r="M85" s="6"/>
    </row>
    <row r="86" customFormat="false" ht="15" hidden="false" customHeight="false" outlineLevel="0" collapsed="false">
      <c r="A86" s="34"/>
      <c r="B86" s="6"/>
      <c r="C86" s="0" t="str">
        <f aca="false">IF(B86="","",IFERROR(VLOOKUP(B86,'Recetas y precios'!$A$5:$B$55,2,FALSE()),""))</f>
        <v/>
      </c>
      <c r="D86" s="24"/>
      <c r="E86" s="6"/>
      <c r="F86" s="17"/>
      <c r="G86" s="15" t="n">
        <f aca="false">E86*F86</f>
        <v>0</v>
      </c>
      <c r="H86" s="15" t="n">
        <f aca="false">IF(B86="",0,E86*IFERROR(VLOOKUP(B86,'Recetas y precios'!$A$5:$R$55,18,FALSE()),0))</f>
        <v>0</v>
      </c>
      <c r="I86" s="30"/>
      <c r="J86" s="15" t="n">
        <f aca="false">G86*I86</f>
        <v>0</v>
      </c>
      <c r="K86" s="15" t="n">
        <f aca="false">G86-H86-J86</f>
        <v>0</v>
      </c>
      <c r="L86" s="16" t="str">
        <f aca="false">IF(G86&gt;0,K86/G86,"")</f>
        <v/>
      </c>
      <c r="M86" s="6"/>
    </row>
    <row r="87" customFormat="false" ht="15" hidden="false" customHeight="false" outlineLevel="0" collapsed="false">
      <c r="A87" s="34"/>
      <c r="B87" s="6"/>
      <c r="C87" s="0" t="str">
        <f aca="false">IF(B87="","",IFERROR(VLOOKUP(B87,'Recetas y precios'!$A$5:$B$55,2,FALSE()),""))</f>
        <v/>
      </c>
      <c r="D87" s="24"/>
      <c r="E87" s="6"/>
      <c r="F87" s="17"/>
      <c r="G87" s="15" t="n">
        <f aca="false">E87*F87</f>
        <v>0</v>
      </c>
      <c r="H87" s="15" t="n">
        <f aca="false">IF(B87="",0,E87*IFERROR(VLOOKUP(B87,'Recetas y precios'!$A$5:$R$55,18,FALSE()),0))</f>
        <v>0</v>
      </c>
      <c r="I87" s="30"/>
      <c r="J87" s="15" t="n">
        <f aca="false">G87*I87</f>
        <v>0</v>
      </c>
      <c r="K87" s="15" t="n">
        <f aca="false">G87-H87-J87</f>
        <v>0</v>
      </c>
      <c r="L87" s="16" t="str">
        <f aca="false">IF(G87&gt;0,K87/G87,"")</f>
        <v/>
      </c>
      <c r="M87" s="6"/>
    </row>
    <row r="88" customFormat="false" ht="15" hidden="false" customHeight="false" outlineLevel="0" collapsed="false">
      <c r="A88" s="34"/>
      <c r="B88" s="6"/>
      <c r="C88" s="0" t="str">
        <f aca="false">IF(B88="","",IFERROR(VLOOKUP(B88,'Recetas y precios'!$A$5:$B$55,2,FALSE()),""))</f>
        <v/>
      </c>
      <c r="D88" s="24"/>
      <c r="E88" s="6"/>
      <c r="F88" s="17"/>
      <c r="G88" s="15" t="n">
        <f aca="false">E88*F88</f>
        <v>0</v>
      </c>
      <c r="H88" s="15" t="n">
        <f aca="false">IF(B88="",0,E88*IFERROR(VLOOKUP(B88,'Recetas y precios'!$A$5:$R$55,18,FALSE()),0))</f>
        <v>0</v>
      </c>
      <c r="I88" s="30"/>
      <c r="J88" s="15" t="n">
        <f aca="false">G88*I88</f>
        <v>0</v>
      </c>
      <c r="K88" s="15" t="n">
        <f aca="false">G88-H88-J88</f>
        <v>0</v>
      </c>
      <c r="L88" s="16" t="str">
        <f aca="false">IF(G88&gt;0,K88/G88,"")</f>
        <v/>
      </c>
      <c r="M88" s="6"/>
    </row>
    <row r="89" customFormat="false" ht="15" hidden="false" customHeight="false" outlineLevel="0" collapsed="false">
      <c r="A89" s="34"/>
      <c r="B89" s="6"/>
      <c r="C89" s="0" t="str">
        <f aca="false">IF(B89="","",IFERROR(VLOOKUP(B89,'Recetas y precios'!$A$5:$B$55,2,FALSE()),""))</f>
        <v/>
      </c>
      <c r="D89" s="24"/>
      <c r="E89" s="6"/>
      <c r="F89" s="17"/>
      <c r="G89" s="15" t="n">
        <f aca="false">E89*F89</f>
        <v>0</v>
      </c>
      <c r="H89" s="15" t="n">
        <f aca="false">IF(B89="",0,E89*IFERROR(VLOOKUP(B89,'Recetas y precios'!$A$5:$R$55,18,FALSE()),0))</f>
        <v>0</v>
      </c>
      <c r="I89" s="30"/>
      <c r="J89" s="15" t="n">
        <f aca="false">G89*I89</f>
        <v>0</v>
      </c>
      <c r="K89" s="15" t="n">
        <f aca="false">G89-H89-J89</f>
        <v>0</v>
      </c>
      <c r="L89" s="16" t="str">
        <f aca="false">IF(G89&gt;0,K89/G89,"")</f>
        <v/>
      </c>
      <c r="M89" s="6"/>
    </row>
    <row r="90" customFormat="false" ht="15" hidden="false" customHeight="false" outlineLevel="0" collapsed="false">
      <c r="A90" s="34"/>
      <c r="B90" s="6"/>
      <c r="C90" s="0" t="str">
        <f aca="false">IF(B90="","",IFERROR(VLOOKUP(B90,'Recetas y precios'!$A$5:$B$55,2,FALSE()),""))</f>
        <v/>
      </c>
      <c r="D90" s="24"/>
      <c r="E90" s="6"/>
      <c r="F90" s="17"/>
      <c r="G90" s="15" t="n">
        <f aca="false">E90*F90</f>
        <v>0</v>
      </c>
      <c r="H90" s="15" t="n">
        <f aca="false">IF(B90="",0,E90*IFERROR(VLOOKUP(B90,'Recetas y precios'!$A$5:$R$55,18,FALSE()),0))</f>
        <v>0</v>
      </c>
      <c r="I90" s="30"/>
      <c r="J90" s="15" t="n">
        <f aca="false">G90*I90</f>
        <v>0</v>
      </c>
      <c r="K90" s="15" t="n">
        <f aca="false">G90-H90-J90</f>
        <v>0</v>
      </c>
      <c r="L90" s="16" t="str">
        <f aca="false">IF(G90&gt;0,K90/G90,"")</f>
        <v/>
      </c>
      <c r="M90" s="6"/>
    </row>
    <row r="91" customFormat="false" ht="15" hidden="false" customHeight="false" outlineLevel="0" collapsed="false">
      <c r="A91" s="34"/>
      <c r="B91" s="6"/>
      <c r="C91" s="0" t="str">
        <f aca="false">IF(B91="","",IFERROR(VLOOKUP(B91,'Recetas y precios'!$A$5:$B$55,2,FALSE()),""))</f>
        <v/>
      </c>
      <c r="D91" s="24"/>
      <c r="E91" s="6"/>
      <c r="F91" s="17"/>
      <c r="G91" s="15" t="n">
        <f aca="false">E91*F91</f>
        <v>0</v>
      </c>
      <c r="H91" s="15" t="n">
        <f aca="false">IF(B91="",0,E91*IFERROR(VLOOKUP(B91,'Recetas y precios'!$A$5:$R$55,18,FALSE()),0))</f>
        <v>0</v>
      </c>
      <c r="I91" s="30"/>
      <c r="J91" s="15" t="n">
        <f aca="false">G91*I91</f>
        <v>0</v>
      </c>
      <c r="K91" s="15" t="n">
        <f aca="false">G91-H91-J91</f>
        <v>0</v>
      </c>
      <c r="L91" s="16" t="str">
        <f aca="false">IF(G91&gt;0,K91/G91,"")</f>
        <v/>
      </c>
      <c r="M91" s="6"/>
    </row>
    <row r="92" customFormat="false" ht="15" hidden="false" customHeight="false" outlineLevel="0" collapsed="false">
      <c r="A92" s="34"/>
      <c r="B92" s="6"/>
      <c r="C92" s="0" t="str">
        <f aca="false">IF(B92="","",IFERROR(VLOOKUP(B92,'Recetas y precios'!$A$5:$B$55,2,FALSE()),""))</f>
        <v/>
      </c>
      <c r="D92" s="24"/>
      <c r="E92" s="6"/>
      <c r="F92" s="17"/>
      <c r="G92" s="15" t="n">
        <f aca="false">E92*F92</f>
        <v>0</v>
      </c>
      <c r="H92" s="15" t="n">
        <f aca="false">IF(B92="",0,E92*IFERROR(VLOOKUP(B92,'Recetas y precios'!$A$5:$R$55,18,FALSE()),0))</f>
        <v>0</v>
      </c>
      <c r="I92" s="30"/>
      <c r="J92" s="15" t="n">
        <f aca="false">G92*I92</f>
        <v>0</v>
      </c>
      <c r="K92" s="15" t="n">
        <f aca="false">G92-H92-J92</f>
        <v>0</v>
      </c>
      <c r="L92" s="16" t="str">
        <f aca="false">IF(G92&gt;0,K92/G92,"")</f>
        <v/>
      </c>
      <c r="M92" s="6"/>
    </row>
    <row r="93" customFormat="false" ht="15" hidden="false" customHeight="false" outlineLevel="0" collapsed="false">
      <c r="A93" s="34"/>
      <c r="B93" s="6"/>
      <c r="C93" s="0" t="str">
        <f aca="false">IF(B93="","",IFERROR(VLOOKUP(B93,'Recetas y precios'!$A$5:$B$55,2,FALSE()),""))</f>
        <v/>
      </c>
      <c r="D93" s="24"/>
      <c r="E93" s="6"/>
      <c r="F93" s="17"/>
      <c r="G93" s="15" t="n">
        <f aca="false">E93*F93</f>
        <v>0</v>
      </c>
      <c r="H93" s="15" t="n">
        <f aca="false">IF(B93="",0,E93*IFERROR(VLOOKUP(B93,'Recetas y precios'!$A$5:$R$55,18,FALSE()),0))</f>
        <v>0</v>
      </c>
      <c r="I93" s="30"/>
      <c r="J93" s="15" t="n">
        <f aca="false">G93*I93</f>
        <v>0</v>
      </c>
      <c r="K93" s="15" t="n">
        <f aca="false">G93-H93-J93</f>
        <v>0</v>
      </c>
      <c r="L93" s="16" t="str">
        <f aca="false">IF(G93&gt;0,K93/G93,"")</f>
        <v/>
      </c>
      <c r="M93" s="6"/>
    </row>
    <row r="94" customFormat="false" ht="15" hidden="false" customHeight="false" outlineLevel="0" collapsed="false">
      <c r="A94" s="34"/>
      <c r="B94" s="6"/>
      <c r="C94" s="0" t="str">
        <f aca="false">IF(B94="","",IFERROR(VLOOKUP(B94,'Recetas y precios'!$A$5:$B$55,2,FALSE()),""))</f>
        <v/>
      </c>
      <c r="D94" s="24"/>
      <c r="E94" s="6"/>
      <c r="F94" s="17"/>
      <c r="G94" s="15" t="n">
        <f aca="false">E94*F94</f>
        <v>0</v>
      </c>
      <c r="H94" s="15" t="n">
        <f aca="false">IF(B94="",0,E94*IFERROR(VLOOKUP(B94,'Recetas y precios'!$A$5:$R$55,18,FALSE()),0))</f>
        <v>0</v>
      </c>
      <c r="I94" s="30"/>
      <c r="J94" s="15" t="n">
        <f aca="false">G94*I94</f>
        <v>0</v>
      </c>
      <c r="K94" s="15" t="n">
        <f aca="false">G94-H94-J94</f>
        <v>0</v>
      </c>
      <c r="L94" s="16" t="str">
        <f aca="false">IF(G94&gt;0,K94/G94,"")</f>
        <v/>
      </c>
      <c r="M94" s="6"/>
    </row>
    <row r="95" customFormat="false" ht="15" hidden="false" customHeight="false" outlineLevel="0" collapsed="false">
      <c r="A95" s="34"/>
      <c r="B95" s="6"/>
      <c r="C95" s="0" t="str">
        <f aca="false">IF(B95="","",IFERROR(VLOOKUP(B95,'Recetas y precios'!$A$5:$B$55,2,FALSE()),""))</f>
        <v/>
      </c>
      <c r="D95" s="24"/>
      <c r="E95" s="6"/>
      <c r="F95" s="17"/>
      <c r="G95" s="15" t="n">
        <f aca="false">E95*F95</f>
        <v>0</v>
      </c>
      <c r="H95" s="15" t="n">
        <f aca="false">IF(B95="",0,E95*IFERROR(VLOOKUP(B95,'Recetas y precios'!$A$5:$R$55,18,FALSE()),0))</f>
        <v>0</v>
      </c>
      <c r="I95" s="30"/>
      <c r="J95" s="15" t="n">
        <f aca="false">G95*I95</f>
        <v>0</v>
      </c>
      <c r="K95" s="15" t="n">
        <f aca="false">G95-H95-J95</f>
        <v>0</v>
      </c>
      <c r="L95" s="16" t="str">
        <f aca="false">IF(G95&gt;0,K95/G95,"")</f>
        <v/>
      </c>
      <c r="M95" s="6"/>
    </row>
    <row r="96" customFormat="false" ht="15" hidden="false" customHeight="false" outlineLevel="0" collapsed="false">
      <c r="A96" s="34"/>
      <c r="B96" s="6"/>
      <c r="C96" s="0" t="str">
        <f aca="false">IF(B96="","",IFERROR(VLOOKUP(B96,'Recetas y precios'!$A$5:$B$55,2,FALSE()),""))</f>
        <v/>
      </c>
      <c r="D96" s="24"/>
      <c r="E96" s="6"/>
      <c r="F96" s="17"/>
      <c r="G96" s="15" t="n">
        <f aca="false">E96*F96</f>
        <v>0</v>
      </c>
      <c r="H96" s="15" t="n">
        <f aca="false">IF(B96="",0,E96*IFERROR(VLOOKUP(B96,'Recetas y precios'!$A$5:$R$55,18,FALSE()),0))</f>
        <v>0</v>
      </c>
      <c r="I96" s="30"/>
      <c r="J96" s="15" t="n">
        <f aca="false">G96*I96</f>
        <v>0</v>
      </c>
      <c r="K96" s="15" t="n">
        <f aca="false">G96-H96-J96</f>
        <v>0</v>
      </c>
      <c r="L96" s="16" t="str">
        <f aca="false">IF(G96&gt;0,K96/G96,"")</f>
        <v/>
      </c>
      <c r="M96" s="6"/>
    </row>
    <row r="97" customFormat="false" ht="15" hidden="false" customHeight="false" outlineLevel="0" collapsed="false">
      <c r="A97" s="34"/>
      <c r="B97" s="6"/>
      <c r="C97" s="0" t="str">
        <f aca="false">IF(B97="","",IFERROR(VLOOKUP(B97,'Recetas y precios'!$A$5:$B$55,2,FALSE()),""))</f>
        <v/>
      </c>
      <c r="D97" s="24"/>
      <c r="E97" s="6"/>
      <c r="F97" s="17"/>
      <c r="G97" s="15" t="n">
        <f aca="false">E97*F97</f>
        <v>0</v>
      </c>
      <c r="H97" s="15" t="n">
        <f aca="false">IF(B97="",0,E97*IFERROR(VLOOKUP(B97,'Recetas y precios'!$A$5:$R$55,18,FALSE()),0))</f>
        <v>0</v>
      </c>
      <c r="I97" s="30"/>
      <c r="J97" s="15" t="n">
        <f aca="false">G97*I97</f>
        <v>0</v>
      </c>
      <c r="K97" s="15" t="n">
        <f aca="false">G97-H97-J97</f>
        <v>0</v>
      </c>
      <c r="L97" s="16" t="str">
        <f aca="false">IF(G97&gt;0,K97/G97,"")</f>
        <v/>
      </c>
      <c r="M97" s="6"/>
    </row>
    <row r="98" customFormat="false" ht="15" hidden="false" customHeight="false" outlineLevel="0" collapsed="false">
      <c r="A98" s="34"/>
      <c r="B98" s="6"/>
      <c r="C98" s="0" t="str">
        <f aca="false">IF(B98="","",IFERROR(VLOOKUP(B98,'Recetas y precios'!$A$5:$B$55,2,FALSE()),""))</f>
        <v/>
      </c>
      <c r="D98" s="24"/>
      <c r="E98" s="6"/>
      <c r="F98" s="17"/>
      <c r="G98" s="15" t="n">
        <f aca="false">E98*F98</f>
        <v>0</v>
      </c>
      <c r="H98" s="15" t="n">
        <f aca="false">IF(B98="",0,E98*IFERROR(VLOOKUP(B98,'Recetas y precios'!$A$5:$R$55,18,FALSE()),0))</f>
        <v>0</v>
      </c>
      <c r="I98" s="30"/>
      <c r="J98" s="15" t="n">
        <f aca="false">G98*I98</f>
        <v>0</v>
      </c>
      <c r="K98" s="15" t="n">
        <f aca="false">G98-H98-J98</f>
        <v>0</v>
      </c>
      <c r="L98" s="16" t="str">
        <f aca="false">IF(G98&gt;0,K98/G98,"")</f>
        <v/>
      </c>
      <c r="M98" s="6"/>
    </row>
    <row r="99" customFormat="false" ht="15" hidden="false" customHeight="false" outlineLevel="0" collapsed="false">
      <c r="A99" s="34"/>
      <c r="B99" s="6"/>
      <c r="C99" s="0" t="str">
        <f aca="false">IF(B99="","",IFERROR(VLOOKUP(B99,'Recetas y precios'!$A$5:$B$55,2,FALSE()),""))</f>
        <v/>
      </c>
      <c r="D99" s="24"/>
      <c r="E99" s="6"/>
      <c r="F99" s="17"/>
      <c r="G99" s="15" t="n">
        <f aca="false">E99*F99</f>
        <v>0</v>
      </c>
      <c r="H99" s="15" t="n">
        <f aca="false">IF(B99="",0,E99*IFERROR(VLOOKUP(B99,'Recetas y precios'!$A$5:$R$55,18,FALSE()),0))</f>
        <v>0</v>
      </c>
      <c r="I99" s="30"/>
      <c r="J99" s="15" t="n">
        <f aca="false">G99*I99</f>
        <v>0</v>
      </c>
      <c r="K99" s="15" t="n">
        <f aca="false">G99-H99-J99</f>
        <v>0</v>
      </c>
      <c r="L99" s="16" t="str">
        <f aca="false">IF(G99&gt;0,K99/G99,"")</f>
        <v/>
      </c>
      <c r="M99" s="6"/>
    </row>
    <row r="100" customFormat="false" ht="15" hidden="false" customHeight="false" outlineLevel="0" collapsed="false">
      <c r="A100" s="34"/>
      <c r="B100" s="6"/>
      <c r="C100" s="0" t="str">
        <f aca="false">IF(B100="","",IFERROR(VLOOKUP(B100,'Recetas y precios'!$A$5:$B$55,2,FALSE()),""))</f>
        <v/>
      </c>
      <c r="D100" s="24"/>
      <c r="E100" s="6"/>
      <c r="F100" s="17"/>
      <c r="G100" s="15" t="n">
        <f aca="false">E100*F100</f>
        <v>0</v>
      </c>
      <c r="H100" s="15" t="n">
        <f aca="false">IF(B100="",0,E100*IFERROR(VLOOKUP(B100,'Recetas y precios'!$A$5:$R$55,18,FALSE()),0))</f>
        <v>0</v>
      </c>
      <c r="I100" s="30"/>
      <c r="J100" s="15" t="n">
        <f aca="false">G100*I100</f>
        <v>0</v>
      </c>
      <c r="K100" s="15" t="n">
        <f aca="false">G100-H100-J100</f>
        <v>0</v>
      </c>
      <c r="L100" s="16" t="str">
        <f aca="false">IF(G100&gt;0,K100/G100,"")</f>
        <v/>
      </c>
      <c r="M100" s="6"/>
    </row>
    <row r="101" customFormat="false" ht="15" hidden="false" customHeight="false" outlineLevel="0" collapsed="false">
      <c r="A101" s="34"/>
      <c r="B101" s="6"/>
      <c r="C101" s="0" t="str">
        <f aca="false">IF(B101="","",IFERROR(VLOOKUP(B101,'Recetas y precios'!$A$5:$B$55,2,FALSE()),""))</f>
        <v/>
      </c>
      <c r="D101" s="24"/>
      <c r="E101" s="6"/>
      <c r="F101" s="17"/>
      <c r="G101" s="15" t="n">
        <f aca="false">E101*F101</f>
        <v>0</v>
      </c>
      <c r="H101" s="15" t="n">
        <f aca="false">IF(B101="",0,E101*IFERROR(VLOOKUP(B101,'Recetas y precios'!$A$5:$R$55,18,FALSE()),0))</f>
        <v>0</v>
      </c>
      <c r="I101" s="30"/>
      <c r="J101" s="15" t="n">
        <f aca="false">G101*I101</f>
        <v>0</v>
      </c>
      <c r="K101" s="15" t="n">
        <f aca="false">G101-H101-J101</f>
        <v>0</v>
      </c>
      <c r="L101" s="16" t="str">
        <f aca="false">IF(G101&gt;0,K101/G101,"")</f>
        <v/>
      </c>
      <c r="M101" s="6"/>
    </row>
    <row r="102" customFormat="false" ht="15" hidden="false" customHeight="false" outlineLevel="0" collapsed="false">
      <c r="A102" s="34"/>
      <c r="B102" s="6"/>
      <c r="C102" s="0" t="str">
        <f aca="false">IF(B102="","",IFERROR(VLOOKUP(B102,'Recetas y precios'!$A$5:$B$55,2,FALSE()),""))</f>
        <v/>
      </c>
      <c r="D102" s="24"/>
      <c r="E102" s="6"/>
      <c r="F102" s="17"/>
      <c r="G102" s="15" t="n">
        <f aca="false">E102*F102</f>
        <v>0</v>
      </c>
      <c r="H102" s="15" t="n">
        <f aca="false">IF(B102="",0,E102*IFERROR(VLOOKUP(B102,'Recetas y precios'!$A$5:$R$55,18,FALSE()),0))</f>
        <v>0</v>
      </c>
      <c r="I102" s="30"/>
      <c r="J102" s="15" t="n">
        <f aca="false">G102*I102</f>
        <v>0</v>
      </c>
      <c r="K102" s="15" t="n">
        <f aca="false">G102-H102-J102</f>
        <v>0</v>
      </c>
      <c r="L102" s="16" t="str">
        <f aca="false">IF(G102&gt;0,K102/G102,"")</f>
        <v/>
      </c>
      <c r="M102" s="6"/>
    </row>
    <row r="103" customFormat="false" ht="15" hidden="false" customHeight="false" outlineLevel="0" collapsed="false">
      <c r="A103" s="34"/>
      <c r="B103" s="6"/>
      <c r="C103" s="0" t="str">
        <f aca="false">IF(B103="","",IFERROR(VLOOKUP(B103,'Recetas y precios'!$A$5:$B$55,2,FALSE()),""))</f>
        <v/>
      </c>
      <c r="D103" s="24"/>
      <c r="E103" s="6"/>
      <c r="F103" s="17"/>
      <c r="G103" s="15" t="n">
        <f aca="false">E103*F103</f>
        <v>0</v>
      </c>
      <c r="H103" s="15" t="n">
        <f aca="false">IF(B103="",0,E103*IFERROR(VLOOKUP(B103,'Recetas y precios'!$A$5:$R$55,18,FALSE()),0))</f>
        <v>0</v>
      </c>
      <c r="I103" s="30"/>
      <c r="J103" s="15" t="n">
        <f aca="false">G103*I103</f>
        <v>0</v>
      </c>
      <c r="K103" s="15" t="n">
        <f aca="false">G103-H103-J103</f>
        <v>0</v>
      </c>
      <c r="L103" s="16" t="str">
        <f aca="false">IF(G103&gt;0,K103/G103,"")</f>
        <v/>
      </c>
      <c r="M103" s="6"/>
    </row>
    <row r="104" customFormat="false" ht="15" hidden="false" customHeight="false" outlineLevel="0" collapsed="false">
      <c r="A104" s="34"/>
      <c r="B104" s="6"/>
      <c r="C104" s="0" t="str">
        <f aca="false">IF(B104="","",IFERROR(VLOOKUP(B104,'Recetas y precios'!$A$5:$B$55,2,FALSE()),""))</f>
        <v/>
      </c>
      <c r="D104" s="24"/>
      <c r="E104" s="6"/>
      <c r="F104" s="17"/>
      <c r="G104" s="15" t="n">
        <f aca="false">E104*F104</f>
        <v>0</v>
      </c>
      <c r="H104" s="15" t="n">
        <f aca="false">IF(B104="",0,E104*IFERROR(VLOOKUP(B104,'Recetas y precios'!$A$5:$R$55,18,FALSE()),0))</f>
        <v>0</v>
      </c>
      <c r="I104" s="30"/>
      <c r="J104" s="15" t="n">
        <f aca="false">G104*I104</f>
        <v>0</v>
      </c>
      <c r="K104" s="15" t="n">
        <f aca="false">G104-H104-J104</f>
        <v>0</v>
      </c>
      <c r="L104" s="16" t="str">
        <f aca="false">IF(G104&gt;0,K104/G104,"")</f>
        <v/>
      </c>
      <c r="M104" s="6"/>
    </row>
    <row r="105" customFormat="false" ht="15" hidden="false" customHeight="false" outlineLevel="0" collapsed="false">
      <c r="A105" s="34"/>
      <c r="B105" s="6"/>
      <c r="C105" s="0" t="str">
        <f aca="false">IF(B105="","",IFERROR(VLOOKUP(B105,'Recetas y precios'!$A$5:$B$55,2,FALSE()),""))</f>
        <v/>
      </c>
      <c r="D105" s="24"/>
      <c r="E105" s="6"/>
      <c r="F105" s="17"/>
      <c r="G105" s="15" t="n">
        <f aca="false">E105*F105</f>
        <v>0</v>
      </c>
      <c r="H105" s="15" t="n">
        <f aca="false">IF(B105="",0,E105*IFERROR(VLOOKUP(B105,'Recetas y precios'!$A$5:$R$55,18,FALSE()),0))</f>
        <v>0</v>
      </c>
      <c r="I105" s="30"/>
      <c r="J105" s="15" t="n">
        <f aca="false">G105*I105</f>
        <v>0</v>
      </c>
      <c r="K105" s="15" t="n">
        <f aca="false">G105-H105-J105</f>
        <v>0</v>
      </c>
      <c r="L105" s="16" t="str">
        <f aca="false">IF(G105&gt;0,K105/G105,"")</f>
        <v/>
      </c>
      <c r="M105" s="6"/>
    </row>
    <row r="106" customFormat="false" ht="15" hidden="false" customHeight="false" outlineLevel="0" collapsed="false">
      <c r="A106" s="34"/>
      <c r="B106" s="6"/>
      <c r="C106" s="0" t="str">
        <f aca="false">IF(B106="","",IFERROR(VLOOKUP(B106,'Recetas y precios'!$A$5:$B$55,2,FALSE()),""))</f>
        <v/>
      </c>
      <c r="D106" s="24"/>
      <c r="E106" s="6"/>
      <c r="F106" s="17"/>
      <c r="G106" s="15" t="n">
        <f aca="false">E106*F106</f>
        <v>0</v>
      </c>
      <c r="H106" s="15" t="n">
        <f aca="false">IF(B106="",0,E106*IFERROR(VLOOKUP(B106,'Recetas y precios'!$A$5:$R$55,18,FALSE()),0))</f>
        <v>0</v>
      </c>
      <c r="I106" s="30"/>
      <c r="J106" s="15" t="n">
        <f aca="false">G106*I106</f>
        <v>0</v>
      </c>
      <c r="K106" s="15" t="n">
        <f aca="false">G106-H106-J106</f>
        <v>0</v>
      </c>
      <c r="L106" s="16" t="str">
        <f aca="false">IF(G106&gt;0,K106/G106,"")</f>
        <v/>
      </c>
      <c r="M106" s="6"/>
    </row>
    <row r="107" customFormat="false" ht="15" hidden="false" customHeight="false" outlineLevel="0" collapsed="false">
      <c r="A107" s="34"/>
      <c r="B107" s="6"/>
      <c r="C107" s="0" t="str">
        <f aca="false">IF(B107="","",IFERROR(VLOOKUP(B107,'Recetas y precios'!$A$5:$B$55,2,FALSE()),""))</f>
        <v/>
      </c>
      <c r="D107" s="24"/>
      <c r="E107" s="6"/>
      <c r="F107" s="17"/>
      <c r="G107" s="15" t="n">
        <f aca="false">E107*F107</f>
        <v>0</v>
      </c>
      <c r="H107" s="15" t="n">
        <f aca="false">IF(B107="",0,E107*IFERROR(VLOOKUP(B107,'Recetas y precios'!$A$5:$R$55,18,FALSE()),0))</f>
        <v>0</v>
      </c>
      <c r="I107" s="30"/>
      <c r="J107" s="15" t="n">
        <f aca="false">G107*I107</f>
        <v>0</v>
      </c>
      <c r="K107" s="15" t="n">
        <f aca="false">G107-H107-J107</f>
        <v>0</v>
      </c>
      <c r="L107" s="16" t="str">
        <f aca="false">IF(G107&gt;0,K107/G107,"")</f>
        <v/>
      </c>
      <c r="M107" s="6"/>
    </row>
    <row r="108" customFormat="false" ht="15" hidden="false" customHeight="false" outlineLevel="0" collapsed="false">
      <c r="A108" s="34"/>
      <c r="B108" s="6"/>
      <c r="C108" s="0" t="str">
        <f aca="false">IF(B108="","",IFERROR(VLOOKUP(B108,'Recetas y precios'!$A$5:$B$55,2,FALSE()),""))</f>
        <v/>
      </c>
      <c r="D108" s="24"/>
      <c r="E108" s="6"/>
      <c r="F108" s="17"/>
      <c r="G108" s="15" t="n">
        <f aca="false">E108*F108</f>
        <v>0</v>
      </c>
      <c r="H108" s="15" t="n">
        <f aca="false">IF(B108="",0,E108*IFERROR(VLOOKUP(B108,'Recetas y precios'!$A$5:$R$55,18,FALSE()),0))</f>
        <v>0</v>
      </c>
      <c r="I108" s="30"/>
      <c r="J108" s="15" t="n">
        <f aca="false">G108*I108</f>
        <v>0</v>
      </c>
      <c r="K108" s="15" t="n">
        <f aca="false">G108-H108-J108</f>
        <v>0</v>
      </c>
      <c r="L108" s="16" t="str">
        <f aca="false">IF(G108&gt;0,K108/G108,"")</f>
        <v/>
      </c>
      <c r="M108" s="6"/>
    </row>
    <row r="109" customFormat="false" ht="15" hidden="false" customHeight="false" outlineLevel="0" collapsed="false">
      <c r="A109" s="34"/>
      <c r="B109" s="6"/>
      <c r="C109" s="0" t="str">
        <f aca="false">IF(B109="","",IFERROR(VLOOKUP(B109,'Recetas y precios'!$A$5:$B$55,2,FALSE()),""))</f>
        <v/>
      </c>
      <c r="D109" s="24"/>
      <c r="E109" s="6"/>
      <c r="F109" s="17"/>
      <c r="G109" s="15" t="n">
        <f aca="false">E109*F109</f>
        <v>0</v>
      </c>
      <c r="H109" s="15" t="n">
        <f aca="false">IF(B109="",0,E109*IFERROR(VLOOKUP(B109,'Recetas y precios'!$A$5:$R$55,18,FALSE()),0))</f>
        <v>0</v>
      </c>
      <c r="I109" s="30"/>
      <c r="J109" s="15" t="n">
        <f aca="false">G109*I109</f>
        <v>0</v>
      </c>
      <c r="K109" s="15" t="n">
        <f aca="false">G109-H109-J109</f>
        <v>0</v>
      </c>
      <c r="L109" s="16" t="str">
        <f aca="false">IF(G109&gt;0,K109/G109,"")</f>
        <v/>
      </c>
      <c r="M109" s="6"/>
    </row>
    <row r="110" customFormat="false" ht="15" hidden="false" customHeight="false" outlineLevel="0" collapsed="false">
      <c r="A110" s="34"/>
      <c r="B110" s="6"/>
      <c r="C110" s="0" t="str">
        <f aca="false">IF(B110="","",IFERROR(VLOOKUP(B110,'Recetas y precios'!$A$5:$B$55,2,FALSE()),""))</f>
        <v/>
      </c>
      <c r="D110" s="24"/>
      <c r="E110" s="6"/>
      <c r="F110" s="17"/>
      <c r="G110" s="15" t="n">
        <f aca="false">E110*F110</f>
        <v>0</v>
      </c>
      <c r="H110" s="15" t="n">
        <f aca="false">IF(B110="",0,E110*IFERROR(VLOOKUP(B110,'Recetas y precios'!$A$5:$R$55,18,FALSE()),0))</f>
        <v>0</v>
      </c>
      <c r="I110" s="30"/>
      <c r="J110" s="15" t="n">
        <f aca="false">G110*I110</f>
        <v>0</v>
      </c>
      <c r="K110" s="15" t="n">
        <f aca="false">G110-H110-J110</f>
        <v>0</v>
      </c>
      <c r="L110" s="16" t="str">
        <f aca="false">IF(G110&gt;0,K110/G110,"")</f>
        <v/>
      </c>
      <c r="M110" s="6"/>
    </row>
    <row r="111" customFormat="false" ht="15" hidden="false" customHeight="false" outlineLevel="0" collapsed="false">
      <c r="A111" s="34"/>
      <c r="B111" s="6"/>
      <c r="C111" s="0" t="str">
        <f aca="false">IF(B111="","",IFERROR(VLOOKUP(B111,'Recetas y precios'!$A$5:$B$55,2,FALSE()),""))</f>
        <v/>
      </c>
      <c r="D111" s="24"/>
      <c r="E111" s="6"/>
      <c r="F111" s="17"/>
      <c r="G111" s="15" t="n">
        <f aca="false">E111*F111</f>
        <v>0</v>
      </c>
      <c r="H111" s="15" t="n">
        <f aca="false">IF(B111="",0,E111*IFERROR(VLOOKUP(B111,'Recetas y precios'!$A$5:$R$55,18,FALSE()),0))</f>
        <v>0</v>
      </c>
      <c r="I111" s="30"/>
      <c r="J111" s="15" t="n">
        <f aca="false">G111*I111</f>
        <v>0</v>
      </c>
      <c r="K111" s="15" t="n">
        <f aca="false">G111-H111-J111</f>
        <v>0</v>
      </c>
      <c r="L111" s="16" t="str">
        <f aca="false">IF(G111&gt;0,K111/G111,"")</f>
        <v/>
      </c>
      <c r="M111" s="6"/>
    </row>
    <row r="112" customFormat="false" ht="15" hidden="false" customHeight="false" outlineLevel="0" collapsed="false">
      <c r="A112" s="34"/>
      <c r="B112" s="6"/>
      <c r="C112" s="0" t="str">
        <f aca="false">IF(B112="","",IFERROR(VLOOKUP(B112,'Recetas y precios'!$A$5:$B$55,2,FALSE()),""))</f>
        <v/>
      </c>
      <c r="D112" s="24"/>
      <c r="E112" s="6"/>
      <c r="F112" s="17"/>
      <c r="G112" s="15" t="n">
        <f aca="false">E112*F112</f>
        <v>0</v>
      </c>
      <c r="H112" s="15" t="n">
        <f aca="false">IF(B112="",0,E112*IFERROR(VLOOKUP(B112,'Recetas y precios'!$A$5:$R$55,18,FALSE()),0))</f>
        <v>0</v>
      </c>
      <c r="I112" s="30"/>
      <c r="J112" s="15" t="n">
        <f aca="false">G112*I112</f>
        <v>0</v>
      </c>
      <c r="K112" s="15" t="n">
        <f aca="false">G112-H112-J112</f>
        <v>0</v>
      </c>
      <c r="L112" s="16" t="str">
        <f aca="false">IF(G112&gt;0,K112/G112,"")</f>
        <v/>
      </c>
      <c r="M112" s="6"/>
    </row>
    <row r="113" customFormat="false" ht="15" hidden="false" customHeight="false" outlineLevel="0" collapsed="false">
      <c r="A113" s="34"/>
      <c r="B113" s="6"/>
      <c r="C113" s="0" t="str">
        <f aca="false">IF(B113="","",IFERROR(VLOOKUP(B113,'Recetas y precios'!$A$5:$B$55,2,FALSE()),""))</f>
        <v/>
      </c>
      <c r="D113" s="24"/>
      <c r="E113" s="6"/>
      <c r="F113" s="17"/>
      <c r="G113" s="15" t="n">
        <f aca="false">E113*F113</f>
        <v>0</v>
      </c>
      <c r="H113" s="15" t="n">
        <f aca="false">IF(B113="",0,E113*IFERROR(VLOOKUP(B113,'Recetas y precios'!$A$5:$R$55,18,FALSE()),0))</f>
        <v>0</v>
      </c>
      <c r="I113" s="30"/>
      <c r="J113" s="15" t="n">
        <f aca="false">G113*I113</f>
        <v>0</v>
      </c>
      <c r="K113" s="15" t="n">
        <f aca="false">G113-H113-J113</f>
        <v>0</v>
      </c>
      <c r="L113" s="16" t="str">
        <f aca="false">IF(G113&gt;0,K113/G113,"")</f>
        <v/>
      </c>
      <c r="M113" s="6"/>
    </row>
    <row r="114" customFormat="false" ht="15" hidden="false" customHeight="false" outlineLevel="0" collapsed="false">
      <c r="A114" s="34"/>
      <c r="B114" s="6"/>
      <c r="C114" s="0" t="str">
        <f aca="false">IF(B114="","",IFERROR(VLOOKUP(B114,'Recetas y precios'!$A$5:$B$55,2,FALSE()),""))</f>
        <v/>
      </c>
      <c r="D114" s="24"/>
      <c r="E114" s="6"/>
      <c r="F114" s="17"/>
      <c r="G114" s="15" t="n">
        <f aca="false">E114*F114</f>
        <v>0</v>
      </c>
      <c r="H114" s="15" t="n">
        <f aca="false">IF(B114="",0,E114*IFERROR(VLOOKUP(B114,'Recetas y precios'!$A$5:$R$55,18,FALSE()),0))</f>
        <v>0</v>
      </c>
      <c r="I114" s="30"/>
      <c r="J114" s="15" t="n">
        <f aca="false">G114*I114</f>
        <v>0</v>
      </c>
      <c r="K114" s="15" t="n">
        <f aca="false">G114-H114-J114</f>
        <v>0</v>
      </c>
      <c r="L114" s="16" t="str">
        <f aca="false">IF(G114&gt;0,K114/G114,"")</f>
        <v/>
      </c>
      <c r="M114" s="6"/>
    </row>
    <row r="115" customFormat="false" ht="15" hidden="false" customHeight="false" outlineLevel="0" collapsed="false">
      <c r="A115" s="34"/>
      <c r="B115" s="6"/>
      <c r="C115" s="0" t="str">
        <f aca="false">IF(B115="","",IFERROR(VLOOKUP(B115,'Recetas y precios'!$A$5:$B$55,2,FALSE()),""))</f>
        <v/>
      </c>
      <c r="D115" s="24"/>
      <c r="E115" s="6"/>
      <c r="F115" s="17"/>
      <c r="G115" s="15" t="n">
        <f aca="false">E115*F115</f>
        <v>0</v>
      </c>
      <c r="H115" s="15" t="n">
        <f aca="false">IF(B115="",0,E115*IFERROR(VLOOKUP(B115,'Recetas y precios'!$A$5:$R$55,18,FALSE()),0))</f>
        <v>0</v>
      </c>
      <c r="I115" s="30"/>
      <c r="J115" s="15" t="n">
        <f aca="false">G115*I115</f>
        <v>0</v>
      </c>
      <c r="K115" s="15" t="n">
        <f aca="false">G115-H115-J115</f>
        <v>0</v>
      </c>
      <c r="L115" s="16" t="str">
        <f aca="false">IF(G115&gt;0,K115/G115,"")</f>
        <v/>
      </c>
      <c r="M115" s="6"/>
    </row>
    <row r="116" customFormat="false" ht="15" hidden="false" customHeight="false" outlineLevel="0" collapsed="false">
      <c r="A116" s="34"/>
      <c r="B116" s="6"/>
      <c r="C116" s="0" t="str">
        <f aca="false">IF(B116="","",IFERROR(VLOOKUP(B116,'Recetas y precios'!$A$5:$B$55,2,FALSE()),""))</f>
        <v/>
      </c>
      <c r="D116" s="24"/>
      <c r="E116" s="6"/>
      <c r="F116" s="17"/>
      <c r="G116" s="15" t="n">
        <f aca="false">E116*F116</f>
        <v>0</v>
      </c>
      <c r="H116" s="15" t="n">
        <f aca="false">IF(B116="",0,E116*IFERROR(VLOOKUP(B116,'Recetas y precios'!$A$5:$R$55,18,FALSE()),0))</f>
        <v>0</v>
      </c>
      <c r="I116" s="30"/>
      <c r="J116" s="15" t="n">
        <f aca="false">G116*I116</f>
        <v>0</v>
      </c>
      <c r="K116" s="15" t="n">
        <f aca="false">G116-H116-J116</f>
        <v>0</v>
      </c>
      <c r="L116" s="16" t="str">
        <f aca="false">IF(G116&gt;0,K116/G116,"")</f>
        <v/>
      </c>
      <c r="M116" s="6"/>
    </row>
    <row r="117" customFormat="false" ht="15" hidden="false" customHeight="false" outlineLevel="0" collapsed="false">
      <c r="A117" s="34"/>
      <c r="B117" s="6"/>
      <c r="C117" s="0" t="str">
        <f aca="false">IF(B117="","",IFERROR(VLOOKUP(B117,'Recetas y precios'!$A$5:$B$55,2,FALSE()),""))</f>
        <v/>
      </c>
      <c r="D117" s="24"/>
      <c r="E117" s="6"/>
      <c r="F117" s="17"/>
      <c r="G117" s="15" t="n">
        <f aca="false">E117*F117</f>
        <v>0</v>
      </c>
      <c r="H117" s="15" t="n">
        <f aca="false">IF(B117="",0,E117*IFERROR(VLOOKUP(B117,'Recetas y precios'!$A$5:$R$55,18,FALSE()),0))</f>
        <v>0</v>
      </c>
      <c r="I117" s="30"/>
      <c r="J117" s="15" t="n">
        <f aca="false">G117*I117</f>
        <v>0</v>
      </c>
      <c r="K117" s="15" t="n">
        <f aca="false">G117-H117-J117</f>
        <v>0</v>
      </c>
      <c r="L117" s="16" t="str">
        <f aca="false">IF(G117&gt;0,K117/G117,"")</f>
        <v/>
      </c>
      <c r="M117" s="6"/>
    </row>
    <row r="118" customFormat="false" ht="15" hidden="false" customHeight="false" outlineLevel="0" collapsed="false">
      <c r="A118" s="34"/>
      <c r="B118" s="6"/>
      <c r="C118" s="0" t="str">
        <f aca="false">IF(B118="","",IFERROR(VLOOKUP(B118,'Recetas y precios'!$A$5:$B$55,2,FALSE()),""))</f>
        <v/>
      </c>
      <c r="D118" s="24"/>
      <c r="E118" s="6"/>
      <c r="F118" s="17"/>
      <c r="G118" s="15" t="n">
        <f aca="false">E118*F118</f>
        <v>0</v>
      </c>
      <c r="H118" s="15" t="n">
        <f aca="false">IF(B118="",0,E118*IFERROR(VLOOKUP(B118,'Recetas y precios'!$A$5:$R$55,18,FALSE()),0))</f>
        <v>0</v>
      </c>
      <c r="I118" s="30"/>
      <c r="J118" s="15" t="n">
        <f aca="false">G118*I118</f>
        <v>0</v>
      </c>
      <c r="K118" s="15" t="n">
        <f aca="false">G118-H118-J118</f>
        <v>0</v>
      </c>
      <c r="L118" s="16" t="str">
        <f aca="false">IF(G118&gt;0,K118/G118,"")</f>
        <v/>
      </c>
      <c r="M118" s="6"/>
    </row>
    <row r="119" customFormat="false" ht="15" hidden="false" customHeight="false" outlineLevel="0" collapsed="false">
      <c r="A119" s="34"/>
      <c r="B119" s="6"/>
      <c r="C119" s="0" t="str">
        <f aca="false">IF(B119="","",IFERROR(VLOOKUP(B119,'Recetas y precios'!$A$5:$B$55,2,FALSE()),""))</f>
        <v/>
      </c>
      <c r="D119" s="24"/>
      <c r="E119" s="6"/>
      <c r="F119" s="17"/>
      <c r="G119" s="15" t="n">
        <f aca="false">E119*F119</f>
        <v>0</v>
      </c>
      <c r="H119" s="15" t="n">
        <f aca="false">IF(B119="",0,E119*IFERROR(VLOOKUP(B119,'Recetas y precios'!$A$5:$R$55,18,FALSE()),0))</f>
        <v>0</v>
      </c>
      <c r="I119" s="30"/>
      <c r="J119" s="15" t="n">
        <f aca="false">G119*I119</f>
        <v>0</v>
      </c>
      <c r="K119" s="15" t="n">
        <f aca="false">G119-H119-J119</f>
        <v>0</v>
      </c>
      <c r="L119" s="16" t="str">
        <f aca="false">IF(G119&gt;0,K119/G119,"")</f>
        <v/>
      </c>
      <c r="M119" s="6"/>
    </row>
    <row r="120" customFormat="false" ht="15" hidden="false" customHeight="false" outlineLevel="0" collapsed="false">
      <c r="A120" s="34"/>
      <c r="B120" s="6"/>
      <c r="C120" s="0" t="str">
        <f aca="false">IF(B120="","",IFERROR(VLOOKUP(B120,'Recetas y precios'!$A$5:$B$55,2,FALSE()),""))</f>
        <v/>
      </c>
      <c r="D120" s="24"/>
      <c r="E120" s="6"/>
      <c r="F120" s="17"/>
      <c r="G120" s="15" t="n">
        <f aca="false">E120*F120</f>
        <v>0</v>
      </c>
      <c r="H120" s="15" t="n">
        <f aca="false">IF(B120="",0,E120*IFERROR(VLOOKUP(B120,'Recetas y precios'!$A$5:$R$55,18,FALSE()),0))</f>
        <v>0</v>
      </c>
      <c r="I120" s="30"/>
      <c r="J120" s="15" t="n">
        <f aca="false">G120*I120</f>
        <v>0</v>
      </c>
      <c r="K120" s="15" t="n">
        <f aca="false">G120-H120-J120</f>
        <v>0</v>
      </c>
      <c r="L120" s="16" t="str">
        <f aca="false">IF(G120&gt;0,K120/G120,"")</f>
        <v/>
      </c>
      <c r="M120" s="6"/>
    </row>
    <row r="121" customFormat="false" ht="15" hidden="false" customHeight="false" outlineLevel="0" collapsed="false">
      <c r="A121" s="34"/>
      <c r="B121" s="6"/>
      <c r="C121" s="0" t="str">
        <f aca="false">IF(B121="","",IFERROR(VLOOKUP(B121,'Recetas y precios'!$A$5:$B$55,2,FALSE()),""))</f>
        <v/>
      </c>
      <c r="D121" s="24"/>
      <c r="E121" s="6"/>
      <c r="F121" s="17"/>
      <c r="G121" s="15" t="n">
        <f aca="false">E121*F121</f>
        <v>0</v>
      </c>
      <c r="H121" s="15" t="n">
        <f aca="false">IF(B121="",0,E121*IFERROR(VLOOKUP(B121,'Recetas y precios'!$A$5:$R$55,18,FALSE()),0))</f>
        <v>0</v>
      </c>
      <c r="I121" s="30"/>
      <c r="J121" s="15" t="n">
        <f aca="false">G121*I121</f>
        <v>0</v>
      </c>
      <c r="K121" s="15" t="n">
        <f aca="false">G121-H121-J121</f>
        <v>0</v>
      </c>
      <c r="L121" s="16" t="str">
        <f aca="false">IF(G121&gt;0,K121/G121,"")</f>
        <v/>
      </c>
      <c r="M121" s="6"/>
    </row>
    <row r="122" customFormat="false" ht="15" hidden="false" customHeight="false" outlineLevel="0" collapsed="false">
      <c r="A122" s="34"/>
      <c r="B122" s="6"/>
      <c r="C122" s="0" t="str">
        <f aca="false">IF(B122="","",IFERROR(VLOOKUP(B122,'Recetas y precios'!$A$5:$B$55,2,FALSE()),""))</f>
        <v/>
      </c>
      <c r="D122" s="24"/>
      <c r="E122" s="6"/>
      <c r="F122" s="17"/>
      <c r="G122" s="15" t="n">
        <f aca="false">E122*F122</f>
        <v>0</v>
      </c>
      <c r="H122" s="15" t="n">
        <f aca="false">IF(B122="",0,E122*IFERROR(VLOOKUP(B122,'Recetas y precios'!$A$5:$R$55,18,FALSE()),0))</f>
        <v>0</v>
      </c>
      <c r="I122" s="30"/>
      <c r="J122" s="15" t="n">
        <f aca="false">G122*I122</f>
        <v>0</v>
      </c>
      <c r="K122" s="15" t="n">
        <f aca="false">G122-H122-J122</f>
        <v>0</v>
      </c>
      <c r="L122" s="16" t="str">
        <f aca="false">IF(G122&gt;0,K122/G122,"")</f>
        <v/>
      </c>
      <c r="M122" s="6"/>
    </row>
    <row r="123" customFormat="false" ht="15" hidden="false" customHeight="false" outlineLevel="0" collapsed="false">
      <c r="A123" s="34"/>
      <c r="B123" s="6"/>
      <c r="C123" s="0" t="str">
        <f aca="false">IF(B123="","",IFERROR(VLOOKUP(B123,'Recetas y precios'!$A$5:$B$55,2,FALSE()),""))</f>
        <v/>
      </c>
      <c r="D123" s="24"/>
      <c r="E123" s="6"/>
      <c r="F123" s="17"/>
      <c r="G123" s="15" t="n">
        <f aca="false">E123*F123</f>
        <v>0</v>
      </c>
      <c r="H123" s="15" t="n">
        <f aca="false">IF(B123="",0,E123*IFERROR(VLOOKUP(B123,'Recetas y precios'!$A$5:$R$55,18,FALSE()),0))</f>
        <v>0</v>
      </c>
      <c r="I123" s="30"/>
      <c r="J123" s="15" t="n">
        <f aca="false">G123*I123</f>
        <v>0</v>
      </c>
      <c r="K123" s="15" t="n">
        <f aca="false">G123-H123-J123</f>
        <v>0</v>
      </c>
      <c r="L123" s="16" t="str">
        <f aca="false">IF(G123&gt;0,K123/G123,"")</f>
        <v/>
      </c>
      <c r="M123" s="6"/>
    </row>
    <row r="124" customFormat="false" ht="15" hidden="false" customHeight="false" outlineLevel="0" collapsed="false">
      <c r="A124" s="34"/>
      <c r="B124" s="6"/>
      <c r="C124" s="0" t="str">
        <f aca="false">IF(B124="","",IFERROR(VLOOKUP(B124,'Recetas y precios'!$A$5:$B$55,2,FALSE()),""))</f>
        <v/>
      </c>
      <c r="D124" s="24"/>
      <c r="E124" s="6"/>
      <c r="F124" s="17"/>
      <c r="G124" s="15" t="n">
        <f aca="false">E124*F124</f>
        <v>0</v>
      </c>
      <c r="H124" s="15" t="n">
        <f aca="false">IF(B124="",0,E124*IFERROR(VLOOKUP(B124,'Recetas y precios'!$A$5:$R$55,18,FALSE()),0))</f>
        <v>0</v>
      </c>
      <c r="I124" s="30"/>
      <c r="J124" s="15" t="n">
        <f aca="false">G124*I124</f>
        <v>0</v>
      </c>
      <c r="K124" s="15" t="n">
        <f aca="false">G124-H124-J124</f>
        <v>0</v>
      </c>
      <c r="L124" s="16" t="str">
        <f aca="false">IF(G124&gt;0,K124/G124,"")</f>
        <v/>
      </c>
      <c r="M124" s="6"/>
    </row>
    <row r="125" customFormat="false" ht="15" hidden="false" customHeight="false" outlineLevel="0" collapsed="false">
      <c r="A125" s="34"/>
      <c r="B125" s="6"/>
      <c r="C125" s="0" t="str">
        <f aca="false">IF(B125="","",IFERROR(VLOOKUP(B125,'Recetas y precios'!$A$5:$B$55,2,FALSE()),""))</f>
        <v/>
      </c>
      <c r="D125" s="24"/>
      <c r="E125" s="6"/>
      <c r="F125" s="17"/>
      <c r="G125" s="15" t="n">
        <f aca="false">E125*F125</f>
        <v>0</v>
      </c>
      <c r="H125" s="15" t="n">
        <f aca="false">IF(B125="",0,E125*IFERROR(VLOOKUP(B125,'Recetas y precios'!$A$5:$R$55,18,FALSE()),0))</f>
        <v>0</v>
      </c>
      <c r="I125" s="30"/>
      <c r="J125" s="15" t="n">
        <f aca="false">G125*I125</f>
        <v>0</v>
      </c>
      <c r="K125" s="15" t="n">
        <f aca="false">G125-H125-J125</f>
        <v>0</v>
      </c>
      <c r="L125" s="16" t="str">
        <f aca="false">IF(G125&gt;0,K125/G125,"")</f>
        <v/>
      </c>
      <c r="M125" s="6"/>
    </row>
    <row r="126" customFormat="false" ht="15" hidden="false" customHeight="false" outlineLevel="0" collapsed="false">
      <c r="A126" s="34"/>
      <c r="B126" s="6"/>
      <c r="C126" s="0" t="str">
        <f aca="false">IF(B126="","",IFERROR(VLOOKUP(B126,'Recetas y precios'!$A$5:$B$55,2,FALSE()),""))</f>
        <v/>
      </c>
      <c r="D126" s="24"/>
      <c r="E126" s="6"/>
      <c r="F126" s="17"/>
      <c r="G126" s="15" t="n">
        <f aca="false">E126*F126</f>
        <v>0</v>
      </c>
      <c r="H126" s="15" t="n">
        <f aca="false">IF(B126="",0,E126*IFERROR(VLOOKUP(B126,'Recetas y precios'!$A$5:$R$55,18,FALSE()),0))</f>
        <v>0</v>
      </c>
      <c r="I126" s="30"/>
      <c r="J126" s="15" t="n">
        <f aca="false">G126*I126</f>
        <v>0</v>
      </c>
      <c r="K126" s="15" t="n">
        <f aca="false">G126-H126-J126</f>
        <v>0</v>
      </c>
      <c r="L126" s="16" t="str">
        <f aca="false">IF(G126&gt;0,K126/G126,"")</f>
        <v/>
      </c>
      <c r="M126" s="6"/>
    </row>
    <row r="127" customFormat="false" ht="15" hidden="false" customHeight="false" outlineLevel="0" collapsed="false">
      <c r="A127" s="34"/>
      <c r="B127" s="6"/>
      <c r="C127" s="0" t="str">
        <f aca="false">IF(B127="","",IFERROR(VLOOKUP(B127,'Recetas y precios'!$A$5:$B$55,2,FALSE()),""))</f>
        <v/>
      </c>
      <c r="D127" s="24"/>
      <c r="E127" s="6"/>
      <c r="F127" s="17"/>
      <c r="G127" s="15" t="n">
        <f aca="false">E127*F127</f>
        <v>0</v>
      </c>
      <c r="H127" s="15" t="n">
        <f aca="false">IF(B127="",0,E127*IFERROR(VLOOKUP(B127,'Recetas y precios'!$A$5:$R$55,18,FALSE()),0))</f>
        <v>0</v>
      </c>
      <c r="I127" s="30"/>
      <c r="J127" s="15" t="n">
        <f aca="false">G127*I127</f>
        <v>0</v>
      </c>
      <c r="K127" s="15" t="n">
        <f aca="false">G127-H127-J127</f>
        <v>0</v>
      </c>
      <c r="L127" s="16" t="str">
        <f aca="false">IF(G127&gt;0,K127/G127,"")</f>
        <v/>
      </c>
      <c r="M127" s="6"/>
    </row>
    <row r="128" customFormat="false" ht="15" hidden="false" customHeight="false" outlineLevel="0" collapsed="false">
      <c r="A128" s="34"/>
      <c r="B128" s="6"/>
      <c r="C128" s="0" t="str">
        <f aca="false">IF(B128="","",IFERROR(VLOOKUP(B128,'Recetas y precios'!$A$5:$B$55,2,FALSE()),""))</f>
        <v/>
      </c>
      <c r="D128" s="24"/>
      <c r="E128" s="6"/>
      <c r="F128" s="17"/>
      <c r="G128" s="15" t="n">
        <f aca="false">E128*F128</f>
        <v>0</v>
      </c>
      <c r="H128" s="15" t="n">
        <f aca="false">IF(B128="",0,E128*IFERROR(VLOOKUP(B128,'Recetas y precios'!$A$5:$R$55,18,FALSE()),0))</f>
        <v>0</v>
      </c>
      <c r="I128" s="30"/>
      <c r="J128" s="15" t="n">
        <f aca="false">G128*I128</f>
        <v>0</v>
      </c>
      <c r="K128" s="15" t="n">
        <f aca="false">G128-H128-J128</f>
        <v>0</v>
      </c>
      <c r="L128" s="16" t="str">
        <f aca="false">IF(G128&gt;0,K128/G128,"")</f>
        <v/>
      </c>
      <c r="M128" s="6"/>
    </row>
    <row r="129" customFormat="false" ht="15" hidden="false" customHeight="false" outlineLevel="0" collapsed="false">
      <c r="A129" s="34"/>
      <c r="B129" s="6"/>
      <c r="C129" s="0" t="str">
        <f aca="false">IF(B129="","",IFERROR(VLOOKUP(B129,'Recetas y precios'!$A$5:$B$55,2,FALSE()),""))</f>
        <v/>
      </c>
      <c r="D129" s="24"/>
      <c r="E129" s="6"/>
      <c r="F129" s="17"/>
      <c r="G129" s="15" t="n">
        <f aca="false">E129*F129</f>
        <v>0</v>
      </c>
      <c r="H129" s="15" t="n">
        <f aca="false">IF(B129="",0,E129*IFERROR(VLOOKUP(B129,'Recetas y precios'!$A$5:$R$55,18,FALSE()),0))</f>
        <v>0</v>
      </c>
      <c r="I129" s="30"/>
      <c r="J129" s="15" t="n">
        <f aca="false">G129*I129</f>
        <v>0</v>
      </c>
      <c r="K129" s="15" t="n">
        <f aca="false">G129-H129-J129</f>
        <v>0</v>
      </c>
      <c r="L129" s="16" t="str">
        <f aca="false">IF(G129&gt;0,K129/G129,"")</f>
        <v/>
      </c>
      <c r="M129" s="6"/>
    </row>
    <row r="130" customFormat="false" ht="15" hidden="false" customHeight="false" outlineLevel="0" collapsed="false">
      <c r="A130" s="34"/>
      <c r="B130" s="6"/>
      <c r="C130" s="0" t="str">
        <f aca="false">IF(B130="","",IFERROR(VLOOKUP(B130,'Recetas y precios'!$A$5:$B$55,2,FALSE()),""))</f>
        <v/>
      </c>
      <c r="D130" s="24"/>
      <c r="E130" s="6"/>
      <c r="F130" s="17"/>
      <c r="G130" s="15" t="n">
        <f aca="false">E130*F130</f>
        <v>0</v>
      </c>
      <c r="H130" s="15" t="n">
        <f aca="false">IF(B130="",0,E130*IFERROR(VLOOKUP(B130,'Recetas y precios'!$A$5:$R$55,18,FALSE()),0))</f>
        <v>0</v>
      </c>
      <c r="I130" s="30"/>
      <c r="J130" s="15" t="n">
        <f aca="false">G130*I130</f>
        <v>0</v>
      </c>
      <c r="K130" s="15" t="n">
        <f aca="false">G130-H130-J130</f>
        <v>0</v>
      </c>
      <c r="L130" s="16" t="str">
        <f aca="false">IF(G130&gt;0,K130/G130,"")</f>
        <v/>
      </c>
      <c r="M130" s="6"/>
    </row>
    <row r="131" customFormat="false" ht="15" hidden="false" customHeight="false" outlineLevel="0" collapsed="false">
      <c r="A131" s="34"/>
      <c r="B131" s="6"/>
      <c r="C131" s="0" t="str">
        <f aca="false">IF(B131="","",IFERROR(VLOOKUP(B131,'Recetas y precios'!$A$5:$B$55,2,FALSE()),""))</f>
        <v/>
      </c>
      <c r="D131" s="24"/>
      <c r="E131" s="6"/>
      <c r="F131" s="17"/>
      <c r="G131" s="15" t="n">
        <f aca="false">E131*F131</f>
        <v>0</v>
      </c>
      <c r="H131" s="15" t="n">
        <f aca="false">IF(B131="",0,E131*IFERROR(VLOOKUP(B131,'Recetas y precios'!$A$5:$R$55,18,FALSE()),0))</f>
        <v>0</v>
      </c>
      <c r="I131" s="30"/>
      <c r="J131" s="15" t="n">
        <f aca="false">G131*I131</f>
        <v>0</v>
      </c>
      <c r="K131" s="15" t="n">
        <f aca="false">G131-H131-J131</f>
        <v>0</v>
      </c>
      <c r="L131" s="16" t="str">
        <f aca="false">IF(G131&gt;0,K131/G131,"")</f>
        <v/>
      </c>
      <c r="M131" s="6"/>
    </row>
    <row r="132" customFormat="false" ht="15" hidden="false" customHeight="false" outlineLevel="0" collapsed="false">
      <c r="A132" s="34"/>
      <c r="B132" s="6"/>
      <c r="C132" s="0" t="str">
        <f aca="false">IF(B132="","",IFERROR(VLOOKUP(B132,'Recetas y precios'!$A$5:$B$55,2,FALSE()),""))</f>
        <v/>
      </c>
      <c r="D132" s="24"/>
      <c r="E132" s="6"/>
      <c r="F132" s="17"/>
      <c r="G132" s="15" t="n">
        <f aca="false">E132*F132</f>
        <v>0</v>
      </c>
      <c r="H132" s="15" t="n">
        <f aca="false">IF(B132="",0,E132*IFERROR(VLOOKUP(B132,'Recetas y precios'!$A$5:$R$55,18,FALSE()),0))</f>
        <v>0</v>
      </c>
      <c r="I132" s="30"/>
      <c r="J132" s="15" t="n">
        <f aca="false">G132*I132</f>
        <v>0</v>
      </c>
      <c r="K132" s="15" t="n">
        <f aca="false">G132-H132-J132</f>
        <v>0</v>
      </c>
      <c r="L132" s="16" t="str">
        <f aca="false">IF(G132&gt;0,K132/G132,"")</f>
        <v/>
      </c>
      <c r="M132" s="6"/>
    </row>
    <row r="133" customFormat="false" ht="15" hidden="false" customHeight="false" outlineLevel="0" collapsed="false">
      <c r="A133" s="34"/>
      <c r="B133" s="6"/>
      <c r="C133" s="0" t="str">
        <f aca="false">IF(B133="","",IFERROR(VLOOKUP(B133,'Recetas y precios'!$A$5:$B$55,2,FALSE()),""))</f>
        <v/>
      </c>
      <c r="D133" s="24"/>
      <c r="E133" s="6"/>
      <c r="F133" s="17"/>
      <c r="G133" s="15" t="n">
        <f aca="false">E133*F133</f>
        <v>0</v>
      </c>
      <c r="H133" s="15" t="n">
        <f aca="false">IF(B133="",0,E133*IFERROR(VLOOKUP(B133,'Recetas y precios'!$A$5:$R$55,18,FALSE()),0))</f>
        <v>0</v>
      </c>
      <c r="I133" s="30"/>
      <c r="J133" s="15" t="n">
        <f aca="false">G133*I133</f>
        <v>0</v>
      </c>
      <c r="K133" s="15" t="n">
        <f aca="false">G133-H133-J133</f>
        <v>0</v>
      </c>
      <c r="L133" s="16" t="str">
        <f aca="false">IF(G133&gt;0,K133/G133,"")</f>
        <v/>
      </c>
      <c r="M133" s="6"/>
    </row>
    <row r="134" customFormat="false" ht="15" hidden="false" customHeight="false" outlineLevel="0" collapsed="false">
      <c r="A134" s="34"/>
      <c r="B134" s="6"/>
      <c r="C134" s="0" t="str">
        <f aca="false">IF(B134="","",IFERROR(VLOOKUP(B134,'Recetas y precios'!$A$5:$B$55,2,FALSE()),""))</f>
        <v/>
      </c>
      <c r="D134" s="24"/>
      <c r="E134" s="6"/>
      <c r="F134" s="17"/>
      <c r="G134" s="15" t="n">
        <f aca="false">E134*F134</f>
        <v>0</v>
      </c>
      <c r="H134" s="15" t="n">
        <f aca="false">IF(B134="",0,E134*IFERROR(VLOOKUP(B134,'Recetas y precios'!$A$5:$R$55,18,FALSE()),0))</f>
        <v>0</v>
      </c>
      <c r="I134" s="30"/>
      <c r="J134" s="15" t="n">
        <f aca="false">G134*I134</f>
        <v>0</v>
      </c>
      <c r="K134" s="15" t="n">
        <f aca="false">G134-H134-J134</f>
        <v>0</v>
      </c>
      <c r="L134" s="16" t="str">
        <f aca="false">IF(G134&gt;0,K134/G134,"")</f>
        <v/>
      </c>
      <c r="M134" s="6"/>
    </row>
    <row r="135" customFormat="false" ht="15" hidden="false" customHeight="false" outlineLevel="0" collapsed="false">
      <c r="A135" s="34"/>
      <c r="B135" s="6"/>
      <c r="C135" s="0" t="str">
        <f aca="false">IF(B135="","",IFERROR(VLOOKUP(B135,'Recetas y precios'!$A$5:$B$55,2,FALSE()),""))</f>
        <v/>
      </c>
      <c r="D135" s="24"/>
      <c r="E135" s="6"/>
      <c r="F135" s="17"/>
      <c r="G135" s="15" t="n">
        <f aca="false">E135*F135</f>
        <v>0</v>
      </c>
      <c r="H135" s="15" t="n">
        <f aca="false">IF(B135="",0,E135*IFERROR(VLOOKUP(B135,'Recetas y precios'!$A$5:$R$55,18,FALSE()),0))</f>
        <v>0</v>
      </c>
      <c r="I135" s="30"/>
      <c r="J135" s="15" t="n">
        <f aca="false">G135*I135</f>
        <v>0</v>
      </c>
      <c r="K135" s="15" t="n">
        <f aca="false">G135-H135-J135</f>
        <v>0</v>
      </c>
      <c r="L135" s="16" t="str">
        <f aca="false">IF(G135&gt;0,K135/G135,"")</f>
        <v/>
      </c>
      <c r="M135" s="6"/>
    </row>
    <row r="136" customFormat="false" ht="15" hidden="false" customHeight="false" outlineLevel="0" collapsed="false">
      <c r="A136" s="34"/>
      <c r="B136" s="6"/>
      <c r="C136" s="0" t="str">
        <f aca="false">IF(B136="","",IFERROR(VLOOKUP(B136,'Recetas y precios'!$A$5:$B$55,2,FALSE()),""))</f>
        <v/>
      </c>
      <c r="D136" s="24"/>
      <c r="E136" s="6"/>
      <c r="F136" s="17"/>
      <c r="G136" s="15" t="n">
        <f aca="false">E136*F136</f>
        <v>0</v>
      </c>
      <c r="H136" s="15" t="n">
        <f aca="false">IF(B136="",0,E136*IFERROR(VLOOKUP(B136,'Recetas y precios'!$A$5:$R$55,18,FALSE()),0))</f>
        <v>0</v>
      </c>
      <c r="I136" s="30"/>
      <c r="J136" s="15" t="n">
        <f aca="false">G136*I136</f>
        <v>0</v>
      </c>
      <c r="K136" s="15" t="n">
        <f aca="false">G136-H136-J136</f>
        <v>0</v>
      </c>
      <c r="L136" s="16" t="str">
        <f aca="false">IF(G136&gt;0,K136/G136,"")</f>
        <v/>
      </c>
      <c r="M136" s="6"/>
    </row>
    <row r="137" customFormat="false" ht="15" hidden="false" customHeight="false" outlineLevel="0" collapsed="false">
      <c r="A137" s="34"/>
      <c r="B137" s="6"/>
      <c r="C137" s="0" t="str">
        <f aca="false">IF(B137="","",IFERROR(VLOOKUP(B137,'Recetas y precios'!$A$5:$B$55,2,FALSE()),""))</f>
        <v/>
      </c>
      <c r="D137" s="24"/>
      <c r="E137" s="6"/>
      <c r="F137" s="17"/>
      <c r="G137" s="15" t="n">
        <f aca="false">E137*F137</f>
        <v>0</v>
      </c>
      <c r="H137" s="15" t="n">
        <f aca="false">IF(B137="",0,E137*IFERROR(VLOOKUP(B137,'Recetas y precios'!$A$5:$R$55,18,FALSE()),0))</f>
        <v>0</v>
      </c>
      <c r="I137" s="30"/>
      <c r="J137" s="15" t="n">
        <f aca="false">G137*I137</f>
        <v>0</v>
      </c>
      <c r="K137" s="15" t="n">
        <f aca="false">G137-H137-J137</f>
        <v>0</v>
      </c>
      <c r="L137" s="16" t="str">
        <f aca="false">IF(G137&gt;0,K137/G137,"")</f>
        <v/>
      </c>
      <c r="M137" s="6"/>
    </row>
    <row r="138" customFormat="false" ht="15" hidden="false" customHeight="false" outlineLevel="0" collapsed="false">
      <c r="A138" s="34"/>
      <c r="B138" s="6"/>
      <c r="C138" s="0" t="str">
        <f aca="false">IF(B138="","",IFERROR(VLOOKUP(B138,'Recetas y precios'!$A$5:$B$55,2,FALSE()),""))</f>
        <v/>
      </c>
      <c r="D138" s="24"/>
      <c r="E138" s="6"/>
      <c r="F138" s="17"/>
      <c r="G138" s="15" t="n">
        <f aca="false">E138*F138</f>
        <v>0</v>
      </c>
      <c r="H138" s="15" t="n">
        <f aca="false">IF(B138="",0,E138*IFERROR(VLOOKUP(B138,'Recetas y precios'!$A$5:$R$55,18,FALSE()),0))</f>
        <v>0</v>
      </c>
      <c r="I138" s="30"/>
      <c r="J138" s="15" t="n">
        <f aca="false">G138*I138</f>
        <v>0</v>
      </c>
      <c r="K138" s="15" t="n">
        <f aca="false">G138-H138-J138</f>
        <v>0</v>
      </c>
      <c r="L138" s="16" t="str">
        <f aca="false">IF(G138&gt;0,K138/G138,"")</f>
        <v/>
      </c>
      <c r="M138" s="6"/>
    </row>
    <row r="139" customFormat="false" ht="15" hidden="false" customHeight="false" outlineLevel="0" collapsed="false">
      <c r="A139" s="34"/>
      <c r="B139" s="6"/>
      <c r="C139" s="0" t="str">
        <f aca="false">IF(B139="","",IFERROR(VLOOKUP(B139,'Recetas y precios'!$A$5:$B$55,2,FALSE()),""))</f>
        <v/>
      </c>
      <c r="D139" s="24"/>
      <c r="E139" s="6"/>
      <c r="F139" s="17"/>
      <c r="G139" s="15" t="n">
        <f aca="false">E139*F139</f>
        <v>0</v>
      </c>
      <c r="H139" s="15" t="n">
        <f aca="false">IF(B139="",0,E139*IFERROR(VLOOKUP(B139,'Recetas y precios'!$A$5:$R$55,18,FALSE()),0))</f>
        <v>0</v>
      </c>
      <c r="I139" s="30"/>
      <c r="J139" s="15" t="n">
        <f aca="false">G139*I139</f>
        <v>0</v>
      </c>
      <c r="K139" s="15" t="n">
        <f aca="false">G139-H139-J139</f>
        <v>0</v>
      </c>
      <c r="L139" s="16" t="str">
        <f aca="false">IF(G139&gt;0,K139/G139,"")</f>
        <v/>
      </c>
      <c r="M139" s="6"/>
    </row>
    <row r="140" customFormat="false" ht="15" hidden="false" customHeight="false" outlineLevel="0" collapsed="false">
      <c r="A140" s="34"/>
      <c r="B140" s="6"/>
      <c r="C140" s="0" t="str">
        <f aca="false">IF(B140="","",IFERROR(VLOOKUP(B140,'Recetas y precios'!$A$5:$B$55,2,FALSE()),""))</f>
        <v/>
      </c>
      <c r="D140" s="24"/>
      <c r="E140" s="6"/>
      <c r="F140" s="17"/>
      <c r="G140" s="15" t="n">
        <f aca="false">E140*F140</f>
        <v>0</v>
      </c>
      <c r="H140" s="15" t="n">
        <f aca="false">IF(B140="",0,E140*IFERROR(VLOOKUP(B140,'Recetas y precios'!$A$5:$R$55,18,FALSE()),0))</f>
        <v>0</v>
      </c>
      <c r="I140" s="30"/>
      <c r="J140" s="15" t="n">
        <f aca="false">G140*I140</f>
        <v>0</v>
      </c>
      <c r="K140" s="15" t="n">
        <f aca="false">G140-H140-J140</f>
        <v>0</v>
      </c>
      <c r="L140" s="16" t="str">
        <f aca="false">IF(G140&gt;0,K140/G140,"")</f>
        <v/>
      </c>
      <c r="M140" s="6"/>
    </row>
    <row r="141" customFormat="false" ht="15" hidden="false" customHeight="false" outlineLevel="0" collapsed="false">
      <c r="A141" s="34"/>
      <c r="B141" s="6"/>
      <c r="C141" s="0" t="str">
        <f aca="false">IF(B141="","",IFERROR(VLOOKUP(B141,'Recetas y precios'!$A$5:$B$55,2,FALSE()),""))</f>
        <v/>
      </c>
      <c r="D141" s="24"/>
      <c r="E141" s="6"/>
      <c r="F141" s="17"/>
      <c r="G141" s="15" t="n">
        <f aca="false">E141*F141</f>
        <v>0</v>
      </c>
      <c r="H141" s="15" t="n">
        <f aca="false">IF(B141="",0,E141*IFERROR(VLOOKUP(B141,'Recetas y precios'!$A$5:$R$55,18,FALSE()),0))</f>
        <v>0</v>
      </c>
      <c r="I141" s="30"/>
      <c r="J141" s="15" t="n">
        <f aca="false">G141*I141</f>
        <v>0</v>
      </c>
      <c r="K141" s="15" t="n">
        <f aca="false">G141-H141-J141</f>
        <v>0</v>
      </c>
      <c r="L141" s="16" t="str">
        <f aca="false">IF(G141&gt;0,K141/G141,"")</f>
        <v/>
      </c>
      <c r="M141" s="6"/>
    </row>
    <row r="142" customFormat="false" ht="15" hidden="false" customHeight="false" outlineLevel="0" collapsed="false">
      <c r="A142" s="34"/>
      <c r="B142" s="6"/>
      <c r="C142" s="0" t="str">
        <f aca="false">IF(B142="","",IFERROR(VLOOKUP(B142,'Recetas y precios'!$A$5:$B$55,2,FALSE()),""))</f>
        <v/>
      </c>
      <c r="D142" s="24"/>
      <c r="E142" s="6"/>
      <c r="F142" s="17"/>
      <c r="G142" s="15" t="n">
        <f aca="false">E142*F142</f>
        <v>0</v>
      </c>
      <c r="H142" s="15" t="n">
        <f aca="false">IF(B142="",0,E142*IFERROR(VLOOKUP(B142,'Recetas y precios'!$A$5:$R$55,18,FALSE()),0))</f>
        <v>0</v>
      </c>
      <c r="I142" s="30"/>
      <c r="J142" s="15" t="n">
        <f aca="false">G142*I142</f>
        <v>0</v>
      </c>
      <c r="K142" s="15" t="n">
        <f aca="false">G142-H142-J142</f>
        <v>0</v>
      </c>
      <c r="L142" s="16" t="str">
        <f aca="false">IF(G142&gt;0,K142/G142,"")</f>
        <v/>
      </c>
      <c r="M142" s="6"/>
    </row>
    <row r="143" customFormat="false" ht="15" hidden="false" customHeight="false" outlineLevel="0" collapsed="false">
      <c r="A143" s="34"/>
      <c r="B143" s="6"/>
      <c r="C143" s="0" t="str">
        <f aca="false">IF(B143="","",IFERROR(VLOOKUP(B143,'Recetas y precios'!$A$5:$B$55,2,FALSE()),""))</f>
        <v/>
      </c>
      <c r="D143" s="24"/>
      <c r="E143" s="6"/>
      <c r="F143" s="17"/>
      <c r="G143" s="15" t="n">
        <f aca="false">E143*F143</f>
        <v>0</v>
      </c>
      <c r="H143" s="15" t="n">
        <f aca="false">IF(B143="",0,E143*IFERROR(VLOOKUP(B143,'Recetas y precios'!$A$5:$R$55,18,FALSE()),0))</f>
        <v>0</v>
      </c>
      <c r="I143" s="30"/>
      <c r="J143" s="15" t="n">
        <f aca="false">G143*I143</f>
        <v>0</v>
      </c>
      <c r="K143" s="15" t="n">
        <f aca="false">G143-H143-J143</f>
        <v>0</v>
      </c>
      <c r="L143" s="16" t="str">
        <f aca="false">IF(G143&gt;0,K143/G143,"")</f>
        <v/>
      </c>
      <c r="M143" s="6"/>
    </row>
    <row r="144" customFormat="false" ht="15" hidden="false" customHeight="false" outlineLevel="0" collapsed="false">
      <c r="A144" s="34"/>
      <c r="B144" s="6"/>
      <c r="C144" s="0" t="str">
        <f aca="false">IF(B144="","",IFERROR(VLOOKUP(B144,'Recetas y precios'!$A$5:$B$55,2,FALSE()),""))</f>
        <v/>
      </c>
      <c r="D144" s="24"/>
      <c r="E144" s="6"/>
      <c r="F144" s="17"/>
      <c r="G144" s="15" t="n">
        <f aca="false">E144*F144</f>
        <v>0</v>
      </c>
      <c r="H144" s="15" t="n">
        <f aca="false">IF(B144="",0,E144*IFERROR(VLOOKUP(B144,'Recetas y precios'!$A$5:$R$55,18,FALSE()),0))</f>
        <v>0</v>
      </c>
      <c r="I144" s="30"/>
      <c r="J144" s="15" t="n">
        <f aca="false">G144*I144</f>
        <v>0</v>
      </c>
      <c r="K144" s="15" t="n">
        <f aca="false">G144-H144-J144</f>
        <v>0</v>
      </c>
      <c r="L144" s="16" t="str">
        <f aca="false">IF(G144&gt;0,K144/G144,"")</f>
        <v/>
      </c>
      <c r="M144" s="6"/>
    </row>
    <row r="145" customFormat="false" ht="15" hidden="false" customHeight="false" outlineLevel="0" collapsed="false">
      <c r="A145" s="34"/>
      <c r="B145" s="6"/>
      <c r="C145" s="0" t="str">
        <f aca="false">IF(B145="","",IFERROR(VLOOKUP(B145,'Recetas y precios'!$A$5:$B$55,2,FALSE()),""))</f>
        <v/>
      </c>
      <c r="D145" s="24"/>
      <c r="E145" s="6"/>
      <c r="F145" s="17"/>
      <c r="G145" s="15" t="n">
        <f aca="false">E145*F145</f>
        <v>0</v>
      </c>
      <c r="H145" s="15" t="n">
        <f aca="false">IF(B145="",0,E145*IFERROR(VLOOKUP(B145,'Recetas y precios'!$A$5:$R$55,18,FALSE()),0))</f>
        <v>0</v>
      </c>
      <c r="I145" s="30"/>
      <c r="J145" s="15" t="n">
        <f aca="false">G145*I145</f>
        <v>0</v>
      </c>
      <c r="K145" s="15" t="n">
        <f aca="false">G145-H145-J145</f>
        <v>0</v>
      </c>
      <c r="L145" s="16" t="str">
        <f aca="false">IF(G145&gt;0,K145/G145,"")</f>
        <v/>
      </c>
      <c r="M145" s="6"/>
    </row>
    <row r="146" customFormat="false" ht="15" hidden="false" customHeight="false" outlineLevel="0" collapsed="false">
      <c r="A146" s="34"/>
      <c r="B146" s="6"/>
      <c r="C146" s="0" t="str">
        <f aca="false">IF(B146="","",IFERROR(VLOOKUP(B146,'Recetas y precios'!$A$5:$B$55,2,FALSE()),""))</f>
        <v/>
      </c>
      <c r="D146" s="24"/>
      <c r="E146" s="6"/>
      <c r="F146" s="17"/>
      <c r="G146" s="15" t="n">
        <f aca="false">E146*F146</f>
        <v>0</v>
      </c>
      <c r="H146" s="15" t="n">
        <f aca="false">IF(B146="",0,E146*IFERROR(VLOOKUP(B146,'Recetas y precios'!$A$5:$R$55,18,FALSE()),0))</f>
        <v>0</v>
      </c>
      <c r="I146" s="30"/>
      <c r="J146" s="15" t="n">
        <f aca="false">G146*I146</f>
        <v>0</v>
      </c>
      <c r="K146" s="15" t="n">
        <f aca="false">G146-H146-J146</f>
        <v>0</v>
      </c>
      <c r="L146" s="16" t="str">
        <f aca="false">IF(G146&gt;0,K146/G146,"")</f>
        <v/>
      </c>
      <c r="M146" s="6"/>
    </row>
    <row r="147" customFormat="false" ht="15" hidden="false" customHeight="false" outlineLevel="0" collapsed="false">
      <c r="A147" s="34"/>
      <c r="B147" s="6"/>
      <c r="C147" s="0" t="str">
        <f aca="false">IF(B147="","",IFERROR(VLOOKUP(B147,'Recetas y precios'!$A$5:$B$55,2,FALSE()),""))</f>
        <v/>
      </c>
      <c r="D147" s="24"/>
      <c r="E147" s="6"/>
      <c r="F147" s="17"/>
      <c r="G147" s="15" t="n">
        <f aca="false">E147*F147</f>
        <v>0</v>
      </c>
      <c r="H147" s="15" t="n">
        <f aca="false">IF(B147="",0,E147*IFERROR(VLOOKUP(B147,'Recetas y precios'!$A$5:$R$55,18,FALSE()),0))</f>
        <v>0</v>
      </c>
      <c r="I147" s="30"/>
      <c r="J147" s="15" t="n">
        <f aca="false">G147*I147</f>
        <v>0</v>
      </c>
      <c r="K147" s="15" t="n">
        <f aca="false">G147-H147-J147</f>
        <v>0</v>
      </c>
      <c r="L147" s="16" t="str">
        <f aca="false">IF(G147&gt;0,K147/G147,"")</f>
        <v/>
      </c>
      <c r="M147" s="6"/>
    </row>
    <row r="148" customFormat="false" ht="15" hidden="false" customHeight="false" outlineLevel="0" collapsed="false">
      <c r="A148" s="34"/>
      <c r="B148" s="6"/>
      <c r="C148" s="0" t="str">
        <f aca="false">IF(B148="","",IFERROR(VLOOKUP(B148,'Recetas y precios'!$A$5:$B$55,2,FALSE()),""))</f>
        <v/>
      </c>
      <c r="D148" s="24"/>
      <c r="E148" s="6"/>
      <c r="F148" s="17"/>
      <c r="G148" s="15" t="n">
        <f aca="false">E148*F148</f>
        <v>0</v>
      </c>
      <c r="H148" s="15" t="n">
        <f aca="false">IF(B148="",0,E148*IFERROR(VLOOKUP(B148,'Recetas y precios'!$A$5:$R$55,18,FALSE()),0))</f>
        <v>0</v>
      </c>
      <c r="I148" s="30"/>
      <c r="J148" s="15" t="n">
        <f aca="false">G148*I148</f>
        <v>0</v>
      </c>
      <c r="K148" s="15" t="n">
        <f aca="false">G148-H148-J148</f>
        <v>0</v>
      </c>
      <c r="L148" s="16" t="str">
        <f aca="false">IF(G148&gt;0,K148/G148,"")</f>
        <v/>
      </c>
      <c r="M148" s="6"/>
    </row>
    <row r="149" customFormat="false" ht="15" hidden="false" customHeight="false" outlineLevel="0" collapsed="false">
      <c r="A149" s="34"/>
      <c r="B149" s="6"/>
      <c r="C149" s="0" t="str">
        <f aca="false">IF(B149="","",IFERROR(VLOOKUP(B149,'Recetas y precios'!$A$5:$B$55,2,FALSE()),""))</f>
        <v/>
      </c>
      <c r="D149" s="24"/>
      <c r="E149" s="6"/>
      <c r="F149" s="17"/>
      <c r="G149" s="15" t="n">
        <f aca="false">E149*F149</f>
        <v>0</v>
      </c>
      <c r="H149" s="15" t="n">
        <f aca="false">IF(B149="",0,E149*IFERROR(VLOOKUP(B149,'Recetas y precios'!$A$5:$R$55,18,FALSE()),0))</f>
        <v>0</v>
      </c>
      <c r="I149" s="30"/>
      <c r="J149" s="15" t="n">
        <f aca="false">G149*I149</f>
        <v>0</v>
      </c>
      <c r="K149" s="15" t="n">
        <f aca="false">G149-H149-J149</f>
        <v>0</v>
      </c>
      <c r="L149" s="16" t="str">
        <f aca="false">IF(G149&gt;0,K149/G149,"")</f>
        <v/>
      </c>
      <c r="M149" s="6"/>
    </row>
    <row r="150" customFormat="false" ht="15" hidden="false" customHeight="false" outlineLevel="0" collapsed="false">
      <c r="A150" s="34"/>
      <c r="B150" s="6"/>
      <c r="C150" s="0" t="str">
        <f aca="false">IF(B150="","",IFERROR(VLOOKUP(B150,'Recetas y precios'!$A$5:$B$55,2,FALSE()),""))</f>
        <v/>
      </c>
      <c r="D150" s="24"/>
      <c r="E150" s="6"/>
      <c r="F150" s="17"/>
      <c r="G150" s="15" t="n">
        <f aca="false">E150*F150</f>
        <v>0</v>
      </c>
      <c r="H150" s="15" t="n">
        <f aca="false">IF(B150="",0,E150*IFERROR(VLOOKUP(B150,'Recetas y precios'!$A$5:$R$55,18,FALSE()),0))</f>
        <v>0</v>
      </c>
      <c r="I150" s="30"/>
      <c r="J150" s="15" t="n">
        <f aca="false">G150*I150</f>
        <v>0</v>
      </c>
      <c r="K150" s="15" t="n">
        <f aca="false">G150-H150-J150</f>
        <v>0</v>
      </c>
      <c r="L150" s="16" t="str">
        <f aca="false">IF(G150&gt;0,K150/G150,"")</f>
        <v/>
      </c>
      <c r="M150" s="6"/>
    </row>
    <row r="151" customFormat="false" ht="15" hidden="false" customHeight="false" outlineLevel="0" collapsed="false">
      <c r="A151" s="34"/>
      <c r="B151" s="6"/>
      <c r="C151" s="0" t="str">
        <f aca="false">IF(B151="","",IFERROR(VLOOKUP(B151,'Recetas y precios'!$A$5:$B$55,2,FALSE()),""))</f>
        <v/>
      </c>
      <c r="D151" s="24"/>
      <c r="E151" s="6"/>
      <c r="F151" s="17"/>
      <c r="G151" s="15" t="n">
        <f aca="false">E151*F151</f>
        <v>0</v>
      </c>
      <c r="H151" s="15" t="n">
        <f aca="false">IF(B151="",0,E151*IFERROR(VLOOKUP(B151,'Recetas y precios'!$A$5:$R$55,18,FALSE()),0))</f>
        <v>0</v>
      </c>
      <c r="I151" s="30"/>
      <c r="J151" s="15" t="n">
        <f aca="false">G151*I151</f>
        <v>0</v>
      </c>
      <c r="K151" s="15" t="n">
        <f aca="false">G151-H151-J151</f>
        <v>0</v>
      </c>
      <c r="L151" s="16" t="str">
        <f aca="false">IF(G151&gt;0,K151/G151,"")</f>
        <v/>
      </c>
      <c r="M151" s="6"/>
    </row>
    <row r="152" customFormat="false" ht="15" hidden="false" customHeight="false" outlineLevel="0" collapsed="false">
      <c r="A152" s="34"/>
      <c r="B152" s="6"/>
      <c r="C152" s="0" t="str">
        <f aca="false">IF(B152="","",IFERROR(VLOOKUP(B152,'Recetas y precios'!$A$5:$B$55,2,FALSE()),""))</f>
        <v/>
      </c>
      <c r="D152" s="24"/>
      <c r="E152" s="6"/>
      <c r="F152" s="17"/>
      <c r="G152" s="15" t="n">
        <f aca="false">E152*F152</f>
        <v>0</v>
      </c>
      <c r="H152" s="15" t="n">
        <f aca="false">IF(B152="",0,E152*IFERROR(VLOOKUP(B152,'Recetas y precios'!$A$5:$R$55,18,FALSE()),0))</f>
        <v>0</v>
      </c>
      <c r="I152" s="30"/>
      <c r="J152" s="15" t="n">
        <f aca="false">G152*I152</f>
        <v>0</v>
      </c>
      <c r="K152" s="15" t="n">
        <f aca="false">G152-H152-J152</f>
        <v>0</v>
      </c>
      <c r="L152" s="16" t="str">
        <f aca="false">IF(G152&gt;0,K152/G152,"")</f>
        <v/>
      </c>
      <c r="M152" s="6"/>
    </row>
    <row r="153" customFormat="false" ht="15" hidden="false" customHeight="false" outlineLevel="0" collapsed="false">
      <c r="A153" s="34"/>
      <c r="B153" s="6"/>
      <c r="C153" s="0" t="str">
        <f aca="false">IF(B153="","",IFERROR(VLOOKUP(B153,'Recetas y precios'!$A$5:$B$55,2,FALSE()),""))</f>
        <v/>
      </c>
      <c r="D153" s="24"/>
      <c r="E153" s="6"/>
      <c r="F153" s="17"/>
      <c r="G153" s="15" t="n">
        <f aca="false">E153*F153</f>
        <v>0</v>
      </c>
      <c r="H153" s="15" t="n">
        <f aca="false">IF(B153="",0,E153*IFERROR(VLOOKUP(B153,'Recetas y precios'!$A$5:$R$55,18,FALSE()),0))</f>
        <v>0</v>
      </c>
      <c r="I153" s="30"/>
      <c r="J153" s="15" t="n">
        <f aca="false">G153*I153</f>
        <v>0</v>
      </c>
      <c r="K153" s="15" t="n">
        <f aca="false">G153-H153-J153</f>
        <v>0</v>
      </c>
      <c r="L153" s="16" t="str">
        <f aca="false">IF(G153&gt;0,K153/G153,"")</f>
        <v/>
      </c>
      <c r="M153" s="6"/>
    </row>
    <row r="154" customFormat="false" ht="15" hidden="false" customHeight="false" outlineLevel="0" collapsed="false">
      <c r="A154" s="34"/>
      <c r="B154" s="6"/>
      <c r="C154" s="0" t="str">
        <f aca="false">IF(B154="","",IFERROR(VLOOKUP(B154,'Recetas y precios'!$A$5:$B$55,2,FALSE()),""))</f>
        <v/>
      </c>
      <c r="D154" s="24"/>
      <c r="E154" s="6"/>
      <c r="F154" s="17"/>
      <c r="G154" s="15" t="n">
        <f aca="false">E154*F154</f>
        <v>0</v>
      </c>
      <c r="H154" s="15" t="n">
        <f aca="false">IF(B154="",0,E154*IFERROR(VLOOKUP(B154,'Recetas y precios'!$A$5:$R$55,18,FALSE()),0))</f>
        <v>0</v>
      </c>
      <c r="I154" s="30"/>
      <c r="J154" s="15" t="n">
        <f aca="false">G154*I154</f>
        <v>0</v>
      </c>
      <c r="K154" s="15" t="n">
        <f aca="false">G154-H154-J154</f>
        <v>0</v>
      </c>
      <c r="L154" s="16" t="str">
        <f aca="false">IF(G154&gt;0,K154/G154,"")</f>
        <v/>
      </c>
      <c r="M154" s="6"/>
    </row>
    <row r="155" customFormat="false" ht="15" hidden="false" customHeight="false" outlineLevel="0" collapsed="false">
      <c r="A155" s="34"/>
      <c r="B155" s="6"/>
      <c r="C155" s="0" t="str">
        <f aca="false">IF(B155="","",IFERROR(VLOOKUP(B155,'Recetas y precios'!$A$5:$B$55,2,FALSE()),""))</f>
        <v/>
      </c>
      <c r="D155" s="24"/>
      <c r="E155" s="6"/>
      <c r="F155" s="17"/>
      <c r="G155" s="15" t="n">
        <f aca="false">E155*F155</f>
        <v>0</v>
      </c>
      <c r="H155" s="15" t="n">
        <f aca="false">IF(B155="",0,E155*IFERROR(VLOOKUP(B155,'Recetas y precios'!$A$5:$R$55,18,FALSE()),0))</f>
        <v>0</v>
      </c>
      <c r="I155" s="30"/>
      <c r="J155" s="15" t="n">
        <f aca="false">G155*I155</f>
        <v>0</v>
      </c>
      <c r="K155" s="15" t="n">
        <f aca="false">G155-H155-J155</f>
        <v>0</v>
      </c>
      <c r="L155" s="16" t="str">
        <f aca="false">IF(G155&gt;0,K155/G155,"")</f>
        <v/>
      </c>
      <c r="M155" s="6"/>
    </row>
    <row r="156" customFormat="false" ht="15" hidden="false" customHeight="false" outlineLevel="0" collapsed="false">
      <c r="A156" s="34"/>
      <c r="B156" s="6"/>
      <c r="C156" s="0" t="str">
        <f aca="false">IF(B156="","",IFERROR(VLOOKUP(B156,'Recetas y precios'!$A$5:$B$55,2,FALSE()),""))</f>
        <v/>
      </c>
      <c r="D156" s="24"/>
      <c r="E156" s="6"/>
      <c r="F156" s="17"/>
      <c r="G156" s="15" t="n">
        <f aca="false">E156*F156</f>
        <v>0</v>
      </c>
      <c r="H156" s="15" t="n">
        <f aca="false">IF(B156="",0,E156*IFERROR(VLOOKUP(B156,'Recetas y precios'!$A$5:$R$55,18,FALSE()),0))</f>
        <v>0</v>
      </c>
      <c r="I156" s="30"/>
      <c r="J156" s="15" t="n">
        <f aca="false">G156*I156</f>
        <v>0</v>
      </c>
      <c r="K156" s="15" t="n">
        <f aca="false">G156-H156-J156</f>
        <v>0</v>
      </c>
      <c r="L156" s="16" t="str">
        <f aca="false">IF(G156&gt;0,K156/G156,"")</f>
        <v/>
      </c>
      <c r="M156" s="6"/>
    </row>
    <row r="157" customFormat="false" ht="15" hidden="false" customHeight="false" outlineLevel="0" collapsed="false">
      <c r="A157" s="34"/>
      <c r="B157" s="6"/>
      <c r="C157" s="0" t="str">
        <f aca="false">IF(B157="","",IFERROR(VLOOKUP(B157,'Recetas y precios'!$A$5:$B$55,2,FALSE()),""))</f>
        <v/>
      </c>
      <c r="D157" s="24"/>
      <c r="E157" s="6"/>
      <c r="F157" s="17"/>
      <c r="G157" s="15" t="n">
        <f aca="false">E157*F157</f>
        <v>0</v>
      </c>
      <c r="H157" s="15" t="n">
        <f aca="false">IF(B157="",0,E157*IFERROR(VLOOKUP(B157,'Recetas y precios'!$A$5:$R$55,18,FALSE()),0))</f>
        <v>0</v>
      </c>
      <c r="I157" s="30"/>
      <c r="J157" s="15" t="n">
        <f aca="false">G157*I157</f>
        <v>0</v>
      </c>
      <c r="K157" s="15" t="n">
        <f aca="false">G157-H157-J157</f>
        <v>0</v>
      </c>
      <c r="L157" s="16" t="str">
        <f aca="false">IF(G157&gt;0,K157/G157,"")</f>
        <v/>
      </c>
      <c r="M157" s="6"/>
    </row>
    <row r="158" customFormat="false" ht="15" hidden="false" customHeight="false" outlineLevel="0" collapsed="false">
      <c r="A158" s="34"/>
      <c r="B158" s="6"/>
      <c r="C158" s="0" t="str">
        <f aca="false">IF(B158="","",IFERROR(VLOOKUP(B158,'Recetas y precios'!$A$5:$B$55,2,FALSE()),""))</f>
        <v/>
      </c>
      <c r="D158" s="24"/>
      <c r="E158" s="6"/>
      <c r="F158" s="17"/>
      <c r="G158" s="15" t="n">
        <f aca="false">E158*F158</f>
        <v>0</v>
      </c>
      <c r="H158" s="15" t="n">
        <f aca="false">IF(B158="",0,E158*IFERROR(VLOOKUP(B158,'Recetas y precios'!$A$5:$R$55,18,FALSE()),0))</f>
        <v>0</v>
      </c>
      <c r="I158" s="30"/>
      <c r="J158" s="15" t="n">
        <f aca="false">G158*I158</f>
        <v>0</v>
      </c>
      <c r="K158" s="15" t="n">
        <f aca="false">G158-H158-J158</f>
        <v>0</v>
      </c>
      <c r="L158" s="16" t="str">
        <f aca="false">IF(G158&gt;0,K158/G158,"")</f>
        <v/>
      </c>
      <c r="M158" s="6"/>
    </row>
    <row r="159" customFormat="false" ht="15" hidden="false" customHeight="false" outlineLevel="0" collapsed="false">
      <c r="A159" s="34"/>
      <c r="B159" s="6"/>
      <c r="C159" s="0" t="str">
        <f aca="false">IF(B159="","",IFERROR(VLOOKUP(B159,'Recetas y precios'!$A$5:$B$55,2,FALSE()),""))</f>
        <v/>
      </c>
      <c r="D159" s="24"/>
      <c r="E159" s="6"/>
      <c r="F159" s="17"/>
      <c r="G159" s="15" t="n">
        <f aca="false">E159*F159</f>
        <v>0</v>
      </c>
      <c r="H159" s="15" t="n">
        <f aca="false">IF(B159="",0,E159*IFERROR(VLOOKUP(B159,'Recetas y precios'!$A$5:$R$55,18,FALSE()),0))</f>
        <v>0</v>
      </c>
      <c r="I159" s="30"/>
      <c r="J159" s="15" t="n">
        <f aca="false">G159*I159</f>
        <v>0</v>
      </c>
      <c r="K159" s="15" t="n">
        <f aca="false">G159-H159-J159</f>
        <v>0</v>
      </c>
      <c r="L159" s="16" t="str">
        <f aca="false">IF(G159&gt;0,K159/G159,"")</f>
        <v/>
      </c>
      <c r="M159" s="6"/>
    </row>
    <row r="160" customFormat="false" ht="15" hidden="false" customHeight="false" outlineLevel="0" collapsed="false">
      <c r="A160" s="34"/>
      <c r="B160" s="6"/>
      <c r="C160" s="0" t="str">
        <f aca="false">IF(B160="","",IFERROR(VLOOKUP(B160,'Recetas y precios'!$A$5:$B$55,2,FALSE()),""))</f>
        <v/>
      </c>
      <c r="D160" s="24"/>
      <c r="E160" s="6"/>
      <c r="F160" s="17"/>
      <c r="G160" s="15" t="n">
        <f aca="false">E160*F160</f>
        <v>0</v>
      </c>
      <c r="H160" s="15" t="n">
        <f aca="false">IF(B160="",0,E160*IFERROR(VLOOKUP(B160,'Recetas y precios'!$A$5:$R$55,18,FALSE()),0))</f>
        <v>0</v>
      </c>
      <c r="I160" s="30"/>
      <c r="J160" s="15" t="n">
        <f aca="false">G160*I160</f>
        <v>0</v>
      </c>
      <c r="K160" s="15" t="n">
        <f aca="false">G160-H160-J160</f>
        <v>0</v>
      </c>
      <c r="L160" s="16" t="str">
        <f aca="false">IF(G160&gt;0,K160/G160,"")</f>
        <v/>
      </c>
      <c r="M160" s="6"/>
    </row>
    <row r="161" customFormat="false" ht="15" hidden="false" customHeight="false" outlineLevel="0" collapsed="false">
      <c r="A161" s="34"/>
      <c r="B161" s="6"/>
      <c r="C161" s="0" t="str">
        <f aca="false">IF(B161="","",IFERROR(VLOOKUP(B161,'Recetas y precios'!$A$5:$B$55,2,FALSE()),""))</f>
        <v/>
      </c>
      <c r="D161" s="24"/>
      <c r="E161" s="6"/>
      <c r="F161" s="17"/>
      <c r="G161" s="15" t="n">
        <f aca="false">E161*F161</f>
        <v>0</v>
      </c>
      <c r="H161" s="15" t="n">
        <f aca="false">IF(B161="",0,E161*IFERROR(VLOOKUP(B161,'Recetas y precios'!$A$5:$R$55,18,FALSE()),0))</f>
        <v>0</v>
      </c>
      <c r="I161" s="30"/>
      <c r="J161" s="15" t="n">
        <f aca="false">G161*I161</f>
        <v>0</v>
      </c>
      <c r="K161" s="15" t="n">
        <f aca="false">G161-H161-J161</f>
        <v>0</v>
      </c>
      <c r="L161" s="16" t="str">
        <f aca="false">IF(G161&gt;0,K161/G161,"")</f>
        <v/>
      </c>
      <c r="M161" s="6"/>
    </row>
    <row r="162" customFormat="false" ht="15" hidden="false" customHeight="false" outlineLevel="0" collapsed="false">
      <c r="A162" s="34"/>
      <c r="B162" s="6"/>
      <c r="C162" s="0" t="str">
        <f aca="false">IF(B162="","",IFERROR(VLOOKUP(B162,'Recetas y precios'!$A$5:$B$55,2,FALSE()),""))</f>
        <v/>
      </c>
      <c r="D162" s="24"/>
      <c r="E162" s="6"/>
      <c r="F162" s="17"/>
      <c r="G162" s="15" t="n">
        <f aca="false">E162*F162</f>
        <v>0</v>
      </c>
      <c r="H162" s="15" t="n">
        <f aca="false">IF(B162="",0,E162*IFERROR(VLOOKUP(B162,'Recetas y precios'!$A$5:$R$55,18,FALSE()),0))</f>
        <v>0</v>
      </c>
      <c r="I162" s="30"/>
      <c r="J162" s="15" t="n">
        <f aca="false">G162*I162</f>
        <v>0</v>
      </c>
      <c r="K162" s="15" t="n">
        <f aca="false">G162-H162-J162</f>
        <v>0</v>
      </c>
      <c r="L162" s="16" t="str">
        <f aca="false">IF(G162&gt;0,K162/G162,"")</f>
        <v/>
      </c>
      <c r="M162" s="6"/>
    </row>
    <row r="163" customFormat="false" ht="15" hidden="false" customHeight="false" outlineLevel="0" collapsed="false">
      <c r="A163" s="34"/>
      <c r="B163" s="6"/>
      <c r="C163" s="0" t="str">
        <f aca="false">IF(B163="","",IFERROR(VLOOKUP(B163,'Recetas y precios'!$A$5:$B$55,2,FALSE()),""))</f>
        <v/>
      </c>
      <c r="D163" s="24"/>
      <c r="E163" s="6"/>
      <c r="F163" s="17"/>
      <c r="G163" s="15" t="n">
        <f aca="false">E163*F163</f>
        <v>0</v>
      </c>
      <c r="H163" s="15" t="n">
        <f aca="false">IF(B163="",0,E163*IFERROR(VLOOKUP(B163,'Recetas y precios'!$A$5:$R$55,18,FALSE()),0))</f>
        <v>0</v>
      </c>
      <c r="I163" s="30"/>
      <c r="J163" s="15" t="n">
        <f aca="false">G163*I163</f>
        <v>0</v>
      </c>
      <c r="K163" s="15" t="n">
        <f aca="false">G163-H163-J163</f>
        <v>0</v>
      </c>
      <c r="L163" s="16" t="str">
        <f aca="false">IF(G163&gt;0,K163/G163,"")</f>
        <v/>
      </c>
      <c r="M163" s="6"/>
    </row>
    <row r="164" customFormat="false" ht="15" hidden="false" customHeight="false" outlineLevel="0" collapsed="false">
      <c r="A164" s="34"/>
      <c r="B164" s="6"/>
      <c r="C164" s="0" t="str">
        <f aca="false">IF(B164="","",IFERROR(VLOOKUP(B164,'Recetas y precios'!$A$5:$B$55,2,FALSE()),""))</f>
        <v/>
      </c>
      <c r="D164" s="24"/>
      <c r="E164" s="6"/>
      <c r="F164" s="17"/>
      <c r="G164" s="15" t="n">
        <f aca="false">E164*F164</f>
        <v>0</v>
      </c>
      <c r="H164" s="15" t="n">
        <f aca="false">IF(B164="",0,E164*IFERROR(VLOOKUP(B164,'Recetas y precios'!$A$5:$R$55,18,FALSE()),0))</f>
        <v>0</v>
      </c>
      <c r="I164" s="30"/>
      <c r="J164" s="15" t="n">
        <f aca="false">G164*I164</f>
        <v>0</v>
      </c>
      <c r="K164" s="15" t="n">
        <f aca="false">G164-H164-J164</f>
        <v>0</v>
      </c>
      <c r="L164" s="16" t="str">
        <f aca="false">IF(G164&gt;0,K164/G164,"")</f>
        <v/>
      </c>
      <c r="M164" s="6"/>
    </row>
    <row r="165" customFormat="false" ht="15" hidden="false" customHeight="false" outlineLevel="0" collapsed="false">
      <c r="A165" s="34"/>
      <c r="B165" s="6"/>
      <c r="C165" s="0" t="str">
        <f aca="false">IF(B165="","",IFERROR(VLOOKUP(B165,'Recetas y precios'!$A$5:$B$55,2,FALSE()),""))</f>
        <v/>
      </c>
      <c r="D165" s="24"/>
      <c r="E165" s="6"/>
      <c r="F165" s="17"/>
      <c r="G165" s="15" t="n">
        <f aca="false">E165*F165</f>
        <v>0</v>
      </c>
      <c r="H165" s="15" t="n">
        <f aca="false">IF(B165="",0,E165*IFERROR(VLOOKUP(B165,'Recetas y precios'!$A$5:$R$55,18,FALSE()),0))</f>
        <v>0</v>
      </c>
      <c r="I165" s="30"/>
      <c r="J165" s="15" t="n">
        <f aca="false">G165*I165</f>
        <v>0</v>
      </c>
      <c r="K165" s="15" t="n">
        <f aca="false">G165-H165-J165</f>
        <v>0</v>
      </c>
      <c r="L165" s="16" t="str">
        <f aca="false">IF(G165&gt;0,K165/G165,"")</f>
        <v/>
      </c>
      <c r="M165" s="6"/>
    </row>
    <row r="166" customFormat="false" ht="15" hidden="false" customHeight="false" outlineLevel="0" collapsed="false">
      <c r="A166" s="34"/>
      <c r="B166" s="6"/>
      <c r="C166" s="0" t="str">
        <f aca="false">IF(B166="","",IFERROR(VLOOKUP(B166,'Recetas y precios'!$A$5:$B$55,2,FALSE()),""))</f>
        <v/>
      </c>
      <c r="D166" s="24"/>
      <c r="E166" s="6"/>
      <c r="F166" s="17"/>
      <c r="G166" s="15" t="n">
        <f aca="false">E166*F166</f>
        <v>0</v>
      </c>
      <c r="H166" s="15" t="n">
        <f aca="false">IF(B166="",0,E166*IFERROR(VLOOKUP(B166,'Recetas y precios'!$A$5:$R$55,18,FALSE()),0))</f>
        <v>0</v>
      </c>
      <c r="I166" s="30"/>
      <c r="J166" s="15" t="n">
        <f aca="false">G166*I166</f>
        <v>0</v>
      </c>
      <c r="K166" s="15" t="n">
        <f aca="false">G166-H166-J166</f>
        <v>0</v>
      </c>
      <c r="L166" s="16" t="str">
        <f aca="false">IF(G166&gt;0,K166/G166,"")</f>
        <v/>
      </c>
      <c r="M166" s="6"/>
    </row>
    <row r="167" customFormat="false" ht="15" hidden="false" customHeight="false" outlineLevel="0" collapsed="false">
      <c r="A167" s="34"/>
      <c r="B167" s="6"/>
      <c r="C167" s="0" t="str">
        <f aca="false">IF(B167="","",IFERROR(VLOOKUP(B167,'Recetas y precios'!$A$5:$B$55,2,FALSE()),""))</f>
        <v/>
      </c>
      <c r="D167" s="24"/>
      <c r="E167" s="6"/>
      <c r="F167" s="17"/>
      <c r="G167" s="15" t="n">
        <f aca="false">E167*F167</f>
        <v>0</v>
      </c>
      <c r="H167" s="15" t="n">
        <f aca="false">IF(B167="",0,E167*IFERROR(VLOOKUP(B167,'Recetas y precios'!$A$5:$R$55,18,FALSE()),0))</f>
        <v>0</v>
      </c>
      <c r="I167" s="30"/>
      <c r="J167" s="15" t="n">
        <f aca="false">G167*I167</f>
        <v>0</v>
      </c>
      <c r="K167" s="15" t="n">
        <f aca="false">G167-H167-J167</f>
        <v>0</v>
      </c>
      <c r="L167" s="16" t="str">
        <f aca="false">IF(G167&gt;0,K167/G167,"")</f>
        <v/>
      </c>
      <c r="M167" s="6"/>
    </row>
    <row r="168" customFormat="false" ht="15" hidden="false" customHeight="false" outlineLevel="0" collapsed="false">
      <c r="A168" s="34"/>
      <c r="B168" s="6"/>
      <c r="C168" s="0" t="str">
        <f aca="false">IF(B168="","",IFERROR(VLOOKUP(B168,'Recetas y precios'!$A$5:$B$55,2,FALSE()),""))</f>
        <v/>
      </c>
      <c r="D168" s="24"/>
      <c r="E168" s="6"/>
      <c r="F168" s="17"/>
      <c r="G168" s="15" t="n">
        <f aca="false">E168*F168</f>
        <v>0</v>
      </c>
      <c r="H168" s="15" t="n">
        <f aca="false">IF(B168="",0,E168*IFERROR(VLOOKUP(B168,'Recetas y precios'!$A$5:$R$55,18,FALSE()),0))</f>
        <v>0</v>
      </c>
      <c r="I168" s="30"/>
      <c r="J168" s="15" t="n">
        <f aca="false">G168*I168</f>
        <v>0</v>
      </c>
      <c r="K168" s="15" t="n">
        <f aca="false">G168-H168-J168</f>
        <v>0</v>
      </c>
      <c r="L168" s="16" t="str">
        <f aca="false">IF(G168&gt;0,K168/G168,"")</f>
        <v/>
      </c>
      <c r="M168" s="6"/>
    </row>
    <row r="169" customFormat="false" ht="15" hidden="false" customHeight="false" outlineLevel="0" collapsed="false">
      <c r="A169" s="34"/>
      <c r="B169" s="6"/>
      <c r="C169" s="0" t="str">
        <f aca="false">IF(B169="","",IFERROR(VLOOKUP(B169,'Recetas y precios'!$A$5:$B$55,2,FALSE()),""))</f>
        <v/>
      </c>
      <c r="D169" s="24"/>
      <c r="E169" s="6"/>
      <c r="F169" s="17"/>
      <c r="G169" s="15" t="n">
        <f aca="false">E169*F169</f>
        <v>0</v>
      </c>
      <c r="H169" s="15" t="n">
        <f aca="false">IF(B169="",0,E169*IFERROR(VLOOKUP(B169,'Recetas y precios'!$A$5:$R$55,18,FALSE()),0))</f>
        <v>0</v>
      </c>
      <c r="I169" s="30"/>
      <c r="J169" s="15" t="n">
        <f aca="false">G169*I169</f>
        <v>0</v>
      </c>
      <c r="K169" s="15" t="n">
        <f aca="false">G169-H169-J169</f>
        <v>0</v>
      </c>
      <c r="L169" s="16" t="str">
        <f aca="false">IF(G169&gt;0,K169/G169,"")</f>
        <v/>
      </c>
      <c r="M169" s="6"/>
    </row>
    <row r="170" customFormat="false" ht="15" hidden="false" customHeight="false" outlineLevel="0" collapsed="false">
      <c r="A170" s="34"/>
      <c r="B170" s="6"/>
      <c r="C170" s="0" t="str">
        <f aca="false">IF(B170="","",IFERROR(VLOOKUP(B170,'Recetas y precios'!$A$5:$B$55,2,FALSE()),""))</f>
        <v/>
      </c>
      <c r="D170" s="24"/>
      <c r="E170" s="6"/>
      <c r="F170" s="17"/>
      <c r="G170" s="15" t="n">
        <f aca="false">E170*F170</f>
        <v>0</v>
      </c>
      <c r="H170" s="15" t="n">
        <f aca="false">IF(B170="",0,E170*IFERROR(VLOOKUP(B170,'Recetas y precios'!$A$5:$R$55,18,FALSE()),0))</f>
        <v>0</v>
      </c>
      <c r="I170" s="30"/>
      <c r="J170" s="15" t="n">
        <f aca="false">G170*I170</f>
        <v>0</v>
      </c>
      <c r="K170" s="15" t="n">
        <f aca="false">G170-H170-J170</f>
        <v>0</v>
      </c>
      <c r="L170" s="16" t="str">
        <f aca="false">IF(G170&gt;0,K170/G170,"")</f>
        <v/>
      </c>
      <c r="M170" s="6"/>
    </row>
    <row r="171" customFormat="false" ht="15" hidden="false" customHeight="false" outlineLevel="0" collapsed="false">
      <c r="A171" s="34"/>
      <c r="B171" s="6"/>
      <c r="C171" s="0" t="str">
        <f aca="false">IF(B171="","",IFERROR(VLOOKUP(B171,'Recetas y precios'!$A$5:$B$55,2,FALSE()),""))</f>
        <v/>
      </c>
      <c r="D171" s="24"/>
      <c r="E171" s="6"/>
      <c r="F171" s="17"/>
      <c r="G171" s="15" t="n">
        <f aca="false">E171*F171</f>
        <v>0</v>
      </c>
      <c r="H171" s="15" t="n">
        <f aca="false">IF(B171="",0,E171*IFERROR(VLOOKUP(B171,'Recetas y precios'!$A$5:$R$55,18,FALSE()),0))</f>
        <v>0</v>
      </c>
      <c r="I171" s="30"/>
      <c r="J171" s="15" t="n">
        <f aca="false">G171*I171</f>
        <v>0</v>
      </c>
      <c r="K171" s="15" t="n">
        <f aca="false">G171-H171-J171</f>
        <v>0</v>
      </c>
      <c r="L171" s="16" t="str">
        <f aca="false">IF(G171&gt;0,K171/G171,"")</f>
        <v/>
      </c>
      <c r="M171" s="6"/>
    </row>
    <row r="172" customFormat="false" ht="15" hidden="false" customHeight="false" outlineLevel="0" collapsed="false">
      <c r="A172" s="34"/>
      <c r="B172" s="6"/>
      <c r="C172" s="0" t="str">
        <f aca="false">IF(B172="","",IFERROR(VLOOKUP(B172,'Recetas y precios'!$A$5:$B$55,2,FALSE()),""))</f>
        <v/>
      </c>
      <c r="D172" s="24"/>
      <c r="E172" s="6"/>
      <c r="F172" s="17"/>
      <c r="G172" s="15" t="n">
        <f aca="false">E172*F172</f>
        <v>0</v>
      </c>
      <c r="H172" s="15" t="n">
        <f aca="false">IF(B172="",0,E172*IFERROR(VLOOKUP(B172,'Recetas y precios'!$A$5:$R$55,18,FALSE()),0))</f>
        <v>0</v>
      </c>
      <c r="I172" s="30"/>
      <c r="J172" s="15" t="n">
        <f aca="false">G172*I172</f>
        <v>0</v>
      </c>
      <c r="K172" s="15" t="n">
        <f aca="false">G172-H172-J172</f>
        <v>0</v>
      </c>
      <c r="L172" s="16" t="str">
        <f aca="false">IF(G172&gt;0,K172/G172,"")</f>
        <v/>
      </c>
      <c r="M172" s="6"/>
    </row>
    <row r="173" customFormat="false" ht="15" hidden="false" customHeight="false" outlineLevel="0" collapsed="false">
      <c r="A173" s="34"/>
      <c r="B173" s="6"/>
      <c r="C173" s="0" t="str">
        <f aca="false">IF(B173="","",IFERROR(VLOOKUP(B173,'Recetas y precios'!$A$5:$B$55,2,FALSE()),""))</f>
        <v/>
      </c>
      <c r="D173" s="24"/>
      <c r="E173" s="6"/>
      <c r="F173" s="17"/>
      <c r="G173" s="15" t="n">
        <f aca="false">E173*F173</f>
        <v>0</v>
      </c>
      <c r="H173" s="15" t="n">
        <f aca="false">IF(B173="",0,E173*IFERROR(VLOOKUP(B173,'Recetas y precios'!$A$5:$R$55,18,FALSE()),0))</f>
        <v>0</v>
      </c>
      <c r="I173" s="30"/>
      <c r="J173" s="15" t="n">
        <f aca="false">G173*I173</f>
        <v>0</v>
      </c>
      <c r="K173" s="15" t="n">
        <f aca="false">G173-H173-J173</f>
        <v>0</v>
      </c>
      <c r="L173" s="16" t="str">
        <f aca="false">IF(G173&gt;0,K173/G173,"")</f>
        <v/>
      </c>
      <c r="M173" s="6"/>
    </row>
    <row r="174" customFormat="false" ht="15" hidden="false" customHeight="false" outlineLevel="0" collapsed="false">
      <c r="A174" s="34"/>
      <c r="B174" s="6"/>
      <c r="C174" s="0" t="str">
        <f aca="false">IF(B174="","",IFERROR(VLOOKUP(B174,'Recetas y precios'!$A$5:$B$55,2,FALSE()),""))</f>
        <v/>
      </c>
      <c r="D174" s="24"/>
      <c r="E174" s="6"/>
      <c r="F174" s="17"/>
      <c r="G174" s="15" t="n">
        <f aca="false">E174*F174</f>
        <v>0</v>
      </c>
      <c r="H174" s="15" t="n">
        <f aca="false">IF(B174="",0,E174*IFERROR(VLOOKUP(B174,'Recetas y precios'!$A$5:$R$55,18,FALSE()),0))</f>
        <v>0</v>
      </c>
      <c r="I174" s="30"/>
      <c r="J174" s="15" t="n">
        <f aca="false">G174*I174</f>
        <v>0</v>
      </c>
      <c r="K174" s="15" t="n">
        <f aca="false">G174-H174-J174</f>
        <v>0</v>
      </c>
      <c r="L174" s="16" t="str">
        <f aca="false">IF(G174&gt;0,K174/G174,"")</f>
        <v/>
      </c>
      <c r="M174" s="6"/>
    </row>
    <row r="175" customFormat="false" ht="15" hidden="false" customHeight="false" outlineLevel="0" collapsed="false">
      <c r="A175" s="34"/>
      <c r="B175" s="6"/>
      <c r="C175" s="0" t="str">
        <f aca="false">IF(B175="","",IFERROR(VLOOKUP(B175,'Recetas y precios'!$A$5:$B$55,2,FALSE()),""))</f>
        <v/>
      </c>
      <c r="D175" s="24"/>
      <c r="E175" s="6"/>
      <c r="F175" s="17"/>
      <c r="G175" s="15" t="n">
        <f aca="false">E175*F175</f>
        <v>0</v>
      </c>
      <c r="H175" s="15" t="n">
        <f aca="false">IF(B175="",0,E175*IFERROR(VLOOKUP(B175,'Recetas y precios'!$A$5:$R$55,18,FALSE()),0))</f>
        <v>0</v>
      </c>
      <c r="I175" s="30"/>
      <c r="J175" s="15" t="n">
        <f aca="false">G175*I175</f>
        <v>0</v>
      </c>
      <c r="K175" s="15" t="n">
        <f aca="false">G175-H175-J175</f>
        <v>0</v>
      </c>
      <c r="L175" s="16" t="str">
        <f aca="false">IF(G175&gt;0,K175/G175,"")</f>
        <v/>
      </c>
      <c r="M175" s="6"/>
    </row>
    <row r="176" customFormat="false" ht="15" hidden="false" customHeight="false" outlineLevel="0" collapsed="false">
      <c r="A176" s="34"/>
      <c r="B176" s="6"/>
      <c r="C176" s="0" t="str">
        <f aca="false">IF(B176="","",IFERROR(VLOOKUP(B176,'Recetas y precios'!$A$5:$B$55,2,FALSE()),""))</f>
        <v/>
      </c>
      <c r="D176" s="24"/>
      <c r="E176" s="6"/>
      <c r="F176" s="17"/>
      <c r="G176" s="15" t="n">
        <f aca="false">E176*F176</f>
        <v>0</v>
      </c>
      <c r="H176" s="15" t="n">
        <f aca="false">IF(B176="",0,E176*IFERROR(VLOOKUP(B176,'Recetas y precios'!$A$5:$R$55,18,FALSE()),0))</f>
        <v>0</v>
      </c>
      <c r="I176" s="30"/>
      <c r="J176" s="15" t="n">
        <f aca="false">G176*I176</f>
        <v>0</v>
      </c>
      <c r="K176" s="15" t="n">
        <f aca="false">G176-H176-J176</f>
        <v>0</v>
      </c>
      <c r="L176" s="16" t="str">
        <f aca="false">IF(G176&gt;0,K176/G176,"")</f>
        <v/>
      </c>
      <c r="M176" s="6"/>
    </row>
    <row r="177" customFormat="false" ht="15" hidden="false" customHeight="false" outlineLevel="0" collapsed="false">
      <c r="A177" s="34"/>
      <c r="B177" s="6"/>
      <c r="C177" s="0" t="str">
        <f aca="false">IF(B177="","",IFERROR(VLOOKUP(B177,'Recetas y precios'!$A$5:$B$55,2,FALSE()),""))</f>
        <v/>
      </c>
      <c r="D177" s="24"/>
      <c r="E177" s="6"/>
      <c r="F177" s="17"/>
      <c r="G177" s="15" t="n">
        <f aca="false">E177*F177</f>
        <v>0</v>
      </c>
      <c r="H177" s="15" t="n">
        <f aca="false">IF(B177="",0,E177*IFERROR(VLOOKUP(B177,'Recetas y precios'!$A$5:$R$55,18,FALSE()),0))</f>
        <v>0</v>
      </c>
      <c r="I177" s="30"/>
      <c r="J177" s="15" t="n">
        <f aca="false">G177*I177</f>
        <v>0</v>
      </c>
      <c r="K177" s="15" t="n">
        <f aca="false">G177-H177-J177</f>
        <v>0</v>
      </c>
      <c r="L177" s="16" t="str">
        <f aca="false">IF(G177&gt;0,K177/G177,"")</f>
        <v/>
      </c>
      <c r="M177" s="6"/>
    </row>
    <row r="178" customFormat="false" ht="15" hidden="false" customHeight="false" outlineLevel="0" collapsed="false">
      <c r="A178" s="34"/>
      <c r="B178" s="6"/>
      <c r="C178" s="0" t="str">
        <f aca="false">IF(B178="","",IFERROR(VLOOKUP(B178,'Recetas y precios'!$A$5:$B$55,2,FALSE()),""))</f>
        <v/>
      </c>
      <c r="D178" s="24"/>
      <c r="E178" s="6"/>
      <c r="F178" s="17"/>
      <c r="G178" s="15" t="n">
        <f aca="false">E178*F178</f>
        <v>0</v>
      </c>
      <c r="H178" s="15" t="n">
        <f aca="false">IF(B178="",0,E178*IFERROR(VLOOKUP(B178,'Recetas y precios'!$A$5:$R$55,18,FALSE()),0))</f>
        <v>0</v>
      </c>
      <c r="I178" s="30"/>
      <c r="J178" s="15" t="n">
        <f aca="false">G178*I178</f>
        <v>0</v>
      </c>
      <c r="K178" s="15" t="n">
        <f aca="false">G178-H178-J178</f>
        <v>0</v>
      </c>
      <c r="L178" s="16" t="str">
        <f aca="false">IF(G178&gt;0,K178/G178,"")</f>
        <v/>
      </c>
      <c r="M178" s="6"/>
    </row>
    <row r="179" customFormat="false" ht="15" hidden="false" customHeight="false" outlineLevel="0" collapsed="false">
      <c r="A179" s="34"/>
      <c r="B179" s="6"/>
      <c r="C179" s="0" t="str">
        <f aca="false">IF(B179="","",IFERROR(VLOOKUP(B179,'Recetas y precios'!$A$5:$B$55,2,FALSE()),""))</f>
        <v/>
      </c>
      <c r="D179" s="24"/>
      <c r="E179" s="6"/>
      <c r="F179" s="17"/>
      <c r="G179" s="15" t="n">
        <f aca="false">E179*F179</f>
        <v>0</v>
      </c>
      <c r="H179" s="15" t="n">
        <f aca="false">IF(B179="",0,E179*IFERROR(VLOOKUP(B179,'Recetas y precios'!$A$5:$R$55,18,FALSE()),0))</f>
        <v>0</v>
      </c>
      <c r="I179" s="30"/>
      <c r="J179" s="15" t="n">
        <f aca="false">G179*I179</f>
        <v>0</v>
      </c>
      <c r="K179" s="15" t="n">
        <f aca="false">G179-H179-J179</f>
        <v>0</v>
      </c>
      <c r="L179" s="16" t="str">
        <f aca="false">IF(G179&gt;0,K179/G179,"")</f>
        <v/>
      </c>
      <c r="M179" s="6"/>
    </row>
    <row r="180" customFormat="false" ht="15" hidden="false" customHeight="false" outlineLevel="0" collapsed="false">
      <c r="A180" s="34"/>
      <c r="B180" s="6"/>
      <c r="C180" s="0" t="str">
        <f aca="false">IF(B180="","",IFERROR(VLOOKUP(B180,'Recetas y precios'!$A$5:$B$55,2,FALSE()),""))</f>
        <v/>
      </c>
      <c r="D180" s="24"/>
      <c r="E180" s="6"/>
      <c r="F180" s="17"/>
      <c r="G180" s="15" t="n">
        <f aca="false">E180*F180</f>
        <v>0</v>
      </c>
      <c r="H180" s="15" t="n">
        <f aca="false">IF(B180="",0,E180*IFERROR(VLOOKUP(B180,'Recetas y precios'!$A$5:$R$55,18,FALSE()),0))</f>
        <v>0</v>
      </c>
      <c r="I180" s="30"/>
      <c r="J180" s="15" t="n">
        <f aca="false">G180*I180</f>
        <v>0</v>
      </c>
      <c r="K180" s="15" t="n">
        <f aca="false">G180-H180-J180</f>
        <v>0</v>
      </c>
      <c r="L180" s="16" t="str">
        <f aca="false">IF(G180&gt;0,K180/G180,"")</f>
        <v/>
      </c>
      <c r="M180" s="6"/>
    </row>
    <row r="181" customFormat="false" ht="15" hidden="false" customHeight="false" outlineLevel="0" collapsed="false">
      <c r="A181" s="34"/>
      <c r="B181" s="6"/>
      <c r="C181" s="0" t="str">
        <f aca="false">IF(B181="","",IFERROR(VLOOKUP(B181,'Recetas y precios'!$A$5:$B$55,2,FALSE()),""))</f>
        <v/>
      </c>
      <c r="D181" s="24"/>
      <c r="E181" s="6"/>
      <c r="F181" s="17"/>
      <c r="G181" s="15" t="n">
        <f aca="false">E181*F181</f>
        <v>0</v>
      </c>
      <c r="H181" s="15" t="n">
        <f aca="false">IF(B181="",0,E181*IFERROR(VLOOKUP(B181,'Recetas y precios'!$A$5:$R$55,18,FALSE()),0))</f>
        <v>0</v>
      </c>
      <c r="I181" s="30"/>
      <c r="J181" s="15" t="n">
        <f aca="false">G181*I181</f>
        <v>0</v>
      </c>
      <c r="K181" s="15" t="n">
        <f aca="false">G181-H181-J181</f>
        <v>0</v>
      </c>
      <c r="L181" s="16" t="str">
        <f aca="false">IF(G181&gt;0,K181/G181,"")</f>
        <v/>
      </c>
      <c r="M181" s="6"/>
    </row>
    <row r="182" customFormat="false" ht="15" hidden="false" customHeight="false" outlineLevel="0" collapsed="false">
      <c r="A182" s="34"/>
      <c r="B182" s="6"/>
      <c r="C182" s="0" t="str">
        <f aca="false">IF(B182="","",IFERROR(VLOOKUP(B182,'Recetas y precios'!$A$5:$B$55,2,FALSE()),""))</f>
        <v/>
      </c>
      <c r="D182" s="24"/>
      <c r="E182" s="6"/>
      <c r="F182" s="17"/>
      <c r="G182" s="15" t="n">
        <f aca="false">E182*F182</f>
        <v>0</v>
      </c>
      <c r="H182" s="15" t="n">
        <f aca="false">IF(B182="",0,E182*IFERROR(VLOOKUP(B182,'Recetas y precios'!$A$5:$R$55,18,FALSE()),0))</f>
        <v>0</v>
      </c>
      <c r="I182" s="30"/>
      <c r="J182" s="15" t="n">
        <f aca="false">G182*I182</f>
        <v>0</v>
      </c>
      <c r="K182" s="15" t="n">
        <f aca="false">G182-H182-J182</f>
        <v>0</v>
      </c>
      <c r="L182" s="16" t="str">
        <f aca="false">IF(G182&gt;0,K182/G182,"")</f>
        <v/>
      </c>
      <c r="M182" s="6"/>
    </row>
    <row r="183" customFormat="false" ht="15" hidden="false" customHeight="false" outlineLevel="0" collapsed="false">
      <c r="A183" s="34"/>
      <c r="B183" s="6"/>
      <c r="C183" s="0" t="str">
        <f aca="false">IF(B183="","",IFERROR(VLOOKUP(B183,'Recetas y precios'!$A$5:$B$55,2,FALSE()),""))</f>
        <v/>
      </c>
      <c r="D183" s="24"/>
      <c r="E183" s="6"/>
      <c r="F183" s="17"/>
      <c r="G183" s="15" t="n">
        <f aca="false">E183*F183</f>
        <v>0</v>
      </c>
      <c r="H183" s="15" t="n">
        <f aca="false">IF(B183="",0,E183*IFERROR(VLOOKUP(B183,'Recetas y precios'!$A$5:$R$55,18,FALSE()),0))</f>
        <v>0</v>
      </c>
      <c r="I183" s="30"/>
      <c r="J183" s="15" t="n">
        <f aca="false">G183*I183</f>
        <v>0</v>
      </c>
      <c r="K183" s="15" t="n">
        <f aca="false">G183-H183-J183</f>
        <v>0</v>
      </c>
      <c r="L183" s="16" t="str">
        <f aca="false">IF(G183&gt;0,K183/G183,"")</f>
        <v/>
      </c>
      <c r="M183" s="6"/>
    </row>
    <row r="184" customFormat="false" ht="15" hidden="false" customHeight="false" outlineLevel="0" collapsed="false">
      <c r="A184" s="34"/>
      <c r="B184" s="6"/>
      <c r="C184" s="0" t="str">
        <f aca="false">IF(B184="","",IFERROR(VLOOKUP(B184,'Recetas y precios'!$A$5:$B$55,2,FALSE()),""))</f>
        <v/>
      </c>
      <c r="D184" s="24"/>
      <c r="E184" s="6"/>
      <c r="F184" s="17"/>
      <c r="G184" s="15" t="n">
        <f aca="false">E184*F184</f>
        <v>0</v>
      </c>
      <c r="H184" s="15" t="n">
        <f aca="false">IF(B184="",0,E184*IFERROR(VLOOKUP(B184,'Recetas y precios'!$A$5:$R$55,18,FALSE()),0))</f>
        <v>0</v>
      </c>
      <c r="I184" s="30"/>
      <c r="J184" s="15" t="n">
        <f aca="false">G184*I184</f>
        <v>0</v>
      </c>
      <c r="K184" s="15" t="n">
        <f aca="false">G184-H184-J184</f>
        <v>0</v>
      </c>
      <c r="L184" s="16" t="str">
        <f aca="false">IF(G184&gt;0,K184/G184,"")</f>
        <v/>
      </c>
      <c r="M184" s="6"/>
    </row>
    <row r="185" customFormat="false" ht="15" hidden="false" customHeight="false" outlineLevel="0" collapsed="false">
      <c r="A185" s="34"/>
      <c r="B185" s="6"/>
      <c r="C185" s="0" t="str">
        <f aca="false">IF(B185="","",IFERROR(VLOOKUP(B185,'Recetas y precios'!$A$5:$B$55,2,FALSE()),""))</f>
        <v/>
      </c>
      <c r="D185" s="24"/>
      <c r="E185" s="6"/>
      <c r="F185" s="17"/>
      <c r="G185" s="15" t="n">
        <f aca="false">E185*F185</f>
        <v>0</v>
      </c>
      <c r="H185" s="15" t="n">
        <f aca="false">IF(B185="",0,E185*IFERROR(VLOOKUP(B185,'Recetas y precios'!$A$5:$R$55,18,FALSE()),0))</f>
        <v>0</v>
      </c>
      <c r="I185" s="30"/>
      <c r="J185" s="15" t="n">
        <f aca="false">G185*I185</f>
        <v>0</v>
      </c>
      <c r="K185" s="15" t="n">
        <f aca="false">G185-H185-J185</f>
        <v>0</v>
      </c>
      <c r="L185" s="16" t="str">
        <f aca="false">IF(G185&gt;0,K185/G185,"")</f>
        <v/>
      </c>
      <c r="M185" s="6"/>
    </row>
    <row r="186" customFormat="false" ht="15" hidden="false" customHeight="false" outlineLevel="0" collapsed="false">
      <c r="A186" s="34"/>
      <c r="B186" s="6"/>
      <c r="C186" s="0" t="str">
        <f aca="false">IF(B186="","",IFERROR(VLOOKUP(B186,'Recetas y precios'!$A$5:$B$55,2,FALSE()),""))</f>
        <v/>
      </c>
      <c r="D186" s="24"/>
      <c r="E186" s="6"/>
      <c r="F186" s="17"/>
      <c r="G186" s="15" t="n">
        <f aca="false">E186*F186</f>
        <v>0</v>
      </c>
      <c r="H186" s="15" t="n">
        <f aca="false">IF(B186="",0,E186*IFERROR(VLOOKUP(B186,'Recetas y precios'!$A$5:$R$55,18,FALSE()),0))</f>
        <v>0</v>
      </c>
      <c r="I186" s="30"/>
      <c r="J186" s="15" t="n">
        <f aca="false">G186*I186</f>
        <v>0</v>
      </c>
      <c r="K186" s="15" t="n">
        <f aca="false">G186-H186-J186</f>
        <v>0</v>
      </c>
      <c r="L186" s="16" t="str">
        <f aca="false">IF(G186&gt;0,K186/G186,"")</f>
        <v/>
      </c>
      <c r="M186" s="6"/>
    </row>
    <row r="187" customFormat="false" ht="15" hidden="false" customHeight="false" outlineLevel="0" collapsed="false">
      <c r="A187" s="34"/>
      <c r="B187" s="6"/>
      <c r="C187" s="0" t="str">
        <f aca="false">IF(B187="","",IFERROR(VLOOKUP(B187,'Recetas y precios'!$A$5:$B$55,2,FALSE()),""))</f>
        <v/>
      </c>
      <c r="D187" s="24"/>
      <c r="E187" s="6"/>
      <c r="F187" s="17"/>
      <c r="G187" s="15" t="n">
        <f aca="false">E187*F187</f>
        <v>0</v>
      </c>
      <c r="H187" s="15" t="n">
        <f aca="false">IF(B187="",0,E187*IFERROR(VLOOKUP(B187,'Recetas y precios'!$A$5:$R$55,18,FALSE()),0))</f>
        <v>0</v>
      </c>
      <c r="I187" s="30"/>
      <c r="J187" s="15" t="n">
        <f aca="false">G187*I187</f>
        <v>0</v>
      </c>
      <c r="K187" s="15" t="n">
        <f aca="false">G187-H187-J187</f>
        <v>0</v>
      </c>
      <c r="L187" s="16" t="str">
        <f aca="false">IF(G187&gt;0,K187/G187,"")</f>
        <v/>
      </c>
      <c r="M187" s="6"/>
    </row>
    <row r="188" customFormat="false" ht="15" hidden="false" customHeight="false" outlineLevel="0" collapsed="false">
      <c r="A188" s="34"/>
      <c r="B188" s="6"/>
      <c r="C188" s="0" t="str">
        <f aca="false">IF(B188="","",IFERROR(VLOOKUP(B188,'Recetas y precios'!$A$5:$B$55,2,FALSE()),""))</f>
        <v/>
      </c>
      <c r="D188" s="24"/>
      <c r="E188" s="6"/>
      <c r="F188" s="17"/>
      <c r="G188" s="15" t="n">
        <f aca="false">E188*F188</f>
        <v>0</v>
      </c>
      <c r="H188" s="15" t="n">
        <f aca="false">IF(B188="",0,E188*IFERROR(VLOOKUP(B188,'Recetas y precios'!$A$5:$R$55,18,FALSE()),0))</f>
        <v>0</v>
      </c>
      <c r="I188" s="30"/>
      <c r="J188" s="15" t="n">
        <f aca="false">G188*I188</f>
        <v>0</v>
      </c>
      <c r="K188" s="15" t="n">
        <f aca="false">G188-H188-J188</f>
        <v>0</v>
      </c>
      <c r="L188" s="16" t="str">
        <f aca="false">IF(G188&gt;0,K188/G188,"")</f>
        <v/>
      </c>
      <c r="M188" s="6"/>
    </row>
    <row r="189" customFormat="false" ht="15" hidden="false" customHeight="false" outlineLevel="0" collapsed="false">
      <c r="A189" s="34"/>
      <c r="B189" s="6"/>
      <c r="C189" s="0" t="str">
        <f aca="false">IF(B189="","",IFERROR(VLOOKUP(B189,'Recetas y precios'!$A$5:$B$55,2,FALSE()),""))</f>
        <v/>
      </c>
      <c r="D189" s="24"/>
      <c r="E189" s="6"/>
      <c r="F189" s="17"/>
      <c r="G189" s="15" t="n">
        <f aca="false">E189*F189</f>
        <v>0</v>
      </c>
      <c r="H189" s="15" t="n">
        <f aca="false">IF(B189="",0,E189*IFERROR(VLOOKUP(B189,'Recetas y precios'!$A$5:$R$55,18,FALSE()),0))</f>
        <v>0</v>
      </c>
      <c r="I189" s="30"/>
      <c r="J189" s="15" t="n">
        <f aca="false">G189*I189</f>
        <v>0</v>
      </c>
      <c r="K189" s="15" t="n">
        <f aca="false">G189-H189-J189</f>
        <v>0</v>
      </c>
      <c r="L189" s="16" t="str">
        <f aca="false">IF(G189&gt;0,K189/G189,"")</f>
        <v/>
      </c>
      <c r="M189" s="6"/>
    </row>
    <row r="190" customFormat="false" ht="15" hidden="false" customHeight="false" outlineLevel="0" collapsed="false">
      <c r="A190" s="34"/>
      <c r="B190" s="6"/>
      <c r="C190" s="0" t="str">
        <f aca="false">IF(B190="","",IFERROR(VLOOKUP(B190,'Recetas y precios'!$A$5:$B$55,2,FALSE()),""))</f>
        <v/>
      </c>
      <c r="D190" s="24"/>
      <c r="E190" s="6"/>
      <c r="F190" s="17"/>
      <c r="G190" s="15" t="n">
        <f aca="false">E190*F190</f>
        <v>0</v>
      </c>
      <c r="H190" s="15" t="n">
        <f aca="false">IF(B190="",0,E190*IFERROR(VLOOKUP(B190,'Recetas y precios'!$A$5:$R$55,18,FALSE()),0))</f>
        <v>0</v>
      </c>
      <c r="I190" s="30"/>
      <c r="J190" s="15" t="n">
        <f aca="false">G190*I190</f>
        <v>0</v>
      </c>
      <c r="K190" s="15" t="n">
        <f aca="false">G190-H190-J190</f>
        <v>0</v>
      </c>
      <c r="L190" s="16" t="str">
        <f aca="false">IF(G190&gt;0,K190/G190,"")</f>
        <v/>
      </c>
      <c r="M190" s="6"/>
    </row>
    <row r="191" customFormat="false" ht="15" hidden="false" customHeight="false" outlineLevel="0" collapsed="false">
      <c r="A191" s="34"/>
      <c r="B191" s="6"/>
      <c r="C191" s="0" t="str">
        <f aca="false">IF(B191="","",IFERROR(VLOOKUP(B191,'Recetas y precios'!$A$5:$B$55,2,FALSE()),""))</f>
        <v/>
      </c>
      <c r="D191" s="24"/>
      <c r="E191" s="6"/>
      <c r="F191" s="17"/>
      <c r="G191" s="15" t="n">
        <f aca="false">E191*F191</f>
        <v>0</v>
      </c>
      <c r="H191" s="15" t="n">
        <f aca="false">IF(B191="",0,E191*IFERROR(VLOOKUP(B191,'Recetas y precios'!$A$5:$R$55,18,FALSE()),0))</f>
        <v>0</v>
      </c>
      <c r="I191" s="30"/>
      <c r="J191" s="15" t="n">
        <f aca="false">G191*I191</f>
        <v>0</v>
      </c>
      <c r="K191" s="15" t="n">
        <f aca="false">G191-H191-J191</f>
        <v>0</v>
      </c>
      <c r="L191" s="16" t="str">
        <f aca="false">IF(G191&gt;0,K191/G191,"")</f>
        <v/>
      </c>
      <c r="M191" s="6"/>
    </row>
    <row r="192" customFormat="false" ht="15" hidden="false" customHeight="false" outlineLevel="0" collapsed="false">
      <c r="A192" s="34"/>
      <c r="B192" s="6"/>
      <c r="C192" s="0" t="str">
        <f aca="false">IF(B192="","",IFERROR(VLOOKUP(B192,'Recetas y precios'!$A$5:$B$55,2,FALSE()),""))</f>
        <v/>
      </c>
      <c r="D192" s="24"/>
      <c r="E192" s="6"/>
      <c r="F192" s="17"/>
      <c r="G192" s="15" t="n">
        <f aca="false">E192*F192</f>
        <v>0</v>
      </c>
      <c r="H192" s="15" t="n">
        <f aca="false">IF(B192="",0,E192*IFERROR(VLOOKUP(B192,'Recetas y precios'!$A$5:$R$55,18,FALSE()),0))</f>
        <v>0</v>
      </c>
      <c r="I192" s="30"/>
      <c r="J192" s="15" t="n">
        <f aca="false">G192*I192</f>
        <v>0</v>
      </c>
      <c r="K192" s="15" t="n">
        <f aca="false">G192-H192-J192</f>
        <v>0</v>
      </c>
      <c r="L192" s="16" t="str">
        <f aca="false">IF(G192&gt;0,K192/G192,"")</f>
        <v/>
      </c>
      <c r="M192" s="6"/>
    </row>
    <row r="193" customFormat="false" ht="15" hidden="false" customHeight="false" outlineLevel="0" collapsed="false">
      <c r="A193" s="34"/>
      <c r="B193" s="6"/>
      <c r="C193" s="0" t="str">
        <f aca="false">IF(B193="","",IFERROR(VLOOKUP(B193,'Recetas y precios'!$A$5:$B$55,2,FALSE()),""))</f>
        <v/>
      </c>
      <c r="D193" s="24"/>
      <c r="E193" s="6"/>
      <c r="F193" s="17"/>
      <c r="G193" s="15" t="n">
        <f aca="false">E193*F193</f>
        <v>0</v>
      </c>
      <c r="H193" s="15" t="n">
        <f aca="false">IF(B193="",0,E193*IFERROR(VLOOKUP(B193,'Recetas y precios'!$A$5:$R$55,18,FALSE()),0))</f>
        <v>0</v>
      </c>
      <c r="I193" s="30"/>
      <c r="J193" s="15" t="n">
        <f aca="false">G193*I193</f>
        <v>0</v>
      </c>
      <c r="K193" s="15" t="n">
        <f aca="false">G193-H193-J193</f>
        <v>0</v>
      </c>
      <c r="L193" s="16" t="str">
        <f aca="false">IF(G193&gt;0,K193/G193,"")</f>
        <v/>
      </c>
      <c r="M193" s="6"/>
    </row>
    <row r="194" customFormat="false" ht="15" hidden="false" customHeight="false" outlineLevel="0" collapsed="false">
      <c r="A194" s="34"/>
      <c r="B194" s="6"/>
      <c r="C194" s="0" t="str">
        <f aca="false">IF(B194="","",IFERROR(VLOOKUP(B194,'Recetas y precios'!$A$5:$B$55,2,FALSE()),""))</f>
        <v/>
      </c>
      <c r="D194" s="24"/>
      <c r="E194" s="6"/>
      <c r="F194" s="17"/>
      <c r="G194" s="15" t="n">
        <f aca="false">E194*F194</f>
        <v>0</v>
      </c>
      <c r="H194" s="15" t="n">
        <f aca="false">IF(B194="",0,E194*IFERROR(VLOOKUP(B194,'Recetas y precios'!$A$5:$R$55,18,FALSE()),0))</f>
        <v>0</v>
      </c>
      <c r="I194" s="30"/>
      <c r="J194" s="15" t="n">
        <f aca="false">G194*I194</f>
        <v>0</v>
      </c>
      <c r="K194" s="15" t="n">
        <f aca="false">G194-H194-J194</f>
        <v>0</v>
      </c>
      <c r="L194" s="16" t="str">
        <f aca="false">IF(G194&gt;0,K194/G194,"")</f>
        <v/>
      </c>
      <c r="M194" s="6"/>
    </row>
    <row r="195" customFormat="false" ht="15" hidden="false" customHeight="false" outlineLevel="0" collapsed="false">
      <c r="A195" s="34"/>
      <c r="B195" s="6"/>
      <c r="C195" s="0" t="str">
        <f aca="false">IF(B195="","",IFERROR(VLOOKUP(B195,'Recetas y precios'!$A$5:$B$55,2,FALSE()),""))</f>
        <v/>
      </c>
      <c r="D195" s="24"/>
      <c r="E195" s="6"/>
      <c r="F195" s="17"/>
      <c r="G195" s="15" t="n">
        <f aca="false">E195*F195</f>
        <v>0</v>
      </c>
      <c r="H195" s="15" t="n">
        <f aca="false">IF(B195="",0,E195*IFERROR(VLOOKUP(B195,'Recetas y precios'!$A$5:$R$55,18,FALSE()),0))</f>
        <v>0</v>
      </c>
      <c r="I195" s="30"/>
      <c r="J195" s="15" t="n">
        <f aca="false">G195*I195</f>
        <v>0</v>
      </c>
      <c r="K195" s="15" t="n">
        <f aca="false">G195-H195-J195</f>
        <v>0</v>
      </c>
      <c r="L195" s="16" t="str">
        <f aca="false">IF(G195&gt;0,K195/G195,"")</f>
        <v/>
      </c>
      <c r="M195" s="6"/>
    </row>
    <row r="196" customFormat="false" ht="15" hidden="false" customHeight="false" outlineLevel="0" collapsed="false">
      <c r="A196" s="34"/>
      <c r="B196" s="6"/>
      <c r="C196" s="0" t="str">
        <f aca="false">IF(B196="","",IFERROR(VLOOKUP(B196,'Recetas y precios'!$A$5:$B$55,2,FALSE()),""))</f>
        <v/>
      </c>
      <c r="D196" s="24"/>
      <c r="E196" s="6"/>
      <c r="F196" s="17"/>
      <c r="G196" s="15" t="n">
        <f aca="false">E196*F196</f>
        <v>0</v>
      </c>
      <c r="H196" s="15" t="n">
        <f aca="false">IF(B196="",0,E196*IFERROR(VLOOKUP(B196,'Recetas y precios'!$A$5:$R$55,18,FALSE()),0))</f>
        <v>0</v>
      </c>
      <c r="I196" s="30"/>
      <c r="J196" s="15" t="n">
        <f aca="false">G196*I196</f>
        <v>0</v>
      </c>
      <c r="K196" s="15" t="n">
        <f aca="false">G196-H196-J196</f>
        <v>0</v>
      </c>
      <c r="L196" s="16" t="str">
        <f aca="false">IF(G196&gt;0,K196/G196,"")</f>
        <v/>
      </c>
      <c r="M196" s="6"/>
    </row>
    <row r="197" customFormat="false" ht="15" hidden="false" customHeight="false" outlineLevel="0" collapsed="false">
      <c r="A197" s="34"/>
      <c r="B197" s="6"/>
      <c r="C197" s="0" t="str">
        <f aca="false">IF(B197="","",IFERROR(VLOOKUP(B197,'Recetas y precios'!$A$5:$B$55,2,FALSE()),""))</f>
        <v/>
      </c>
      <c r="D197" s="24"/>
      <c r="E197" s="6"/>
      <c r="F197" s="17"/>
      <c r="G197" s="15" t="n">
        <f aca="false">E197*F197</f>
        <v>0</v>
      </c>
      <c r="H197" s="15" t="n">
        <f aca="false">IF(B197="",0,E197*IFERROR(VLOOKUP(B197,'Recetas y precios'!$A$5:$R$55,18,FALSE()),0))</f>
        <v>0</v>
      </c>
      <c r="I197" s="30"/>
      <c r="J197" s="15" t="n">
        <f aca="false">G197*I197</f>
        <v>0</v>
      </c>
      <c r="K197" s="15" t="n">
        <f aca="false">G197-H197-J197</f>
        <v>0</v>
      </c>
      <c r="L197" s="16" t="str">
        <f aca="false">IF(G197&gt;0,K197/G197,"")</f>
        <v/>
      </c>
      <c r="M197" s="6"/>
    </row>
    <row r="198" customFormat="false" ht="15" hidden="false" customHeight="false" outlineLevel="0" collapsed="false">
      <c r="A198" s="34"/>
      <c r="B198" s="6"/>
      <c r="C198" s="0" t="str">
        <f aca="false">IF(B198="","",IFERROR(VLOOKUP(B198,'Recetas y precios'!$A$5:$B$55,2,FALSE()),""))</f>
        <v/>
      </c>
      <c r="D198" s="24"/>
      <c r="E198" s="6"/>
      <c r="F198" s="17"/>
      <c r="G198" s="15" t="n">
        <f aca="false">E198*F198</f>
        <v>0</v>
      </c>
      <c r="H198" s="15" t="n">
        <f aca="false">IF(B198="",0,E198*IFERROR(VLOOKUP(B198,'Recetas y precios'!$A$5:$R$55,18,FALSE()),0))</f>
        <v>0</v>
      </c>
      <c r="I198" s="30"/>
      <c r="J198" s="15" t="n">
        <f aca="false">G198*I198</f>
        <v>0</v>
      </c>
      <c r="K198" s="15" t="n">
        <f aca="false">G198-H198-J198</f>
        <v>0</v>
      </c>
      <c r="L198" s="16" t="str">
        <f aca="false">IF(G198&gt;0,K198/G198,"")</f>
        <v/>
      </c>
      <c r="M198" s="6"/>
    </row>
    <row r="199" customFormat="false" ht="15" hidden="false" customHeight="false" outlineLevel="0" collapsed="false">
      <c r="A199" s="34"/>
      <c r="B199" s="6"/>
      <c r="C199" s="0" t="str">
        <f aca="false">IF(B199="","",IFERROR(VLOOKUP(B199,'Recetas y precios'!$A$5:$B$55,2,FALSE()),""))</f>
        <v/>
      </c>
      <c r="D199" s="24"/>
      <c r="E199" s="6"/>
      <c r="F199" s="17"/>
      <c r="G199" s="15" t="n">
        <f aca="false">E199*F199</f>
        <v>0</v>
      </c>
      <c r="H199" s="15" t="n">
        <f aca="false">IF(B199="",0,E199*IFERROR(VLOOKUP(B199,'Recetas y precios'!$A$5:$R$55,18,FALSE()),0))</f>
        <v>0</v>
      </c>
      <c r="I199" s="30"/>
      <c r="J199" s="15" t="n">
        <f aca="false">G199*I199</f>
        <v>0</v>
      </c>
      <c r="K199" s="15" t="n">
        <f aca="false">G199-H199-J199</f>
        <v>0</v>
      </c>
      <c r="L199" s="16" t="str">
        <f aca="false">IF(G199&gt;0,K199/G199,"")</f>
        <v/>
      </c>
      <c r="M199" s="6"/>
    </row>
    <row r="200" customFormat="false" ht="15" hidden="false" customHeight="false" outlineLevel="0" collapsed="false">
      <c r="A200" s="34"/>
      <c r="B200" s="6"/>
      <c r="C200" s="0" t="str">
        <f aca="false">IF(B200="","",IFERROR(VLOOKUP(B200,'Recetas y precios'!$A$5:$B$55,2,FALSE()),""))</f>
        <v/>
      </c>
      <c r="D200" s="24"/>
      <c r="E200" s="6"/>
      <c r="F200" s="17"/>
      <c r="G200" s="15" t="n">
        <f aca="false">E200*F200</f>
        <v>0</v>
      </c>
      <c r="H200" s="15" t="n">
        <f aca="false">IF(B200="",0,E200*IFERROR(VLOOKUP(B200,'Recetas y precios'!$A$5:$R$55,18,FALSE()),0))</f>
        <v>0</v>
      </c>
      <c r="I200" s="30"/>
      <c r="J200" s="15" t="n">
        <f aca="false">G200*I200</f>
        <v>0</v>
      </c>
      <c r="K200" s="15" t="n">
        <f aca="false">G200-H200-J200</f>
        <v>0</v>
      </c>
      <c r="L200" s="16" t="str">
        <f aca="false">IF(G200&gt;0,K200/G200,"")</f>
        <v/>
      </c>
      <c r="M200" s="6"/>
    </row>
    <row r="201" customFormat="false" ht="15" hidden="false" customHeight="false" outlineLevel="0" collapsed="false">
      <c r="A201" s="34"/>
      <c r="B201" s="6"/>
      <c r="C201" s="0" t="str">
        <f aca="false">IF(B201="","",IFERROR(VLOOKUP(B201,'Recetas y precios'!$A$5:$B$55,2,FALSE()),""))</f>
        <v/>
      </c>
      <c r="D201" s="24"/>
      <c r="E201" s="6"/>
      <c r="F201" s="17"/>
      <c r="G201" s="15" t="n">
        <f aca="false">E201*F201</f>
        <v>0</v>
      </c>
      <c r="H201" s="15" t="n">
        <f aca="false">IF(B201="",0,E201*IFERROR(VLOOKUP(B201,'Recetas y precios'!$A$5:$R$55,18,FALSE()),0))</f>
        <v>0</v>
      </c>
      <c r="I201" s="30"/>
      <c r="J201" s="15" t="n">
        <f aca="false">G201*I201</f>
        <v>0</v>
      </c>
      <c r="K201" s="15" t="n">
        <f aca="false">G201-H201-J201</f>
        <v>0</v>
      </c>
      <c r="L201" s="16" t="str">
        <f aca="false">IF(G201&gt;0,K201/G201,"")</f>
        <v/>
      </c>
      <c r="M201" s="6"/>
    </row>
    <row r="202" customFormat="false" ht="15" hidden="false" customHeight="false" outlineLevel="0" collapsed="false">
      <c r="A202" s="34"/>
      <c r="B202" s="6"/>
      <c r="C202" s="0" t="str">
        <f aca="false">IF(B202="","",IFERROR(VLOOKUP(B202,'Recetas y precios'!$A$5:$B$55,2,FALSE()),""))</f>
        <v/>
      </c>
      <c r="D202" s="24"/>
      <c r="E202" s="6"/>
      <c r="F202" s="17"/>
      <c r="G202" s="15" t="n">
        <f aca="false">E202*F202</f>
        <v>0</v>
      </c>
      <c r="H202" s="15" t="n">
        <f aca="false">IF(B202="",0,E202*IFERROR(VLOOKUP(B202,'Recetas y precios'!$A$5:$R$55,18,FALSE()),0))</f>
        <v>0</v>
      </c>
      <c r="I202" s="30"/>
      <c r="J202" s="15" t="n">
        <f aca="false">G202*I202</f>
        <v>0</v>
      </c>
      <c r="K202" s="15" t="n">
        <f aca="false">G202-H202-J202</f>
        <v>0</v>
      </c>
      <c r="L202" s="16" t="str">
        <f aca="false">IF(G202&gt;0,K202/G202,"")</f>
        <v/>
      </c>
      <c r="M202" s="6"/>
    </row>
    <row r="203" customFormat="false" ht="15" hidden="false" customHeight="false" outlineLevel="0" collapsed="false">
      <c r="A203" s="34"/>
      <c r="B203" s="6"/>
      <c r="C203" s="0" t="str">
        <f aca="false">IF(B203="","",IFERROR(VLOOKUP(B203,'Recetas y precios'!$A$5:$B$55,2,FALSE()),""))</f>
        <v/>
      </c>
      <c r="D203" s="24"/>
      <c r="E203" s="6"/>
      <c r="F203" s="17"/>
      <c r="G203" s="15" t="n">
        <f aca="false">E203*F203</f>
        <v>0</v>
      </c>
      <c r="H203" s="15" t="n">
        <f aca="false">IF(B203="",0,E203*IFERROR(VLOOKUP(B203,'Recetas y precios'!$A$5:$R$55,18,FALSE()),0))</f>
        <v>0</v>
      </c>
      <c r="I203" s="30"/>
      <c r="J203" s="15" t="n">
        <f aca="false">G203*I203</f>
        <v>0</v>
      </c>
      <c r="K203" s="15" t="n">
        <f aca="false">G203-H203-J203</f>
        <v>0</v>
      </c>
      <c r="L203" s="16" t="str">
        <f aca="false">IF(G203&gt;0,K203/G203,"")</f>
        <v/>
      </c>
      <c r="M203" s="6"/>
    </row>
    <row r="204" customFormat="false" ht="15" hidden="false" customHeight="false" outlineLevel="0" collapsed="false">
      <c r="A204" s="34"/>
      <c r="B204" s="6"/>
      <c r="C204" s="0" t="str">
        <f aca="false">IF(B204="","",IFERROR(VLOOKUP(B204,'Recetas y precios'!$A$5:$B$55,2,FALSE()),""))</f>
        <v/>
      </c>
      <c r="D204" s="24"/>
      <c r="E204" s="6"/>
      <c r="F204" s="17"/>
      <c r="G204" s="15" t="n">
        <f aca="false">E204*F204</f>
        <v>0</v>
      </c>
      <c r="H204" s="15" t="n">
        <f aca="false">IF(B204="",0,E204*IFERROR(VLOOKUP(B204,'Recetas y precios'!$A$5:$R$55,18,FALSE()),0))</f>
        <v>0</v>
      </c>
      <c r="I204" s="30"/>
      <c r="J204" s="15" t="n">
        <f aca="false">G204*I204</f>
        <v>0</v>
      </c>
      <c r="K204" s="15" t="n">
        <f aca="false">G204-H204-J204</f>
        <v>0</v>
      </c>
      <c r="L204" s="16" t="str">
        <f aca="false">IF(G204&gt;0,K204/G204,"")</f>
        <v/>
      </c>
      <c r="M204" s="6"/>
    </row>
    <row r="205" customFormat="false" ht="15" hidden="false" customHeight="false" outlineLevel="0" collapsed="false">
      <c r="A205" s="34"/>
      <c r="B205" s="6"/>
      <c r="C205" s="0" t="str">
        <f aca="false">IF(B205="","",IFERROR(VLOOKUP(B205,'Recetas y precios'!$A$5:$B$55,2,FALSE()),""))</f>
        <v/>
      </c>
      <c r="D205" s="24"/>
      <c r="E205" s="6"/>
      <c r="F205" s="17"/>
      <c r="G205" s="15" t="n">
        <f aca="false">E205*F205</f>
        <v>0</v>
      </c>
      <c r="H205" s="15" t="n">
        <f aca="false">IF(B205="",0,E205*IFERROR(VLOOKUP(B205,'Recetas y precios'!$A$5:$R$55,18,FALSE()),0))</f>
        <v>0</v>
      </c>
      <c r="I205" s="30"/>
      <c r="J205" s="15" t="n">
        <f aca="false">G205*I205</f>
        <v>0</v>
      </c>
      <c r="K205" s="15" t="n">
        <f aca="false">G205-H205-J205</f>
        <v>0</v>
      </c>
      <c r="L205" s="16" t="str">
        <f aca="false">IF(G205&gt;0,K205/G205,"")</f>
        <v/>
      </c>
      <c r="M205" s="6"/>
    </row>
    <row r="206" customFormat="false" ht="15" hidden="false" customHeight="false" outlineLevel="0" collapsed="false">
      <c r="A206" s="34"/>
      <c r="B206" s="6"/>
      <c r="C206" s="0" t="str">
        <f aca="false">IF(B206="","",IFERROR(VLOOKUP(B206,'Recetas y precios'!$A$5:$B$55,2,FALSE()),""))</f>
        <v/>
      </c>
      <c r="D206" s="24"/>
      <c r="E206" s="6"/>
      <c r="F206" s="17"/>
      <c r="G206" s="15" t="n">
        <f aca="false">E206*F206</f>
        <v>0</v>
      </c>
      <c r="H206" s="15" t="n">
        <f aca="false">IF(B206="",0,E206*IFERROR(VLOOKUP(B206,'Recetas y precios'!$A$5:$R$55,18,FALSE()),0))</f>
        <v>0</v>
      </c>
      <c r="I206" s="30"/>
      <c r="J206" s="15" t="n">
        <f aca="false">G206*I206</f>
        <v>0</v>
      </c>
      <c r="K206" s="15" t="n">
        <f aca="false">G206-H206-J206</f>
        <v>0</v>
      </c>
      <c r="L206" s="16" t="str">
        <f aca="false">IF(G206&gt;0,K206/G206,"")</f>
        <v/>
      </c>
      <c r="M206" s="6"/>
    </row>
    <row r="207" customFormat="false" ht="15" hidden="false" customHeight="false" outlineLevel="0" collapsed="false">
      <c r="A207" s="34"/>
      <c r="B207" s="6"/>
      <c r="C207" s="0" t="str">
        <f aca="false">IF(B207="","",IFERROR(VLOOKUP(B207,'Recetas y precios'!$A$5:$B$55,2,FALSE()),""))</f>
        <v/>
      </c>
      <c r="D207" s="24"/>
      <c r="E207" s="6"/>
      <c r="F207" s="17"/>
      <c r="G207" s="15" t="n">
        <f aca="false">E207*F207</f>
        <v>0</v>
      </c>
      <c r="H207" s="15" t="n">
        <f aca="false">IF(B207="",0,E207*IFERROR(VLOOKUP(B207,'Recetas y precios'!$A$5:$R$55,18,FALSE()),0))</f>
        <v>0</v>
      </c>
      <c r="I207" s="30"/>
      <c r="J207" s="15" t="n">
        <f aca="false">G207*I207</f>
        <v>0</v>
      </c>
      <c r="K207" s="15" t="n">
        <f aca="false">G207-H207-J207</f>
        <v>0</v>
      </c>
      <c r="L207" s="16" t="str">
        <f aca="false">IF(G207&gt;0,K207/G207,"")</f>
        <v/>
      </c>
      <c r="M207" s="6"/>
    </row>
    <row r="208" customFormat="false" ht="15" hidden="false" customHeight="false" outlineLevel="0" collapsed="false">
      <c r="A208" s="34"/>
      <c r="B208" s="6"/>
      <c r="C208" s="0" t="str">
        <f aca="false">IF(B208="","",IFERROR(VLOOKUP(B208,'Recetas y precios'!$A$5:$B$55,2,FALSE()),""))</f>
        <v/>
      </c>
      <c r="D208" s="24"/>
      <c r="E208" s="6"/>
      <c r="F208" s="17"/>
      <c r="G208" s="15" t="n">
        <f aca="false">E208*F208</f>
        <v>0</v>
      </c>
      <c r="H208" s="15" t="n">
        <f aca="false">IF(B208="",0,E208*IFERROR(VLOOKUP(B208,'Recetas y precios'!$A$5:$R$55,18,FALSE()),0))</f>
        <v>0</v>
      </c>
      <c r="I208" s="30"/>
      <c r="J208" s="15" t="n">
        <f aca="false">G208*I208</f>
        <v>0</v>
      </c>
      <c r="K208" s="15" t="n">
        <f aca="false">G208-H208-J208</f>
        <v>0</v>
      </c>
      <c r="L208" s="16" t="str">
        <f aca="false">IF(G208&gt;0,K208/G208,"")</f>
        <v/>
      </c>
      <c r="M208" s="6"/>
    </row>
    <row r="209" customFormat="false" ht="15" hidden="false" customHeight="false" outlineLevel="0" collapsed="false">
      <c r="A209" s="34"/>
      <c r="B209" s="6"/>
      <c r="C209" s="0" t="str">
        <f aca="false">IF(B209="","",IFERROR(VLOOKUP(B209,'Recetas y precios'!$A$5:$B$55,2,FALSE()),""))</f>
        <v/>
      </c>
      <c r="D209" s="24"/>
      <c r="E209" s="6"/>
      <c r="F209" s="17"/>
      <c r="G209" s="15" t="n">
        <f aca="false">E209*F209</f>
        <v>0</v>
      </c>
      <c r="H209" s="15" t="n">
        <f aca="false">IF(B209="",0,E209*IFERROR(VLOOKUP(B209,'Recetas y precios'!$A$5:$R$55,18,FALSE()),0))</f>
        <v>0</v>
      </c>
      <c r="I209" s="30"/>
      <c r="J209" s="15" t="n">
        <f aca="false">G209*I209</f>
        <v>0</v>
      </c>
      <c r="K209" s="15" t="n">
        <f aca="false">G209-H209-J209</f>
        <v>0</v>
      </c>
      <c r="L209" s="16" t="str">
        <f aca="false">IF(G209&gt;0,K209/G209,"")</f>
        <v/>
      </c>
      <c r="M209" s="6"/>
    </row>
    <row r="210" customFormat="false" ht="15" hidden="false" customHeight="false" outlineLevel="0" collapsed="false">
      <c r="A210" s="34"/>
      <c r="B210" s="6"/>
      <c r="C210" s="0" t="str">
        <f aca="false">IF(B210="","",IFERROR(VLOOKUP(B210,'Recetas y precios'!$A$5:$B$55,2,FALSE()),""))</f>
        <v/>
      </c>
      <c r="D210" s="24"/>
      <c r="E210" s="6"/>
      <c r="F210" s="17"/>
      <c r="G210" s="15" t="n">
        <f aca="false">E210*F210</f>
        <v>0</v>
      </c>
      <c r="H210" s="15" t="n">
        <f aca="false">IF(B210="",0,E210*IFERROR(VLOOKUP(B210,'Recetas y precios'!$A$5:$R$55,18,FALSE()),0))</f>
        <v>0</v>
      </c>
      <c r="I210" s="30"/>
      <c r="J210" s="15" t="n">
        <f aca="false">G210*I210</f>
        <v>0</v>
      </c>
      <c r="K210" s="15" t="n">
        <f aca="false">G210-H210-J210</f>
        <v>0</v>
      </c>
      <c r="L210" s="16" t="str">
        <f aca="false">IF(G210&gt;0,K210/G210,"")</f>
        <v/>
      </c>
      <c r="M210" s="6"/>
    </row>
    <row r="211" customFormat="false" ht="15" hidden="false" customHeight="false" outlineLevel="0" collapsed="false">
      <c r="A211" s="34"/>
      <c r="B211" s="6"/>
      <c r="C211" s="0" t="str">
        <f aca="false">IF(B211="","",IFERROR(VLOOKUP(B211,'Recetas y precios'!$A$5:$B$55,2,FALSE()),""))</f>
        <v/>
      </c>
      <c r="D211" s="24"/>
      <c r="E211" s="6"/>
      <c r="F211" s="17"/>
      <c r="G211" s="15" t="n">
        <f aca="false">E211*F211</f>
        <v>0</v>
      </c>
      <c r="H211" s="15" t="n">
        <f aca="false">IF(B211="",0,E211*IFERROR(VLOOKUP(B211,'Recetas y precios'!$A$5:$R$55,18,FALSE()),0))</f>
        <v>0</v>
      </c>
      <c r="I211" s="30"/>
      <c r="J211" s="15" t="n">
        <f aca="false">G211*I211</f>
        <v>0</v>
      </c>
      <c r="K211" s="15" t="n">
        <f aca="false">G211-H211-J211</f>
        <v>0</v>
      </c>
      <c r="L211" s="16" t="str">
        <f aca="false">IF(G211&gt;0,K211/G211,"")</f>
        <v/>
      </c>
      <c r="M211" s="6"/>
    </row>
    <row r="212" customFormat="false" ht="15" hidden="false" customHeight="false" outlineLevel="0" collapsed="false">
      <c r="A212" s="34"/>
      <c r="B212" s="6"/>
      <c r="C212" s="0" t="str">
        <f aca="false">IF(B212="","",IFERROR(VLOOKUP(B212,'Recetas y precios'!$A$5:$B$55,2,FALSE()),""))</f>
        <v/>
      </c>
      <c r="D212" s="24"/>
      <c r="E212" s="6"/>
      <c r="F212" s="17"/>
      <c r="G212" s="15" t="n">
        <f aca="false">E212*F212</f>
        <v>0</v>
      </c>
      <c r="H212" s="15" t="n">
        <f aca="false">IF(B212="",0,E212*IFERROR(VLOOKUP(B212,'Recetas y precios'!$A$5:$R$55,18,FALSE()),0))</f>
        <v>0</v>
      </c>
      <c r="I212" s="30"/>
      <c r="J212" s="15" t="n">
        <f aca="false">G212*I212</f>
        <v>0</v>
      </c>
      <c r="K212" s="15" t="n">
        <f aca="false">G212-H212-J212</f>
        <v>0</v>
      </c>
      <c r="L212" s="16" t="str">
        <f aca="false">IF(G212&gt;0,K212/G212,"")</f>
        <v/>
      </c>
      <c r="M212" s="6"/>
    </row>
    <row r="213" customFormat="false" ht="15" hidden="false" customHeight="false" outlineLevel="0" collapsed="false">
      <c r="A213" s="34"/>
      <c r="B213" s="6"/>
      <c r="C213" s="0" t="str">
        <f aca="false">IF(B213="","",IFERROR(VLOOKUP(B213,'Recetas y precios'!$A$5:$B$55,2,FALSE()),""))</f>
        <v/>
      </c>
      <c r="D213" s="24"/>
      <c r="E213" s="6"/>
      <c r="F213" s="17"/>
      <c r="G213" s="15" t="n">
        <f aca="false">E213*F213</f>
        <v>0</v>
      </c>
      <c r="H213" s="15" t="n">
        <f aca="false">IF(B213="",0,E213*IFERROR(VLOOKUP(B213,'Recetas y precios'!$A$5:$R$55,18,FALSE()),0))</f>
        <v>0</v>
      </c>
      <c r="I213" s="30"/>
      <c r="J213" s="15" t="n">
        <f aca="false">G213*I213</f>
        <v>0</v>
      </c>
      <c r="K213" s="15" t="n">
        <f aca="false">G213-H213-J213</f>
        <v>0</v>
      </c>
      <c r="L213" s="16" t="str">
        <f aca="false">IF(G213&gt;0,K213/G213,"")</f>
        <v/>
      </c>
      <c r="M213" s="6"/>
    </row>
    <row r="214" customFormat="false" ht="15" hidden="false" customHeight="false" outlineLevel="0" collapsed="false">
      <c r="A214" s="34"/>
      <c r="B214" s="6"/>
      <c r="C214" s="0" t="str">
        <f aca="false">IF(B214="","",IFERROR(VLOOKUP(B214,'Recetas y precios'!$A$5:$B$55,2,FALSE()),""))</f>
        <v/>
      </c>
      <c r="D214" s="24"/>
      <c r="E214" s="6"/>
      <c r="F214" s="17"/>
      <c r="G214" s="15" t="n">
        <f aca="false">E214*F214</f>
        <v>0</v>
      </c>
      <c r="H214" s="15" t="n">
        <f aca="false">IF(B214="",0,E214*IFERROR(VLOOKUP(B214,'Recetas y precios'!$A$5:$R$55,18,FALSE()),0))</f>
        <v>0</v>
      </c>
      <c r="I214" s="30"/>
      <c r="J214" s="15" t="n">
        <f aca="false">G214*I214</f>
        <v>0</v>
      </c>
      <c r="K214" s="15" t="n">
        <f aca="false">G214-H214-J214</f>
        <v>0</v>
      </c>
      <c r="L214" s="16" t="str">
        <f aca="false">IF(G214&gt;0,K214/G214,"")</f>
        <v/>
      </c>
      <c r="M214" s="6"/>
    </row>
    <row r="215" customFormat="false" ht="15" hidden="false" customHeight="false" outlineLevel="0" collapsed="false">
      <c r="A215" s="34"/>
      <c r="B215" s="6"/>
      <c r="C215" s="0" t="str">
        <f aca="false">IF(B215="","",IFERROR(VLOOKUP(B215,'Recetas y precios'!$A$5:$B$55,2,FALSE()),""))</f>
        <v/>
      </c>
      <c r="D215" s="24"/>
      <c r="E215" s="6"/>
      <c r="F215" s="17"/>
      <c r="G215" s="15" t="n">
        <f aca="false">E215*F215</f>
        <v>0</v>
      </c>
      <c r="H215" s="15" t="n">
        <f aca="false">IF(B215="",0,E215*IFERROR(VLOOKUP(B215,'Recetas y precios'!$A$5:$R$55,18,FALSE()),0))</f>
        <v>0</v>
      </c>
      <c r="I215" s="30"/>
      <c r="J215" s="15" t="n">
        <f aca="false">G215*I215</f>
        <v>0</v>
      </c>
      <c r="K215" s="15" t="n">
        <f aca="false">G215-H215-J215</f>
        <v>0</v>
      </c>
      <c r="L215" s="16" t="str">
        <f aca="false">IF(G215&gt;0,K215/G215,"")</f>
        <v/>
      </c>
      <c r="M215" s="6"/>
    </row>
    <row r="216" customFormat="false" ht="15" hidden="false" customHeight="false" outlineLevel="0" collapsed="false">
      <c r="A216" s="34"/>
      <c r="B216" s="6"/>
      <c r="C216" s="0" t="str">
        <f aca="false">IF(B216="","",IFERROR(VLOOKUP(B216,'Recetas y precios'!$A$5:$B$55,2,FALSE()),""))</f>
        <v/>
      </c>
      <c r="D216" s="24"/>
      <c r="E216" s="6"/>
      <c r="F216" s="17"/>
      <c r="G216" s="15" t="n">
        <f aca="false">E216*F216</f>
        <v>0</v>
      </c>
      <c r="H216" s="15" t="n">
        <f aca="false">IF(B216="",0,E216*IFERROR(VLOOKUP(B216,'Recetas y precios'!$A$5:$R$55,18,FALSE()),0))</f>
        <v>0</v>
      </c>
      <c r="I216" s="30"/>
      <c r="J216" s="15" t="n">
        <f aca="false">G216*I216</f>
        <v>0</v>
      </c>
      <c r="K216" s="15" t="n">
        <f aca="false">G216-H216-J216</f>
        <v>0</v>
      </c>
      <c r="L216" s="16" t="str">
        <f aca="false">IF(G216&gt;0,K216/G216,"")</f>
        <v/>
      </c>
      <c r="M216" s="6"/>
    </row>
    <row r="217" customFormat="false" ht="15" hidden="false" customHeight="false" outlineLevel="0" collapsed="false">
      <c r="A217" s="34"/>
      <c r="B217" s="6"/>
      <c r="C217" s="0" t="str">
        <f aca="false">IF(B217="","",IFERROR(VLOOKUP(B217,'Recetas y precios'!$A$5:$B$55,2,FALSE()),""))</f>
        <v/>
      </c>
      <c r="D217" s="24"/>
      <c r="E217" s="6"/>
      <c r="F217" s="17"/>
      <c r="G217" s="15" t="n">
        <f aca="false">E217*F217</f>
        <v>0</v>
      </c>
      <c r="H217" s="15" t="n">
        <f aca="false">IF(B217="",0,E217*IFERROR(VLOOKUP(B217,'Recetas y precios'!$A$5:$R$55,18,FALSE()),0))</f>
        <v>0</v>
      </c>
      <c r="I217" s="30"/>
      <c r="J217" s="15" t="n">
        <f aca="false">G217*I217</f>
        <v>0</v>
      </c>
      <c r="K217" s="15" t="n">
        <f aca="false">G217-H217-J217</f>
        <v>0</v>
      </c>
      <c r="L217" s="16" t="str">
        <f aca="false">IF(G217&gt;0,K217/G217,"")</f>
        <v/>
      </c>
      <c r="M217" s="6"/>
    </row>
    <row r="218" customFormat="false" ht="15" hidden="false" customHeight="false" outlineLevel="0" collapsed="false">
      <c r="A218" s="34"/>
      <c r="B218" s="6"/>
      <c r="C218" s="0" t="str">
        <f aca="false">IF(B218="","",IFERROR(VLOOKUP(B218,'Recetas y precios'!$A$5:$B$55,2,FALSE()),""))</f>
        <v/>
      </c>
      <c r="D218" s="24"/>
      <c r="E218" s="6"/>
      <c r="F218" s="17"/>
      <c r="G218" s="15" t="n">
        <f aca="false">E218*F218</f>
        <v>0</v>
      </c>
      <c r="H218" s="15" t="n">
        <f aca="false">IF(B218="",0,E218*IFERROR(VLOOKUP(B218,'Recetas y precios'!$A$5:$R$55,18,FALSE()),0))</f>
        <v>0</v>
      </c>
      <c r="I218" s="30"/>
      <c r="J218" s="15" t="n">
        <f aca="false">G218*I218</f>
        <v>0</v>
      </c>
      <c r="K218" s="15" t="n">
        <f aca="false">G218-H218-J218</f>
        <v>0</v>
      </c>
      <c r="L218" s="16" t="str">
        <f aca="false">IF(G218&gt;0,K218/G218,"")</f>
        <v/>
      </c>
      <c r="M218" s="6"/>
    </row>
    <row r="219" customFormat="false" ht="15" hidden="false" customHeight="false" outlineLevel="0" collapsed="false">
      <c r="A219" s="34"/>
      <c r="B219" s="6"/>
      <c r="C219" s="0" t="str">
        <f aca="false">IF(B219="","",IFERROR(VLOOKUP(B219,'Recetas y precios'!$A$5:$B$55,2,FALSE()),""))</f>
        <v/>
      </c>
      <c r="D219" s="24"/>
      <c r="E219" s="6"/>
      <c r="F219" s="17"/>
      <c r="G219" s="15" t="n">
        <f aca="false">E219*F219</f>
        <v>0</v>
      </c>
      <c r="H219" s="15" t="n">
        <f aca="false">IF(B219="",0,E219*IFERROR(VLOOKUP(B219,'Recetas y precios'!$A$5:$R$55,18,FALSE()),0))</f>
        <v>0</v>
      </c>
      <c r="I219" s="30"/>
      <c r="J219" s="15" t="n">
        <f aca="false">G219*I219</f>
        <v>0</v>
      </c>
      <c r="K219" s="15" t="n">
        <f aca="false">G219-H219-J219</f>
        <v>0</v>
      </c>
      <c r="L219" s="16" t="str">
        <f aca="false">IF(G219&gt;0,K219/G219,"")</f>
        <v/>
      </c>
      <c r="M219" s="6"/>
    </row>
    <row r="220" customFormat="false" ht="15" hidden="false" customHeight="false" outlineLevel="0" collapsed="false">
      <c r="A220" s="34"/>
      <c r="B220" s="6"/>
      <c r="C220" s="0" t="str">
        <f aca="false">IF(B220="","",IFERROR(VLOOKUP(B220,'Recetas y precios'!$A$5:$B$55,2,FALSE()),""))</f>
        <v/>
      </c>
      <c r="D220" s="24"/>
      <c r="E220" s="6"/>
      <c r="F220" s="17"/>
      <c r="G220" s="15" t="n">
        <f aca="false">E220*F220</f>
        <v>0</v>
      </c>
      <c r="H220" s="15" t="n">
        <f aca="false">IF(B220="",0,E220*IFERROR(VLOOKUP(B220,'Recetas y precios'!$A$5:$R$55,18,FALSE()),0))</f>
        <v>0</v>
      </c>
      <c r="I220" s="30"/>
      <c r="J220" s="15" t="n">
        <f aca="false">G220*I220</f>
        <v>0</v>
      </c>
      <c r="K220" s="15" t="n">
        <f aca="false">G220-H220-J220</f>
        <v>0</v>
      </c>
      <c r="L220" s="16" t="str">
        <f aca="false">IF(G220&gt;0,K220/G220,"")</f>
        <v/>
      </c>
      <c r="M220" s="6"/>
    </row>
    <row r="221" customFormat="false" ht="15" hidden="false" customHeight="false" outlineLevel="0" collapsed="false">
      <c r="A221" s="34"/>
      <c r="B221" s="6"/>
      <c r="C221" s="0" t="str">
        <f aca="false">IF(B221="","",IFERROR(VLOOKUP(B221,'Recetas y precios'!$A$5:$B$55,2,FALSE()),""))</f>
        <v/>
      </c>
      <c r="D221" s="24"/>
      <c r="E221" s="6"/>
      <c r="F221" s="17"/>
      <c r="G221" s="15" t="n">
        <f aca="false">E221*F221</f>
        <v>0</v>
      </c>
      <c r="H221" s="15" t="n">
        <f aca="false">IF(B221="",0,E221*IFERROR(VLOOKUP(B221,'Recetas y precios'!$A$5:$R$55,18,FALSE()),0))</f>
        <v>0</v>
      </c>
      <c r="I221" s="30"/>
      <c r="J221" s="15" t="n">
        <f aca="false">G221*I221</f>
        <v>0</v>
      </c>
      <c r="K221" s="15" t="n">
        <f aca="false">G221-H221-J221</f>
        <v>0</v>
      </c>
      <c r="L221" s="16" t="str">
        <f aca="false">IF(G221&gt;0,K221/G221,"")</f>
        <v/>
      </c>
      <c r="M221" s="6"/>
    </row>
    <row r="222" customFormat="false" ht="15" hidden="false" customHeight="false" outlineLevel="0" collapsed="false">
      <c r="A222" s="34"/>
      <c r="B222" s="6"/>
      <c r="C222" s="0" t="str">
        <f aca="false">IF(B222="","",IFERROR(VLOOKUP(B222,'Recetas y precios'!$A$5:$B$55,2,FALSE()),""))</f>
        <v/>
      </c>
      <c r="D222" s="24"/>
      <c r="E222" s="6"/>
      <c r="F222" s="17"/>
      <c r="G222" s="15" t="n">
        <f aca="false">E222*F222</f>
        <v>0</v>
      </c>
      <c r="H222" s="15" t="n">
        <f aca="false">IF(B222="",0,E222*IFERROR(VLOOKUP(B222,'Recetas y precios'!$A$5:$R$55,18,FALSE()),0))</f>
        <v>0</v>
      </c>
      <c r="I222" s="30"/>
      <c r="J222" s="15" t="n">
        <f aca="false">G222*I222</f>
        <v>0</v>
      </c>
      <c r="K222" s="15" t="n">
        <f aca="false">G222-H222-J222</f>
        <v>0</v>
      </c>
      <c r="L222" s="16" t="str">
        <f aca="false">IF(G222&gt;0,K222/G222,"")</f>
        <v/>
      </c>
      <c r="M222" s="6"/>
    </row>
    <row r="223" customFormat="false" ht="15" hidden="false" customHeight="false" outlineLevel="0" collapsed="false">
      <c r="A223" s="34"/>
      <c r="B223" s="6"/>
      <c r="C223" s="0" t="str">
        <f aca="false">IF(B223="","",IFERROR(VLOOKUP(B223,'Recetas y precios'!$A$5:$B$55,2,FALSE()),""))</f>
        <v/>
      </c>
      <c r="D223" s="24"/>
      <c r="E223" s="6"/>
      <c r="F223" s="17"/>
      <c r="G223" s="15" t="n">
        <f aca="false">E223*F223</f>
        <v>0</v>
      </c>
      <c r="H223" s="15" t="n">
        <f aca="false">IF(B223="",0,E223*IFERROR(VLOOKUP(B223,'Recetas y precios'!$A$5:$R$55,18,FALSE()),0))</f>
        <v>0</v>
      </c>
      <c r="I223" s="30"/>
      <c r="J223" s="15" t="n">
        <f aca="false">G223*I223</f>
        <v>0</v>
      </c>
      <c r="K223" s="15" t="n">
        <f aca="false">G223-H223-J223</f>
        <v>0</v>
      </c>
      <c r="L223" s="16" t="str">
        <f aca="false">IF(G223&gt;0,K223/G223,"")</f>
        <v/>
      </c>
      <c r="M223" s="6"/>
    </row>
    <row r="224" customFormat="false" ht="15" hidden="false" customHeight="false" outlineLevel="0" collapsed="false">
      <c r="A224" s="34"/>
      <c r="B224" s="6"/>
      <c r="C224" s="0" t="str">
        <f aca="false">IF(B224="","",IFERROR(VLOOKUP(B224,'Recetas y precios'!$A$5:$B$55,2,FALSE()),""))</f>
        <v/>
      </c>
      <c r="D224" s="24"/>
      <c r="E224" s="6"/>
      <c r="F224" s="17"/>
      <c r="G224" s="15" t="n">
        <f aca="false">E224*F224</f>
        <v>0</v>
      </c>
      <c r="H224" s="15" t="n">
        <f aca="false">IF(B224="",0,E224*IFERROR(VLOOKUP(B224,'Recetas y precios'!$A$5:$R$55,18,FALSE()),0))</f>
        <v>0</v>
      </c>
      <c r="I224" s="30"/>
      <c r="J224" s="15" t="n">
        <f aca="false">G224*I224</f>
        <v>0</v>
      </c>
      <c r="K224" s="15" t="n">
        <f aca="false">G224-H224-J224</f>
        <v>0</v>
      </c>
      <c r="L224" s="16" t="str">
        <f aca="false">IF(G224&gt;0,K224/G224,"")</f>
        <v/>
      </c>
      <c r="M224" s="6"/>
    </row>
    <row r="225" customFormat="false" ht="15" hidden="false" customHeight="false" outlineLevel="0" collapsed="false">
      <c r="A225" s="34"/>
      <c r="B225" s="6"/>
      <c r="C225" s="0" t="str">
        <f aca="false">IF(B225="","",IFERROR(VLOOKUP(B225,'Recetas y precios'!$A$5:$B$55,2,FALSE()),""))</f>
        <v/>
      </c>
      <c r="D225" s="24"/>
      <c r="E225" s="6"/>
      <c r="F225" s="17"/>
      <c r="G225" s="15" t="n">
        <f aca="false">E225*F225</f>
        <v>0</v>
      </c>
      <c r="H225" s="15" t="n">
        <f aca="false">IF(B225="",0,E225*IFERROR(VLOOKUP(B225,'Recetas y precios'!$A$5:$R$55,18,FALSE()),0))</f>
        <v>0</v>
      </c>
      <c r="I225" s="30"/>
      <c r="J225" s="15" t="n">
        <f aca="false">G225*I225</f>
        <v>0</v>
      </c>
      <c r="K225" s="15" t="n">
        <f aca="false">G225-H225-J225</f>
        <v>0</v>
      </c>
      <c r="L225" s="16" t="str">
        <f aca="false">IF(G225&gt;0,K225/G225,"")</f>
        <v/>
      </c>
      <c r="M225" s="6"/>
    </row>
    <row r="226" customFormat="false" ht="15" hidden="false" customHeight="false" outlineLevel="0" collapsed="false">
      <c r="A226" s="34"/>
      <c r="B226" s="6"/>
      <c r="C226" s="0" t="str">
        <f aca="false">IF(B226="","",IFERROR(VLOOKUP(B226,'Recetas y precios'!$A$5:$B$55,2,FALSE()),""))</f>
        <v/>
      </c>
      <c r="D226" s="24"/>
      <c r="E226" s="6"/>
      <c r="F226" s="17"/>
      <c r="G226" s="15" t="n">
        <f aca="false">E226*F226</f>
        <v>0</v>
      </c>
      <c r="H226" s="15" t="n">
        <f aca="false">IF(B226="",0,E226*IFERROR(VLOOKUP(B226,'Recetas y precios'!$A$5:$R$55,18,FALSE()),0))</f>
        <v>0</v>
      </c>
      <c r="I226" s="30"/>
      <c r="J226" s="15" t="n">
        <f aca="false">G226*I226</f>
        <v>0</v>
      </c>
      <c r="K226" s="15" t="n">
        <f aca="false">G226-H226-J226</f>
        <v>0</v>
      </c>
      <c r="L226" s="16" t="str">
        <f aca="false">IF(G226&gt;0,K226/G226,"")</f>
        <v/>
      </c>
      <c r="M226" s="6"/>
    </row>
    <row r="227" customFormat="false" ht="15" hidden="false" customHeight="false" outlineLevel="0" collapsed="false">
      <c r="A227" s="34"/>
      <c r="B227" s="6"/>
      <c r="C227" s="0" t="str">
        <f aca="false">IF(B227="","",IFERROR(VLOOKUP(B227,'Recetas y precios'!$A$5:$B$55,2,FALSE()),""))</f>
        <v/>
      </c>
      <c r="D227" s="24"/>
      <c r="E227" s="6"/>
      <c r="F227" s="17"/>
      <c r="G227" s="15" t="n">
        <f aca="false">E227*F227</f>
        <v>0</v>
      </c>
      <c r="H227" s="15" t="n">
        <f aca="false">IF(B227="",0,E227*IFERROR(VLOOKUP(B227,'Recetas y precios'!$A$5:$R$55,18,FALSE()),0))</f>
        <v>0</v>
      </c>
      <c r="I227" s="30"/>
      <c r="J227" s="15" t="n">
        <f aca="false">G227*I227</f>
        <v>0</v>
      </c>
      <c r="K227" s="15" t="n">
        <f aca="false">G227-H227-J227</f>
        <v>0</v>
      </c>
      <c r="L227" s="16" t="str">
        <f aca="false">IF(G227&gt;0,K227/G227,"")</f>
        <v/>
      </c>
      <c r="M227" s="6"/>
    </row>
    <row r="228" customFormat="false" ht="15" hidden="false" customHeight="false" outlineLevel="0" collapsed="false">
      <c r="A228" s="34"/>
      <c r="B228" s="6"/>
      <c r="C228" s="0" t="str">
        <f aca="false">IF(B228="","",IFERROR(VLOOKUP(B228,'Recetas y precios'!$A$5:$B$55,2,FALSE()),""))</f>
        <v/>
      </c>
      <c r="D228" s="24"/>
      <c r="E228" s="6"/>
      <c r="F228" s="17"/>
      <c r="G228" s="15" t="n">
        <f aca="false">E228*F228</f>
        <v>0</v>
      </c>
      <c r="H228" s="15" t="n">
        <f aca="false">IF(B228="",0,E228*IFERROR(VLOOKUP(B228,'Recetas y precios'!$A$5:$R$55,18,FALSE()),0))</f>
        <v>0</v>
      </c>
      <c r="I228" s="30"/>
      <c r="J228" s="15" t="n">
        <f aca="false">G228*I228</f>
        <v>0</v>
      </c>
      <c r="K228" s="15" t="n">
        <f aca="false">G228-H228-J228</f>
        <v>0</v>
      </c>
      <c r="L228" s="16" t="str">
        <f aca="false">IF(G228&gt;0,K228/G228,"")</f>
        <v/>
      </c>
      <c r="M228" s="6"/>
    </row>
    <row r="229" customFormat="false" ht="15" hidden="false" customHeight="false" outlineLevel="0" collapsed="false">
      <c r="A229" s="34"/>
      <c r="B229" s="6"/>
      <c r="C229" s="0" t="str">
        <f aca="false">IF(B229="","",IFERROR(VLOOKUP(B229,'Recetas y precios'!$A$5:$B$55,2,FALSE()),""))</f>
        <v/>
      </c>
      <c r="D229" s="24"/>
      <c r="E229" s="6"/>
      <c r="F229" s="17"/>
      <c r="G229" s="15" t="n">
        <f aca="false">E229*F229</f>
        <v>0</v>
      </c>
      <c r="H229" s="15" t="n">
        <f aca="false">IF(B229="",0,E229*IFERROR(VLOOKUP(B229,'Recetas y precios'!$A$5:$R$55,18,FALSE()),0))</f>
        <v>0</v>
      </c>
      <c r="I229" s="30"/>
      <c r="J229" s="15" t="n">
        <f aca="false">G229*I229</f>
        <v>0</v>
      </c>
      <c r="K229" s="15" t="n">
        <f aca="false">G229-H229-J229</f>
        <v>0</v>
      </c>
      <c r="L229" s="16" t="str">
        <f aca="false">IF(G229&gt;0,K229/G229,"")</f>
        <v/>
      </c>
      <c r="M229" s="6"/>
    </row>
    <row r="230" customFormat="false" ht="15" hidden="false" customHeight="false" outlineLevel="0" collapsed="false">
      <c r="A230" s="34"/>
      <c r="B230" s="6"/>
      <c r="C230" s="0" t="str">
        <f aca="false">IF(B230="","",IFERROR(VLOOKUP(B230,'Recetas y precios'!$A$5:$B$55,2,FALSE()),""))</f>
        <v/>
      </c>
      <c r="D230" s="24"/>
      <c r="E230" s="6"/>
      <c r="F230" s="17"/>
      <c r="G230" s="15" t="n">
        <f aca="false">E230*F230</f>
        <v>0</v>
      </c>
      <c r="H230" s="15" t="n">
        <f aca="false">IF(B230="",0,E230*IFERROR(VLOOKUP(B230,'Recetas y precios'!$A$5:$R$55,18,FALSE()),0))</f>
        <v>0</v>
      </c>
      <c r="I230" s="30"/>
      <c r="J230" s="15" t="n">
        <f aca="false">G230*I230</f>
        <v>0</v>
      </c>
      <c r="K230" s="15" t="n">
        <f aca="false">G230-H230-J230</f>
        <v>0</v>
      </c>
      <c r="L230" s="16" t="str">
        <f aca="false">IF(G230&gt;0,K230/G230,"")</f>
        <v/>
      </c>
      <c r="M230" s="6"/>
    </row>
    <row r="231" customFormat="false" ht="15" hidden="false" customHeight="false" outlineLevel="0" collapsed="false">
      <c r="A231" s="34"/>
      <c r="B231" s="6"/>
      <c r="C231" s="0" t="str">
        <f aca="false">IF(B231="","",IFERROR(VLOOKUP(B231,'Recetas y precios'!$A$5:$B$55,2,FALSE()),""))</f>
        <v/>
      </c>
      <c r="D231" s="24"/>
      <c r="E231" s="6"/>
      <c r="F231" s="17"/>
      <c r="G231" s="15" t="n">
        <f aca="false">E231*F231</f>
        <v>0</v>
      </c>
      <c r="H231" s="15" t="n">
        <f aca="false">IF(B231="",0,E231*IFERROR(VLOOKUP(B231,'Recetas y precios'!$A$5:$R$55,18,FALSE()),0))</f>
        <v>0</v>
      </c>
      <c r="I231" s="30"/>
      <c r="J231" s="15" t="n">
        <f aca="false">G231*I231</f>
        <v>0</v>
      </c>
      <c r="K231" s="15" t="n">
        <f aca="false">G231-H231-J231</f>
        <v>0</v>
      </c>
      <c r="L231" s="16" t="str">
        <f aca="false">IF(G231&gt;0,K231/G231,"")</f>
        <v/>
      </c>
      <c r="M231" s="6"/>
    </row>
    <row r="232" customFormat="false" ht="15" hidden="false" customHeight="false" outlineLevel="0" collapsed="false">
      <c r="A232" s="34"/>
      <c r="B232" s="6"/>
      <c r="C232" s="0" t="str">
        <f aca="false">IF(B232="","",IFERROR(VLOOKUP(B232,'Recetas y precios'!$A$5:$B$55,2,FALSE()),""))</f>
        <v/>
      </c>
      <c r="D232" s="24"/>
      <c r="E232" s="6"/>
      <c r="F232" s="17"/>
      <c r="G232" s="15" t="n">
        <f aca="false">E232*F232</f>
        <v>0</v>
      </c>
      <c r="H232" s="15" t="n">
        <f aca="false">IF(B232="",0,E232*IFERROR(VLOOKUP(B232,'Recetas y precios'!$A$5:$R$55,18,FALSE()),0))</f>
        <v>0</v>
      </c>
      <c r="I232" s="30"/>
      <c r="J232" s="15" t="n">
        <f aca="false">G232*I232</f>
        <v>0</v>
      </c>
      <c r="K232" s="15" t="n">
        <f aca="false">G232-H232-J232</f>
        <v>0</v>
      </c>
      <c r="L232" s="16" t="str">
        <f aca="false">IF(G232&gt;0,K232/G232,"")</f>
        <v/>
      </c>
      <c r="M232" s="6"/>
    </row>
    <row r="233" customFormat="false" ht="15" hidden="false" customHeight="false" outlineLevel="0" collapsed="false">
      <c r="A233" s="34"/>
      <c r="B233" s="6"/>
      <c r="C233" s="0" t="str">
        <f aca="false">IF(B233="","",IFERROR(VLOOKUP(B233,'Recetas y precios'!$A$5:$B$55,2,FALSE()),""))</f>
        <v/>
      </c>
      <c r="D233" s="24"/>
      <c r="E233" s="6"/>
      <c r="F233" s="17"/>
      <c r="G233" s="15" t="n">
        <f aca="false">E233*F233</f>
        <v>0</v>
      </c>
      <c r="H233" s="15" t="n">
        <f aca="false">IF(B233="",0,E233*IFERROR(VLOOKUP(B233,'Recetas y precios'!$A$5:$R$55,18,FALSE()),0))</f>
        <v>0</v>
      </c>
      <c r="I233" s="30"/>
      <c r="J233" s="15" t="n">
        <f aca="false">G233*I233</f>
        <v>0</v>
      </c>
      <c r="K233" s="15" t="n">
        <f aca="false">G233-H233-J233</f>
        <v>0</v>
      </c>
      <c r="L233" s="16" t="str">
        <f aca="false">IF(G233&gt;0,K233/G233,"")</f>
        <v/>
      </c>
      <c r="M233" s="6"/>
    </row>
    <row r="234" customFormat="false" ht="15" hidden="false" customHeight="false" outlineLevel="0" collapsed="false">
      <c r="A234" s="34"/>
      <c r="B234" s="6"/>
      <c r="C234" s="0" t="str">
        <f aca="false">IF(B234="","",IFERROR(VLOOKUP(B234,'Recetas y precios'!$A$5:$B$55,2,FALSE()),""))</f>
        <v/>
      </c>
      <c r="D234" s="24"/>
      <c r="E234" s="6"/>
      <c r="F234" s="17"/>
      <c r="G234" s="15" t="n">
        <f aca="false">E234*F234</f>
        <v>0</v>
      </c>
      <c r="H234" s="15" t="n">
        <f aca="false">IF(B234="",0,E234*IFERROR(VLOOKUP(B234,'Recetas y precios'!$A$5:$R$55,18,FALSE()),0))</f>
        <v>0</v>
      </c>
      <c r="I234" s="30"/>
      <c r="J234" s="15" t="n">
        <f aca="false">G234*I234</f>
        <v>0</v>
      </c>
      <c r="K234" s="15" t="n">
        <f aca="false">G234-H234-J234</f>
        <v>0</v>
      </c>
      <c r="L234" s="16" t="str">
        <f aca="false">IF(G234&gt;0,K234/G234,"")</f>
        <v/>
      </c>
      <c r="M234" s="6"/>
    </row>
    <row r="235" customFormat="false" ht="15" hidden="false" customHeight="false" outlineLevel="0" collapsed="false">
      <c r="A235" s="34"/>
      <c r="B235" s="6"/>
      <c r="C235" s="0" t="str">
        <f aca="false">IF(B235="","",IFERROR(VLOOKUP(B235,'Recetas y precios'!$A$5:$B$55,2,FALSE()),""))</f>
        <v/>
      </c>
      <c r="D235" s="24"/>
      <c r="E235" s="6"/>
      <c r="F235" s="17"/>
      <c r="G235" s="15" t="n">
        <f aca="false">E235*F235</f>
        <v>0</v>
      </c>
      <c r="H235" s="15" t="n">
        <f aca="false">IF(B235="",0,E235*IFERROR(VLOOKUP(B235,'Recetas y precios'!$A$5:$R$55,18,FALSE()),0))</f>
        <v>0</v>
      </c>
      <c r="I235" s="30"/>
      <c r="J235" s="15" t="n">
        <f aca="false">G235*I235</f>
        <v>0</v>
      </c>
      <c r="K235" s="15" t="n">
        <f aca="false">G235-H235-J235</f>
        <v>0</v>
      </c>
      <c r="L235" s="16" t="str">
        <f aca="false">IF(G235&gt;0,K235/G235,"")</f>
        <v/>
      </c>
      <c r="M235" s="6"/>
    </row>
    <row r="236" customFormat="false" ht="15" hidden="false" customHeight="false" outlineLevel="0" collapsed="false">
      <c r="A236" s="34"/>
      <c r="B236" s="6"/>
      <c r="C236" s="0" t="str">
        <f aca="false">IF(B236="","",IFERROR(VLOOKUP(B236,'Recetas y precios'!$A$5:$B$55,2,FALSE()),""))</f>
        <v/>
      </c>
      <c r="D236" s="24"/>
      <c r="E236" s="6"/>
      <c r="F236" s="17"/>
      <c r="G236" s="15" t="n">
        <f aca="false">E236*F236</f>
        <v>0</v>
      </c>
      <c r="H236" s="15" t="n">
        <f aca="false">IF(B236="",0,E236*IFERROR(VLOOKUP(B236,'Recetas y precios'!$A$5:$R$55,18,FALSE()),0))</f>
        <v>0</v>
      </c>
      <c r="I236" s="30"/>
      <c r="J236" s="15" t="n">
        <f aca="false">G236*I236</f>
        <v>0</v>
      </c>
      <c r="K236" s="15" t="n">
        <f aca="false">G236-H236-J236</f>
        <v>0</v>
      </c>
      <c r="L236" s="16" t="str">
        <f aca="false">IF(G236&gt;0,K236/G236,"")</f>
        <v/>
      </c>
      <c r="M236" s="6"/>
    </row>
    <row r="237" customFormat="false" ht="15" hidden="false" customHeight="false" outlineLevel="0" collapsed="false">
      <c r="A237" s="34"/>
      <c r="B237" s="6"/>
      <c r="C237" s="0" t="str">
        <f aca="false">IF(B237="","",IFERROR(VLOOKUP(B237,'Recetas y precios'!$A$5:$B$55,2,FALSE()),""))</f>
        <v/>
      </c>
      <c r="D237" s="24"/>
      <c r="E237" s="6"/>
      <c r="F237" s="17"/>
      <c r="G237" s="15" t="n">
        <f aca="false">E237*F237</f>
        <v>0</v>
      </c>
      <c r="H237" s="15" t="n">
        <f aca="false">IF(B237="",0,E237*IFERROR(VLOOKUP(B237,'Recetas y precios'!$A$5:$R$55,18,FALSE()),0))</f>
        <v>0</v>
      </c>
      <c r="I237" s="30"/>
      <c r="J237" s="15" t="n">
        <f aca="false">G237*I237</f>
        <v>0</v>
      </c>
      <c r="K237" s="15" t="n">
        <f aca="false">G237-H237-J237</f>
        <v>0</v>
      </c>
      <c r="L237" s="16" t="str">
        <f aca="false">IF(G237&gt;0,K237/G237,"")</f>
        <v/>
      </c>
      <c r="M237" s="6"/>
    </row>
    <row r="238" customFormat="false" ht="15" hidden="false" customHeight="false" outlineLevel="0" collapsed="false">
      <c r="A238" s="34"/>
      <c r="B238" s="6"/>
      <c r="C238" s="0" t="str">
        <f aca="false">IF(B238="","",IFERROR(VLOOKUP(B238,'Recetas y precios'!$A$5:$B$55,2,FALSE()),""))</f>
        <v/>
      </c>
      <c r="D238" s="24"/>
      <c r="E238" s="6"/>
      <c r="F238" s="17"/>
      <c r="G238" s="15" t="n">
        <f aca="false">E238*F238</f>
        <v>0</v>
      </c>
      <c r="H238" s="15" t="n">
        <f aca="false">IF(B238="",0,E238*IFERROR(VLOOKUP(B238,'Recetas y precios'!$A$5:$R$55,18,FALSE()),0))</f>
        <v>0</v>
      </c>
      <c r="I238" s="30"/>
      <c r="J238" s="15" t="n">
        <f aca="false">G238*I238</f>
        <v>0</v>
      </c>
      <c r="K238" s="15" t="n">
        <f aca="false">G238-H238-J238</f>
        <v>0</v>
      </c>
      <c r="L238" s="16" t="str">
        <f aca="false">IF(G238&gt;0,K238/G238,"")</f>
        <v/>
      </c>
      <c r="M238" s="6"/>
    </row>
    <row r="239" customFormat="false" ht="15" hidden="false" customHeight="false" outlineLevel="0" collapsed="false">
      <c r="A239" s="34"/>
      <c r="B239" s="6"/>
      <c r="C239" s="0" t="str">
        <f aca="false">IF(B239="","",IFERROR(VLOOKUP(B239,'Recetas y precios'!$A$5:$B$55,2,FALSE()),""))</f>
        <v/>
      </c>
      <c r="D239" s="24"/>
      <c r="E239" s="6"/>
      <c r="F239" s="17"/>
      <c r="G239" s="15" t="n">
        <f aca="false">E239*F239</f>
        <v>0</v>
      </c>
      <c r="H239" s="15" t="n">
        <f aca="false">IF(B239="",0,E239*IFERROR(VLOOKUP(B239,'Recetas y precios'!$A$5:$R$55,18,FALSE()),0))</f>
        <v>0</v>
      </c>
      <c r="I239" s="30"/>
      <c r="J239" s="15" t="n">
        <f aca="false">G239*I239</f>
        <v>0</v>
      </c>
      <c r="K239" s="15" t="n">
        <f aca="false">G239-H239-J239</f>
        <v>0</v>
      </c>
      <c r="L239" s="16" t="str">
        <f aca="false">IF(G239&gt;0,K239/G239,"")</f>
        <v/>
      </c>
      <c r="M239" s="6"/>
    </row>
    <row r="240" customFormat="false" ht="15" hidden="false" customHeight="false" outlineLevel="0" collapsed="false">
      <c r="A240" s="34"/>
      <c r="B240" s="6"/>
      <c r="C240" s="0" t="str">
        <f aca="false">IF(B240="","",IFERROR(VLOOKUP(B240,'Recetas y precios'!$A$5:$B$55,2,FALSE()),""))</f>
        <v/>
      </c>
      <c r="D240" s="24"/>
      <c r="E240" s="6"/>
      <c r="F240" s="17"/>
      <c r="G240" s="15" t="n">
        <f aca="false">E240*F240</f>
        <v>0</v>
      </c>
      <c r="H240" s="15" t="n">
        <f aca="false">IF(B240="",0,E240*IFERROR(VLOOKUP(B240,'Recetas y precios'!$A$5:$R$55,18,FALSE()),0))</f>
        <v>0</v>
      </c>
      <c r="I240" s="30"/>
      <c r="J240" s="15" t="n">
        <f aca="false">G240*I240</f>
        <v>0</v>
      </c>
      <c r="K240" s="15" t="n">
        <f aca="false">G240-H240-J240</f>
        <v>0</v>
      </c>
      <c r="L240" s="16" t="str">
        <f aca="false">IF(G240&gt;0,K240/G240,"")</f>
        <v/>
      </c>
      <c r="M240" s="6"/>
    </row>
    <row r="241" customFormat="false" ht="15" hidden="false" customHeight="false" outlineLevel="0" collapsed="false">
      <c r="A241" s="34"/>
      <c r="B241" s="6"/>
      <c r="C241" s="0" t="str">
        <f aca="false">IF(B241="","",IFERROR(VLOOKUP(B241,'Recetas y precios'!$A$5:$B$55,2,FALSE()),""))</f>
        <v/>
      </c>
      <c r="D241" s="24"/>
      <c r="E241" s="6"/>
      <c r="F241" s="17"/>
      <c r="G241" s="15" t="n">
        <f aca="false">E241*F241</f>
        <v>0</v>
      </c>
      <c r="H241" s="15" t="n">
        <f aca="false">IF(B241="",0,E241*IFERROR(VLOOKUP(B241,'Recetas y precios'!$A$5:$R$55,18,FALSE()),0))</f>
        <v>0</v>
      </c>
      <c r="I241" s="30"/>
      <c r="J241" s="15" t="n">
        <f aca="false">G241*I241</f>
        <v>0</v>
      </c>
      <c r="K241" s="15" t="n">
        <f aca="false">G241-H241-J241</f>
        <v>0</v>
      </c>
      <c r="L241" s="16" t="str">
        <f aca="false">IF(G241&gt;0,K241/G241,"")</f>
        <v/>
      </c>
      <c r="M241" s="6"/>
    </row>
    <row r="242" customFormat="false" ht="15" hidden="false" customHeight="false" outlineLevel="0" collapsed="false">
      <c r="A242" s="34"/>
      <c r="B242" s="6"/>
      <c r="C242" s="0" t="str">
        <f aca="false">IF(B242="","",IFERROR(VLOOKUP(B242,'Recetas y precios'!$A$5:$B$55,2,FALSE()),""))</f>
        <v/>
      </c>
      <c r="D242" s="24"/>
      <c r="E242" s="6"/>
      <c r="F242" s="17"/>
      <c r="G242" s="15" t="n">
        <f aca="false">E242*F242</f>
        <v>0</v>
      </c>
      <c r="H242" s="15" t="n">
        <f aca="false">IF(B242="",0,E242*IFERROR(VLOOKUP(B242,'Recetas y precios'!$A$5:$R$55,18,FALSE()),0))</f>
        <v>0</v>
      </c>
      <c r="I242" s="30"/>
      <c r="J242" s="15" t="n">
        <f aca="false">G242*I242</f>
        <v>0</v>
      </c>
      <c r="K242" s="15" t="n">
        <f aca="false">G242-H242-J242</f>
        <v>0</v>
      </c>
      <c r="L242" s="16" t="str">
        <f aca="false">IF(G242&gt;0,K242/G242,"")</f>
        <v/>
      </c>
      <c r="M242" s="6"/>
    </row>
    <row r="243" customFormat="false" ht="15" hidden="false" customHeight="false" outlineLevel="0" collapsed="false">
      <c r="A243" s="34"/>
      <c r="B243" s="6"/>
      <c r="C243" s="0" t="str">
        <f aca="false">IF(B243="","",IFERROR(VLOOKUP(B243,'Recetas y precios'!$A$5:$B$55,2,FALSE()),""))</f>
        <v/>
      </c>
      <c r="D243" s="24"/>
      <c r="E243" s="6"/>
      <c r="F243" s="17"/>
      <c r="G243" s="15" t="n">
        <f aca="false">E243*F243</f>
        <v>0</v>
      </c>
      <c r="H243" s="15" t="n">
        <f aca="false">IF(B243="",0,E243*IFERROR(VLOOKUP(B243,'Recetas y precios'!$A$5:$R$55,18,FALSE()),0))</f>
        <v>0</v>
      </c>
      <c r="I243" s="30"/>
      <c r="J243" s="15" t="n">
        <f aca="false">G243*I243</f>
        <v>0</v>
      </c>
      <c r="K243" s="15" t="n">
        <f aca="false">G243-H243-J243</f>
        <v>0</v>
      </c>
      <c r="L243" s="16" t="str">
        <f aca="false">IF(G243&gt;0,K243/G243,"")</f>
        <v/>
      </c>
      <c r="M243" s="6"/>
    </row>
    <row r="244" customFormat="false" ht="15" hidden="false" customHeight="false" outlineLevel="0" collapsed="false">
      <c r="A244" s="34"/>
      <c r="B244" s="6"/>
      <c r="C244" s="0" t="str">
        <f aca="false">IF(B244="","",IFERROR(VLOOKUP(B244,'Recetas y precios'!$A$5:$B$55,2,FALSE()),""))</f>
        <v/>
      </c>
      <c r="D244" s="24"/>
      <c r="E244" s="6"/>
      <c r="F244" s="17"/>
      <c r="G244" s="15" t="n">
        <f aca="false">E244*F244</f>
        <v>0</v>
      </c>
      <c r="H244" s="15" t="n">
        <f aca="false">IF(B244="",0,E244*IFERROR(VLOOKUP(B244,'Recetas y precios'!$A$5:$R$55,18,FALSE()),0))</f>
        <v>0</v>
      </c>
      <c r="I244" s="30"/>
      <c r="J244" s="15" t="n">
        <f aca="false">G244*I244</f>
        <v>0</v>
      </c>
      <c r="K244" s="15" t="n">
        <f aca="false">G244-H244-J244</f>
        <v>0</v>
      </c>
      <c r="L244" s="16" t="str">
        <f aca="false">IF(G244&gt;0,K244/G244,"")</f>
        <v/>
      </c>
      <c r="M244" s="6"/>
    </row>
    <row r="245" customFormat="false" ht="15" hidden="false" customHeight="false" outlineLevel="0" collapsed="false">
      <c r="A245" s="34"/>
      <c r="B245" s="6"/>
      <c r="C245" s="0" t="str">
        <f aca="false">IF(B245="","",IFERROR(VLOOKUP(B245,'Recetas y precios'!$A$5:$B$55,2,FALSE()),""))</f>
        <v/>
      </c>
      <c r="D245" s="24"/>
      <c r="E245" s="6"/>
      <c r="F245" s="17"/>
      <c r="G245" s="15" t="n">
        <f aca="false">E245*F245</f>
        <v>0</v>
      </c>
      <c r="H245" s="15" t="n">
        <f aca="false">IF(B245="",0,E245*IFERROR(VLOOKUP(B245,'Recetas y precios'!$A$5:$R$55,18,FALSE()),0))</f>
        <v>0</v>
      </c>
      <c r="I245" s="30"/>
      <c r="J245" s="15" t="n">
        <f aca="false">G245*I245</f>
        <v>0</v>
      </c>
      <c r="K245" s="15" t="n">
        <f aca="false">G245-H245-J245</f>
        <v>0</v>
      </c>
      <c r="L245" s="16" t="str">
        <f aca="false">IF(G245&gt;0,K245/G245,"")</f>
        <v/>
      </c>
      <c r="M245" s="6"/>
    </row>
    <row r="246" customFormat="false" ht="15" hidden="false" customHeight="false" outlineLevel="0" collapsed="false">
      <c r="A246" s="34"/>
      <c r="B246" s="6"/>
      <c r="C246" s="0" t="str">
        <f aca="false">IF(B246="","",IFERROR(VLOOKUP(B246,'Recetas y precios'!$A$5:$B$55,2,FALSE()),""))</f>
        <v/>
      </c>
      <c r="D246" s="24"/>
      <c r="E246" s="6"/>
      <c r="F246" s="17"/>
      <c r="G246" s="15" t="n">
        <f aca="false">E246*F246</f>
        <v>0</v>
      </c>
      <c r="H246" s="15" t="n">
        <f aca="false">IF(B246="",0,E246*IFERROR(VLOOKUP(B246,'Recetas y precios'!$A$5:$R$55,18,FALSE()),0))</f>
        <v>0</v>
      </c>
      <c r="I246" s="30"/>
      <c r="J246" s="15" t="n">
        <f aca="false">G246*I246</f>
        <v>0</v>
      </c>
      <c r="K246" s="15" t="n">
        <f aca="false">G246-H246-J246</f>
        <v>0</v>
      </c>
      <c r="L246" s="16" t="str">
        <f aca="false">IF(G246&gt;0,K246/G246,"")</f>
        <v/>
      </c>
      <c r="M246" s="6"/>
    </row>
    <row r="247" customFormat="false" ht="15" hidden="false" customHeight="false" outlineLevel="0" collapsed="false">
      <c r="A247" s="34"/>
      <c r="B247" s="6"/>
      <c r="C247" s="0" t="str">
        <f aca="false">IF(B247="","",IFERROR(VLOOKUP(B247,'Recetas y precios'!$A$5:$B$55,2,FALSE()),""))</f>
        <v/>
      </c>
      <c r="D247" s="24"/>
      <c r="E247" s="6"/>
      <c r="F247" s="17"/>
      <c r="G247" s="15" t="n">
        <f aca="false">E247*F247</f>
        <v>0</v>
      </c>
      <c r="H247" s="15" t="n">
        <f aca="false">IF(B247="",0,E247*IFERROR(VLOOKUP(B247,'Recetas y precios'!$A$5:$R$55,18,FALSE()),0))</f>
        <v>0</v>
      </c>
      <c r="I247" s="30"/>
      <c r="J247" s="15" t="n">
        <f aca="false">G247*I247</f>
        <v>0</v>
      </c>
      <c r="K247" s="15" t="n">
        <f aca="false">G247-H247-J247</f>
        <v>0</v>
      </c>
      <c r="L247" s="16" t="str">
        <f aca="false">IF(G247&gt;0,K247/G247,"")</f>
        <v/>
      </c>
      <c r="M247" s="6"/>
    </row>
    <row r="248" customFormat="false" ht="15" hidden="false" customHeight="false" outlineLevel="0" collapsed="false">
      <c r="A248" s="34"/>
      <c r="B248" s="6"/>
      <c r="C248" s="0" t="str">
        <f aca="false">IF(B248="","",IFERROR(VLOOKUP(B248,'Recetas y precios'!$A$5:$B$55,2,FALSE()),""))</f>
        <v/>
      </c>
      <c r="D248" s="24"/>
      <c r="E248" s="6"/>
      <c r="F248" s="17"/>
      <c r="G248" s="15" t="n">
        <f aca="false">E248*F248</f>
        <v>0</v>
      </c>
      <c r="H248" s="15" t="n">
        <f aca="false">IF(B248="",0,E248*IFERROR(VLOOKUP(B248,'Recetas y precios'!$A$5:$R$55,18,FALSE()),0))</f>
        <v>0</v>
      </c>
      <c r="I248" s="30"/>
      <c r="J248" s="15" t="n">
        <f aca="false">G248*I248</f>
        <v>0</v>
      </c>
      <c r="K248" s="15" t="n">
        <f aca="false">G248-H248-J248</f>
        <v>0</v>
      </c>
      <c r="L248" s="16" t="str">
        <f aca="false">IF(G248&gt;0,K248/G248,"")</f>
        <v/>
      </c>
      <c r="M248" s="6"/>
    </row>
    <row r="249" customFormat="false" ht="15" hidden="false" customHeight="false" outlineLevel="0" collapsed="false">
      <c r="A249" s="34"/>
      <c r="B249" s="6"/>
      <c r="C249" s="0" t="str">
        <f aca="false">IF(B249="","",IFERROR(VLOOKUP(B249,'Recetas y precios'!$A$5:$B$55,2,FALSE()),""))</f>
        <v/>
      </c>
      <c r="D249" s="24"/>
      <c r="E249" s="6"/>
      <c r="F249" s="17"/>
      <c r="G249" s="15" t="n">
        <f aca="false">E249*F249</f>
        <v>0</v>
      </c>
      <c r="H249" s="15" t="n">
        <f aca="false">IF(B249="",0,E249*IFERROR(VLOOKUP(B249,'Recetas y precios'!$A$5:$R$55,18,FALSE()),0))</f>
        <v>0</v>
      </c>
      <c r="I249" s="30"/>
      <c r="J249" s="15" t="n">
        <f aca="false">G249*I249</f>
        <v>0</v>
      </c>
      <c r="K249" s="15" t="n">
        <f aca="false">G249-H249-J249</f>
        <v>0</v>
      </c>
      <c r="L249" s="16" t="str">
        <f aca="false">IF(G249&gt;0,K249/G249,"")</f>
        <v/>
      </c>
      <c r="M249" s="6"/>
    </row>
    <row r="250" customFormat="false" ht="15" hidden="false" customHeight="false" outlineLevel="0" collapsed="false">
      <c r="A250" s="34"/>
      <c r="B250" s="6"/>
      <c r="C250" s="0" t="str">
        <f aca="false">IF(B250="","",IFERROR(VLOOKUP(B250,'Recetas y precios'!$A$5:$B$55,2,FALSE()),""))</f>
        <v/>
      </c>
      <c r="D250" s="24"/>
      <c r="E250" s="6"/>
      <c r="F250" s="17"/>
      <c r="G250" s="15" t="n">
        <f aca="false">E250*F250</f>
        <v>0</v>
      </c>
      <c r="H250" s="15" t="n">
        <f aca="false">IF(B250="",0,E250*IFERROR(VLOOKUP(B250,'Recetas y precios'!$A$5:$R$55,18,FALSE()),0))</f>
        <v>0</v>
      </c>
      <c r="I250" s="30"/>
      <c r="J250" s="15" t="n">
        <f aca="false">G250*I250</f>
        <v>0</v>
      </c>
      <c r="K250" s="15" t="n">
        <f aca="false">G250-H250-J250</f>
        <v>0</v>
      </c>
      <c r="L250" s="16" t="str">
        <f aca="false">IF(G250&gt;0,K250/G250,"")</f>
        <v/>
      </c>
      <c r="M250" s="6"/>
    </row>
    <row r="251" customFormat="false" ht="15" hidden="false" customHeight="false" outlineLevel="0" collapsed="false">
      <c r="A251" s="34"/>
      <c r="B251" s="6"/>
      <c r="C251" s="0" t="str">
        <f aca="false">IF(B251="","",IFERROR(VLOOKUP(B251,'Recetas y precios'!$A$5:$B$55,2,FALSE()),""))</f>
        <v/>
      </c>
      <c r="D251" s="24"/>
      <c r="E251" s="6"/>
      <c r="F251" s="17"/>
      <c r="G251" s="15" t="n">
        <f aca="false">E251*F251</f>
        <v>0</v>
      </c>
      <c r="H251" s="15" t="n">
        <f aca="false">IF(B251="",0,E251*IFERROR(VLOOKUP(B251,'Recetas y precios'!$A$5:$R$55,18,FALSE()),0))</f>
        <v>0</v>
      </c>
      <c r="I251" s="30"/>
      <c r="J251" s="15" t="n">
        <f aca="false">G251*I251</f>
        <v>0</v>
      </c>
      <c r="K251" s="15" t="n">
        <f aca="false">G251-H251-J251</f>
        <v>0</v>
      </c>
      <c r="L251" s="16" t="str">
        <f aca="false">IF(G251&gt;0,K251/G251,"")</f>
        <v/>
      </c>
      <c r="M251" s="6"/>
    </row>
    <row r="252" customFormat="false" ht="15" hidden="false" customHeight="false" outlineLevel="0" collapsed="false">
      <c r="A252" s="34"/>
      <c r="B252" s="6"/>
      <c r="C252" s="0" t="str">
        <f aca="false">IF(B252="","",IFERROR(VLOOKUP(B252,'Recetas y precios'!$A$5:$B$55,2,FALSE()),""))</f>
        <v/>
      </c>
      <c r="D252" s="24"/>
      <c r="E252" s="6"/>
      <c r="F252" s="17"/>
      <c r="G252" s="15" t="n">
        <f aca="false">E252*F252</f>
        <v>0</v>
      </c>
      <c r="H252" s="15" t="n">
        <f aca="false">IF(B252="",0,E252*IFERROR(VLOOKUP(B252,'Recetas y precios'!$A$5:$R$55,18,FALSE()),0))</f>
        <v>0</v>
      </c>
      <c r="I252" s="30"/>
      <c r="J252" s="15" t="n">
        <f aca="false">G252*I252</f>
        <v>0</v>
      </c>
      <c r="K252" s="15" t="n">
        <f aca="false">G252-H252-J252</f>
        <v>0</v>
      </c>
      <c r="L252" s="16" t="str">
        <f aca="false">IF(G252&gt;0,K252/G252,"")</f>
        <v/>
      </c>
      <c r="M252" s="6"/>
    </row>
    <row r="253" customFormat="false" ht="15" hidden="false" customHeight="false" outlineLevel="0" collapsed="false">
      <c r="A253" s="34"/>
      <c r="B253" s="6"/>
      <c r="C253" s="0" t="str">
        <f aca="false">IF(B253="","",IFERROR(VLOOKUP(B253,'Recetas y precios'!$A$5:$B$55,2,FALSE()),""))</f>
        <v/>
      </c>
      <c r="D253" s="24"/>
      <c r="E253" s="6"/>
      <c r="F253" s="17"/>
      <c r="G253" s="15" t="n">
        <f aca="false">E253*F253</f>
        <v>0</v>
      </c>
      <c r="H253" s="15" t="n">
        <f aca="false">IF(B253="",0,E253*IFERROR(VLOOKUP(B253,'Recetas y precios'!$A$5:$R$55,18,FALSE()),0))</f>
        <v>0</v>
      </c>
      <c r="I253" s="30"/>
      <c r="J253" s="15" t="n">
        <f aca="false">G253*I253</f>
        <v>0</v>
      </c>
      <c r="K253" s="15" t="n">
        <f aca="false">G253-H253-J253</f>
        <v>0</v>
      </c>
      <c r="L253" s="16" t="str">
        <f aca="false">IF(G253&gt;0,K253/G253,"")</f>
        <v/>
      </c>
      <c r="M253" s="6"/>
    </row>
    <row r="254" customFormat="false" ht="15" hidden="false" customHeight="false" outlineLevel="0" collapsed="false">
      <c r="A254" s="34"/>
      <c r="B254" s="6"/>
      <c r="C254" s="0" t="str">
        <f aca="false">IF(B254="","",IFERROR(VLOOKUP(B254,'Recetas y precios'!$A$5:$B$55,2,FALSE()),""))</f>
        <v/>
      </c>
      <c r="D254" s="24"/>
      <c r="E254" s="6"/>
      <c r="F254" s="17"/>
      <c r="G254" s="15" t="n">
        <f aca="false">E254*F254</f>
        <v>0</v>
      </c>
      <c r="H254" s="15" t="n">
        <f aca="false">IF(B254="",0,E254*IFERROR(VLOOKUP(B254,'Recetas y precios'!$A$5:$R$55,18,FALSE()),0))</f>
        <v>0</v>
      </c>
      <c r="I254" s="30"/>
      <c r="J254" s="15" t="n">
        <f aca="false">G254*I254</f>
        <v>0</v>
      </c>
      <c r="K254" s="15" t="n">
        <f aca="false">G254-H254-J254</f>
        <v>0</v>
      </c>
      <c r="L254" s="16" t="str">
        <f aca="false">IF(G254&gt;0,K254/G254,"")</f>
        <v/>
      </c>
      <c r="M254" s="6"/>
    </row>
    <row r="255" customFormat="false" ht="15" hidden="false" customHeight="false" outlineLevel="0" collapsed="false">
      <c r="A255" s="34"/>
      <c r="B255" s="6"/>
      <c r="C255" s="0" t="str">
        <f aca="false">IF(B255="","",IFERROR(VLOOKUP(B255,'Recetas y precios'!$A$5:$B$55,2,FALSE()),""))</f>
        <v/>
      </c>
      <c r="D255" s="24"/>
      <c r="E255" s="6"/>
      <c r="F255" s="17"/>
      <c r="G255" s="15" t="n">
        <f aca="false">E255*F255</f>
        <v>0</v>
      </c>
      <c r="H255" s="15" t="n">
        <f aca="false">IF(B255="",0,E255*IFERROR(VLOOKUP(B255,'Recetas y precios'!$A$5:$R$55,18,FALSE()),0))</f>
        <v>0</v>
      </c>
      <c r="I255" s="30"/>
      <c r="J255" s="15" t="n">
        <f aca="false">G255*I255</f>
        <v>0</v>
      </c>
      <c r="K255" s="15" t="n">
        <f aca="false">G255-H255-J255</f>
        <v>0</v>
      </c>
      <c r="L255" s="16" t="str">
        <f aca="false">IF(G255&gt;0,K255/G255,"")</f>
        <v/>
      </c>
      <c r="M255" s="6"/>
    </row>
    <row r="256" customFormat="false" ht="15" hidden="false" customHeight="false" outlineLevel="0" collapsed="false">
      <c r="A256" s="34"/>
      <c r="B256" s="6"/>
      <c r="C256" s="0" t="str">
        <f aca="false">IF(B256="","",IFERROR(VLOOKUP(B256,'Recetas y precios'!$A$5:$B$55,2,FALSE()),""))</f>
        <v/>
      </c>
      <c r="D256" s="24"/>
      <c r="E256" s="6"/>
      <c r="F256" s="17"/>
      <c r="G256" s="15" t="n">
        <f aca="false">E256*F256</f>
        <v>0</v>
      </c>
      <c r="H256" s="15" t="n">
        <f aca="false">IF(B256="",0,E256*IFERROR(VLOOKUP(B256,'Recetas y precios'!$A$5:$R$55,18,FALSE()),0))</f>
        <v>0</v>
      </c>
      <c r="I256" s="30"/>
      <c r="J256" s="15" t="n">
        <f aca="false">G256*I256</f>
        <v>0</v>
      </c>
      <c r="K256" s="15" t="n">
        <f aca="false">G256-H256-J256</f>
        <v>0</v>
      </c>
      <c r="L256" s="16" t="str">
        <f aca="false">IF(G256&gt;0,K256/G256,"")</f>
        <v/>
      </c>
      <c r="M256" s="6"/>
    </row>
    <row r="257" customFormat="false" ht="15" hidden="false" customHeight="false" outlineLevel="0" collapsed="false">
      <c r="A257" s="34"/>
      <c r="B257" s="6"/>
      <c r="C257" s="0" t="str">
        <f aca="false">IF(B257="","",IFERROR(VLOOKUP(B257,'Recetas y precios'!$A$5:$B$55,2,FALSE()),""))</f>
        <v/>
      </c>
      <c r="D257" s="24"/>
      <c r="E257" s="6"/>
      <c r="F257" s="17"/>
      <c r="G257" s="15" t="n">
        <f aca="false">E257*F257</f>
        <v>0</v>
      </c>
      <c r="H257" s="15" t="n">
        <f aca="false">IF(B257="",0,E257*IFERROR(VLOOKUP(B257,'Recetas y precios'!$A$5:$R$55,18,FALSE()),0))</f>
        <v>0</v>
      </c>
      <c r="I257" s="30"/>
      <c r="J257" s="15" t="n">
        <f aca="false">G257*I257</f>
        <v>0</v>
      </c>
      <c r="K257" s="15" t="n">
        <f aca="false">G257-H257-J257</f>
        <v>0</v>
      </c>
      <c r="L257" s="16" t="str">
        <f aca="false">IF(G257&gt;0,K257/G257,"")</f>
        <v/>
      </c>
      <c r="M257" s="6"/>
    </row>
    <row r="258" customFormat="false" ht="15" hidden="false" customHeight="false" outlineLevel="0" collapsed="false">
      <c r="A258" s="34"/>
      <c r="B258" s="6"/>
      <c r="C258" s="0" t="str">
        <f aca="false">IF(B258="","",IFERROR(VLOOKUP(B258,'Recetas y precios'!$A$5:$B$55,2,FALSE()),""))</f>
        <v/>
      </c>
      <c r="D258" s="24"/>
      <c r="E258" s="6"/>
      <c r="F258" s="17"/>
      <c r="G258" s="15" t="n">
        <f aca="false">E258*F258</f>
        <v>0</v>
      </c>
      <c r="H258" s="15" t="n">
        <f aca="false">IF(B258="",0,E258*IFERROR(VLOOKUP(B258,'Recetas y precios'!$A$5:$R$55,18,FALSE()),0))</f>
        <v>0</v>
      </c>
      <c r="I258" s="30"/>
      <c r="J258" s="15" t="n">
        <f aca="false">G258*I258</f>
        <v>0</v>
      </c>
      <c r="K258" s="15" t="n">
        <f aca="false">G258-H258-J258</f>
        <v>0</v>
      </c>
      <c r="L258" s="16" t="str">
        <f aca="false">IF(G258&gt;0,K258/G258,"")</f>
        <v/>
      </c>
      <c r="M258" s="6"/>
    </row>
    <row r="259" customFormat="false" ht="15" hidden="false" customHeight="false" outlineLevel="0" collapsed="false">
      <c r="A259" s="34"/>
      <c r="B259" s="6"/>
      <c r="C259" s="0" t="str">
        <f aca="false">IF(B259="","",IFERROR(VLOOKUP(B259,'Recetas y precios'!$A$5:$B$55,2,FALSE()),""))</f>
        <v/>
      </c>
      <c r="D259" s="24"/>
      <c r="E259" s="6"/>
      <c r="F259" s="17"/>
      <c r="G259" s="15" t="n">
        <f aca="false">E259*F259</f>
        <v>0</v>
      </c>
      <c r="H259" s="15" t="n">
        <f aca="false">IF(B259="",0,E259*IFERROR(VLOOKUP(B259,'Recetas y precios'!$A$5:$R$55,18,FALSE()),0))</f>
        <v>0</v>
      </c>
      <c r="I259" s="30"/>
      <c r="J259" s="15" t="n">
        <f aca="false">G259*I259</f>
        <v>0</v>
      </c>
      <c r="K259" s="15" t="n">
        <f aca="false">G259-H259-J259</f>
        <v>0</v>
      </c>
      <c r="L259" s="16" t="str">
        <f aca="false">IF(G259&gt;0,K259/G259,"")</f>
        <v/>
      </c>
      <c r="M259" s="6"/>
    </row>
    <row r="260" customFormat="false" ht="15" hidden="false" customHeight="false" outlineLevel="0" collapsed="false">
      <c r="A260" s="34"/>
      <c r="B260" s="6"/>
      <c r="C260" s="0" t="str">
        <f aca="false">IF(B260="","",IFERROR(VLOOKUP(B260,'Recetas y precios'!$A$5:$B$55,2,FALSE()),""))</f>
        <v/>
      </c>
      <c r="D260" s="24"/>
      <c r="E260" s="6"/>
      <c r="F260" s="17"/>
      <c r="G260" s="15" t="n">
        <f aca="false">E260*F260</f>
        <v>0</v>
      </c>
      <c r="H260" s="15" t="n">
        <f aca="false">IF(B260="",0,E260*IFERROR(VLOOKUP(B260,'Recetas y precios'!$A$5:$R$55,18,FALSE()),0))</f>
        <v>0</v>
      </c>
      <c r="I260" s="30"/>
      <c r="J260" s="15" t="n">
        <f aca="false">G260*I260</f>
        <v>0</v>
      </c>
      <c r="K260" s="15" t="n">
        <f aca="false">G260-H260-J260</f>
        <v>0</v>
      </c>
      <c r="L260" s="16" t="str">
        <f aca="false">IF(G260&gt;0,K260/G260,"")</f>
        <v/>
      </c>
      <c r="M260" s="6"/>
    </row>
    <row r="261" customFormat="false" ht="15" hidden="false" customHeight="false" outlineLevel="0" collapsed="false">
      <c r="A261" s="34"/>
      <c r="B261" s="6"/>
      <c r="C261" s="0" t="str">
        <f aca="false">IF(B261="","",IFERROR(VLOOKUP(B261,'Recetas y precios'!$A$5:$B$55,2,FALSE()),""))</f>
        <v/>
      </c>
      <c r="D261" s="24"/>
      <c r="E261" s="6"/>
      <c r="F261" s="17"/>
      <c r="G261" s="15" t="n">
        <f aca="false">E261*F261</f>
        <v>0</v>
      </c>
      <c r="H261" s="15" t="n">
        <f aca="false">IF(B261="",0,E261*IFERROR(VLOOKUP(B261,'Recetas y precios'!$A$5:$R$55,18,FALSE()),0))</f>
        <v>0</v>
      </c>
      <c r="I261" s="30"/>
      <c r="J261" s="15" t="n">
        <f aca="false">G261*I261</f>
        <v>0</v>
      </c>
      <c r="K261" s="15" t="n">
        <f aca="false">G261-H261-J261</f>
        <v>0</v>
      </c>
      <c r="L261" s="16" t="str">
        <f aca="false">IF(G261&gt;0,K261/G261,"")</f>
        <v/>
      </c>
      <c r="M261" s="6"/>
    </row>
    <row r="262" customFormat="false" ht="15" hidden="false" customHeight="false" outlineLevel="0" collapsed="false">
      <c r="A262" s="34"/>
      <c r="B262" s="6"/>
      <c r="C262" s="0" t="str">
        <f aca="false">IF(B262="","",IFERROR(VLOOKUP(B262,'Recetas y precios'!$A$5:$B$55,2,FALSE()),""))</f>
        <v/>
      </c>
      <c r="D262" s="24"/>
      <c r="E262" s="6"/>
      <c r="F262" s="17"/>
      <c r="G262" s="15" t="n">
        <f aca="false">E262*F262</f>
        <v>0</v>
      </c>
      <c r="H262" s="15" t="n">
        <f aca="false">IF(B262="",0,E262*IFERROR(VLOOKUP(B262,'Recetas y precios'!$A$5:$R$55,18,FALSE()),0))</f>
        <v>0</v>
      </c>
      <c r="I262" s="30"/>
      <c r="J262" s="15" t="n">
        <f aca="false">G262*I262</f>
        <v>0</v>
      </c>
      <c r="K262" s="15" t="n">
        <f aca="false">G262-H262-J262</f>
        <v>0</v>
      </c>
      <c r="L262" s="16" t="str">
        <f aca="false">IF(G262&gt;0,K262/G262,"")</f>
        <v/>
      </c>
      <c r="M262" s="6"/>
    </row>
    <row r="263" customFormat="false" ht="15" hidden="false" customHeight="false" outlineLevel="0" collapsed="false">
      <c r="A263" s="34"/>
      <c r="B263" s="6"/>
      <c r="C263" s="0" t="str">
        <f aca="false">IF(B263="","",IFERROR(VLOOKUP(B263,'Recetas y precios'!$A$5:$B$55,2,FALSE()),""))</f>
        <v/>
      </c>
      <c r="D263" s="24"/>
      <c r="E263" s="6"/>
      <c r="F263" s="17"/>
      <c r="G263" s="15" t="n">
        <f aca="false">E263*F263</f>
        <v>0</v>
      </c>
      <c r="H263" s="15" t="n">
        <f aca="false">IF(B263="",0,E263*IFERROR(VLOOKUP(B263,'Recetas y precios'!$A$5:$R$55,18,FALSE()),0))</f>
        <v>0</v>
      </c>
      <c r="I263" s="30"/>
      <c r="J263" s="15" t="n">
        <f aca="false">G263*I263</f>
        <v>0</v>
      </c>
      <c r="K263" s="15" t="n">
        <f aca="false">G263-H263-J263</f>
        <v>0</v>
      </c>
      <c r="L263" s="16" t="str">
        <f aca="false">IF(G263&gt;0,K263/G263,"")</f>
        <v/>
      </c>
      <c r="M263" s="6"/>
    </row>
    <row r="264" customFormat="false" ht="15" hidden="false" customHeight="false" outlineLevel="0" collapsed="false">
      <c r="A264" s="34"/>
      <c r="B264" s="6"/>
      <c r="C264" s="0" t="str">
        <f aca="false">IF(B264="","",IFERROR(VLOOKUP(B264,'Recetas y precios'!$A$5:$B$55,2,FALSE()),""))</f>
        <v/>
      </c>
      <c r="D264" s="24"/>
      <c r="E264" s="6"/>
      <c r="F264" s="17"/>
      <c r="G264" s="15" t="n">
        <f aca="false">E264*F264</f>
        <v>0</v>
      </c>
      <c r="H264" s="15" t="n">
        <f aca="false">IF(B264="",0,E264*IFERROR(VLOOKUP(B264,'Recetas y precios'!$A$5:$R$55,18,FALSE()),0))</f>
        <v>0</v>
      </c>
      <c r="I264" s="30"/>
      <c r="J264" s="15" t="n">
        <f aca="false">G264*I264</f>
        <v>0</v>
      </c>
      <c r="K264" s="15" t="n">
        <f aca="false">G264-H264-J264</f>
        <v>0</v>
      </c>
      <c r="L264" s="16" t="str">
        <f aca="false">IF(G264&gt;0,K264/G264,"")</f>
        <v/>
      </c>
      <c r="M264" s="6"/>
    </row>
    <row r="265" customFormat="false" ht="15" hidden="false" customHeight="false" outlineLevel="0" collapsed="false">
      <c r="A265" s="34"/>
      <c r="B265" s="6"/>
      <c r="C265" s="0" t="str">
        <f aca="false">IF(B265="","",IFERROR(VLOOKUP(B265,'Recetas y precios'!$A$5:$B$55,2,FALSE()),""))</f>
        <v/>
      </c>
      <c r="D265" s="24"/>
      <c r="E265" s="6"/>
      <c r="F265" s="17"/>
      <c r="G265" s="15" t="n">
        <f aca="false">E265*F265</f>
        <v>0</v>
      </c>
      <c r="H265" s="15" t="n">
        <f aca="false">IF(B265="",0,E265*IFERROR(VLOOKUP(B265,'Recetas y precios'!$A$5:$R$55,18,FALSE()),0))</f>
        <v>0</v>
      </c>
      <c r="I265" s="30"/>
      <c r="J265" s="15" t="n">
        <f aca="false">G265*I265</f>
        <v>0</v>
      </c>
      <c r="K265" s="15" t="n">
        <f aca="false">G265-H265-J265</f>
        <v>0</v>
      </c>
      <c r="L265" s="16" t="str">
        <f aca="false">IF(G265&gt;0,K265/G265,"")</f>
        <v/>
      </c>
      <c r="M265" s="6"/>
    </row>
    <row r="266" customFormat="false" ht="15" hidden="false" customHeight="false" outlineLevel="0" collapsed="false">
      <c r="A266" s="34"/>
      <c r="B266" s="6"/>
      <c r="C266" s="0" t="str">
        <f aca="false">IF(B266="","",IFERROR(VLOOKUP(B266,'Recetas y precios'!$A$5:$B$55,2,FALSE()),""))</f>
        <v/>
      </c>
      <c r="D266" s="24"/>
      <c r="E266" s="6"/>
      <c r="F266" s="17"/>
      <c r="G266" s="15" t="n">
        <f aca="false">E266*F266</f>
        <v>0</v>
      </c>
      <c r="H266" s="15" t="n">
        <f aca="false">IF(B266="",0,E266*IFERROR(VLOOKUP(B266,'Recetas y precios'!$A$5:$R$55,18,FALSE()),0))</f>
        <v>0</v>
      </c>
      <c r="I266" s="30"/>
      <c r="J266" s="15" t="n">
        <f aca="false">G266*I266</f>
        <v>0</v>
      </c>
      <c r="K266" s="15" t="n">
        <f aca="false">G266-H266-J266</f>
        <v>0</v>
      </c>
      <c r="L266" s="16" t="str">
        <f aca="false">IF(G266&gt;0,K266/G266,"")</f>
        <v/>
      </c>
      <c r="M266" s="6"/>
    </row>
    <row r="267" customFormat="false" ht="15" hidden="false" customHeight="false" outlineLevel="0" collapsed="false">
      <c r="A267" s="34"/>
      <c r="B267" s="6"/>
      <c r="C267" s="0" t="str">
        <f aca="false">IF(B267="","",IFERROR(VLOOKUP(B267,'Recetas y precios'!$A$5:$B$55,2,FALSE()),""))</f>
        <v/>
      </c>
      <c r="D267" s="24"/>
      <c r="E267" s="6"/>
      <c r="F267" s="17"/>
      <c r="G267" s="15" t="n">
        <f aca="false">E267*F267</f>
        <v>0</v>
      </c>
      <c r="H267" s="15" t="n">
        <f aca="false">IF(B267="",0,E267*IFERROR(VLOOKUP(B267,'Recetas y precios'!$A$5:$R$55,18,FALSE()),0))</f>
        <v>0</v>
      </c>
      <c r="I267" s="30"/>
      <c r="J267" s="15" t="n">
        <f aca="false">G267*I267</f>
        <v>0</v>
      </c>
      <c r="K267" s="15" t="n">
        <f aca="false">G267-H267-J267</f>
        <v>0</v>
      </c>
      <c r="L267" s="16" t="str">
        <f aca="false">IF(G267&gt;0,K267/G267,"")</f>
        <v/>
      </c>
      <c r="M267" s="6"/>
    </row>
    <row r="268" customFormat="false" ht="15" hidden="false" customHeight="false" outlineLevel="0" collapsed="false">
      <c r="A268" s="34"/>
      <c r="B268" s="6"/>
      <c r="C268" s="0" t="str">
        <f aca="false">IF(B268="","",IFERROR(VLOOKUP(B268,'Recetas y precios'!$A$5:$B$55,2,FALSE()),""))</f>
        <v/>
      </c>
      <c r="D268" s="24"/>
      <c r="E268" s="6"/>
      <c r="F268" s="17"/>
      <c r="G268" s="15" t="n">
        <f aca="false">E268*F268</f>
        <v>0</v>
      </c>
      <c r="H268" s="15" t="n">
        <f aca="false">IF(B268="",0,E268*IFERROR(VLOOKUP(B268,'Recetas y precios'!$A$5:$R$55,18,FALSE()),0))</f>
        <v>0</v>
      </c>
      <c r="I268" s="30"/>
      <c r="J268" s="15" t="n">
        <f aca="false">G268*I268</f>
        <v>0</v>
      </c>
      <c r="K268" s="15" t="n">
        <f aca="false">G268-H268-J268</f>
        <v>0</v>
      </c>
      <c r="L268" s="16" t="str">
        <f aca="false">IF(G268&gt;0,K268/G268,"")</f>
        <v/>
      </c>
      <c r="M268" s="6"/>
    </row>
    <row r="269" customFormat="false" ht="15" hidden="false" customHeight="false" outlineLevel="0" collapsed="false">
      <c r="A269" s="34"/>
      <c r="B269" s="6"/>
      <c r="C269" s="0" t="str">
        <f aca="false">IF(B269="","",IFERROR(VLOOKUP(B269,'Recetas y precios'!$A$5:$B$55,2,FALSE()),""))</f>
        <v/>
      </c>
      <c r="D269" s="24"/>
      <c r="E269" s="6"/>
      <c r="F269" s="17"/>
      <c r="G269" s="15" t="n">
        <f aca="false">E269*F269</f>
        <v>0</v>
      </c>
      <c r="H269" s="15" t="n">
        <f aca="false">IF(B269="",0,E269*IFERROR(VLOOKUP(B269,'Recetas y precios'!$A$5:$R$55,18,FALSE()),0))</f>
        <v>0</v>
      </c>
      <c r="I269" s="30"/>
      <c r="J269" s="15" t="n">
        <f aca="false">G269*I269</f>
        <v>0</v>
      </c>
      <c r="K269" s="15" t="n">
        <f aca="false">G269-H269-J269</f>
        <v>0</v>
      </c>
      <c r="L269" s="16" t="str">
        <f aca="false">IF(G269&gt;0,K269/G269,"")</f>
        <v/>
      </c>
      <c r="M269" s="6"/>
    </row>
    <row r="270" customFormat="false" ht="15" hidden="false" customHeight="false" outlineLevel="0" collapsed="false">
      <c r="A270" s="34"/>
      <c r="B270" s="6"/>
      <c r="C270" s="0" t="str">
        <f aca="false">IF(B270="","",IFERROR(VLOOKUP(B270,'Recetas y precios'!$A$5:$B$55,2,FALSE()),""))</f>
        <v/>
      </c>
      <c r="D270" s="24"/>
      <c r="E270" s="6"/>
      <c r="F270" s="17"/>
      <c r="G270" s="15" t="n">
        <f aca="false">E270*F270</f>
        <v>0</v>
      </c>
      <c r="H270" s="15" t="n">
        <f aca="false">IF(B270="",0,E270*IFERROR(VLOOKUP(B270,'Recetas y precios'!$A$5:$R$55,18,FALSE()),0))</f>
        <v>0</v>
      </c>
      <c r="I270" s="30"/>
      <c r="J270" s="15" t="n">
        <f aca="false">G270*I270</f>
        <v>0</v>
      </c>
      <c r="K270" s="15" t="n">
        <f aca="false">G270-H270-J270</f>
        <v>0</v>
      </c>
      <c r="L270" s="16" t="str">
        <f aca="false">IF(G270&gt;0,K270/G270,"")</f>
        <v/>
      </c>
      <c r="M270" s="6"/>
    </row>
    <row r="271" customFormat="false" ht="15" hidden="false" customHeight="false" outlineLevel="0" collapsed="false">
      <c r="A271" s="34"/>
      <c r="B271" s="6"/>
      <c r="C271" s="0" t="str">
        <f aca="false">IF(B271="","",IFERROR(VLOOKUP(B271,'Recetas y precios'!$A$5:$B$55,2,FALSE()),""))</f>
        <v/>
      </c>
      <c r="D271" s="24"/>
      <c r="E271" s="6"/>
      <c r="F271" s="17"/>
      <c r="G271" s="15" t="n">
        <f aca="false">E271*F271</f>
        <v>0</v>
      </c>
      <c r="H271" s="15" t="n">
        <f aca="false">IF(B271="",0,E271*IFERROR(VLOOKUP(B271,'Recetas y precios'!$A$5:$R$55,18,FALSE()),0))</f>
        <v>0</v>
      </c>
      <c r="I271" s="30"/>
      <c r="J271" s="15" t="n">
        <f aca="false">G271*I271</f>
        <v>0</v>
      </c>
      <c r="K271" s="15" t="n">
        <f aca="false">G271-H271-J271</f>
        <v>0</v>
      </c>
      <c r="L271" s="16" t="str">
        <f aca="false">IF(G271&gt;0,K271/G271,"")</f>
        <v/>
      </c>
      <c r="M271" s="6"/>
    </row>
    <row r="272" customFormat="false" ht="15" hidden="false" customHeight="false" outlineLevel="0" collapsed="false">
      <c r="A272" s="34"/>
      <c r="B272" s="6"/>
      <c r="C272" s="0" t="str">
        <f aca="false">IF(B272="","",IFERROR(VLOOKUP(B272,'Recetas y precios'!$A$5:$B$55,2,FALSE()),""))</f>
        <v/>
      </c>
      <c r="D272" s="24"/>
      <c r="E272" s="6"/>
      <c r="F272" s="17"/>
      <c r="G272" s="15" t="n">
        <f aca="false">E272*F272</f>
        <v>0</v>
      </c>
      <c r="H272" s="15" t="n">
        <f aca="false">IF(B272="",0,E272*IFERROR(VLOOKUP(B272,'Recetas y precios'!$A$5:$R$55,18,FALSE()),0))</f>
        <v>0</v>
      </c>
      <c r="I272" s="30"/>
      <c r="J272" s="15" t="n">
        <f aca="false">G272*I272</f>
        <v>0</v>
      </c>
      <c r="K272" s="15" t="n">
        <f aca="false">G272-H272-J272</f>
        <v>0</v>
      </c>
      <c r="L272" s="16" t="str">
        <f aca="false">IF(G272&gt;0,K272/G272,"")</f>
        <v/>
      </c>
      <c r="M272" s="6"/>
    </row>
    <row r="273" customFormat="false" ht="15" hidden="false" customHeight="false" outlineLevel="0" collapsed="false">
      <c r="A273" s="34"/>
      <c r="B273" s="6"/>
      <c r="C273" s="0" t="str">
        <f aca="false">IF(B273="","",IFERROR(VLOOKUP(B273,'Recetas y precios'!$A$5:$B$55,2,FALSE()),""))</f>
        <v/>
      </c>
      <c r="D273" s="24"/>
      <c r="E273" s="6"/>
      <c r="F273" s="17"/>
      <c r="G273" s="15" t="n">
        <f aca="false">E273*F273</f>
        <v>0</v>
      </c>
      <c r="H273" s="15" t="n">
        <f aca="false">IF(B273="",0,E273*IFERROR(VLOOKUP(B273,'Recetas y precios'!$A$5:$R$55,18,FALSE()),0))</f>
        <v>0</v>
      </c>
      <c r="I273" s="30"/>
      <c r="J273" s="15" t="n">
        <f aca="false">G273*I273</f>
        <v>0</v>
      </c>
      <c r="K273" s="15" t="n">
        <f aca="false">G273-H273-J273</f>
        <v>0</v>
      </c>
      <c r="L273" s="16" t="str">
        <f aca="false">IF(G273&gt;0,K273/G273,"")</f>
        <v/>
      </c>
      <c r="M273" s="6"/>
    </row>
    <row r="274" customFormat="false" ht="15" hidden="false" customHeight="false" outlineLevel="0" collapsed="false">
      <c r="A274" s="34"/>
      <c r="B274" s="6"/>
      <c r="C274" s="0" t="str">
        <f aca="false">IF(B274="","",IFERROR(VLOOKUP(B274,'Recetas y precios'!$A$5:$B$55,2,FALSE()),""))</f>
        <v/>
      </c>
      <c r="D274" s="24"/>
      <c r="E274" s="6"/>
      <c r="F274" s="17"/>
      <c r="G274" s="15" t="n">
        <f aca="false">E274*F274</f>
        <v>0</v>
      </c>
      <c r="H274" s="15" t="n">
        <f aca="false">IF(B274="",0,E274*IFERROR(VLOOKUP(B274,'Recetas y precios'!$A$5:$R$55,18,FALSE()),0))</f>
        <v>0</v>
      </c>
      <c r="I274" s="30"/>
      <c r="J274" s="15" t="n">
        <f aca="false">G274*I274</f>
        <v>0</v>
      </c>
      <c r="K274" s="15" t="n">
        <f aca="false">G274-H274-J274</f>
        <v>0</v>
      </c>
      <c r="L274" s="16" t="str">
        <f aca="false">IF(G274&gt;0,K274/G274,"")</f>
        <v/>
      </c>
      <c r="M274" s="6"/>
    </row>
    <row r="275" customFormat="false" ht="15" hidden="false" customHeight="false" outlineLevel="0" collapsed="false">
      <c r="A275" s="34"/>
      <c r="B275" s="6"/>
      <c r="C275" s="0" t="str">
        <f aca="false">IF(B275="","",IFERROR(VLOOKUP(B275,'Recetas y precios'!$A$5:$B$55,2,FALSE()),""))</f>
        <v/>
      </c>
      <c r="D275" s="24"/>
      <c r="E275" s="6"/>
      <c r="F275" s="17"/>
      <c r="G275" s="15" t="n">
        <f aca="false">E275*F275</f>
        <v>0</v>
      </c>
      <c r="H275" s="15" t="n">
        <f aca="false">IF(B275="",0,E275*IFERROR(VLOOKUP(B275,'Recetas y precios'!$A$5:$R$55,18,FALSE()),0))</f>
        <v>0</v>
      </c>
      <c r="I275" s="30"/>
      <c r="J275" s="15" t="n">
        <f aca="false">G275*I275</f>
        <v>0</v>
      </c>
      <c r="K275" s="15" t="n">
        <f aca="false">G275-H275-J275</f>
        <v>0</v>
      </c>
      <c r="L275" s="16" t="str">
        <f aca="false">IF(G275&gt;0,K275/G275,"")</f>
        <v/>
      </c>
      <c r="M275" s="6"/>
    </row>
    <row r="276" customFormat="false" ht="15" hidden="false" customHeight="false" outlineLevel="0" collapsed="false">
      <c r="A276" s="34"/>
      <c r="B276" s="6"/>
      <c r="C276" s="0" t="str">
        <f aca="false">IF(B276="","",IFERROR(VLOOKUP(B276,'Recetas y precios'!$A$5:$B$55,2,FALSE()),""))</f>
        <v/>
      </c>
      <c r="D276" s="24"/>
      <c r="E276" s="6"/>
      <c r="F276" s="17"/>
      <c r="G276" s="15" t="n">
        <f aca="false">E276*F276</f>
        <v>0</v>
      </c>
      <c r="H276" s="15" t="n">
        <f aca="false">IF(B276="",0,E276*IFERROR(VLOOKUP(B276,'Recetas y precios'!$A$5:$R$55,18,FALSE()),0))</f>
        <v>0</v>
      </c>
      <c r="I276" s="30"/>
      <c r="J276" s="15" t="n">
        <f aca="false">G276*I276</f>
        <v>0</v>
      </c>
      <c r="K276" s="15" t="n">
        <f aca="false">G276-H276-J276</f>
        <v>0</v>
      </c>
      <c r="L276" s="16" t="str">
        <f aca="false">IF(G276&gt;0,K276/G276,"")</f>
        <v/>
      </c>
      <c r="M276" s="6"/>
    </row>
    <row r="277" customFormat="false" ht="15" hidden="false" customHeight="false" outlineLevel="0" collapsed="false">
      <c r="A277" s="34"/>
      <c r="B277" s="6"/>
      <c r="C277" s="0" t="str">
        <f aca="false">IF(B277="","",IFERROR(VLOOKUP(B277,'Recetas y precios'!$A$5:$B$55,2,FALSE()),""))</f>
        <v/>
      </c>
      <c r="D277" s="24"/>
      <c r="E277" s="6"/>
      <c r="F277" s="17"/>
      <c r="G277" s="15" t="n">
        <f aca="false">E277*F277</f>
        <v>0</v>
      </c>
      <c r="H277" s="15" t="n">
        <f aca="false">IF(B277="",0,E277*IFERROR(VLOOKUP(B277,'Recetas y precios'!$A$5:$R$55,18,FALSE()),0))</f>
        <v>0</v>
      </c>
      <c r="I277" s="30"/>
      <c r="J277" s="15" t="n">
        <f aca="false">G277*I277</f>
        <v>0</v>
      </c>
      <c r="K277" s="15" t="n">
        <f aca="false">G277-H277-J277</f>
        <v>0</v>
      </c>
      <c r="L277" s="16" t="str">
        <f aca="false">IF(G277&gt;0,K277/G277,"")</f>
        <v/>
      </c>
      <c r="M277" s="6"/>
    </row>
    <row r="278" customFormat="false" ht="15" hidden="false" customHeight="false" outlineLevel="0" collapsed="false">
      <c r="A278" s="34"/>
      <c r="B278" s="6"/>
      <c r="C278" s="0" t="str">
        <f aca="false">IF(B278="","",IFERROR(VLOOKUP(B278,'Recetas y precios'!$A$5:$B$55,2,FALSE()),""))</f>
        <v/>
      </c>
      <c r="D278" s="24"/>
      <c r="E278" s="6"/>
      <c r="F278" s="17"/>
      <c r="G278" s="15" t="n">
        <f aca="false">E278*F278</f>
        <v>0</v>
      </c>
      <c r="H278" s="15" t="n">
        <f aca="false">IF(B278="",0,E278*IFERROR(VLOOKUP(B278,'Recetas y precios'!$A$5:$R$55,18,FALSE()),0))</f>
        <v>0</v>
      </c>
      <c r="I278" s="30"/>
      <c r="J278" s="15" t="n">
        <f aca="false">G278*I278</f>
        <v>0</v>
      </c>
      <c r="K278" s="15" t="n">
        <f aca="false">G278-H278-J278</f>
        <v>0</v>
      </c>
      <c r="L278" s="16" t="str">
        <f aca="false">IF(G278&gt;0,K278/G278,"")</f>
        <v/>
      </c>
      <c r="M278" s="6"/>
    </row>
    <row r="279" customFormat="false" ht="15" hidden="false" customHeight="false" outlineLevel="0" collapsed="false">
      <c r="A279" s="34"/>
      <c r="B279" s="6"/>
      <c r="C279" s="0" t="str">
        <f aca="false">IF(B279="","",IFERROR(VLOOKUP(B279,'Recetas y precios'!$A$5:$B$55,2,FALSE()),""))</f>
        <v/>
      </c>
      <c r="D279" s="24"/>
      <c r="E279" s="6"/>
      <c r="F279" s="17"/>
      <c r="G279" s="15" t="n">
        <f aca="false">E279*F279</f>
        <v>0</v>
      </c>
      <c r="H279" s="15" t="n">
        <f aca="false">IF(B279="",0,E279*IFERROR(VLOOKUP(B279,'Recetas y precios'!$A$5:$R$55,18,FALSE()),0))</f>
        <v>0</v>
      </c>
      <c r="I279" s="30"/>
      <c r="J279" s="15" t="n">
        <f aca="false">G279*I279</f>
        <v>0</v>
      </c>
      <c r="K279" s="15" t="n">
        <f aca="false">G279-H279-J279</f>
        <v>0</v>
      </c>
      <c r="L279" s="16" t="str">
        <f aca="false">IF(G279&gt;0,K279/G279,"")</f>
        <v/>
      </c>
      <c r="M279" s="6"/>
    </row>
    <row r="280" customFormat="false" ht="15" hidden="false" customHeight="false" outlineLevel="0" collapsed="false">
      <c r="A280" s="34"/>
      <c r="B280" s="6"/>
      <c r="C280" s="0" t="str">
        <f aca="false">IF(B280="","",IFERROR(VLOOKUP(B280,'Recetas y precios'!$A$5:$B$55,2,FALSE()),""))</f>
        <v/>
      </c>
      <c r="D280" s="24"/>
      <c r="E280" s="6"/>
      <c r="F280" s="17"/>
      <c r="G280" s="15" t="n">
        <f aca="false">E280*F280</f>
        <v>0</v>
      </c>
      <c r="H280" s="15" t="n">
        <f aca="false">IF(B280="",0,E280*IFERROR(VLOOKUP(B280,'Recetas y precios'!$A$5:$R$55,18,FALSE()),0))</f>
        <v>0</v>
      </c>
      <c r="I280" s="30"/>
      <c r="J280" s="15" t="n">
        <f aca="false">G280*I280</f>
        <v>0</v>
      </c>
      <c r="K280" s="15" t="n">
        <f aca="false">G280-H280-J280</f>
        <v>0</v>
      </c>
      <c r="L280" s="16" t="str">
        <f aca="false">IF(G280&gt;0,K280/G280,"")</f>
        <v/>
      </c>
      <c r="M280" s="6"/>
    </row>
    <row r="281" customFormat="false" ht="15" hidden="false" customHeight="false" outlineLevel="0" collapsed="false">
      <c r="A281" s="34"/>
      <c r="B281" s="6"/>
      <c r="C281" s="0" t="str">
        <f aca="false">IF(B281="","",IFERROR(VLOOKUP(B281,'Recetas y precios'!$A$5:$B$55,2,FALSE()),""))</f>
        <v/>
      </c>
      <c r="D281" s="24"/>
      <c r="E281" s="6"/>
      <c r="F281" s="17"/>
      <c r="G281" s="15" t="n">
        <f aca="false">E281*F281</f>
        <v>0</v>
      </c>
      <c r="H281" s="15" t="n">
        <f aca="false">IF(B281="",0,E281*IFERROR(VLOOKUP(B281,'Recetas y precios'!$A$5:$R$55,18,FALSE()),0))</f>
        <v>0</v>
      </c>
      <c r="I281" s="30"/>
      <c r="J281" s="15" t="n">
        <f aca="false">G281*I281</f>
        <v>0</v>
      </c>
      <c r="K281" s="15" t="n">
        <f aca="false">G281-H281-J281</f>
        <v>0</v>
      </c>
      <c r="L281" s="16" t="str">
        <f aca="false">IF(G281&gt;0,K281/G281,"")</f>
        <v/>
      </c>
      <c r="M281" s="6"/>
    </row>
    <row r="282" customFormat="false" ht="15" hidden="false" customHeight="false" outlineLevel="0" collapsed="false">
      <c r="A282" s="34"/>
      <c r="B282" s="6"/>
      <c r="C282" s="0" t="str">
        <f aca="false">IF(B282="","",IFERROR(VLOOKUP(B282,'Recetas y precios'!$A$5:$B$55,2,FALSE()),""))</f>
        <v/>
      </c>
      <c r="D282" s="24"/>
      <c r="E282" s="6"/>
      <c r="F282" s="17"/>
      <c r="G282" s="15" t="n">
        <f aca="false">E282*F282</f>
        <v>0</v>
      </c>
      <c r="H282" s="15" t="n">
        <f aca="false">IF(B282="",0,E282*IFERROR(VLOOKUP(B282,'Recetas y precios'!$A$5:$R$55,18,FALSE()),0))</f>
        <v>0</v>
      </c>
      <c r="I282" s="30"/>
      <c r="J282" s="15" t="n">
        <f aca="false">G282*I282</f>
        <v>0</v>
      </c>
      <c r="K282" s="15" t="n">
        <f aca="false">G282-H282-J282</f>
        <v>0</v>
      </c>
      <c r="L282" s="16" t="str">
        <f aca="false">IF(G282&gt;0,K282/G282,"")</f>
        <v/>
      </c>
      <c r="M282" s="6"/>
    </row>
    <row r="283" customFormat="false" ht="15" hidden="false" customHeight="false" outlineLevel="0" collapsed="false">
      <c r="A283" s="34"/>
      <c r="B283" s="6"/>
      <c r="C283" s="0" t="str">
        <f aca="false">IF(B283="","",IFERROR(VLOOKUP(B283,'Recetas y precios'!$A$5:$B$55,2,FALSE()),""))</f>
        <v/>
      </c>
      <c r="D283" s="24"/>
      <c r="E283" s="6"/>
      <c r="F283" s="17"/>
      <c r="G283" s="15" t="n">
        <f aca="false">E283*F283</f>
        <v>0</v>
      </c>
      <c r="H283" s="15" t="n">
        <f aca="false">IF(B283="",0,E283*IFERROR(VLOOKUP(B283,'Recetas y precios'!$A$5:$R$55,18,FALSE()),0))</f>
        <v>0</v>
      </c>
      <c r="I283" s="30"/>
      <c r="J283" s="15" t="n">
        <f aca="false">G283*I283</f>
        <v>0</v>
      </c>
      <c r="K283" s="15" t="n">
        <f aca="false">G283-H283-J283</f>
        <v>0</v>
      </c>
      <c r="L283" s="16" t="str">
        <f aca="false">IF(G283&gt;0,K283/G283,"")</f>
        <v/>
      </c>
      <c r="M283" s="6"/>
    </row>
    <row r="284" customFormat="false" ht="15" hidden="false" customHeight="false" outlineLevel="0" collapsed="false">
      <c r="A284" s="34"/>
      <c r="B284" s="6"/>
      <c r="C284" s="0" t="str">
        <f aca="false">IF(B284="","",IFERROR(VLOOKUP(B284,'Recetas y precios'!$A$5:$B$55,2,FALSE()),""))</f>
        <v/>
      </c>
      <c r="D284" s="24"/>
      <c r="E284" s="6"/>
      <c r="F284" s="17"/>
      <c r="G284" s="15" t="n">
        <f aca="false">E284*F284</f>
        <v>0</v>
      </c>
      <c r="H284" s="15" t="n">
        <f aca="false">IF(B284="",0,E284*IFERROR(VLOOKUP(B284,'Recetas y precios'!$A$5:$R$55,18,FALSE()),0))</f>
        <v>0</v>
      </c>
      <c r="I284" s="30"/>
      <c r="J284" s="15" t="n">
        <f aca="false">G284*I284</f>
        <v>0</v>
      </c>
      <c r="K284" s="15" t="n">
        <f aca="false">G284-H284-J284</f>
        <v>0</v>
      </c>
      <c r="L284" s="16" t="str">
        <f aca="false">IF(G284&gt;0,K284/G284,"")</f>
        <v/>
      </c>
      <c r="M284" s="6"/>
    </row>
    <row r="285" customFormat="false" ht="15" hidden="false" customHeight="false" outlineLevel="0" collapsed="false">
      <c r="A285" s="34"/>
      <c r="B285" s="6"/>
      <c r="C285" s="0" t="str">
        <f aca="false">IF(B285="","",IFERROR(VLOOKUP(B285,'Recetas y precios'!$A$5:$B$55,2,FALSE()),""))</f>
        <v/>
      </c>
      <c r="D285" s="24"/>
      <c r="E285" s="6"/>
      <c r="F285" s="17"/>
      <c r="G285" s="15" t="n">
        <f aca="false">E285*F285</f>
        <v>0</v>
      </c>
      <c r="H285" s="15" t="n">
        <f aca="false">IF(B285="",0,E285*IFERROR(VLOOKUP(B285,'Recetas y precios'!$A$5:$R$55,18,FALSE()),0))</f>
        <v>0</v>
      </c>
      <c r="I285" s="30"/>
      <c r="J285" s="15" t="n">
        <f aca="false">G285*I285</f>
        <v>0</v>
      </c>
      <c r="K285" s="15" t="n">
        <f aca="false">G285-H285-J285</f>
        <v>0</v>
      </c>
      <c r="L285" s="16" t="str">
        <f aca="false">IF(G285&gt;0,K285/G285,"")</f>
        <v/>
      </c>
      <c r="M285" s="6"/>
    </row>
    <row r="286" customFormat="false" ht="15" hidden="false" customHeight="false" outlineLevel="0" collapsed="false">
      <c r="A286" s="34"/>
      <c r="B286" s="6"/>
      <c r="C286" s="0" t="str">
        <f aca="false">IF(B286="","",IFERROR(VLOOKUP(B286,'Recetas y precios'!$A$5:$B$55,2,FALSE()),""))</f>
        <v/>
      </c>
      <c r="D286" s="24"/>
      <c r="E286" s="6"/>
      <c r="F286" s="17"/>
      <c r="G286" s="15" t="n">
        <f aca="false">E286*F286</f>
        <v>0</v>
      </c>
      <c r="H286" s="15" t="n">
        <f aca="false">IF(B286="",0,E286*IFERROR(VLOOKUP(B286,'Recetas y precios'!$A$5:$R$55,18,FALSE()),0))</f>
        <v>0</v>
      </c>
      <c r="I286" s="30"/>
      <c r="J286" s="15" t="n">
        <f aca="false">G286*I286</f>
        <v>0</v>
      </c>
      <c r="K286" s="15" t="n">
        <f aca="false">G286-H286-J286</f>
        <v>0</v>
      </c>
      <c r="L286" s="16" t="str">
        <f aca="false">IF(G286&gt;0,K286/G286,"")</f>
        <v/>
      </c>
      <c r="M286" s="6"/>
    </row>
    <row r="287" customFormat="false" ht="15" hidden="false" customHeight="false" outlineLevel="0" collapsed="false">
      <c r="A287" s="34"/>
      <c r="B287" s="6"/>
      <c r="C287" s="0" t="str">
        <f aca="false">IF(B287="","",IFERROR(VLOOKUP(B287,'Recetas y precios'!$A$5:$B$55,2,FALSE()),""))</f>
        <v/>
      </c>
      <c r="D287" s="24"/>
      <c r="E287" s="6"/>
      <c r="F287" s="17"/>
      <c r="G287" s="15" t="n">
        <f aca="false">E287*F287</f>
        <v>0</v>
      </c>
      <c r="H287" s="15" t="n">
        <f aca="false">IF(B287="",0,E287*IFERROR(VLOOKUP(B287,'Recetas y precios'!$A$5:$R$55,18,FALSE()),0))</f>
        <v>0</v>
      </c>
      <c r="I287" s="30"/>
      <c r="J287" s="15" t="n">
        <f aca="false">G287*I287</f>
        <v>0</v>
      </c>
      <c r="K287" s="15" t="n">
        <f aca="false">G287-H287-J287</f>
        <v>0</v>
      </c>
      <c r="L287" s="16" t="str">
        <f aca="false">IF(G287&gt;0,K287/G287,"")</f>
        <v/>
      </c>
      <c r="M287" s="6"/>
    </row>
    <row r="288" customFormat="false" ht="15" hidden="false" customHeight="false" outlineLevel="0" collapsed="false">
      <c r="A288" s="34"/>
      <c r="B288" s="6"/>
      <c r="C288" s="0" t="str">
        <f aca="false">IF(B288="","",IFERROR(VLOOKUP(B288,'Recetas y precios'!$A$5:$B$55,2,FALSE()),""))</f>
        <v/>
      </c>
      <c r="D288" s="24"/>
      <c r="E288" s="6"/>
      <c r="F288" s="17"/>
      <c r="G288" s="15" t="n">
        <f aca="false">E288*F288</f>
        <v>0</v>
      </c>
      <c r="H288" s="15" t="n">
        <f aca="false">IF(B288="",0,E288*IFERROR(VLOOKUP(B288,'Recetas y precios'!$A$5:$R$55,18,FALSE()),0))</f>
        <v>0</v>
      </c>
      <c r="I288" s="30"/>
      <c r="J288" s="15" t="n">
        <f aca="false">G288*I288</f>
        <v>0</v>
      </c>
      <c r="K288" s="15" t="n">
        <f aca="false">G288-H288-J288</f>
        <v>0</v>
      </c>
      <c r="L288" s="16" t="str">
        <f aca="false">IF(G288&gt;0,K288/G288,"")</f>
        <v/>
      </c>
      <c r="M288" s="6"/>
    </row>
    <row r="289" customFormat="false" ht="15" hidden="false" customHeight="false" outlineLevel="0" collapsed="false">
      <c r="A289" s="34"/>
      <c r="B289" s="6"/>
      <c r="C289" s="0" t="str">
        <f aca="false">IF(B289="","",IFERROR(VLOOKUP(B289,'Recetas y precios'!$A$5:$B$55,2,FALSE()),""))</f>
        <v/>
      </c>
      <c r="D289" s="24"/>
      <c r="E289" s="6"/>
      <c r="F289" s="17"/>
      <c r="G289" s="15" t="n">
        <f aca="false">E289*F289</f>
        <v>0</v>
      </c>
      <c r="H289" s="15" t="n">
        <f aca="false">IF(B289="",0,E289*IFERROR(VLOOKUP(B289,'Recetas y precios'!$A$5:$R$55,18,FALSE()),0))</f>
        <v>0</v>
      </c>
      <c r="I289" s="30"/>
      <c r="J289" s="15" t="n">
        <f aca="false">G289*I289</f>
        <v>0</v>
      </c>
      <c r="K289" s="15" t="n">
        <f aca="false">G289-H289-J289</f>
        <v>0</v>
      </c>
      <c r="L289" s="16" t="str">
        <f aca="false">IF(G289&gt;0,K289/G289,"")</f>
        <v/>
      </c>
      <c r="M289" s="6"/>
    </row>
    <row r="290" customFormat="false" ht="15" hidden="false" customHeight="false" outlineLevel="0" collapsed="false">
      <c r="A290" s="34"/>
      <c r="B290" s="6"/>
      <c r="C290" s="0" t="str">
        <f aca="false">IF(B290="","",IFERROR(VLOOKUP(B290,'Recetas y precios'!$A$5:$B$55,2,FALSE()),""))</f>
        <v/>
      </c>
      <c r="D290" s="24"/>
      <c r="E290" s="6"/>
      <c r="F290" s="17"/>
      <c r="G290" s="15" t="n">
        <f aca="false">E290*F290</f>
        <v>0</v>
      </c>
      <c r="H290" s="15" t="n">
        <f aca="false">IF(B290="",0,E290*IFERROR(VLOOKUP(B290,'Recetas y precios'!$A$5:$R$55,18,FALSE()),0))</f>
        <v>0</v>
      </c>
      <c r="I290" s="30"/>
      <c r="J290" s="15" t="n">
        <f aca="false">G290*I290</f>
        <v>0</v>
      </c>
      <c r="K290" s="15" t="n">
        <f aca="false">G290-H290-J290</f>
        <v>0</v>
      </c>
      <c r="L290" s="16" t="str">
        <f aca="false">IF(G290&gt;0,K290/G290,"")</f>
        <v/>
      </c>
      <c r="M290" s="6"/>
    </row>
    <row r="291" customFormat="false" ht="15" hidden="false" customHeight="false" outlineLevel="0" collapsed="false">
      <c r="A291" s="34"/>
      <c r="B291" s="6"/>
      <c r="C291" s="0" t="str">
        <f aca="false">IF(B291="","",IFERROR(VLOOKUP(B291,'Recetas y precios'!$A$5:$B$55,2,FALSE()),""))</f>
        <v/>
      </c>
      <c r="D291" s="24"/>
      <c r="E291" s="6"/>
      <c r="F291" s="17"/>
      <c r="G291" s="15" t="n">
        <f aca="false">E291*F291</f>
        <v>0</v>
      </c>
      <c r="H291" s="15" t="n">
        <f aca="false">IF(B291="",0,E291*IFERROR(VLOOKUP(B291,'Recetas y precios'!$A$5:$R$55,18,FALSE()),0))</f>
        <v>0</v>
      </c>
      <c r="I291" s="30"/>
      <c r="J291" s="15" t="n">
        <f aca="false">G291*I291</f>
        <v>0</v>
      </c>
      <c r="K291" s="15" t="n">
        <f aca="false">G291-H291-J291</f>
        <v>0</v>
      </c>
      <c r="L291" s="16" t="str">
        <f aca="false">IF(G291&gt;0,K291/G291,"")</f>
        <v/>
      </c>
      <c r="M291" s="6"/>
    </row>
    <row r="292" customFormat="false" ht="15" hidden="false" customHeight="false" outlineLevel="0" collapsed="false">
      <c r="A292" s="34"/>
      <c r="B292" s="6"/>
      <c r="C292" s="0" t="str">
        <f aca="false">IF(B292="","",IFERROR(VLOOKUP(B292,'Recetas y precios'!$A$5:$B$55,2,FALSE()),""))</f>
        <v/>
      </c>
      <c r="D292" s="24"/>
      <c r="E292" s="6"/>
      <c r="F292" s="17"/>
      <c r="G292" s="15" t="n">
        <f aca="false">E292*F292</f>
        <v>0</v>
      </c>
      <c r="H292" s="15" t="n">
        <f aca="false">IF(B292="",0,E292*IFERROR(VLOOKUP(B292,'Recetas y precios'!$A$5:$R$55,18,FALSE()),0))</f>
        <v>0</v>
      </c>
      <c r="I292" s="30"/>
      <c r="J292" s="15" t="n">
        <f aca="false">G292*I292</f>
        <v>0</v>
      </c>
      <c r="K292" s="15" t="n">
        <f aca="false">G292-H292-J292</f>
        <v>0</v>
      </c>
      <c r="L292" s="16" t="str">
        <f aca="false">IF(G292&gt;0,K292/G292,"")</f>
        <v/>
      </c>
      <c r="M292" s="6"/>
    </row>
    <row r="293" customFormat="false" ht="15" hidden="false" customHeight="false" outlineLevel="0" collapsed="false">
      <c r="A293" s="34"/>
      <c r="B293" s="6"/>
      <c r="C293" s="0" t="str">
        <f aca="false">IF(B293="","",IFERROR(VLOOKUP(B293,'Recetas y precios'!$A$5:$B$55,2,FALSE()),""))</f>
        <v/>
      </c>
      <c r="D293" s="24"/>
      <c r="E293" s="6"/>
      <c r="F293" s="17"/>
      <c r="G293" s="15" t="n">
        <f aca="false">E293*F293</f>
        <v>0</v>
      </c>
      <c r="H293" s="15" t="n">
        <f aca="false">IF(B293="",0,E293*IFERROR(VLOOKUP(B293,'Recetas y precios'!$A$5:$R$55,18,FALSE()),0))</f>
        <v>0</v>
      </c>
      <c r="I293" s="30"/>
      <c r="J293" s="15" t="n">
        <f aca="false">G293*I293</f>
        <v>0</v>
      </c>
      <c r="K293" s="15" t="n">
        <f aca="false">G293-H293-J293</f>
        <v>0</v>
      </c>
      <c r="L293" s="16" t="str">
        <f aca="false">IF(G293&gt;0,K293/G293,"")</f>
        <v/>
      </c>
      <c r="M293" s="6"/>
    </row>
    <row r="294" customFormat="false" ht="15" hidden="false" customHeight="false" outlineLevel="0" collapsed="false">
      <c r="A294" s="34"/>
      <c r="B294" s="6"/>
      <c r="C294" s="0" t="str">
        <f aca="false">IF(B294="","",IFERROR(VLOOKUP(B294,'Recetas y precios'!$A$5:$B$55,2,FALSE()),""))</f>
        <v/>
      </c>
      <c r="D294" s="24"/>
      <c r="E294" s="6"/>
      <c r="F294" s="17"/>
      <c r="G294" s="15" t="n">
        <f aca="false">E294*F294</f>
        <v>0</v>
      </c>
      <c r="H294" s="15" t="n">
        <f aca="false">IF(B294="",0,E294*IFERROR(VLOOKUP(B294,'Recetas y precios'!$A$5:$R$55,18,FALSE()),0))</f>
        <v>0</v>
      </c>
      <c r="I294" s="30"/>
      <c r="J294" s="15" t="n">
        <f aca="false">G294*I294</f>
        <v>0</v>
      </c>
      <c r="K294" s="15" t="n">
        <f aca="false">G294-H294-J294</f>
        <v>0</v>
      </c>
      <c r="L294" s="16" t="str">
        <f aca="false">IF(G294&gt;0,K294/G294,"")</f>
        <v/>
      </c>
      <c r="M294" s="6"/>
    </row>
    <row r="295" customFormat="false" ht="15" hidden="false" customHeight="false" outlineLevel="0" collapsed="false">
      <c r="A295" s="34"/>
      <c r="B295" s="6"/>
      <c r="C295" s="0" t="str">
        <f aca="false">IF(B295="","",IFERROR(VLOOKUP(B295,'Recetas y precios'!$A$5:$B$55,2,FALSE()),""))</f>
        <v/>
      </c>
      <c r="D295" s="24"/>
      <c r="E295" s="6"/>
      <c r="F295" s="17"/>
      <c r="G295" s="15" t="n">
        <f aca="false">E295*F295</f>
        <v>0</v>
      </c>
      <c r="H295" s="15" t="n">
        <f aca="false">IF(B295="",0,E295*IFERROR(VLOOKUP(B295,'Recetas y precios'!$A$5:$R$55,18,FALSE()),0))</f>
        <v>0</v>
      </c>
      <c r="I295" s="30"/>
      <c r="J295" s="15" t="n">
        <f aca="false">G295*I295</f>
        <v>0</v>
      </c>
      <c r="K295" s="15" t="n">
        <f aca="false">G295-H295-J295</f>
        <v>0</v>
      </c>
      <c r="L295" s="16" t="str">
        <f aca="false">IF(G295&gt;0,K295/G295,"")</f>
        <v/>
      </c>
      <c r="M295" s="6"/>
    </row>
    <row r="296" customFormat="false" ht="15" hidden="false" customHeight="false" outlineLevel="0" collapsed="false">
      <c r="A296" s="34"/>
      <c r="B296" s="6"/>
      <c r="C296" s="0" t="str">
        <f aca="false">IF(B296="","",IFERROR(VLOOKUP(B296,'Recetas y precios'!$A$5:$B$55,2,FALSE()),""))</f>
        <v/>
      </c>
      <c r="D296" s="24"/>
      <c r="E296" s="6"/>
      <c r="F296" s="17"/>
      <c r="G296" s="15" t="n">
        <f aca="false">E296*F296</f>
        <v>0</v>
      </c>
      <c r="H296" s="15" t="n">
        <f aca="false">IF(B296="",0,E296*IFERROR(VLOOKUP(B296,'Recetas y precios'!$A$5:$R$55,18,FALSE()),0))</f>
        <v>0</v>
      </c>
      <c r="I296" s="30"/>
      <c r="J296" s="15" t="n">
        <f aca="false">G296*I296</f>
        <v>0</v>
      </c>
      <c r="K296" s="15" t="n">
        <f aca="false">G296-H296-J296</f>
        <v>0</v>
      </c>
      <c r="L296" s="16" t="str">
        <f aca="false">IF(G296&gt;0,K296/G296,"")</f>
        <v/>
      </c>
      <c r="M296" s="6"/>
    </row>
    <row r="297" customFormat="false" ht="15" hidden="false" customHeight="false" outlineLevel="0" collapsed="false">
      <c r="A297" s="34"/>
      <c r="B297" s="6"/>
      <c r="C297" s="0" t="str">
        <f aca="false">IF(B297="","",IFERROR(VLOOKUP(B297,'Recetas y precios'!$A$5:$B$55,2,FALSE()),""))</f>
        <v/>
      </c>
      <c r="D297" s="24"/>
      <c r="E297" s="6"/>
      <c r="F297" s="17"/>
      <c r="G297" s="15" t="n">
        <f aca="false">E297*F297</f>
        <v>0</v>
      </c>
      <c r="H297" s="15" t="n">
        <f aca="false">IF(B297="",0,E297*IFERROR(VLOOKUP(B297,'Recetas y precios'!$A$5:$R$55,18,FALSE()),0))</f>
        <v>0</v>
      </c>
      <c r="I297" s="30"/>
      <c r="J297" s="15" t="n">
        <f aca="false">G297*I297</f>
        <v>0</v>
      </c>
      <c r="K297" s="15" t="n">
        <f aca="false">G297-H297-J297</f>
        <v>0</v>
      </c>
      <c r="L297" s="16" t="str">
        <f aca="false">IF(G297&gt;0,K297/G297,"")</f>
        <v/>
      </c>
      <c r="M297" s="6"/>
    </row>
    <row r="298" customFormat="false" ht="15" hidden="false" customHeight="false" outlineLevel="0" collapsed="false">
      <c r="A298" s="34"/>
      <c r="B298" s="6"/>
      <c r="C298" s="0" t="str">
        <f aca="false">IF(B298="","",IFERROR(VLOOKUP(B298,'Recetas y precios'!$A$5:$B$55,2,FALSE()),""))</f>
        <v/>
      </c>
      <c r="D298" s="24"/>
      <c r="E298" s="6"/>
      <c r="F298" s="17"/>
      <c r="G298" s="15" t="n">
        <f aca="false">E298*F298</f>
        <v>0</v>
      </c>
      <c r="H298" s="15" t="n">
        <f aca="false">IF(B298="",0,E298*IFERROR(VLOOKUP(B298,'Recetas y precios'!$A$5:$R$55,18,FALSE()),0))</f>
        <v>0</v>
      </c>
      <c r="I298" s="30"/>
      <c r="J298" s="15" t="n">
        <f aca="false">G298*I298</f>
        <v>0</v>
      </c>
      <c r="K298" s="15" t="n">
        <f aca="false">G298-H298-J298</f>
        <v>0</v>
      </c>
      <c r="L298" s="16" t="str">
        <f aca="false">IF(G298&gt;0,K298/G298,"")</f>
        <v/>
      </c>
      <c r="M298" s="6"/>
    </row>
    <row r="299" customFormat="false" ht="15" hidden="false" customHeight="false" outlineLevel="0" collapsed="false">
      <c r="A299" s="34"/>
      <c r="B299" s="6"/>
      <c r="C299" s="0" t="str">
        <f aca="false">IF(B299="","",IFERROR(VLOOKUP(B299,'Recetas y precios'!$A$5:$B$55,2,FALSE()),""))</f>
        <v/>
      </c>
      <c r="D299" s="24"/>
      <c r="E299" s="6"/>
      <c r="F299" s="17"/>
      <c r="G299" s="15" t="n">
        <f aca="false">E299*F299</f>
        <v>0</v>
      </c>
      <c r="H299" s="15" t="n">
        <f aca="false">IF(B299="",0,E299*IFERROR(VLOOKUP(B299,'Recetas y precios'!$A$5:$R$55,18,FALSE()),0))</f>
        <v>0</v>
      </c>
      <c r="I299" s="30"/>
      <c r="J299" s="15" t="n">
        <f aca="false">G299*I299</f>
        <v>0</v>
      </c>
      <c r="K299" s="15" t="n">
        <f aca="false">G299-H299-J299</f>
        <v>0</v>
      </c>
      <c r="L299" s="16" t="str">
        <f aca="false">IF(G299&gt;0,K299/G299,"")</f>
        <v/>
      </c>
      <c r="M299" s="6"/>
    </row>
    <row r="300" customFormat="false" ht="15" hidden="false" customHeight="false" outlineLevel="0" collapsed="false">
      <c r="A300" s="34"/>
      <c r="B300" s="6"/>
      <c r="C300" s="0" t="str">
        <f aca="false">IF(B300="","",IFERROR(VLOOKUP(B300,'Recetas y precios'!$A$5:$B$55,2,FALSE()),""))</f>
        <v/>
      </c>
      <c r="D300" s="24"/>
      <c r="E300" s="6"/>
      <c r="F300" s="17"/>
      <c r="G300" s="15" t="n">
        <f aca="false">E300*F300</f>
        <v>0</v>
      </c>
      <c r="H300" s="15" t="n">
        <f aca="false">IF(B300="",0,E300*IFERROR(VLOOKUP(B300,'Recetas y precios'!$A$5:$R$55,18,FALSE()),0))</f>
        <v>0</v>
      </c>
      <c r="I300" s="30"/>
      <c r="J300" s="15" t="n">
        <f aca="false">G300*I300</f>
        <v>0</v>
      </c>
      <c r="K300" s="15" t="n">
        <f aca="false">G300-H300-J300</f>
        <v>0</v>
      </c>
      <c r="L300" s="16" t="str">
        <f aca="false">IF(G300&gt;0,K300/G300,"")</f>
        <v/>
      </c>
      <c r="M300" s="6"/>
    </row>
    <row r="301" customFormat="false" ht="15" hidden="false" customHeight="false" outlineLevel="0" collapsed="false">
      <c r="A301" s="34"/>
      <c r="B301" s="6"/>
      <c r="C301" s="0" t="str">
        <f aca="false">IF(B301="","",IFERROR(VLOOKUP(B301,'Recetas y precios'!$A$5:$B$55,2,FALSE()),""))</f>
        <v/>
      </c>
      <c r="D301" s="24"/>
      <c r="E301" s="6"/>
      <c r="F301" s="17"/>
      <c r="G301" s="15" t="n">
        <f aca="false">E301*F301</f>
        <v>0</v>
      </c>
      <c r="H301" s="15" t="n">
        <f aca="false">IF(B301="",0,E301*IFERROR(VLOOKUP(B301,'Recetas y precios'!$A$5:$R$55,18,FALSE()),0))</f>
        <v>0</v>
      </c>
      <c r="I301" s="30"/>
      <c r="J301" s="15" t="n">
        <f aca="false">G301*I301</f>
        <v>0</v>
      </c>
      <c r="K301" s="15" t="n">
        <f aca="false">G301-H301-J301</f>
        <v>0</v>
      </c>
      <c r="L301" s="16" t="str">
        <f aca="false">IF(G301&gt;0,K301/G301,"")</f>
        <v/>
      </c>
      <c r="M301" s="6"/>
    </row>
    <row r="302" customFormat="false" ht="15" hidden="false" customHeight="false" outlineLevel="0" collapsed="false">
      <c r="A302" s="34"/>
      <c r="B302" s="6"/>
      <c r="C302" s="0" t="str">
        <f aca="false">IF(B302="","",IFERROR(VLOOKUP(B302,'Recetas y precios'!$A$5:$B$55,2,FALSE()),""))</f>
        <v/>
      </c>
      <c r="D302" s="24"/>
      <c r="E302" s="6"/>
      <c r="F302" s="17"/>
      <c r="G302" s="15" t="n">
        <f aca="false">E302*F302</f>
        <v>0</v>
      </c>
      <c r="H302" s="15" t="n">
        <f aca="false">IF(B302="",0,E302*IFERROR(VLOOKUP(B302,'Recetas y precios'!$A$5:$R$55,18,FALSE()),0))</f>
        <v>0</v>
      </c>
      <c r="I302" s="30"/>
      <c r="J302" s="15" t="n">
        <f aca="false">G302*I302</f>
        <v>0</v>
      </c>
      <c r="K302" s="15" t="n">
        <f aca="false">G302-H302-J302</f>
        <v>0</v>
      </c>
      <c r="L302" s="16" t="str">
        <f aca="false">IF(G302&gt;0,K302/G302,"")</f>
        <v/>
      </c>
      <c r="M302" s="6"/>
    </row>
    <row r="303" customFormat="false" ht="15" hidden="false" customHeight="false" outlineLevel="0" collapsed="false">
      <c r="A303" s="34"/>
      <c r="B303" s="6"/>
      <c r="C303" s="0" t="str">
        <f aca="false">IF(B303="","",IFERROR(VLOOKUP(B303,'Recetas y precios'!$A$5:$B$55,2,FALSE()),""))</f>
        <v/>
      </c>
      <c r="D303" s="24"/>
      <c r="E303" s="6"/>
      <c r="F303" s="17"/>
      <c r="G303" s="15" t="n">
        <f aca="false">E303*F303</f>
        <v>0</v>
      </c>
      <c r="H303" s="15" t="n">
        <f aca="false">IF(B303="",0,E303*IFERROR(VLOOKUP(B303,'Recetas y precios'!$A$5:$R$55,18,FALSE()),0))</f>
        <v>0</v>
      </c>
      <c r="I303" s="30"/>
      <c r="J303" s="15" t="n">
        <f aca="false">G303*I303</f>
        <v>0</v>
      </c>
      <c r="K303" s="15" t="n">
        <f aca="false">G303-H303-J303</f>
        <v>0</v>
      </c>
      <c r="L303" s="16" t="str">
        <f aca="false">IF(G303&gt;0,K303/G303,"")</f>
        <v/>
      </c>
      <c r="M303" s="6"/>
    </row>
    <row r="304" customFormat="false" ht="15" hidden="false" customHeight="false" outlineLevel="0" collapsed="false">
      <c r="A304" s="34"/>
      <c r="B304" s="6"/>
      <c r="C304" s="0" t="str">
        <f aca="false">IF(B304="","",IFERROR(VLOOKUP(B304,'Recetas y precios'!$A$5:$B$55,2,FALSE()),""))</f>
        <v/>
      </c>
      <c r="D304" s="24"/>
      <c r="E304" s="6"/>
      <c r="F304" s="17"/>
      <c r="G304" s="15" t="n">
        <f aca="false">E304*F304</f>
        <v>0</v>
      </c>
      <c r="H304" s="15" t="n">
        <f aca="false">IF(B304="",0,E304*IFERROR(VLOOKUP(B304,'Recetas y precios'!$A$5:$R$55,18,FALSE()),0))</f>
        <v>0</v>
      </c>
      <c r="I304" s="30"/>
      <c r="J304" s="15" t="n">
        <f aca="false">G304*I304</f>
        <v>0</v>
      </c>
      <c r="K304" s="15" t="n">
        <f aca="false">G304-H304-J304</f>
        <v>0</v>
      </c>
      <c r="L304" s="16" t="str">
        <f aca="false">IF(G304&gt;0,K304/G304,"")</f>
        <v/>
      </c>
      <c r="M304" s="6"/>
    </row>
    <row r="305" customFormat="false" ht="15" hidden="false" customHeight="false" outlineLevel="0" collapsed="false">
      <c r="A305" s="34"/>
      <c r="B305" s="6"/>
      <c r="C305" s="0" t="str">
        <f aca="false">IF(B305="","",IFERROR(VLOOKUP(B305,'Recetas y precios'!$A$5:$B$55,2,FALSE()),""))</f>
        <v/>
      </c>
      <c r="D305" s="24"/>
      <c r="E305" s="6"/>
      <c r="F305" s="17"/>
      <c r="G305" s="15" t="n">
        <f aca="false">E305*F305</f>
        <v>0</v>
      </c>
      <c r="H305" s="15" t="n">
        <f aca="false">IF(B305="",0,E305*IFERROR(VLOOKUP(B305,'Recetas y precios'!$A$5:$R$55,18,FALSE()),0))</f>
        <v>0</v>
      </c>
      <c r="I305" s="30"/>
      <c r="J305" s="15" t="n">
        <f aca="false">G305*I305</f>
        <v>0</v>
      </c>
      <c r="K305" s="15" t="n">
        <f aca="false">G305-H305-J305</f>
        <v>0</v>
      </c>
      <c r="L305" s="16" t="str">
        <f aca="false">IF(G305&gt;0,K305/G305,"")</f>
        <v/>
      </c>
      <c r="M305" s="6"/>
    </row>
    <row r="306" customFormat="false" ht="15" hidden="false" customHeight="false" outlineLevel="0" collapsed="false">
      <c r="A306" s="34"/>
      <c r="B306" s="6"/>
      <c r="C306" s="0" t="str">
        <f aca="false">IF(B306="","",IFERROR(VLOOKUP(B306,'Recetas y precios'!$A$5:$B$55,2,FALSE()),""))</f>
        <v/>
      </c>
      <c r="D306" s="24"/>
      <c r="E306" s="6"/>
      <c r="F306" s="17"/>
      <c r="G306" s="15" t="n">
        <f aca="false">E306*F306</f>
        <v>0</v>
      </c>
      <c r="H306" s="15" t="n">
        <f aca="false">IF(B306="",0,E306*IFERROR(VLOOKUP(B306,'Recetas y precios'!$A$5:$R$55,18,FALSE()),0))</f>
        <v>0</v>
      </c>
      <c r="I306" s="30"/>
      <c r="J306" s="15" t="n">
        <f aca="false">G306*I306</f>
        <v>0</v>
      </c>
      <c r="K306" s="15" t="n">
        <f aca="false">G306-H306-J306</f>
        <v>0</v>
      </c>
      <c r="L306" s="16" t="str">
        <f aca="false">IF(G306&gt;0,K306/G306,"")</f>
        <v/>
      </c>
      <c r="M306" s="6"/>
    </row>
    <row r="307" customFormat="false" ht="15" hidden="false" customHeight="false" outlineLevel="0" collapsed="false">
      <c r="A307" s="34"/>
      <c r="B307" s="6"/>
      <c r="C307" s="0" t="str">
        <f aca="false">IF(B307="","",IFERROR(VLOOKUP(B307,'Recetas y precios'!$A$5:$B$55,2,FALSE()),""))</f>
        <v/>
      </c>
      <c r="D307" s="24"/>
      <c r="E307" s="6"/>
      <c r="F307" s="17"/>
      <c r="G307" s="15" t="n">
        <f aca="false">E307*F307</f>
        <v>0</v>
      </c>
      <c r="H307" s="15" t="n">
        <f aca="false">IF(B307="",0,E307*IFERROR(VLOOKUP(B307,'Recetas y precios'!$A$5:$R$55,18,FALSE()),0))</f>
        <v>0</v>
      </c>
      <c r="I307" s="30"/>
      <c r="J307" s="15" t="n">
        <f aca="false">G307*I307</f>
        <v>0</v>
      </c>
      <c r="K307" s="15" t="n">
        <f aca="false">G307-H307-J307</f>
        <v>0</v>
      </c>
      <c r="L307" s="16" t="str">
        <f aca="false">IF(G307&gt;0,K307/G307,"")</f>
        <v/>
      </c>
      <c r="M307" s="6"/>
    </row>
    <row r="308" customFormat="false" ht="15" hidden="false" customHeight="false" outlineLevel="0" collapsed="false">
      <c r="A308" s="34"/>
      <c r="B308" s="6"/>
      <c r="C308" s="0" t="str">
        <f aca="false">IF(B308="","",IFERROR(VLOOKUP(B308,'Recetas y precios'!$A$5:$B$55,2,FALSE()),""))</f>
        <v/>
      </c>
      <c r="D308" s="24"/>
      <c r="E308" s="6"/>
      <c r="F308" s="17"/>
      <c r="G308" s="15" t="n">
        <f aca="false">E308*F308</f>
        <v>0</v>
      </c>
      <c r="H308" s="15" t="n">
        <f aca="false">IF(B308="",0,E308*IFERROR(VLOOKUP(B308,'Recetas y precios'!$A$5:$R$55,18,FALSE()),0))</f>
        <v>0</v>
      </c>
      <c r="I308" s="30"/>
      <c r="J308" s="15" t="n">
        <f aca="false">G308*I308</f>
        <v>0</v>
      </c>
      <c r="K308" s="15" t="n">
        <f aca="false">G308-H308-J308</f>
        <v>0</v>
      </c>
      <c r="L308" s="16" t="str">
        <f aca="false">IF(G308&gt;0,K308/G308,"")</f>
        <v/>
      </c>
      <c r="M308" s="6"/>
    </row>
    <row r="309" customFormat="false" ht="15" hidden="false" customHeight="false" outlineLevel="0" collapsed="false">
      <c r="A309" s="34"/>
      <c r="B309" s="6"/>
      <c r="C309" s="0" t="str">
        <f aca="false">IF(B309="","",IFERROR(VLOOKUP(B309,'Recetas y precios'!$A$5:$B$55,2,FALSE()),""))</f>
        <v/>
      </c>
      <c r="D309" s="24"/>
      <c r="E309" s="6"/>
      <c r="F309" s="17"/>
      <c r="G309" s="15" t="n">
        <f aca="false">E309*F309</f>
        <v>0</v>
      </c>
      <c r="H309" s="15" t="n">
        <f aca="false">IF(B309="",0,E309*IFERROR(VLOOKUP(B309,'Recetas y precios'!$A$5:$R$55,18,FALSE()),0))</f>
        <v>0</v>
      </c>
      <c r="I309" s="30"/>
      <c r="J309" s="15" t="n">
        <f aca="false">G309*I309</f>
        <v>0</v>
      </c>
      <c r="K309" s="15" t="n">
        <f aca="false">G309-H309-J309</f>
        <v>0</v>
      </c>
      <c r="L309" s="16" t="str">
        <f aca="false">IF(G309&gt;0,K309/G309,"")</f>
        <v/>
      </c>
      <c r="M309" s="6"/>
    </row>
    <row r="310" customFormat="false" ht="15" hidden="false" customHeight="false" outlineLevel="0" collapsed="false">
      <c r="A310" s="34"/>
      <c r="B310" s="6"/>
      <c r="C310" s="0" t="str">
        <f aca="false">IF(B310="","",IFERROR(VLOOKUP(B310,'Recetas y precios'!$A$5:$B$55,2,FALSE()),""))</f>
        <v/>
      </c>
      <c r="D310" s="24"/>
      <c r="E310" s="6"/>
      <c r="F310" s="17"/>
      <c r="G310" s="15" t="n">
        <f aca="false">E310*F310</f>
        <v>0</v>
      </c>
      <c r="H310" s="15" t="n">
        <f aca="false">IF(B310="",0,E310*IFERROR(VLOOKUP(B310,'Recetas y precios'!$A$5:$R$55,18,FALSE()),0))</f>
        <v>0</v>
      </c>
      <c r="I310" s="30"/>
      <c r="J310" s="15" t="n">
        <f aca="false">G310*I310</f>
        <v>0</v>
      </c>
      <c r="K310" s="15" t="n">
        <f aca="false">G310-H310-J310</f>
        <v>0</v>
      </c>
      <c r="L310" s="16" t="str">
        <f aca="false">IF(G310&gt;0,K310/G310,"")</f>
        <v/>
      </c>
      <c r="M310" s="6"/>
    </row>
    <row r="311" customFormat="false" ht="15" hidden="false" customHeight="false" outlineLevel="0" collapsed="false">
      <c r="A311" s="34"/>
      <c r="B311" s="6"/>
      <c r="C311" s="0" t="str">
        <f aca="false">IF(B311="","",IFERROR(VLOOKUP(B311,'Recetas y precios'!$A$5:$B$55,2,FALSE()),""))</f>
        <v/>
      </c>
      <c r="D311" s="24"/>
      <c r="E311" s="6"/>
      <c r="F311" s="17"/>
      <c r="G311" s="15" t="n">
        <f aca="false">E311*F311</f>
        <v>0</v>
      </c>
      <c r="H311" s="15" t="n">
        <f aca="false">IF(B311="",0,E311*IFERROR(VLOOKUP(B311,'Recetas y precios'!$A$5:$R$55,18,FALSE()),0))</f>
        <v>0</v>
      </c>
      <c r="I311" s="30"/>
      <c r="J311" s="15" t="n">
        <f aca="false">G311*I311</f>
        <v>0</v>
      </c>
      <c r="K311" s="15" t="n">
        <f aca="false">G311-H311-J311</f>
        <v>0</v>
      </c>
      <c r="L311" s="16" t="str">
        <f aca="false">IF(G311&gt;0,K311/G311,"")</f>
        <v/>
      </c>
      <c r="M311" s="6"/>
    </row>
    <row r="312" customFormat="false" ht="15" hidden="false" customHeight="false" outlineLevel="0" collapsed="false">
      <c r="A312" s="34"/>
      <c r="B312" s="6"/>
      <c r="C312" s="0" t="str">
        <f aca="false">IF(B312="","",IFERROR(VLOOKUP(B312,'Recetas y precios'!$A$5:$B$55,2,FALSE()),""))</f>
        <v/>
      </c>
      <c r="D312" s="24"/>
      <c r="E312" s="6"/>
      <c r="F312" s="17"/>
      <c r="G312" s="15" t="n">
        <f aca="false">E312*F312</f>
        <v>0</v>
      </c>
      <c r="H312" s="15" t="n">
        <f aca="false">IF(B312="",0,E312*IFERROR(VLOOKUP(B312,'Recetas y precios'!$A$5:$R$55,18,FALSE()),0))</f>
        <v>0</v>
      </c>
      <c r="I312" s="30"/>
      <c r="J312" s="15" t="n">
        <f aca="false">G312*I312</f>
        <v>0</v>
      </c>
      <c r="K312" s="15" t="n">
        <f aca="false">G312-H312-J312</f>
        <v>0</v>
      </c>
      <c r="L312" s="16" t="str">
        <f aca="false">IF(G312&gt;0,K312/G312,"")</f>
        <v/>
      </c>
      <c r="M312" s="6"/>
    </row>
    <row r="313" customFormat="false" ht="15" hidden="false" customHeight="false" outlineLevel="0" collapsed="false">
      <c r="A313" s="34"/>
      <c r="B313" s="6"/>
      <c r="C313" s="0" t="str">
        <f aca="false">IF(B313="","",IFERROR(VLOOKUP(B313,'Recetas y precios'!$A$5:$B$55,2,FALSE()),""))</f>
        <v/>
      </c>
      <c r="D313" s="24"/>
      <c r="E313" s="6"/>
      <c r="F313" s="17"/>
      <c r="G313" s="15" t="n">
        <f aca="false">E313*F313</f>
        <v>0</v>
      </c>
      <c r="H313" s="15" t="n">
        <f aca="false">IF(B313="",0,E313*IFERROR(VLOOKUP(B313,'Recetas y precios'!$A$5:$R$55,18,FALSE()),0))</f>
        <v>0</v>
      </c>
      <c r="I313" s="30"/>
      <c r="J313" s="15" t="n">
        <f aca="false">G313*I313</f>
        <v>0</v>
      </c>
      <c r="K313" s="15" t="n">
        <f aca="false">G313-H313-J313</f>
        <v>0</v>
      </c>
      <c r="L313" s="16" t="str">
        <f aca="false">IF(G313&gt;0,K313/G313,"")</f>
        <v/>
      </c>
      <c r="M313" s="6"/>
    </row>
    <row r="314" customFormat="false" ht="15" hidden="false" customHeight="false" outlineLevel="0" collapsed="false">
      <c r="A314" s="34"/>
      <c r="B314" s="6"/>
      <c r="C314" s="0" t="str">
        <f aca="false">IF(B314="","",IFERROR(VLOOKUP(B314,'Recetas y precios'!$A$5:$B$55,2,FALSE()),""))</f>
        <v/>
      </c>
      <c r="D314" s="24"/>
      <c r="E314" s="6"/>
      <c r="F314" s="17"/>
      <c r="G314" s="15" t="n">
        <f aca="false">E314*F314</f>
        <v>0</v>
      </c>
      <c r="H314" s="15" t="n">
        <f aca="false">IF(B314="",0,E314*IFERROR(VLOOKUP(B314,'Recetas y precios'!$A$5:$R$55,18,FALSE()),0))</f>
        <v>0</v>
      </c>
      <c r="I314" s="30"/>
      <c r="J314" s="15" t="n">
        <f aca="false">G314*I314</f>
        <v>0</v>
      </c>
      <c r="K314" s="15" t="n">
        <f aca="false">G314-H314-J314</f>
        <v>0</v>
      </c>
      <c r="L314" s="16" t="str">
        <f aca="false">IF(G314&gt;0,K314/G314,"")</f>
        <v/>
      </c>
      <c r="M314" s="6"/>
    </row>
    <row r="315" customFormat="false" ht="15" hidden="false" customHeight="false" outlineLevel="0" collapsed="false">
      <c r="A315" s="34"/>
      <c r="B315" s="6"/>
      <c r="C315" s="0" t="str">
        <f aca="false">IF(B315="","",IFERROR(VLOOKUP(B315,'Recetas y precios'!$A$5:$B$55,2,FALSE()),""))</f>
        <v/>
      </c>
      <c r="D315" s="24"/>
      <c r="E315" s="6"/>
      <c r="F315" s="17"/>
      <c r="G315" s="15" t="n">
        <f aca="false">E315*F315</f>
        <v>0</v>
      </c>
      <c r="H315" s="15" t="n">
        <f aca="false">IF(B315="",0,E315*IFERROR(VLOOKUP(B315,'Recetas y precios'!$A$5:$R$55,18,FALSE()),0))</f>
        <v>0</v>
      </c>
      <c r="I315" s="30"/>
      <c r="J315" s="15" t="n">
        <f aca="false">G315*I315</f>
        <v>0</v>
      </c>
      <c r="K315" s="15" t="n">
        <f aca="false">G315-H315-J315</f>
        <v>0</v>
      </c>
      <c r="L315" s="16" t="str">
        <f aca="false">IF(G315&gt;0,K315/G315,"")</f>
        <v/>
      </c>
      <c r="M315" s="6"/>
    </row>
    <row r="316" customFormat="false" ht="15" hidden="false" customHeight="false" outlineLevel="0" collapsed="false">
      <c r="A316" s="34"/>
      <c r="B316" s="6"/>
      <c r="C316" s="0" t="str">
        <f aca="false">IF(B316="","",IFERROR(VLOOKUP(B316,'Recetas y precios'!$A$5:$B$55,2,FALSE()),""))</f>
        <v/>
      </c>
      <c r="D316" s="24"/>
      <c r="E316" s="6"/>
      <c r="F316" s="17"/>
      <c r="G316" s="15" t="n">
        <f aca="false">E316*F316</f>
        <v>0</v>
      </c>
      <c r="H316" s="15" t="n">
        <f aca="false">IF(B316="",0,E316*IFERROR(VLOOKUP(B316,'Recetas y precios'!$A$5:$R$55,18,FALSE()),0))</f>
        <v>0</v>
      </c>
      <c r="I316" s="30"/>
      <c r="J316" s="15" t="n">
        <f aca="false">G316*I316</f>
        <v>0</v>
      </c>
      <c r="K316" s="15" t="n">
        <f aca="false">G316-H316-J316</f>
        <v>0</v>
      </c>
      <c r="L316" s="16" t="str">
        <f aca="false">IF(G316&gt;0,K316/G316,"")</f>
        <v/>
      </c>
      <c r="M316" s="6"/>
    </row>
    <row r="317" customFormat="false" ht="15" hidden="false" customHeight="false" outlineLevel="0" collapsed="false">
      <c r="A317" s="34"/>
      <c r="B317" s="6"/>
      <c r="C317" s="0" t="str">
        <f aca="false">IF(B317="","",IFERROR(VLOOKUP(B317,'Recetas y precios'!$A$5:$B$55,2,FALSE()),""))</f>
        <v/>
      </c>
      <c r="D317" s="24"/>
      <c r="E317" s="6"/>
      <c r="F317" s="17"/>
      <c r="G317" s="15" t="n">
        <f aca="false">E317*F317</f>
        <v>0</v>
      </c>
      <c r="H317" s="15" t="n">
        <f aca="false">IF(B317="",0,E317*IFERROR(VLOOKUP(B317,'Recetas y precios'!$A$5:$R$55,18,FALSE()),0))</f>
        <v>0</v>
      </c>
      <c r="I317" s="30"/>
      <c r="J317" s="15" t="n">
        <f aca="false">G317*I317</f>
        <v>0</v>
      </c>
      <c r="K317" s="15" t="n">
        <f aca="false">G317-H317-J317</f>
        <v>0</v>
      </c>
      <c r="L317" s="16" t="str">
        <f aca="false">IF(G317&gt;0,K317/G317,"")</f>
        <v/>
      </c>
      <c r="M317" s="6"/>
    </row>
    <row r="318" customFormat="false" ht="15" hidden="false" customHeight="false" outlineLevel="0" collapsed="false">
      <c r="A318" s="34"/>
      <c r="B318" s="6"/>
      <c r="C318" s="0" t="str">
        <f aca="false">IF(B318="","",IFERROR(VLOOKUP(B318,'Recetas y precios'!$A$5:$B$55,2,FALSE()),""))</f>
        <v/>
      </c>
      <c r="D318" s="24"/>
      <c r="E318" s="6"/>
      <c r="F318" s="17"/>
      <c r="G318" s="15" t="n">
        <f aca="false">E318*F318</f>
        <v>0</v>
      </c>
      <c r="H318" s="15" t="n">
        <f aca="false">IF(B318="",0,E318*IFERROR(VLOOKUP(B318,'Recetas y precios'!$A$5:$R$55,18,FALSE()),0))</f>
        <v>0</v>
      </c>
      <c r="I318" s="30"/>
      <c r="J318" s="15" t="n">
        <f aca="false">G318*I318</f>
        <v>0</v>
      </c>
      <c r="K318" s="15" t="n">
        <f aca="false">G318-H318-J318</f>
        <v>0</v>
      </c>
      <c r="L318" s="16" t="str">
        <f aca="false">IF(G318&gt;0,K318/G318,"")</f>
        <v/>
      </c>
      <c r="M318" s="6"/>
    </row>
    <row r="319" customFormat="false" ht="15" hidden="false" customHeight="false" outlineLevel="0" collapsed="false">
      <c r="A319" s="34"/>
      <c r="B319" s="6"/>
      <c r="C319" s="0" t="str">
        <f aca="false">IF(B319="","",IFERROR(VLOOKUP(B319,'Recetas y precios'!$A$5:$B$55,2,FALSE()),""))</f>
        <v/>
      </c>
      <c r="D319" s="24"/>
      <c r="E319" s="6"/>
      <c r="F319" s="17"/>
      <c r="G319" s="15" t="n">
        <f aca="false">E319*F319</f>
        <v>0</v>
      </c>
      <c r="H319" s="15" t="n">
        <f aca="false">IF(B319="",0,E319*IFERROR(VLOOKUP(B319,'Recetas y precios'!$A$5:$R$55,18,FALSE()),0))</f>
        <v>0</v>
      </c>
      <c r="I319" s="30"/>
      <c r="J319" s="15" t="n">
        <f aca="false">G319*I319</f>
        <v>0</v>
      </c>
      <c r="K319" s="15" t="n">
        <f aca="false">G319-H319-J319</f>
        <v>0</v>
      </c>
      <c r="L319" s="16" t="str">
        <f aca="false">IF(G319&gt;0,K319/G319,"")</f>
        <v/>
      </c>
      <c r="M319" s="6"/>
    </row>
    <row r="320" customFormat="false" ht="15" hidden="false" customHeight="false" outlineLevel="0" collapsed="false">
      <c r="A320" s="34"/>
      <c r="B320" s="6"/>
      <c r="C320" s="0" t="str">
        <f aca="false">IF(B320="","",IFERROR(VLOOKUP(B320,'Recetas y precios'!$A$5:$B$55,2,FALSE()),""))</f>
        <v/>
      </c>
      <c r="D320" s="24"/>
      <c r="E320" s="6"/>
      <c r="F320" s="17"/>
      <c r="G320" s="15" t="n">
        <f aca="false">E320*F320</f>
        <v>0</v>
      </c>
      <c r="H320" s="15" t="n">
        <f aca="false">IF(B320="",0,E320*IFERROR(VLOOKUP(B320,'Recetas y precios'!$A$5:$R$55,18,FALSE()),0))</f>
        <v>0</v>
      </c>
      <c r="I320" s="30"/>
      <c r="J320" s="15" t="n">
        <f aca="false">G320*I320</f>
        <v>0</v>
      </c>
      <c r="K320" s="15" t="n">
        <f aca="false">G320-H320-J320</f>
        <v>0</v>
      </c>
      <c r="L320" s="16" t="str">
        <f aca="false">IF(G320&gt;0,K320/G320,"")</f>
        <v/>
      </c>
      <c r="M320" s="6"/>
    </row>
    <row r="321" customFormat="false" ht="15" hidden="false" customHeight="false" outlineLevel="0" collapsed="false">
      <c r="A321" s="34"/>
      <c r="B321" s="6"/>
      <c r="C321" s="0" t="str">
        <f aca="false">IF(B321="","",IFERROR(VLOOKUP(B321,'Recetas y precios'!$A$5:$B$55,2,FALSE()),""))</f>
        <v/>
      </c>
      <c r="D321" s="24"/>
      <c r="E321" s="6"/>
      <c r="F321" s="17"/>
      <c r="G321" s="15" t="n">
        <f aca="false">E321*F321</f>
        <v>0</v>
      </c>
      <c r="H321" s="15" t="n">
        <f aca="false">IF(B321="",0,E321*IFERROR(VLOOKUP(B321,'Recetas y precios'!$A$5:$R$55,18,FALSE()),0))</f>
        <v>0</v>
      </c>
      <c r="I321" s="30"/>
      <c r="J321" s="15" t="n">
        <f aca="false">G321*I321</f>
        <v>0</v>
      </c>
      <c r="K321" s="15" t="n">
        <f aca="false">G321-H321-J321</f>
        <v>0</v>
      </c>
      <c r="L321" s="16" t="str">
        <f aca="false">IF(G321&gt;0,K321/G321,"")</f>
        <v/>
      </c>
      <c r="M321" s="6"/>
    </row>
    <row r="322" customFormat="false" ht="15" hidden="false" customHeight="false" outlineLevel="0" collapsed="false">
      <c r="A322" s="34"/>
      <c r="B322" s="6"/>
      <c r="C322" s="0" t="str">
        <f aca="false">IF(B322="","",IFERROR(VLOOKUP(B322,'Recetas y precios'!$A$5:$B$55,2,FALSE()),""))</f>
        <v/>
      </c>
      <c r="D322" s="24"/>
      <c r="E322" s="6"/>
      <c r="F322" s="17"/>
      <c r="G322" s="15" t="n">
        <f aca="false">E322*F322</f>
        <v>0</v>
      </c>
      <c r="H322" s="15" t="n">
        <f aca="false">IF(B322="",0,E322*IFERROR(VLOOKUP(B322,'Recetas y precios'!$A$5:$R$55,18,FALSE()),0))</f>
        <v>0</v>
      </c>
      <c r="I322" s="30"/>
      <c r="J322" s="15" t="n">
        <f aca="false">G322*I322</f>
        <v>0</v>
      </c>
      <c r="K322" s="15" t="n">
        <f aca="false">G322-H322-J322</f>
        <v>0</v>
      </c>
      <c r="L322" s="16" t="str">
        <f aca="false">IF(G322&gt;0,K322/G322,"")</f>
        <v/>
      </c>
      <c r="M322" s="6"/>
    </row>
    <row r="323" customFormat="false" ht="15" hidden="false" customHeight="false" outlineLevel="0" collapsed="false">
      <c r="A323" s="34"/>
      <c r="B323" s="6"/>
      <c r="C323" s="0" t="str">
        <f aca="false">IF(B323="","",IFERROR(VLOOKUP(B323,'Recetas y precios'!$A$5:$B$55,2,FALSE()),""))</f>
        <v/>
      </c>
      <c r="D323" s="24"/>
      <c r="E323" s="6"/>
      <c r="F323" s="17"/>
      <c r="G323" s="15" t="n">
        <f aca="false">E323*F323</f>
        <v>0</v>
      </c>
      <c r="H323" s="15" t="n">
        <f aca="false">IF(B323="",0,E323*IFERROR(VLOOKUP(B323,'Recetas y precios'!$A$5:$R$55,18,FALSE()),0))</f>
        <v>0</v>
      </c>
      <c r="I323" s="30"/>
      <c r="J323" s="15" t="n">
        <f aca="false">G323*I323</f>
        <v>0</v>
      </c>
      <c r="K323" s="15" t="n">
        <f aca="false">G323-H323-J323</f>
        <v>0</v>
      </c>
      <c r="L323" s="16" t="str">
        <f aca="false">IF(G323&gt;0,K323/G323,"")</f>
        <v/>
      </c>
      <c r="M323" s="6"/>
    </row>
    <row r="324" customFormat="false" ht="15" hidden="false" customHeight="false" outlineLevel="0" collapsed="false">
      <c r="A324" s="34"/>
      <c r="B324" s="6"/>
      <c r="C324" s="0" t="str">
        <f aca="false">IF(B324="","",IFERROR(VLOOKUP(B324,'Recetas y precios'!$A$5:$B$55,2,FALSE()),""))</f>
        <v/>
      </c>
      <c r="D324" s="24"/>
      <c r="E324" s="6"/>
      <c r="F324" s="17"/>
      <c r="G324" s="15" t="n">
        <f aca="false">E324*F324</f>
        <v>0</v>
      </c>
      <c r="H324" s="15" t="n">
        <f aca="false">IF(B324="",0,E324*IFERROR(VLOOKUP(B324,'Recetas y precios'!$A$5:$R$55,18,FALSE()),0))</f>
        <v>0</v>
      </c>
      <c r="I324" s="30"/>
      <c r="J324" s="15" t="n">
        <f aca="false">G324*I324</f>
        <v>0</v>
      </c>
      <c r="K324" s="15" t="n">
        <f aca="false">G324-H324-J324</f>
        <v>0</v>
      </c>
      <c r="L324" s="16" t="str">
        <f aca="false">IF(G324&gt;0,K324/G324,"")</f>
        <v/>
      </c>
      <c r="M324" s="6"/>
    </row>
    <row r="325" customFormat="false" ht="15" hidden="false" customHeight="false" outlineLevel="0" collapsed="false">
      <c r="A325" s="34"/>
      <c r="B325" s="6"/>
      <c r="C325" s="0" t="str">
        <f aca="false">IF(B325="","",IFERROR(VLOOKUP(B325,'Recetas y precios'!$A$5:$B$55,2,FALSE()),""))</f>
        <v/>
      </c>
      <c r="D325" s="24"/>
      <c r="E325" s="6"/>
      <c r="F325" s="17"/>
      <c r="G325" s="15" t="n">
        <f aca="false">E325*F325</f>
        <v>0</v>
      </c>
      <c r="H325" s="15" t="n">
        <f aca="false">IF(B325="",0,E325*IFERROR(VLOOKUP(B325,'Recetas y precios'!$A$5:$R$55,18,FALSE()),0))</f>
        <v>0</v>
      </c>
      <c r="I325" s="30"/>
      <c r="J325" s="15" t="n">
        <f aca="false">G325*I325</f>
        <v>0</v>
      </c>
      <c r="K325" s="15" t="n">
        <f aca="false">G325-H325-J325</f>
        <v>0</v>
      </c>
      <c r="L325" s="16" t="str">
        <f aca="false">IF(G325&gt;0,K325/G325,"")</f>
        <v/>
      </c>
      <c r="M325" s="6"/>
    </row>
    <row r="326" customFormat="false" ht="15" hidden="false" customHeight="false" outlineLevel="0" collapsed="false">
      <c r="A326" s="34"/>
      <c r="B326" s="6"/>
      <c r="C326" s="0" t="str">
        <f aca="false">IF(B326="","",IFERROR(VLOOKUP(B326,'Recetas y precios'!$A$5:$B$55,2,FALSE()),""))</f>
        <v/>
      </c>
      <c r="D326" s="24"/>
      <c r="E326" s="6"/>
      <c r="F326" s="17"/>
      <c r="G326" s="15" t="n">
        <f aca="false">E326*F326</f>
        <v>0</v>
      </c>
      <c r="H326" s="15" t="n">
        <f aca="false">IF(B326="",0,E326*IFERROR(VLOOKUP(B326,'Recetas y precios'!$A$5:$R$55,18,FALSE()),0))</f>
        <v>0</v>
      </c>
      <c r="I326" s="30"/>
      <c r="J326" s="15" t="n">
        <f aca="false">G326*I326</f>
        <v>0</v>
      </c>
      <c r="K326" s="15" t="n">
        <f aca="false">G326-H326-J326</f>
        <v>0</v>
      </c>
      <c r="L326" s="16" t="str">
        <f aca="false">IF(G326&gt;0,K326/G326,"")</f>
        <v/>
      </c>
      <c r="M326" s="6"/>
    </row>
    <row r="327" customFormat="false" ht="15" hidden="false" customHeight="false" outlineLevel="0" collapsed="false">
      <c r="A327" s="34"/>
      <c r="B327" s="6"/>
      <c r="C327" s="0" t="str">
        <f aca="false">IF(B327="","",IFERROR(VLOOKUP(B327,'Recetas y precios'!$A$5:$B$55,2,FALSE()),""))</f>
        <v/>
      </c>
      <c r="D327" s="24"/>
      <c r="E327" s="6"/>
      <c r="F327" s="17"/>
      <c r="G327" s="15" t="n">
        <f aca="false">E327*F327</f>
        <v>0</v>
      </c>
      <c r="H327" s="15" t="n">
        <f aca="false">IF(B327="",0,E327*IFERROR(VLOOKUP(B327,'Recetas y precios'!$A$5:$R$55,18,FALSE()),0))</f>
        <v>0</v>
      </c>
      <c r="I327" s="30"/>
      <c r="J327" s="15" t="n">
        <f aca="false">G327*I327</f>
        <v>0</v>
      </c>
      <c r="K327" s="15" t="n">
        <f aca="false">G327-H327-J327</f>
        <v>0</v>
      </c>
      <c r="L327" s="16" t="str">
        <f aca="false">IF(G327&gt;0,K327/G327,"")</f>
        <v/>
      </c>
      <c r="M327" s="6"/>
    </row>
    <row r="328" customFormat="false" ht="15" hidden="false" customHeight="false" outlineLevel="0" collapsed="false">
      <c r="A328" s="34"/>
      <c r="B328" s="6"/>
      <c r="C328" s="0" t="str">
        <f aca="false">IF(B328="","",IFERROR(VLOOKUP(B328,'Recetas y precios'!$A$5:$B$55,2,FALSE()),""))</f>
        <v/>
      </c>
      <c r="D328" s="24"/>
      <c r="E328" s="6"/>
      <c r="F328" s="17"/>
      <c r="G328" s="15" t="n">
        <f aca="false">E328*F328</f>
        <v>0</v>
      </c>
      <c r="H328" s="15" t="n">
        <f aca="false">IF(B328="",0,E328*IFERROR(VLOOKUP(B328,'Recetas y precios'!$A$5:$R$55,18,FALSE()),0))</f>
        <v>0</v>
      </c>
      <c r="I328" s="30"/>
      <c r="J328" s="15" t="n">
        <f aca="false">G328*I328</f>
        <v>0</v>
      </c>
      <c r="K328" s="15" t="n">
        <f aca="false">G328-H328-J328</f>
        <v>0</v>
      </c>
      <c r="L328" s="16" t="str">
        <f aca="false">IF(G328&gt;0,K328/G328,"")</f>
        <v/>
      </c>
      <c r="M328" s="6"/>
    </row>
    <row r="329" customFormat="false" ht="15" hidden="false" customHeight="false" outlineLevel="0" collapsed="false">
      <c r="A329" s="34"/>
      <c r="B329" s="6"/>
      <c r="C329" s="0" t="str">
        <f aca="false">IF(B329="","",IFERROR(VLOOKUP(B329,'Recetas y precios'!$A$5:$B$55,2,FALSE()),""))</f>
        <v/>
      </c>
      <c r="D329" s="24"/>
      <c r="E329" s="6"/>
      <c r="F329" s="17"/>
      <c r="G329" s="15" t="n">
        <f aca="false">E329*F329</f>
        <v>0</v>
      </c>
      <c r="H329" s="15" t="n">
        <f aca="false">IF(B329="",0,E329*IFERROR(VLOOKUP(B329,'Recetas y precios'!$A$5:$R$55,18,FALSE()),0))</f>
        <v>0</v>
      </c>
      <c r="I329" s="30"/>
      <c r="J329" s="15" t="n">
        <f aca="false">G329*I329</f>
        <v>0</v>
      </c>
      <c r="K329" s="15" t="n">
        <f aca="false">G329-H329-J329</f>
        <v>0</v>
      </c>
      <c r="L329" s="16" t="str">
        <f aca="false">IF(G329&gt;0,K329/G329,"")</f>
        <v/>
      </c>
      <c r="M329" s="6"/>
    </row>
    <row r="330" customFormat="false" ht="15" hidden="false" customHeight="false" outlineLevel="0" collapsed="false">
      <c r="A330" s="34"/>
      <c r="B330" s="6"/>
      <c r="C330" s="0" t="str">
        <f aca="false">IF(B330="","",IFERROR(VLOOKUP(B330,'Recetas y precios'!$A$5:$B$55,2,FALSE()),""))</f>
        <v/>
      </c>
      <c r="D330" s="24"/>
      <c r="E330" s="6"/>
      <c r="F330" s="17"/>
      <c r="G330" s="15" t="n">
        <f aca="false">E330*F330</f>
        <v>0</v>
      </c>
      <c r="H330" s="15" t="n">
        <f aca="false">IF(B330="",0,E330*IFERROR(VLOOKUP(B330,'Recetas y precios'!$A$5:$R$55,18,FALSE()),0))</f>
        <v>0</v>
      </c>
      <c r="I330" s="30"/>
      <c r="J330" s="15" t="n">
        <f aca="false">G330*I330</f>
        <v>0</v>
      </c>
      <c r="K330" s="15" t="n">
        <f aca="false">G330-H330-J330</f>
        <v>0</v>
      </c>
      <c r="L330" s="16" t="str">
        <f aca="false">IF(G330&gt;0,K330/G330,"")</f>
        <v/>
      </c>
      <c r="M330" s="6"/>
    </row>
    <row r="331" customFormat="false" ht="15" hidden="false" customHeight="false" outlineLevel="0" collapsed="false">
      <c r="A331" s="34"/>
      <c r="B331" s="6"/>
      <c r="C331" s="0" t="str">
        <f aca="false">IF(B331="","",IFERROR(VLOOKUP(B331,'Recetas y precios'!$A$5:$B$55,2,FALSE()),""))</f>
        <v/>
      </c>
      <c r="D331" s="24"/>
      <c r="E331" s="6"/>
      <c r="F331" s="17"/>
      <c r="G331" s="15" t="n">
        <f aca="false">E331*F331</f>
        <v>0</v>
      </c>
      <c r="H331" s="15" t="n">
        <f aca="false">IF(B331="",0,E331*IFERROR(VLOOKUP(B331,'Recetas y precios'!$A$5:$R$55,18,FALSE()),0))</f>
        <v>0</v>
      </c>
      <c r="I331" s="30"/>
      <c r="J331" s="15" t="n">
        <f aca="false">G331*I331</f>
        <v>0</v>
      </c>
      <c r="K331" s="15" t="n">
        <f aca="false">G331-H331-J331</f>
        <v>0</v>
      </c>
      <c r="L331" s="16" t="str">
        <f aca="false">IF(G331&gt;0,K331/G331,"")</f>
        <v/>
      </c>
      <c r="M331" s="6"/>
    </row>
    <row r="332" customFormat="false" ht="15" hidden="false" customHeight="false" outlineLevel="0" collapsed="false">
      <c r="A332" s="34"/>
      <c r="B332" s="6"/>
      <c r="C332" s="0" t="str">
        <f aca="false">IF(B332="","",IFERROR(VLOOKUP(B332,'Recetas y precios'!$A$5:$B$55,2,FALSE()),""))</f>
        <v/>
      </c>
      <c r="D332" s="24"/>
      <c r="E332" s="6"/>
      <c r="F332" s="17"/>
      <c r="G332" s="15" t="n">
        <f aca="false">E332*F332</f>
        <v>0</v>
      </c>
      <c r="H332" s="15" t="n">
        <f aca="false">IF(B332="",0,E332*IFERROR(VLOOKUP(B332,'Recetas y precios'!$A$5:$R$55,18,FALSE()),0))</f>
        <v>0</v>
      </c>
      <c r="I332" s="30"/>
      <c r="J332" s="15" t="n">
        <f aca="false">G332*I332</f>
        <v>0</v>
      </c>
      <c r="K332" s="15" t="n">
        <f aca="false">G332-H332-J332</f>
        <v>0</v>
      </c>
      <c r="L332" s="16" t="str">
        <f aca="false">IF(G332&gt;0,K332/G332,"")</f>
        <v/>
      </c>
      <c r="M332" s="6"/>
    </row>
    <row r="333" customFormat="false" ht="15" hidden="false" customHeight="false" outlineLevel="0" collapsed="false">
      <c r="A333" s="34"/>
      <c r="B333" s="6"/>
      <c r="C333" s="0" t="str">
        <f aca="false">IF(B333="","",IFERROR(VLOOKUP(B333,'Recetas y precios'!$A$5:$B$55,2,FALSE()),""))</f>
        <v/>
      </c>
      <c r="D333" s="24"/>
      <c r="E333" s="6"/>
      <c r="F333" s="17"/>
      <c r="G333" s="15" t="n">
        <f aca="false">E333*F333</f>
        <v>0</v>
      </c>
      <c r="H333" s="15" t="n">
        <f aca="false">IF(B333="",0,E333*IFERROR(VLOOKUP(B333,'Recetas y precios'!$A$5:$R$55,18,FALSE()),0))</f>
        <v>0</v>
      </c>
      <c r="I333" s="30"/>
      <c r="J333" s="15" t="n">
        <f aca="false">G333*I333</f>
        <v>0</v>
      </c>
      <c r="K333" s="15" t="n">
        <f aca="false">G333-H333-J333</f>
        <v>0</v>
      </c>
      <c r="L333" s="16" t="str">
        <f aca="false">IF(G333&gt;0,K333/G333,"")</f>
        <v/>
      </c>
      <c r="M333" s="6"/>
    </row>
    <row r="334" customFormat="false" ht="15" hidden="false" customHeight="false" outlineLevel="0" collapsed="false">
      <c r="A334" s="34"/>
      <c r="B334" s="6"/>
      <c r="C334" s="0" t="str">
        <f aca="false">IF(B334="","",IFERROR(VLOOKUP(B334,'Recetas y precios'!$A$5:$B$55,2,FALSE()),""))</f>
        <v/>
      </c>
      <c r="D334" s="24"/>
      <c r="E334" s="6"/>
      <c r="F334" s="17"/>
      <c r="G334" s="15" t="n">
        <f aca="false">E334*F334</f>
        <v>0</v>
      </c>
      <c r="H334" s="15" t="n">
        <f aca="false">IF(B334="",0,E334*IFERROR(VLOOKUP(B334,'Recetas y precios'!$A$5:$R$55,18,FALSE()),0))</f>
        <v>0</v>
      </c>
      <c r="I334" s="30"/>
      <c r="J334" s="15" t="n">
        <f aca="false">G334*I334</f>
        <v>0</v>
      </c>
      <c r="K334" s="15" t="n">
        <f aca="false">G334-H334-J334</f>
        <v>0</v>
      </c>
      <c r="L334" s="16" t="str">
        <f aca="false">IF(G334&gt;0,K334/G334,"")</f>
        <v/>
      </c>
      <c r="M334" s="6"/>
    </row>
    <row r="335" customFormat="false" ht="15" hidden="false" customHeight="false" outlineLevel="0" collapsed="false">
      <c r="A335" s="34"/>
      <c r="B335" s="6"/>
      <c r="C335" s="0" t="str">
        <f aca="false">IF(B335="","",IFERROR(VLOOKUP(B335,'Recetas y precios'!$A$5:$B$55,2,FALSE()),""))</f>
        <v/>
      </c>
      <c r="D335" s="24"/>
      <c r="E335" s="6"/>
      <c r="F335" s="17"/>
      <c r="G335" s="15" t="n">
        <f aca="false">E335*F335</f>
        <v>0</v>
      </c>
      <c r="H335" s="15" t="n">
        <f aca="false">IF(B335="",0,E335*IFERROR(VLOOKUP(B335,'Recetas y precios'!$A$5:$R$55,18,FALSE()),0))</f>
        <v>0</v>
      </c>
      <c r="I335" s="30"/>
      <c r="J335" s="15" t="n">
        <f aca="false">G335*I335</f>
        <v>0</v>
      </c>
      <c r="K335" s="15" t="n">
        <f aca="false">G335-H335-J335</f>
        <v>0</v>
      </c>
      <c r="L335" s="16" t="str">
        <f aca="false">IF(G335&gt;0,K335/G335,"")</f>
        <v/>
      </c>
      <c r="M335" s="6"/>
    </row>
    <row r="336" customFormat="false" ht="15" hidden="false" customHeight="false" outlineLevel="0" collapsed="false">
      <c r="A336" s="34"/>
      <c r="B336" s="6"/>
      <c r="C336" s="0" t="str">
        <f aca="false">IF(B336="","",IFERROR(VLOOKUP(B336,'Recetas y precios'!$A$5:$B$55,2,FALSE()),""))</f>
        <v/>
      </c>
      <c r="D336" s="24"/>
      <c r="E336" s="6"/>
      <c r="F336" s="17"/>
      <c r="G336" s="15" t="n">
        <f aca="false">E336*F336</f>
        <v>0</v>
      </c>
      <c r="H336" s="15" t="n">
        <f aca="false">IF(B336="",0,E336*IFERROR(VLOOKUP(B336,'Recetas y precios'!$A$5:$R$55,18,FALSE()),0))</f>
        <v>0</v>
      </c>
      <c r="I336" s="30"/>
      <c r="J336" s="15" t="n">
        <f aca="false">G336*I336</f>
        <v>0</v>
      </c>
      <c r="K336" s="15" t="n">
        <f aca="false">G336-H336-J336</f>
        <v>0</v>
      </c>
      <c r="L336" s="16" t="str">
        <f aca="false">IF(G336&gt;0,K336/G336,"")</f>
        <v/>
      </c>
      <c r="M336" s="6"/>
    </row>
    <row r="337" customFormat="false" ht="15" hidden="false" customHeight="false" outlineLevel="0" collapsed="false">
      <c r="A337" s="34"/>
      <c r="B337" s="6"/>
      <c r="C337" s="0" t="str">
        <f aca="false">IF(B337="","",IFERROR(VLOOKUP(B337,'Recetas y precios'!$A$5:$B$55,2,FALSE()),""))</f>
        <v/>
      </c>
      <c r="D337" s="24"/>
      <c r="E337" s="6"/>
      <c r="F337" s="17"/>
      <c r="G337" s="15" t="n">
        <f aca="false">E337*F337</f>
        <v>0</v>
      </c>
      <c r="H337" s="15" t="n">
        <f aca="false">IF(B337="",0,E337*IFERROR(VLOOKUP(B337,'Recetas y precios'!$A$5:$R$55,18,FALSE()),0))</f>
        <v>0</v>
      </c>
      <c r="I337" s="30"/>
      <c r="J337" s="15" t="n">
        <f aca="false">G337*I337</f>
        <v>0</v>
      </c>
      <c r="K337" s="15" t="n">
        <f aca="false">G337-H337-J337</f>
        <v>0</v>
      </c>
      <c r="L337" s="16" t="str">
        <f aca="false">IF(G337&gt;0,K337/G337,"")</f>
        <v/>
      </c>
      <c r="M337" s="6"/>
    </row>
    <row r="338" customFormat="false" ht="15" hidden="false" customHeight="false" outlineLevel="0" collapsed="false">
      <c r="A338" s="34"/>
      <c r="B338" s="6"/>
      <c r="C338" s="0" t="str">
        <f aca="false">IF(B338="","",IFERROR(VLOOKUP(B338,'Recetas y precios'!$A$5:$B$55,2,FALSE()),""))</f>
        <v/>
      </c>
      <c r="D338" s="24"/>
      <c r="E338" s="6"/>
      <c r="F338" s="17"/>
      <c r="G338" s="15" t="n">
        <f aca="false">E338*F338</f>
        <v>0</v>
      </c>
      <c r="H338" s="15" t="n">
        <f aca="false">IF(B338="",0,E338*IFERROR(VLOOKUP(B338,'Recetas y precios'!$A$5:$R$55,18,FALSE()),0))</f>
        <v>0</v>
      </c>
      <c r="I338" s="30"/>
      <c r="J338" s="15" t="n">
        <f aca="false">G338*I338</f>
        <v>0</v>
      </c>
      <c r="K338" s="15" t="n">
        <f aca="false">G338-H338-J338</f>
        <v>0</v>
      </c>
      <c r="L338" s="16" t="str">
        <f aca="false">IF(G338&gt;0,K338/G338,"")</f>
        <v/>
      </c>
      <c r="M338" s="6"/>
    </row>
    <row r="339" customFormat="false" ht="15" hidden="false" customHeight="false" outlineLevel="0" collapsed="false">
      <c r="A339" s="34"/>
      <c r="B339" s="6"/>
      <c r="C339" s="0" t="str">
        <f aca="false">IF(B339="","",IFERROR(VLOOKUP(B339,'Recetas y precios'!$A$5:$B$55,2,FALSE()),""))</f>
        <v/>
      </c>
      <c r="D339" s="24"/>
      <c r="E339" s="6"/>
      <c r="F339" s="17"/>
      <c r="G339" s="15" t="n">
        <f aca="false">E339*F339</f>
        <v>0</v>
      </c>
      <c r="H339" s="15" t="n">
        <f aca="false">IF(B339="",0,E339*IFERROR(VLOOKUP(B339,'Recetas y precios'!$A$5:$R$55,18,FALSE()),0))</f>
        <v>0</v>
      </c>
      <c r="I339" s="30"/>
      <c r="J339" s="15" t="n">
        <f aca="false">G339*I339</f>
        <v>0</v>
      </c>
      <c r="K339" s="15" t="n">
        <f aca="false">G339-H339-J339</f>
        <v>0</v>
      </c>
      <c r="L339" s="16" t="str">
        <f aca="false">IF(G339&gt;0,K339/G339,"")</f>
        <v/>
      </c>
      <c r="M339" s="6"/>
    </row>
    <row r="340" customFormat="false" ht="15" hidden="false" customHeight="false" outlineLevel="0" collapsed="false">
      <c r="A340" s="34"/>
      <c r="B340" s="6"/>
      <c r="C340" s="0" t="str">
        <f aca="false">IF(B340="","",IFERROR(VLOOKUP(B340,'Recetas y precios'!$A$5:$B$55,2,FALSE()),""))</f>
        <v/>
      </c>
      <c r="D340" s="24"/>
      <c r="E340" s="6"/>
      <c r="F340" s="17"/>
      <c r="G340" s="15" t="n">
        <f aca="false">E340*F340</f>
        <v>0</v>
      </c>
      <c r="H340" s="15" t="n">
        <f aca="false">IF(B340="",0,E340*IFERROR(VLOOKUP(B340,'Recetas y precios'!$A$5:$R$55,18,FALSE()),0))</f>
        <v>0</v>
      </c>
      <c r="I340" s="30"/>
      <c r="J340" s="15" t="n">
        <f aca="false">G340*I340</f>
        <v>0</v>
      </c>
      <c r="K340" s="15" t="n">
        <f aca="false">G340-H340-J340</f>
        <v>0</v>
      </c>
      <c r="L340" s="16" t="str">
        <f aca="false">IF(G340&gt;0,K340/G340,"")</f>
        <v/>
      </c>
      <c r="M340" s="6"/>
    </row>
    <row r="341" customFormat="false" ht="15" hidden="false" customHeight="false" outlineLevel="0" collapsed="false">
      <c r="A341" s="34"/>
      <c r="B341" s="6"/>
      <c r="C341" s="0" t="str">
        <f aca="false">IF(B341="","",IFERROR(VLOOKUP(B341,'Recetas y precios'!$A$5:$B$55,2,FALSE()),""))</f>
        <v/>
      </c>
      <c r="D341" s="24"/>
      <c r="E341" s="6"/>
      <c r="F341" s="17"/>
      <c r="G341" s="15" t="n">
        <f aca="false">E341*F341</f>
        <v>0</v>
      </c>
      <c r="H341" s="15" t="n">
        <f aca="false">IF(B341="",0,E341*IFERROR(VLOOKUP(B341,'Recetas y precios'!$A$5:$R$55,18,FALSE()),0))</f>
        <v>0</v>
      </c>
      <c r="I341" s="30"/>
      <c r="J341" s="15" t="n">
        <f aca="false">G341*I341</f>
        <v>0</v>
      </c>
      <c r="K341" s="15" t="n">
        <f aca="false">G341-H341-J341</f>
        <v>0</v>
      </c>
      <c r="L341" s="16" t="str">
        <f aca="false">IF(G341&gt;0,K341/G341,"")</f>
        <v/>
      </c>
      <c r="M341" s="6"/>
    </row>
    <row r="342" customFormat="false" ht="15" hidden="false" customHeight="false" outlineLevel="0" collapsed="false">
      <c r="A342" s="34"/>
      <c r="B342" s="6"/>
      <c r="C342" s="0" t="str">
        <f aca="false">IF(B342="","",IFERROR(VLOOKUP(B342,'Recetas y precios'!$A$5:$B$55,2,FALSE()),""))</f>
        <v/>
      </c>
      <c r="D342" s="24"/>
      <c r="E342" s="6"/>
      <c r="F342" s="17"/>
      <c r="G342" s="15" t="n">
        <f aca="false">E342*F342</f>
        <v>0</v>
      </c>
      <c r="H342" s="15" t="n">
        <f aca="false">IF(B342="",0,E342*IFERROR(VLOOKUP(B342,'Recetas y precios'!$A$5:$R$55,18,FALSE()),0))</f>
        <v>0</v>
      </c>
      <c r="I342" s="30"/>
      <c r="J342" s="15" t="n">
        <f aca="false">G342*I342</f>
        <v>0</v>
      </c>
      <c r="K342" s="15" t="n">
        <f aca="false">G342-H342-J342</f>
        <v>0</v>
      </c>
      <c r="L342" s="16" t="str">
        <f aca="false">IF(G342&gt;0,K342/G342,"")</f>
        <v/>
      </c>
      <c r="M342" s="6"/>
    </row>
    <row r="343" customFormat="false" ht="15" hidden="false" customHeight="false" outlineLevel="0" collapsed="false">
      <c r="A343" s="34"/>
      <c r="B343" s="6"/>
      <c r="C343" s="0" t="str">
        <f aca="false">IF(B343="","",IFERROR(VLOOKUP(B343,'Recetas y precios'!$A$5:$B$55,2,FALSE()),""))</f>
        <v/>
      </c>
      <c r="D343" s="24"/>
      <c r="E343" s="6"/>
      <c r="F343" s="17"/>
      <c r="G343" s="15" t="n">
        <f aca="false">E343*F343</f>
        <v>0</v>
      </c>
      <c r="H343" s="15" t="n">
        <f aca="false">IF(B343="",0,E343*IFERROR(VLOOKUP(B343,'Recetas y precios'!$A$5:$R$55,18,FALSE()),0))</f>
        <v>0</v>
      </c>
      <c r="I343" s="30"/>
      <c r="J343" s="15" t="n">
        <f aca="false">G343*I343</f>
        <v>0</v>
      </c>
      <c r="K343" s="15" t="n">
        <f aca="false">G343-H343-J343</f>
        <v>0</v>
      </c>
      <c r="L343" s="16" t="str">
        <f aca="false">IF(G343&gt;0,K343/G343,"")</f>
        <v/>
      </c>
      <c r="M343" s="6"/>
    </row>
    <row r="344" customFormat="false" ht="15" hidden="false" customHeight="false" outlineLevel="0" collapsed="false">
      <c r="A344" s="34"/>
      <c r="B344" s="6"/>
      <c r="C344" s="0" t="str">
        <f aca="false">IF(B344="","",IFERROR(VLOOKUP(B344,'Recetas y precios'!$A$5:$B$55,2,FALSE()),""))</f>
        <v/>
      </c>
      <c r="D344" s="24"/>
      <c r="E344" s="6"/>
      <c r="F344" s="17"/>
      <c r="G344" s="15" t="n">
        <f aca="false">E344*F344</f>
        <v>0</v>
      </c>
      <c r="H344" s="15" t="n">
        <f aca="false">IF(B344="",0,E344*IFERROR(VLOOKUP(B344,'Recetas y precios'!$A$5:$R$55,18,FALSE()),0))</f>
        <v>0</v>
      </c>
      <c r="I344" s="30"/>
      <c r="J344" s="15" t="n">
        <f aca="false">G344*I344</f>
        <v>0</v>
      </c>
      <c r="K344" s="15" t="n">
        <f aca="false">G344-H344-J344</f>
        <v>0</v>
      </c>
      <c r="L344" s="16" t="str">
        <f aca="false">IF(G344&gt;0,K344/G344,"")</f>
        <v/>
      </c>
      <c r="M344" s="6"/>
    </row>
    <row r="345" customFormat="false" ht="15" hidden="false" customHeight="false" outlineLevel="0" collapsed="false">
      <c r="A345" s="34"/>
      <c r="B345" s="6"/>
      <c r="C345" s="0" t="str">
        <f aca="false">IF(B345="","",IFERROR(VLOOKUP(B345,'Recetas y precios'!$A$5:$B$55,2,FALSE()),""))</f>
        <v/>
      </c>
      <c r="D345" s="24"/>
      <c r="E345" s="6"/>
      <c r="F345" s="17"/>
      <c r="G345" s="15" t="n">
        <f aca="false">E345*F345</f>
        <v>0</v>
      </c>
      <c r="H345" s="15" t="n">
        <f aca="false">IF(B345="",0,E345*IFERROR(VLOOKUP(B345,'Recetas y precios'!$A$5:$R$55,18,FALSE()),0))</f>
        <v>0</v>
      </c>
      <c r="I345" s="30"/>
      <c r="J345" s="15" t="n">
        <f aca="false">G345*I345</f>
        <v>0</v>
      </c>
      <c r="K345" s="15" t="n">
        <f aca="false">G345-H345-J345</f>
        <v>0</v>
      </c>
      <c r="L345" s="16" t="str">
        <f aca="false">IF(G345&gt;0,K345/G345,"")</f>
        <v/>
      </c>
      <c r="M345" s="6"/>
    </row>
    <row r="346" customFormat="false" ht="15" hidden="false" customHeight="false" outlineLevel="0" collapsed="false">
      <c r="A346" s="34"/>
      <c r="B346" s="6"/>
      <c r="C346" s="0" t="str">
        <f aca="false">IF(B346="","",IFERROR(VLOOKUP(B346,'Recetas y precios'!$A$5:$B$55,2,FALSE()),""))</f>
        <v/>
      </c>
      <c r="D346" s="24"/>
      <c r="E346" s="6"/>
      <c r="F346" s="17"/>
      <c r="G346" s="15" t="n">
        <f aca="false">E346*F346</f>
        <v>0</v>
      </c>
      <c r="H346" s="15" t="n">
        <f aca="false">IF(B346="",0,E346*IFERROR(VLOOKUP(B346,'Recetas y precios'!$A$5:$R$55,18,FALSE()),0))</f>
        <v>0</v>
      </c>
      <c r="I346" s="30"/>
      <c r="J346" s="15" t="n">
        <f aca="false">G346*I346</f>
        <v>0</v>
      </c>
      <c r="K346" s="15" t="n">
        <f aca="false">G346-H346-J346</f>
        <v>0</v>
      </c>
      <c r="L346" s="16" t="str">
        <f aca="false">IF(G346&gt;0,K346/G346,"")</f>
        <v/>
      </c>
      <c r="M346" s="6"/>
    </row>
    <row r="347" customFormat="false" ht="15" hidden="false" customHeight="false" outlineLevel="0" collapsed="false">
      <c r="A347" s="34"/>
      <c r="B347" s="6"/>
      <c r="C347" s="0" t="str">
        <f aca="false">IF(B347="","",IFERROR(VLOOKUP(B347,'Recetas y precios'!$A$5:$B$55,2,FALSE()),""))</f>
        <v/>
      </c>
      <c r="D347" s="24"/>
      <c r="E347" s="6"/>
      <c r="F347" s="17"/>
      <c r="G347" s="15" t="n">
        <f aca="false">E347*F347</f>
        <v>0</v>
      </c>
      <c r="H347" s="15" t="n">
        <f aca="false">IF(B347="",0,E347*IFERROR(VLOOKUP(B347,'Recetas y precios'!$A$5:$R$55,18,FALSE()),0))</f>
        <v>0</v>
      </c>
      <c r="I347" s="30"/>
      <c r="J347" s="15" t="n">
        <f aca="false">G347*I347</f>
        <v>0</v>
      </c>
      <c r="K347" s="15" t="n">
        <f aca="false">G347-H347-J347</f>
        <v>0</v>
      </c>
      <c r="L347" s="16" t="str">
        <f aca="false">IF(G347&gt;0,K347/G347,"")</f>
        <v/>
      </c>
      <c r="M347" s="6"/>
    </row>
    <row r="348" customFormat="false" ht="15" hidden="false" customHeight="false" outlineLevel="0" collapsed="false">
      <c r="A348" s="34"/>
      <c r="B348" s="6"/>
      <c r="C348" s="0" t="str">
        <f aca="false">IF(B348="","",IFERROR(VLOOKUP(B348,'Recetas y precios'!$A$5:$B$55,2,FALSE()),""))</f>
        <v/>
      </c>
      <c r="D348" s="24"/>
      <c r="E348" s="6"/>
      <c r="F348" s="17"/>
      <c r="G348" s="15" t="n">
        <f aca="false">E348*F348</f>
        <v>0</v>
      </c>
      <c r="H348" s="15" t="n">
        <f aca="false">IF(B348="",0,E348*IFERROR(VLOOKUP(B348,'Recetas y precios'!$A$5:$R$55,18,FALSE()),0))</f>
        <v>0</v>
      </c>
      <c r="I348" s="30"/>
      <c r="J348" s="15" t="n">
        <f aca="false">G348*I348</f>
        <v>0</v>
      </c>
      <c r="K348" s="15" t="n">
        <f aca="false">G348-H348-J348</f>
        <v>0</v>
      </c>
      <c r="L348" s="16" t="str">
        <f aca="false">IF(G348&gt;0,K348/G348,"")</f>
        <v/>
      </c>
      <c r="M348" s="6"/>
    </row>
    <row r="349" customFormat="false" ht="15" hidden="false" customHeight="false" outlineLevel="0" collapsed="false">
      <c r="A349" s="34"/>
      <c r="B349" s="6"/>
      <c r="C349" s="0" t="str">
        <f aca="false">IF(B349="","",IFERROR(VLOOKUP(B349,'Recetas y precios'!$A$5:$B$55,2,FALSE()),""))</f>
        <v/>
      </c>
      <c r="D349" s="24"/>
      <c r="E349" s="6"/>
      <c r="F349" s="17"/>
      <c r="G349" s="15" t="n">
        <f aca="false">E349*F349</f>
        <v>0</v>
      </c>
      <c r="H349" s="15" t="n">
        <f aca="false">IF(B349="",0,E349*IFERROR(VLOOKUP(B349,'Recetas y precios'!$A$5:$R$55,18,FALSE()),0))</f>
        <v>0</v>
      </c>
      <c r="I349" s="30"/>
      <c r="J349" s="15" t="n">
        <f aca="false">G349*I349</f>
        <v>0</v>
      </c>
      <c r="K349" s="15" t="n">
        <f aca="false">G349-H349-J349</f>
        <v>0</v>
      </c>
      <c r="L349" s="16" t="str">
        <f aca="false">IF(G349&gt;0,K349/G349,"")</f>
        <v/>
      </c>
      <c r="M349" s="6"/>
    </row>
    <row r="350" customFormat="false" ht="15" hidden="false" customHeight="false" outlineLevel="0" collapsed="false">
      <c r="A350" s="34"/>
      <c r="B350" s="6"/>
      <c r="C350" s="0" t="str">
        <f aca="false">IF(B350="","",IFERROR(VLOOKUP(B350,'Recetas y precios'!$A$5:$B$55,2,FALSE()),""))</f>
        <v/>
      </c>
      <c r="D350" s="24"/>
      <c r="E350" s="6"/>
      <c r="F350" s="17"/>
      <c r="G350" s="15" t="n">
        <f aca="false">E350*F350</f>
        <v>0</v>
      </c>
      <c r="H350" s="15" t="n">
        <f aca="false">IF(B350="",0,E350*IFERROR(VLOOKUP(B350,'Recetas y precios'!$A$5:$R$55,18,FALSE()),0))</f>
        <v>0</v>
      </c>
      <c r="I350" s="30"/>
      <c r="J350" s="15" t="n">
        <f aca="false">G350*I350</f>
        <v>0</v>
      </c>
      <c r="K350" s="15" t="n">
        <f aca="false">G350-H350-J350</f>
        <v>0</v>
      </c>
      <c r="L350" s="16" t="str">
        <f aca="false">IF(G350&gt;0,K350/G350,"")</f>
        <v/>
      </c>
      <c r="M350" s="6"/>
    </row>
    <row r="351" customFormat="false" ht="15" hidden="false" customHeight="false" outlineLevel="0" collapsed="false">
      <c r="A351" s="34"/>
      <c r="B351" s="6"/>
      <c r="C351" s="0" t="str">
        <f aca="false">IF(B351="","",IFERROR(VLOOKUP(B351,'Recetas y precios'!$A$5:$B$55,2,FALSE()),""))</f>
        <v/>
      </c>
      <c r="D351" s="24"/>
      <c r="E351" s="6"/>
      <c r="F351" s="17"/>
      <c r="G351" s="15" t="n">
        <f aca="false">E351*F351</f>
        <v>0</v>
      </c>
      <c r="H351" s="15" t="n">
        <f aca="false">IF(B351="",0,E351*IFERROR(VLOOKUP(B351,'Recetas y precios'!$A$5:$R$55,18,FALSE()),0))</f>
        <v>0</v>
      </c>
      <c r="I351" s="30"/>
      <c r="J351" s="15" t="n">
        <f aca="false">G351*I351</f>
        <v>0</v>
      </c>
      <c r="K351" s="15" t="n">
        <f aca="false">G351-H351-J351</f>
        <v>0</v>
      </c>
      <c r="L351" s="16" t="str">
        <f aca="false">IF(G351&gt;0,K351/G351,"")</f>
        <v/>
      </c>
      <c r="M351" s="6"/>
    </row>
    <row r="352" customFormat="false" ht="15" hidden="false" customHeight="false" outlineLevel="0" collapsed="false">
      <c r="A352" s="34"/>
      <c r="B352" s="6"/>
      <c r="C352" s="0" t="str">
        <f aca="false">IF(B352="","",IFERROR(VLOOKUP(B352,'Recetas y precios'!$A$5:$B$55,2,FALSE()),""))</f>
        <v/>
      </c>
      <c r="D352" s="24"/>
      <c r="E352" s="6"/>
      <c r="F352" s="17"/>
      <c r="G352" s="15" t="n">
        <f aca="false">E352*F352</f>
        <v>0</v>
      </c>
      <c r="H352" s="15" t="n">
        <f aca="false">IF(B352="",0,E352*IFERROR(VLOOKUP(B352,'Recetas y precios'!$A$5:$R$55,18,FALSE()),0))</f>
        <v>0</v>
      </c>
      <c r="I352" s="30"/>
      <c r="J352" s="15" t="n">
        <f aca="false">G352*I352</f>
        <v>0</v>
      </c>
      <c r="K352" s="15" t="n">
        <f aca="false">G352-H352-J352</f>
        <v>0</v>
      </c>
      <c r="L352" s="16" t="str">
        <f aca="false">IF(G352&gt;0,K352/G352,"")</f>
        <v/>
      </c>
      <c r="M352" s="6"/>
    </row>
    <row r="353" customFormat="false" ht="15" hidden="false" customHeight="false" outlineLevel="0" collapsed="false">
      <c r="A353" s="34"/>
      <c r="B353" s="6"/>
      <c r="C353" s="0" t="str">
        <f aca="false">IF(B353="","",IFERROR(VLOOKUP(B353,'Recetas y precios'!$A$5:$B$55,2,FALSE()),""))</f>
        <v/>
      </c>
      <c r="D353" s="24"/>
      <c r="E353" s="6"/>
      <c r="F353" s="17"/>
      <c r="G353" s="15" t="n">
        <f aca="false">E353*F353</f>
        <v>0</v>
      </c>
      <c r="H353" s="15" t="n">
        <f aca="false">IF(B353="",0,E353*IFERROR(VLOOKUP(B353,'Recetas y precios'!$A$5:$R$55,18,FALSE()),0))</f>
        <v>0</v>
      </c>
      <c r="I353" s="30"/>
      <c r="J353" s="15" t="n">
        <f aca="false">G353*I353</f>
        <v>0</v>
      </c>
      <c r="K353" s="15" t="n">
        <f aca="false">G353-H353-J353</f>
        <v>0</v>
      </c>
      <c r="L353" s="16" t="str">
        <f aca="false">IF(G353&gt;0,K353/G353,"")</f>
        <v/>
      </c>
      <c r="M353" s="6"/>
    </row>
    <row r="354" customFormat="false" ht="15" hidden="false" customHeight="false" outlineLevel="0" collapsed="false">
      <c r="A354" s="34"/>
      <c r="B354" s="6"/>
      <c r="C354" s="0" t="str">
        <f aca="false">IF(B354="","",IFERROR(VLOOKUP(B354,'Recetas y precios'!$A$5:$B$55,2,FALSE()),""))</f>
        <v/>
      </c>
      <c r="D354" s="24"/>
      <c r="E354" s="6"/>
      <c r="F354" s="17"/>
      <c r="G354" s="15" t="n">
        <f aca="false">E354*F354</f>
        <v>0</v>
      </c>
      <c r="H354" s="15" t="n">
        <f aca="false">IF(B354="",0,E354*IFERROR(VLOOKUP(B354,'Recetas y precios'!$A$5:$R$55,18,FALSE()),0))</f>
        <v>0</v>
      </c>
      <c r="I354" s="30"/>
      <c r="J354" s="15" t="n">
        <f aca="false">G354*I354</f>
        <v>0</v>
      </c>
      <c r="K354" s="15" t="n">
        <f aca="false">G354-H354-J354</f>
        <v>0</v>
      </c>
      <c r="L354" s="16" t="str">
        <f aca="false">IF(G354&gt;0,K354/G354,"")</f>
        <v/>
      </c>
      <c r="M354" s="6"/>
    </row>
    <row r="355" customFormat="false" ht="15" hidden="false" customHeight="false" outlineLevel="0" collapsed="false">
      <c r="A355" s="34"/>
      <c r="B355" s="6"/>
      <c r="C355" s="0" t="str">
        <f aca="false">IF(B355="","",IFERROR(VLOOKUP(B355,'Recetas y precios'!$A$5:$B$55,2,FALSE()),""))</f>
        <v/>
      </c>
      <c r="D355" s="24"/>
      <c r="E355" s="6"/>
      <c r="F355" s="17"/>
      <c r="G355" s="15" t="n">
        <f aca="false">E355*F355</f>
        <v>0</v>
      </c>
      <c r="H355" s="15" t="n">
        <f aca="false">IF(B355="",0,E355*IFERROR(VLOOKUP(B355,'Recetas y precios'!$A$5:$R$55,18,FALSE()),0))</f>
        <v>0</v>
      </c>
      <c r="I355" s="30"/>
      <c r="J355" s="15" t="n">
        <f aca="false">G355*I355</f>
        <v>0</v>
      </c>
      <c r="K355" s="15" t="n">
        <f aca="false">G355-H355-J355</f>
        <v>0</v>
      </c>
      <c r="L355" s="16" t="str">
        <f aca="false">IF(G355&gt;0,K355/G355,"")</f>
        <v/>
      </c>
      <c r="M355" s="6"/>
    </row>
    <row r="356" customFormat="false" ht="15" hidden="false" customHeight="false" outlineLevel="0" collapsed="false">
      <c r="A356" s="34"/>
      <c r="B356" s="6"/>
      <c r="C356" s="0" t="str">
        <f aca="false">IF(B356="","",IFERROR(VLOOKUP(B356,'Recetas y precios'!$A$5:$B$55,2,FALSE()),""))</f>
        <v/>
      </c>
      <c r="D356" s="24"/>
      <c r="E356" s="6"/>
      <c r="F356" s="17"/>
      <c r="G356" s="15" t="n">
        <f aca="false">E356*F356</f>
        <v>0</v>
      </c>
      <c r="H356" s="15" t="n">
        <f aca="false">IF(B356="",0,E356*IFERROR(VLOOKUP(B356,'Recetas y precios'!$A$5:$R$55,18,FALSE()),0))</f>
        <v>0</v>
      </c>
      <c r="I356" s="30"/>
      <c r="J356" s="15" t="n">
        <f aca="false">G356*I356</f>
        <v>0</v>
      </c>
      <c r="K356" s="15" t="n">
        <f aca="false">G356-H356-J356</f>
        <v>0</v>
      </c>
      <c r="L356" s="16" t="str">
        <f aca="false">IF(G356&gt;0,K356/G356,"")</f>
        <v/>
      </c>
      <c r="M356" s="6"/>
    </row>
    <row r="357" customFormat="false" ht="15" hidden="false" customHeight="false" outlineLevel="0" collapsed="false">
      <c r="A357" s="34"/>
      <c r="B357" s="6"/>
      <c r="C357" s="0" t="str">
        <f aca="false">IF(B357="","",IFERROR(VLOOKUP(B357,'Recetas y precios'!$A$5:$B$55,2,FALSE()),""))</f>
        <v/>
      </c>
      <c r="D357" s="24"/>
      <c r="E357" s="6"/>
      <c r="F357" s="17"/>
      <c r="G357" s="15" t="n">
        <f aca="false">E357*F357</f>
        <v>0</v>
      </c>
      <c r="H357" s="15" t="n">
        <f aca="false">IF(B357="",0,E357*IFERROR(VLOOKUP(B357,'Recetas y precios'!$A$5:$R$55,18,FALSE()),0))</f>
        <v>0</v>
      </c>
      <c r="I357" s="30"/>
      <c r="J357" s="15" t="n">
        <f aca="false">G357*I357</f>
        <v>0</v>
      </c>
      <c r="K357" s="15" t="n">
        <f aca="false">G357-H357-J357</f>
        <v>0</v>
      </c>
      <c r="L357" s="16" t="str">
        <f aca="false">IF(G357&gt;0,K357/G357,"")</f>
        <v/>
      </c>
      <c r="M357" s="6"/>
    </row>
    <row r="358" customFormat="false" ht="15" hidden="false" customHeight="false" outlineLevel="0" collapsed="false">
      <c r="A358" s="34"/>
      <c r="B358" s="6"/>
      <c r="C358" s="0" t="str">
        <f aca="false">IF(B358="","",IFERROR(VLOOKUP(B358,'Recetas y precios'!$A$5:$B$55,2,FALSE()),""))</f>
        <v/>
      </c>
      <c r="D358" s="24"/>
      <c r="E358" s="6"/>
      <c r="F358" s="17"/>
      <c r="G358" s="15" t="n">
        <f aca="false">E358*F358</f>
        <v>0</v>
      </c>
      <c r="H358" s="15" t="n">
        <f aca="false">IF(B358="",0,E358*IFERROR(VLOOKUP(B358,'Recetas y precios'!$A$5:$R$55,18,FALSE()),0))</f>
        <v>0</v>
      </c>
      <c r="I358" s="30"/>
      <c r="J358" s="15" t="n">
        <f aca="false">G358*I358</f>
        <v>0</v>
      </c>
      <c r="K358" s="15" t="n">
        <f aca="false">G358-H358-J358</f>
        <v>0</v>
      </c>
      <c r="L358" s="16" t="str">
        <f aca="false">IF(G358&gt;0,K358/G358,"")</f>
        <v/>
      </c>
      <c r="M358" s="6"/>
    </row>
    <row r="359" customFormat="false" ht="15" hidden="false" customHeight="false" outlineLevel="0" collapsed="false">
      <c r="A359" s="34"/>
      <c r="B359" s="6"/>
      <c r="C359" s="0" t="str">
        <f aca="false">IF(B359="","",IFERROR(VLOOKUP(B359,'Recetas y precios'!$A$5:$B$55,2,FALSE()),""))</f>
        <v/>
      </c>
      <c r="D359" s="24"/>
      <c r="E359" s="6"/>
      <c r="F359" s="17"/>
      <c r="G359" s="15" t="n">
        <f aca="false">E359*F359</f>
        <v>0</v>
      </c>
      <c r="H359" s="15" t="n">
        <f aca="false">IF(B359="",0,E359*IFERROR(VLOOKUP(B359,'Recetas y precios'!$A$5:$R$55,18,FALSE()),0))</f>
        <v>0</v>
      </c>
      <c r="I359" s="30"/>
      <c r="J359" s="15" t="n">
        <f aca="false">G359*I359</f>
        <v>0</v>
      </c>
      <c r="K359" s="15" t="n">
        <f aca="false">G359-H359-J359</f>
        <v>0</v>
      </c>
      <c r="L359" s="16" t="str">
        <f aca="false">IF(G359&gt;0,K359/G359,"")</f>
        <v/>
      </c>
      <c r="M359" s="6"/>
    </row>
    <row r="360" customFormat="false" ht="15" hidden="false" customHeight="false" outlineLevel="0" collapsed="false">
      <c r="A360" s="34"/>
      <c r="B360" s="6"/>
      <c r="C360" s="0" t="str">
        <f aca="false">IF(B360="","",IFERROR(VLOOKUP(B360,'Recetas y precios'!$A$5:$B$55,2,FALSE()),""))</f>
        <v/>
      </c>
      <c r="D360" s="24"/>
      <c r="E360" s="6"/>
      <c r="F360" s="17"/>
      <c r="G360" s="15" t="n">
        <f aca="false">E360*F360</f>
        <v>0</v>
      </c>
      <c r="H360" s="15" t="n">
        <f aca="false">IF(B360="",0,E360*IFERROR(VLOOKUP(B360,'Recetas y precios'!$A$5:$R$55,18,FALSE()),0))</f>
        <v>0</v>
      </c>
      <c r="I360" s="30"/>
      <c r="J360" s="15" t="n">
        <f aca="false">G360*I360</f>
        <v>0</v>
      </c>
      <c r="K360" s="15" t="n">
        <f aca="false">G360-H360-J360</f>
        <v>0</v>
      </c>
      <c r="L360" s="16" t="str">
        <f aca="false">IF(G360&gt;0,K360/G360,"")</f>
        <v/>
      </c>
      <c r="M360" s="6"/>
    </row>
    <row r="361" customFormat="false" ht="15" hidden="false" customHeight="false" outlineLevel="0" collapsed="false">
      <c r="A361" s="34"/>
      <c r="B361" s="6"/>
      <c r="C361" s="0" t="str">
        <f aca="false">IF(B361="","",IFERROR(VLOOKUP(B361,'Recetas y precios'!$A$5:$B$55,2,FALSE()),""))</f>
        <v/>
      </c>
      <c r="D361" s="24"/>
      <c r="E361" s="6"/>
      <c r="F361" s="17"/>
      <c r="G361" s="15" t="n">
        <f aca="false">E361*F361</f>
        <v>0</v>
      </c>
      <c r="H361" s="15" t="n">
        <f aca="false">IF(B361="",0,E361*IFERROR(VLOOKUP(B361,'Recetas y precios'!$A$5:$R$55,18,FALSE()),0))</f>
        <v>0</v>
      </c>
      <c r="I361" s="30"/>
      <c r="J361" s="15" t="n">
        <f aca="false">G361*I361</f>
        <v>0</v>
      </c>
      <c r="K361" s="15" t="n">
        <f aca="false">G361-H361-J361</f>
        <v>0</v>
      </c>
      <c r="L361" s="16" t="str">
        <f aca="false">IF(G361&gt;0,K361/G361,"")</f>
        <v/>
      </c>
      <c r="M361" s="6"/>
    </row>
    <row r="362" customFormat="false" ht="15" hidden="false" customHeight="false" outlineLevel="0" collapsed="false">
      <c r="A362" s="34"/>
      <c r="B362" s="6"/>
      <c r="C362" s="0" t="str">
        <f aca="false">IF(B362="","",IFERROR(VLOOKUP(B362,'Recetas y precios'!$A$5:$B$55,2,FALSE()),""))</f>
        <v/>
      </c>
      <c r="D362" s="24"/>
      <c r="E362" s="6"/>
      <c r="F362" s="17"/>
      <c r="G362" s="15" t="n">
        <f aca="false">E362*F362</f>
        <v>0</v>
      </c>
      <c r="H362" s="15" t="n">
        <f aca="false">IF(B362="",0,E362*IFERROR(VLOOKUP(B362,'Recetas y precios'!$A$5:$R$55,18,FALSE()),0))</f>
        <v>0</v>
      </c>
      <c r="I362" s="30"/>
      <c r="J362" s="15" t="n">
        <f aca="false">G362*I362</f>
        <v>0</v>
      </c>
      <c r="K362" s="15" t="n">
        <f aca="false">G362-H362-J362</f>
        <v>0</v>
      </c>
      <c r="L362" s="16" t="str">
        <f aca="false">IF(G362&gt;0,K362/G362,"")</f>
        <v/>
      </c>
      <c r="M362" s="6"/>
    </row>
    <row r="363" customFormat="false" ht="15" hidden="false" customHeight="false" outlineLevel="0" collapsed="false">
      <c r="A363" s="34"/>
      <c r="B363" s="6"/>
      <c r="C363" s="0" t="str">
        <f aca="false">IF(B363="","",IFERROR(VLOOKUP(B363,'Recetas y precios'!$A$5:$B$55,2,FALSE()),""))</f>
        <v/>
      </c>
      <c r="D363" s="24"/>
      <c r="E363" s="6"/>
      <c r="F363" s="17"/>
      <c r="G363" s="15" t="n">
        <f aca="false">E363*F363</f>
        <v>0</v>
      </c>
      <c r="H363" s="15" t="n">
        <f aca="false">IF(B363="",0,E363*IFERROR(VLOOKUP(B363,'Recetas y precios'!$A$5:$R$55,18,FALSE()),0))</f>
        <v>0</v>
      </c>
      <c r="I363" s="30"/>
      <c r="J363" s="15" t="n">
        <f aca="false">G363*I363</f>
        <v>0</v>
      </c>
      <c r="K363" s="15" t="n">
        <f aca="false">G363-H363-J363</f>
        <v>0</v>
      </c>
      <c r="L363" s="16" t="str">
        <f aca="false">IF(G363&gt;0,K363/G363,"")</f>
        <v/>
      </c>
      <c r="M363" s="6"/>
    </row>
    <row r="364" customFormat="false" ht="15" hidden="false" customHeight="false" outlineLevel="0" collapsed="false">
      <c r="A364" s="34"/>
      <c r="B364" s="6"/>
      <c r="C364" s="0" t="str">
        <f aca="false">IF(B364="","",IFERROR(VLOOKUP(B364,'Recetas y precios'!$A$5:$B$55,2,FALSE()),""))</f>
        <v/>
      </c>
      <c r="D364" s="24"/>
      <c r="E364" s="6"/>
      <c r="F364" s="17"/>
      <c r="G364" s="15" t="n">
        <f aca="false">E364*F364</f>
        <v>0</v>
      </c>
      <c r="H364" s="15" t="n">
        <f aca="false">IF(B364="",0,E364*IFERROR(VLOOKUP(B364,'Recetas y precios'!$A$5:$R$55,18,FALSE()),0))</f>
        <v>0</v>
      </c>
      <c r="I364" s="30"/>
      <c r="J364" s="15" t="n">
        <f aca="false">G364*I364</f>
        <v>0</v>
      </c>
      <c r="K364" s="15" t="n">
        <f aca="false">G364-H364-J364</f>
        <v>0</v>
      </c>
      <c r="L364" s="16" t="str">
        <f aca="false">IF(G364&gt;0,K364/G364,"")</f>
        <v/>
      </c>
      <c r="M364" s="6"/>
    </row>
    <row r="365" customFormat="false" ht="15" hidden="false" customHeight="false" outlineLevel="0" collapsed="false">
      <c r="A365" s="34"/>
      <c r="B365" s="6"/>
      <c r="C365" s="0" t="str">
        <f aca="false">IF(B365="","",IFERROR(VLOOKUP(B365,'Recetas y precios'!$A$5:$B$55,2,FALSE()),""))</f>
        <v/>
      </c>
      <c r="D365" s="24"/>
      <c r="E365" s="6"/>
      <c r="F365" s="17"/>
      <c r="G365" s="15" t="n">
        <f aca="false">E365*F365</f>
        <v>0</v>
      </c>
      <c r="H365" s="15" t="n">
        <f aca="false">IF(B365="",0,E365*IFERROR(VLOOKUP(B365,'Recetas y precios'!$A$5:$R$55,18,FALSE()),0))</f>
        <v>0</v>
      </c>
      <c r="I365" s="30"/>
      <c r="J365" s="15" t="n">
        <f aca="false">G365*I365</f>
        <v>0</v>
      </c>
      <c r="K365" s="15" t="n">
        <f aca="false">G365-H365-J365</f>
        <v>0</v>
      </c>
      <c r="L365" s="16" t="str">
        <f aca="false">IF(G365&gt;0,K365/G365,"")</f>
        <v/>
      </c>
      <c r="M365" s="6"/>
    </row>
    <row r="366" customFormat="false" ht="15" hidden="false" customHeight="false" outlineLevel="0" collapsed="false">
      <c r="A366" s="34"/>
      <c r="B366" s="6"/>
      <c r="C366" s="0" t="str">
        <f aca="false">IF(B366="","",IFERROR(VLOOKUP(B366,'Recetas y precios'!$A$5:$B$55,2,FALSE()),""))</f>
        <v/>
      </c>
      <c r="D366" s="24"/>
      <c r="E366" s="6"/>
      <c r="F366" s="17"/>
      <c r="G366" s="15" t="n">
        <f aca="false">E366*F366</f>
        <v>0</v>
      </c>
      <c r="H366" s="15" t="n">
        <f aca="false">IF(B366="",0,E366*IFERROR(VLOOKUP(B366,'Recetas y precios'!$A$5:$R$55,18,FALSE()),0))</f>
        <v>0</v>
      </c>
      <c r="I366" s="30"/>
      <c r="J366" s="15" t="n">
        <f aca="false">G366*I366</f>
        <v>0</v>
      </c>
      <c r="K366" s="15" t="n">
        <f aca="false">G366-H366-J366</f>
        <v>0</v>
      </c>
      <c r="L366" s="16" t="str">
        <f aca="false">IF(G366&gt;0,K366/G366,"")</f>
        <v/>
      </c>
      <c r="M366" s="6"/>
    </row>
    <row r="367" customFormat="false" ht="15" hidden="false" customHeight="false" outlineLevel="0" collapsed="false">
      <c r="A367" s="34"/>
      <c r="B367" s="6"/>
      <c r="C367" s="0" t="str">
        <f aca="false">IF(B367="","",IFERROR(VLOOKUP(B367,'Recetas y precios'!$A$5:$B$55,2,FALSE()),""))</f>
        <v/>
      </c>
      <c r="D367" s="24"/>
      <c r="E367" s="6"/>
      <c r="F367" s="17"/>
      <c r="G367" s="15" t="n">
        <f aca="false">E367*F367</f>
        <v>0</v>
      </c>
      <c r="H367" s="15" t="n">
        <f aca="false">IF(B367="",0,E367*IFERROR(VLOOKUP(B367,'Recetas y precios'!$A$5:$R$55,18,FALSE()),0))</f>
        <v>0</v>
      </c>
      <c r="I367" s="30"/>
      <c r="J367" s="15" t="n">
        <f aca="false">G367*I367</f>
        <v>0</v>
      </c>
      <c r="K367" s="15" t="n">
        <f aca="false">G367-H367-J367</f>
        <v>0</v>
      </c>
      <c r="L367" s="16" t="str">
        <f aca="false">IF(G367&gt;0,K367/G367,"")</f>
        <v/>
      </c>
      <c r="M367" s="6"/>
    </row>
    <row r="368" customFormat="false" ht="15" hidden="false" customHeight="false" outlineLevel="0" collapsed="false">
      <c r="A368" s="34"/>
      <c r="B368" s="6"/>
      <c r="C368" s="0" t="str">
        <f aca="false">IF(B368="","",IFERROR(VLOOKUP(B368,'Recetas y precios'!$A$5:$B$55,2,FALSE()),""))</f>
        <v/>
      </c>
      <c r="D368" s="24"/>
      <c r="E368" s="6"/>
      <c r="F368" s="17"/>
      <c r="G368" s="15" t="n">
        <f aca="false">E368*F368</f>
        <v>0</v>
      </c>
      <c r="H368" s="15" t="n">
        <f aca="false">IF(B368="",0,E368*IFERROR(VLOOKUP(B368,'Recetas y precios'!$A$5:$R$55,18,FALSE()),0))</f>
        <v>0</v>
      </c>
      <c r="I368" s="30"/>
      <c r="J368" s="15" t="n">
        <f aca="false">G368*I368</f>
        <v>0</v>
      </c>
      <c r="K368" s="15" t="n">
        <f aca="false">G368-H368-J368</f>
        <v>0</v>
      </c>
      <c r="L368" s="16" t="str">
        <f aca="false">IF(G368&gt;0,K368/G368,"")</f>
        <v/>
      </c>
      <c r="M368" s="6"/>
    </row>
    <row r="369" customFormat="false" ht="15" hidden="false" customHeight="false" outlineLevel="0" collapsed="false">
      <c r="A369" s="34"/>
      <c r="B369" s="6"/>
      <c r="C369" s="0" t="str">
        <f aca="false">IF(B369="","",IFERROR(VLOOKUP(B369,'Recetas y precios'!$A$5:$B$55,2,FALSE()),""))</f>
        <v/>
      </c>
      <c r="D369" s="24"/>
      <c r="E369" s="6"/>
      <c r="F369" s="17"/>
      <c r="G369" s="15" t="n">
        <f aca="false">E369*F369</f>
        <v>0</v>
      </c>
      <c r="H369" s="15" t="n">
        <f aca="false">IF(B369="",0,E369*IFERROR(VLOOKUP(B369,'Recetas y precios'!$A$5:$R$55,18,FALSE()),0))</f>
        <v>0</v>
      </c>
      <c r="I369" s="30"/>
      <c r="J369" s="15" t="n">
        <f aca="false">G369*I369</f>
        <v>0</v>
      </c>
      <c r="K369" s="15" t="n">
        <f aca="false">G369-H369-J369</f>
        <v>0</v>
      </c>
      <c r="L369" s="16" t="str">
        <f aca="false">IF(G369&gt;0,K369/G369,"")</f>
        <v/>
      </c>
      <c r="M369" s="6"/>
    </row>
    <row r="370" customFormat="false" ht="15" hidden="false" customHeight="false" outlineLevel="0" collapsed="false">
      <c r="A370" s="34"/>
      <c r="B370" s="6"/>
      <c r="C370" s="0" t="str">
        <f aca="false">IF(B370="","",IFERROR(VLOOKUP(B370,'Recetas y precios'!$A$5:$B$55,2,FALSE()),""))</f>
        <v/>
      </c>
      <c r="D370" s="24"/>
      <c r="E370" s="6"/>
      <c r="F370" s="17"/>
      <c r="G370" s="15" t="n">
        <f aca="false">E370*F370</f>
        <v>0</v>
      </c>
      <c r="H370" s="15" t="n">
        <f aca="false">IF(B370="",0,E370*IFERROR(VLOOKUP(B370,'Recetas y precios'!$A$5:$R$55,18,FALSE()),0))</f>
        <v>0</v>
      </c>
      <c r="I370" s="30"/>
      <c r="J370" s="15" t="n">
        <f aca="false">G370*I370</f>
        <v>0</v>
      </c>
      <c r="K370" s="15" t="n">
        <f aca="false">G370-H370-J370</f>
        <v>0</v>
      </c>
      <c r="L370" s="16" t="str">
        <f aca="false">IF(G370&gt;0,K370/G370,"")</f>
        <v/>
      </c>
      <c r="M370" s="6"/>
    </row>
    <row r="371" customFormat="false" ht="15" hidden="false" customHeight="false" outlineLevel="0" collapsed="false">
      <c r="A371" s="34"/>
      <c r="B371" s="6"/>
      <c r="C371" s="0" t="str">
        <f aca="false">IF(B371="","",IFERROR(VLOOKUP(B371,'Recetas y precios'!$A$5:$B$55,2,FALSE()),""))</f>
        <v/>
      </c>
      <c r="D371" s="24"/>
      <c r="E371" s="6"/>
      <c r="F371" s="17"/>
      <c r="G371" s="15" t="n">
        <f aca="false">E371*F371</f>
        <v>0</v>
      </c>
      <c r="H371" s="15" t="n">
        <f aca="false">IF(B371="",0,E371*IFERROR(VLOOKUP(B371,'Recetas y precios'!$A$5:$R$55,18,FALSE()),0))</f>
        <v>0</v>
      </c>
      <c r="I371" s="30"/>
      <c r="J371" s="15" t="n">
        <f aca="false">G371*I371</f>
        <v>0</v>
      </c>
      <c r="K371" s="15" t="n">
        <f aca="false">G371-H371-J371</f>
        <v>0</v>
      </c>
      <c r="L371" s="16" t="str">
        <f aca="false">IF(G371&gt;0,K371/G371,"")</f>
        <v/>
      </c>
      <c r="M371" s="6"/>
    </row>
    <row r="372" customFormat="false" ht="15" hidden="false" customHeight="false" outlineLevel="0" collapsed="false">
      <c r="A372" s="34"/>
      <c r="B372" s="6"/>
      <c r="C372" s="0" t="str">
        <f aca="false">IF(B372="","",IFERROR(VLOOKUP(B372,'Recetas y precios'!$A$5:$B$55,2,FALSE()),""))</f>
        <v/>
      </c>
      <c r="D372" s="24"/>
      <c r="E372" s="6"/>
      <c r="F372" s="17"/>
      <c r="G372" s="15" t="n">
        <f aca="false">E372*F372</f>
        <v>0</v>
      </c>
      <c r="H372" s="15" t="n">
        <f aca="false">IF(B372="",0,E372*IFERROR(VLOOKUP(B372,'Recetas y precios'!$A$5:$R$55,18,FALSE()),0))</f>
        <v>0</v>
      </c>
      <c r="I372" s="30"/>
      <c r="J372" s="15" t="n">
        <f aca="false">G372*I372</f>
        <v>0</v>
      </c>
      <c r="K372" s="15" t="n">
        <f aca="false">G372-H372-J372</f>
        <v>0</v>
      </c>
      <c r="L372" s="16" t="str">
        <f aca="false">IF(G372&gt;0,K372/G372,"")</f>
        <v/>
      </c>
      <c r="M372" s="6"/>
    </row>
    <row r="373" customFormat="false" ht="15" hidden="false" customHeight="false" outlineLevel="0" collapsed="false">
      <c r="A373" s="34"/>
      <c r="B373" s="6"/>
      <c r="C373" s="0" t="str">
        <f aca="false">IF(B373="","",IFERROR(VLOOKUP(B373,'Recetas y precios'!$A$5:$B$55,2,FALSE()),""))</f>
        <v/>
      </c>
      <c r="D373" s="24"/>
      <c r="E373" s="6"/>
      <c r="F373" s="17"/>
      <c r="G373" s="15" t="n">
        <f aca="false">E373*F373</f>
        <v>0</v>
      </c>
      <c r="H373" s="15" t="n">
        <f aca="false">IF(B373="",0,E373*IFERROR(VLOOKUP(B373,'Recetas y precios'!$A$5:$R$55,18,FALSE()),0))</f>
        <v>0</v>
      </c>
      <c r="I373" s="30"/>
      <c r="J373" s="15" t="n">
        <f aca="false">G373*I373</f>
        <v>0</v>
      </c>
      <c r="K373" s="15" t="n">
        <f aca="false">G373-H373-J373</f>
        <v>0</v>
      </c>
      <c r="L373" s="16" t="str">
        <f aca="false">IF(G373&gt;0,K373/G373,"")</f>
        <v/>
      </c>
      <c r="M373" s="6"/>
    </row>
    <row r="374" customFormat="false" ht="15" hidden="false" customHeight="false" outlineLevel="0" collapsed="false">
      <c r="A374" s="34"/>
      <c r="B374" s="6"/>
      <c r="C374" s="0" t="str">
        <f aca="false">IF(B374="","",IFERROR(VLOOKUP(B374,'Recetas y precios'!$A$5:$B$55,2,FALSE()),""))</f>
        <v/>
      </c>
      <c r="D374" s="24"/>
      <c r="E374" s="6"/>
      <c r="F374" s="17"/>
      <c r="G374" s="15" t="n">
        <f aca="false">E374*F374</f>
        <v>0</v>
      </c>
      <c r="H374" s="15" t="n">
        <f aca="false">IF(B374="",0,E374*IFERROR(VLOOKUP(B374,'Recetas y precios'!$A$5:$R$55,18,FALSE()),0))</f>
        <v>0</v>
      </c>
      <c r="I374" s="30"/>
      <c r="J374" s="15" t="n">
        <f aca="false">G374*I374</f>
        <v>0</v>
      </c>
      <c r="K374" s="15" t="n">
        <f aca="false">G374-H374-J374</f>
        <v>0</v>
      </c>
      <c r="L374" s="16" t="str">
        <f aca="false">IF(G374&gt;0,K374/G374,"")</f>
        <v/>
      </c>
      <c r="M374" s="6"/>
    </row>
    <row r="375" customFormat="false" ht="15" hidden="false" customHeight="false" outlineLevel="0" collapsed="false">
      <c r="A375" s="34"/>
      <c r="B375" s="6"/>
      <c r="C375" s="0" t="str">
        <f aca="false">IF(B375="","",IFERROR(VLOOKUP(B375,'Recetas y precios'!$A$5:$B$55,2,FALSE()),""))</f>
        <v/>
      </c>
      <c r="D375" s="24"/>
      <c r="E375" s="6"/>
      <c r="F375" s="17"/>
      <c r="G375" s="15" t="n">
        <f aca="false">E375*F375</f>
        <v>0</v>
      </c>
      <c r="H375" s="15" t="n">
        <f aca="false">IF(B375="",0,E375*IFERROR(VLOOKUP(B375,'Recetas y precios'!$A$5:$R$55,18,FALSE()),0))</f>
        <v>0</v>
      </c>
      <c r="I375" s="30"/>
      <c r="J375" s="15" t="n">
        <f aca="false">G375*I375</f>
        <v>0</v>
      </c>
      <c r="K375" s="15" t="n">
        <f aca="false">G375-H375-J375</f>
        <v>0</v>
      </c>
      <c r="L375" s="16" t="str">
        <f aca="false">IF(G375&gt;0,K375/G375,"")</f>
        <v/>
      </c>
      <c r="M375" s="6"/>
    </row>
    <row r="376" customFormat="false" ht="15" hidden="false" customHeight="false" outlineLevel="0" collapsed="false">
      <c r="A376" s="34"/>
      <c r="B376" s="6"/>
      <c r="C376" s="0" t="str">
        <f aca="false">IF(B376="","",IFERROR(VLOOKUP(B376,'Recetas y precios'!$A$5:$B$55,2,FALSE()),""))</f>
        <v/>
      </c>
      <c r="D376" s="24"/>
      <c r="E376" s="6"/>
      <c r="F376" s="17"/>
      <c r="G376" s="15" t="n">
        <f aca="false">E376*F376</f>
        <v>0</v>
      </c>
      <c r="H376" s="15" t="n">
        <f aca="false">IF(B376="",0,E376*IFERROR(VLOOKUP(B376,'Recetas y precios'!$A$5:$R$55,18,FALSE()),0))</f>
        <v>0</v>
      </c>
      <c r="I376" s="30"/>
      <c r="J376" s="15" t="n">
        <f aca="false">G376*I376</f>
        <v>0</v>
      </c>
      <c r="K376" s="15" t="n">
        <f aca="false">G376-H376-J376</f>
        <v>0</v>
      </c>
      <c r="L376" s="16" t="str">
        <f aca="false">IF(G376&gt;0,K376/G376,"")</f>
        <v/>
      </c>
      <c r="M376" s="6"/>
    </row>
    <row r="377" customFormat="false" ht="15" hidden="false" customHeight="false" outlineLevel="0" collapsed="false">
      <c r="A377" s="34"/>
      <c r="B377" s="6"/>
      <c r="C377" s="0" t="str">
        <f aca="false">IF(B377="","",IFERROR(VLOOKUP(B377,'Recetas y precios'!$A$5:$B$55,2,FALSE()),""))</f>
        <v/>
      </c>
      <c r="D377" s="24"/>
      <c r="E377" s="6"/>
      <c r="F377" s="17"/>
      <c r="G377" s="15" t="n">
        <f aca="false">E377*F377</f>
        <v>0</v>
      </c>
      <c r="H377" s="15" t="n">
        <f aca="false">IF(B377="",0,E377*IFERROR(VLOOKUP(B377,'Recetas y precios'!$A$5:$R$55,18,FALSE()),0))</f>
        <v>0</v>
      </c>
      <c r="I377" s="30"/>
      <c r="J377" s="15" t="n">
        <f aca="false">G377*I377</f>
        <v>0</v>
      </c>
      <c r="K377" s="15" t="n">
        <f aca="false">G377-H377-J377</f>
        <v>0</v>
      </c>
      <c r="L377" s="16" t="str">
        <f aca="false">IF(G377&gt;0,K377/G377,"")</f>
        <v/>
      </c>
      <c r="M377" s="6"/>
    </row>
    <row r="378" customFormat="false" ht="15" hidden="false" customHeight="false" outlineLevel="0" collapsed="false">
      <c r="A378" s="34"/>
      <c r="B378" s="6"/>
      <c r="C378" s="0" t="str">
        <f aca="false">IF(B378="","",IFERROR(VLOOKUP(B378,'Recetas y precios'!$A$5:$B$55,2,FALSE()),""))</f>
        <v/>
      </c>
      <c r="D378" s="24"/>
      <c r="E378" s="6"/>
      <c r="F378" s="17"/>
      <c r="G378" s="15" t="n">
        <f aca="false">E378*F378</f>
        <v>0</v>
      </c>
      <c r="H378" s="15" t="n">
        <f aca="false">IF(B378="",0,E378*IFERROR(VLOOKUP(B378,'Recetas y precios'!$A$5:$R$55,18,FALSE()),0))</f>
        <v>0</v>
      </c>
      <c r="I378" s="30"/>
      <c r="J378" s="15" t="n">
        <f aca="false">G378*I378</f>
        <v>0</v>
      </c>
      <c r="K378" s="15" t="n">
        <f aca="false">G378-H378-J378</f>
        <v>0</v>
      </c>
      <c r="L378" s="16" t="str">
        <f aca="false">IF(G378&gt;0,K378/G378,"")</f>
        <v/>
      </c>
      <c r="M378" s="6"/>
    </row>
    <row r="379" customFormat="false" ht="15" hidden="false" customHeight="false" outlineLevel="0" collapsed="false">
      <c r="A379" s="34"/>
      <c r="B379" s="6"/>
      <c r="C379" s="0" t="str">
        <f aca="false">IF(B379="","",IFERROR(VLOOKUP(B379,'Recetas y precios'!$A$5:$B$55,2,FALSE()),""))</f>
        <v/>
      </c>
      <c r="D379" s="24"/>
      <c r="E379" s="6"/>
      <c r="F379" s="17"/>
      <c r="G379" s="15" t="n">
        <f aca="false">E379*F379</f>
        <v>0</v>
      </c>
      <c r="H379" s="15" t="n">
        <f aca="false">IF(B379="",0,E379*IFERROR(VLOOKUP(B379,'Recetas y precios'!$A$5:$R$55,18,FALSE()),0))</f>
        <v>0</v>
      </c>
      <c r="I379" s="30"/>
      <c r="J379" s="15" t="n">
        <f aca="false">G379*I379</f>
        <v>0</v>
      </c>
      <c r="K379" s="15" t="n">
        <f aca="false">G379-H379-J379</f>
        <v>0</v>
      </c>
      <c r="L379" s="16" t="str">
        <f aca="false">IF(G379&gt;0,K379/G379,"")</f>
        <v/>
      </c>
      <c r="M379" s="6"/>
    </row>
    <row r="380" customFormat="false" ht="15" hidden="false" customHeight="false" outlineLevel="0" collapsed="false">
      <c r="A380" s="34"/>
      <c r="B380" s="6"/>
      <c r="C380" s="0" t="str">
        <f aca="false">IF(B380="","",IFERROR(VLOOKUP(B380,'Recetas y precios'!$A$5:$B$55,2,FALSE()),""))</f>
        <v/>
      </c>
      <c r="D380" s="24"/>
      <c r="E380" s="6"/>
      <c r="F380" s="17"/>
      <c r="G380" s="15" t="n">
        <f aca="false">E380*F380</f>
        <v>0</v>
      </c>
      <c r="H380" s="15" t="n">
        <f aca="false">IF(B380="",0,E380*IFERROR(VLOOKUP(B380,'Recetas y precios'!$A$5:$R$55,18,FALSE()),0))</f>
        <v>0</v>
      </c>
      <c r="I380" s="30"/>
      <c r="J380" s="15" t="n">
        <f aca="false">G380*I380</f>
        <v>0</v>
      </c>
      <c r="K380" s="15" t="n">
        <f aca="false">G380-H380-J380</f>
        <v>0</v>
      </c>
      <c r="L380" s="16" t="str">
        <f aca="false">IF(G380&gt;0,K380/G380,"")</f>
        <v/>
      </c>
      <c r="M380" s="6"/>
    </row>
    <row r="381" customFormat="false" ht="15" hidden="false" customHeight="false" outlineLevel="0" collapsed="false">
      <c r="A381" s="34"/>
      <c r="B381" s="6"/>
      <c r="C381" s="0" t="str">
        <f aca="false">IF(B381="","",IFERROR(VLOOKUP(B381,'Recetas y precios'!$A$5:$B$55,2,FALSE()),""))</f>
        <v/>
      </c>
      <c r="D381" s="24"/>
      <c r="E381" s="6"/>
      <c r="F381" s="17"/>
      <c r="G381" s="15" t="n">
        <f aca="false">E381*F381</f>
        <v>0</v>
      </c>
      <c r="H381" s="15" t="n">
        <f aca="false">IF(B381="",0,E381*IFERROR(VLOOKUP(B381,'Recetas y precios'!$A$5:$R$55,18,FALSE()),0))</f>
        <v>0</v>
      </c>
      <c r="I381" s="30"/>
      <c r="J381" s="15" t="n">
        <f aca="false">G381*I381</f>
        <v>0</v>
      </c>
      <c r="K381" s="15" t="n">
        <f aca="false">G381-H381-J381</f>
        <v>0</v>
      </c>
      <c r="L381" s="16" t="str">
        <f aca="false">IF(G381&gt;0,K381/G381,"")</f>
        <v/>
      </c>
      <c r="M381" s="6"/>
    </row>
    <row r="382" customFormat="false" ht="15" hidden="false" customHeight="false" outlineLevel="0" collapsed="false">
      <c r="A382" s="34"/>
      <c r="B382" s="6"/>
      <c r="C382" s="0" t="str">
        <f aca="false">IF(B382="","",IFERROR(VLOOKUP(B382,'Recetas y precios'!$A$5:$B$55,2,FALSE()),""))</f>
        <v/>
      </c>
      <c r="D382" s="24"/>
      <c r="E382" s="6"/>
      <c r="F382" s="17"/>
      <c r="G382" s="15" t="n">
        <f aca="false">E382*F382</f>
        <v>0</v>
      </c>
      <c r="H382" s="15" t="n">
        <f aca="false">IF(B382="",0,E382*IFERROR(VLOOKUP(B382,'Recetas y precios'!$A$5:$R$55,18,FALSE()),0))</f>
        <v>0</v>
      </c>
      <c r="I382" s="30"/>
      <c r="J382" s="15" t="n">
        <f aca="false">G382*I382</f>
        <v>0</v>
      </c>
      <c r="K382" s="15" t="n">
        <f aca="false">G382-H382-J382</f>
        <v>0</v>
      </c>
      <c r="L382" s="16" t="str">
        <f aca="false">IF(G382&gt;0,K382/G382,"")</f>
        <v/>
      </c>
      <c r="M382" s="6"/>
    </row>
    <row r="383" customFormat="false" ht="15" hidden="false" customHeight="false" outlineLevel="0" collapsed="false">
      <c r="A383" s="34"/>
      <c r="B383" s="6"/>
      <c r="C383" s="0" t="str">
        <f aca="false">IF(B383="","",IFERROR(VLOOKUP(B383,'Recetas y precios'!$A$5:$B$55,2,FALSE()),""))</f>
        <v/>
      </c>
      <c r="D383" s="24"/>
      <c r="E383" s="6"/>
      <c r="F383" s="17"/>
      <c r="G383" s="15" t="n">
        <f aca="false">E383*F383</f>
        <v>0</v>
      </c>
      <c r="H383" s="15" t="n">
        <f aca="false">IF(B383="",0,E383*IFERROR(VLOOKUP(B383,'Recetas y precios'!$A$5:$R$55,18,FALSE()),0))</f>
        <v>0</v>
      </c>
      <c r="I383" s="30"/>
      <c r="J383" s="15" t="n">
        <f aca="false">G383*I383</f>
        <v>0</v>
      </c>
      <c r="K383" s="15" t="n">
        <f aca="false">G383-H383-J383</f>
        <v>0</v>
      </c>
      <c r="L383" s="16" t="str">
        <f aca="false">IF(G383&gt;0,K383/G383,"")</f>
        <v/>
      </c>
      <c r="M383" s="6"/>
    </row>
    <row r="384" customFormat="false" ht="15" hidden="false" customHeight="false" outlineLevel="0" collapsed="false">
      <c r="A384" s="34"/>
      <c r="B384" s="6"/>
      <c r="C384" s="0" t="str">
        <f aca="false">IF(B384="","",IFERROR(VLOOKUP(B384,'Recetas y precios'!$A$5:$B$55,2,FALSE()),""))</f>
        <v/>
      </c>
      <c r="D384" s="24"/>
      <c r="E384" s="6"/>
      <c r="F384" s="17"/>
      <c r="G384" s="15" t="n">
        <f aca="false">E384*F384</f>
        <v>0</v>
      </c>
      <c r="H384" s="15" t="n">
        <f aca="false">IF(B384="",0,E384*IFERROR(VLOOKUP(B384,'Recetas y precios'!$A$5:$R$55,18,FALSE()),0))</f>
        <v>0</v>
      </c>
      <c r="I384" s="30"/>
      <c r="J384" s="15" t="n">
        <f aca="false">G384*I384</f>
        <v>0</v>
      </c>
      <c r="K384" s="15" t="n">
        <f aca="false">G384-H384-J384</f>
        <v>0</v>
      </c>
      <c r="L384" s="16" t="str">
        <f aca="false">IF(G384&gt;0,K384/G384,"")</f>
        <v/>
      </c>
      <c r="M384" s="6"/>
    </row>
    <row r="385" customFormat="false" ht="15" hidden="false" customHeight="false" outlineLevel="0" collapsed="false">
      <c r="A385" s="34"/>
      <c r="B385" s="6"/>
      <c r="C385" s="0" t="str">
        <f aca="false">IF(B385="","",IFERROR(VLOOKUP(B385,'Recetas y precios'!$A$5:$B$55,2,FALSE()),""))</f>
        <v/>
      </c>
      <c r="D385" s="24"/>
      <c r="E385" s="6"/>
      <c r="F385" s="17"/>
      <c r="G385" s="15" t="n">
        <f aca="false">E385*F385</f>
        <v>0</v>
      </c>
      <c r="H385" s="15" t="n">
        <f aca="false">IF(B385="",0,E385*IFERROR(VLOOKUP(B385,'Recetas y precios'!$A$5:$R$55,18,FALSE()),0))</f>
        <v>0</v>
      </c>
      <c r="I385" s="30"/>
      <c r="J385" s="15" t="n">
        <f aca="false">G385*I385</f>
        <v>0</v>
      </c>
      <c r="K385" s="15" t="n">
        <f aca="false">G385-H385-J385</f>
        <v>0</v>
      </c>
      <c r="L385" s="16" t="str">
        <f aca="false">IF(G385&gt;0,K385/G385,"")</f>
        <v/>
      </c>
      <c r="M385" s="6"/>
    </row>
    <row r="386" customFormat="false" ht="15" hidden="false" customHeight="false" outlineLevel="0" collapsed="false">
      <c r="A386" s="34"/>
      <c r="B386" s="6"/>
      <c r="C386" s="0" t="str">
        <f aca="false">IF(B386="","",IFERROR(VLOOKUP(B386,'Recetas y precios'!$A$5:$B$55,2,FALSE()),""))</f>
        <v/>
      </c>
      <c r="D386" s="24"/>
      <c r="E386" s="6"/>
      <c r="F386" s="17"/>
      <c r="G386" s="15" t="n">
        <f aca="false">E386*F386</f>
        <v>0</v>
      </c>
      <c r="H386" s="15" t="n">
        <f aca="false">IF(B386="",0,E386*IFERROR(VLOOKUP(B386,'Recetas y precios'!$A$5:$R$55,18,FALSE()),0))</f>
        <v>0</v>
      </c>
      <c r="I386" s="30"/>
      <c r="J386" s="15" t="n">
        <f aca="false">G386*I386</f>
        <v>0</v>
      </c>
      <c r="K386" s="15" t="n">
        <f aca="false">G386-H386-J386</f>
        <v>0</v>
      </c>
      <c r="L386" s="16" t="str">
        <f aca="false">IF(G386&gt;0,K386/G386,"")</f>
        <v/>
      </c>
      <c r="M386" s="6"/>
    </row>
    <row r="387" customFormat="false" ht="15" hidden="false" customHeight="false" outlineLevel="0" collapsed="false">
      <c r="A387" s="34"/>
      <c r="B387" s="6"/>
      <c r="C387" s="0" t="str">
        <f aca="false">IF(B387="","",IFERROR(VLOOKUP(B387,'Recetas y precios'!$A$5:$B$55,2,FALSE()),""))</f>
        <v/>
      </c>
      <c r="D387" s="24"/>
      <c r="E387" s="6"/>
      <c r="F387" s="17"/>
      <c r="G387" s="15" t="n">
        <f aca="false">E387*F387</f>
        <v>0</v>
      </c>
      <c r="H387" s="15" t="n">
        <f aca="false">IF(B387="",0,E387*IFERROR(VLOOKUP(B387,'Recetas y precios'!$A$5:$R$55,18,FALSE()),0))</f>
        <v>0</v>
      </c>
      <c r="I387" s="30"/>
      <c r="J387" s="15" t="n">
        <f aca="false">G387*I387</f>
        <v>0</v>
      </c>
      <c r="K387" s="15" t="n">
        <f aca="false">G387-H387-J387</f>
        <v>0</v>
      </c>
      <c r="L387" s="16" t="str">
        <f aca="false">IF(G387&gt;0,K387/G387,"")</f>
        <v/>
      </c>
      <c r="M387" s="6"/>
    </row>
    <row r="388" customFormat="false" ht="15" hidden="false" customHeight="false" outlineLevel="0" collapsed="false">
      <c r="A388" s="34"/>
      <c r="B388" s="6"/>
      <c r="C388" s="0" t="str">
        <f aca="false">IF(B388="","",IFERROR(VLOOKUP(B388,'Recetas y precios'!$A$5:$B$55,2,FALSE()),""))</f>
        <v/>
      </c>
      <c r="D388" s="24"/>
      <c r="E388" s="6"/>
      <c r="F388" s="17"/>
      <c r="G388" s="15" t="n">
        <f aca="false">E388*F388</f>
        <v>0</v>
      </c>
      <c r="H388" s="15" t="n">
        <f aca="false">IF(B388="",0,E388*IFERROR(VLOOKUP(B388,'Recetas y precios'!$A$5:$R$55,18,FALSE()),0))</f>
        <v>0</v>
      </c>
      <c r="I388" s="30"/>
      <c r="J388" s="15" t="n">
        <f aca="false">G388*I388</f>
        <v>0</v>
      </c>
      <c r="K388" s="15" t="n">
        <f aca="false">G388-H388-J388</f>
        <v>0</v>
      </c>
      <c r="L388" s="16" t="str">
        <f aca="false">IF(G388&gt;0,K388/G388,"")</f>
        <v/>
      </c>
      <c r="M388" s="6"/>
    </row>
    <row r="389" customFormat="false" ht="15" hidden="false" customHeight="false" outlineLevel="0" collapsed="false">
      <c r="A389" s="34"/>
      <c r="B389" s="6"/>
      <c r="C389" s="0" t="str">
        <f aca="false">IF(B389="","",IFERROR(VLOOKUP(B389,'Recetas y precios'!$A$5:$B$55,2,FALSE()),""))</f>
        <v/>
      </c>
      <c r="D389" s="24"/>
      <c r="E389" s="6"/>
      <c r="F389" s="17"/>
      <c r="G389" s="15" t="n">
        <f aca="false">E389*F389</f>
        <v>0</v>
      </c>
      <c r="H389" s="15" t="n">
        <f aca="false">IF(B389="",0,E389*IFERROR(VLOOKUP(B389,'Recetas y precios'!$A$5:$R$55,18,FALSE()),0))</f>
        <v>0</v>
      </c>
      <c r="I389" s="30"/>
      <c r="J389" s="15" t="n">
        <f aca="false">G389*I389</f>
        <v>0</v>
      </c>
      <c r="K389" s="15" t="n">
        <f aca="false">G389-H389-J389</f>
        <v>0</v>
      </c>
      <c r="L389" s="16" t="str">
        <f aca="false">IF(G389&gt;0,K389/G389,"")</f>
        <v/>
      </c>
      <c r="M389" s="6"/>
    </row>
    <row r="390" customFormat="false" ht="15" hidden="false" customHeight="false" outlineLevel="0" collapsed="false">
      <c r="A390" s="34"/>
      <c r="B390" s="6"/>
      <c r="C390" s="0" t="str">
        <f aca="false">IF(B390="","",IFERROR(VLOOKUP(B390,'Recetas y precios'!$A$5:$B$55,2,FALSE()),""))</f>
        <v/>
      </c>
      <c r="D390" s="24"/>
      <c r="E390" s="6"/>
      <c r="F390" s="17"/>
      <c r="G390" s="15" t="n">
        <f aca="false">E390*F390</f>
        <v>0</v>
      </c>
      <c r="H390" s="15" t="n">
        <f aca="false">IF(B390="",0,E390*IFERROR(VLOOKUP(B390,'Recetas y precios'!$A$5:$R$55,18,FALSE()),0))</f>
        <v>0</v>
      </c>
      <c r="I390" s="30"/>
      <c r="J390" s="15" t="n">
        <f aca="false">G390*I390</f>
        <v>0</v>
      </c>
      <c r="K390" s="15" t="n">
        <f aca="false">G390-H390-J390</f>
        <v>0</v>
      </c>
      <c r="L390" s="16" t="str">
        <f aca="false">IF(G390&gt;0,K390/G390,"")</f>
        <v/>
      </c>
      <c r="M390" s="6"/>
    </row>
    <row r="391" customFormat="false" ht="15" hidden="false" customHeight="false" outlineLevel="0" collapsed="false">
      <c r="A391" s="34"/>
      <c r="B391" s="6"/>
      <c r="C391" s="0" t="str">
        <f aca="false">IF(B391="","",IFERROR(VLOOKUP(B391,'Recetas y precios'!$A$5:$B$55,2,FALSE()),""))</f>
        <v/>
      </c>
      <c r="D391" s="24"/>
      <c r="E391" s="6"/>
      <c r="F391" s="17"/>
      <c r="G391" s="15" t="n">
        <f aca="false">E391*F391</f>
        <v>0</v>
      </c>
      <c r="H391" s="15" t="n">
        <f aca="false">IF(B391="",0,E391*IFERROR(VLOOKUP(B391,'Recetas y precios'!$A$5:$R$55,18,FALSE()),0))</f>
        <v>0</v>
      </c>
      <c r="I391" s="30"/>
      <c r="J391" s="15" t="n">
        <f aca="false">G391*I391</f>
        <v>0</v>
      </c>
      <c r="K391" s="15" t="n">
        <f aca="false">G391-H391-J391</f>
        <v>0</v>
      </c>
      <c r="L391" s="16" t="str">
        <f aca="false">IF(G391&gt;0,K391/G391,"")</f>
        <v/>
      </c>
      <c r="M391" s="6"/>
    </row>
    <row r="392" customFormat="false" ht="15" hidden="false" customHeight="false" outlineLevel="0" collapsed="false">
      <c r="A392" s="34"/>
      <c r="B392" s="6"/>
      <c r="C392" s="0" t="str">
        <f aca="false">IF(B392="","",IFERROR(VLOOKUP(B392,'Recetas y precios'!$A$5:$B$55,2,FALSE()),""))</f>
        <v/>
      </c>
      <c r="D392" s="24"/>
      <c r="E392" s="6"/>
      <c r="F392" s="17"/>
      <c r="G392" s="15" t="n">
        <f aca="false">E392*F392</f>
        <v>0</v>
      </c>
      <c r="H392" s="15" t="n">
        <f aca="false">IF(B392="",0,E392*IFERROR(VLOOKUP(B392,'Recetas y precios'!$A$5:$R$55,18,FALSE()),0))</f>
        <v>0</v>
      </c>
      <c r="I392" s="30"/>
      <c r="J392" s="15" t="n">
        <f aca="false">G392*I392</f>
        <v>0</v>
      </c>
      <c r="K392" s="15" t="n">
        <f aca="false">G392-H392-J392</f>
        <v>0</v>
      </c>
      <c r="L392" s="16" t="str">
        <f aca="false">IF(G392&gt;0,K392/G392,"")</f>
        <v/>
      </c>
      <c r="M392" s="6"/>
    </row>
    <row r="393" customFormat="false" ht="15" hidden="false" customHeight="false" outlineLevel="0" collapsed="false">
      <c r="A393" s="34"/>
      <c r="B393" s="6"/>
      <c r="C393" s="0" t="str">
        <f aca="false">IF(B393="","",IFERROR(VLOOKUP(B393,'Recetas y precios'!$A$5:$B$55,2,FALSE()),""))</f>
        <v/>
      </c>
      <c r="D393" s="24"/>
      <c r="E393" s="6"/>
      <c r="F393" s="17"/>
      <c r="G393" s="15" t="n">
        <f aca="false">E393*F393</f>
        <v>0</v>
      </c>
      <c r="H393" s="15" t="n">
        <f aca="false">IF(B393="",0,E393*IFERROR(VLOOKUP(B393,'Recetas y precios'!$A$5:$R$55,18,FALSE()),0))</f>
        <v>0</v>
      </c>
      <c r="I393" s="30"/>
      <c r="J393" s="15" t="n">
        <f aca="false">G393*I393</f>
        <v>0</v>
      </c>
      <c r="K393" s="15" t="n">
        <f aca="false">G393-H393-J393</f>
        <v>0</v>
      </c>
      <c r="L393" s="16" t="str">
        <f aca="false">IF(G393&gt;0,K393/G393,"")</f>
        <v/>
      </c>
      <c r="M393" s="6"/>
    </row>
    <row r="394" customFormat="false" ht="15" hidden="false" customHeight="false" outlineLevel="0" collapsed="false">
      <c r="A394" s="34"/>
      <c r="B394" s="6"/>
      <c r="C394" s="0" t="str">
        <f aca="false">IF(B394="","",IFERROR(VLOOKUP(B394,'Recetas y precios'!$A$5:$B$55,2,FALSE()),""))</f>
        <v/>
      </c>
      <c r="D394" s="24"/>
      <c r="E394" s="6"/>
      <c r="F394" s="17"/>
      <c r="G394" s="15" t="n">
        <f aca="false">E394*F394</f>
        <v>0</v>
      </c>
      <c r="H394" s="15" t="n">
        <f aca="false">IF(B394="",0,E394*IFERROR(VLOOKUP(B394,'Recetas y precios'!$A$5:$R$55,18,FALSE()),0))</f>
        <v>0</v>
      </c>
      <c r="I394" s="30"/>
      <c r="J394" s="15" t="n">
        <f aca="false">G394*I394</f>
        <v>0</v>
      </c>
      <c r="K394" s="15" t="n">
        <f aca="false">G394-H394-J394</f>
        <v>0</v>
      </c>
      <c r="L394" s="16" t="str">
        <f aca="false">IF(G394&gt;0,K394/G394,"")</f>
        <v/>
      </c>
      <c r="M394" s="6"/>
    </row>
    <row r="395" customFormat="false" ht="15" hidden="false" customHeight="false" outlineLevel="0" collapsed="false">
      <c r="A395" s="34"/>
      <c r="B395" s="6"/>
      <c r="C395" s="0" t="str">
        <f aca="false">IF(B395="","",IFERROR(VLOOKUP(B395,'Recetas y precios'!$A$5:$B$55,2,FALSE()),""))</f>
        <v/>
      </c>
      <c r="D395" s="24"/>
      <c r="E395" s="6"/>
      <c r="F395" s="17"/>
      <c r="G395" s="15" t="n">
        <f aca="false">E395*F395</f>
        <v>0</v>
      </c>
      <c r="H395" s="15" t="n">
        <f aca="false">IF(B395="",0,E395*IFERROR(VLOOKUP(B395,'Recetas y precios'!$A$5:$R$55,18,FALSE()),0))</f>
        <v>0</v>
      </c>
      <c r="I395" s="30"/>
      <c r="J395" s="15" t="n">
        <f aca="false">G395*I395</f>
        <v>0</v>
      </c>
      <c r="K395" s="15" t="n">
        <f aca="false">G395-H395-J395</f>
        <v>0</v>
      </c>
      <c r="L395" s="16" t="str">
        <f aca="false">IF(G395&gt;0,K395/G395,"")</f>
        <v/>
      </c>
      <c r="M395" s="6"/>
    </row>
    <row r="396" customFormat="false" ht="15" hidden="false" customHeight="false" outlineLevel="0" collapsed="false">
      <c r="A396" s="34"/>
      <c r="B396" s="6"/>
      <c r="C396" s="0" t="str">
        <f aca="false">IF(B396="","",IFERROR(VLOOKUP(B396,'Recetas y precios'!$A$5:$B$55,2,FALSE()),""))</f>
        <v/>
      </c>
      <c r="D396" s="24"/>
      <c r="E396" s="6"/>
      <c r="F396" s="17"/>
      <c r="G396" s="15" t="n">
        <f aca="false">E396*F396</f>
        <v>0</v>
      </c>
      <c r="H396" s="15" t="n">
        <f aca="false">IF(B396="",0,E396*IFERROR(VLOOKUP(B396,'Recetas y precios'!$A$5:$R$55,18,FALSE()),0))</f>
        <v>0</v>
      </c>
      <c r="I396" s="30"/>
      <c r="J396" s="15" t="n">
        <f aca="false">G396*I396</f>
        <v>0</v>
      </c>
      <c r="K396" s="15" t="n">
        <f aca="false">G396-H396-J396</f>
        <v>0</v>
      </c>
      <c r="L396" s="16" t="str">
        <f aca="false">IF(G396&gt;0,K396/G396,"")</f>
        <v/>
      </c>
      <c r="M396" s="6"/>
    </row>
    <row r="397" customFormat="false" ht="15" hidden="false" customHeight="false" outlineLevel="0" collapsed="false">
      <c r="A397" s="34"/>
      <c r="B397" s="6"/>
      <c r="C397" s="0" t="str">
        <f aca="false">IF(B397="","",IFERROR(VLOOKUP(B397,'Recetas y precios'!$A$5:$B$55,2,FALSE()),""))</f>
        <v/>
      </c>
      <c r="D397" s="24"/>
      <c r="E397" s="6"/>
      <c r="F397" s="17"/>
      <c r="G397" s="15" t="n">
        <f aca="false">E397*F397</f>
        <v>0</v>
      </c>
      <c r="H397" s="15" t="n">
        <f aca="false">IF(B397="",0,E397*IFERROR(VLOOKUP(B397,'Recetas y precios'!$A$5:$R$55,18,FALSE()),0))</f>
        <v>0</v>
      </c>
      <c r="I397" s="30"/>
      <c r="J397" s="15" t="n">
        <f aca="false">G397*I397</f>
        <v>0</v>
      </c>
      <c r="K397" s="15" t="n">
        <f aca="false">G397-H397-J397</f>
        <v>0</v>
      </c>
      <c r="L397" s="16" t="str">
        <f aca="false">IF(G397&gt;0,K397/G397,"")</f>
        <v/>
      </c>
      <c r="M397" s="6"/>
    </row>
    <row r="398" customFormat="false" ht="15" hidden="false" customHeight="false" outlineLevel="0" collapsed="false">
      <c r="A398" s="34"/>
      <c r="B398" s="6"/>
      <c r="C398" s="0" t="str">
        <f aca="false">IF(B398="","",IFERROR(VLOOKUP(B398,'Recetas y precios'!$A$5:$B$55,2,FALSE()),""))</f>
        <v/>
      </c>
      <c r="D398" s="24"/>
      <c r="E398" s="6"/>
      <c r="F398" s="17"/>
      <c r="G398" s="15" t="n">
        <f aca="false">E398*F398</f>
        <v>0</v>
      </c>
      <c r="H398" s="15" t="n">
        <f aca="false">IF(B398="",0,E398*IFERROR(VLOOKUP(B398,'Recetas y precios'!$A$5:$R$55,18,FALSE()),0))</f>
        <v>0</v>
      </c>
      <c r="I398" s="30"/>
      <c r="J398" s="15" t="n">
        <f aca="false">G398*I398</f>
        <v>0</v>
      </c>
      <c r="K398" s="15" t="n">
        <f aca="false">G398-H398-J398</f>
        <v>0</v>
      </c>
      <c r="L398" s="16" t="str">
        <f aca="false">IF(G398&gt;0,K398/G398,"")</f>
        <v/>
      </c>
      <c r="M398" s="6"/>
    </row>
    <row r="399" customFormat="false" ht="15" hidden="false" customHeight="false" outlineLevel="0" collapsed="false">
      <c r="A399" s="34"/>
      <c r="B399" s="6"/>
      <c r="C399" s="0" t="str">
        <f aca="false">IF(B399="","",IFERROR(VLOOKUP(B399,'Recetas y precios'!$A$5:$B$55,2,FALSE()),""))</f>
        <v/>
      </c>
      <c r="D399" s="24"/>
      <c r="E399" s="6"/>
      <c r="F399" s="17"/>
      <c r="G399" s="15" t="n">
        <f aca="false">E399*F399</f>
        <v>0</v>
      </c>
      <c r="H399" s="15" t="n">
        <f aca="false">IF(B399="",0,E399*IFERROR(VLOOKUP(B399,'Recetas y precios'!$A$5:$R$55,18,FALSE()),0))</f>
        <v>0</v>
      </c>
      <c r="I399" s="30"/>
      <c r="J399" s="15" t="n">
        <f aca="false">G399*I399</f>
        <v>0</v>
      </c>
      <c r="K399" s="15" t="n">
        <f aca="false">G399-H399-J399</f>
        <v>0</v>
      </c>
      <c r="L399" s="16" t="str">
        <f aca="false">IF(G399&gt;0,K399/G399,"")</f>
        <v/>
      </c>
      <c r="M399" s="6"/>
    </row>
    <row r="400" customFormat="false" ht="15" hidden="false" customHeight="false" outlineLevel="0" collapsed="false">
      <c r="A400" s="34"/>
      <c r="B400" s="6"/>
      <c r="C400" s="0" t="str">
        <f aca="false">IF(B400="","",IFERROR(VLOOKUP(B400,'Recetas y precios'!$A$5:$B$55,2,FALSE()),""))</f>
        <v/>
      </c>
      <c r="D400" s="24"/>
      <c r="E400" s="6"/>
      <c r="F400" s="17"/>
      <c r="G400" s="15" t="n">
        <f aca="false">E400*F400</f>
        <v>0</v>
      </c>
      <c r="H400" s="15" t="n">
        <f aca="false">IF(B400="",0,E400*IFERROR(VLOOKUP(B400,'Recetas y precios'!$A$5:$R$55,18,FALSE()),0))</f>
        <v>0</v>
      </c>
      <c r="I400" s="30"/>
      <c r="J400" s="15" t="n">
        <f aca="false">G400*I400</f>
        <v>0</v>
      </c>
      <c r="K400" s="15" t="n">
        <f aca="false">G400-H400-J400</f>
        <v>0</v>
      </c>
      <c r="L400" s="16" t="str">
        <f aca="false">IF(G400&gt;0,K400/G400,"")</f>
        <v/>
      </c>
      <c r="M400" s="6"/>
    </row>
    <row r="401" customFormat="false" ht="15" hidden="false" customHeight="false" outlineLevel="0" collapsed="false">
      <c r="A401" s="34"/>
      <c r="B401" s="6"/>
      <c r="C401" s="0" t="str">
        <f aca="false">IF(B401="","",IFERROR(VLOOKUP(B401,'Recetas y precios'!$A$5:$B$55,2,FALSE()),""))</f>
        <v/>
      </c>
      <c r="D401" s="24"/>
      <c r="E401" s="6"/>
      <c r="F401" s="17"/>
      <c r="G401" s="15" t="n">
        <f aca="false">E401*F401</f>
        <v>0</v>
      </c>
      <c r="H401" s="15" t="n">
        <f aca="false">IF(B401="",0,E401*IFERROR(VLOOKUP(B401,'Recetas y precios'!$A$5:$R$55,18,FALSE()),0))</f>
        <v>0</v>
      </c>
      <c r="I401" s="30"/>
      <c r="J401" s="15" t="n">
        <f aca="false">G401*I401</f>
        <v>0</v>
      </c>
      <c r="K401" s="15" t="n">
        <f aca="false">G401-H401-J401</f>
        <v>0</v>
      </c>
      <c r="L401" s="16" t="str">
        <f aca="false">IF(G401&gt;0,K401/G401,"")</f>
        <v/>
      </c>
      <c r="M401" s="6"/>
    </row>
    <row r="402" customFormat="false" ht="15" hidden="false" customHeight="false" outlineLevel="0" collapsed="false">
      <c r="A402" s="34"/>
      <c r="B402" s="6"/>
      <c r="C402" s="0" t="str">
        <f aca="false">IF(B402="","",IFERROR(VLOOKUP(B402,'Recetas y precios'!$A$5:$B$55,2,FALSE()),""))</f>
        <v/>
      </c>
      <c r="D402" s="24"/>
      <c r="E402" s="6"/>
      <c r="F402" s="17"/>
      <c r="G402" s="15" t="n">
        <f aca="false">E402*F402</f>
        <v>0</v>
      </c>
      <c r="H402" s="15" t="n">
        <f aca="false">IF(B402="",0,E402*IFERROR(VLOOKUP(B402,'Recetas y precios'!$A$5:$R$55,18,FALSE()),0))</f>
        <v>0</v>
      </c>
      <c r="I402" s="30"/>
      <c r="J402" s="15" t="n">
        <f aca="false">G402*I402</f>
        <v>0</v>
      </c>
      <c r="K402" s="15" t="n">
        <f aca="false">G402-H402-J402</f>
        <v>0</v>
      </c>
      <c r="L402" s="16" t="str">
        <f aca="false">IF(G402&gt;0,K402/G402,"")</f>
        <v/>
      </c>
      <c r="M402" s="6"/>
    </row>
    <row r="403" customFormat="false" ht="15" hidden="false" customHeight="false" outlineLevel="0" collapsed="false">
      <c r="A403" s="34"/>
      <c r="B403" s="6"/>
      <c r="C403" s="0" t="str">
        <f aca="false">IF(B403="","",IFERROR(VLOOKUP(B403,'Recetas y precios'!$A$5:$B$55,2,FALSE()),""))</f>
        <v/>
      </c>
      <c r="D403" s="24"/>
      <c r="E403" s="6"/>
      <c r="F403" s="17"/>
      <c r="G403" s="15" t="n">
        <f aca="false">E403*F403</f>
        <v>0</v>
      </c>
      <c r="H403" s="15" t="n">
        <f aca="false">IF(B403="",0,E403*IFERROR(VLOOKUP(B403,'Recetas y precios'!$A$5:$R$55,18,FALSE()),0))</f>
        <v>0</v>
      </c>
      <c r="I403" s="30"/>
      <c r="J403" s="15" t="n">
        <f aca="false">G403*I403</f>
        <v>0</v>
      </c>
      <c r="K403" s="15" t="n">
        <f aca="false">G403-H403-J403</f>
        <v>0</v>
      </c>
      <c r="L403" s="16" t="str">
        <f aca="false">IF(G403&gt;0,K403/G403,"")</f>
        <v/>
      </c>
      <c r="M403" s="6"/>
    </row>
    <row r="404" customFormat="false" ht="15" hidden="false" customHeight="false" outlineLevel="0" collapsed="false">
      <c r="A404" s="34"/>
      <c r="B404" s="6"/>
      <c r="C404" s="0" t="str">
        <f aca="false">IF(B404="","",IFERROR(VLOOKUP(B404,'Recetas y precios'!$A$5:$B$55,2,FALSE()),""))</f>
        <v/>
      </c>
      <c r="D404" s="24"/>
      <c r="E404" s="6"/>
      <c r="F404" s="17"/>
      <c r="G404" s="15" t="n">
        <f aca="false">E404*F404</f>
        <v>0</v>
      </c>
      <c r="H404" s="15" t="n">
        <f aca="false">IF(B404="",0,E404*IFERROR(VLOOKUP(B404,'Recetas y precios'!$A$5:$R$55,18,FALSE()),0))</f>
        <v>0</v>
      </c>
      <c r="I404" s="30"/>
      <c r="J404" s="15" t="n">
        <f aca="false">G404*I404</f>
        <v>0</v>
      </c>
      <c r="K404" s="15" t="n">
        <f aca="false">G404-H404-J404</f>
        <v>0</v>
      </c>
      <c r="L404" s="16" t="str">
        <f aca="false">IF(G404&gt;0,K404/G404,"")</f>
        <v/>
      </c>
      <c r="M404" s="6"/>
    </row>
    <row r="405" customFormat="false" ht="15" hidden="false" customHeight="false" outlineLevel="0" collapsed="false">
      <c r="A405" s="34"/>
      <c r="B405" s="6"/>
      <c r="C405" s="0" t="str">
        <f aca="false">IF(B405="","",IFERROR(VLOOKUP(B405,'Recetas y precios'!$A$5:$B$55,2,FALSE()),""))</f>
        <v/>
      </c>
      <c r="D405" s="24"/>
      <c r="E405" s="6"/>
      <c r="F405" s="17"/>
      <c r="G405" s="15" t="n">
        <f aca="false">E405*F405</f>
        <v>0</v>
      </c>
      <c r="H405" s="15" t="n">
        <f aca="false">IF(B405="",0,E405*IFERROR(VLOOKUP(B405,'Recetas y precios'!$A$5:$R$55,18,FALSE()),0))</f>
        <v>0</v>
      </c>
      <c r="I405" s="30"/>
      <c r="J405" s="15" t="n">
        <f aca="false">G405*I405</f>
        <v>0</v>
      </c>
      <c r="K405" s="15" t="n">
        <f aca="false">G405-H405-J405</f>
        <v>0</v>
      </c>
      <c r="L405" s="16" t="str">
        <f aca="false">IF(G405&gt;0,K405/G405,"")</f>
        <v/>
      </c>
      <c r="M405" s="6"/>
    </row>
    <row r="406" customFormat="false" ht="15" hidden="false" customHeight="false" outlineLevel="0" collapsed="false">
      <c r="A406" s="34"/>
      <c r="B406" s="6"/>
      <c r="C406" s="0" t="str">
        <f aca="false">IF(B406="","",IFERROR(VLOOKUP(B406,'Recetas y precios'!$A$5:$B$55,2,FALSE()),""))</f>
        <v/>
      </c>
      <c r="D406" s="24"/>
      <c r="E406" s="6"/>
      <c r="F406" s="17"/>
      <c r="G406" s="15" t="n">
        <f aca="false">E406*F406</f>
        <v>0</v>
      </c>
      <c r="H406" s="15" t="n">
        <f aca="false">IF(B406="",0,E406*IFERROR(VLOOKUP(B406,'Recetas y precios'!$A$5:$R$55,18,FALSE()),0))</f>
        <v>0</v>
      </c>
      <c r="I406" s="30"/>
      <c r="J406" s="15" t="n">
        <f aca="false">G406*I406</f>
        <v>0</v>
      </c>
      <c r="K406" s="15" t="n">
        <f aca="false">G406-H406-J406</f>
        <v>0</v>
      </c>
      <c r="L406" s="16" t="str">
        <f aca="false">IF(G406&gt;0,K406/G406,"")</f>
        <v/>
      </c>
      <c r="M406" s="6"/>
    </row>
    <row r="407" customFormat="false" ht="15" hidden="false" customHeight="false" outlineLevel="0" collapsed="false">
      <c r="A407" s="34"/>
      <c r="B407" s="6"/>
      <c r="C407" s="0" t="str">
        <f aca="false">IF(B407="","",IFERROR(VLOOKUP(B407,'Recetas y precios'!$A$5:$B$55,2,FALSE()),""))</f>
        <v/>
      </c>
      <c r="D407" s="24"/>
      <c r="E407" s="6"/>
      <c r="F407" s="17"/>
      <c r="G407" s="15" t="n">
        <f aca="false">E407*F407</f>
        <v>0</v>
      </c>
      <c r="H407" s="15" t="n">
        <f aca="false">IF(B407="",0,E407*IFERROR(VLOOKUP(B407,'Recetas y precios'!$A$5:$R$55,18,FALSE()),0))</f>
        <v>0</v>
      </c>
      <c r="I407" s="30"/>
      <c r="J407" s="15" t="n">
        <f aca="false">G407*I407</f>
        <v>0</v>
      </c>
      <c r="K407" s="15" t="n">
        <f aca="false">G407-H407-J407</f>
        <v>0</v>
      </c>
      <c r="L407" s="16" t="str">
        <f aca="false">IF(G407&gt;0,K407/G407,"")</f>
        <v/>
      </c>
      <c r="M407" s="6"/>
    </row>
    <row r="408" customFormat="false" ht="15" hidden="false" customHeight="false" outlineLevel="0" collapsed="false">
      <c r="A408" s="34"/>
      <c r="B408" s="6"/>
      <c r="C408" s="0" t="str">
        <f aca="false">IF(B408="","",IFERROR(VLOOKUP(B408,'Recetas y precios'!$A$5:$B$55,2,FALSE()),""))</f>
        <v/>
      </c>
      <c r="D408" s="24"/>
      <c r="E408" s="6"/>
      <c r="F408" s="17"/>
      <c r="G408" s="15" t="n">
        <f aca="false">E408*F408</f>
        <v>0</v>
      </c>
      <c r="H408" s="15" t="n">
        <f aca="false">IF(B408="",0,E408*IFERROR(VLOOKUP(B408,'Recetas y precios'!$A$5:$R$55,18,FALSE()),0))</f>
        <v>0</v>
      </c>
      <c r="I408" s="30"/>
      <c r="J408" s="15" t="n">
        <f aca="false">G408*I408</f>
        <v>0</v>
      </c>
      <c r="K408" s="15" t="n">
        <f aca="false">G408-H408-J408</f>
        <v>0</v>
      </c>
      <c r="L408" s="16" t="str">
        <f aca="false">IF(G408&gt;0,K408/G408,"")</f>
        <v/>
      </c>
      <c r="M408" s="6"/>
    </row>
    <row r="409" customFormat="false" ht="15" hidden="false" customHeight="false" outlineLevel="0" collapsed="false">
      <c r="A409" s="34"/>
      <c r="B409" s="6"/>
      <c r="C409" s="0" t="str">
        <f aca="false">IF(B409="","",IFERROR(VLOOKUP(B409,'Recetas y precios'!$A$5:$B$55,2,FALSE()),""))</f>
        <v/>
      </c>
      <c r="D409" s="24"/>
      <c r="E409" s="6"/>
      <c r="F409" s="17"/>
      <c r="G409" s="15" t="n">
        <f aca="false">E409*F409</f>
        <v>0</v>
      </c>
      <c r="H409" s="15" t="n">
        <f aca="false">IF(B409="",0,E409*IFERROR(VLOOKUP(B409,'Recetas y precios'!$A$5:$R$55,18,FALSE()),0))</f>
        <v>0</v>
      </c>
      <c r="I409" s="30"/>
      <c r="J409" s="15" t="n">
        <f aca="false">G409*I409</f>
        <v>0</v>
      </c>
      <c r="K409" s="15" t="n">
        <f aca="false">G409-H409-J409</f>
        <v>0</v>
      </c>
      <c r="L409" s="16" t="str">
        <f aca="false">IF(G409&gt;0,K409/G409,"")</f>
        <v/>
      </c>
      <c r="M409" s="6"/>
    </row>
    <row r="410" customFormat="false" ht="15" hidden="false" customHeight="false" outlineLevel="0" collapsed="false">
      <c r="A410" s="34"/>
      <c r="B410" s="6"/>
      <c r="C410" s="0" t="str">
        <f aca="false">IF(B410="","",IFERROR(VLOOKUP(B410,'Recetas y precios'!$A$5:$B$55,2,FALSE()),""))</f>
        <v/>
      </c>
      <c r="D410" s="24"/>
      <c r="E410" s="6"/>
      <c r="F410" s="17"/>
      <c r="G410" s="15" t="n">
        <f aca="false">E410*F410</f>
        <v>0</v>
      </c>
      <c r="H410" s="15" t="n">
        <f aca="false">IF(B410="",0,E410*IFERROR(VLOOKUP(B410,'Recetas y precios'!$A$5:$R$55,18,FALSE()),0))</f>
        <v>0</v>
      </c>
      <c r="I410" s="30"/>
      <c r="J410" s="15" t="n">
        <f aca="false">G410*I410</f>
        <v>0</v>
      </c>
      <c r="K410" s="15" t="n">
        <f aca="false">G410-H410-J410</f>
        <v>0</v>
      </c>
      <c r="L410" s="16" t="str">
        <f aca="false">IF(G410&gt;0,K410/G410,"")</f>
        <v/>
      </c>
      <c r="M410" s="6"/>
    </row>
    <row r="411" customFormat="false" ht="15" hidden="false" customHeight="false" outlineLevel="0" collapsed="false">
      <c r="A411" s="34"/>
      <c r="B411" s="6"/>
      <c r="C411" s="0" t="str">
        <f aca="false">IF(B411="","",IFERROR(VLOOKUP(B411,'Recetas y precios'!$A$5:$B$55,2,FALSE()),""))</f>
        <v/>
      </c>
      <c r="D411" s="24"/>
      <c r="E411" s="6"/>
      <c r="F411" s="17"/>
      <c r="G411" s="15" t="n">
        <f aca="false">E411*F411</f>
        <v>0</v>
      </c>
      <c r="H411" s="15" t="n">
        <f aca="false">IF(B411="",0,E411*IFERROR(VLOOKUP(B411,'Recetas y precios'!$A$5:$R$55,18,FALSE()),0))</f>
        <v>0</v>
      </c>
      <c r="I411" s="30"/>
      <c r="J411" s="15" t="n">
        <f aca="false">G411*I411</f>
        <v>0</v>
      </c>
      <c r="K411" s="15" t="n">
        <f aca="false">G411-H411-J411</f>
        <v>0</v>
      </c>
      <c r="L411" s="16" t="str">
        <f aca="false">IF(G411&gt;0,K411/G411,"")</f>
        <v/>
      </c>
      <c r="M411" s="6"/>
    </row>
    <row r="412" customFormat="false" ht="15" hidden="false" customHeight="false" outlineLevel="0" collapsed="false">
      <c r="A412" s="34"/>
      <c r="B412" s="6"/>
      <c r="C412" s="0" t="str">
        <f aca="false">IF(B412="","",IFERROR(VLOOKUP(B412,'Recetas y precios'!$A$5:$B$55,2,FALSE()),""))</f>
        <v/>
      </c>
      <c r="D412" s="24"/>
      <c r="E412" s="6"/>
      <c r="F412" s="17"/>
      <c r="G412" s="15" t="n">
        <f aca="false">E412*F412</f>
        <v>0</v>
      </c>
      <c r="H412" s="15" t="n">
        <f aca="false">IF(B412="",0,E412*IFERROR(VLOOKUP(B412,'Recetas y precios'!$A$5:$R$55,18,FALSE()),0))</f>
        <v>0</v>
      </c>
      <c r="I412" s="30"/>
      <c r="J412" s="15" t="n">
        <f aca="false">G412*I412</f>
        <v>0</v>
      </c>
      <c r="K412" s="15" t="n">
        <f aca="false">G412-H412-J412</f>
        <v>0</v>
      </c>
      <c r="L412" s="16" t="str">
        <f aca="false">IF(G412&gt;0,K412/G412,"")</f>
        <v/>
      </c>
      <c r="M412" s="6"/>
    </row>
    <row r="413" customFormat="false" ht="15" hidden="false" customHeight="false" outlineLevel="0" collapsed="false">
      <c r="A413" s="34"/>
      <c r="B413" s="6"/>
      <c r="C413" s="0" t="str">
        <f aca="false">IF(B413="","",IFERROR(VLOOKUP(B413,'Recetas y precios'!$A$5:$B$55,2,FALSE()),""))</f>
        <v/>
      </c>
      <c r="D413" s="24"/>
      <c r="E413" s="6"/>
      <c r="F413" s="17"/>
      <c r="G413" s="15" t="n">
        <f aca="false">E413*F413</f>
        <v>0</v>
      </c>
      <c r="H413" s="15" t="n">
        <f aca="false">IF(B413="",0,E413*IFERROR(VLOOKUP(B413,'Recetas y precios'!$A$5:$R$55,18,FALSE()),0))</f>
        <v>0</v>
      </c>
      <c r="I413" s="30"/>
      <c r="J413" s="15" t="n">
        <f aca="false">G413*I413</f>
        <v>0</v>
      </c>
      <c r="K413" s="15" t="n">
        <f aca="false">G413-H413-J413</f>
        <v>0</v>
      </c>
      <c r="L413" s="16" t="str">
        <f aca="false">IF(G413&gt;0,K413/G413,"")</f>
        <v/>
      </c>
      <c r="M413" s="6"/>
    </row>
    <row r="414" customFormat="false" ht="15" hidden="false" customHeight="false" outlineLevel="0" collapsed="false">
      <c r="A414" s="34"/>
      <c r="B414" s="6"/>
      <c r="C414" s="0" t="str">
        <f aca="false">IF(B414="","",IFERROR(VLOOKUP(B414,'Recetas y precios'!$A$5:$B$55,2,FALSE()),""))</f>
        <v/>
      </c>
      <c r="D414" s="24"/>
      <c r="E414" s="6"/>
      <c r="F414" s="17"/>
      <c r="G414" s="15" t="n">
        <f aca="false">E414*F414</f>
        <v>0</v>
      </c>
      <c r="H414" s="15" t="n">
        <f aca="false">IF(B414="",0,E414*IFERROR(VLOOKUP(B414,'Recetas y precios'!$A$5:$R$55,18,FALSE()),0))</f>
        <v>0</v>
      </c>
      <c r="I414" s="30"/>
      <c r="J414" s="15" t="n">
        <f aca="false">G414*I414</f>
        <v>0</v>
      </c>
      <c r="K414" s="15" t="n">
        <f aca="false">G414-H414-J414</f>
        <v>0</v>
      </c>
      <c r="L414" s="16" t="str">
        <f aca="false">IF(G414&gt;0,K414/G414,"")</f>
        <v/>
      </c>
      <c r="M414" s="6"/>
    </row>
    <row r="415" customFormat="false" ht="15" hidden="false" customHeight="false" outlineLevel="0" collapsed="false">
      <c r="A415" s="34"/>
      <c r="B415" s="6"/>
      <c r="C415" s="0" t="str">
        <f aca="false">IF(B415="","",IFERROR(VLOOKUP(B415,'Recetas y precios'!$A$5:$B$55,2,FALSE()),""))</f>
        <v/>
      </c>
      <c r="D415" s="24"/>
      <c r="E415" s="6"/>
      <c r="F415" s="17"/>
      <c r="G415" s="15" t="n">
        <f aca="false">E415*F415</f>
        <v>0</v>
      </c>
      <c r="H415" s="15" t="n">
        <f aca="false">IF(B415="",0,E415*IFERROR(VLOOKUP(B415,'Recetas y precios'!$A$5:$R$55,18,FALSE()),0))</f>
        <v>0</v>
      </c>
      <c r="I415" s="30"/>
      <c r="J415" s="15" t="n">
        <f aca="false">G415*I415</f>
        <v>0</v>
      </c>
      <c r="K415" s="15" t="n">
        <f aca="false">G415-H415-J415</f>
        <v>0</v>
      </c>
      <c r="L415" s="16" t="str">
        <f aca="false">IF(G415&gt;0,K415/G415,"")</f>
        <v/>
      </c>
      <c r="M415" s="6"/>
    </row>
    <row r="416" customFormat="false" ht="15" hidden="false" customHeight="false" outlineLevel="0" collapsed="false">
      <c r="A416" s="34"/>
      <c r="B416" s="6"/>
      <c r="C416" s="0" t="str">
        <f aca="false">IF(B416="","",IFERROR(VLOOKUP(B416,'Recetas y precios'!$A$5:$B$55,2,FALSE()),""))</f>
        <v/>
      </c>
      <c r="D416" s="24"/>
      <c r="E416" s="6"/>
      <c r="F416" s="17"/>
      <c r="G416" s="15" t="n">
        <f aca="false">E416*F416</f>
        <v>0</v>
      </c>
      <c r="H416" s="15" t="n">
        <f aca="false">IF(B416="",0,E416*IFERROR(VLOOKUP(B416,'Recetas y precios'!$A$5:$R$55,18,FALSE()),0))</f>
        <v>0</v>
      </c>
      <c r="I416" s="30"/>
      <c r="J416" s="15" t="n">
        <f aca="false">G416*I416</f>
        <v>0</v>
      </c>
      <c r="K416" s="15" t="n">
        <f aca="false">G416-H416-J416</f>
        <v>0</v>
      </c>
      <c r="L416" s="16" t="str">
        <f aca="false">IF(G416&gt;0,K416/G416,"")</f>
        <v/>
      </c>
      <c r="M416" s="6"/>
    </row>
    <row r="417" customFormat="false" ht="15" hidden="false" customHeight="false" outlineLevel="0" collapsed="false">
      <c r="A417" s="34"/>
      <c r="B417" s="6"/>
      <c r="C417" s="0" t="str">
        <f aca="false">IF(B417="","",IFERROR(VLOOKUP(B417,'Recetas y precios'!$A$5:$B$55,2,FALSE()),""))</f>
        <v/>
      </c>
      <c r="D417" s="24"/>
      <c r="E417" s="6"/>
      <c r="F417" s="17"/>
      <c r="G417" s="15" t="n">
        <f aca="false">E417*F417</f>
        <v>0</v>
      </c>
      <c r="H417" s="15" t="n">
        <f aca="false">IF(B417="",0,E417*IFERROR(VLOOKUP(B417,'Recetas y precios'!$A$5:$R$55,18,FALSE()),0))</f>
        <v>0</v>
      </c>
      <c r="I417" s="30"/>
      <c r="J417" s="15" t="n">
        <f aca="false">G417*I417</f>
        <v>0</v>
      </c>
      <c r="K417" s="15" t="n">
        <f aca="false">G417-H417-J417</f>
        <v>0</v>
      </c>
      <c r="L417" s="16" t="str">
        <f aca="false">IF(G417&gt;0,K417/G417,"")</f>
        <v/>
      </c>
      <c r="M417" s="6"/>
    </row>
    <row r="418" customFormat="false" ht="15" hidden="false" customHeight="false" outlineLevel="0" collapsed="false">
      <c r="A418" s="34"/>
      <c r="B418" s="6"/>
      <c r="C418" s="0" t="str">
        <f aca="false">IF(B418="","",IFERROR(VLOOKUP(B418,'Recetas y precios'!$A$5:$B$55,2,FALSE()),""))</f>
        <v/>
      </c>
      <c r="D418" s="24"/>
      <c r="E418" s="6"/>
      <c r="F418" s="17"/>
      <c r="G418" s="15" t="n">
        <f aca="false">E418*F418</f>
        <v>0</v>
      </c>
      <c r="H418" s="15" t="n">
        <f aca="false">IF(B418="",0,E418*IFERROR(VLOOKUP(B418,'Recetas y precios'!$A$5:$R$55,18,FALSE()),0))</f>
        <v>0</v>
      </c>
      <c r="I418" s="30"/>
      <c r="J418" s="15" t="n">
        <f aca="false">G418*I418</f>
        <v>0</v>
      </c>
      <c r="K418" s="15" t="n">
        <f aca="false">G418-H418-J418</f>
        <v>0</v>
      </c>
      <c r="L418" s="16" t="str">
        <f aca="false">IF(G418&gt;0,K418/G418,"")</f>
        <v/>
      </c>
      <c r="M418" s="6"/>
    </row>
    <row r="419" customFormat="false" ht="15" hidden="false" customHeight="false" outlineLevel="0" collapsed="false">
      <c r="A419" s="34"/>
      <c r="B419" s="6"/>
      <c r="C419" s="0" t="str">
        <f aca="false">IF(B419="","",IFERROR(VLOOKUP(B419,'Recetas y precios'!$A$5:$B$55,2,FALSE()),""))</f>
        <v/>
      </c>
      <c r="D419" s="24"/>
      <c r="E419" s="6"/>
      <c r="F419" s="17"/>
      <c r="G419" s="15" t="n">
        <f aca="false">E419*F419</f>
        <v>0</v>
      </c>
      <c r="H419" s="15" t="n">
        <f aca="false">IF(B419="",0,E419*IFERROR(VLOOKUP(B419,'Recetas y precios'!$A$5:$R$55,18,FALSE()),0))</f>
        <v>0</v>
      </c>
      <c r="I419" s="30"/>
      <c r="J419" s="15" t="n">
        <f aca="false">G419*I419</f>
        <v>0</v>
      </c>
      <c r="K419" s="15" t="n">
        <f aca="false">G419-H419-J419</f>
        <v>0</v>
      </c>
      <c r="L419" s="16" t="str">
        <f aca="false">IF(G419&gt;0,K419/G419,"")</f>
        <v/>
      </c>
      <c r="M419" s="6"/>
    </row>
    <row r="420" customFormat="false" ht="15" hidden="false" customHeight="false" outlineLevel="0" collapsed="false">
      <c r="A420" s="34"/>
      <c r="B420" s="6"/>
      <c r="C420" s="0" t="str">
        <f aca="false">IF(B420="","",IFERROR(VLOOKUP(B420,'Recetas y precios'!$A$5:$B$55,2,FALSE()),""))</f>
        <v/>
      </c>
      <c r="D420" s="24"/>
      <c r="E420" s="6"/>
      <c r="F420" s="17"/>
      <c r="G420" s="15" t="n">
        <f aca="false">E420*F420</f>
        <v>0</v>
      </c>
      <c r="H420" s="15" t="n">
        <f aca="false">IF(B420="",0,E420*IFERROR(VLOOKUP(B420,'Recetas y precios'!$A$5:$R$55,18,FALSE()),0))</f>
        <v>0</v>
      </c>
      <c r="I420" s="30"/>
      <c r="J420" s="15" t="n">
        <f aca="false">G420*I420</f>
        <v>0</v>
      </c>
      <c r="K420" s="15" t="n">
        <f aca="false">G420-H420-J420</f>
        <v>0</v>
      </c>
      <c r="L420" s="16" t="str">
        <f aca="false">IF(G420&gt;0,K420/G420,"")</f>
        <v/>
      </c>
      <c r="M420" s="6"/>
    </row>
    <row r="421" customFormat="false" ht="15" hidden="false" customHeight="false" outlineLevel="0" collapsed="false">
      <c r="A421" s="34"/>
      <c r="B421" s="6"/>
      <c r="C421" s="0" t="str">
        <f aca="false">IF(B421="","",IFERROR(VLOOKUP(B421,'Recetas y precios'!$A$5:$B$55,2,FALSE()),""))</f>
        <v/>
      </c>
      <c r="D421" s="24"/>
      <c r="E421" s="6"/>
      <c r="F421" s="17"/>
      <c r="G421" s="15" t="n">
        <f aca="false">E421*F421</f>
        <v>0</v>
      </c>
      <c r="H421" s="15" t="n">
        <f aca="false">IF(B421="",0,E421*IFERROR(VLOOKUP(B421,'Recetas y precios'!$A$5:$R$55,18,FALSE()),0))</f>
        <v>0</v>
      </c>
      <c r="I421" s="30"/>
      <c r="J421" s="15" t="n">
        <f aca="false">G421*I421</f>
        <v>0</v>
      </c>
      <c r="K421" s="15" t="n">
        <f aca="false">G421-H421-J421</f>
        <v>0</v>
      </c>
      <c r="L421" s="16" t="str">
        <f aca="false">IF(G421&gt;0,K421/G421,"")</f>
        <v/>
      </c>
      <c r="M421" s="6"/>
    </row>
    <row r="422" customFormat="false" ht="15" hidden="false" customHeight="false" outlineLevel="0" collapsed="false">
      <c r="A422" s="34"/>
      <c r="B422" s="6"/>
      <c r="C422" s="0" t="str">
        <f aca="false">IF(B422="","",IFERROR(VLOOKUP(B422,'Recetas y precios'!$A$5:$B$55,2,FALSE()),""))</f>
        <v/>
      </c>
      <c r="D422" s="24"/>
      <c r="E422" s="6"/>
      <c r="F422" s="17"/>
      <c r="G422" s="15" t="n">
        <f aca="false">E422*F422</f>
        <v>0</v>
      </c>
      <c r="H422" s="15" t="n">
        <f aca="false">IF(B422="",0,E422*IFERROR(VLOOKUP(B422,'Recetas y precios'!$A$5:$R$55,18,FALSE()),0))</f>
        <v>0</v>
      </c>
      <c r="I422" s="30"/>
      <c r="J422" s="15" t="n">
        <f aca="false">G422*I422</f>
        <v>0</v>
      </c>
      <c r="K422" s="15" t="n">
        <f aca="false">G422-H422-J422</f>
        <v>0</v>
      </c>
      <c r="L422" s="16" t="str">
        <f aca="false">IF(G422&gt;0,K422/G422,"")</f>
        <v/>
      </c>
      <c r="M422" s="6"/>
    </row>
    <row r="423" customFormat="false" ht="15" hidden="false" customHeight="false" outlineLevel="0" collapsed="false">
      <c r="A423" s="34"/>
      <c r="B423" s="6"/>
      <c r="C423" s="0" t="str">
        <f aca="false">IF(B423="","",IFERROR(VLOOKUP(B423,'Recetas y precios'!$A$5:$B$55,2,FALSE()),""))</f>
        <v/>
      </c>
      <c r="D423" s="24"/>
      <c r="E423" s="6"/>
      <c r="F423" s="17"/>
      <c r="G423" s="15" t="n">
        <f aca="false">E423*F423</f>
        <v>0</v>
      </c>
      <c r="H423" s="15" t="n">
        <f aca="false">IF(B423="",0,E423*IFERROR(VLOOKUP(B423,'Recetas y precios'!$A$5:$R$55,18,FALSE()),0))</f>
        <v>0</v>
      </c>
      <c r="I423" s="30"/>
      <c r="J423" s="15" t="n">
        <f aca="false">G423*I423</f>
        <v>0</v>
      </c>
      <c r="K423" s="15" t="n">
        <f aca="false">G423-H423-J423</f>
        <v>0</v>
      </c>
      <c r="L423" s="16" t="str">
        <f aca="false">IF(G423&gt;0,K423/G423,"")</f>
        <v/>
      </c>
      <c r="M423" s="6"/>
    </row>
    <row r="424" customFormat="false" ht="15" hidden="false" customHeight="false" outlineLevel="0" collapsed="false">
      <c r="A424" s="34"/>
      <c r="B424" s="6"/>
      <c r="C424" s="0" t="str">
        <f aca="false">IF(B424="","",IFERROR(VLOOKUP(B424,'Recetas y precios'!$A$5:$B$55,2,FALSE()),""))</f>
        <v/>
      </c>
      <c r="D424" s="24"/>
      <c r="E424" s="6"/>
      <c r="F424" s="17"/>
      <c r="G424" s="15" t="n">
        <f aca="false">E424*F424</f>
        <v>0</v>
      </c>
      <c r="H424" s="15" t="n">
        <f aca="false">IF(B424="",0,E424*IFERROR(VLOOKUP(B424,'Recetas y precios'!$A$5:$R$55,18,FALSE()),0))</f>
        <v>0</v>
      </c>
      <c r="I424" s="30"/>
      <c r="J424" s="15" t="n">
        <f aca="false">G424*I424</f>
        <v>0</v>
      </c>
      <c r="K424" s="15" t="n">
        <f aca="false">G424-H424-J424</f>
        <v>0</v>
      </c>
      <c r="L424" s="16" t="str">
        <f aca="false">IF(G424&gt;0,K424/G424,"")</f>
        <v/>
      </c>
      <c r="M424" s="6"/>
    </row>
    <row r="425" customFormat="false" ht="15" hidden="false" customHeight="false" outlineLevel="0" collapsed="false">
      <c r="A425" s="34"/>
      <c r="B425" s="6"/>
      <c r="C425" s="0" t="str">
        <f aca="false">IF(B425="","",IFERROR(VLOOKUP(B425,'Recetas y precios'!$A$5:$B$55,2,FALSE()),""))</f>
        <v/>
      </c>
      <c r="D425" s="24"/>
      <c r="E425" s="6"/>
      <c r="F425" s="17"/>
      <c r="G425" s="15" t="n">
        <f aca="false">E425*F425</f>
        <v>0</v>
      </c>
      <c r="H425" s="15" t="n">
        <f aca="false">IF(B425="",0,E425*IFERROR(VLOOKUP(B425,'Recetas y precios'!$A$5:$R$55,18,FALSE()),0))</f>
        <v>0</v>
      </c>
      <c r="I425" s="30"/>
      <c r="J425" s="15" t="n">
        <f aca="false">G425*I425</f>
        <v>0</v>
      </c>
      <c r="K425" s="15" t="n">
        <f aca="false">G425-H425-J425</f>
        <v>0</v>
      </c>
      <c r="L425" s="16" t="str">
        <f aca="false">IF(G425&gt;0,K425/G425,"")</f>
        <v/>
      </c>
      <c r="M425" s="6"/>
    </row>
    <row r="426" customFormat="false" ht="15" hidden="false" customHeight="false" outlineLevel="0" collapsed="false">
      <c r="A426" s="34"/>
      <c r="B426" s="6"/>
      <c r="C426" s="0" t="str">
        <f aca="false">IF(B426="","",IFERROR(VLOOKUP(B426,'Recetas y precios'!$A$5:$B$55,2,FALSE()),""))</f>
        <v/>
      </c>
      <c r="D426" s="24"/>
      <c r="E426" s="6"/>
      <c r="F426" s="17"/>
      <c r="G426" s="15" t="n">
        <f aca="false">E426*F426</f>
        <v>0</v>
      </c>
      <c r="H426" s="15" t="n">
        <f aca="false">IF(B426="",0,E426*IFERROR(VLOOKUP(B426,'Recetas y precios'!$A$5:$R$55,18,FALSE()),0))</f>
        <v>0</v>
      </c>
      <c r="I426" s="30"/>
      <c r="J426" s="15" t="n">
        <f aca="false">G426*I426</f>
        <v>0</v>
      </c>
      <c r="K426" s="15" t="n">
        <f aca="false">G426-H426-J426</f>
        <v>0</v>
      </c>
      <c r="L426" s="16" t="str">
        <f aca="false">IF(G426&gt;0,K426/G426,"")</f>
        <v/>
      </c>
      <c r="M426" s="6"/>
    </row>
    <row r="427" customFormat="false" ht="15" hidden="false" customHeight="false" outlineLevel="0" collapsed="false">
      <c r="A427" s="34"/>
      <c r="B427" s="6"/>
      <c r="C427" s="0" t="str">
        <f aca="false">IF(B427="","",IFERROR(VLOOKUP(B427,'Recetas y precios'!$A$5:$B$55,2,FALSE()),""))</f>
        <v/>
      </c>
      <c r="D427" s="24"/>
      <c r="E427" s="6"/>
      <c r="F427" s="17"/>
      <c r="G427" s="15" t="n">
        <f aca="false">E427*F427</f>
        <v>0</v>
      </c>
      <c r="H427" s="15" t="n">
        <f aca="false">IF(B427="",0,E427*IFERROR(VLOOKUP(B427,'Recetas y precios'!$A$5:$R$55,18,FALSE()),0))</f>
        <v>0</v>
      </c>
      <c r="I427" s="30"/>
      <c r="J427" s="15" t="n">
        <f aca="false">G427*I427</f>
        <v>0</v>
      </c>
      <c r="K427" s="15" t="n">
        <f aca="false">G427-H427-J427</f>
        <v>0</v>
      </c>
      <c r="L427" s="16" t="str">
        <f aca="false">IF(G427&gt;0,K427/G427,"")</f>
        <v/>
      </c>
      <c r="M427" s="6"/>
    </row>
    <row r="428" customFormat="false" ht="15" hidden="false" customHeight="false" outlineLevel="0" collapsed="false">
      <c r="A428" s="34"/>
      <c r="B428" s="6"/>
      <c r="C428" s="0" t="str">
        <f aca="false">IF(B428="","",IFERROR(VLOOKUP(B428,'Recetas y precios'!$A$5:$B$55,2,FALSE()),""))</f>
        <v/>
      </c>
      <c r="D428" s="24"/>
      <c r="E428" s="6"/>
      <c r="F428" s="17"/>
      <c r="G428" s="15" t="n">
        <f aca="false">E428*F428</f>
        <v>0</v>
      </c>
      <c r="H428" s="15" t="n">
        <f aca="false">IF(B428="",0,E428*IFERROR(VLOOKUP(B428,'Recetas y precios'!$A$5:$R$55,18,FALSE()),0))</f>
        <v>0</v>
      </c>
      <c r="I428" s="30"/>
      <c r="J428" s="15" t="n">
        <f aca="false">G428*I428</f>
        <v>0</v>
      </c>
      <c r="K428" s="15" t="n">
        <f aca="false">G428-H428-J428</f>
        <v>0</v>
      </c>
      <c r="L428" s="16" t="str">
        <f aca="false">IF(G428&gt;0,K428/G428,"")</f>
        <v/>
      </c>
      <c r="M428" s="6"/>
    </row>
    <row r="429" customFormat="false" ht="15" hidden="false" customHeight="false" outlineLevel="0" collapsed="false">
      <c r="A429" s="34"/>
      <c r="B429" s="6"/>
      <c r="C429" s="0" t="str">
        <f aca="false">IF(B429="","",IFERROR(VLOOKUP(B429,'Recetas y precios'!$A$5:$B$55,2,FALSE()),""))</f>
        <v/>
      </c>
      <c r="D429" s="24"/>
      <c r="E429" s="6"/>
      <c r="F429" s="17"/>
      <c r="G429" s="15" t="n">
        <f aca="false">E429*F429</f>
        <v>0</v>
      </c>
      <c r="H429" s="15" t="n">
        <f aca="false">IF(B429="",0,E429*IFERROR(VLOOKUP(B429,'Recetas y precios'!$A$5:$R$55,18,FALSE()),0))</f>
        <v>0</v>
      </c>
      <c r="I429" s="30"/>
      <c r="J429" s="15" t="n">
        <f aca="false">G429*I429</f>
        <v>0</v>
      </c>
      <c r="K429" s="15" t="n">
        <f aca="false">G429-H429-J429</f>
        <v>0</v>
      </c>
      <c r="L429" s="16" t="str">
        <f aca="false">IF(G429&gt;0,K429/G429,"")</f>
        <v/>
      </c>
      <c r="M429" s="6"/>
    </row>
    <row r="430" customFormat="false" ht="15" hidden="false" customHeight="false" outlineLevel="0" collapsed="false">
      <c r="A430" s="34"/>
      <c r="B430" s="6"/>
      <c r="C430" s="0" t="str">
        <f aca="false">IF(B430="","",IFERROR(VLOOKUP(B430,'Recetas y precios'!$A$5:$B$55,2,FALSE()),""))</f>
        <v/>
      </c>
      <c r="D430" s="24"/>
      <c r="E430" s="6"/>
      <c r="F430" s="17"/>
      <c r="G430" s="15" t="n">
        <f aca="false">E430*F430</f>
        <v>0</v>
      </c>
      <c r="H430" s="15" t="n">
        <f aca="false">IF(B430="",0,E430*IFERROR(VLOOKUP(B430,'Recetas y precios'!$A$5:$R$55,18,FALSE()),0))</f>
        <v>0</v>
      </c>
      <c r="I430" s="30"/>
      <c r="J430" s="15" t="n">
        <f aca="false">G430*I430</f>
        <v>0</v>
      </c>
      <c r="K430" s="15" t="n">
        <f aca="false">G430-H430-J430</f>
        <v>0</v>
      </c>
      <c r="L430" s="16" t="str">
        <f aca="false">IF(G430&gt;0,K430/G430,"")</f>
        <v/>
      </c>
      <c r="M430" s="6"/>
    </row>
    <row r="431" customFormat="false" ht="15" hidden="false" customHeight="false" outlineLevel="0" collapsed="false">
      <c r="A431" s="34"/>
      <c r="B431" s="6"/>
      <c r="C431" s="0" t="str">
        <f aca="false">IF(B431="","",IFERROR(VLOOKUP(B431,'Recetas y precios'!$A$5:$B$55,2,FALSE()),""))</f>
        <v/>
      </c>
      <c r="D431" s="24"/>
      <c r="E431" s="6"/>
      <c r="F431" s="17"/>
      <c r="G431" s="15" t="n">
        <f aca="false">E431*F431</f>
        <v>0</v>
      </c>
      <c r="H431" s="15" t="n">
        <f aca="false">IF(B431="",0,E431*IFERROR(VLOOKUP(B431,'Recetas y precios'!$A$5:$R$55,18,FALSE()),0))</f>
        <v>0</v>
      </c>
      <c r="I431" s="30"/>
      <c r="J431" s="15" t="n">
        <f aca="false">G431*I431</f>
        <v>0</v>
      </c>
      <c r="K431" s="15" t="n">
        <f aca="false">G431-H431-J431</f>
        <v>0</v>
      </c>
      <c r="L431" s="16" t="str">
        <f aca="false">IF(G431&gt;0,K431/G431,"")</f>
        <v/>
      </c>
      <c r="M431" s="6"/>
    </row>
    <row r="432" customFormat="false" ht="15" hidden="false" customHeight="false" outlineLevel="0" collapsed="false">
      <c r="A432" s="34"/>
      <c r="B432" s="6"/>
      <c r="C432" s="0" t="str">
        <f aca="false">IF(B432="","",IFERROR(VLOOKUP(B432,'Recetas y precios'!$A$5:$B$55,2,FALSE()),""))</f>
        <v/>
      </c>
      <c r="D432" s="24"/>
      <c r="E432" s="6"/>
      <c r="F432" s="17"/>
      <c r="G432" s="15" t="n">
        <f aca="false">E432*F432</f>
        <v>0</v>
      </c>
      <c r="H432" s="15" t="n">
        <f aca="false">IF(B432="",0,E432*IFERROR(VLOOKUP(B432,'Recetas y precios'!$A$5:$R$55,18,FALSE()),0))</f>
        <v>0</v>
      </c>
      <c r="I432" s="30"/>
      <c r="J432" s="15" t="n">
        <f aca="false">G432*I432</f>
        <v>0</v>
      </c>
      <c r="K432" s="15" t="n">
        <f aca="false">G432-H432-J432</f>
        <v>0</v>
      </c>
      <c r="L432" s="16" t="str">
        <f aca="false">IF(G432&gt;0,K432/G432,"")</f>
        <v/>
      </c>
      <c r="M432" s="6"/>
    </row>
    <row r="433" customFormat="false" ht="15" hidden="false" customHeight="false" outlineLevel="0" collapsed="false">
      <c r="A433" s="34"/>
      <c r="B433" s="6"/>
      <c r="C433" s="0" t="str">
        <f aca="false">IF(B433="","",IFERROR(VLOOKUP(B433,'Recetas y precios'!$A$5:$B$55,2,FALSE()),""))</f>
        <v/>
      </c>
      <c r="D433" s="24"/>
      <c r="E433" s="6"/>
      <c r="F433" s="17"/>
      <c r="G433" s="15" t="n">
        <f aca="false">E433*F433</f>
        <v>0</v>
      </c>
      <c r="H433" s="15" t="n">
        <f aca="false">IF(B433="",0,E433*IFERROR(VLOOKUP(B433,'Recetas y precios'!$A$5:$R$55,18,FALSE()),0))</f>
        <v>0</v>
      </c>
      <c r="I433" s="30"/>
      <c r="J433" s="15" t="n">
        <f aca="false">G433*I433</f>
        <v>0</v>
      </c>
      <c r="K433" s="15" t="n">
        <f aca="false">G433-H433-J433</f>
        <v>0</v>
      </c>
      <c r="L433" s="16" t="str">
        <f aca="false">IF(G433&gt;0,K433/G433,"")</f>
        <v/>
      </c>
      <c r="M433" s="6"/>
    </row>
    <row r="434" customFormat="false" ht="15" hidden="false" customHeight="false" outlineLevel="0" collapsed="false">
      <c r="A434" s="34"/>
      <c r="B434" s="6"/>
      <c r="C434" s="0" t="str">
        <f aca="false">IF(B434="","",IFERROR(VLOOKUP(B434,'Recetas y precios'!$A$5:$B$55,2,FALSE()),""))</f>
        <v/>
      </c>
      <c r="D434" s="24"/>
      <c r="E434" s="6"/>
      <c r="F434" s="17"/>
      <c r="G434" s="15" t="n">
        <f aca="false">E434*F434</f>
        <v>0</v>
      </c>
      <c r="H434" s="15" t="n">
        <f aca="false">IF(B434="",0,E434*IFERROR(VLOOKUP(B434,'Recetas y precios'!$A$5:$R$55,18,FALSE()),0))</f>
        <v>0</v>
      </c>
      <c r="I434" s="30"/>
      <c r="J434" s="15" t="n">
        <f aca="false">G434*I434</f>
        <v>0</v>
      </c>
      <c r="K434" s="15" t="n">
        <f aca="false">G434-H434-J434</f>
        <v>0</v>
      </c>
      <c r="L434" s="16" t="str">
        <f aca="false">IF(G434&gt;0,K434/G434,"")</f>
        <v/>
      </c>
      <c r="M434" s="6"/>
    </row>
    <row r="435" customFormat="false" ht="15" hidden="false" customHeight="false" outlineLevel="0" collapsed="false">
      <c r="A435" s="34"/>
      <c r="B435" s="6"/>
      <c r="C435" s="0" t="str">
        <f aca="false">IF(B435="","",IFERROR(VLOOKUP(B435,'Recetas y precios'!$A$5:$B$55,2,FALSE()),""))</f>
        <v/>
      </c>
      <c r="D435" s="24"/>
      <c r="E435" s="6"/>
      <c r="F435" s="17"/>
      <c r="G435" s="15" t="n">
        <f aca="false">E435*F435</f>
        <v>0</v>
      </c>
      <c r="H435" s="15" t="n">
        <f aca="false">IF(B435="",0,E435*IFERROR(VLOOKUP(B435,'Recetas y precios'!$A$5:$R$55,18,FALSE()),0))</f>
        <v>0</v>
      </c>
      <c r="I435" s="30"/>
      <c r="J435" s="15" t="n">
        <f aca="false">G435*I435</f>
        <v>0</v>
      </c>
      <c r="K435" s="15" t="n">
        <f aca="false">G435-H435-J435</f>
        <v>0</v>
      </c>
      <c r="L435" s="16" t="str">
        <f aca="false">IF(G435&gt;0,K435/G435,"")</f>
        <v/>
      </c>
      <c r="M435" s="6"/>
    </row>
    <row r="436" customFormat="false" ht="15" hidden="false" customHeight="false" outlineLevel="0" collapsed="false">
      <c r="A436" s="34"/>
      <c r="B436" s="6"/>
      <c r="C436" s="0" t="str">
        <f aca="false">IF(B436="","",IFERROR(VLOOKUP(B436,'Recetas y precios'!$A$5:$B$55,2,FALSE()),""))</f>
        <v/>
      </c>
      <c r="D436" s="24"/>
      <c r="E436" s="6"/>
      <c r="F436" s="17"/>
      <c r="G436" s="15" t="n">
        <f aca="false">E436*F436</f>
        <v>0</v>
      </c>
      <c r="H436" s="15" t="n">
        <f aca="false">IF(B436="",0,E436*IFERROR(VLOOKUP(B436,'Recetas y precios'!$A$5:$R$55,18,FALSE()),0))</f>
        <v>0</v>
      </c>
      <c r="I436" s="30"/>
      <c r="J436" s="15" t="n">
        <f aca="false">G436*I436</f>
        <v>0</v>
      </c>
      <c r="K436" s="15" t="n">
        <f aca="false">G436-H436-J436</f>
        <v>0</v>
      </c>
      <c r="L436" s="16" t="str">
        <f aca="false">IF(G436&gt;0,K436/G436,"")</f>
        <v/>
      </c>
      <c r="M436" s="6"/>
    </row>
    <row r="437" customFormat="false" ht="15" hidden="false" customHeight="false" outlineLevel="0" collapsed="false">
      <c r="A437" s="34"/>
      <c r="B437" s="6"/>
      <c r="C437" s="0" t="str">
        <f aca="false">IF(B437="","",IFERROR(VLOOKUP(B437,'Recetas y precios'!$A$5:$B$55,2,FALSE()),""))</f>
        <v/>
      </c>
      <c r="D437" s="24"/>
      <c r="E437" s="6"/>
      <c r="F437" s="17"/>
      <c r="G437" s="15" t="n">
        <f aca="false">E437*F437</f>
        <v>0</v>
      </c>
      <c r="H437" s="15" t="n">
        <f aca="false">IF(B437="",0,E437*IFERROR(VLOOKUP(B437,'Recetas y precios'!$A$5:$R$55,18,FALSE()),0))</f>
        <v>0</v>
      </c>
      <c r="I437" s="30"/>
      <c r="J437" s="15" t="n">
        <f aca="false">G437*I437</f>
        <v>0</v>
      </c>
      <c r="K437" s="15" t="n">
        <f aca="false">G437-H437-J437</f>
        <v>0</v>
      </c>
      <c r="L437" s="16" t="str">
        <f aca="false">IF(G437&gt;0,K437/G437,"")</f>
        <v/>
      </c>
      <c r="M437" s="6"/>
    </row>
    <row r="438" customFormat="false" ht="15" hidden="false" customHeight="false" outlineLevel="0" collapsed="false">
      <c r="A438" s="34"/>
      <c r="B438" s="6"/>
      <c r="C438" s="0" t="str">
        <f aca="false">IF(B438="","",IFERROR(VLOOKUP(B438,'Recetas y precios'!$A$5:$B$55,2,FALSE()),""))</f>
        <v/>
      </c>
      <c r="D438" s="24"/>
      <c r="E438" s="6"/>
      <c r="F438" s="17"/>
      <c r="G438" s="15" t="n">
        <f aca="false">E438*F438</f>
        <v>0</v>
      </c>
      <c r="H438" s="15" t="n">
        <f aca="false">IF(B438="",0,E438*IFERROR(VLOOKUP(B438,'Recetas y precios'!$A$5:$R$55,18,FALSE()),0))</f>
        <v>0</v>
      </c>
      <c r="I438" s="30"/>
      <c r="J438" s="15" t="n">
        <f aca="false">G438*I438</f>
        <v>0</v>
      </c>
      <c r="K438" s="15" t="n">
        <f aca="false">G438-H438-J438</f>
        <v>0</v>
      </c>
      <c r="L438" s="16" t="str">
        <f aca="false">IF(G438&gt;0,K438/G438,"")</f>
        <v/>
      </c>
      <c r="M438" s="6"/>
    </row>
    <row r="439" customFormat="false" ht="15" hidden="false" customHeight="false" outlineLevel="0" collapsed="false">
      <c r="A439" s="34"/>
      <c r="B439" s="6"/>
      <c r="C439" s="0" t="str">
        <f aca="false">IF(B439="","",IFERROR(VLOOKUP(B439,'Recetas y precios'!$A$5:$B$55,2,FALSE()),""))</f>
        <v/>
      </c>
      <c r="D439" s="24"/>
      <c r="E439" s="6"/>
      <c r="F439" s="17"/>
      <c r="G439" s="15" t="n">
        <f aca="false">E439*F439</f>
        <v>0</v>
      </c>
      <c r="H439" s="15" t="n">
        <f aca="false">IF(B439="",0,E439*IFERROR(VLOOKUP(B439,'Recetas y precios'!$A$5:$R$55,18,FALSE()),0))</f>
        <v>0</v>
      </c>
      <c r="I439" s="30"/>
      <c r="J439" s="15" t="n">
        <f aca="false">G439*I439</f>
        <v>0</v>
      </c>
      <c r="K439" s="15" t="n">
        <f aca="false">G439-H439-J439</f>
        <v>0</v>
      </c>
      <c r="L439" s="16" t="str">
        <f aca="false">IF(G439&gt;0,K439/G439,"")</f>
        <v/>
      </c>
      <c r="M439" s="6"/>
    </row>
    <row r="440" customFormat="false" ht="15" hidden="false" customHeight="false" outlineLevel="0" collapsed="false">
      <c r="A440" s="34"/>
      <c r="B440" s="6"/>
      <c r="C440" s="0" t="str">
        <f aca="false">IF(B440="","",IFERROR(VLOOKUP(B440,'Recetas y precios'!$A$5:$B$55,2,FALSE()),""))</f>
        <v/>
      </c>
      <c r="D440" s="24"/>
      <c r="E440" s="6"/>
      <c r="F440" s="17"/>
      <c r="G440" s="15" t="n">
        <f aca="false">E440*F440</f>
        <v>0</v>
      </c>
      <c r="H440" s="15" t="n">
        <f aca="false">IF(B440="",0,E440*IFERROR(VLOOKUP(B440,'Recetas y precios'!$A$5:$R$55,18,FALSE()),0))</f>
        <v>0</v>
      </c>
      <c r="I440" s="30"/>
      <c r="J440" s="15" t="n">
        <f aca="false">G440*I440</f>
        <v>0</v>
      </c>
      <c r="K440" s="15" t="n">
        <f aca="false">G440-H440-J440</f>
        <v>0</v>
      </c>
      <c r="L440" s="16" t="str">
        <f aca="false">IF(G440&gt;0,K440/G440,"")</f>
        <v/>
      </c>
      <c r="M440" s="6"/>
    </row>
    <row r="441" customFormat="false" ht="15" hidden="false" customHeight="false" outlineLevel="0" collapsed="false">
      <c r="A441" s="34"/>
      <c r="B441" s="6"/>
      <c r="C441" s="0" t="str">
        <f aca="false">IF(B441="","",IFERROR(VLOOKUP(B441,'Recetas y precios'!$A$5:$B$55,2,FALSE()),""))</f>
        <v/>
      </c>
      <c r="D441" s="24"/>
      <c r="E441" s="6"/>
      <c r="F441" s="17"/>
      <c r="G441" s="15" t="n">
        <f aca="false">E441*F441</f>
        <v>0</v>
      </c>
      <c r="H441" s="15" t="n">
        <f aca="false">IF(B441="",0,E441*IFERROR(VLOOKUP(B441,'Recetas y precios'!$A$5:$R$55,18,FALSE()),0))</f>
        <v>0</v>
      </c>
      <c r="I441" s="30"/>
      <c r="J441" s="15" t="n">
        <f aca="false">G441*I441</f>
        <v>0</v>
      </c>
      <c r="K441" s="15" t="n">
        <f aca="false">G441-H441-J441</f>
        <v>0</v>
      </c>
      <c r="L441" s="16" t="str">
        <f aca="false">IF(G441&gt;0,K441/G441,"")</f>
        <v/>
      </c>
      <c r="M441" s="6"/>
    </row>
    <row r="442" customFormat="false" ht="15" hidden="false" customHeight="false" outlineLevel="0" collapsed="false">
      <c r="A442" s="34"/>
      <c r="B442" s="6"/>
      <c r="C442" s="0" t="str">
        <f aca="false">IF(B442="","",IFERROR(VLOOKUP(B442,'Recetas y precios'!$A$5:$B$55,2,FALSE()),""))</f>
        <v/>
      </c>
      <c r="D442" s="24"/>
      <c r="E442" s="6"/>
      <c r="F442" s="17"/>
      <c r="G442" s="15" t="n">
        <f aca="false">E442*F442</f>
        <v>0</v>
      </c>
      <c r="H442" s="15" t="n">
        <f aca="false">IF(B442="",0,E442*IFERROR(VLOOKUP(B442,'Recetas y precios'!$A$5:$R$55,18,FALSE()),0))</f>
        <v>0</v>
      </c>
      <c r="I442" s="30"/>
      <c r="J442" s="15" t="n">
        <f aca="false">G442*I442</f>
        <v>0</v>
      </c>
      <c r="K442" s="15" t="n">
        <f aca="false">G442-H442-J442</f>
        <v>0</v>
      </c>
      <c r="L442" s="16" t="str">
        <f aca="false">IF(G442&gt;0,K442/G442,"")</f>
        <v/>
      </c>
      <c r="M442" s="6"/>
    </row>
    <row r="443" customFormat="false" ht="15" hidden="false" customHeight="false" outlineLevel="0" collapsed="false">
      <c r="A443" s="34"/>
      <c r="B443" s="6"/>
      <c r="C443" s="0" t="str">
        <f aca="false">IF(B443="","",IFERROR(VLOOKUP(B443,'Recetas y precios'!$A$5:$B$55,2,FALSE()),""))</f>
        <v/>
      </c>
      <c r="D443" s="24"/>
      <c r="E443" s="6"/>
      <c r="F443" s="17"/>
      <c r="G443" s="15" t="n">
        <f aca="false">E443*F443</f>
        <v>0</v>
      </c>
      <c r="H443" s="15" t="n">
        <f aca="false">IF(B443="",0,E443*IFERROR(VLOOKUP(B443,'Recetas y precios'!$A$5:$R$55,18,FALSE()),0))</f>
        <v>0</v>
      </c>
      <c r="I443" s="30"/>
      <c r="J443" s="15" t="n">
        <f aca="false">G443*I443</f>
        <v>0</v>
      </c>
      <c r="K443" s="15" t="n">
        <f aca="false">G443-H443-J443</f>
        <v>0</v>
      </c>
      <c r="L443" s="16" t="str">
        <f aca="false">IF(G443&gt;0,K443/G443,"")</f>
        <v/>
      </c>
      <c r="M443" s="6"/>
    </row>
    <row r="444" customFormat="false" ht="15" hidden="false" customHeight="false" outlineLevel="0" collapsed="false">
      <c r="A444" s="34"/>
      <c r="B444" s="6"/>
      <c r="C444" s="0" t="str">
        <f aca="false">IF(B444="","",IFERROR(VLOOKUP(B444,'Recetas y precios'!$A$5:$B$55,2,FALSE()),""))</f>
        <v/>
      </c>
      <c r="D444" s="24"/>
      <c r="E444" s="6"/>
      <c r="F444" s="17"/>
      <c r="G444" s="15" t="n">
        <f aca="false">E444*F444</f>
        <v>0</v>
      </c>
      <c r="H444" s="15" t="n">
        <f aca="false">IF(B444="",0,E444*IFERROR(VLOOKUP(B444,'Recetas y precios'!$A$5:$R$55,18,FALSE()),0))</f>
        <v>0</v>
      </c>
      <c r="I444" s="30"/>
      <c r="J444" s="15" t="n">
        <f aca="false">G444*I444</f>
        <v>0</v>
      </c>
      <c r="K444" s="15" t="n">
        <f aca="false">G444-H444-J444</f>
        <v>0</v>
      </c>
      <c r="L444" s="16" t="str">
        <f aca="false">IF(G444&gt;0,K444/G444,"")</f>
        <v/>
      </c>
      <c r="M444" s="6"/>
    </row>
    <row r="445" customFormat="false" ht="15" hidden="false" customHeight="false" outlineLevel="0" collapsed="false">
      <c r="A445" s="34"/>
      <c r="B445" s="6"/>
      <c r="C445" s="0" t="str">
        <f aca="false">IF(B445="","",IFERROR(VLOOKUP(B445,'Recetas y precios'!$A$5:$B$55,2,FALSE()),""))</f>
        <v/>
      </c>
      <c r="D445" s="24"/>
      <c r="E445" s="6"/>
      <c r="F445" s="17"/>
      <c r="G445" s="15" t="n">
        <f aca="false">E445*F445</f>
        <v>0</v>
      </c>
      <c r="H445" s="15" t="n">
        <f aca="false">IF(B445="",0,E445*IFERROR(VLOOKUP(B445,'Recetas y precios'!$A$5:$R$55,18,FALSE()),0))</f>
        <v>0</v>
      </c>
      <c r="I445" s="30"/>
      <c r="J445" s="15" t="n">
        <f aca="false">G445*I445</f>
        <v>0</v>
      </c>
      <c r="K445" s="15" t="n">
        <f aca="false">G445-H445-J445</f>
        <v>0</v>
      </c>
      <c r="L445" s="16" t="str">
        <f aca="false">IF(G445&gt;0,K445/G445,"")</f>
        <v/>
      </c>
      <c r="M445" s="6"/>
    </row>
    <row r="446" customFormat="false" ht="15" hidden="false" customHeight="false" outlineLevel="0" collapsed="false">
      <c r="A446" s="34"/>
      <c r="B446" s="6"/>
      <c r="C446" s="0" t="str">
        <f aca="false">IF(B446="","",IFERROR(VLOOKUP(B446,'Recetas y precios'!$A$5:$B$55,2,FALSE()),""))</f>
        <v/>
      </c>
      <c r="D446" s="24"/>
      <c r="E446" s="6"/>
      <c r="F446" s="17"/>
      <c r="G446" s="15" t="n">
        <f aca="false">E446*F446</f>
        <v>0</v>
      </c>
      <c r="H446" s="15" t="n">
        <f aca="false">IF(B446="",0,E446*IFERROR(VLOOKUP(B446,'Recetas y precios'!$A$5:$R$55,18,FALSE()),0))</f>
        <v>0</v>
      </c>
      <c r="I446" s="30"/>
      <c r="J446" s="15" t="n">
        <f aca="false">G446*I446</f>
        <v>0</v>
      </c>
      <c r="K446" s="15" t="n">
        <f aca="false">G446-H446-J446</f>
        <v>0</v>
      </c>
      <c r="L446" s="16" t="str">
        <f aca="false">IF(G446&gt;0,K446/G446,"")</f>
        <v/>
      </c>
      <c r="M446" s="6"/>
    </row>
    <row r="447" customFormat="false" ht="15" hidden="false" customHeight="false" outlineLevel="0" collapsed="false">
      <c r="A447" s="34"/>
      <c r="B447" s="6"/>
      <c r="C447" s="0" t="str">
        <f aca="false">IF(B447="","",IFERROR(VLOOKUP(B447,'Recetas y precios'!$A$5:$B$55,2,FALSE()),""))</f>
        <v/>
      </c>
      <c r="D447" s="24"/>
      <c r="E447" s="6"/>
      <c r="F447" s="17"/>
      <c r="G447" s="15" t="n">
        <f aca="false">E447*F447</f>
        <v>0</v>
      </c>
      <c r="H447" s="15" t="n">
        <f aca="false">IF(B447="",0,E447*IFERROR(VLOOKUP(B447,'Recetas y precios'!$A$5:$R$55,18,FALSE()),0))</f>
        <v>0</v>
      </c>
      <c r="I447" s="30"/>
      <c r="J447" s="15" t="n">
        <f aca="false">G447*I447</f>
        <v>0</v>
      </c>
      <c r="K447" s="15" t="n">
        <f aca="false">G447-H447-J447</f>
        <v>0</v>
      </c>
      <c r="L447" s="16" t="str">
        <f aca="false">IF(G447&gt;0,K447/G447,"")</f>
        <v/>
      </c>
      <c r="M447" s="6"/>
    </row>
    <row r="448" customFormat="false" ht="15" hidden="false" customHeight="false" outlineLevel="0" collapsed="false">
      <c r="A448" s="34"/>
      <c r="B448" s="6"/>
      <c r="C448" s="0" t="str">
        <f aca="false">IF(B448="","",IFERROR(VLOOKUP(B448,'Recetas y precios'!$A$5:$B$55,2,FALSE()),""))</f>
        <v/>
      </c>
      <c r="D448" s="24"/>
      <c r="E448" s="6"/>
      <c r="F448" s="17"/>
      <c r="G448" s="15" t="n">
        <f aca="false">E448*F448</f>
        <v>0</v>
      </c>
      <c r="H448" s="15" t="n">
        <f aca="false">IF(B448="",0,E448*IFERROR(VLOOKUP(B448,'Recetas y precios'!$A$5:$R$55,18,FALSE()),0))</f>
        <v>0</v>
      </c>
      <c r="I448" s="30"/>
      <c r="J448" s="15" t="n">
        <f aca="false">G448*I448</f>
        <v>0</v>
      </c>
      <c r="K448" s="15" t="n">
        <f aca="false">G448-H448-J448</f>
        <v>0</v>
      </c>
      <c r="L448" s="16" t="str">
        <f aca="false">IF(G448&gt;0,K448/G448,"")</f>
        <v/>
      </c>
      <c r="M448" s="6"/>
    </row>
    <row r="449" customFormat="false" ht="15" hidden="false" customHeight="false" outlineLevel="0" collapsed="false">
      <c r="A449" s="34"/>
      <c r="B449" s="6"/>
      <c r="C449" s="0" t="str">
        <f aca="false">IF(B449="","",IFERROR(VLOOKUP(B449,'Recetas y precios'!$A$5:$B$55,2,FALSE()),""))</f>
        <v/>
      </c>
      <c r="D449" s="24"/>
      <c r="E449" s="6"/>
      <c r="F449" s="17"/>
      <c r="G449" s="15" t="n">
        <f aca="false">E449*F449</f>
        <v>0</v>
      </c>
      <c r="H449" s="15" t="n">
        <f aca="false">IF(B449="",0,E449*IFERROR(VLOOKUP(B449,'Recetas y precios'!$A$5:$R$55,18,FALSE()),0))</f>
        <v>0</v>
      </c>
      <c r="I449" s="30"/>
      <c r="J449" s="15" t="n">
        <f aca="false">G449*I449</f>
        <v>0</v>
      </c>
      <c r="K449" s="15" t="n">
        <f aca="false">G449-H449-J449</f>
        <v>0</v>
      </c>
      <c r="L449" s="16" t="str">
        <f aca="false">IF(G449&gt;0,K449/G449,"")</f>
        <v/>
      </c>
      <c r="M449" s="6"/>
    </row>
    <row r="450" customFormat="false" ht="15" hidden="false" customHeight="false" outlineLevel="0" collapsed="false">
      <c r="A450" s="34"/>
      <c r="B450" s="6"/>
      <c r="C450" s="0" t="str">
        <f aca="false">IF(B450="","",IFERROR(VLOOKUP(B450,'Recetas y precios'!$A$5:$B$55,2,FALSE()),""))</f>
        <v/>
      </c>
      <c r="D450" s="24"/>
      <c r="E450" s="6"/>
      <c r="F450" s="17"/>
      <c r="G450" s="15" t="n">
        <f aca="false">E450*F450</f>
        <v>0</v>
      </c>
      <c r="H450" s="15" t="n">
        <f aca="false">IF(B450="",0,E450*IFERROR(VLOOKUP(B450,'Recetas y precios'!$A$5:$R$55,18,FALSE()),0))</f>
        <v>0</v>
      </c>
      <c r="I450" s="30"/>
      <c r="J450" s="15" t="n">
        <f aca="false">G450*I450</f>
        <v>0</v>
      </c>
      <c r="K450" s="15" t="n">
        <f aca="false">G450-H450-J450</f>
        <v>0</v>
      </c>
      <c r="L450" s="16" t="str">
        <f aca="false">IF(G450&gt;0,K450/G450,"")</f>
        <v/>
      </c>
      <c r="M450" s="6"/>
    </row>
    <row r="451" customFormat="false" ht="15" hidden="false" customHeight="false" outlineLevel="0" collapsed="false">
      <c r="A451" s="34"/>
      <c r="B451" s="6"/>
      <c r="C451" s="0" t="str">
        <f aca="false">IF(B451="","",IFERROR(VLOOKUP(B451,'Recetas y precios'!$A$5:$B$55,2,FALSE()),""))</f>
        <v/>
      </c>
      <c r="D451" s="24"/>
      <c r="E451" s="6"/>
      <c r="F451" s="17"/>
      <c r="G451" s="15" t="n">
        <f aca="false">E451*F451</f>
        <v>0</v>
      </c>
      <c r="H451" s="15" t="n">
        <f aca="false">IF(B451="",0,E451*IFERROR(VLOOKUP(B451,'Recetas y precios'!$A$5:$R$55,18,FALSE()),0))</f>
        <v>0</v>
      </c>
      <c r="I451" s="30"/>
      <c r="J451" s="15" t="n">
        <f aca="false">G451*I451</f>
        <v>0</v>
      </c>
      <c r="K451" s="15" t="n">
        <f aca="false">G451-H451-J451</f>
        <v>0</v>
      </c>
      <c r="L451" s="16" t="str">
        <f aca="false">IF(G451&gt;0,K451/G451,"")</f>
        <v/>
      </c>
      <c r="M451" s="6"/>
    </row>
    <row r="452" customFormat="false" ht="15" hidden="false" customHeight="false" outlineLevel="0" collapsed="false">
      <c r="A452" s="34"/>
      <c r="B452" s="6"/>
      <c r="C452" s="0" t="str">
        <f aca="false">IF(B452="","",IFERROR(VLOOKUP(B452,'Recetas y precios'!$A$5:$B$55,2,FALSE()),""))</f>
        <v/>
      </c>
      <c r="D452" s="24"/>
      <c r="E452" s="6"/>
      <c r="F452" s="17"/>
      <c r="G452" s="15" t="n">
        <f aca="false">E452*F452</f>
        <v>0</v>
      </c>
      <c r="H452" s="15" t="n">
        <f aca="false">IF(B452="",0,E452*IFERROR(VLOOKUP(B452,'Recetas y precios'!$A$5:$R$55,18,FALSE()),0))</f>
        <v>0</v>
      </c>
      <c r="I452" s="30"/>
      <c r="J452" s="15" t="n">
        <f aca="false">G452*I452</f>
        <v>0</v>
      </c>
      <c r="K452" s="15" t="n">
        <f aca="false">G452-H452-J452</f>
        <v>0</v>
      </c>
      <c r="L452" s="16" t="str">
        <f aca="false">IF(G452&gt;0,K452/G452,"")</f>
        <v/>
      </c>
      <c r="M452" s="6"/>
    </row>
    <row r="453" customFormat="false" ht="15" hidden="false" customHeight="false" outlineLevel="0" collapsed="false">
      <c r="A453" s="34"/>
      <c r="B453" s="6"/>
      <c r="C453" s="0" t="str">
        <f aca="false">IF(B453="","",IFERROR(VLOOKUP(B453,'Recetas y precios'!$A$5:$B$55,2,FALSE()),""))</f>
        <v/>
      </c>
      <c r="D453" s="24"/>
      <c r="E453" s="6"/>
      <c r="F453" s="17"/>
      <c r="G453" s="15" t="n">
        <f aca="false">E453*F453</f>
        <v>0</v>
      </c>
      <c r="H453" s="15" t="n">
        <f aca="false">IF(B453="",0,E453*IFERROR(VLOOKUP(B453,'Recetas y precios'!$A$5:$R$55,18,FALSE()),0))</f>
        <v>0</v>
      </c>
      <c r="I453" s="30"/>
      <c r="J453" s="15" t="n">
        <f aca="false">G453*I453</f>
        <v>0</v>
      </c>
      <c r="K453" s="15" t="n">
        <f aca="false">G453-H453-J453</f>
        <v>0</v>
      </c>
      <c r="L453" s="16" t="str">
        <f aca="false">IF(G453&gt;0,K453/G453,"")</f>
        <v/>
      </c>
      <c r="M453" s="6"/>
    </row>
    <row r="454" customFormat="false" ht="15" hidden="false" customHeight="false" outlineLevel="0" collapsed="false">
      <c r="A454" s="34"/>
      <c r="B454" s="6"/>
      <c r="C454" s="0" t="str">
        <f aca="false">IF(B454="","",IFERROR(VLOOKUP(B454,'Recetas y precios'!$A$5:$B$55,2,FALSE()),""))</f>
        <v/>
      </c>
      <c r="D454" s="24"/>
      <c r="E454" s="6"/>
      <c r="F454" s="17"/>
      <c r="G454" s="15" t="n">
        <f aca="false">E454*F454</f>
        <v>0</v>
      </c>
      <c r="H454" s="15" t="n">
        <f aca="false">IF(B454="",0,E454*IFERROR(VLOOKUP(B454,'Recetas y precios'!$A$5:$R$55,18,FALSE()),0))</f>
        <v>0</v>
      </c>
      <c r="I454" s="30"/>
      <c r="J454" s="15" t="n">
        <f aca="false">G454*I454</f>
        <v>0</v>
      </c>
      <c r="K454" s="15" t="n">
        <f aca="false">G454-H454-J454</f>
        <v>0</v>
      </c>
      <c r="L454" s="16" t="str">
        <f aca="false">IF(G454&gt;0,K454/G454,"")</f>
        <v/>
      </c>
      <c r="M454" s="6"/>
    </row>
    <row r="455" customFormat="false" ht="15" hidden="false" customHeight="false" outlineLevel="0" collapsed="false">
      <c r="A455" s="34"/>
      <c r="B455" s="6"/>
      <c r="C455" s="0" t="str">
        <f aca="false">IF(B455="","",IFERROR(VLOOKUP(B455,'Recetas y precios'!$A$5:$B$55,2,FALSE()),""))</f>
        <v/>
      </c>
      <c r="D455" s="24"/>
      <c r="E455" s="6"/>
      <c r="F455" s="17"/>
      <c r="G455" s="15" t="n">
        <f aca="false">E455*F455</f>
        <v>0</v>
      </c>
      <c r="H455" s="15" t="n">
        <f aca="false">IF(B455="",0,E455*IFERROR(VLOOKUP(B455,'Recetas y precios'!$A$5:$R$55,18,FALSE()),0))</f>
        <v>0</v>
      </c>
      <c r="I455" s="30"/>
      <c r="J455" s="15" t="n">
        <f aca="false">G455*I455</f>
        <v>0</v>
      </c>
      <c r="K455" s="15" t="n">
        <f aca="false">G455-H455-J455</f>
        <v>0</v>
      </c>
      <c r="L455" s="16" t="str">
        <f aca="false">IF(G455&gt;0,K455/G455,"")</f>
        <v/>
      </c>
      <c r="M455" s="6"/>
    </row>
    <row r="456" customFormat="false" ht="15" hidden="false" customHeight="false" outlineLevel="0" collapsed="false">
      <c r="A456" s="34"/>
      <c r="B456" s="6"/>
      <c r="C456" s="0" t="str">
        <f aca="false">IF(B456="","",IFERROR(VLOOKUP(B456,'Recetas y precios'!$A$5:$B$55,2,FALSE()),""))</f>
        <v/>
      </c>
      <c r="D456" s="24"/>
      <c r="E456" s="6"/>
      <c r="F456" s="17"/>
      <c r="G456" s="15" t="n">
        <f aca="false">E456*F456</f>
        <v>0</v>
      </c>
      <c r="H456" s="15" t="n">
        <f aca="false">IF(B456="",0,E456*IFERROR(VLOOKUP(B456,'Recetas y precios'!$A$5:$R$55,18,FALSE()),0))</f>
        <v>0</v>
      </c>
      <c r="I456" s="30"/>
      <c r="J456" s="15" t="n">
        <f aca="false">G456*I456</f>
        <v>0</v>
      </c>
      <c r="K456" s="15" t="n">
        <f aca="false">G456-H456-J456</f>
        <v>0</v>
      </c>
      <c r="L456" s="16" t="str">
        <f aca="false">IF(G456&gt;0,K456/G456,"")</f>
        <v/>
      </c>
      <c r="M456" s="6"/>
    </row>
    <row r="457" customFormat="false" ht="15" hidden="false" customHeight="false" outlineLevel="0" collapsed="false">
      <c r="A457" s="34"/>
      <c r="B457" s="6"/>
      <c r="C457" s="0" t="str">
        <f aca="false">IF(B457="","",IFERROR(VLOOKUP(B457,'Recetas y precios'!$A$5:$B$55,2,FALSE()),""))</f>
        <v/>
      </c>
      <c r="D457" s="24"/>
      <c r="E457" s="6"/>
      <c r="F457" s="17"/>
      <c r="G457" s="15" t="n">
        <f aca="false">E457*F457</f>
        <v>0</v>
      </c>
      <c r="H457" s="15" t="n">
        <f aca="false">IF(B457="",0,E457*IFERROR(VLOOKUP(B457,'Recetas y precios'!$A$5:$R$55,18,FALSE()),0))</f>
        <v>0</v>
      </c>
      <c r="I457" s="30"/>
      <c r="J457" s="15" t="n">
        <f aca="false">G457*I457</f>
        <v>0</v>
      </c>
      <c r="K457" s="15" t="n">
        <f aca="false">G457-H457-J457</f>
        <v>0</v>
      </c>
      <c r="L457" s="16" t="str">
        <f aca="false">IF(G457&gt;0,K457/G457,"")</f>
        <v/>
      </c>
      <c r="M457" s="6"/>
    </row>
    <row r="458" customFormat="false" ht="15" hidden="false" customHeight="false" outlineLevel="0" collapsed="false">
      <c r="A458" s="34"/>
      <c r="B458" s="6"/>
      <c r="C458" s="0" t="str">
        <f aca="false">IF(B458="","",IFERROR(VLOOKUP(B458,'Recetas y precios'!$A$5:$B$55,2,FALSE()),""))</f>
        <v/>
      </c>
      <c r="D458" s="24"/>
      <c r="E458" s="6"/>
      <c r="F458" s="17"/>
      <c r="G458" s="15" t="n">
        <f aca="false">E458*F458</f>
        <v>0</v>
      </c>
      <c r="H458" s="15" t="n">
        <f aca="false">IF(B458="",0,E458*IFERROR(VLOOKUP(B458,'Recetas y precios'!$A$5:$R$55,18,FALSE()),0))</f>
        <v>0</v>
      </c>
      <c r="I458" s="30"/>
      <c r="J458" s="15" t="n">
        <f aca="false">G458*I458</f>
        <v>0</v>
      </c>
      <c r="K458" s="15" t="n">
        <f aca="false">G458-H458-J458</f>
        <v>0</v>
      </c>
      <c r="L458" s="16" t="str">
        <f aca="false">IF(G458&gt;0,K458/G458,"")</f>
        <v/>
      </c>
      <c r="M458" s="6"/>
    </row>
    <row r="459" customFormat="false" ht="15" hidden="false" customHeight="false" outlineLevel="0" collapsed="false">
      <c r="A459" s="34"/>
      <c r="B459" s="6"/>
      <c r="C459" s="0" t="str">
        <f aca="false">IF(B459="","",IFERROR(VLOOKUP(B459,'Recetas y precios'!$A$5:$B$55,2,FALSE()),""))</f>
        <v/>
      </c>
      <c r="D459" s="24"/>
      <c r="E459" s="6"/>
      <c r="F459" s="17"/>
      <c r="G459" s="15" t="n">
        <f aca="false">E459*F459</f>
        <v>0</v>
      </c>
      <c r="H459" s="15" t="n">
        <f aca="false">IF(B459="",0,E459*IFERROR(VLOOKUP(B459,'Recetas y precios'!$A$5:$R$55,18,FALSE()),0))</f>
        <v>0</v>
      </c>
      <c r="I459" s="30"/>
      <c r="J459" s="15" t="n">
        <f aca="false">G459*I459</f>
        <v>0</v>
      </c>
      <c r="K459" s="15" t="n">
        <f aca="false">G459-H459-J459</f>
        <v>0</v>
      </c>
      <c r="L459" s="16" t="str">
        <f aca="false">IF(G459&gt;0,K459/G459,"")</f>
        <v/>
      </c>
      <c r="M459" s="6"/>
    </row>
    <row r="460" customFormat="false" ht="15" hidden="false" customHeight="false" outlineLevel="0" collapsed="false">
      <c r="A460" s="34"/>
      <c r="B460" s="6"/>
      <c r="C460" s="0" t="str">
        <f aca="false">IF(B460="","",IFERROR(VLOOKUP(B460,'Recetas y precios'!$A$5:$B$55,2,FALSE()),""))</f>
        <v/>
      </c>
      <c r="D460" s="24"/>
      <c r="E460" s="6"/>
      <c r="F460" s="17"/>
      <c r="G460" s="15" t="n">
        <f aca="false">E460*F460</f>
        <v>0</v>
      </c>
      <c r="H460" s="15" t="n">
        <f aca="false">IF(B460="",0,E460*IFERROR(VLOOKUP(B460,'Recetas y precios'!$A$5:$R$55,18,FALSE()),0))</f>
        <v>0</v>
      </c>
      <c r="I460" s="30"/>
      <c r="J460" s="15" t="n">
        <f aca="false">G460*I460</f>
        <v>0</v>
      </c>
      <c r="K460" s="15" t="n">
        <f aca="false">G460-H460-J460</f>
        <v>0</v>
      </c>
      <c r="L460" s="16" t="str">
        <f aca="false">IF(G460&gt;0,K460/G460,"")</f>
        <v/>
      </c>
      <c r="M460" s="6"/>
    </row>
    <row r="461" customFormat="false" ht="15" hidden="false" customHeight="false" outlineLevel="0" collapsed="false">
      <c r="A461" s="34"/>
      <c r="B461" s="6"/>
      <c r="C461" s="0" t="str">
        <f aca="false">IF(B461="","",IFERROR(VLOOKUP(B461,'Recetas y precios'!$A$5:$B$55,2,FALSE()),""))</f>
        <v/>
      </c>
      <c r="D461" s="24"/>
      <c r="E461" s="6"/>
      <c r="F461" s="17"/>
      <c r="G461" s="15" t="n">
        <f aca="false">E461*F461</f>
        <v>0</v>
      </c>
      <c r="H461" s="15" t="n">
        <f aca="false">IF(B461="",0,E461*IFERROR(VLOOKUP(B461,'Recetas y precios'!$A$5:$R$55,18,FALSE()),0))</f>
        <v>0</v>
      </c>
      <c r="I461" s="30"/>
      <c r="J461" s="15" t="n">
        <f aca="false">G461*I461</f>
        <v>0</v>
      </c>
      <c r="K461" s="15" t="n">
        <f aca="false">G461-H461-J461</f>
        <v>0</v>
      </c>
      <c r="L461" s="16" t="str">
        <f aca="false">IF(G461&gt;0,K461/G461,"")</f>
        <v/>
      </c>
      <c r="M461" s="6"/>
    </row>
    <row r="462" customFormat="false" ht="15" hidden="false" customHeight="false" outlineLevel="0" collapsed="false">
      <c r="A462" s="34"/>
      <c r="B462" s="6"/>
      <c r="C462" s="0" t="str">
        <f aca="false">IF(B462="","",IFERROR(VLOOKUP(B462,'Recetas y precios'!$A$5:$B$55,2,FALSE()),""))</f>
        <v/>
      </c>
      <c r="D462" s="24"/>
      <c r="E462" s="6"/>
      <c r="F462" s="17"/>
      <c r="G462" s="15" t="n">
        <f aca="false">E462*F462</f>
        <v>0</v>
      </c>
      <c r="H462" s="15" t="n">
        <f aca="false">IF(B462="",0,E462*IFERROR(VLOOKUP(B462,'Recetas y precios'!$A$5:$R$55,18,FALSE()),0))</f>
        <v>0</v>
      </c>
      <c r="I462" s="30"/>
      <c r="J462" s="15" t="n">
        <f aca="false">G462*I462</f>
        <v>0</v>
      </c>
      <c r="K462" s="15" t="n">
        <f aca="false">G462-H462-J462</f>
        <v>0</v>
      </c>
      <c r="L462" s="16" t="str">
        <f aca="false">IF(G462&gt;0,K462/G462,"")</f>
        <v/>
      </c>
      <c r="M462" s="6"/>
    </row>
    <row r="463" customFormat="false" ht="15" hidden="false" customHeight="false" outlineLevel="0" collapsed="false">
      <c r="A463" s="34"/>
      <c r="B463" s="6"/>
      <c r="C463" s="0" t="str">
        <f aca="false">IF(B463="","",IFERROR(VLOOKUP(B463,'Recetas y precios'!$A$5:$B$55,2,FALSE()),""))</f>
        <v/>
      </c>
      <c r="D463" s="24"/>
      <c r="E463" s="6"/>
      <c r="F463" s="17"/>
      <c r="G463" s="15" t="n">
        <f aca="false">E463*F463</f>
        <v>0</v>
      </c>
      <c r="H463" s="15" t="n">
        <f aca="false">IF(B463="",0,E463*IFERROR(VLOOKUP(B463,'Recetas y precios'!$A$5:$R$55,18,FALSE()),0))</f>
        <v>0</v>
      </c>
      <c r="I463" s="30"/>
      <c r="J463" s="15" t="n">
        <f aca="false">G463*I463</f>
        <v>0</v>
      </c>
      <c r="K463" s="15" t="n">
        <f aca="false">G463-H463-J463</f>
        <v>0</v>
      </c>
      <c r="L463" s="16" t="str">
        <f aca="false">IF(G463&gt;0,K463/G463,"")</f>
        <v/>
      </c>
      <c r="M463" s="6"/>
    </row>
    <row r="464" customFormat="false" ht="15" hidden="false" customHeight="false" outlineLevel="0" collapsed="false">
      <c r="A464" s="34"/>
      <c r="B464" s="6"/>
      <c r="C464" s="0" t="str">
        <f aca="false">IF(B464="","",IFERROR(VLOOKUP(B464,'Recetas y precios'!$A$5:$B$55,2,FALSE()),""))</f>
        <v/>
      </c>
      <c r="D464" s="24"/>
      <c r="E464" s="6"/>
      <c r="F464" s="17"/>
      <c r="G464" s="15" t="n">
        <f aca="false">E464*F464</f>
        <v>0</v>
      </c>
      <c r="H464" s="15" t="n">
        <f aca="false">IF(B464="",0,E464*IFERROR(VLOOKUP(B464,'Recetas y precios'!$A$5:$R$55,18,FALSE()),0))</f>
        <v>0</v>
      </c>
      <c r="I464" s="30"/>
      <c r="J464" s="15" t="n">
        <f aca="false">G464*I464</f>
        <v>0</v>
      </c>
      <c r="K464" s="15" t="n">
        <f aca="false">G464-H464-J464</f>
        <v>0</v>
      </c>
      <c r="L464" s="16" t="str">
        <f aca="false">IF(G464&gt;0,K464/G464,"")</f>
        <v/>
      </c>
      <c r="M464" s="6"/>
    </row>
    <row r="465" customFormat="false" ht="15" hidden="false" customHeight="false" outlineLevel="0" collapsed="false">
      <c r="A465" s="34"/>
      <c r="B465" s="6"/>
      <c r="C465" s="0" t="str">
        <f aca="false">IF(B465="","",IFERROR(VLOOKUP(B465,'Recetas y precios'!$A$5:$B$55,2,FALSE()),""))</f>
        <v/>
      </c>
      <c r="D465" s="24"/>
      <c r="E465" s="6"/>
      <c r="F465" s="17"/>
      <c r="G465" s="15" t="n">
        <f aca="false">E465*F465</f>
        <v>0</v>
      </c>
      <c r="H465" s="15" t="n">
        <f aca="false">IF(B465="",0,E465*IFERROR(VLOOKUP(B465,'Recetas y precios'!$A$5:$R$55,18,FALSE()),0))</f>
        <v>0</v>
      </c>
      <c r="I465" s="30"/>
      <c r="J465" s="15" t="n">
        <f aca="false">G465*I465</f>
        <v>0</v>
      </c>
      <c r="K465" s="15" t="n">
        <f aca="false">G465-H465-J465</f>
        <v>0</v>
      </c>
      <c r="L465" s="16" t="str">
        <f aca="false">IF(G465&gt;0,K465/G465,"")</f>
        <v/>
      </c>
      <c r="M465" s="6"/>
    </row>
    <row r="466" customFormat="false" ht="15" hidden="false" customHeight="false" outlineLevel="0" collapsed="false">
      <c r="A466" s="34"/>
      <c r="B466" s="6"/>
      <c r="C466" s="0" t="str">
        <f aca="false">IF(B466="","",IFERROR(VLOOKUP(B466,'Recetas y precios'!$A$5:$B$55,2,FALSE()),""))</f>
        <v/>
      </c>
      <c r="D466" s="24"/>
      <c r="E466" s="6"/>
      <c r="F466" s="17"/>
      <c r="G466" s="15" t="n">
        <f aca="false">E466*F466</f>
        <v>0</v>
      </c>
      <c r="H466" s="15" t="n">
        <f aca="false">IF(B466="",0,E466*IFERROR(VLOOKUP(B466,'Recetas y precios'!$A$5:$R$55,18,FALSE()),0))</f>
        <v>0</v>
      </c>
      <c r="I466" s="30"/>
      <c r="J466" s="15" t="n">
        <f aca="false">G466*I466</f>
        <v>0</v>
      </c>
      <c r="K466" s="15" t="n">
        <f aca="false">G466-H466-J466</f>
        <v>0</v>
      </c>
      <c r="L466" s="16" t="str">
        <f aca="false">IF(G466&gt;0,K466/G466,"")</f>
        <v/>
      </c>
      <c r="M466" s="6"/>
    </row>
    <row r="467" customFormat="false" ht="15" hidden="false" customHeight="false" outlineLevel="0" collapsed="false">
      <c r="A467" s="34"/>
      <c r="B467" s="6"/>
      <c r="C467" s="0" t="str">
        <f aca="false">IF(B467="","",IFERROR(VLOOKUP(B467,'Recetas y precios'!$A$5:$B$55,2,FALSE()),""))</f>
        <v/>
      </c>
      <c r="D467" s="24"/>
      <c r="E467" s="6"/>
      <c r="F467" s="17"/>
      <c r="G467" s="15" t="n">
        <f aca="false">E467*F467</f>
        <v>0</v>
      </c>
      <c r="H467" s="15" t="n">
        <f aca="false">IF(B467="",0,E467*IFERROR(VLOOKUP(B467,'Recetas y precios'!$A$5:$R$55,18,FALSE()),0))</f>
        <v>0</v>
      </c>
      <c r="I467" s="30"/>
      <c r="J467" s="15" t="n">
        <f aca="false">G467*I467</f>
        <v>0</v>
      </c>
      <c r="K467" s="15" t="n">
        <f aca="false">G467-H467-J467</f>
        <v>0</v>
      </c>
      <c r="L467" s="16" t="str">
        <f aca="false">IF(G467&gt;0,K467/G467,"")</f>
        <v/>
      </c>
      <c r="M467" s="6"/>
    </row>
    <row r="468" customFormat="false" ht="15" hidden="false" customHeight="false" outlineLevel="0" collapsed="false">
      <c r="A468" s="34"/>
      <c r="B468" s="6"/>
      <c r="C468" s="0" t="str">
        <f aca="false">IF(B468="","",IFERROR(VLOOKUP(B468,'Recetas y precios'!$A$5:$B$55,2,FALSE()),""))</f>
        <v/>
      </c>
      <c r="D468" s="24"/>
      <c r="E468" s="6"/>
      <c r="F468" s="17"/>
      <c r="G468" s="15" t="n">
        <f aca="false">E468*F468</f>
        <v>0</v>
      </c>
      <c r="H468" s="15" t="n">
        <f aca="false">IF(B468="",0,E468*IFERROR(VLOOKUP(B468,'Recetas y precios'!$A$5:$R$55,18,FALSE()),0))</f>
        <v>0</v>
      </c>
      <c r="I468" s="30"/>
      <c r="J468" s="15" t="n">
        <f aca="false">G468*I468</f>
        <v>0</v>
      </c>
      <c r="K468" s="15" t="n">
        <f aca="false">G468-H468-J468</f>
        <v>0</v>
      </c>
      <c r="L468" s="16" t="str">
        <f aca="false">IF(G468&gt;0,K468/G468,"")</f>
        <v/>
      </c>
      <c r="M468" s="6"/>
    </row>
    <row r="469" customFormat="false" ht="15" hidden="false" customHeight="false" outlineLevel="0" collapsed="false">
      <c r="A469" s="34"/>
      <c r="B469" s="6"/>
      <c r="C469" s="0" t="str">
        <f aca="false">IF(B469="","",IFERROR(VLOOKUP(B469,'Recetas y precios'!$A$5:$B$55,2,FALSE()),""))</f>
        <v/>
      </c>
      <c r="D469" s="24"/>
      <c r="E469" s="6"/>
      <c r="F469" s="17"/>
      <c r="G469" s="15" t="n">
        <f aca="false">E469*F469</f>
        <v>0</v>
      </c>
      <c r="H469" s="15" t="n">
        <f aca="false">IF(B469="",0,E469*IFERROR(VLOOKUP(B469,'Recetas y precios'!$A$5:$R$55,18,FALSE()),0))</f>
        <v>0</v>
      </c>
      <c r="I469" s="30"/>
      <c r="J469" s="15" t="n">
        <f aca="false">G469*I469</f>
        <v>0</v>
      </c>
      <c r="K469" s="15" t="n">
        <f aca="false">G469-H469-J469</f>
        <v>0</v>
      </c>
      <c r="L469" s="16" t="str">
        <f aca="false">IF(G469&gt;0,K469/G469,"")</f>
        <v/>
      </c>
      <c r="M469" s="6"/>
    </row>
    <row r="470" customFormat="false" ht="15" hidden="false" customHeight="false" outlineLevel="0" collapsed="false">
      <c r="A470" s="34"/>
      <c r="B470" s="6"/>
      <c r="C470" s="0" t="str">
        <f aca="false">IF(B470="","",IFERROR(VLOOKUP(B470,'Recetas y precios'!$A$5:$B$55,2,FALSE()),""))</f>
        <v/>
      </c>
      <c r="D470" s="24"/>
      <c r="E470" s="6"/>
      <c r="F470" s="17"/>
      <c r="G470" s="15" t="n">
        <f aca="false">E470*F470</f>
        <v>0</v>
      </c>
      <c r="H470" s="15" t="n">
        <f aca="false">IF(B470="",0,E470*IFERROR(VLOOKUP(B470,'Recetas y precios'!$A$5:$R$55,18,FALSE()),0))</f>
        <v>0</v>
      </c>
      <c r="I470" s="30"/>
      <c r="J470" s="15" t="n">
        <f aca="false">G470*I470</f>
        <v>0</v>
      </c>
      <c r="K470" s="15" t="n">
        <f aca="false">G470-H470-J470</f>
        <v>0</v>
      </c>
      <c r="L470" s="16" t="str">
        <f aca="false">IF(G470&gt;0,K470/G470,"")</f>
        <v/>
      </c>
      <c r="M470" s="6"/>
    </row>
    <row r="471" customFormat="false" ht="15" hidden="false" customHeight="false" outlineLevel="0" collapsed="false">
      <c r="A471" s="34"/>
      <c r="B471" s="6"/>
      <c r="C471" s="0" t="str">
        <f aca="false">IF(B471="","",IFERROR(VLOOKUP(B471,'Recetas y precios'!$A$5:$B$55,2,FALSE()),""))</f>
        <v/>
      </c>
      <c r="D471" s="24"/>
      <c r="E471" s="6"/>
      <c r="F471" s="17"/>
      <c r="G471" s="15" t="n">
        <f aca="false">E471*F471</f>
        <v>0</v>
      </c>
      <c r="H471" s="15" t="n">
        <f aca="false">IF(B471="",0,E471*IFERROR(VLOOKUP(B471,'Recetas y precios'!$A$5:$R$55,18,FALSE()),0))</f>
        <v>0</v>
      </c>
      <c r="I471" s="30"/>
      <c r="J471" s="15" t="n">
        <f aca="false">G471*I471</f>
        <v>0</v>
      </c>
      <c r="K471" s="15" t="n">
        <f aca="false">G471-H471-J471</f>
        <v>0</v>
      </c>
      <c r="L471" s="16" t="str">
        <f aca="false">IF(G471&gt;0,K471/G471,"")</f>
        <v/>
      </c>
      <c r="M471" s="6"/>
    </row>
    <row r="472" customFormat="false" ht="15" hidden="false" customHeight="false" outlineLevel="0" collapsed="false">
      <c r="A472" s="34"/>
      <c r="B472" s="6"/>
      <c r="C472" s="0" t="str">
        <f aca="false">IF(B472="","",IFERROR(VLOOKUP(B472,'Recetas y precios'!$A$5:$B$55,2,FALSE()),""))</f>
        <v/>
      </c>
      <c r="D472" s="24"/>
      <c r="E472" s="6"/>
      <c r="F472" s="17"/>
      <c r="G472" s="15" t="n">
        <f aca="false">E472*F472</f>
        <v>0</v>
      </c>
      <c r="H472" s="15" t="n">
        <f aca="false">IF(B472="",0,E472*IFERROR(VLOOKUP(B472,'Recetas y precios'!$A$5:$R$55,18,FALSE()),0))</f>
        <v>0</v>
      </c>
      <c r="I472" s="30"/>
      <c r="J472" s="15" t="n">
        <f aca="false">G472*I472</f>
        <v>0</v>
      </c>
      <c r="K472" s="15" t="n">
        <f aca="false">G472-H472-J472</f>
        <v>0</v>
      </c>
      <c r="L472" s="16" t="str">
        <f aca="false">IF(G472&gt;0,K472/G472,"")</f>
        <v/>
      </c>
      <c r="M472" s="6"/>
    </row>
    <row r="473" customFormat="false" ht="15" hidden="false" customHeight="false" outlineLevel="0" collapsed="false">
      <c r="A473" s="34"/>
      <c r="B473" s="6"/>
      <c r="C473" s="0" t="str">
        <f aca="false">IF(B473="","",IFERROR(VLOOKUP(B473,'Recetas y precios'!$A$5:$B$55,2,FALSE()),""))</f>
        <v/>
      </c>
      <c r="D473" s="24"/>
      <c r="E473" s="6"/>
      <c r="F473" s="17"/>
      <c r="G473" s="15" t="n">
        <f aca="false">E473*F473</f>
        <v>0</v>
      </c>
      <c r="H473" s="15" t="n">
        <f aca="false">IF(B473="",0,E473*IFERROR(VLOOKUP(B473,'Recetas y precios'!$A$5:$R$55,18,FALSE()),0))</f>
        <v>0</v>
      </c>
      <c r="I473" s="30"/>
      <c r="J473" s="15" t="n">
        <f aca="false">G473*I473</f>
        <v>0</v>
      </c>
      <c r="K473" s="15" t="n">
        <f aca="false">G473-H473-J473</f>
        <v>0</v>
      </c>
      <c r="L473" s="16" t="str">
        <f aca="false">IF(G473&gt;0,K473/G473,"")</f>
        <v/>
      </c>
      <c r="M473" s="6"/>
    </row>
    <row r="474" customFormat="false" ht="15" hidden="false" customHeight="false" outlineLevel="0" collapsed="false">
      <c r="A474" s="34"/>
      <c r="B474" s="6"/>
      <c r="C474" s="0" t="str">
        <f aca="false">IF(B474="","",IFERROR(VLOOKUP(B474,'Recetas y precios'!$A$5:$B$55,2,FALSE()),""))</f>
        <v/>
      </c>
      <c r="D474" s="24"/>
      <c r="E474" s="6"/>
      <c r="F474" s="17"/>
      <c r="G474" s="15" t="n">
        <f aca="false">E474*F474</f>
        <v>0</v>
      </c>
      <c r="H474" s="15" t="n">
        <f aca="false">IF(B474="",0,E474*IFERROR(VLOOKUP(B474,'Recetas y precios'!$A$5:$R$55,18,FALSE()),0))</f>
        <v>0</v>
      </c>
      <c r="I474" s="30"/>
      <c r="J474" s="15" t="n">
        <f aca="false">G474*I474</f>
        <v>0</v>
      </c>
      <c r="K474" s="15" t="n">
        <f aca="false">G474-H474-J474</f>
        <v>0</v>
      </c>
      <c r="L474" s="16" t="str">
        <f aca="false">IF(G474&gt;0,K474/G474,"")</f>
        <v/>
      </c>
      <c r="M474" s="6"/>
    </row>
    <row r="475" customFormat="false" ht="15" hidden="false" customHeight="false" outlineLevel="0" collapsed="false">
      <c r="A475" s="34"/>
      <c r="B475" s="6"/>
      <c r="C475" s="0" t="str">
        <f aca="false">IF(B475="","",IFERROR(VLOOKUP(B475,'Recetas y precios'!$A$5:$B$55,2,FALSE()),""))</f>
        <v/>
      </c>
      <c r="D475" s="24"/>
      <c r="E475" s="6"/>
      <c r="F475" s="17"/>
      <c r="G475" s="15" t="n">
        <f aca="false">E475*F475</f>
        <v>0</v>
      </c>
      <c r="H475" s="15" t="n">
        <f aca="false">IF(B475="",0,E475*IFERROR(VLOOKUP(B475,'Recetas y precios'!$A$5:$R$55,18,FALSE()),0))</f>
        <v>0</v>
      </c>
      <c r="I475" s="30"/>
      <c r="J475" s="15" t="n">
        <f aca="false">G475*I475</f>
        <v>0</v>
      </c>
      <c r="K475" s="15" t="n">
        <f aca="false">G475-H475-J475</f>
        <v>0</v>
      </c>
      <c r="L475" s="16" t="str">
        <f aca="false">IF(G475&gt;0,K475/G475,"")</f>
        <v/>
      </c>
      <c r="M475" s="6"/>
    </row>
    <row r="476" customFormat="false" ht="15" hidden="false" customHeight="false" outlineLevel="0" collapsed="false">
      <c r="A476" s="34"/>
      <c r="B476" s="6"/>
      <c r="C476" s="0" t="str">
        <f aca="false">IF(B476="","",IFERROR(VLOOKUP(B476,'Recetas y precios'!$A$5:$B$55,2,FALSE()),""))</f>
        <v/>
      </c>
      <c r="D476" s="24"/>
      <c r="E476" s="6"/>
      <c r="F476" s="17"/>
      <c r="G476" s="15" t="n">
        <f aca="false">E476*F476</f>
        <v>0</v>
      </c>
      <c r="H476" s="15" t="n">
        <f aca="false">IF(B476="",0,E476*IFERROR(VLOOKUP(B476,'Recetas y precios'!$A$5:$R$55,18,FALSE()),0))</f>
        <v>0</v>
      </c>
      <c r="I476" s="30"/>
      <c r="J476" s="15" t="n">
        <f aca="false">G476*I476</f>
        <v>0</v>
      </c>
      <c r="K476" s="15" t="n">
        <f aca="false">G476-H476-J476</f>
        <v>0</v>
      </c>
      <c r="L476" s="16" t="str">
        <f aca="false">IF(G476&gt;0,K476/G476,"")</f>
        <v/>
      </c>
      <c r="M476" s="6"/>
    </row>
    <row r="477" customFormat="false" ht="15" hidden="false" customHeight="false" outlineLevel="0" collapsed="false">
      <c r="A477" s="34"/>
      <c r="B477" s="6"/>
      <c r="C477" s="0" t="str">
        <f aca="false">IF(B477="","",IFERROR(VLOOKUP(B477,'Recetas y precios'!$A$5:$B$55,2,FALSE()),""))</f>
        <v/>
      </c>
      <c r="D477" s="24"/>
      <c r="E477" s="6"/>
      <c r="F477" s="17"/>
      <c r="G477" s="15" t="n">
        <f aca="false">E477*F477</f>
        <v>0</v>
      </c>
      <c r="H477" s="15" t="n">
        <f aca="false">IF(B477="",0,E477*IFERROR(VLOOKUP(B477,'Recetas y precios'!$A$5:$R$55,18,FALSE()),0))</f>
        <v>0</v>
      </c>
      <c r="I477" s="30"/>
      <c r="J477" s="15" t="n">
        <f aca="false">G477*I477</f>
        <v>0</v>
      </c>
      <c r="K477" s="15" t="n">
        <f aca="false">G477-H477-J477</f>
        <v>0</v>
      </c>
      <c r="L477" s="16" t="str">
        <f aca="false">IF(G477&gt;0,K477/G477,"")</f>
        <v/>
      </c>
      <c r="M477" s="6"/>
    </row>
    <row r="478" customFormat="false" ht="15" hidden="false" customHeight="false" outlineLevel="0" collapsed="false">
      <c r="A478" s="34"/>
      <c r="B478" s="6"/>
      <c r="C478" s="0" t="str">
        <f aca="false">IF(B478="","",IFERROR(VLOOKUP(B478,'Recetas y precios'!$A$5:$B$55,2,FALSE()),""))</f>
        <v/>
      </c>
      <c r="D478" s="24"/>
      <c r="E478" s="6"/>
      <c r="F478" s="17"/>
      <c r="G478" s="15" t="n">
        <f aca="false">E478*F478</f>
        <v>0</v>
      </c>
      <c r="H478" s="15" t="n">
        <f aca="false">IF(B478="",0,E478*IFERROR(VLOOKUP(B478,'Recetas y precios'!$A$5:$R$55,18,FALSE()),0))</f>
        <v>0</v>
      </c>
      <c r="I478" s="30"/>
      <c r="J478" s="15" t="n">
        <f aca="false">G478*I478</f>
        <v>0</v>
      </c>
      <c r="K478" s="15" t="n">
        <f aca="false">G478-H478-J478</f>
        <v>0</v>
      </c>
      <c r="L478" s="16" t="str">
        <f aca="false">IF(G478&gt;0,K478/G478,"")</f>
        <v/>
      </c>
      <c r="M478" s="6"/>
    </row>
    <row r="479" customFormat="false" ht="15" hidden="false" customHeight="false" outlineLevel="0" collapsed="false">
      <c r="A479" s="34"/>
      <c r="B479" s="6"/>
      <c r="C479" s="0" t="str">
        <f aca="false">IF(B479="","",IFERROR(VLOOKUP(B479,'Recetas y precios'!$A$5:$B$55,2,FALSE()),""))</f>
        <v/>
      </c>
      <c r="D479" s="24"/>
      <c r="E479" s="6"/>
      <c r="F479" s="17"/>
      <c r="G479" s="15" t="n">
        <f aca="false">E479*F479</f>
        <v>0</v>
      </c>
      <c r="H479" s="15" t="n">
        <f aca="false">IF(B479="",0,E479*IFERROR(VLOOKUP(B479,'Recetas y precios'!$A$5:$R$55,18,FALSE()),0))</f>
        <v>0</v>
      </c>
      <c r="I479" s="30"/>
      <c r="J479" s="15" t="n">
        <f aca="false">G479*I479</f>
        <v>0</v>
      </c>
      <c r="K479" s="15" t="n">
        <f aca="false">G479-H479-J479</f>
        <v>0</v>
      </c>
      <c r="L479" s="16" t="str">
        <f aca="false">IF(G479&gt;0,K479/G479,"")</f>
        <v/>
      </c>
      <c r="M479" s="6"/>
    </row>
    <row r="480" customFormat="false" ht="15" hidden="false" customHeight="false" outlineLevel="0" collapsed="false">
      <c r="A480" s="34"/>
      <c r="B480" s="6"/>
      <c r="C480" s="0" t="str">
        <f aca="false">IF(B480="","",IFERROR(VLOOKUP(B480,'Recetas y precios'!$A$5:$B$55,2,FALSE()),""))</f>
        <v/>
      </c>
      <c r="D480" s="24"/>
      <c r="E480" s="6"/>
      <c r="F480" s="17"/>
      <c r="G480" s="15" t="n">
        <f aca="false">E480*F480</f>
        <v>0</v>
      </c>
      <c r="H480" s="15" t="n">
        <f aca="false">IF(B480="",0,E480*IFERROR(VLOOKUP(B480,'Recetas y precios'!$A$5:$R$55,18,FALSE()),0))</f>
        <v>0</v>
      </c>
      <c r="I480" s="30"/>
      <c r="J480" s="15" t="n">
        <f aca="false">G480*I480</f>
        <v>0</v>
      </c>
      <c r="K480" s="15" t="n">
        <f aca="false">G480-H480-J480</f>
        <v>0</v>
      </c>
      <c r="L480" s="16" t="str">
        <f aca="false">IF(G480&gt;0,K480/G480,"")</f>
        <v/>
      </c>
      <c r="M480" s="6"/>
    </row>
    <row r="481" customFormat="false" ht="15" hidden="false" customHeight="false" outlineLevel="0" collapsed="false">
      <c r="A481" s="34"/>
      <c r="B481" s="6"/>
      <c r="C481" s="0" t="str">
        <f aca="false">IF(B481="","",IFERROR(VLOOKUP(B481,'Recetas y precios'!$A$5:$B$55,2,FALSE()),""))</f>
        <v/>
      </c>
      <c r="D481" s="24"/>
      <c r="E481" s="6"/>
      <c r="F481" s="17"/>
      <c r="G481" s="15" t="n">
        <f aca="false">E481*F481</f>
        <v>0</v>
      </c>
      <c r="H481" s="15" t="n">
        <f aca="false">IF(B481="",0,E481*IFERROR(VLOOKUP(B481,'Recetas y precios'!$A$5:$R$55,18,FALSE()),0))</f>
        <v>0</v>
      </c>
      <c r="I481" s="30"/>
      <c r="J481" s="15" t="n">
        <f aca="false">G481*I481</f>
        <v>0</v>
      </c>
      <c r="K481" s="15" t="n">
        <f aca="false">G481-H481-J481</f>
        <v>0</v>
      </c>
      <c r="L481" s="16" t="str">
        <f aca="false">IF(G481&gt;0,K481/G481,"")</f>
        <v/>
      </c>
      <c r="M481" s="6"/>
    </row>
    <row r="482" customFormat="false" ht="15" hidden="false" customHeight="false" outlineLevel="0" collapsed="false">
      <c r="A482" s="34"/>
      <c r="B482" s="6"/>
      <c r="C482" s="0" t="str">
        <f aca="false">IF(B482="","",IFERROR(VLOOKUP(B482,'Recetas y precios'!$A$5:$B$55,2,FALSE()),""))</f>
        <v/>
      </c>
      <c r="D482" s="24"/>
      <c r="E482" s="6"/>
      <c r="F482" s="17"/>
      <c r="G482" s="15" t="n">
        <f aca="false">E482*F482</f>
        <v>0</v>
      </c>
      <c r="H482" s="15" t="n">
        <f aca="false">IF(B482="",0,E482*IFERROR(VLOOKUP(B482,'Recetas y precios'!$A$5:$R$55,18,FALSE()),0))</f>
        <v>0</v>
      </c>
      <c r="I482" s="30"/>
      <c r="J482" s="15" t="n">
        <f aca="false">G482*I482</f>
        <v>0</v>
      </c>
      <c r="K482" s="15" t="n">
        <f aca="false">G482-H482-J482</f>
        <v>0</v>
      </c>
      <c r="L482" s="16" t="str">
        <f aca="false">IF(G482&gt;0,K482/G482,"")</f>
        <v/>
      </c>
      <c r="M482" s="6"/>
    </row>
    <row r="483" customFormat="false" ht="15" hidden="false" customHeight="false" outlineLevel="0" collapsed="false">
      <c r="A483" s="34"/>
      <c r="B483" s="6"/>
      <c r="C483" s="0" t="str">
        <f aca="false">IF(B483="","",IFERROR(VLOOKUP(B483,'Recetas y precios'!$A$5:$B$55,2,FALSE()),""))</f>
        <v/>
      </c>
      <c r="D483" s="24"/>
      <c r="E483" s="6"/>
      <c r="F483" s="17"/>
      <c r="G483" s="15" t="n">
        <f aca="false">E483*F483</f>
        <v>0</v>
      </c>
      <c r="H483" s="15" t="n">
        <f aca="false">IF(B483="",0,E483*IFERROR(VLOOKUP(B483,'Recetas y precios'!$A$5:$R$55,18,FALSE()),0))</f>
        <v>0</v>
      </c>
      <c r="I483" s="30"/>
      <c r="J483" s="15" t="n">
        <f aca="false">G483*I483</f>
        <v>0</v>
      </c>
      <c r="K483" s="15" t="n">
        <f aca="false">G483-H483-J483</f>
        <v>0</v>
      </c>
      <c r="L483" s="16" t="str">
        <f aca="false">IF(G483&gt;0,K483/G483,"")</f>
        <v/>
      </c>
      <c r="M483" s="6"/>
    </row>
    <row r="484" customFormat="false" ht="15" hidden="false" customHeight="false" outlineLevel="0" collapsed="false">
      <c r="A484" s="34"/>
      <c r="B484" s="6"/>
      <c r="C484" s="0" t="str">
        <f aca="false">IF(B484="","",IFERROR(VLOOKUP(B484,'Recetas y precios'!$A$5:$B$55,2,FALSE()),""))</f>
        <v/>
      </c>
      <c r="D484" s="24"/>
      <c r="E484" s="6"/>
      <c r="F484" s="17"/>
      <c r="G484" s="15" t="n">
        <f aca="false">E484*F484</f>
        <v>0</v>
      </c>
      <c r="H484" s="15" t="n">
        <f aca="false">IF(B484="",0,E484*IFERROR(VLOOKUP(B484,'Recetas y precios'!$A$5:$R$55,18,FALSE()),0))</f>
        <v>0</v>
      </c>
      <c r="I484" s="30"/>
      <c r="J484" s="15" t="n">
        <f aca="false">G484*I484</f>
        <v>0</v>
      </c>
      <c r="K484" s="15" t="n">
        <f aca="false">G484-H484-J484</f>
        <v>0</v>
      </c>
      <c r="L484" s="16" t="str">
        <f aca="false">IF(G484&gt;0,K484/G484,"")</f>
        <v/>
      </c>
      <c r="M484" s="6"/>
    </row>
    <row r="485" customFormat="false" ht="15" hidden="false" customHeight="false" outlineLevel="0" collapsed="false">
      <c r="A485" s="34"/>
      <c r="B485" s="6"/>
      <c r="C485" s="0" t="str">
        <f aca="false">IF(B485="","",IFERROR(VLOOKUP(B485,'Recetas y precios'!$A$5:$B$55,2,FALSE()),""))</f>
        <v/>
      </c>
      <c r="D485" s="24"/>
      <c r="E485" s="6"/>
      <c r="F485" s="17"/>
      <c r="G485" s="15" t="n">
        <f aca="false">E485*F485</f>
        <v>0</v>
      </c>
      <c r="H485" s="15" t="n">
        <f aca="false">IF(B485="",0,E485*IFERROR(VLOOKUP(B485,'Recetas y precios'!$A$5:$R$55,18,FALSE()),0))</f>
        <v>0</v>
      </c>
      <c r="I485" s="30"/>
      <c r="J485" s="15" t="n">
        <f aca="false">G485*I485</f>
        <v>0</v>
      </c>
      <c r="K485" s="15" t="n">
        <f aca="false">G485-H485-J485</f>
        <v>0</v>
      </c>
      <c r="L485" s="16" t="str">
        <f aca="false">IF(G485&gt;0,K485/G485,"")</f>
        <v/>
      </c>
      <c r="M485" s="6"/>
    </row>
    <row r="486" customFormat="false" ht="15" hidden="false" customHeight="false" outlineLevel="0" collapsed="false">
      <c r="A486" s="34"/>
      <c r="B486" s="6"/>
      <c r="C486" s="0" t="str">
        <f aca="false">IF(B486="","",IFERROR(VLOOKUP(B486,'Recetas y precios'!$A$5:$B$55,2,FALSE()),""))</f>
        <v/>
      </c>
      <c r="D486" s="24"/>
      <c r="E486" s="6"/>
      <c r="F486" s="17"/>
      <c r="G486" s="15" t="n">
        <f aca="false">E486*F486</f>
        <v>0</v>
      </c>
      <c r="H486" s="15" t="n">
        <f aca="false">IF(B486="",0,E486*IFERROR(VLOOKUP(B486,'Recetas y precios'!$A$5:$R$55,18,FALSE()),0))</f>
        <v>0</v>
      </c>
      <c r="I486" s="30"/>
      <c r="J486" s="15" t="n">
        <f aca="false">G486*I486</f>
        <v>0</v>
      </c>
      <c r="K486" s="15" t="n">
        <f aca="false">G486-H486-J486</f>
        <v>0</v>
      </c>
      <c r="L486" s="16" t="str">
        <f aca="false">IF(G486&gt;0,K486/G486,"")</f>
        <v/>
      </c>
      <c r="M486" s="6"/>
    </row>
    <row r="487" customFormat="false" ht="15" hidden="false" customHeight="false" outlineLevel="0" collapsed="false">
      <c r="A487" s="34"/>
      <c r="B487" s="6"/>
      <c r="C487" s="0" t="str">
        <f aca="false">IF(B487="","",IFERROR(VLOOKUP(B487,'Recetas y precios'!$A$5:$B$55,2,FALSE()),""))</f>
        <v/>
      </c>
      <c r="D487" s="24"/>
      <c r="E487" s="6"/>
      <c r="F487" s="17"/>
      <c r="G487" s="15" t="n">
        <f aca="false">E487*F487</f>
        <v>0</v>
      </c>
      <c r="H487" s="15" t="n">
        <f aca="false">IF(B487="",0,E487*IFERROR(VLOOKUP(B487,'Recetas y precios'!$A$5:$R$55,18,FALSE()),0))</f>
        <v>0</v>
      </c>
      <c r="I487" s="30"/>
      <c r="J487" s="15" t="n">
        <f aca="false">G487*I487</f>
        <v>0</v>
      </c>
      <c r="K487" s="15" t="n">
        <f aca="false">G487-H487-J487</f>
        <v>0</v>
      </c>
      <c r="L487" s="16" t="str">
        <f aca="false">IF(G487&gt;0,K487/G487,"")</f>
        <v/>
      </c>
      <c r="M487" s="6"/>
    </row>
    <row r="488" customFormat="false" ht="15" hidden="false" customHeight="false" outlineLevel="0" collapsed="false">
      <c r="A488" s="34"/>
      <c r="B488" s="6"/>
      <c r="C488" s="0" t="str">
        <f aca="false">IF(B488="","",IFERROR(VLOOKUP(B488,'Recetas y precios'!$A$5:$B$55,2,FALSE()),""))</f>
        <v/>
      </c>
      <c r="D488" s="24"/>
      <c r="E488" s="6"/>
      <c r="F488" s="17"/>
      <c r="G488" s="15" t="n">
        <f aca="false">E488*F488</f>
        <v>0</v>
      </c>
      <c r="H488" s="15" t="n">
        <f aca="false">IF(B488="",0,E488*IFERROR(VLOOKUP(B488,'Recetas y precios'!$A$5:$R$55,18,FALSE()),0))</f>
        <v>0</v>
      </c>
      <c r="I488" s="30"/>
      <c r="J488" s="15" t="n">
        <f aca="false">G488*I488</f>
        <v>0</v>
      </c>
      <c r="K488" s="15" t="n">
        <f aca="false">G488-H488-J488</f>
        <v>0</v>
      </c>
      <c r="L488" s="16" t="str">
        <f aca="false">IF(G488&gt;0,K488/G488,"")</f>
        <v/>
      </c>
      <c r="M488" s="6"/>
    </row>
    <row r="489" customFormat="false" ht="15" hidden="false" customHeight="false" outlineLevel="0" collapsed="false">
      <c r="A489" s="34"/>
      <c r="B489" s="6"/>
      <c r="C489" s="0" t="str">
        <f aca="false">IF(B489="","",IFERROR(VLOOKUP(B489,'Recetas y precios'!$A$5:$B$55,2,FALSE()),""))</f>
        <v/>
      </c>
      <c r="D489" s="24"/>
      <c r="E489" s="6"/>
      <c r="F489" s="17"/>
      <c r="G489" s="15" t="n">
        <f aca="false">E489*F489</f>
        <v>0</v>
      </c>
      <c r="H489" s="15" t="n">
        <f aca="false">IF(B489="",0,E489*IFERROR(VLOOKUP(B489,'Recetas y precios'!$A$5:$R$55,18,FALSE()),0))</f>
        <v>0</v>
      </c>
      <c r="I489" s="30"/>
      <c r="J489" s="15" t="n">
        <f aca="false">G489*I489</f>
        <v>0</v>
      </c>
      <c r="K489" s="15" t="n">
        <f aca="false">G489-H489-J489</f>
        <v>0</v>
      </c>
      <c r="L489" s="16" t="str">
        <f aca="false">IF(G489&gt;0,K489/G489,"")</f>
        <v/>
      </c>
      <c r="M489" s="6"/>
    </row>
    <row r="490" customFormat="false" ht="15" hidden="false" customHeight="false" outlineLevel="0" collapsed="false">
      <c r="A490" s="34"/>
      <c r="B490" s="6"/>
      <c r="C490" s="0" t="str">
        <f aca="false">IF(B490="","",IFERROR(VLOOKUP(B490,'Recetas y precios'!$A$5:$B$55,2,FALSE()),""))</f>
        <v/>
      </c>
      <c r="D490" s="24"/>
      <c r="E490" s="6"/>
      <c r="F490" s="17"/>
      <c r="G490" s="15" t="n">
        <f aca="false">E490*F490</f>
        <v>0</v>
      </c>
      <c r="H490" s="15" t="n">
        <f aca="false">IF(B490="",0,E490*IFERROR(VLOOKUP(B490,'Recetas y precios'!$A$5:$R$55,18,FALSE()),0))</f>
        <v>0</v>
      </c>
      <c r="I490" s="30"/>
      <c r="J490" s="15" t="n">
        <f aca="false">G490*I490</f>
        <v>0</v>
      </c>
      <c r="K490" s="15" t="n">
        <f aca="false">G490-H490-J490</f>
        <v>0</v>
      </c>
      <c r="L490" s="16" t="str">
        <f aca="false">IF(G490&gt;0,K490/G490,"")</f>
        <v/>
      </c>
      <c r="M490" s="6"/>
    </row>
    <row r="491" customFormat="false" ht="15" hidden="false" customHeight="false" outlineLevel="0" collapsed="false">
      <c r="A491" s="34"/>
      <c r="B491" s="6"/>
      <c r="C491" s="0" t="str">
        <f aca="false">IF(B491="","",IFERROR(VLOOKUP(B491,'Recetas y precios'!$A$5:$B$55,2,FALSE()),""))</f>
        <v/>
      </c>
      <c r="D491" s="24"/>
      <c r="E491" s="6"/>
      <c r="F491" s="17"/>
      <c r="G491" s="15" t="n">
        <f aca="false">E491*F491</f>
        <v>0</v>
      </c>
      <c r="H491" s="15" t="n">
        <f aca="false">IF(B491="",0,E491*IFERROR(VLOOKUP(B491,'Recetas y precios'!$A$5:$R$55,18,FALSE()),0))</f>
        <v>0</v>
      </c>
      <c r="I491" s="30"/>
      <c r="J491" s="15" t="n">
        <f aca="false">G491*I491</f>
        <v>0</v>
      </c>
      <c r="K491" s="15" t="n">
        <f aca="false">G491-H491-J491</f>
        <v>0</v>
      </c>
      <c r="L491" s="16" t="str">
        <f aca="false">IF(G491&gt;0,K491/G491,"")</f>
        <v/>
      </c>
      <c r="M491" s="6"/>
    </row>
    <row r="492" customFormat="false" ht="15" hidden="false" customHeight="false" outlineLevel="0" collapsed="false">
      <c r="A492" s="34"/>
      <c r="B492" s="6"/>
      <c r="C492" s="0" t="str">
        <f aca="false">IF(B492="","",IFERROR(VLOOKUP(B492,'Recetas y precios'!$A$5:$B$55,2,FALSE()),""))</f>
        <v/>
      </c>
      <c r="D492" s="24"/>
      <c r="E492" s="6"/>
      <c r="F492" s="17"/>
      <c r="G492" s="15" t="n">
        <f aca="false">E492*F492</f>
        <v>0</v>
      </c>
      <c r="H492" s="15" t="n">
        <f aca="false">IF(B492="",0,E492*IFERROR(VLOOKUP(B492,'Recetas y precios'!$A$5:$R$55,18,FALSE()),0))</f>
        <v>0</v>
      </c>
      <c r="I492" s="30"/>
      <c r="J492" s="15" t="n">
        <f aca="false">G492*I492</f>
        <v>0</v>
      </c>
      <c r="K492" s="15" t="n">
        <f aca="false">G492-H492-J492</f>
        <v>0</v>
      </c>
      <c r="L492" s="16" t="str">
        <f aca="false">IF(G492&gt;0,K492/G492,"")</f>
        <v/>
      </c>
      <c r="M492" s="6"/>
    </row>
    <row r="493" customFormat="false" ht="15" hidden="false" customHeight="false" outlineLevel="0" collapsed="false">
      <c r="A493" s="34"/>
      <c r="B493" s="6"/>
      <c r="C493" s="0" t="str">
        <f aca="false">IF(B493="","",IFERROR(VLOOKUP(B493,'Recetas y precios'!$A$5:$B$55,2,FALSE()),""))</f>
        <v/>
      </c>
      <c r="D493" s="24"/>
      <c r="E493" s="6"/>
      <c r="F493" s="17"/>
      <c r="G493" s="15" t="n">
        <f aca="false">E493*F493</f>
        <v>0</v>
      </c>
      <c r="H493" s="15" t="n">
        <f aca="false">IF(B493="",0,E493*IFERROR(VLOOKUP(B493,'Recetas y precios'!$A$5:$R$55,18,FALSE()),0))</f>
        <v>0</v>
      </c>
      <c r="I493" s="30"/>
      <c r="J493" s="15" t="n">
        <f aca="false">G493*I493</f>
        <v>0</v>
      </c>
      <c r="K493" s="15" t="n">
        <f aca="false">G493-H493-J493</f>
        <v>0</v>
      </c>
      <c r="L493" s="16" t="str">
        <f aca="false">IF(G493&gt;0,K493/G493,"")</f>
        <v/>
      </c>
      <c r="M493" s="6"/>
    </row>
    <row r="494" customFormat="false" ht="15" hidden="false" customHeight="false" outlineLevel="0" collapsed="false">
      <c r="A494" s="34"/>
      <c r="B494" s="6"/>
      <c r="C494" s="0" t="str">
        <f aca="false">IF(B494="","",IFERROR(VLOOKUP(B494,'Recetas y precios'!$A$5:$B$55,2,FALSE()),""))</f>
        <v/>
      </c>
      <c r="D494" s="24"/>
      <c r="E494" s="6"/>
      <c r="F494" s="17"/>
      <c r="G494" s="15" t="n">
        <f aca="false">E494*F494</f>
        <v>0</v>
      </c>
      <c r="H494" s="15" t="n">
        <f aca="false">IF(B494="",0,E494*IFERROR(VLOOKUP(B494,'Recetas y precios'!$A$5:$R$55,18,FALSE()),0))</f>
        <v>0</v>
      </c>
      <c r="I494" s="30"/>
      <c r="J494" s="15" t="n">
        <f aca="false">G494*I494</f>
        <v>0</v>
      </c>
      <c r="K494" s="15" t="n">
        <f aca="false">G494-H494-J494</f>
        <v>0</v>
      </c>
      <c r="L494" s="16" t="str">
        <f aca="false">IF(G494&gt;0,K494/G494,"")</f>
        <v/>
      </c>
      <c r="M494" s="6"/>
    </row>
    <row r="495" customFormat="false" ht="15" hidden="false" customHeight="false" outlineLevel="0" collapsed="false">
      <c r="A495" s="34"/>
      <c r="B495" s="6"/>
      <c r="C495" s="0" t="str">
        <f aca="false">IF(B495="","",IFERROR(VLOOKUP(B495,'Recetas y precios'!$A$5:$B$55,2,FALSE()),""))</f>
        <v/>
      </c>
      <c r="D495" s="24"/>
      <c r="E495" s="6"/>
      <c r="F495" s="17"/>
      <c r="G495" s="15" t="n">
        <f aca="false">E495*F495</f>
        <v>0</v>
      </c>
      <c r="H495" s="15" t="n">
        <f aca="false">IF(B495="",0,E495*IFERROR(VLOOKUP(B495,'Recetas y precios'!$A$5:$R$55,18,FALSE()),0))</f>
        <v>0</v>
      </c>
      <c r="I495" s="30"/>
      <c r="J495" s="15" t="n">
        <f aca="false">G495*I495</f>
        <v>0</v>
      </c>
      <c r="K495" s="15" t="n">
        <f aca="false">G495-H495-J495</f>
        <v>0</v>
      </c>
      <c r="L495" s="16" t="str">
        <f aca="false">IF(G495&gt;0,K495/G495,"")</f>
        <v/>
      </c>
      <c r="M495" s="6"/>
    </row>
    <row r="496" customFormat="false" ht="15" hidden="false" customHeight="false" outlineLevel="0" collapsed="false">
      <c r="A496" s="34"/>
      <c r="B496" s="6"/>
      <c r="C496" s="0" t="str">
        <f aca="false">IF(B496="","",IFERROR(VLOOKUP(B496,'Recetas y precios'!$A$5:$B$55,2,FALSE()),""))</f>
        <v/>
      </c>
      <c r="D496" s="24"/>
      <c r="E496" s="6"/>
      <c r="F496" s="17"/>
      <c r="G496" s="15" t="n">
        <f aca="false">E496*F496</f>
        <v>0</v>
      </c>
      <c r="H496" s="15" t="n">
        <f aca="false">IF(B496="",0,E496*IFERROR(VLOOKUP(B496,'Recetas y precios'!$A$5:$R$55,18,FALSE()),0))</f>
        <v>0</v>
      </c>
      <c r="I496" s="30"/>
      <c r="J496" s="15" t="n">
        <f aca="false">G496*I496</f>
        <v>0</v>
      </c>
      <c r="K496" s="15" t="n">
        <f aca="false">G496-H496-J496</f>
        <v>0</v>
      </c>
      <c r="L496" s="16" t="str">
        <f aca="false">IF(G496&gt;0,K496/G496,"")</f>
        <v/>
      </c>
      <c r="M496" s="6"/>
    </row>
    <row r="497" customFormat="false" ht="15" hidden="false" customHeight="false" outlineLevel="0" collapsed="false">
      <c r="A497" s="34"/>
      <c r="B497" s="6"/>
      <c r="C497" s="0" t="str">
        <f aca="false">IF(B497="","",IFERROR(VLOOKUP(B497,'Recetas y precios'!$A$5:$B$55,2,FALSE()),""))</f>
        <v/>
      </c>
      <c r="D497" s="24"/>
      <c r="E497" s="6"/>
      <c r="F497" s="17"/>
      <c r="G497" s="15" t="n">
        <f aca="false">E497*F497</f>
        <v>0</v>
      </c>
      <c r="H497" s="15" t="n">
        <f aca="false">IF(B497="",0,E497*IFERROR(VLOOKUP(B497,'Recetas y precios'!$A$5:$R$55,18,FALSE()),0))</f>
        <v>0</v>
      </c>
      <c r="I497" s="30"/>
      <c r="J497" s="15" t="n">
        <f aca="false">G497*I497</f>
        <v>0</v>
      </c>
      <c r="K497" s="15" t="n">
        <f aca="false">G497-H497-J497</f>
        <v>0</v>
      </c>
      <c r="L497" s="16" t="str">
        <f aca="false">IF(G497&gt;0,K497/G497,"")</f>
        <v/>
      </c>
      <c r="M497" s="6"/>
    </row>
    <row r="498" customFormat="false" ht="15" hidden="false" customHeight="false" outlineLevel="0" collapsed="false">
      <c r="A498" s="34"/>
      <c r="B498" s="6"/>
      <c r="C498" s="0" t="str">
        <f aca="false">IF(B498="","",IFERROR(VLOOKUP(B498,'Recetas y precios'!$A$5:$B$55,2,FALSE()),""))</f>
        <v/>
      </c>
      <c r="D498" s="24"/>
      <c r="E498" s="6"/>
      <c r="F498" s="17"/>
      <c r="G498" s="15" t="n">
        <f aca="false">E498*F498</f>
        <v>0</v>
      </c>
      <c r="H498" s="15" t="n">
        <f aca="false">IF(B498="",0,E498*IFERROR(VLOOKUP(B498,'Recetas y precios'!$A$5:$R$55,18,FALSE()),0))</f>
        <v>0</v>
      </c>
      <c r="I498" s="30"/>
      <c r="J498" s="15" t="n">
        <f aca="false">G498*I498</f>
        <v>0</v>
      </c>
      <c r="K498" s="15" t="n">
        <f aca="false">G498-H498-J498</f>
        <v>0</v>
      </c>
      <c r="L498" s="16" t="str">
        <f aca="false">IF(G498&gt;0,K498/G498,"")</f>
        <v/>
      </c>
      <c r="M498" s="6"/>
    </row>
    <row r="499" customFormat="false" ht="15" hidden="false" customHeight="false" outlineLevel="0" collapsed="false">
      <c r="A499" s="34"/>
      <c r="B499" s="6"/>
      <c r="C499" s="0" t="str">
        <f aca="false">IF(B499="","",IFERROR(VLOOKUP(B499,'Recetas y precios'!$A$5:$B$55,2,FALSE()),""))</f>
        <v/>
      </c>
      <c r="D499" s="24"/>
      <c r="E499" s="6"/>
      <c r="F499" s="17"/>
      <c r="G499" s="15" t="n">
        <f aca="false">E499*F499</f>
        <v>0</v>
      </c>
      <c r="H499" s="15" t="n">
        <f aca="false">IF(B499="",0,E499*IFERROR(VLOOKUP(B499,'Recetas y precios'!$A$5:$R$55,18,FALSE()),0))</f>
        <v>0</v>
      </c>
      <c r="I499" s="30"/>
      <c r="J499" s="15" t="n">
        <f aca="false">G499*I499</f>
        <v>0</v>
      </c>
      <c r="K499" s="15" t="n">
        <f aca="false">G499-H499-J499</f>
        <v>0</v>
      </c>
      <c r="L499" s="16" t="str">
        <f aca="false">IF(G499&gt;0,K499/G499,"")</f>
        <v/>
      </c>
      <c r="M499" s="6"/>
    </row>
    <row r="500" customFormat="false" ht="15" hidden="false" customHeight="false" outlineLevel="0" collapsed="false">
      <c r="A500" s="34"/>
      <c r="B500" s="6"/>
      <c r="C500" s="0" t="str">
        <f aca="false">IF(B500="","",IFERROR(VLOOKUP(B500,'Recetas y precios'!$A$5:$B$55,2,FALSE()),""))</f>
        <v/>
      </c>
      <c r="D500" s="24"/>
      <c r="E500" s="6"/>
      <c r="F500" s="17"/>
      <c r="G500" s="15" t="n">
        <f aca="false">E500*F500</f>
        <v>0</v>
      </c>
      <c r="H500" s="15" t="n">
        <f aca="false">IF(B500="",0,E500*IFERROR(VLOOKUP(B500,'Recetas y precios'!$A$5:$R$55,18,FALSE()),0))</f>
        <v>0</v>
      </c>
      <c r="I500" s="30"/>
      <c r="J500" s="15" t="n">
        <f aca="false">G500*I500</f>
        <v>0</v>
      </c>
      <c r="K500" s="15" t="n">
        <f aca="false">G500-H500-J500</f>
        <v>0</v>
      </c>
      <c r="L500" s="16" t="str">
        <f aca="false">IF(G500&gt;0,K500/G500,"")</f>
        <v/>
      </c>
      <c r="M500" s="6"/>
    </row>
    <row r="501" customFormat="false" ht="15" hidden="false" customHeight="false" outlineLevel="0" collapsed="false">
      <c r="A501" s="34"/>
      <c r="B501" s="6"/>
      <c r="C501" s="0" t="str">
        <f aca="false">IF(B501="","",IFERROR(VLOOKUP(B501,'Recetas y precios'!$A$5:$B$55,2,FALSE()),""))</f>
        <v/>
      </c>
      <c r="D501" s="24"/>
      <c r="E501" s="6"/>
      <c r="F501" s="17"/>
      <c r="G501" s="15" t="n">
        <f aca="false">E501*F501</f>
        <v>0</v>
      </c>
      <c r="H501" s="15" t="n">
        <f aca="false">IF(B501="",0,E501*IFERROR(VLOOKUP(B501,'Recetas y precios'!$A$5:$R$55,18,FALSE()),0))</f>
        <v>0</v>
      </c>
      <c r="I501" s="30"/>
      <c r="J501" s="15" t="n">
        <f aca="false">G501*I501</f>
        <v>0</v>
      </c>
      <c r="K501" s="15" t="n">
        <f aca="false">G501-H501-J501</f>
        <v>0</v>
      </c>
      <c r="L501" s="16" t="str">
        <f aca="false">IF(G501&gt;0,K501/G501,"")</f>
        <v/>
      </c>
      <c r="M501" s="6"/>
    </row>
    <row r="502" customFormat="false" ht="15" hidden="false" customHeight="false" outlineLevel="0" collapsed="false">
      <c r="A502" s="34"/>
      <c r="B502" s="6"/>
      <c r="C502" s="0" t="str">
        <f aca="false">IF(B502="","",IFERROR(VLOOKUP(B502,'Recetas y precios'!$A$5:$B$55,2,FALSE()),""))</f>
        <v/>
      </c>
      <c r="D502" s="24"/>
      <c r="E502" s="6"/>
      <c r="F502" s="17"/>
      <c r="G502" s="15" t="n">
        <f aca="false">E502*F502</f>
        <v>0</v>
      </c>
      <c r="H502" s="15" t="n">
        <f aca="false">IF(B502="",0,E502*IFERROR(VLOOKUP(B502,'Recetas y precios'!$A$5:$R$55,18,FALSE()),0))</f>
        <v>0</v>
      </c>
      <c r="I502" s="30"/>
      <c r="J502" s="15" t="n">
        <f aca="false">G502*I502</f>
        <v>0</v>
      </c>
      <c r="K502" s="15" t="n">
        <f aca="false">G502-H502-J502</f>
        <v>0</v>
      </c>
      <c r="L502" s="16" t="str">
        <f aca="false">IF(G502&gt;0,K502/G502,"")</f>
        <v/>
      </c>
      <c r="M502" s="6"/>
    </row>
    <row r="503" customFormat="false" ht="15" hidden="false" customHeight="false" outlineLevel="0" collapsed="false">
      <c r="A503" s="34"/>
      <c r="B503" s="6"/>
      <c r="C503" s="0" t="str">
        <f aca="false">IF(B503="","",IFERROR(VLOOKUP(B503,'Recetas y precios'!$A$5:$B$55,2,FALSE()),""))</f>
        <v/>
      </c>
      <c r="D503" s="24"/>
      <c r="E503" s="6"/>
      <c r="F503" s="17"/>
      <c r="G503" s="15" t="n">
        <f aca="false">E503*F503</f>
        <v>0</v>
      </c>
      <c r="H503" s="15" t="n">
        <f aca="false">IF(B503="",0,E503*IFERROR(VLOOKUP(B503,'Recetas y precios'!$A$5:$R$55,18,FALSE()),0))</f>
        <v>0</v>
      </c>
      <c r="I503" s="30"/>
      <c r="J503" s="15" t="n">
        <f aca="false">G503*I503</f>
        <v>0</v>
      </c>
      <c r="K503" s="15" t="n">
        <f aca="false">G503-H503-J503</f>
        <v>0</v>
      </c>
      <c r="L503" s="16" t="str">
        <f aca="false">IF(G503&gt;0,K503/G503,"")</f>
        <v/>
      </c>
      <c r="M503" s="6"/>
    </row>
    <row r="504" customFormat="false" ht="15" hidden="false" customHeight="false" outlineLevel="0" collapsed="false">
      <c r="A504" s="34"/>
      <c r="B504" s="6"/>
      <c r="C504" s="0" t="str">
        <f aca="false">IF(B504="","",IFERROR(VLOOKUP(B504,'Recetas y precios'!$A$5:$B$55,2,FALSE()),""))</f>
        <v/>
      </c>
      <c r="D504" s="24"/>
      <c r="E504" s="6"/>
      <c r="F504" s="17"/>
      <c r="G504" s="15" t="n">
        <f aca="false">E504*F504</f>
        <v>0</v>
      </c>
      <c r="H504" s="15" t="n">
        <f aca="false">IF(B504="",0,E504*IFERROR(VLOOKUP(B504,'Recetas y precios'!$A$5:$R$55,18,FALSE()),0))</f>
        <v>0</v>
      </c>
      <c r="I504" s="30"/>
      <c r="J504" s="15" t="n">
        <f aca="false">G504*I504</f>
        <v>0</v>
      </c>
      <c r="K504" s="15" t="n">
        <f aca="false">G504-H504-J504</f>
        <v>0</v>
      </c>
      <c r="L504" s="16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34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51</formula2>
    </dataValidation>
    <dataValidation allowBlank="true" errorStyle="stop" operator="between" showDropDown="false" showErrorMessage="false" showInputMessage="false" sqref="D5:D504" type="list">
      <formula1>"Mostrador y pedido directo,Domicilio y venta por redes,Evento y pedido especial,Mayoreo a cafeterías,Degustación o cortesía"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1141</v>
      </c>
    </row>
    <row r="2" customFormat="false" ht="15" hidden="false" customHeight="false" outlineLevel="0" collapsed="false">
      <c r="A2" s="7" t="s">
        <v>1142</v>
      </c>
    </row>
    <row r="3" customFormat="false" ht="15" hidden="false" customHeight="false" outlineLevel="0" collapsed="false">
      <c r="B3" s="35" t="s">
        <v>1129</v>
      </c>
      <c r="E3" s="36" t="s">
        <v>1131</v>
      </c>
      <c r="F3" s="36" t="s">
        <v>1133</v>
      </c>
      <c r="G3" s="36" t="s">
        <v>1087</v>
      </c>
    </row>
    <row r="4" customFormat="false" ht="15" hidden="false" customHeight="false" outlineLevel="0" collapsed="false">
      <c r="B4" s="9" t="s">
        <v>1143</v>
      </c>
      <c r="C4" s="37" t="n">
        <f aca="false">SUM(Ventas!G5:G504)</f>
        <v>1100</v>
      </c>
      <c r="E4" s="13" t="s">
        <v>1140</v>
      </c>
      <c r="F4" s="33" t="n">
        <f aca="false">SUMIF(Ventas!$D$5:$D$504,E4,Ventas!$G$5:$G$504)</f>
        <v>1100</v>
      </c>
      <c r="G4" s="38" t="n">
        <f aca="false">SUMIF(Ventas!$D$5:$D$504,E4,Ventas!$E$5:$E$504)</f>
        <v>4</v>
      </c>
    </row>
    <row r="5" customFormat="false" ht="15" hidden="false" customHeight="false" outlineLevel="0" collapsed="false">
      <c r="B5" s="9" t="s">
        <v>1144</v>
      </c>
      <c r="C5" s="39" t="n">
        <f aca="false">SUM(Ventas!E5:E504)</f>
        <v>4</v>
      </c>
      <c r="E5" s="13" t="s">
        <v>1145</v>
      </c>
      <c r="F5" s="33" t="n">
        <f aca="false">SUMIF(Ventas!$D$5:$D$504,E5,Ventas!$G$5:$G$504)</f>
        <v>0</v>
      </c>
      <c r="G5" s="38" t="n">
        <f aca="false">SUMIF(Ventas!$D$5:$D$504,E5,Ventas!$E$5:$E$504)</f>
        <v>0</v>
      </c>
    </row>
    <row r="6" customFormat="false" ht="15" hidden="false" customHeight="false" outlineLevel="0" collapsed="false">
      <c r="B6" s="9" t="s">
        <v>1146</v>
      </c>
      <c r="C6" s="37" t="n">
        <f aca="false">SUM(Ventas!H5:H504)</f>
        <v>487.75121754386</v>
      </c>
      <c r="E6" s="13" t="s">
        <v>1147</v>
      </c>
      <c r="F6" s="33" t="n">
        <f aca="false">SUMIF(Ventas!$D$5:$D$504,E6,Ventas!$G$5:$G$504)</f>
        <v>0</v>
      </c>
      <c r="G6" s="38" t="n">
        <f aca="false">SUMIF(Ventas!$D$5:$D$504,E6,Ventas!$E$5:$E$504)</f>
        <v>0</v>
      </c>
    </row>
    <row r="7" customFormat="false" ht="15" hidden="false" customHeight="false" outlineLevel="0" collapsed="false">
      <c r="B7" s="9" t="s">
        <v>1148</v>
      </c>
      <c r="C7" s="37" t="n">
        <f aca="false">SUM(Ventas!J5:J504)</f>
        <v>0</v>
      </c>
      <c r="E7" s="13" t="s">
        <v>1149</v>
      </c>
      <c r="F7" s="33" t="n">
        <f aca="false">SUMIF(Ventas!$D$5:$D$504,E7,Ventas!$G$5:$G$504)</f>
        <v>0</v>
      </c>
      <c r="G7" s="38" t="n">
        <f aca="false">SUMIF(Ventas!$D$5:$D$504,E7,Ventas!$E$5:$E$504)</f>
        <v>0</v>
      </c>
    </row>
    <row r="8" customFormat="false" ht="15" hidden="false" customHeight="false" outlineLevel="0" collapsed="false">
      <c r="B8" s="9" t="s">
        <v>1150</v>
      </c>
      <c r="C8" s="37" t="n">
        <f aca="false">SUM(Ventas!K5:K504)</f>
        <v>612.24878245614</v>
      </c>
      <c r="E8" s="13" t="s">
        <v>1151</v>
      </c>
      <c r="F8" s="33" t="n">
        <f aca="false">SUMIF(Ventas!$D$5:$D$504,E8,Ventas!$G$5:$G$504)</f>
        <v>0</v>
      </c>
      <c r="G8" s="38" t="n">
        <f aca="false">SUMIF(Ventas!$D$5:$D$504,E8,Ventas!$E$5:$E$504)</f>
        <v>0</v>
      </c>
    </row>
    <row r="9" customFormat="false" ht="15" hidden="false" customHeight="false" outlineLevel="0" collapsed="false">
      <c r="B9" s="9" t="s">
        <v>1152</v>
      </c>
      <c r="C9" s="40" t="n">
        <f aca="false">IFERROR(C8/C4,0)</f>
        <v>0.556589802232855</v>
      </c>
    </row>
    <row r="10" customFormat="false" ht="15" hidden="false" customHeight="false" outlineLevel="0" collapsed="false">
      <c r="B10" s="9" t="s">
        <v>1153</v>
      </c>
      <c r="C10" s="37" t="n">
        <f aca="false">C8-'Mi negocio'!C17</f>
        <v>-13237.7512175439</v>
      </c>
    </row>
    <row r="11" customFormat="false" ht="15" hidden="false" customHeight="false" outlineLevel="0" collapsed="false">
      <c r="B11" s="35" t="s">
        <v>1113</v>
      </c>
      <c r="E11" s="36" t="s">
        <v>323</v>
      </c>
      <c r="F11" s="36" t="s">
        <v>1154</v>
      </c>
      <c r="G11" s="36" t="s">
        <v>1155</v>
      </c>
    </row>
    <row r="12" customFormat="false" ht="15" hidden="false" customHeight="false" outlineLevel="0" collapsed="false">
      <c r="B12" s="9" t="s">
        <v>1156</v>
      </c>
      <c r="C12" s="39" t="n">
        <f aca="false">SUM(Producción!F5:F304)</f>
        <v>9</v>
      </c>
      <c r="E12" s="13" t="s">
        <v>1157</v>
      </c>
      <c r="F12" s="15" t="n">
        <f aca="false">Componentes!D5</f>
        <v>2.90751965219421</v>
      </c>
      <c r="G12" s="16" t="n">
        <f aca="false">Componentes!E5</f>
        <v>0.0419479597740706</v>
      </c>
    </row>
    <row r="13" customFormat="false" ht="15" hidden="false" customHeight="false" outlineLevel="0" collapsed="false">
      <c r="B13" s="9" t="s">
        <v>1158</v>
      </c>
      <c r="C13" s="39" t="n">
        <f aca="false">SUM(Producción!G5:G304)</f>
        <v>1</v>
      </c>
      <c r="E13" s="13" t="s">
        <v>1159</v>
      </c>
      <c r="F13" s="15" t="n">
        <f aca="false">Componentes!D6</f>
        <v>5.57550267040149</v>
      </c>
      <c r="G13" s="16" t="n">
        <f aca="false">Componentes!E6</f>
        <v>0.0804400278298111</v>
      </c>
    </row>
    <row r="14" customFormat="false" ht="15" hidden="false" customHeight="false" outlineLevel="0" collapsed="false">
      <c r="B14" s="9" t="s">
        <v>1160</v>
      </c>
      <c r="C14" s="40" t="n">
        <f aca="false">IFERROR(C13/(C12+C13),0)</f>
        <v>0.1</v>
      </c>
      <c r="E14" s="13" t="s">
        <v>1161</v>
      </c>
      <c r="F14" s="15" t="n">
        <f aca="false">Componentes!D7</f>
        <v>48.4912009803922</v>
      </c>
      <c r="G14" s="16" t="n">
        <f aca="false">Componentes!E7</f>
        <v>0.699602132211484</v>
      </c>
    </row>
    <row r="15" customFormat="false" ht="15" hidden="false" customHeight="false" outlineLevel="0" collapsed="false">
      <c r="B15" s="9" t="s">
        <v>1162</v>
      </c>
      <c r="C15" s="40" t="n">
        <f aca="false">'Mi negocio'!$C$24</f>
        <v>0.05</v>
      </c>
      <c r="E15" s="13" t="s">
        <v>1163</v>
      </c>
      <c r="F15" s="15" t="n">
        <f aca="false">Componentes!D8</f>
        <v>12.3383169934641</v>
      </c>
      <c r="G15" s="16" t="n">
        <f aca="false">Componentes!E8</f>
        <v>0.178009880184634</v>
      </c>
    </row>
    <row r="16" customFormat="false" ht="15" hidden="false" customHeight="false" outlineLevel="0" collapsed="false">
      <c r="B16" s="9" t="s">
        <v>1164</v>
      </c>
      <c r="C16" s="37" t="n">
        <f aca="false">SUM(Producción!J5:J304)</f>
        <v>121.937804385965</v>
      </c>
    </row>
    <row r="17" customFormat="false" ht="15" hidden="false" customHeight="false" outlineLevel="0" collapsed="false">
      <c r="B17" s="35" t="s">
        <v>1165</v>
      </c>
    </row>
    <row r="18" customFormat="false" ht="15" hidden="false" customHeight="false" outlineLevel="0" collapsed="false">
      <c r="B18" s="9" t="s">
        <v>1166</v>
      </c>
      <c r="C18" s="41" t="n">
        <f aca="false">AVERAGE('Recetas y precios'!$S$5:$S$55)</f>
        <v>297.549019607843</v>
      </c>
    </row>
    <row r="19" customFormat="false" ht="15" hidden="false" customHeight="false" outlineLevel="0" collapsed="false">
      <c r="B19" s="9" t="s">
        <v>1167</v>
      </c>
      <c r="C19" s="41" t="n">
        <f aca="false">AVERAGE('Recetas y precios'!$R$5:$R$55)</f>
        <v>132.752880394614</v>
      </c>
    </row>
    <row r="20" customFormat="false" ht="15" hidden="false" customHeight="false" outlineLevel="0" collapsed="false">
      <c r="B20" s="9" t="s">
        <v>1168</v>
      </c>
      <c r="C20" s="41" t="n">
        <f aca="false">C18-C19</f>
        <v>164.796139213229</v>
      </c>
    </row>
    <row r="21" customFormat="false" ht="15" hidden="false" customHeight="false" outlineLevel="0" collapsed="false">
      <c r="B21" s="9" t="s">
        <v>1169</v>
      </c>
      <c r="C21" s="37" t="n">
        <f aca="false">'Mi negocio'!C17</f>
        <v>13850</v>
      </c>
    </row>
    <row r="22" customFormat="false" ht="16.15" hidden="false" customHeight="false" outlineLevel="0" collapsed="false">
      <c r="B22" s="9" t="s">
        <v>1170</v>
      </c>
      <c r="C22" s="42" t="n">
        <f aca="false">IFERROR(ROUNDUP(C21/C20,0),0)</f>
        <v>85</v>
      </c>
    </row>
    <row r="23" customFormat="false" ht="15" hidden="false" customHeight="false" outlineLevel="0" collapsed="false">
      <c r="B23" s="9" t="s">
        <v>1171</v>
      </c>
      <c r="C23" s="40" t="n">
        <f aca="false">IFERROR(C5/C22,0)</f>
        <v>0.0470588235294118</v>
      </c>
    </row>
    <row r="26" customFormat="false" ht="15" hidden="false" customHeight="false" outlineLevel="0" collapsed="false">
      <c r="B26" s="43" t="s">
        <v>1172</v>
      </c>
    </row>
  </sheetData>
  <conditionalFormatting sqref="C14">
    <cfRule type="expression" priority="2" aboveAverage="0" equalAverage="0" bottom="0" percent="0" rank="0" text="" dxfId="35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2026-09-17T19:02:53Z</dcterms:created>
  <dc:creator>openpyxl</dc:creator>
  <dc:description/>
  <dc:language>en-US</dc:language>
  <cp:lastModifiedBy/>
  <dcterms:modified xsi:type="dcterms:W3CDTF">2026-09-17T19:02:54Z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