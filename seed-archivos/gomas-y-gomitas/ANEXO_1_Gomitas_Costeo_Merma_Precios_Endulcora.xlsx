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'Insumos'!$A$4:$I$100</definedName>
    <definedName name="_xlnm._FilterDatabase" localSheetId="3" hidden="1">'Ingredientes'!$A$4:$I$1063</definedName>
    <definedName name="_xlnm._FilterDatabase" localSheetId="5" hidden="1">'Recetas y precios'!$A$4:$AC$54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#,##0.#"/>
    <numFmt numFmtId="170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6" fontId="4" fillId="0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70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167" fontId="0" fillId="0" borderId="0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Piezas que esperas producir al mes. Los gastos fijos se reparten entre ellas.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Anexo 1 · Costeo, merma y precios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«Gomas y Gomitas». Calcula el costo real de las 50 formulaciones por pieza y por bolsa de 100 g,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20" customHeight="1">
      <c r="A7" s="3" t="inlineStr">
        <is>
          <t>•</t>
        </is>
      </c>
      <c r="B7" s="4" t="inlineStr">
        <is>
          <t>Modelo de costeo: Costo por unidad = Precio ÷ Presentación · Las 2 preparaciones de la casa toman su costo de su propia fórmula · El molde y la bandeja se dividen entre sus coladas de vida útil · Insumos por pieza = Σ(cantidad × costo unitario) ÷ piezas que rinde la colada · Minutos por pieza = minutos de colada ÷ piezas por colada + minutos de pieza · Estufado = horas de curado × costo de una pieza-hora de cámara · Costo base = insumos + cocción y luz + mano de obra + gastos fijos + estufado · Costo total = Costo base ÷ (1 − merma) (se DIVIDE, no se suma) · Precio = Costo total ÷ (1 − margen), redondeado a $5 sobre la BOLSA · Precio de la bolsa = Precio por pieza × piezas por bolsa.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la solución ácida al 50% y el agente de brillo de carnauba desde su propia fórmula. Son las dos únicas preparaciones intermedias del recetario: en confitería de gomas todo lo demás se hace de un tirón, del jarabe al molde.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60" customHeight="1">
      <c r="A10" s="3" t="inlineStr">
        <is>
          <t>•</t>
        </is>
      </c>
      <c r="B10" s="4" t="inlineStr">
        <is>
          <t>Unidades: Todo se costea por PIEZA, que pesa entre 2.5 y 12.5 g según la fórmula, y se agrupa en BOLSAS de 100 g. La columna «Piezas por bolsa de 100 g» es editable y da el «Costo de la bolsa», que es como se vende de verdad. El redondeo de precios se aplica sobre la bolsa, no sobre la pieza: una gomita no se cotiza en pesos cerrados.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10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Sistemas gelificantes</t>
        </is>
      </c>
      <c r="C5" s="9" t="inlineStr">
        <is>
          <t>Gelatina en polvo de 240-260 Bloom</t>
        </is>
      </c>
      <c r="D5" s="9" t="inlineStr">
        <is>
          <t>g</t>
        </is>
      </c>
      <c r="E5" s="10" t="n">
        <v>1000</v>
      </c>
      <c r="F5" s="11" t="n">
        <v>420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Sistemas gelificantes</t>
        </is>
      </c>
      <c r="C6" s="9" t="inlineStr">
        <is>
          <t>Gelatina en polvo de 200-220 Bloom</t>
        </is>
      </c>
      <c r="D6" s="9" t="inlineStr">
        <is>
          <t>g</t>
        </is>
      </c>
      <c r="E6" s="10" t="n">
        <v>1000</v>
      </c>
      <c r="F6" s="11" t="n">
        <v>365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Sistemas gelificantes</t>
        </is>
      </c>
      <c r="C7" s="9" t="inlineStr">
        <is>
          <t>Pectina de alto metoxilo lenta (HM slow-set)</t>
        </is>
      </c>
      <c r="D7" s="9" t="inlineStr">
        <is>
          <t>g</t>
        </is>
      </c>
      <c r="E7" s="10" t="n">
        <v>1000</v>
      </c>
      <c r="F7" s="11" t="n">
        <v>1250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Sistemas gelificantes</t>
        </is>
      </c>
      <c r="C8" s="9" t="inlineStr">
        <is>
          <t>Pectina de alto metoxilo rápida (HM rapid-set)</t>
        </is>
      </c>
      <c r="D8" s="9" t="inlineStr">
        <is>
          <t>g</t>
        </is>
      </c>
      <c r="E8" s="10" t="n">
        <v>1000</v>
      </c>
      <c r="F8" s="11" t="n">
        <v>1290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Sistemas gelificantes</t>
        </is>
      </c>
      <c r="C9" s="9" t="inlineStr">
        <is>
          <t>Pectina de bajo metoxilo amidada (LMA)</t>
        </is>
      </c>
      <c r="D9" s="9" t="inlineStr">
        <is>
          <t>g</t>
        </is>
      </c>
      <c r="E9" s="10" t="n">
        <v>500</v>
      </c>
      <c r="F9" s="11" t="n">
        <v>720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Sistemas gelificantes</t>
        </is>
      </c>
      <c r="C10" s="9" t="inlineStr">
        <is>
          <t>Carragenato kappa grado confitería</t>
        </is>
      </c>
      <c r="D10" s="9" t="inlineStr">
        <is>
          <t>g</t>
        </is>
      </c>
      <c r="E10" s="10" t="n">
        <v>500</v>
      </c>
      <c r="F10" s="11" t="n">
        <v>580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Sistemas gelificantes</t>
        </is>
      </c>
      <c r="C11" s="9" t="inlineStr">
        <is>
          <t>Carragenato iota purificado</t>
        </is>
      </c>
      <c r="D11" s="9" t="inlineStr">
        <is>
          <t>g</t>
        </is>
      </c>
      <c r="E11" s="10" t="n">
        <v>500</v>
      </c>
      <c r="F11" s="11" t="n">
        <v>640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Sistemas gelificantes</t>
        </is>
      </c>
      <c r="C12" s="9" t="inlineStr">
        <is>
          <t>Goma arábiga en polvo atomizada (acacia)</t>
        </is>
      </c>
      <c r="D12" s="9" t="inlineStr">
        <is>
          <t>g</t>
        </is>
      </c>
      <c r="E12" s="10" t="n">
        <v>1000</v>
      </c>
      <c r="F12" s="11" t="n">
        <v>395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Sistemas gelificantes</t>
        </is>
      </c>
      <c r="C13" s="9" t="inlineStr">
        <is>
          <t>Almidón modificado de maíz fluidificado</t>
        </is>
      </c>
      <c r="D13" s="9" t="inlineStr">
        <is>
          <t>g</t>
        </is>
      </c>
      <c r="E13" s="10" t="n">
        <v>1000</v>
      </c>
      <c r="F13" s="11" t="n">
        <v>128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Sistemas gelificantes</t>
        </is>
      </c>
      <c r="C14" s="9" t="inlineStr">
        <is>
          <t>Agar-agar en polvo de 900 g/cm²</t>
        </is>
      </c>
      <c r="D14" s="9" t="inlineStr">
        <is>
          <t>g</t>
        </is>
      </c>
      <c r="E14" s="10" t="n">
        <v>250</v>
      </c>
      <c r="F14" s="11" t="n">
        <v>420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Azúcares, jarabes y polioles</t>
        </is>
      </c>
      <c r="C15" s="9" t="inlineStr">
        <is>
          <t>Azúcar blanca refinada</t>
        </is>
      </c>
      <c r="D15" s="9" t="inlineStr">
        <is>
          <t>g</t>
        </is>
      </c>
      <c r="E15" s="10" t="n">
        <v>1000</v>
      </c>
      <c r="F15" s="11" t="n">
        <v>34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Azúcares, jarabes y polioles</t>
        </is>
      </c>
      <c r="C16" s="9" t="inlineStr">
        <is>
          <t>Azúcar cristal de grano medio a grueso (rebozado)</t>
        </is>
      </c>
      <c r="D16" s="9" t="inlineStr">
        <is>
          <t>g</t>
        </is>
      </c>
      <c r="E16" s="10" t="n">
        <v>1000</v>
      </c>
      <c r="F16" s="11" t="n">
        <v>38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Azúcares, jarabes y polioles</t>
        </is>
      </c>
      <c r="C17" s="9" t="inlineStr">
        <is>
          <t>Jarabe de glucosa 42 DE</t>
        </is>
      </c>
      <c r="D17" s="9" t="inlineStr">
        <is>
          <t>g</t>
        </is>
      </c>
      <c r="E17" s="10" t="n">
        <v>1000</v>
      </c>
      <c r="F17" s="11" t="n">
        <v>62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Azúcares, jarabes y polioles</t>
        </is>
      </c>
      <c r="C18" s="9" t="inlineStr">
        <is>
          <t>Jarabe de glucosa 60 DE de alta fluidez</t>
        </is>
      </c>
      <c r="D18" s="9" t="inlineStr">
        <is>
          <t>g</t>
        </is>
      </c>
      <c r="E18" s="10" t="n">
        <v>1000</v>
      </c>
      <c r="F18" s="11" t="n">
        <v>72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Azúcares, jarabes y polioles</t>
        </is>
      </c>
      <c r="C19" s="9" t="inlineStr">
        <is>
          <t>Sorbitol líquido al 70%</t>
        </is>
      </c>
      <c r="D19" s="9" t="inlineStr">
        <is>
          <t>g</t>
        </is>
      </c>
      <c r="E19" s="10" t="n">
        <v>1000</v>
      </c>
      <c r="F19" s="11" t="n">
        <v>95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Azúcares, jarabes y polioles</t>
        </is>
      </c>
      <c r="C20" s="9" t="inlineStr">
        <is>
          <t>Jarabe de maltitol</t>
        </is>
      </c>
      <c r="D20" s="9" t="inlineStr">
        <is>
          <t>g</t>
        </is>
      </c>
      <c r="E20" s="10" t="n">
        <v>1000</v>
      </c>
      <c r="F20" s="11" t="n">
        <v>185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Azúcares, jarabes y polioles</t>
        </is>
      </c>
      <c r="C21" s="9" t="inlineStr">
        <is>
          <t>Dextrosa anhidra</t>
        </is>
      </c>
      <c r="D21" s="9" t="inlineStr">
        <is>
          <t>g</t>
        </is>
      </c>
      <c r="E21" s="10" t="n">
        <v>1000</v>
      </c>
      <c r="F21" s="11" t="n">
        <v>58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Azúcares, jarabes y polioles</t>
        </is>
      </c>
      <c r="C22" s="9" t="inlineStr">
        <is>
          <t>Fructosa pura cristalina</t>
        </is>
      </c>
      <c r="D22" s="9" t="inlineStr">
        <is>
          <t>g</t>
        </is>
      </c>
      <c r="E22" s="10" t="n">
        <v>1000</v>
      </c>
      <c r="F22" s="11" t="n">
        <v>125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Azúcares, jarabes y polioles</t>
        </is>
      </c>
      <c r="C23" s="9" t="inlineStr">
        <is>
          <t>Glicerina vegetal grado alimenticio</t>
        </is>
      </c>
      <c r="D23" s="9" t="inlineStr">
        <is>
          <t>ml</t>
        </is>
      </c>
      <c r="E23" s="10" t="n">
        <v>1000</v>
      </c>
      <c r="F23" s="11" t="n">
        <v>115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Azúcares, jarabes y polioles</t>
        </is>
      </c>
      <c r="C24" s="9" t="inlineStr">
        <is>
          <t>Isomalt en cristales</t>
        </is>
      </c>
      <c r="D24" s="9" t="inlineStr">
        <is>
          <t>g</t>
        </is>
      </c>
      <c r="E24" s="10" t="n">
        <v>1000</v>
      </c>
      <c r="F24" s="11" t="n">
        <v>285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Azúcares, jarabes y polioles</t>
        </is>
      </c>
      <c r="C25" s="9" t="inlineStr">
        <is>
          <t>Miel pura de abeja</t>
        </is>
      </c>
      <c r="D25" s="9" t="inlineStr">
        <is>
          <t>g</t>
        </is>
      </c>
      <c r="E25" s="10" t="n">
        <v>1000</v>
      </c>
      <c r="F25" s="11" t="n">
        <v>240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Azúcares, jarabes y polioles</t>
        </is>
      </c>
      <c r="C26" s="9" t="inlineStr">
        <is>
          <t>Miel de agave azul pura</t>
        </is>
      </c>
      <c r="D26" s="9" t="inlineStr">
        <is>
          <t>ml</t>
        </is>
      </c>
      <c r="E26" s="10" t="n">
        <v>1000</v>
      </c>
      <c r="F26" s="11" t="n">
        <v>165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Azúcares, jarabes y polioles</t>
        </is>
      </c>
      <c r="C27" s="9" t="inlineStr">
        <is>
          <t>Leche condensada entera azucarada</t>
        </is>
      </c>
      <c r="D27" s="9" t="inlineStr">
        <is>
          <t>g</t>
        </is>
      </c>
      <c r="E27" s="10" t="n">
        <v>387</v>
      </c>
      <c r="F27" s="11" t="n">
        <v>42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Ácidos, sales y reguladores de pH</t>
        </is>
      </c>
      <c r="C28" s="9" t="inlineStr">
        <is>
          <t>Ácido cítrico anhidro fino</t>
        </is>
      </c>
      <c r="D28" s="9" t="inlineStr">
        <is>
          <t>g</t>
        </is>
      </c>
      <c r="E28" s="10" t="n">
        <v>1000</v>
      </c>
      <c r="F28" s="11" t="n">
        <v>78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Ácidos, sales y reguladores de pH</t>
        </is>
      </c>
      <c r="C29" s="9" t="inlineStr">
        <is>
          <t>Ácido málico micronizado</t>
        </is>
      </c>
      <c r="D29" s="9" t="inlineStr">
        <is>
          <t>g</t>
        </is>
      </c>
      <c r="E29" s="10" t="n">
        <v>1000</v>
      </c>
      <c r="F29" s="11" t="n">
        <v>320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Ácidos, sales y reguladores de pH</t>
        </is>
      </c>
      <c r="C30" s="9" t="inlineStr">
        <is>
          <t>Ácido tartárico fino</t>
        </is>
      </c>
      <c r="D30" s="9" t="inlineStr">
        <is>
          <t>g</t>
        </is>
      </c>
      <c r="E30" s="10" t="n">
        <v>1000</v>
      </c>
      <c r="F30" s="11" t="n">
        <v>290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Ácidos, sales y reguladores de pH</t>
        </is>
      </c>
      <c r="C31" s="9" t="inlineStr">
        <is>
          <t>Ácido láctico al 80%</t>
        </is>
      </c>
      <c r="D31" s="9" t="inlineStr">
        <is>
          <t>ml</t>
        </is>
      </c>
      <c r="E31" s="10" t="n">
        <v>1000</v>
      </c>
      <c r="F31" s="11" t="n">
        <v>180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Ácidos, sales y reguladores de pH</t>
        </is>
      </c>
      <c r="C32" s="9" t="inlineStr">
        <is>
          <t>Ácido fumárico micronizado</t>
        </is>
      </c>
      <c r="D32" s="9" t="inlineStr">
        <is>
          <t>g</t>
        </is>
      </c>
      <c r="E32" s="10" t="n">
        <v>500</v>
      </c>
      <c r="F32" s="11" t="n">
        <v>265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Ácidos, sales y reguladores de pH</t>
        </is>
      </c>
      <c r="C33" s="9" t="inlineStr">
        <is>
          <t>Ácido fosfórico grado alimenticio al 85%</t>
        </is>
      </c>
      <c r="D33" s="9" t="inlineStr">
        <is>
          <t>ml</t>
        </is>
      </c>
      <c r="E33" s="10" t="n">
        <v>500</v>
      </c>
      <c r="F33" s="11" t="n">
        <v>195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Ácidos, sales y reguladores de pH</t>
        </is>
      </c>
      <c r="C34" s="9" t="inlineStr">
        <is>
          <t>Ácido cítrico o málico micro-encapsulado</t>
        </is>
      </c>
      <c r="D34" s="9" t="inlineStr">
        <is>
          <t>g</t>
        </is>
      </c>
      <c r="E34" s="10" t="n">
        <v>500</v>
      </c>
      <c r="F34" s="11" t="n">
        <v>580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Ácidos, sales y reguladores de pH</t>
        </is>
      </c>
      <c r="C35" s="9" t="inlineStr">
        <is>
          <t>Ácido L-ascórbico puro (vitamina C)</t>
        </is>
      </c>
      <c r="D35" s="9" t="inlineStr">
        <is>
          <t>g</t>
        </is>
      </c>
      <c r="E35" s="10" t="n">
        <v>500</v>
      </c>
      <c r="F35" s="11" t="n">
        <v>285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Ácidos, sales y reguladores de pH</t>
        </is>
      </c>
      <c r="C36" s="9" t="inlineStr">
        <is>
          <t>Citrato de sodio dihidratado</t>
        </is>
      </c>
      <c r="D36" s="9" t="inlineStr">
        <is>
          <t>g</t>
        </is>
      </c>
      <c r="E36" s="10" t="n">
        <v>1000</v>
      </c>
      <c r="F36" s="11" t="n">
        <v>195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Ácidos, sales y reguladores de pH</t>
        </is>
      </c>
      <c r="C37" s="9" t="inlineStr">
        <is>
          <t>Citrato de potasio monohidratado</t>
        </is>
      </c>
      <c r="D37" s="9" t="inlineStr">
        <is>
          <t>g</t>
        </is>
      </c>
      <c r="E37" s="10" t="n">
        <v>1000</v>
      </c>
      <c r="F37" s="11" t="n">
        <v>240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Ácidos, sales y reguladores de pH</t>
        </is>
      </c>
      <c r="C38" s="9" t="inlineStr">
        <is>
          <t>Lactato o gluconato de calcio</t>
        </is>
      </c>
      <c r="D38" s="9" t="inlineStr">
        <is>
          <t>g</t>
        </is>
      </c>
      <c r="E38" s="10" t="n">
        <v>500</v>
      </c>
      <c r="F38" s="11" t="n">
        <v>220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Ácidos, sales y reguladores de pH</t>
        </is>
      </c>
      <c r="C39" s="9" t="inlineStr">
        <is>
          <t>Bicarbonato de sodio micro-encapsulado</t>
        </is>
      </c>
      <c r="D39" s="9" t="inlineStr">
        <is>
          <t>g</t>
        </is>
      </c>
      <c r="E39" s="10" t="n">
        <v>500</v>
      </c>
      <c r="F39" s="11" t="n">
        <v>165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Ácidos, sales y reguladores de pH</t>
        </is>
      </c>
      <c r="C40" s="9" t="inlineStr">
        <is>
          <t>Sal marina fina o flor de sal</t>
        </is>
      </c>
      <c r="D40" s="9" t="inlineStr">
        <is>
          <t>g</t>
        </is>
      </c>
      <c r="E40" s="10" t="n">
        <v>1000</v>
      </c>
      <c r="F40" s="11" t="n">
        <v>96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Ácidos, sales y reguladores de pH</t>
        </is>
      </c>
      <c r="C41" s="9" t="inlineStr">
        <is>
          <t>Agua desmineralizada o purificada</t>
        </is>
      </c>
      <c r="D41" s="9" t="inlineStr">
        <is>
          <t>ml</t>
        </is>
      </c>
      <c r="E41" s="10" t="n">
        <v>1000</v>
      </c>
      <c r="F41" s="11" t="n">
        <v>18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Fruta, concentrados y purés</t>
        </is>
      </c>
      <c r="C42" s="9" t="inlineStr">
        <is>
          <t>Puré concentrado de fresa o frambuesa sin semillas</t>
        </is>
      </c>
      <c r="D42" s="9" t="inlineStr">
        <is>
          <t>g</t>
        </is>
      </c>
      <c r="E42" s="10" t="n">
        <v>1000</v>
      </c>
      <c r="F42" s="11" t="n">
        <v>395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Fruta, concentrados y purés</t>
        </is>
      </c>
      <c r="C43" s="9" t="inlineStr">
        <is>
          <t>Puré concentrado de mango, durazno o chabacano</t>
        </is>
      </c>
      <c r="D43" s="9" t="inlineStr">
        <is>
          <t>g</t>
        </is>
      </c>
      <c r="E43" s="10" t="n">
        <v>1000</v>
      </c>
      <c r="F43" s="11" t="n">
        <v>215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Fruta, concentrados y purés</t>
        </is>
      </c>
      <c r="C44" s="9" t="inlineStr">
        <is>
          <t>Puré concentrado de maracuyá sin semillas</t>
        </is>
      </c>
      <c r="D44" s="9" t="inlineStr">
        <is>
          <t>g</t>
        </is>
      </c>
      <c r="E44" s="10" t="n">
        <v>1000</v>
      </c>
      <c r="F44" s="11" t="n">
        <v>320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Fruta, concentrados y purés</t>
        </is>
      </c>
      <c r="C45" s="9" t="inlineStr">
        <is>
          <t>Puré concentrado de zarzamora, mora azul o grosella</t>
        </is>
      </c>
      <c r="D45" s="9" t="inlineStr">
        <is>
          <t>g</t>
        </is>
      </c>
      <c r="E45" s="10" t="n">
        <v>1000</v>
      </c>
      <c r="F45" s="11" t="n">
        <v>365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Fruta, concentrados y purés</t>
        </is>
      </c>
      <c r="C46" s="9" t="inlineStr">
        <is>
          <t>Zumo concentrado clarificado de cítrico</t>
        </is>
      </c>
      <c r="D46" s="9" t="inlineStr">
        <is>
          <t>ml</t>
        </is>
      </c>
      <c r="E46" s="10" t="n">
        <v>1000</v>
      </c>
      <c r="F46" s="11" t="n">
        <v>285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Fruta, concentrados y purés</t>
        </is>
      </c>
      <c r="C47" s="9" t="inlineStr">
        <is>
          <t>Zumo concentrado clarificado de uva, granada o manzana</t>
        </is>
      </c>
      <c r="D47" s="9" t="inlineStr">
        <is>
          <t>ml</t>
        </is>
      </c>
      <c r="E47" s="10" t="n">
        <v>1000</v>
      </c>
      <c r="F47" s="11" t="n">
        <v>245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Fruta, concentrados y purés</t>
        </is>
      </c>
      <c r="C48" s="9" t="inlineStr">
        <is>
          <t>Zumo concentrado clarificado de piña, sandía o tropical</t>
        </is>
      </c>
      <c r="D48" s="9" t="inlineStr">
        <is>
          <t>ml</t>
        </is>
      </c>
      <c r="E48" s="10" t="n">
        <v>1000</v>
      </c>
      <c r="F48" s="11" t="n">
        <v>210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Fruta, concentrados y purés</t>
        </is>
      </c>
      <c r="C49" s="9" t="inlineStr">
        <is>
          <t>Concentrado de pulpa de tamarindo puro</t>
        </is>
      </c>
      <c r="D49" s="9" t="inlineStr">
        <is>
          <t>g</t>
        </is>
      </c>
      <c r="E49" s="10" t="n">
        <v>1000</v>
      </c>
      <c r="F49" s="11" t="n">
        <v>165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Fruta, concentrados y purés</t>
        </is>
      </c>
      <c r="C50" s="9" t="inlineStr">
        <is>
          <t>Concentrado de flor de jamaica</t>
        </is>
      </c>
      <c r="D50" s="9" t="inlineStr">
        <is>
          <t>ml</t>
        </is>
      </c>
      <c r="E50" s="10" t="n">
        <v>1000</v>
      </c>
      <c r="F50" s="11" t="n">
        <v>140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Fruta, concentrados y purés</t>
        </is>
      </c>
      <c r="C51" s="9" t="inlineStr">
        <is>
          <t>Zumo puro pasteurizado de yuzu</t>
        </is>
      </c>
      <c r="D51" s="9" t="inlineStr">
        <is>
          <t>ml</t>
        </is>
      </c>
      <c r="E51" s="10" t="n">
        <v>250</v>
      </c>
      <c r="F51" s="11" t="n">
        <v>420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Fruta, concentrados y purés</t>
        </is>
      </c>
      <c r="C52" s="9" t="inlineStr">
        <is>
          <t>Polvo liofilizado de fruta micronizado</t>
        </is>
      </c>
      <c r="D52" s="9" t="inlineStr">
        <is>
          <t>g</t>
        </is>
      </c>
      <c r="E52" s="10" t="n">
        <v>250</v>
      </c>
      <c r="F52" s="11" t="n">
        <v>480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Fruta, concentrados y purés</t>
        </is>
      </c>
      <c r="C53" s="9" t="inlineStr">
        <is>
          <t>Crema de coco concentrada pasteurizada</t>
        </is>
      </c>
      <c r="D53" s="9" t="inlineStr">
        <is>
          <t>g</t>
        </is>
      </c>
      <c r="E53" s="10" t="n">
        <v>500</v>
      </c>
      <c r="F53" s="11" t="n">
        <v>110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Aromas, extractos y botánicos</t>
        </is>
      </c>
      <c r="C54" s="9" t="inlineStr">
        <is>
          <t>Aroma natural hidrosoluble concentrado</t>
        </is>
      </c>
      <c r="D54" s="9" t="inlineStr">
        <is>
          <t>ml</t>
        </is>
      </c>
      <c r="E54" s="10" t="n">
        <v>100</v>
      </c>
      <c r="F54" s="11" t="n">
        <v>185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Aromas, extractos y botánicos</t>
        </is>
      </c>
      <c r="C55" s="9" t="inlineStr">
        <is>
          <t>Aceite esencial puro destilado de cítrico</t>
        </is>
      </c>
      <c r="D55" s="9" t="inlineStr">
        <is>
          <t>ml</t>
        </is>
      </c>
      <c r="E55" s="10" t="n">
        <v>50</v>
      </c>
      <c r="F55" s="11" t="n">
        <v>240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Aromas, extractos y botánicos</t>
        </is>
      </c>
      <c r="C56" s="9" t="inlineStr">
        <is>
          <t>Extracto puro natural de vainilla</t>
        </is>
      </c>
      <c r="D56" s="9" t="inlineStr">
        <is>
          <t>ml</t>
        </is>
      </c>
      <c r="E56" s="10" t="n">
        <v>100</v>
      </c>
      <c r="F56" s="11" t="n">
        <v>195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Aromas, extractos y botánicos</t>
        </is>
      </c>
      <c r="C57" s="9" t="inlineStr">
        <is>
          <t>Extracto o infusión botánica concentrada</t>
        </is>
      </c>
      <c r="D57" s="9" t="inlineStr">
        <is>
          <t>ml</t>
        </is>
      </c>
      <c r="E57" s="10" t="n">
        <v>100</v>
      </c>
      <c r="F57" s="11" t="n">
        <v>165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Aromas, extractos y botánicos</t>
        </is>
      </c>
      <c r="C58" s="9" t="inlineStr">
        <is>
          <t>Té verde matcha ceremonial</t>
        </is>
      </c>
      <c r="D58" s="9" t="inlineStr">
        <is>
          <t>g</t>
        </is>
      </c>
      <c r="E58" s="10" t="n">
        <v>50</v>
      </c>
      <c r="F58" s="11" t="n">
        <v>320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Aromas, extractos y botánicos</t>
        </is>
      </c>
      <c r="C59" s="9" t="inlineStr">
        <is>
          <t>Cacao puro en polvo alcalinizado (22-24% MG)</t>
        </is>
      </c>
      <c r="D59" s="9" t="inlineStr">
        <is>
          <t>g</t>
        </is>
      </c>
      <c r="E59" s="10" t="n">
        <v>1000</v>
      </c>
      <c r="F59" s="11" t="n">
        <v>320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Aromas, extractos y botánicos</t>
        </is>
      </c>
      <c r="C60" s="9" t="inlineStr">
        <is>
          <t>Cobertura de chocolate negro 70%</t>
        </is>
      </c>
      <c r="D60" s="9" t="inlineStr">
        <is>
          <t>g</t>
        </is>
      </c>
      <c r="E60" s="10" t="n">
        <v>1000</v>
      </c>
      <c r="F60" s="11" t="n">
        <v>520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Aromas, extractos y botánicos</t>
        </is>
      </c>
      <c r="C61" s="9" t="inlineStr">
        <is>
          <t>Canela, jengibre o especia micronizada</t>
        </is>
      </c>
      <c r="D61" s="9" t="inlineStr">
        <is>
          <t>g</t>
        </is>
      </c>
      <c r="E61" s="10" t="n">
        <v>100</v>
      </c>
      <c r="F61" s="11" t="n">
        <v>98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Aromas, extractos y botánicos</t>
        </is>
      </c>
      <c r="C62" s="9" t="inlineStr">
        <is>
          <t>Cristales de mentol o eucaliptol alimentario</t>
        </is>
      </c>
      <c r="D62" s="9" t="inlineStr">
        <is>
          <t>g</t>
        </is>
      </c>
      <c r="E62" s="10" t="n">
        <v>100</v>
      </c>
      <c r="F62" s="11" t="n">
        <v>210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Aromas, extractos y botánicos</t>
        </is>
      </c>
      <c r="C63" s="9" t="inlineStr">
        <is>
          <t>Tintura hidroalcohólica de especia</t>
        </is>
      </c>
      <c r="D63" s="9" t="inlineStr">
        <is>
          <t>ml</t>
        </is>
      </c>
      <c r="E63" s="10" t="n">
        <v>100</v>
      </c>
      <c r="F63" s="11" t="n">
        <v>150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Aromas, extractos y botánicos</t>
        </is>
      </c>
      <c r="C64" s="9" t="inlineStr">
        <is>
          <t>Mantequilla sin sal de alta grasa (82% MG)</t>
        </is>
      </c>
      <c r="D64" s="9" t="inlineStr">
        <is>
          <t>g</t>
        </is>
      </c>
      <c r="E64" s="10" t="n">
        <v>1000</v>
      </c>
      <c r="F64" s="11" t="n">
        <v>345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Chiles, chamoy y sal de gusano</t>
        </is>
      </c>
      <c r="C65" s="9" t="inlineStr">
        <is>
          <t>Chile piquín o chiltepín en polvo fino</t>
        </is>
      </c>
      <c r="D65" s="9" t="inlineStr">
        <is>
          <t>g</t>
        </is>
      </c>
      <c r="E65" s="10" t="n">
        <v>500</v>
      </c>
      <c r="F65" s="11" t="n">
        <v>320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Chiles, chamoy y sal de gusano</t>
        </is>
      </c>
      <c r="C66" s="9" t="inlineStr">
        <is>
          <t>Chile guajillo, árbol o pasilla en polvo</t>
        </is>
      </c>
      <c r="D66" s="9" t="inlineStr">
        <is>
          <t>g</t>
        </is>
      </c>
      <c r="E66" s="10" t="n">
        <v>500</v>
      </c>
      <c r="F66" s="11" t="n">
        <v>195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Chiles, chamoy y sal de gusano</t>
        </is>
      </c>
      <c r="C67" s="9" t="inlineStr">
        <is>
          <t>Chile morita o chipotle en polvo ahumado</t>
        </is>
      </c>
      <c r="D67" s="9" t="inlineStr">
        <is>
          <t>g</t>
        </is>
      </c>
      <c r="E67" s="10" t="n">
        <v>500</v>
      </c>
      <c r="F67" s="11" t="n">
        <v>265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Chiles, chamoy y sal de gusano</t>
        </is>
      </c>
      <c r="C68" s="9" t="inlineStr">
        <is>
          <t>Chile jalapeño o habanero deshidratado en polvo</t>
        </is>
      </c>
      <c r="D68" s="9" t="inlineStr">
        <is>
          <t>g</t>
        </is>
      </c>
      <c r="E68" s="10" t="n">
        <v>250</v>
      </c>
      <c r="F68" s="11" t="n">
        <v>230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Chiles, chamoy y sal de gusano</t>
        </is>
      </c>
      <c r="C69" s="9" t="inlineStr">
        <is>
          <t>Oleorresina estandarizada de chile</t>
        </is>
      </c>
      <c r="D69" s="9" t="inlineStr">
        <is>
          <t>ml</t>
        </is>
      </c>
      <c r="E69" s="10" t="n">
        <v>100</v>
      </c>
      <c r="F69" s="11" t="n">
        <v>420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Chiles, chamoy y sal de gusano</t>
        </is>
      </c>
      <c r="C70" s="9" t="inlineStr">
        <is>
          <t>Sal de gusano artesanal oaxaqueña</t>
        </is>
      </c>
      <c r="D70" s="9" t="inlineStr">
        <is>
          <t>g</t>
        </is>
      </c>
      <c r="E70" s="10" t="n">
        <v>250</v>
      </c>
      <c r="F70" s="11" t="n">
        <v>290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Colorantes y pigmentos</t>
        </is>
      </c>
      <c r="C71" s="9" t="inlineStr">
        <is>
          <t>Colorante rojo carmín o allura hidrosoluble</t>
        </is>
      </c>
      <c r="D71" s="9" t="inlineStr">
        <is>
          <t>g</t>
        </is>
      </c>
      <c r="E71" s="10" t="n">
        <v>100</v>
      </c>
      <c r="F71" s="11" t="n">
        <v>110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Colorantes y pigmentos</t>
        </is>
      </c>
      <c r="C72" s="9" t="inlineStr">
        <is>
          <t>Colorante amarillo curcumina hidrosoluble</t>
        </is>
      </c>
      <c r="D72" s="9" t="inlineStr">
        <is>
          <t>g</t>
        </is>
      </c>
      <c r="E72" s="10" t="n">
        <v>100</v>
      </c>
      <c r="F72" s="11" t="n">
        <v>98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Colorantes y pigmentos</t>
        </is>
      </c>
      <c r="C73" s="9" t="inlineStr">
        <is>
          <t>Colorante azul brillante hidrosoluble</t>
        </is>
      </c>
      <c r="D73" s="9" t="inlineStr">
        <is>
          <t>g</t>
        </is>
      </c>
      <c r="E73" s="10" t="n">
        <v>100</v>
      </c>
      <c r="F73" s="11" t="n">
        <v>125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Colorantes y pigmentos</t>
        </is>
      </c>
      <c r="C74" s="9" t="inlineStr">
        <is>
          <t>Clorofilina cúprica (verde)</t>
        </is>
      </c>
      <c r="D74" s="9" t="inlineStr">
        <is>
          <t>g</t>
        </is>
      </c>
      <c r="E74" s="10" t="n">
        <v>100</v>
      </c>
      <c r="F74" s="11" t="n">
        <v>135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Colorantes y pigmentos</t>
        </is>
      </c>
      <c r="C75" s="9" t="inlineStr">
        <is>
          <t>Colorante violeta de uva o zanahoria negra</t>
        </is>
      </c>
      <c r="D75" s="9" t="inlineStr">
        <is>
          <t>g</t>
        </is>
      </c>
      <c r="E75" s="10" t="n">
        <v>100</v>
      </c>
      <c r="F75" s="11" t="n">
        <v>128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Colorantes y pigmentos</t>
        </is>
      </c>
      <c r="C76" s="9" t="inlineStr">
        <is>
          <t>Colorante caramelo clase IV</t>
        </is>
      </c>
      <c r="D76" s="9" t="inlineStr">
        <is>
          <t>ml</t>
        </is>
      </c>
      <c r="E76" s="10" t="n">
        <v>250</v>
      </c>
      <c r="F76" s="11" t="n">
        <v>85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Colorantes y pigmentos</t>
        </is>
      </c>
      <c r="C77" s="9" t="inlineStr">
        <is>
          <t>Dióxido de titanio o blanco alimentario</t>
        </is>
      </c>
      <c r="D77" s="9" t="inlineStr">
        <is>
          <t>g</t>
        </is>
      </c>
      <c r="E77" s="10" t="n">
        <v>100</v>
      </c>
      <c r="F77" s="11" t="n">
        <v>190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Colorantes y pigmentos</t>
        </is>
      </c>
      <c r="C78" s="9" t="inlineStr">
        <is>
          <t>Extracto de paprika o achiote</t>
        </is>
      </c>
      <c r="D78" s="9" t="inlineStr">
        <is>
          <t>ml</t>
        </is>
      </c>
      <c r="E78" s="10" t="n">
        <v>100</v>
      </c>
      <c r="F78" s="11" t="n">
        <v>105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Acabado, brillo y funcionales</t>
        </is>
      </c>
      <c r="C79" s="9" t="inlineStr">
        <is>
          <t>Cera de carnauba refinada</t>
        </is>
      </c>
      <c r="D79" s="9" t="inlineStr">
        <is>
          <t>g</t>
        </is>
      </c>
      <c r="E79" s="10" t="n">
        <v>250</v>
      </c>
      <c r="F79" s="11" t="n">
        <v>285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Acabado, brillo y funcionales</t>
        </is>
      </c>
      <c r="C80" s="9" t="inlineStr">
        <is>
          <t>Aceite de coco fraccionado (MCT)</t>
        </is>
      </c>
      <c r="D80" s="9" t="inlineStr">
        <is>
          <t>ml</t>
        </is>
      </c>
      <c r="E80" s="10" t="n">
        <v>500</v>
      </c>
      <c r="F80" s="11" t="n">
        <v>165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Acabado, brillo y funcionales</t>
        </is>
      </c>
      <c r="C81" s="9" t="inlineStr">
        <is>
          <t>Lecitina de girasol o soja pura</t>
        </is>
      </c>
      <c r="D81" s="9" t="inlineStr">
        <is>
          <t>g</t>
        </is>
      </c>
      <c r="E81" s="10" t="n">
        <v>500</v>
      </c>
      <c r="F81" s="11" t="n">
        <v>185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Acabado, brillo y funcionales</t>
        </is>
      </c>
      <c r="C82" s="9" t="inlineStr">
        <is>
          <t>Sulfato de quinina grado alimenticio</t>
        </is>
      </c>
      <c r="D82" s="9" t="inlineStr">
        <is>
          <t>g</t>
        </is>
      </c>
      <c r="E82" s="10" t="n">
        <v>25</v>
      </c>
      <c r="F82" s="11" t="n">
        <v>420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Acabado, brillo y funcionales</t>
        </is>
      </c>
      <c r="C83" s="9" t="inlineStr">
        <is>
          <t>Extracto seco estandarizado funcional</t>
        </is>
      </c>
      <c r="D83" s="9" t="inlineStr">
        <is>
          <t>g</t>
        </is>
      </c>
      <c r="E83" s="10" t="n">
        <v>100</v>
      </c>
      <c r="F83" s="11" t="n">
        <v>480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Acabado, brillo y funcionales</t>
        </is>
      </c>
      <c r="C84" s="9" t="inlineStr">
        <is>
          <t>Gluconato de zinc puro</t>
        </is>
      </c>
      <c r="D84" s="9" t="inlineStr">
        <is>
          <t>g</t>
        </is>
      </c>
      <c r="E84" s="10" t="n">
        <v>250</v>
      </c>
      <c r="F84" s="11" t="n">
        <v>195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Acabado, brillo y funcionales</t>
        </is>
      </c>
      <c r="C85" s="9" t="inlineStr">
        <is>
          <t>Extracto seco de propóleo de abeja</t>
        </is>
      </c>
      <c r="D85" s="9" t="inlineStr">
        <is>
          <t>g</t>
        </is>
      </c>
      <c r="E85" s="10" t="n">
        <v>100</v>
      </c>
      <c r="F85" s="11" t="n">
        <v>380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Acabado, brillo y funcionales</t>
        </is>
      </c>
      <c r="C86" s="9" t="inlineStr">
        <is>
          <t>Piperina pura estandarizada</t>
        </is>
      </c>
      <c r="D86" s="9" t="inlineStr">
        <is>
          <t>g</t>
        </is>
      </c>
      <c r="E86" s="10" t="n">
        <v>25</v>
      </c>
      <c r="F86" s="11" t="n">
        <v>560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Destilados y fermentados</t>
        </is>
      </c>
      <c r="C87" s="9" t="inlineStr">
        <is>
          <t>Gin London Dry de alta gama</t>
        </is>
      </c>
      <c r="D87" s="9" t="inlineStr">
        <is>
          <t>ml</t>
        </is>
      </c>
      <c r="E87" s="10" t="n">
        <v>750</v>
      </c>
      <c r="F87" s="11" t="n">
        <v>780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Destilados y fermentados</t>
        </is>
      </c>
      <c r="C88" s="9" t="inlineStr">
        <is>
          <t>Mezcal artesanal espadín joven</t>
        </is>
      </c>
      <c r="D88" s="9" t="inlineStr">
        <is>
          <t>ml</t>
        </is>
      </c>
      <c r="E88" s="10" t="n">
        <v>750</v>
      </c>
      <c r="F88" s="11" t="n">
        <v>680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Destilados y fermentados</t>
        </is>
      </c>
      <c r="C89" s="9" t="inlineStr">
        <is>
          <t>Vermouth rosso o bitter italiano</t>
        </is>
      </c>
      <c r="D89" s="9" t="inlineStr">
        <is>
          <t>ml</t>
        </is>
      </c>
      <c r="E89" s="10" t="n">
        <v>750</v>
      </c>
      <c r="F89" s="11" t="n">
        <v>420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Destilados y fermentados</t>
        </is>
      </c>
      <c r="C90" s="9" t="inlineStr">
        <is>
          <t>Cerveza artesanal IPA</t>
        </is>
      </c>
      <c r="D90" s="9" t="inlineStr">
        <is>
          <t>ml</t>
        </is>
      </c>
      <c r="E90" s="10" t="n">
        <v>355</v>
      </c>
      <c r="F90" s="11" t="n">
        <v>68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Destilados y fermentados</t>
        </is>
      </c>
      <c r="C91" s="9" t="inlineStr">
        <is>
          <t>Agua tónica artesanal</t>
        </is>
      </c>
      <c r="D91" s="9" t="inlineStr">
        <is>
          <t>ml</t>
        </is>
      </c>
      <c r="E91" s="10" t="n">
        <v>1000</v>
      </c>
      <c r="F91" s="11" t="n">
        <v>95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Moldes, estufa y consumibles de planta</t>
        </is>
      </c>
      <c r="C92" s="9" t="inlineStr">
        <is>
          <t>Molde de silicona platinada de cavidad fina</t>
        </is>
      </c>
      <c r="D92" s="9" t="inlineStr">
        <is>
          <t>pz</t>
        </is>
      </c>
      <c r="E92" s="10" t="n">
        <v>1</v>
      </c>
      <c r="F92" s="11" t="n">
        <v>680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Moldes, estufa y consumibles de planta</t>
        </is>
      </c>
      <c r="C93" s="9" t="inlineStr">
        <is>
          <t>Bandeja de estufado y rejilla de curado</t>
        </is>
      </c>
      <c r="D93" s="9" t="inlineStr">
        <is>
          <t>pz</t>
        </is>
      </c>
      <c r="E93" s="10" t="n">
        <v>1</v>
      </c>
      <c r="F93" s="11" t="n">
        <v>240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Moldes, estufa y consumibles de planta</t>
        </is>
      </c>
      <c r="C94" s="9" t="inlineStr">
        <is>
          <t>Guantes, manga y consumibles de colada</t>
        </is>
      </c>
      <c r="D94" s="9" t="inlineStr">
        <is>
          <t>pz</t>
        </is>
      </c>
      <c r="E94" s="10" t="n">
        <v>1</v>
      </c>
      <c r="F94" s="11" t="n">
        <v>6.5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Empaque y presentación</t>
        </is>
      </c>
      <c r="C95" s="9" t="inlineStr">
        <is>
          <t>Bolsa doypack con zipper para 100 g</t>
        </is>
      </c>
      <c r="D95" s="9" t="inlineStr">
        <is>
          <t>pz</t>
        </is>
      </c>
      <c r="E95" s="10" t="n">
        <v>1</v>
      </c>
      <c r="F95" s="11" t="n">
        <v>7.5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Empaque y presentación</t>
        </is>
      </c>
      <c r="C96" s="9" t="inlineStr">
        <is>
          <t>Frasco de vidrio o lata de 180 g</t>
        </is>
      </c>
      <c r="D96" s="9" t="inlineStr">
        <is>
          <t>pz</t>
        </is>
      </c>
      <c r="E96" s="10" t="n">
        <v>1</v>
      </c>
      <c r="F96" s="11" t="n">
        <v>26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Empaque y presentación</t>
        </is>
      </c>
      <c r="C97" s="9" t="inlineStr">
        <is>
          <t>Etiqueta impresa con tabla nutrimental</t>
        </is>
      </c>
      <c r="D97" s="9" t="inlineStr">
        <is>
          <t>pz</t>
        </is>
      </c>
      <c r="E97" s="10" t="n">
        <v>1</v>
      </c>
      <c r="F97" s="11" t="n">
        <v>1.8</v>
      </c>
      <c r="G97" s="12">
        <f>IFERROR(F97/E97,0)</f>
        <v/>
      </c>
      <c r="H97">
        <f>COUNTIF(Ingredientes!$E:$E,C97)</f>
        <v/>
      </c>
      <c r="I97" s="6" t="n"/>
    </row>
    <row r="98">
      <c r="A98" s="9" t="inlineStr">
        <is>
          <t>I-094</t>
        </is>
      </c>
      <c r="B98" s="9" t="inlineStr">
        <is>
          <t>Empaque y presentación</t>
        </is>
      </c>
      <c r="C98" s="9" t="inlineStr">
        <is>
          <t>Bolsita desecante y sello de inviolabilidad</t>
        </is>
      </c>
      <c r="D98" s="9" t="inlineStr">
        <is>
          <t>pz</t>
        </is>
      </c>
      <c r="E98" s="10" t="n">
        <v>1</v>
      </c>
      <c r="F98" s="11" t="n">
        <v>1.2</v>
      </c>
      <c r="G98" s="12">
        <f>IFERROR(F98/E98,0)</f>
        <v/>
      </c>
      <c r="H98">
        <f>COUNTIF(Ingredientes!$E:$E,C98)</f>
        <v/>
      </c>
      <c r="I98" s="6" t="n"/>
    </row>
    <row r="99">
      <c r="A99" s="9" t="inlineStr">
        <is>
          <t>I-095</t>
        </is>
      </c>
      <c r="B99" s="9" t="inlineStr">
        <is>
          <t>Preparaciones de la casa</t>
        </is>
      </c>
      <c r="C99" s="9" t="inlineStr">
        <is>
          <t>Solución de ácido cítrico al 50% p/v (elaborada)</t>
        </is>
      </c>
      <c r="D99" s="9" t="inlineStr">
        <is>
          <t>ml</t>
        </is>
      </c>
      <c r="E99" s="13">
        <f>'Preparaciones de la casa'!D5</f>
        <v/>
      </c>
      <c r="F99" s="14">
        <f>'Preparaciones de la casa'!F5</f>
        <v/>
      </c>
      <c r="G99" s="12">
        <f>IFERROR(F99/E99,0)</f>
        <v/>
      </c>
      <c r="H99">
        <f>COUNTIF(Ingredientes!$E:$E,C99)</f>
        <v/>
      </c>
      <c r="I99" s="6" t="n"/>
    </row>
    <row r="100">
      <c r="A100" s="9" t="inlineStr">
        <is>
          <t>I-096</t>
        </is>
      </c>
      <c r="B100" s="9" t="inlineStr">
        <is>
          <t>Preparaciones de la casa</t>
        </is>
      </c>
      <c r="C100" s="9" t="inlineStr">
        <is>
          <t>Agente de brillo de carnauba en MCT (elaborado)</t>
        </is>
      </c>
      <c r="D100" s="9" t="inlineStr">
        <is>
          <t>g</t>
        </is>
      </c>
      <c r="E100" s="13">
        <f>'Preparaciones de la casa'!D6</f>
        <v/>
      </c>
      <c r="F100" s="14">
        <f>'Preparaciones de la casa'!F6</f>
        <v/>
      </c>
      <c r="G100" s="12">
        <f>IFERROR(F100/E100,0)</f>
        <v/>
      </c>
      <c r="H100">
        <f>COUNTIF(Ingredientes!$E:$E,C100)</f>
        <v/>
      </c>
      <c r="I100" s="6" t="n"/>
    </row>
    <row r="102">
      <c r="C102" s="7" t="inlineStr">
        <is>
          <t>Las preparaciones del recetario toman su precio de la hoja «Preparaciones de la casa»: no se capturan a mano.</t>
        </is>
      </c>
    </row>
  </sheetData>
  <autoFilter ref="A4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Preparaciones de la casa</t>
        </is>
      </c>
    </row>
    <row r="2">
      <c r="A2" s="7" t="inlineStr">
        <is>
          <t>Las dos únicas preparaciones intermedias del recetario. Todo lo demás se formula desde el azúcar en una sola cocción continua: en confitería de gomas no hay bases a medio camino.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Solución de ácido cítrico al 50% p/v (elaborada)</t>
        </is>
      </c>
      <c r="C5" s="15" t="inlineStr">
        <is>
          <t>La solución ácida al 50% p/v que piden casi todas las fórmulas. Se prepara en frío, se guarda tapada y se dosifica a 72 °C para no hidrolizar el gelificante.</t>
        </is>
      </c>
      <c r="D5" s="16" t="n">
        <v>100</v>
      </c>
      <c r="E5" t="inlineStr">
        <is>
          <t>ml</t>
        </is>
      </c>
      <c r="F5" s="17">
        <f>SUMIF(Ingredientes!$A:$A,102,Ingredientes!$I:$I)</f>
        <v/>
      </c>
      <c r="G5" s="12">
        <f>IFERROR(F5/D5,0)</f>
        <v/>
      </c>
      <c r="H5" t="inlineStr"/>
    </row>
    <row r="6" ht="30" customHeight="1">
      <c r="A6" s="3" t="inlineStr">
        <is>
          <t>B-2</t>
        </is>
      </c>
      <c r="B6" t="inlineStr">
        <is>
          <t>Agente de brillo de carnauba en MCT (elaborado)</t>
        </is>
      </c>
      <c r="C6" s="15" t="inlineStr">
        <is>
          <t>El agente de brillo: cera de carnauba disuelta al 1% en aceite de coco fraccionado. Dos gramos por colada bastan y el bote dura toda una temporada de producción.</t>
        </is>
      </c>
      <c r="D6" s="16" t="n">
        <v>250</v>
      </c>
      <c r="E6" t="inlineStr">
        <is>
          <t>g</t>
        </is>
      </c>
      <c r="F6" s="17">
        <f>SUMIF(Ingredientes!$A:$A,103,Ingredientes!$I:$I)</f>
        <v/>
      </c>
      <c r="G6" s="12">
        <f>IFERROR(F6/D6,0)</f>
        <v/>
      </c>
      <c r="H6" t="inlineStr"/>
    </row>
    <row r="8">
      <c r="B8" s="7" t="inlineStr">
        <is>
          <t>Que haya sólo dos preparaciones no es una omisión: es la naturaleza del oficio. Una gomita se hace de un tirón, del jarabe al molde, sin componentes que se guarden.</t>
        </is>
      </c>
    </row>
    <row r="10">
      <c r="A10" s="18" t="inlineStr">
        <is>
          <t>Notas técnicas</t>
        </is>
      </c>
    </row>
    <row r="11">
      <c r="B11" s="19" t="inlineStr">
        <is>
          <t>Por qué la solución ácida se prepara aparte</t>
        </is>
      </c>
      <c r="C11" s="20" t="inlineStr">
        <is>
          <t>El ácido se dosifica al final, a 72 °C y en segundos. Pesarlo en polvo a esa velocidad es imposible y un error de medio gramo mueve el pH fuera del rango de gelificación. En solución al 50% se dosifica por volumen, rápido y exacto.</t>
        </is>
      </c>
    </row>
    <row r="12">
      <c r="B12" s="19" t="inlineStr">
        <is>
          <t>Por qué el brillo se prepara aparte</t>
        </is>
      </c>
      <c r="C12" s="20" t="inlineStr">
        <is>
          <t>La cera de carnauba sólo se disuelve en aceite caliente y en proporción exacta. Un bote de 250 g alcanza para más de cien coladas, así que se prepara una vez por temporada.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106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de insumos de la colada</t>
        </is>
      </c>
    </row>
    <row r="5">
      <c r="A5" t="n">
        <v>1</v>
      </c>
      <c r="B5" s="21" t="inlineStr">
        <is>
          <t>Gomita Clásica de Oso de Fresa Silvestre (Classic High-Bloom Strawberry Bear)</t>
        </is>
      </c>
      <c r="C5" t="inlineStr">
        <is>
          <t>gelificante</t>
        </is>
      </c>
      <c r="D5" s="22" t="inlineStr">
        <is>
          <t>45 g Gelatina en polvo pura de 250 Bloom (9.0% peso total fórmula)</t>
        </is>
      </c>
      <c r="E5" s="6" t="inlineStr">
        <is>
          <t>Gelatina en polvo de 240-260 Bloom</t>
        </is>
      </c>
      <c r="F5" s="16" t="n">
        <v>45</v>
      </c>
      <c r="G5" t="inlineStr">
        <is>
          <t>g</t>
        </is>
      </c>
      <c r="H5" s="12">
        <f>IFERROR(VLOOKUP(E5,Insumos!$C$5:$G$100,5,FALSE),0)</f>
        <v/>
      </c>
      <c r="I5" s="17">
        <f>F5*H5/IF(C5="molde",MAX(1,'Mi negocio'!$C$34),1)</f>
        <v/>
      </c>
    </row>
    <row r="6">
      <c r="A6" t="n">
        <v>1</v>
      </c>
      <c r="B6" s="21" t="inlineStr">
        <is>
          <t>Gomita Clásica de Oso de Fresa Silvestre (Classic High-Bloom Strawberry Bear)</t>
        </is>
      </c>
      <c r="C6" t="inlineStr">
        <is>
          <t>sabor</t>
        </is>
      </c>
      <c r="D6" s="22" t="inlineStr">
        <is>
          <t>100 ml Agua desmineralizada a 15 °C</t>
        </is>
      </c>
      <c r="E6" s="6" t="inlineStr">
        <is>
          <t>Agua desmineralizada o purificada</t>
        </is>
      </c>
      <c r="F6" s="16" t="n">
        <v>100</v>
      </c>
      <c r="G6" t="inlineStr">
        <is>
          <t>ml</t>
        </is>
      </c>
      <c r="H6" s="12">
        <f>IFERROR(VLOOKUP(E6,Insumos!$C$5:$G$100,5,FALSE),0)</f>
        <v/>
      </c>
      <c r="I6" s="17">
        <f>F6*H6/IF(C6="molde",MAX(1,'Mi negocio'!$C$34),1)</f>
        <v/>
      </c>
    </row>
    <row r="7">
      <c r="A7" t="n">
        <v>1</v>
      </c>
      <c r="B7" s="21" t="inlineStr">
        <is>
          <t>Gomita Clásica de Oso de Fresa Silvestre (Classic High-Bloom Strawberry Bear)</t>
        </is>
      </c>
      <c r="C7" t="inlineStr">
        <is>
          <t>azucar</t>
        </is>
      </c>
      <c r="D7" s="22" t="inlineStr">
        <is>
          <t>200 g Azúcar blanca refinada pura (99.8% polarización)</t>
        </is>
      </c>
      <c r="E7" s="6" t="inlineStr">
        <is>
          <t>Azúcar blanca refinada</t>
        </is>
      </c>
      <c r="F7" s="16" t="n">
        <v>200</v>
      </c>
      <c r="G7" t="inlineStr">
        <is>
          <t>g</t>
        </is>
      </c>
      <c r="H7" s="12">
        <f>IFERROR(VLOOKUP(E7,Insumos!$C$5:$G$100,5,FALSE),0)</f>
        <v/>
      </c>
      <c r="I7" s="17">
        <f>F7*H7/IF(C7="molde",MAX(1,'Mi negocio'!$C$34),1)</f>
        <v/>
      </c>
    </row>
    <row r="8">
      <c r="A8" t="n">
        <v>1</v>
      </c>
      <c r="B8" s="21" t="inlineStr">
        <is>
          <t>Gomita Clásica de Oso de Fresa Silvestre (Classic High-Bloom Strawberry Bear)</t>
        </is>
      </c>
      <c r="C8" t="inlineStr">
        <is>
          <t>azucar</t>
        </is>
      </c>
      <c r="D8" s="22" t="inlineStr">
        <is>
          <t>160 g Jarabe de glucosa estándar de maíz de 42 DE (80% sólidos)</t>
        </is>
      </c>
      <c r="E8" s="6" t="inlineStr">
        <is>
          <t>Jarabe de glucosa 42 DE</t>
        </is>
      </c>
      <c r="F8" s="16" t="n">
        <v>160</v>
      </c>
      <c r="G8" t="inlineStr">
        <is>
          <t>g</t>
        </is>
      </c>
      <c r="H8" s="12">
        <f>IFERROR(VLOOKUP(E8,Insumos!$C$5:$G$100,5,FALSE),0)</f>
        <v/>
      </c>
      <c r="I8" s="17">
        <f>F8*H8/IF(C8="molde",MAX(1,'Mi negocio'!$C$34),1)</f>
        <v/>
      </c>
    </row>
    <row r="9">
      <c r="A9" t="n">
        <v>1</v>
      </c>
      <c r="B9" s="21" t="inlineStr">
        <is>
          <t>Gomita Clásica de Oso de Fresa Silvestre (Classic High-Bloom Strawberry Bear)</t>
        </is>
      </c>
      <c r="C9" t="inlineStr">
        <is>
          <t>sabor</t>
        </is>
      </c>
      <c r="D9" s="22" t="inlineStr">
        <is>
          <t>60 ml Agua purificada limpia</t>
        </is>
      </c>
      <c r="E9" s="6" t="inlineStr">
        <is>
          <t>Agua desmineralizada o purificada</t>
        </is>
      </c>
      <c r="F9" s="16" t="n">
        <v>60</v>
      </c>
      <c r="G9" t="inlineStr">
        <is>
          <t>ml</t>
        </is>
      </c>
      <c r="H9" s="12">
        <f>IFERROR(VLOOKUP(E9,Insumos!$C$5:$G$100,5,FALSE),0)</f>
        <v/>
      </c>
      <c r="I9" s="17">
        <f>F9*H9/IF(C9="molde",MAX(1,'Mi negocio'!$C$34),1)</f>
        <v/>
      </c>
    </row>
    <row r="10">
      <c r="A10" t="n">
        <v>1</v>
      </c>
      <c r="B10" s="21" t="inlineStr">
        <is>
          <t>Gomita Clásica de Oso de Fresa Silvestre (Classic High-Bloom Strawberry Bear)</t>
        </is>
      </c>
      <c r="C10" t="inlineStr">
        <is>
          <t>azucar</t>
        </is>
      </c>
      <c r="D10" s="22" t="inlineStr">
        <is>
          <t>15 g Sorbitol líquido al 70% (plastificante hidrófilo y humectante)</t>
        </is>
      </c>
      <c r="E10" s="6" t="inlineStr">
        <is>
          <t>Sorbitol líquido al 70%</t>
        </is>
      </c>
      <c r="F10" s="16" t="n">
        <v>15</v>
      </c>
      <c r="G10" t="inlineStr">
        <is>
          <t>g</t>
        </is>
      </c>
      <c r="H10" s="12">
        <f>IFERROR(VLOOKUP(E10,Insumos!$C$5:$G$100,5,FALSE),0)</f>
        <v/>
      </c>
      <c r="I10" s="17">
        <f>F10*H10/IF(C10="molde",MAX(1,'Mi negocio'!$C$34),1)</f>
        <v/>
      </c>
    </row>
    <row r="11">
      <c r="A11" t="n">
        <v>1</v>
      </c>
      <c r="B11" s="21" t="inlineStr">
        <is>
          <t>Gomita Clásica de Oso de Fresa Silvestre (Classic High-Bloom Strawberry Bear)</t>
        </is>
      </c>
      <c r="C11" t="inlineStr">
        <is>
          <t>sabor</t>
        </is>
      </c>
      <c r="D11" s="22" t="inlineStr">
        <is>
          <t>10 ml Solución de ácido cítrico al 50% p/v (5 g de ácido cítrico anhidro en 5 ml de agua desmineralizada)</t>
        </is>
      </c>
      <c r="E11" s="6" t="inlineStr">
        <is>
          <t>Solución de ácido cítrico al 50% p/v (elaborada)</t>
        </is>
      </c>
      <c r="F11" s="16" t="n">
        <v>10</v>
      </c>
      <c r="G11" t="inlineStr">
        <is>
          <t>ml</t>
        </is>
      </c>
      <c r="H11" s="12">
        <f>IFERROR(VLOOKUP(E11,Insumos!$C$5:$G$100,5,FALSE),0)</f>
        <v/>
      </c>
      <c r="I11" s="17">
        <f>F11*H11/IF(C11="molde",MAX(1,'Mi negocio'!$C$34),1)</f>
        <v/>
      </c>
    </row>
    <row r="12">
      <c r="A12" t="n">
        <v>1</v>
      </c>
      <c r="B12" s="21" t="inlineStr">
        <is>
          <t>Gomita Clásica de Oso de Fresa Silvestre (Classic High-Bloom Strawberry Bear)</t>
        </is>
      </c>
      <c r="C12" t="inlineStr">
        <is>
          <t>sabor</t>
        </is>
      </c>
      <c r="D12" s="22" t="inlineStr">
        <is>
          <t>2.5 ml Aroma natural hidrosoluble de fresa silvestre concentrado</t>
        </is>
      </c>
      <c r="E12" s="6" t="inlineStr">
        <is>
          <t>Aroma natural hidrosoluble concentrado</t>
        </is>
      </c>
      <c r="F12" s="16" t="n">
        <v>2.5</v>
      </c>
      <c r="G12" t="inlineStr">
        <is>
          <t>ml</t>
        </is>
      </c>
      <c r="H12" s="12">
        <f>IFERROR(VLOOKUP(E12,Insumos!$C$5:$G$100,5,FALSE),0)</f>
        <v/>
      </c>
      <c r="I12" s="17">
        <f>F12*H12/IF(C12="molde",MAX(1,'Mi negocio'!$C$34),1)</f>
        <v/>
      </c>
    </row>
    <row r="13">
      <c r="A13" t="n">
        <v>1</v>
      </c>
      <c r="B13" s="21" t="inlineStr">
        <is>
          <t>Gomita Clásica de Oso de Fresa Silvestre (Classic High-Bloom Strawberry Bear)</t>
        </is>
      </c>
      <c r="C13" t="inlineStr">
        <is>
          <t>sabor</t>
        </is>
      </c>
      <c r="D13" s="22" t="inlineStr">
        <is>
          <t>0.4 g Colorante rojo carmín hidrosoluble (rojo allura / extracto de cochinilla)</t>
        </is>
      </c>
      <c r="E13" s="6" t="inlineStr">
        <is>
          <t>Colorante rojo carmín o allura hidrosoluble</t>
        </is>
      </c>
      <c r="F13" s="16" t="n">
        <v>0.4</v>
      </c>
      <c r="G13" t="inlineStr">
        <is>
          <t>g</t>
        </is>
      </c>
      <c r="H13" s="12">
        <f>IFERROR(VLOOKUP(E13,Insumos!$C$5:$G$100,5,FALSE),0)</f>
        <v/>
      </c>
      <c r="I13" s="17">
        <f>F13*H13/IF(C13="molde",MAX(1,'Mi negocio'!$C$34),1)</f>
        <v/>
      </c>
    </row>
    <row r="14">
      <c r="A14" t="n">
        <v>1</v>
      </c>
      <c r="B14" s="21" t="inlineStr">
        <is>
          <t>Gomita Clásica de Oso de Fresa Silvestre (Classic High-Bloom Strawberry Bear)</t>
        </is>
      </c>
      <c r="C14" t="inlineStr">
        <is>
          <t>acabado</t>
        </is>
      </c>
      <c r="D14" s="22" t="inlineStr">
        <is>
          <t>2 g Aceite de coco fraccionado (MCT) mezclado con 0.1 g de cera de carnauba refinada</t>
        </is>
      </c>
      <c r="E14" s="6" t="inlineStr">
        <is>
          <t>Aceite de coco fraccionado (MCT)</t>
        </is>
      </c>
      <c r="F14" s="16" t="n">
        <v>2</v>
      </c>
      <c r="G14" t="inlineStr">
        <is>
          <t>ml</t>
        </is>
      </c>
      <c r="H14" s="12">
        <f>IFERROR(VLOOKUP(E14,Insumos!$C$5:$G$100,5,FALSE),0)</f>
        <v/>
      </c>
      <c r="I14" s="17">
        <f>F14*H14/IF(C14="molde",MAX(1,'Mi negocio'!$C$34),1)</f>
        <v/>
      </c>
    </row>
    <row r="15">
      <c r="A15" t="n">
        <v>2</v>
      </c>
      <c r="B15" s="21" t="inlineStr">
        <is>
          <t>Gota Francesa de Naranja y Mandarina en Pectina de Alto Metoxilo (Pâte de Fruits Gélifiée en Pectine Jaune)</t>
        </is>
      </c>
      <c r="C15" t="inlineStr">
        <is>
          <t>sabor</t>
        </is>
      </c>
      <c r="D15" s="22" t="inlineStr">
        <is>
          <t>180 g Puré concentrado de naranja valencia y mandarina criolla (100% fruta, tamizado sin pulpa gruesa)</t>
        </is>
      </c>
      <c r="E15" s="6" t="inlineStr">
        <is>
          <t>Zumo concentrado clarificado de cítrico</t>
        </is>
      </c>
      <c r="F15" s="16" t="n">
        <v>180</v>
      </c>
      <c r="G15" t="inlineStr">
        <is>
          <t>ml</t>
        </is>
      </c>
      <c r="H15" s="12">
        <f>IFERROR(VLOOKUP(E15,Insumos!$C$5:$G$100,5,FALSE),0)</f>
        <v/>
      </c>
      <c r="I15" s="17">
        <f>F15*H15/IF(C15="molde",MAX(1,'Mi negocio'!$C$34),1)</f>
        <v/>
      </c>
    </row>
    <row r="16">
      <c r="A16" t="n">
        <v>2</v>
      </c>
      <c r="B16" s="21" t="inlineStr">
        <is>
          <t>Gota Francesa de Naranja y Mandarina en Pectina de Alto Metoxilo (Pâte de Fruits Gélifiée en Pectine Jaune)</t>
        </is>
      </c>
      <c r="C16" t="inlineStr">
        <is>
          <t>sabor</t>
        </is>
      </c>
      <c r="D16" s="22" t="inlineStr">
        <is>
          <t>30 ml Agua desmineralizada pura</t>
        </is>
      </c>
      <c r="E16" s="6" t="inlineStr">
        <is>
          <t>Agua desmineralizada o purificada</t>
        </is>
      </c>
      <c r="F16" s="16" t="n">
        <v>30</v>
      </c>
      <c r="G16" t="inlineStr">
        <is>
          <t>ml</t>
        </is>
      </c>
      <c r="H16" s="12">
        <f>IFERROR(VLOOKUP(E16,Insumos!$C$5:$G$100,5,FALSE),0)</f>
        <v/>
      </c>
      <c r="I16" s="17">
        <f>F16*H16/IF(C16="molde",MAX(1,'Mi negocio'!$C$34),1)</f>
        <v/>
      </c>
    </row>
    <row r="17">
      <c r="A17" t="n">
        <v>2</v>
      </c>
      <c r="B17" s="21" t="inlineStr">
        <is>
          <t>Gota Francesa de Naranja y Mandarina en Pectina de Alto Metoxilo (Pâte de Fruits Gélifiée en Pectine Jaune)</t>
        </is>
      </c>
      <c r="C17" t="inlineStr">
        <is>
          <t>gelificante</t>
        </is>
      </c>
      <c r="D17" s="22" t="inlineStr">
        <is>
          <t>10 g Pectina de Alto Metoxilo de gelificación media/rápida (Pectine Jaune de confitería)</t>
        </is>
      </c>
      <c r="E17" s="6" t="inlineStr">
        <is>
          <t>Pectina de alto metoxilo lenta (HM slow-set)</t>
        </is>
      </c>
      <c r="F17" s="16" t="n">
        <v>10</v>
      </c>
      <c r="G17" t="inlineStr">
        <is>
          <t>g</t>
        </is>
      </c>
      <c r="H17" s="12">
        <f>IFERROR(VLOOKUP(E17,Insumos!$C$5:$G$100,5,FALSE),0)</f>
        <v/>
      </c>
      <c r="I17" s="17">
        <f>F17*H17/IF(C17="molde",MAX(1,'Mi negocio'!$C$34),1)</f>
        <v/>
      </c>
    </row>
    <row r="18">
      <c r="A18" t="n">
        <v>2</v>
      </c>
      <c r="B18" s="21" t="inlineStr">
        <is>
          <t>Gota Francesa de Naranja y Mandarina en Pectina de Alto Metoxilo (Pâte de Fruits Gélifiée en Pectine Jaune)</t>
        </is>
      </c>
      <c r="C18" t="inlineStr">
        <is>
          <t>azucar</t>
        </is>
      </c>
      <c r="D18" s="22" t="inlineStr">
        <is>
          <t>30 g Azúcar blanca refinada (para dispersar la pectina en seco y evitar grumos)</t>
        </is>
      </c>
      <c r="E18" s="6" t="inlineStr">
        <is>
          <t>Azúcar blanca refinada</t>
        </is>
      </c>
      <c r="F18" s="16" t="n">
        <v>30</v>
      </c>
      <c r="G18" t="inlineStr">
        <is>
          <t>g</t>
        </is>
      </c>
      <c r="H18" s="12">
        <f>IFERROR(VLOOKUP(E18,Insumos!$C$5:$G$100,5,FALSE),0)</f>
        <v/>
      </c>
      <c r="I18" s="17">
        <f>F18*H18/IF(C18="molde",MAX(1,'Mi negocio'!$C$34),1)</f>
        <v/>
      </c>
    </row>
    <row r="19">
      <c r="A19" t="n">
        <v>2</v>
      </c>
      <c r="B19" s="21" t="inlineStr">
        <is>
          <t>Gota Francesa de Naranja y Mandarina en Pectina de Alto Metoxilo (Pâte de Fruits Gélifiée en Pectine Jaune)</t>
        </is>
      </c>
      <c r="C19" t="inlineStr">
        <is>
          <t>azucar</t>
        </is>
      </c>
      <c r="D19" s="22" t="inlineStr">
        <is>
          <t>190 g Azúcar blanca refinada pura</t>
        </is>
      </c>
      <c r="E19" s="6" t="inlineStr">
        <is>
          <t>Azúcar blanca refinada</t>
        </is>
      </c>
      <c r="F19" s="16" t="n">
        <v>190</v>
      </c>
      <c r="G19" t="inlineStr">
        <is>
          <t>g</t>
        </is>
      </c>
      <c r="H19" s="12">
        <f>IFERROR(VLOOKUP(E19,Insumos!$C$5:$G$100,5,FALSE),0)</f>
        <v/>
      </c>
      <c r="I19" s="17">
        <f>F19*H19/IF(C19="molde",MAX(1,'Mi negocio'!$C$34),1)</f>
        <v/>
      </c>
    </row>
    <row r="20">
      <c r="A20" t="n">
        <v>2</v>
      </c>
      <c r="B20" s="21" t="inlineStr">
        <is>
          <t>Gota Francesa de Naranja y Mandarina en Pectina de Alto Metoxilo (Pâte de Fruits Gélifiée en Pectine Jaune)</t>
        </is>
      </c>
      <c r="C20" t="inlineStr">
        <is>
          <t>azucar</t>
        </is>
      </c>
      <c r="D20" s="22" t="inlineStr">
        <is>
          <t>70 g Jarabe de glucosa estándar 42 DE</t>
        </is>
      </c>
      <c r="E20" s="6" t="inlineStr">
        <is>
          <t>Jarabe de glucosa 42 DE</t>
        </is>
      </c>
      <c r="F20" s="16" t="n">
        <v>70</v>
      </c>
      <c r="G20" t="inlineStr">
        <is>
          <t>g</t>
        </is>
      </c>
      <c r="H20" s="12">
        <f>IFERROR(VLOOKUP(E20,Insumos!$C$5:$G$100,5,FALSE),0)</f>
        <v/>
      </c>
      <c r="I20" s="17">
        <f>F20*H20/IF(C20="molde",MAX(1,'Mi negocio'!$C$34),1)</f>
        <v/>
      </c>
    </row>
    <row r="21">
      <c r="A21" t="n">
        <v>2</v>
      </c>
      <c r="B21" s="21" t="inlineStr">
        <is>
          <t>Gota Francesa de Naranja y Mandarina en Pectina de Alto Metoxilo (Pâte de Fruits Gélifiée en Pectine Jaune)</t>
        </is>
      </c>
      <c r="C21" t="inlineStr">
        <is>
          <t>sabor</t>
        </is>
      </c>
      <c r="D21" s="22" t="inlineStr">
        <is>
          <t>7 ml Solución de ácido tartárico o ácido cítrico al 50% p/v (3.5 g de ácido en 3.5 ml de agua)</t>
        </is>
      </c>
      <c r="E21" s="6" t="inlineStr">
        <is>
          <t>Ácido tartárico fino</t>
        </is>
      </c>
      <c r="F21" s="16" t="n">
        <v>7</v>
      </c>
      <c r="G21" t="inlineStr">
        <is>
          <t>g</t>
        </is>
      </c>
      <c r="H21" s="12">
        <f>IFERROR(VLOOKUP(E21,Insumos!$C$5:$G$100,5,FALSE),0)</f>
        <v/>
      </c>
      <c r="I21" s="17">
        <f>F21*H21/IF(C21="molde",MAX(1,'Mi negocio'!$C$34),1)</f>
        <v/>
      </c>
    </row>
    <row r="22">
      <c r="A22" t="n">
        <v>2</v>
      </c>
      <c r="B22" s="21" t="inlineStr">
        <is>
          <t>Gota Francesa de Naranja y Mandarina en Pectina de Alto Metoxilo (Pâte de Fruits Gélifiée en Pectine Jaune)</t>
        </is>
      </c>
      <c r="C22" t="inlineStr">
        <is>
          <t>acabado</t>
        </is>
      </c>
      <c r="D22" s="22" t="inlineStr">
        <is>
          <t>120 g Azúcar cristal o azúcar de grano grueso (para rebozado cristalino protector)</t>
        </is>
      </c>
      <c r="E22" s="6" t="inlineStr">
        <is>
          <t>Azúcar cristal de grano medio a grueso (rebozado)</t>
        </is>
      </c>
      <c r="F22" s="16" t="n">
        <v>120</v>
      </c>
      <c r="G22" t="inlineStr">
        <is>
          <t>g</t>
        </is>
      </c>
      <c r="H22" s="12">
        <f>IFERROR(VLOOKUP(E22,Insumos!$C$5:$G$100,5,FALSE),0)</f>
        <v/>
      </c>
      <c r="I22" s="17">
        <f>F22*H22/IF(C22="molde",MAX(1,'Mi negocio'!$C$34),1)</f>
        <v/>
      </c>
    </row>
    <row r="23">
      <c r="A23" t="n">
        <v>3</v>
      </c>
      <c r="B23" s="21" t="inlineStr">
        <is>
          <t>Gomita Tropical de Piña Colada en Sistema Híbrido (Gelatin-Pectin Hybrid Texture)</t>
        </is>
      </c>
      <c r="C23" t="inlineStr">
        <is>
          <t>gelificante</t>
        </is>
      </c>
      <c r="D23" s="22" t="inlineStr">
        <is>
          <t>32 g Gelatina en polvo de 200 Bloom</t>
        </is>
      </c>
      <c r="E23" s="6" t="inlineStr">
        <is>
          <t>Gelatina en polvo de 200-220 Bloom</t>
        </is>
      </c>
      <c r="F23" s="16" t="n">
        <v>32</v>
      </c>
      <c r="G23" t="inlineStr">
        <is>
          <t>g</t>
        </is>
      </c>
      <c r="H23" s="12">
        <f>IFERROR(VLOOKUP(E23,Insumos!$C$5:$G$100,5,FALSE),0)</f>
        <v/>
      </c>
      <c r="I23" s="17">
        <f>F23*H23/IF(C23="molde",MAX(1,'Mi negocio'!$C$34),1)</f>
        <v/>
      </c>
    </row>
    <row r="24">
      <c r="A24" t="n">
        <v>3</v>
      </c>
      <c r="B24" s="21" t="inlineStr">
        <is>
          <t>Gomita Tropical de Piña Colada en Sistema Híbrido (Gelatin-Pectin Hybrid Texture)</t>
        </is>
      </c>
      <c r="C24" t="inlineStr">
        <is>
          <t>sabor</t>
        </is>
      </c>
      <c r="D24" s="22" t="inlineStr">
        <is>
          <t>70 ml Agua desmineralizada a 15 °C</t>
        </is>
      </c>
      <c r="E24" s="6" t="inlineStr">
        <is>
          <t>Agua desmineralizada o purificada</t>
        </is>
      </c>
      <c r="F24" s="16" t="n">
        <v>70</v>
      </c>
      <c r="G24" t="inlineStr">
        <is>
          <t>ml</t>
        </is>
      </c>
      <c r="H24" s="12">
        <f>IFERROR(VLOOKUP(E24,Insumos!$C$5:$G$100,5,FALSE),0)</f>
        <v/>
      </c>
      <c r="I24" s="17">
        <f>F24*H24/IF(C24="molde",MAX(1,'Mi negocio'!$C$34),1)</f>
        <v/>
      </c>
    </row>
    <row r="25">
      <c r="A25" t="n">
        <v>3</v>
      </c>
      <c r="B25" s="21" t="inlineStr">
        <is>
          <t>Gomita Tropical de Piña Colada en Sistema Híbrido (Gelatin-Pectin Hybrid Texture)</t>
        </is>
      </c>
      <c r="C25" t="inlineStr">
        <is>
          <t>gelificante</t>
        </is>
      </c>
      <c r="D25" s="22" t="inlineStr">
        <is>
          <t>8 g Pectina de Alto Metoxilo lenta (HM Slow Set)</t>
        </is>
      </c>
      <c r="E25" s="6" t="inlineStr">
        <is>
          <t>Pectina de alto metoxilo lenta (HM slow-set)</t>
        </is>
      </c>
      <c r="F25" s="16" t="n">
        <v>8</v>
      </c>
      <c r="G25" t="inlineStr">
        <is>
          <t>g</t>
        </is>
      </c>
      <c r="H25" s="12">
        <f>IFERROR(VLOOKUP(E25,Insumos!$C$5:$G$100,5,FALSE),0)</f>
        <v/>
      </c>
      <c r="I25" s="17">
        <f>F25*H25/IF(C25="molde",MAX(1,'Mi negocio'!$C$34),1)</f>
        <v/>
      </c>
    </row>
    <row r="26">
      <c r="A26" t="n">
        <v>3</v>
      </c>
      <c r="B26" s="21" t="inlineStr">
        <is>
          <t>Gomita Tropical de Piña Colada en Sistema Híbrido (Gelatin-Pectin Hybrid Texture)</t>
        </is>
      </c>
      <c r="C26" t="inlineStr">
        <is>
          <t>azucar</t>
        </is>
      </c>
      <c r="D26" s="22" t="inlineStr">
        <is>
          <t>25 g Azúcar refinada (para dispersar)</t>
        </is>
      </c>
      <c r="E26" s="6" t="inlineStr">
        <is>
          <t>Azúcar blanca refinada</t>
        </is>
      </c>
      <c r="F26" s="16" t="n">
        <v>25</v>
      </c>
      <c r="G26" t="inlineStr">
        <is>
          <t>g</t>
        </is>
      </c>
      <c r="H26" s="12">
        <f>IFERROR(VLOOKUP(E26,Insumos!$C$5:$G$100,5,FALSE),0)</f>
        <v/>
      </c>
      <c r="I26" s="17">
        <f>F26*H26/IF(C26="molde",MAX(1,'Mi negocio'!$C$34),1)</f>
        <v/>
      </c>
    </row>
    <row r="27">
      <c r="A27" t="n">
        <v>3</v>
      </c>
      <c r="B27" s="21" t="inlineStr">
        <is>
          <t>Gomita Tropical de Piña Colada en Sistema Híbrido (Gelatin-Pectin Hybrid Texture)</t>
        </is>
      </c>
      <c r="C27" t="inlineStr">
        <is>
          <t>sabor</t>
        </is>
      </c>
      <c r="D27" s="22" t="inlineStr">
        <is>
          <t>70 ml Jugo concentrado de piña clarificado (sin bromelina activa)</t>
        </is>
      </c>
      <c r="E27" s="6" t="inlineStr">
        <is>
          <t>Zumo concentrado clarificado de piña, sandía o tropical</t>
        </is>
      </c>
      <c r="F27" s="16" t="n">
        <v>70</v>
      </c>
      <c r="G27" t="inlineStr">
        <is>
          <t>ml</t>
        </is>
      </c>
      <c r="H27" s="12">
        <f>IFERROR(VLOOKUP(E27,Insumos!$C$5:$G$100,5,FALSE),0)</f>
        <v/>
      </c>
      <c r="I27" s="17">
        <f>F27*H27/IF(C27="molde",MAX(1,'Mi negocio'!$C$34),1)</f>
        <v/>
      </c>
    </row>
    <row r="28">
      <c r="A28" t="n">
        <v>3</v>
      </c>
      <c r="B28" s="21" t="inlineStr">
        <is>
          <t>Gomita Tropical de Piña Colada en Sistema Híbrido (Gelatin-Pectin Hybrid Texture)</t>
        </is>
      </c>
      <c r="C28" t="inlineStr">
        <is>
          <t>azucar</t>
        </is>
      </c>
      <c r="D28" s="22" t="inlineStr">
        <is>
          <t>170 g Azúcar blanca refinada</t>
        </is>
      </c>
      <c r="E28" s="6" t="inlineStr">
        <is>
          <t>Azúcar blanca refinada</t>
        </is>
      </c>
      <c r="F28" s="16" t="n">
        <v>170</v>
      </c>
      <c r="G28" t="inlineStr">
        <is>
          <t>g</t>
        </is>
      </c>
      <c r="H28" s="12">
        <f>IFERROR(VLOOKUP(E28,Insumos!$C$5:$G$100,5,FALSE),0)</f>
        <v/>
      </c>
      <c r="I28" s="17">
        <f>F28*H28/IF(C28="molde",MAX(1,'Mi negocio'!$C$34),1)</f>
        <v/>
      </c>
    </row>
    <row r="29">
      <c r="A29" t="n">
        <v>3</v>
      </c>
      <c r="B29" s="21" t="inlineStr">
        <is>
          <t>Gomita Tropical de Piña Colada en Sistema Híbrido (Gelatin-Pectin Hybrid Texture)</t>
        </is>
      </c>
      <c r="C29" t="inlineStr">
        <is>
          <t>azucar</t>
        </is>
      </c>
      <c r="D29" s="22" t="inlineStr">
        <is>
          <t>130 g Jarabe de glucosa 42 DE</t>
        </is>
      </c>
      <c r="E29" s="6" t="inlineStr">
        <is>
          <t>Jarabe de glucosa 42 DE</t>
        </is>
      </c>
      <c r="F29" s="16" t="n">
        <v>130</v>
      </c>
      <c r="G29" t="inlineStr">
        <is>
          <t>g</t>
        </is>
      </c>
      <c r="H29" s="12">
        <f>IFERROR(VLOOKUP(E29,Insumos!$C$5:$G$100,5,FALSE),0)</f>
        <v/>
      </c>
      <c r="I29" s="17">
        <f>F29*H29/IF(C29="molde",MAX(1,'Mi negocio'!$C$34),1)</f>
        <v/>
      </c>
    </row>
    <row r="30">
      <c r="A30" t="n">
        <v>3</v>
      </c>
      <c r="B30" s="21" t="inlineStr">
        <is>
          <t>Gomita Tropical de Piña Colada en Sistema Híbrido (Gelatin-Pectin Hybrid Texture)</t>
        </is>
      </c>
      <c r="C30" t="inlineStr">
        <is>
          <t>sabor</t>
        </is>
      </c>
      <c r="D30" s="22" t="inlineStr">
        <is>
          <t>25 g Crema de coco concentrada pasteurizada (24% grasa, tamizada lisa)</t>
        </is>
      </c>
      <c r="E30" s="6" t="inlineStr">
        <is>
          <t>Crema de coco concentrada pasteurizada</t>
        </is>
      </c>
      <c r="F30" s="16" t="n">
        <v>25</v>
      </c>
      <c r="G30" t="inlineStr">
        <is>
          <t>g</t>
        </is>
      </c>
      <c r="H30" s="12">
        <f>IFERROR(VLOOKUP(E30,Insumos!$C$5:$G$100,5,FALSE),0)</f>
        <v/>
      </c>
      <c r="I30" s="17">
        <f>F30*H30/IF(C30="molde",MAX(1,'Mi negocio'!$C$34),1)</f>
        <v/>
      </c>
    </row>
    <row r="31">
      <c r="A31" t="n">
        <v>3</v>
      </c>
      <c r="B31" s="21" t="inlineStr">
        <is>
          <t>Gomita Tropical de Piña Colada en Sistema Híbrido (Gelatin-Pectin Hybrid Texture)</t>
        </is>
      </c>
      <c r="C31" t="inlineStr">
        <is>
          <t>sabor</t>
        </is>
      </c>
      <c r="D31" s="22" t="inlineStr">
        <is>
          <t>8 ml Solución de ácido cítrico al 50%</t>
        </is>
      </c>
      <c r="E31" s="6" t="inlineStr">
        <is>
          <t>Solución de ácido cítrico al 50% p/v (elaborada)</t>
        </is>
      </c>
      <c r="F31" s="16" t="n">
        <v>8</v>
      </c>
      <c r="G31" t="inlineStr">
        <is>
          <t>ml</t>
        </is>
      </c>
      <c r="H31" s="12">
        <f>IFERROR(VLOOKUP(E31,Insumos!$C$5:$G$100,5,FALSE),0)</f>
        <v/>
      </c>
      <c r="I31" s="17">
        <f>F31*H31/IF(C31="molde",MAX(1,'Mi negocio'!$C$34),1)</f>
        <v/>
      </c>
    </row>
    <row r="32">
      <c r="A32" t="n">
        <v>3</v>
      </c>
      <c r="B32" s="21" t="inlineStr">
        <is>
          <t>Gomita Tropical de Piña Colada en Sistema Híbrido (Gelatin-Pectin Hybrid Texture)</t>
        </is>
      </c>
      <c r="C32" t="inlineStr">
        <is>
          <t>sabor</t>
        </is>
      </c>
      <c r="D32" s="22" t="inlineStr">
        <is>
          <t>2 ml Aroma natural concentrado de piña</t>
        </is>
      </c>
      <c r="E32" s="6" t="inlineStr">
        <is>
          <t>Aroma natural hidrosoluble concentrado</t>
        </is>
      </c>
      <c r="F32" s="16" t="n">
        <v>2</v>
      </c>
      <c r="G32" t="inlineStr">
        <is>
          <t>ml</t>
        </is>
      </c>
      <c r="H32" s="12">
        <f>IFERROR(VLOOKUP(E32,Insumos!$C$5:$G$100,5,FALSE),0)</f>
        <v/>
      </c>
      <c r="I32" s="17">
        <f>F32*H32/IF(C32="molde",MAX(1,'Mi negocio'!$C$34),1)</f>
        <v/>
      </c>
    </row>
    <row r="33">
      <c r="A33" t="n">
        <v>3</v>
      </c>
      <c r="B33" s="21" t="inlineStr">
        <is>
          <t>Gomita Tropical de Piña Colada en Sistema Híbrido (Gelatin-Pectin Hybrid Texture)</t>
        </is>
      </c>
      <c r="C33" t="inlineStr">
        <is>
          <t>sabor</t>
        </is>
      </c>
      <c r="D33" s="22" t="inlineStr">
        <is>
          <t>1 ml Aroma natural de coco tostado</t>
        </is>
      </c>
      <c r="E33" s="6" t="inlineStr">
        <is>
          <t>Aroma natural hidrosoluble concentrado</t>
        </is>
      </c>
      <c r="F33" s="16" t="n">
        <v>1</v>
      </c>
      <c r="G33" t="inlineStr">
        <is>
          <t>ml</t>
        </is>
      </c>
      <c r="H33" s="12">
        <f>IFERROR(VLOOKUP(E33,Insumos!$C$5:$G$100,5,FALSE),0)</f>
        <v/>
      </c>
      <c r="I33" s="17">
        <f>F33*H33/IF(C33="molde",MAX(1,'Mi negocio'!$C$34),1)</f>
        <v/>
      </c>
    </row>
    <row r="34">
      <c r="A34" t="n">
        <v>3</v>
      </c>
      <c r="B34" s="21" t="inlineStr">
        <is>
          <t>Gomita Tropical de Piña Colada en Sistema Híbrido (Gelatin-Pectin Hybrid Texture)</t>
        </is>
      </c>
      <c r="C34" t="inlineStr">
        <is>
          <t>sabor</t>
        </is>
      </c>
      <c r="D34" s="22" t="inlineStr">
        <is>
          <t>0.2 g Colorante amarillo curcumina hidrosoluble</t>
        </is>
      </c>
      <c r="E34" s="6" t="inlineStr">
        <is>
          <t>Colorante amarillo curcumina hidrosoluble</t>
        </is>
      </c>
      <c r="F34" s="16" t="n">
        <v>0.2</v>
      </c>
      <c r="G34" t="inlineStr">
        <is>
          <t>g</t>
        </is>
      </c>
      <c r="H34" s="12">
        <f>IFERROR(VLOOKUP(E34,Insumos!$C$5:$G$100,5,FALSE),0)</f>
        <v/>
      </c>
      <c r="I34" s="17">
        <f>F34*H34/IF(C34="molde",MAX(1,'Mi negocio'!$C$34),1)</f>
        <v/>
      </c>
    </row>
    <row r="35">
      <c r="A35" t="n">
        <v>3</v>
      </c>
      <c r="B35" s="21" t="inlineStr">
        <is>
          <t>Gomita Tropical de Piña Colada en Sistema Híbrido (Gelatin-Pectin Hybrid Texture)</t>
        </is>
      </c>
      <c r="C35" t="inlineStr">
        <is>
          <t>acabado</t>
        </is>
      </c>
      <c r="D35" s="22" t="inlineStr">
        <is>
          <t>2 g Aceite mineral alimenticio / aceite de coco fraccionado con cera de abeja</t>
        </is>
      </c>
      <c r="E35" s="6" t="inlineStr">
        <is>
          <t>Aceite de coco fraccionado (MCT)</t>
        </is>
      </c>
      <c r="F35" s="16" t="n">
        <v>2</v>
      </c>
      <c r="G35" t="inlineStr">
        <is>
          <t>ml</t>
        </is>
      </c>
      <c r="H35" s="12">
        <f>IFERROR(VLOOKUP(E35,Insumos!$C$5:$G$100,5,FALSE),0)</f>
        <v/>
      </c>
      <c r="I35" s="17">
        <f>F35*H35/IF(C35="molde",MAX(1,'Mi negocio'!$C$34),1)</f>
        <v/>
      </c>
    </row>
    <row r="36">
      <c r="A36" t="n">
        <v>4</v>
      </c>
      <c r="B36" s="21" t="inlineStr">
        <is>
          <t>Gomita Vegana de Mango y Maracuyá en Agar-Agar Puro (Plant-Based Agar-Agar Tropical Jelly)</t>
        </is>
      </c>
      <c r="C36" t="inlineStr">
        <is>
          <t>gelificante</t>
        </is>
      </c>
      <c r="D36" s="22" t="inlineStr">
        <is>
          <t>8.5 g Agar-agar puro en polvo (800 a 900 g/cm2 de fuerza de gel)</t>
        </is>
      </c>
      <c r="E36" s="6" t="inlineStr">
        <is>
          <t>Agar-agar en polvo de 900 g/cm²</t>
        </is>
      </c>
      <c r="F36" s="16" t="n">
        <v>8.5</v>
      </c>
      <c r="G36" t="inlineStr">
        <is>
          <t>g</t>
        </is>
      </c>
      <c r="H36" s="12">
        <f>IFERROR(VLOOKUP(E36,Insumos!$C$5:$G$100,5,FALSE),0)</f>
        <v/>
      </c>
      <c r="I36" s="17">
        <f>F36*H36/IF(C36="molde",MAX(1,'Mi negocio'!$C$34),1)</f>
        <v/>
      </c>
    </row>
    <row r="37">
      <c r="A37" t="n">
        <v>4</v>
      </c>
      <c r="B37" s="21" t="inlineStr">
        <is>
          <t>Gomita Vegana de Mango y Maracuyá en Agar-Agar Puro (Plant-Based Agar-Agar Tropical Jelly)</t>
        </is>
      </c>
      <c r="C37" t="inlineStr">
        <is>
          <t>sabor</t>
        </is>
      </c>
      <c r="D37" s="22" t="inlineStr">
        <is>
          <t>150 ml Agua desmineralizada pura</t>
        </is>
      </c>
      <c r="E37" s="6" t="inlineStr">
        <is>
          <t>Agua desmineralizada o purificada</t>
        </is>
      </c>
      <c r="F37" s="16" t="n">
        <v>150</v>
      </c>
      <c r="G37" t="inlineStr">
        <is>
          <t>ml</t>
        </is>
      </c>
      <c r="H37" s="12">
        <f>IFERROR(VLOOKUP(E37,Insumos!$C$5:$G$100,5,FALSE),0)</f>
        <v/>
      </c>
      <c r="I37" s="17">
        <f>F37*H37/IF(C37="molde",MAX(1,'Mi negocio'!$C$34),1)</f>
        <v/>
      </c>
    </row>
    <row r="38">
      <c r="A38" t="n">
        <v>4</v>
      </c>
      <c r="B38" s="21" t="inlineStr">
        <is>
          <t>Gomita Vegana de Mango y Maracuyá en Agar-Agar Puro (Plant-Based Agar-Agar Tropical Jelly)</t>
        </is>
      </c>
      <c r="C38" t="inlineStr">
        <is>
          <t>sabor</t>
        </is>
      </c>
      <c r="D38" s="22" t="inlineStr">
        <is>
          <t>120 g Puré de mango Ataulfo pasteurizado</t>
        </is>
      </c>
      <c r="E38" s="6" t="inlineStr">
        <is>
          <t>Puré concentrado de mango, durazno o chabacano</t>
        </is>
      </c>
      <c r="F38" s="16" t="n">
        <v>120</v>
      </c>
      <c r="G38" t="inlineStr">
        <is>
          <t>g</t>
        </is>
      </c>
      <c r="H38" s="12">
        <f>IFERROR(VLOOKUP(E38,Insumos!$C$5:$G$100,5,FALSE),0)</f>
        <v/>
      </c>
      <c r="I38" s="17">
        <f>F38*H38/IF(C38="molde",MAX(1,'Mi negocio'!$C$34),1)</f>
        <v/>
      </c>
    </row>
    <row r="39">
      <c r="A39" t="n">
        <v>4</v>
      </c>
      <c r="B39" s="21" t="inlineStr">
        <is>
          <t>Gomita Vegana de Mango y Maracuyá en Agar-Agar Puro (Plant-Based Agar-Agar Tropical Jelly)</t>
        </is>
      </c>
      <c r="C39" t="inlineStr">
        <is>
          <t>sabor</t>
        </is>
      </c>
      <c r="D39" s="22" t="inlineStr">
        <is>
          <t>40 g Puré concentrado de maracuyá sin semillas</t>
        </is>
      </c>
      <c r="E39" s="6" t="inlineStr">
        <is>
          <t>Puré concentrado de maracuyá sin semillas</t>
        </is>
      </c>
      <c r="F39" s="16" t="n">
        <v>40</v>
      </c>
      <c r="G39" t="inlineStr">
        <is>
          <t>g</t>
        </is>
      </c>
      <c r="H39" s="12">
        <f>IFERROR(VLOOKUP(E39,Insumos!$C$5:$G$100,5,FALSE),0)</f>
        <v/>
      </c>
      <c r="I39" s="17">
        <f>F39*H39/IF(C39="molde",MAX(1,'Mi negocio'!$C$34),1)</f>
        <v/>
      </c>
    </row>
    <row r="40">
      <c r="A40" t="n">
        <v>4</v>
      </c>
      <c r="B40" s="21" t="inlineStr">
        <is>
          <t>Gomita Vegana de Mango y Maracuyá en Agar-Agar Puro (Plant-Based Agar-Agar Tropical Jelly)</t>
        </is>
      </c>
      <c r="C40" t="inlineStr">
        <is>
          <t>azucar</t>
        </is>
      </c>
      <c r="D40" s="22" t="inlineStr">
        <is>
          <t>180 g Azúcar blanca refinada</t>
        </is>
      </c>
      <c r="E40" s="6" t="inlineStr">
        <is>
          <t>Azúcar blanca refinada</t>
        </is>
      </c>
      <c r="F40" s="16" t="n">
        <v>180</v>
      </c>
      <c r="G40" t="inlineStr">
        <is>
          <t>g</t>
        </is>
      </c>
      <c r="H40" s="12">
        <f>IFERROR(VLOOKUP(E40,Insumos!$C$5:$G$100,5,FALSE),0)</f>
        <v/>
      </c>
      <c r="I40" s="17">
        <f>F40*H40/IF(C40="molde",MAX(1,'Mi negocio'!$C$34),1)</f>
        <v/>
      </c>
    </row>
    <row r="41">
      <c r="A41" t="n">
        <v>4</v>
      </c>
      <c r="B41" s="21" t="inlineStr">
        <is>
          <t>Gomita Vegana de Mango y Maracuyá en Agar-Agar Puro (Plant-Based Agar-Agar Tropical Jelly)</t>
        </is>
      </c>
      <c r="C41" t="inlineStr">
        <is>
          <t>azucar</t>
        </is>
      </c>
      <c r="D41" s="22" t="inlineStr">
        <is>
          <t>90 g Jarabe de glucosa 42 DE</t>
        </is>
      </c>
      <c r="E41" s="6" t="inlineStr">
        <is>
          <t>Jarabe de glucosa 42 DE</t>
        </is>
      </c>
      <c r="F41" s="16" t="n">
        <v>90</v>
      </c>
      <c r="G41" t="inlineStr">
        <is>
          <t>g</t>
        </is>
      </c>
      <c r="H41" s="12">
        <f>IFERROR(VLOOKUP(E41,Insumos!$C$5:$G$100,5,FALSE),0)</f>
        <v/>
      </c>
      <c r="I41" s="17">
        <f>F41*H41/IF(C41="molde",MAX(1,'Mi negocio'!$C$34),1)</f>
        <v/>
      </c>
    </row>
    <row r="42">
      <c r="A42" t="n">
        <v>4</v>
      </c>
      <c r="B42" s="21" t="inlineStr">
        <is>
          <t>Gomita Vegana de Mango y Maracuyá en Agar-Agar Puro (Plant-Based Agar-Agar Tropical Jelly)</t>
        </is>
      </c>
      <c r="C42" t="inlineStr">
        <is>
          <t>azucar</t>
        </is>
      </c>
      <c r="D42" s="22" t="inlineStr">
        <is>
          <t>10 g Glicerina vegetal alimentaria pura (plastificante de agar)</t>
        </is>
      </c>
      <c r="E42" s="6" t="inlineStr">
        <is>
          <t>Glicerina vegetal grado alimenticio</t>
        </is>
      </c>
      <c r="F42" s="16" t="n">
        <v>10</v>
      </c>
      <c r="G42" t="inlineStr">
        <is>
          <t>ml</t>
        </is>
      </c>
      <c r="H42" s="12">
        <f>IFERROR(VLOOKUP(E42,Insumos!$C$5:$G$100,5,FALSE),0)</f>
        <v/>
      </c>
      <c r="I42" s="17">
        <f>F42*H42/IF(C42="molde",MAX(1,'Mi negocio'!$C$34),1)</f>
        <v/>
      </c>
    </row>
    <row r="43">
      <c r="A43" t="n">
        <v>4</v>
      </c>
      <c r="B43" s="21" t="inlineStr">
        <is>
          <t>Gomita Vegana de Mango y Maracuyá en Agar-Agar Puro (Plant-Based Agar-Agar Tropical Jelly)</t>
        </is>
      </c>
      <c r="C43" t="inlineStr">
        <is>
          <t>sabor</t>
        </is>
      </c>
      <c r="D43" s="22" t="inlineStr">
        <is>
          <t>5 ml Solución de ácido cítrico al 50%</t>
        </is>
      </c>
      <c r="E43" s="6" t="inlineStr">
        <is>
          <t>Solución de ácido cítrico al 50% p/v (elaborada)</t>
        </is>
      </c>
      <c r="F43" s="16" t="n">
        <v>5</v>
      </c>
      <c r="G43" t="inlineStr">
        <is>
          <t>ml</t>
        </is>
      </c>
      <c r="H43" s="12">
        <f>IFERROR(VLOOKUP(E43,Insumos!$C$5:$G$100,5,FALSE),0)</f>
        <v/>
      </c>
      <c r="I43" s="17">
        <f>F43*H43/IF(C43="molde",MAX(1,'Mi negocio'!$C$34),1)</f>
        <v/>
      </c>
    </row>
    <row r="44">
      <c r="A44" t="n">
        <v>4</v>
      </c>
      <c r="B44" s="21" t="inlineStr">
        <is>
          <t>Gomita Vegana de Mango y Maracuyá en Agar-Agar Puro (Plant-Based Agar-Agar Tropical Jelly)</t>
        </is>
      </c>
      <c r="C44" t="inlineStr">
        <is>
          <t>sabor</t>
        </is>
      </c>
      <c r="D44" s="22" t="inlineStr">
        <is>
          <t>1 ml Aroma natural de mango</t>
        </is>
      </c>
      <c r="E44" s="6" t="inlineStr">
        <is>
          <t>Aroma natural hidrosoluble concentrado</t>
        </is>
      </c>
      <c r="F44" s="16" t="n">
        <v>1</v>
      </c>
      <c r="G44" t="inlineStr">
        <is>
          <t>ml</t>
        </is>
      </c>
      <c r="H44" s="12">
        <f>IFERROR(VLOOKUP(E44,Insumos!$C$5:$G$100,5,FALSE),0)</f>
        <v/>
      </c>
      <c r="I44" s="17">
        <f>F44*H44/IF(C44="molde",MAX(1,'Mi negocio'!$C$34),1)</f>
        <v/>
      </c>
    </row>
    <row r="45">
      <c r="A45" t="n">
        <v>5</v>
      </c>
      <c r="B45" s="21" t="inlineStr">
        <is>
          <t>Gomita Cristaliana de Moras Silvestres con Corazón Elástico (High-Elasticity Blackberry Drop)</t>
        </is>
      </c>
      <c r="C45" t="inlineStr">
        <is>
          <t>gelificante</t>
        </is>
      </c>
      <c r="D45" s="22" t="inlineStr">
        <is>
          <t>40 g Gelatina en polvo de 220 Bloom</t>
        </is>
      </c>
      <c r="E45" s="6" t="inlineStr">
        <is>
          <t>Gelatina en polvo de 200-220 Bloom</t>
        </is>
      </c>
      <c r="F45" s="16" t="n">
        <v>40</v>
      </c>
      <c r="G45" t="inlineStr">
        <is>
          <t>g</t>
        </is>
      </c>
      <c r="H45" s="12">
        <f>IFERROR(VLOOKUP(E45,Insumos!$C$5:$G$100,5,FALSE),0)</f>
        <v/>
      </c>
      <c r="I45" s="17">
        <f>F45*H45/IF(C45="molde",MAX(1,'Mi negocio'!$C$34),1)</f>
        <v/>
      </c>
    </row>
    <row r="46">
      <c r="A46" t="n">
        <v>5</v>
      </c>
      <c r="B46" s="21" t="inlineStr">
        <is>
          <t>Gomita Cristaliana de Moras Silvestres con Corazón Elástico (High-Elasticity Blackberry Drop)</t>
        </is>
      </c>
      <c r="C46" t="inlineStr">
        <is>
          <t>gelificante</t>
        </is>
      </c>
      <c r="D46" s="22" t="inlineStr">
        <is>
          <t>5 g Goma arábiga en polvo atomizada (Gum Arabic / Acacia)</t>
        </is>
      </c>
      <c r="E46" s="6" t="inlineStr">
        <is>
          <t>Goma arábiga en polvo atomizada (acacia)</t>
        </is>
      </c>
      <c r="F46" s="16" t="n">
        <v>5</v>
      </c>
      <c r="G46" t="inlineStr">
        <is>
          <t>g</t>
        </is>
      </c>
      <c r="H46" s="12">
        <f>IFERROR(VLOOKUP(E46,Insumos!$C$5:$G$100,5,FALSE),0)</f>
        <v/>
      </c>
      <c r="I46" s="17">
        <f>F46*H46/IF(C46="molde",MAX(1,'Mi negocio'!$C$34),1)</f>
        <v/>
      </c>
    </row>
    <row r="47">
      <c r="A47" t="n">
        <v>5</v>
      </c>
      <c r="B47" s="21" t="inlineStr">
        <is>
          <t>Gomita Cristaliana de Moras Silvestres con Corazón Elástico (High-Elasticity Blackberry Drop)</t>
        </is>
      </c>
      <c r="C47" t="inlineStr">
        <is>
          <t>sabor</t>
        </is>
      </c>
      <c r="D47" s="22" t="inlineStr">
        <is>
          <t>95 ml Agua desmineralizada a 15 °C</t>
        </is>
      </c>
      <c r="E47" s="6" t="inlineStr">
        <is>
          <t>Agua desmineralizada o purificada</t>
        </is>
      </c>
      <c r="F47" s="16" t="n">
        <v>95</v>
      </c>
      <c r="G47" t="inlineStr">
        <is>
          <t>ml</t>
        </is>
      </c>
      <c r="H47" s="12">
        <f>IFERROR(VLOOKUP(E47,Insumos!$C$5:$G$100,5,FALSE),0)</f>
        <v/>
      </c>
      <c r="I47" s="17">
        <f>F47*H47/IF(C47="molde",MAX(1,'Mi negocio'!$C$34),1)</f>
        <v/>
      </c>
    </row>
    <row r="48">
      <c r="A48" t="n">
        <v>5</v>
      </c>
      <c r="B48" s="21" t="inlineStr">
        <is>
          <t>Gomita Cristaliana de Moras Silvestres con Corazón Elástico (High-Elasticity Blackberry Drop)</t>
        </is>
      </c>
      <c r="C48" t="inlineStr">
        <is>
          <t>azucar</t>
        </is>
      </c>
      <c r="D48" s="22" t="inlineStr">
        <is>
          <t>190 g Azúcar blanca refinada pura</t>
        </is>
      </c>
      <c r="E48" s="6" t="inlineStr">
        <is>
          <t>Azúcar blanca refinada</t>
        </is>
      </c>
      <c r="F48" s="16" t="n">
        <v>190</v>
      </c>
      <c r="G48" t="inlineStr">
        <is>
          <t>g</t>
        </is>
      </c>
      <c r="H48" s="12">
        <f>IFERROR(VLOOKUP(E48,Insumos!$C$5:$G$100,5,FALSE),0)</f>
        <v/>
      </c>
      <c r="I48" s="17">
        <f>F48*H48/IF(C48="molde",MAX(1,'Mi negocio'!$C$34),1)</f>
        <v/>
      </c>
    </row>
    <row r="49">
      <c r="A49" t="n">
        <v>5</v>
      </c>
      <c r="B49" s="21" t="inlineStr">
        <is>
          <t>Gomita Cristaliana de Moras Silvestres con Corazón Elástico (High-Elasticity Blackberry Drop)</t>
        </is>
      </c>
      <c r="C49" t="inlineStr">
        <is>
          <t>azucar</t>
        </is>
      </c>
      <c r="D49" s="22" t="inlineStr">
        <is>
          <t>150 g Jarabe de glucosa 42 DE</t>
        </is>
      </c>
      <c r="E49" s="6" t="inlineStr">
        <is>
          <t>Jarabe de glucosa 42 DE</t>
        </is>
      </c>
      <c r="F49" s="16" t="n">
        <v>150</v>
      </c>
      <c r="G49" t="inlineStr">
        <is>
          <t>g</t>
        </is>
      </c>
      <c r="H49" s="12">
        <f>IFERROR(VLOOKUP(E49,Insumos!$C$5:$G$100,5,FALSE),0)</f>
        <v/>
      </c>
      <c r="I49" s="17">
        <f>F49*H49/IF(C49="molde",MAX(1,'Mi negocio'!$C$34),1)</f>
        <v/>
      </c>
    </row>
    <row r="50">
      <c r="A50" t="n">
        <v>5</v>
      </c>
      <c r="B50" s="21" t="inlineStr">
        <is>
          <t>Gomita Cristaliana de Moras Silvestres con Corazón Elástico (High-Elasticity Blackberry Drop)</t>
        </is>
      </c>
      <c r="C50" t="inlineStr">
        <is>
          <t>sabor</t>
        </is>
      </c>
      <c r="D50" s="22" t="inlineStr">
        <is>
          <t>25 g Concentrado natural de mora azul / zarzamora clarificado (sin pulpa)</t>
        </is>
      </c>
      <c r="E50" s="6" t="inlineStr">
        <is>
          <t>Puré concentrado de zarzamora, mora azul o grosella</t>
        </is>
      </c>
      <c r="F50" s="16" t="n">
        <v>25</v>
      </c>
      <c r="G50" t="inlineStr">
        <is>
          <t>g</t>
        </is>
      </c>
      <c r="H50" s="12">
        <f>IFERROR(VLOOKUP(E50,Insumos!$C$5:$G$100,5,FALSE),0)</f>
        <v/>
      </c>
      <c r="I50" s="17">
        <f>F50*H50/IF(C50="molde",MAX(1,'Mi negocio'!$C$34),1)</f>
        <v/>
      </c>
    </row>
    <row r="51">
      <c r="A51" t="n">
        <v>5</v>
      </c>
      <c r="B51" s="21" t="inlineStr">
        <is>
          <t>Gomita Cristaliana de Moras Silvestres con Corazón Elástico (High-Elasticity Blackberry Drop)</t>
        </is>
      </c>
      <c r="C51" t="inlineStr">
        <is>
          <t>sabor</t>
        </is>
      </c>
      <c r="D51" s="22" t="inlineStr">
        <is>
          <t>50 ml Agua limpia</t>
        </is>
      </c>
      <c r="E51" s="6" t="inlineStr">
        <is>
          <t>Agua desmineralizada o purificada</t>
        </is>
      </c>
      <c r="F51" s="16" t="n">
        <v>50</v>
      </c>
      <c r="G51" t="inlineStr">
        <is>
          <t>ml</t>
        </is>
      </c>
      <c r="H51" s="12">
        <f>IFERROR(VLOOKUP(E51,Insumos!$C$5:$G$100,5,FALSE),0)</f>
        <v/>
      </c>
      <c r="I51" s="17">
        <f>F51*H51/IF(C51="molde",MAX(1,'Mi negocio'!$C$34),1)</f>
        <v/>
      </c>
    </row>
    <row r="52">
      <c r="A52" t="n">
        <v>5</v>
      </c>
      <c r="B52" s="21" t="inlineStr">
        <is>
          <t>Gomita Cristaliana de Moras Silvestres con Corazón Elástico (High-Elasticity Blackberry Drop)</t>
        </is>
      </c>
      <c r="C52" t="inlineStr">
        <is>
          <t>azucar</t>
        </is>
      </c>
      <c r="D52" s="22" t="inlineStr">
        <is>
          <t>15 g Sorbitol líquido al 70%</t>
        </is>
      </c>
      <c r="E52" s="6" t="inlineStr">
        <is>
          <t>Sorbitol líquido al 70%</t>
        </is>
      </c>
      <c r="F52" s="16" t="n">
        <v>15</v>
      </c>
      <c r="G52" t="inlineStr">
        <is>
          <t>g</t>
        </is>
      </c>
      <c r="H52" s="12">
        <f>IFERROR(VLOOKUP(E52,Insumos!$C$5:$G$100,5,FALSE),0)</f>
        <v/>
      </c>
      <c r="I52" s="17">
        <f>F52*H52/IF(C52="molde",MAX(1,'Mi negocio'!$C$34),1)</f>
        <v/>
      </c>
    </row>
    <row r="53">
      <c r="A53" t="n">
        <v>5</v>
      </c>
      <c r="B53" s="21" t="inlineStr">
        <is>
          <t>Gomita Cristaliana de Moras Silvestres con Corazón Elástico (High-Elasticity Blackberry Drop)</t>
        </is>
      </c>
      <c r="C53" t="inlineStr">
        <is>
          <t>sabor</t>
        </is>
      </c>
      <c r="D53" s="22" t="inlineStr">
        <is>
          <t>9 ml Solución de ácido cítrico al 50%</t>
        </is>
      </c>
      <c r="E53" s="6" t="inlineStr">
        <is>
          <t>Solución de ácido cítrico al 50% p/v (elaborada)</t>
        </is>
      </c>
      <c r="F53" s="16" t="n">
        <v>9</v>
      </c>
      <c r="G53" t="inlineStr">
        <is>
          <t>ml</t>
        </is>
      </c>
      <c r="H53" s="12">
        <f>IFERROR(VLOOKUP(E53,Insumos!$C$5:$G$100,5,FALSE),0)</f>
        <v/>
      </c>
      <c r="I53" s="17">
        <f>F53*H53/IF(C53="molde",MAX(1,'Mi negocio'!$C$34),1)</f>
        <v/>
      </c>
    </row>
    <row r="54">
      <c r="A54" t="n">
        <v>5</v>
      </c>
      <c r="B54" s="21" t="inlineStr">
        <is>
          <t>Gomita Cristaliana de Moras Silvestres con Corazón Elástico (High-Elasticity Blackberry Drop)</t>
        </is>
      </c>
      <c r="C54" t="inlineStr">
        <is>
          <t>sabor</t>
        </is>
      </c>
      <c r="D54" s="22" t="inlineStr">
        <is>
          <t>2.5 ml Aroma natural de mora silvestre / frutos del bosque</t>
        </is>
      </c>
      <c r="E54" s="6" t="inlineStr">
        <is>
          <t>Aroma natural hidrosoluble concentrado</t>
        </is>
      </c>
      <c r="F54" s="16" t="n">
        <v>2.5</v>
      </c>
      <c r="G54" t="inlineStr">
        <is>
          <t>ml</t>
        </is>
      </c>
      <c r="H54" s="12">
        <f>IFERROR(VLOOKUP(E54,Insumos!$C$5:$G$100,5,FALSE),0)</f>
        <v/>
      </c>
      <c r="I54" s="17">
        <f>F54*H54/IF(C54="molde",MAX(1,'Mi negocio'!$C$34),1)</f>
        <v/>
      </c>
    </row>
    <row r="55">
      <c r="A55" t="n">
        <v>5</v>
      </c>
      <c r="B55" s="21" t="inlineStr">
        <is>
          <t>Gomita Cristaliana de Moras Silvestres con Corazón Elástico (High-Elasticity Blackberry Drop)</t>
        </is>
      </c>
      <c r="C55" t="inlineStr">
        <is>
          <t>sabor</t>
        </is>
      </c>
      <c r="D55" s="22" t="inlineStr">
        <is>
          <t>0.3 g Colorante azul brillante + 0.3 g colorante rojo carmín (violeta cristalino)</t>
        </is>
      </c>
      <c r="E55" s="6" t="inlineStr">
        <is>
          <t>Colorante azul brillante hidrosoluble</t>
        </is>
      </c>
      <c r="F55" s="16" t="n">
        <v>0.3</v>
      </c>
      <c r="G55" t="inlineStr">
        <is>
          <t>g</t>
        </is>
      </c>
      <c r="H55" s="12">
        <f>IFERROR(VLOOKUP(E55,Insumos!$C$5:$G$100,5,FALSE),0)</f>
        <v/>
      </c>
      <c r="I55" s="17">
        <f>F55*H55/IF(C55="molde",MAX(1,'Mi negocio'!$C$34),1)</f>
        <v/>
      </c>
    </row>
    <row r="56">
      <c r="A56" t="n">
        <v>5</v>
      </c>
      <c r="B56" s="21" t="inlineStr">
        <is>
          <t>Gomita Cristaliana de Moras Silvestres con Corazón Elástico (High-Elasticity Blackberry Drop)</t>
        </is>
      </c>
      <c r="C56" t="inlineStr">
        <is>
          <t>acabado</t>
        </is>
      </c>
      <c r="D56" s="22" t="inlineStr">
        <is>
          <t>2 g Cera de carnauba refinada disuelta en aceite de coco MCT</t>
        </is>
      </c>
      <c r="E56" s="6" t="inlineStr">
        <is>
          <t>Agente de brillo de carnauba en MCT (elaborado)</t>
        </is>
      </c>
      <c r="F56" s="16" t="n">
        <v>2</v>
      </c>
      <c r="G56" t="inlineStr">
        <is>
          <t>g</t>
        </is>
      </c>
      <c r="H56" s="12">
        <f>IFERROR(VLOOKUP(E56,Insumos!$C$5:$G$100,5,FALSE),0)</f>
        <v/>
      </c>
      <c r="I56" s="17">
        <f>F56*H56/IF(C56="molde",MAX(1,'Mi negocio'!$C$34),1)</f>
        <v/>
      </c>
    </row>
    <row r="57">
      <c r="A57" t="n">
        <v>6</v>
      </c>
      <c r="B57" s="21" t="inlineStr">
        <is>
          <t>Gomita Traslúcida de Manzana Verde Granny Smith (Acidic Green Apple Translucent Drop)</t>
        </is>
      </c>
      <c r="C57" t="inlineStr">
        <is>
          <t>gelificante</t>
        </is>
      </c>
      <c r="D57" s="22" t="inlineStr">
        <is>
          <t>42 g Gelatina en polvo pura de 260 Bloom (8.4% de la fórmula)</t>
        </is>
      </c>
      <c r="E57" s="6" t="inlineStr">
        <is>
          <t>Gelatina en polvo de 240-260 Bloom</t>
        </is>
      </c>
      <c r="F57" s="16" t="n">
        <v>42</v>
      </c>
      <c r="G57" t="inlineStr">
        <is>
          <t>g</t>
        </is>
      </c>
      <c r="H57" s="12">
        <f>IFERROR(VLOOKUP(E57,Insumos!$C$5:$G$100,5,FALSE),0)</f>
        <v/>
      </c>
      <c r="I57" s="17">
        <f>F57*H57/IF(C57="molde",MAX(1,'Mi negocio'!$C$34),1)</f>
        <v/>
      </c>
    </row>
    <row r="58">
      <c r="A58" t="n">
        <v>6</v>
      </c>
      <c r="B58" s="21" t="inlineStr">
        <is>
          <t>Gomita Traslúcida de Manzana Verde Granny Smith (Acidic Green Apple Translucent Drop)</t>
        </is>
      </c>
      <c r="C58" t="inlineStr">
        <is>
          <t>sabor</t>
        </is>
      </c>
      <c r="D58" s="22" t="inlineStr">
        <is>
          <t>95 ml Agua desmineralizada fría (12 °C)</t>
        </is>
      </c>
      <c r="E58" s="6" t="inlineStr">
        <is>
          <t>Agua desmineralizada o purificada</t>
        </is>
      </c>
      <c r="F58" s="16" t="n">
        <v>95</v>
      </c>
      <c r="G58" t="inlineStr">
        <is>
          <t>ml</t>
        </is>
      </c>
      <c r="H58" s="12">
        <f>IFERROR(VLOOKUP(E58,Insumos!$C$5:$G$100,5,FALSE),0)</f>
        <v/>
      </c>
      <c r="I58" s="17">
        <f>F58*H58/IF(C58="molde",MAX(1,'Mi negocio'!$C$34),1)</f>
        <v/>
      </c>
    </row>
    <row r="59">
      <c r="A59" t="n">
        <v>6</v>
      </c>
      <c r="B59" s="21" t="inlineStr">
        <is>
          <t>Gomita Traslúcida de Manzana Verde Granny Smith (Acidic Green Apple Translucent Drop)</t>
        </is>
      </c>
      <c r="C59" t="inlineStr">
        <is>
          <t>azucar</t>
        </is>
      </c>
      <c r="D59" s="22" t="inlineStr">
        <is>
          <t>200 g Azúcar refinada blanca (99.8% pureza)</t>
        </is>
      </c>
      <c r="E59" s="6" t="inlineStr">
        <is>
          <t>Azúcar blanca refinada</t>
        </is>
      </c>
      <c r="F59" s="16" t="n">
        <v>200</v>
      </c>
      <c r="G59" t="inlineStr">
        <is>
          <t>g</t>
        </is>
      </c>
      <c r="H59" s="12">
        <f>IFERROR(VLOOKUP(E59,Insumos!$C$5:$G$100,5,FALSE),0)</f>
        <v/>
      </c>
      <c r="I59" s="17">
        <f>F59*H59/IF(C59="molde",MAX(1,'Mi negocio'!$C$34),1)</f>
        <v/>
      </c>
    </row>
    <row r="60">
      <c r="A60" t="n">
        <v>6</v>
      </c>
      <c r="B60" s="21" t="inlineStr">
        <is>
          <t>Gomita Traslúcida de Manzana Verde Granny Smith (Acidic Green Apple Translucent Drop)</t>
        </is>
      </c>
      <c r="C60" t="inlineStr">
        <is>
          <t>azucar</t>
        </is>
      </c>
      <c r="D60" s="22" t="inlineStr">
        <is>
          <t>160 g Jarabe de glucosa estándar de maíz de 42DE</t>
        </is>
      </c>
      <c r="E60" s="6" t="inlineStr">
        <is>
          <t>Jarabe de glucosa 42 DE</t>
        </is>
      </c>
      <c r="F60" s="16" t="n">
        <v>160</v>
      </c>
      <c r="G60" t="inlineStr">
        <is>
          <t>g</t>
        </is>
      </c>
      <c r="H60" s="12">
        <f>IFERROR(VLOOKUP(E60,Insumos!$C$5:$G$100,5,FALSE),0)</f>
        <v/>
      </c>
      <c r="I60" s="17">
        <f>F60*H60/IF(C60="molde",MAX(1,'Mi negocio'!$C$34),1)</f>
        <v/>
      </c>
    </row>
    <row r="61">
      <c r="A61" t="n">
        <v>6</v>
      </c>
      <c r="B61" s="21" t="inlineStr">
        <is>
          <t>Gomita Traslúcida de Manzana Verde Granny Smith (Acidic Green Apple Translucent Drop)</t>
        </is>
      </c>
      <c r="C61" t="inlineStr">
        <is>
          <t>sabor</t>
        </is>
      </c>
      <c r="D61" s="22" t="inlineStr">
        <is>
          <t>55 ml Agua desmineralizada</t>
        </is>
      </c>
      <c r="E61" s="6" t="inlineStr">
        <is>
          <t>Agua desmineralizada o purificada</t>
        </is>
      </c>
      <c r="F61" s="16" t="n">
        <v>55</v>
      </c>
      <c r="G61" t="inlineStr">
        <is>
          <t>ml</t>
        </is>
      </c>
      <c r="H61" s="12">
        <f>IFERROR(VLOOKUP(E61,Insumos!$C$5:$G$100,5,FALSE),0)</f>
        <v/>
      </c>
      <c r="I61" s="17">
        <f>F61*H61/IF(C61="molde",MAX(1,'Mi negocio'!$C$34),1)</f>
        <v/>
      </c>
    </row>
    <row r="62">
      <c r="A62" t="n">
        <v>6</v>
      </c>
      <c r="B62" s="21" t="inlineStr">
        <is>
          <t>Gomita Traslúcida de Manzana Verde Granny Smith (Acidic Green Apple Translucent Drop)</t>
        </is>
      </c>
      <c r="C62" t="inlineStr">
        <is>
          <t>azucar</t>
        </is>
      </c>
      <c r="D62" s="22" t="inlineStr">
        <is>
          <t>12 g Sorbitol líquido al 70% (plastificante y fijador de transparencia)</t>
        </is>
      </c>
      <c r="E62" s="6" t="inlineStr">
        <is>
          <t>Sorbitol líquido al 70%</t>
        </is>
      </c>
      <c r="F62" s="16" t="n">
        <v>12</v>
      </c>
      <c r="G62" t="inlineStr">
        <is>
          <t>g</t>
        </is>
      </c>
      <c r="H62" s="12">
        <f>IFERROR(VLOOKUP(E62,Insumos!$C$5:$G$100,5,FALSE),0)</f>
        <v/>
      </c>
      <c r="I62" s="17">
        <f>F62*H62/IF(C62="molde",MAX(1,'Mi negocio'!$C$34),1)</f>
        <v/>
      </c>
    </row>
    <row r="63">
      <c r="A63" t="n">
        <v>6</v>
      </c>
      <c r="B63" s="21" t="inlineStr">
        <is>
          <t>Gomita Traslúcida de Manzana Verde Granny Smith (Acidic Green Apple Translucent Drop)</t>
        </is>
      </c>
      <c r="C63" t="inlineStr">
        <is>
          <t>sabor</t>
        </is>
      </c>
      <c r="D63" s="22" t="inlineStr">
        <is>
          <t>6 ml Solución de ácido málico al 50% p/v (3 g de ácido málico en 3 ml de agua destilada)</t>
        </is>
      </c>
      <c r="E63" s="6" t="inlineStr">
        <is>
          <t>Ácido málico micronizado</t>
        </is>
      </c>
      <c r="F63" s="16" t="n">
        <v>6</v>
      </c>
      <c r="G63" t="inlineStr">
        <is>
          <t>g</t>
        </is>
      </c>
      <c r="H63" s="12">
        <f>IFERROR(VLOOKUP(E63,Insumos!$C$5:$G$100,5,FALSE),0)</f>
        <v/>
      </c>
      <c r="I63" s="17">
        <f>F63*H63/IF(C63="molde",MAX(1,'Mi negocio'!$C$34),1)</f>
        <v/>
      </c>
    </row>
    <row r="64">
      <c r="A64" t="n">
        <v>6</v>
      </c>
      <c r="B64" s="21" t="inlineStr">
        <is>
          <t>Gomita Traslúcida de Manzana Verde Granny Smith (Acidic Green Apple Translucent Drop)</t>
        </is>
      </c>
      <c r="C64" t="inlineStr">
        <is>
          <t>sabor</t>
        </is>
      </c>
      <c r="D64" s="22" t="inlineStr">
        <is>
          <t>4 ml Solución de ácido cítrico al 50% p/v (2 g de ácido cítrico en 2 ml de agua destilada)</t>
        </is>
      </c>
      <c r="E64" s="6" t="inlineStr">
        <is>
          <t>Solución de ácido cítrico al 50% p/v (elaborada)</t>
        </is>
      </c>
      <c r="F64" s="16" t="n">
        <v>4</v>
      </c>
      <c r="G64" t="inlineStr">
        <is>
          <t>ml</t>
        </is>
      </c>
      <c r="H64" s="12">
        <f>IFERROR(VLOOKUP(E64,Insumos!$C$5:$G$100,5,FALSE),0)</f>
        <v/>
      </c>
      <c r="I64" s="17">
        <f>F64*H64/IF(C64="molde",MAX(1,'Mi negocio'!$C$34),1)</f>
        <v/>
      </c>
    </row>
    <row r="65">
      <c r="A65" t="n">
        <v>6</v>
      </c>
      <c r="B65" s="21" t="inlineStr">
        <is>
          <t>Gomita Traslúcida de Manzana Verde Granny Smith (Acidic Green Apple Translucent Drop)</t>
        </is>
      </c>
      <c r="C65" t="inlineStr">
        <is>
          <t>sabor</t>
        </is>
      </c>
      <c r="D65" s="22" t="inlineStr">
        <is>
          <t>2.5 ml Aroma natural hidrosoluble concentrado de manzana verde (Granny Smith)</t>
        </is>
      </c>
      <c r="E65" s="6" t="inlineStr">
        <is>
          <t>Aroma natural hidrosoluble concentrado</t>
        </is>
      </c>
      <c r="F65" s="16" t="n">
        <v>2.5</v>
      </c>
      <c r="G65" t="inlineStr">
        <is>
          <t>ml</t>
        </is>
      </c>
      <c r="H65" s="12">
        <f>IFERROR(VLOOKUP(E65,Insumos!$C$5:$G$100,5,FALSE),0)</f>
        <v/>
      </c>
      <c r="I65" s="17">
        <f>F65*H65/IF(C65="molde",MAX(1,'Mi negocio'!$C$34),1)</f>
        <v/>
      </c>
    </row>
    <row r="66">
      <c r="A66" t="n">
        <v>6</v>
      </c>
      <c r="B66" s="21" t="inlineStr">
        <is>
          <t>Gomita Traslúcida de Manzana Verde Granny Smith (Acidic Green Apple Translucent Drop)</t>
        </is>
      </c>
      <c r="C66" t="inlineStr">
        <is>
          <t>sabor</t>
        </is>
      </c>
      <c r="D66" s="22" t="inlineStr">
        <is>
          <t>0.25 g Complejo de clorofilina cúprica hidrosoluble + traza de tartrazina (verde esmeralda brillante)</t>
        </is>
      </c>
      <c r="E66" s="6" t="inlineStr">
        <is>
          <t>Clorofilina cúprica (verde)</t>
        </is>
      </c>
      <c r="F66" s="16" t="n">
        <v>0.25</v>
      </c>
      <c r="G66" t="inlineStr">
        <is>
          <t>g</t>
        </is>
      </c>
      <c r="H66" s="12">
        <f>IFERROR(VLOOKUP(E66,Insumos!$C$5:$G$100,5,FALSE),0)</f>
        <v/>
      </c>
      <c r="I66" s="17">
        <f>F66*H66/IF(C66="molde",MAX(1,'Mi negocio'!$C$34),1)</f>
        <v/>
      </c>
    </row>
    <row r="67">
      <c r="A67" t="n">
        <v>6</v>
      </c>
      <c r="B67" s="21" t="inlineStr">
        <is>
          <t>Gomita Traslúcida de Manzana Verde Granny Smith (Acidic Green Apple Translucent Drop)</t>
        </is>
      </c>
      <c r="C67" t="inlineStr">
        <is>
          <t>acabado</t>
        </is>
      </c>
      <c r="D67" s="22" t="inlineStr">
        <is>
          <t>2 g Aceite de coco fraccionado (MCT) con 0.15 g de cera de carnauba refinada</t>
        </is>
      </c>
      <c r="E67" s="6" t="inlineStr">
        <is>
          <t>Aceite de coco fraccionado (MCT)</t>
        </is>
      </c>
      <c r="F67" s="16" t="n">
        <v>2</v>
      </c>
      <c r="G67" t="inlineStr">
        <is>
          <t>ml</t>
        </is>
      </c>
      <c r="H67" s="12">
        <f>IFERROR(VLOOKUP(E67,Insumos!$C$5:$G$100,5,FALSE),0)</f>
        <v/>
      </c>
      <c r="I67" s="17">
        <f>F67*H67/IF(C67="molde",MAX(1,'Mi negocio'!$C$34),1)</f>
        <v/>
      </c>
    </row>
    <row r="68">
      <c r="A68" t="n">
        <v>7</v>
      </c>
      <c r="B68" s="21" t="inlineStr">
        <is>
          <t>Domo de Uva Moscatel en Carragenato Kappa-Iota (Vegan Grape Jelly in Kappa-Iota Carrageenan Matrix)</t>
        </is>
      </c>
      <c r="C68" t="inlineStr">
        <is>
          <t>gelificante</t>
        </is>
      </c>
      <c r="D68" s="22" t="inlineStr">
        <is>
          <t>7 g Carragenato Kappa semi-refinado/refinado grado alimenticio</t>
        </is>
      </c>
      <c r="E68" s="6" t="inlineStr">
        <is>
          <t>Carragenato kappa grado confitería</t>
        </is>
      </c>
      <c r="F68" s="16" t="n">
        <v>7</v>
      </c>
      <c r="G68" t="inlineStr">
        <is>
          <t>g</t>
        </is>
      </c>
      <c r="H68" s="12">
        <f>IFERROR(VLOOKUP(E68,Insumos!$C$5:$G$100,5,FALSE),0)</f>
        <v/>
      </c>
      <c r="I68" s="17">
        <f>F68*H68/IF(C68="molde",MAX(1,'Mi negocio'!$C$34),1)</f>
        <v/>
      </c>
    </row>
    <row r="69">
      <c r="A69" t="n">
        <v>7</v>
      </c>
      <c r="B69" s="21" t="inlineStr">
        <is>
          <t>Domo de Uva Moscatel en Carragenato Kappa-Iota (Vegan Grape Jelly in Kappa-Iota Carrageenan Matrix)</t>
        </is>
      </c>
      <c r="C69" t="inlineStr">
        <is>
          <t>gelificante</t>
        </is>
      </c>
      <c r="D69" s="22" t="inlineStr">
        <is>
          <t>3 g Carragenato Iota purificado</t>
        </is>
      </c>
      <c r="E69" s="6" t="inlineStr">
        <is>
          <t>Carragenato iota purificado</t>
        </is>
      </c>
      <c r="F69" s="16" t="n">
        <v>3</v>
      </c>
      <c r="G69" t="inlineStr">
        <is>
          <t>g</t>
        </is>
      </c>
      <c r="H69" s="12">
        <f>IFERROR(VLOOKUP(E69,Insumos!$C$5:$G$100,5,FALSE),0)</f>
        <v/>
      </c>
      <c r="I69" s="17">
        <f>F69*H69/IF(C69="molde",MAX(1,'Mi negocio'!$C$34),1)</f>
        <v/>
      </c>
    </row>
    <row r="70">
      <c r="A70" t="n">
        <v>7</v>
      </c>
      <c r="B70" s="21" t="inlineStr">
        <is>
          <t>Domo de Uva Moscatel en Carragenato Kappa-Iota (Vegan Grape Jelly in Kappa-Iota Carrageenan Matrix)</t>
        </is>
      </c>
      <c r="C70" t="inlineStr">
        <is>
          <t>azucar</t>
        </is>
      </c>
      <c r="D70" s="22" t="inlineStr">
        <is>
          <t>35 g Azúcar blanca refinada (para dispersar los polvos)</t>
        </is>
      </c>
      <c r="E70" s="6" t="inlineStr">
        <is>
          <t>Azúcar blanca refinada</t>
        </is>
      </c>
      <c r="F70" s="16" t="n">
        <v>35</v>
      </c>
      <c r="G70" t="inlineStr">
        <is>
          <t>g</t>
        </is>
      </c>
      <c r="H70" s="12">
        <f>IFERROR(VLOOKUP(E70,Insumos!$C$5:$G$100,5,FALSE),0)</f>
        <v/>
      </c>
      <c r="I70" s="17">
        <f>F70*H70/IF(C70="molde",MAX(1,'Mi negocio'!$C$34),1)</f>
        <v/>
      </c>
    </row>
    <row r="71">
      <c r="A71" t="n">
        <v>7</v>
      </c>
      <c r="B71" s="21" t="inlineStr">
        <is>
          <t>Domo de Uva Moscatel en Carragenato Kappa-Iota (Vegan Grape Jelly in Kappa-Iota Carrageenan Matrix)</t>
        </is>
      </c>
      <c r="C71" t="inlineStr">
        <is>
          <t>sabor</t>
        </is>
      </c>
      <c r="D71" s="22" t="inlineStr">
        <is>
          <t>140 ml Agua desmineralizada fría</t>
        </is>
      </c>
      <c r="E71" s="6" t="inlineStr">
        <is>
          <t>Agua desmineralizada o purificada</t>
        </is>
      </c>
      <c r="F71" s="16" t="n">
        <v>140</v>
      </c>
      <c r="G71" t="inlineStr">
        <is>
          <t>ml</t>
        </is>
      </c>
      <c r="H71" s="12">
        <f>IFERROR(VLOOKUP(E71,Insumos!$C$5:$G$100,5,FALSE),0)</f>
        <v/>
      </c>
      <c r="I71" s="17">
        <f>F71*H71/IF(C71="molde",MAX(1,'Mi negocio'!$C$34),1)</f>
        <v/>
      </c>
    </row>
    <row r="72">
      <c r="A72" t="n">
        <v>7</v>
      </c>
      <c r="B72" s="21" t="inlineStr">
        <is>
          <t>Domo de Uva Moscatel en Carragenato Kappa-Iota (Vegan Grape Jelly in Kappa-Iota Carrageenan Matrix)</t>
        </is>
      </c>
      <c r="C72" t="inlineStr">
        <is>
          <t>sabor</t>
        </is>
      </c>
      <c r="D72" s="22" t="inlineStr">
        <is>
          <t>120 g Jugo concentrado clarificado de uva blanca/moscatel (68)</t>
        </is>
      </c>
      <c r="E72" s="6" t="inlineStr">
        <is>
          <t>Zumo concentrado clarificado de uva, granada o manzana</t>
        </is>
      </c>
      <c r="F72" s="16" t="n">
        <v>120</v>
      </c>
      <c r="G72" t="inlineStr">
        <is>
          <t>ml</t>
        </is>
      </c>
      <c r="H72" s="12">
        <f>IFERROR(VLOOKUP(E72,Insumos!$C$5:$G$100,5,FALSE),0)</f>
        <v/>
      </c>
      <c r="I72" s="17">
        <f>F72*H72/IF(C72="molde",MAX(1,'Mi negocio'!$C$34),1)</f>
        <v/>
      </c>
    </row>
    <row r="73">
      <c r="A73" t="n">
        <v>7</v>
      </c>
      <c r="B73" s="21" t="inlineStr">
        <is>
          <t>Domo de Uva Moscatel en Carragenato Kappa-Iota (Vegan Grape Jelly in Kappa-Iota Carrageenan Matrix)</t>
        </is>
      </c>
      <c r="C73" t="inlineStr">
        <is>
          <t>azucar</t>
        </is>
      </c>
      <c r="D73" s="22" t="inlineStr">
        <is>
          <t>160 g Azúcar blanca refinada pura</t>
        </is>
      </c>
      <c r="E73" s="6" t="inlineStr">
        <is>
          <t>Azúcar blanca refinada</t>
        </is>
      </c>
      <c r="F73" s="16" t="n">
        <v>160</v>
      </c>
      <c r="G73" t="inlineStr">
        <is>
          <t>g</t>
        </is>
      </c>
      <c r="H73" s="12">
        <f>IFERROR(VLOOKUP(E73,Insumos!$C$5:$G$100,5,FALSE),0)</f>
        <v/>
      </c>
      <c r="I73" s="17">
        <f>F73*H73/IF(C73="molde",MAX(1,'Mi negocio'!$C$34),1)</f>
        <v/>
      </c>
    </row>
    <row r="74">
      <c r="A74" t="n">
        <v>7</v>
      </c>
      <c r="B74" s="21" t="inlineStr">
        <is>
          <t>Domo de Uva Moscatel en Carragenato Kappa-Iota (Vegan Grape Jelly in Kappa-Iota Carrageenan Matrix)</t>
        </is>
      </c>
      <c r="C74" t="inlineStr">
        <is>
          <t>azucar</t>
        </is>
      </c>
      <c r="D74" s="22" t="inlineStr">
        <is>
          <t>85 g Jarabe de glucosa 42DE</t>
        </is>
      </c>
      <c r="E74" s="6" t="inlineStr">
        <is>
          <t>Jarabe de glucosa 42 DE</t>
        </is>
      </c>
      <c r="F74" s="16" t="n">
        <v>85</v>
      </c>
      <c r="G74" t="inlineStr">
        <is>
          <t>g</t>
        </is>
      </c>
      <c r="H74" s="12">
        <f>IFERROR(VLOOKUP(E74,Insumos!$C$5:$G$100,5,FALSE),0)</f>
        <v/>
      </c>
      <c r="I74" s="17">
        <f>F74*H74/IF(C74="molde",MAX(1,'Mi negocio'!$C$34),1)</f>
        <v/>
      </c>
    </row>
    <row r="75">
      <c r="A75" t="n">
        <v>7</v>
      </c>
      <c r="B75" s="21" t="inlineStr">
        <is>
          <t>Domo de Uva Moscatel en Carragenato Kappa-Iota (Vegan Grape Jelly in Kappa-Iota Carrageenan Matrix)</t>
        </is>
      </c>
      <c r="C75" t="inlineStr">
        <is>
          <t>azucar</t>
        </is>
      </c>
      <c r="D75" s="22" t="inlineStr">
        <is>
          <t>15 g Glicerina vegetal pura (plastificante de polisacáridos)</t>
        </is>
      </c>
      <c r="E75" s="6" t="inlineStr">
        <is>
          <t>Glicerina vegetal grado alimenticio</t>
        </is>
      </c>
      <c r="F75" s="16" t="n">
        <v>15</v>
      </c>
      <c r="G75" t="inlineStr">
        <is>
          <t>ml</t>
        </is>
      </c>
      <c r="H75" s="12">
        <f>IFERROR(VLOOKUP(E75,Insumos!$C$5:$G$100,5,FALSE),0)</f>
        <v/>
      </c>
      <c r="I75" s="17">
        <f>F75*H75/IF(C75="molde",MAX(1,'Mi negocio'!$C$34),1)</f>
        <v/>
      </c>
    </row>
    <row r="76">
      <c r="A76" t="n">
        <v>7</v>
      </c>
      <c r="B76" s="21" t="inlineStr">
        <is>
          <t>Domo de Uva Moscatel en Carragenato Kappa-Iota (Vegan Grape Jelly in Kappa-Iota Carrageenan Matrix)</t>
        </is>
      </c>
      <c r="C76" t="inlineStr">
        <is>
          <t>sabor</t>
        </is>
      </c>
      <c r="D76" s="22" t="inlineStr">
        <is>
          <t>1.2 g Citrato de potasio (agente reticulante de Kappa)</t>
        </is>
      </c>
      <c r="E76" s="6" t="inlineStr">
        <is>
          <t>Citrato de potasio monohidratado</t>
        </is>
      </c>
      <c r="F76" s="16" t="n">
        <v>1.2</v>
      </c>
      <c r="G76" t="inlineStr">
        <is>
          <t>g</t>
        </is>
      </c>
      <c r="H76" s="12">
        <f>IFERROR(VLOOKUP(E76,Insumos!$C$5:$G$100,5,FALSE),0)</f>
        <v/>
      </c>
      <c r="I76" s="17">
        <f>F76*H76/IF(C76="molde",MAX(1,'Mi negocio'!$C$34),1)</f>
        <v/>
      </c>
    </row>
    <row r="77">
      <c r="A77" t="n">
        <v>7</v>
      </c>
      <c r="B77" s="21" t="inlineStr">
        <is>
          <t>Domo de Uva Moscatel en Carragenato Kappa-Iota (Vegan Grape Jelly in Kappa-Iota Carrageenan Matrix)</t>
        </is>
      </c>
      <c r="C77" t="inlineStr">
        <is>
          <t>sabor</t>
        </is>
      </c>
      <c r="D77" s="22" t="inlineStr">
        <is>
          <t>0.8 g Lactato de calcio o gluconato de calcio (agente reticulante de Iota)</t>
        </is>
      </c>
      <c r="E77" s="6" t="inlineStr">
        <is>
          <t>Lactato o gluconato de calcio</t>
        </is>
      </c>
      <c r="F77" s="16" t="n">
        <v>0.8</v>
      </c>
      <c r="G77" t="inlineStr">
        <is>
          <t>g</t>
        </is>
      </c>
      <c r="H77" s="12">
        <f>IFERROR(VLOOKUP(E77,Insumos!$C$5:$G$100,5,FALSE),0)</f>
        <v/>
      </c>
      <c r="I77" s="17">
        <f>F77*H77/IF(C77="molde",MAX(1,'Mi negocio'!$C$34),1)</f>
        <v/>
      </c>
    </row>
    <row r="78">
      <c r="A78" t="n">
        <v>7</v>
      </c>
      <c r="B78" s="21" t="inlineStr">
        <is>
          <t>Domo de Uva Moscatel en Carragenato Kappa-Iota (Vegan Grape Jelly in Kappa-Iota Carrageenan Matrix)</t>
        </is>
      </c>
      <c r="C78" t="inlineStr">
        <is>
          <t>sabor</t>
        </is>
      </c>
      <c r="D78" s="22" t="inlineStr">
        <is>
          <t>5 ml Solución de ácido tartárico al 50% p/v</t>
        </is>
      </c>
      <c r="E78" s="6" t="inlineStr">
        <is>
          <t>Ácido tartárico fino</t>
        </is>
      </c>
      <c r="F78" s="16" t="n">
        <v>5</v>
      </c>
      <c r="G78" t="inlineStr">
        <is>
          <t>g</t>
        </is>
      </c>
      <c r="H78" s="12">
        <f>IFERROR(VLOOKUP(E78,Insumos!$C$5:$G$100,5,FALSE),0)</f>
        <v/>
      </c>
      <c r="I78" s="17">
        <f>F78*H78/IF(C78="molde",MAX(1,'Mi negocio'!$C$34),1)</f>
        <v/>
      </c>
    </row>
    <row r="79">
      <c r="A79" t="n">
        <v>7</v>
      </c>
      <c r="B79" s="21" t="inlineStr">
        <is>
          <t>Domo de Uva Moscatel en Carragenato Kappa-Iota (Vegan Grape Jelly in Kappa-Iota Carrageenan Matrix)</t>
        </is>
      </c>
      <c r="C79" t="inlineStr">
        <is>
          <t>sabor</t>
        </is>
      </c>
      <c r="D79" s="22" t="inlineStr">
        <is>
          <t>2 ml Aroma natural de uva Moscatel</t>
        </is>
      </c>
      <c r="E79" s="6" t="inlineStr">
        <is>
          <t>Aroma natural hidrosoluble concentrado</t>
        </is>
      </c>
      <c r="F79" s="16" t="n">
        <v>2</v>
      </c>
      <c r="G79" t="inlineStr">
        <is>
          <t>ml</t>
        </is>
      </c>
      <c r="H79" s="12">
        <f>IFERROR(VLOOKUP(E79,Insumos!$C$5:$G$100,5,FALSE),0)</f>
        <v/>
      </c>
      <c r="I79" s="17">
        <f>F79*H79/IF(C79="molde",MAX(1,'Mi negocio'!$C$34),1)</f>
        <v/>
      </c>
    </row>
    <row r="80">
      <c r="A80" t="n">
        <v>7</v>
      </c>
      <c r="B80" s="21" t="inlineStr">
        <is>
          <t>Domo de Uva Moscatel en Carragenato Kappa-Iota (Vegan Grape Jelly in Kappa-Iota Carrageenan Matrix)</t>
        </is>
      </c>
      <c r="C80" t="inlineStr">
        <is>
          <t>sabor</t>
        </is>
      </c>
      <c r="D80" s="22" t="inlineStr">
        <is>
          <t>0.15 g Colorante violeta extracto de uva (enocianina)</t>
        </is>
      </c>
      <c r="E80" s="6" t="inlineStr">
        <is>
          <t>Colorante violeta de uva o zanahoria negra</t>
        </is>
      </c>
      <c r="F80" s="16" t="n">
        <v>0.15</v>
      </c>
      <c r="G80" t="inlineStr">
        <is>
          <t>g</t>
        </is>
      </c>
      <c r="H80" s="12">
        <f>IFERROR(VLOOKUP(E80,Insumos!$C$5:$G$100,5,FALSE),0)</f>
        <v/>
      </c>
      <c r="I80" s="17">
        <f>F80*H80/IF(C80="molde",MAX(1,'Mi negocio'!$C$34),1)</f>
        <v/>
      </c>
    </row>
    <row r="81">
      <c r="A81" t="n">
        <v>8</v>
      </c>
      <c r="B81" s="21" t="inlineStr">
        <is>
          <t>Gomita Reducida en Azúcar de Melocotón y Durazno en Pectina LMA (Low Methoxyl Amidated Pectin Peach Gummy)</t>
        </is>
      </c>
      <c r="C81" t="inlineStr">
        <is>
          <t>sabor</t>
        </is>
      </c>
      <c r="D81" s="22" t="inlineStr">
        <is>
          <t>160 g Puré de durazno/melocotón maduro natural (100% fruta, tamizado)</t>
        </is>
      </c>
      <c r="E81" s="6" t="inlineStr">
        <is>
          <t>Puré concentrado de mango, durazno o chabacano</t>
        </is>
      </c>
      <c r="F81" s="16" t="n">
        <v>160</v>
      </c>
      <c r="G81" t="inlineStr">
        <is>
          <t>g</t>
        </is>
      </c>
      <c r="H81" s="12">
        <f>IFERROR(VLOOKUP(E81,Insumos!$C$5:$G$100,5,FALSE),0)</f>
        <v/>
      </c>
      <c r="I81" s="17">
        <f>F81*H81/IF(C81="molde",MAX(1,'Mi negocio'!$C$34),1)</f>
        <v/>
      </c>
    </row>
    <row r="82">
      <c r="A82" t="n">
        <v>8</v>
      </c>
      <c r="B82" s="21" t="inlineStr">
        <is>
          <t>Gomita Reducida en Azúcar de Melocotón y Durazno en Pectina LMA (Low Methoxyl Amidated Pectin Peach Gummy)</t>
        </is>
      </c>
      <c r="C82" t="inlineStr">
        <is>
          <t>gelificante</t>
        </is>
      </c>
      <c r="D82" s="22" t="inlineStr">
        <is>
          <t>11 g Pectina de Bajo Metoxilo Amidada (Pectine LMA)</t>
        </is>
      </c>
      <c r="E82" s="6" t="inlineStr">
        <is>
          <t>Pectina de bajo metoxilo amidada (LMA)</t>
        </is>
      </c>
      <c r="F82" s="16" t="n">
        <v>11</v>
      </c>
      <c r="G82" t="inlineStr">
        <is>
          <t>g</t>
        </is>
      </c>
      <c r="H82" s="12">
        <f>IFERROR(VLOOKUP(E82,Insumos!$C$5:$G$100,5,FALSE),0)</f>
        <v/>
      </c>
      <c r="I82" s="17">
        <f>F82*H82/IF(C82="molde",MAX(1,'Mi negocio'!$C$34),1)</f>
        <v/>
      </c>
    </row>
    <row r="83">
      <c r="A83" t="n">
        <v>8</v>
      </c>
      <c r="B83" s="21" t="inlineStr">
        <is>
          <t>Gomita Reducida en Azúcar de Melocotón y Durazno en Pectina LMA (Low Methoxyl Amidated Pectin Peach Gummy)</t>
        </is>
      </c>
      <c r="C83" t="inlineStr">
        <is>
          <t>azucar</t>
        </is>
      </c>
      <c r="D83" s="22" t="inlineStr">
        <is>
          <t>30 g Azúcar refinada (para dispersar en seco)</t>
        </is>
      </c>
      <c r="E83" s="6" t="inlineStr">
        <is>
          <t>Azúcar blanca refinada</t>
        </is>
      </c>
      <c r="F83" s="16" t="n">
        <v>30</v>
      </c>
      <c r="G83" t="inlineStr">
        <is>
          <t>g</t>
        </is>
      </c>
      <c r="H83" s="12">
        <f>IFERROR(VLOOKUP(E83,Insumos!$C$5:$G$100,5,FALSE),0)</f>
        <v/>
      </c>
      <c r="I83" s="17">
        <f>F83*H83/IF(C83="molde",MAX(1,'Mi negocio'!$C$34),1)</f>
        <v/>
      </c>
    </row>
    <row r="84">
      <c r="A84" t="n">
        <v>8</v>
      </c>
      <c r="B84" s="21" t="inlineStr">
        <is>
          <t>Gomita Reducida en Azúcar de Melocotón y Durazno en Pectina LMA (Low Methoxyl Amidated Pectin Peach Gummy)</t>
        </is>
      </c>
      <c r="C84" t="inlineStr">
        <is>
          <t>sabor</t>
        </is>
      </c>
      <c r="D84" s="22" t="inlineStr">
        <is>
          <t>40 ml Agua purificada</t>
        </is>
      </c>
      <c r="E84" s="6" t="inlineStr">
        <is>
          <t>Agua desmineralizada o purificada</t>
        </is>
      </c>
      <c r="F84" s="16" t="n">
        <v>40</v>
      </c>
      <c r="G84" t="inlineStr">
        <is>
          <t>ml</t>
        </is>
      </c>
      <c r="H84" s="12">
        <f>IFERROR(VLOOKUP(E84,Insumos!$C$5:$G$100,5,FALSE),0)</f>
        <v/>
      </c>
      <c r="I84" s="17">
        <f>F84*H84/IF(C84="molde",MAX(1,'Mi negocio'!$C$34),1)</f>
        <v/>
      </c>
    </row>
    <row r="85">
      <c r="A85" t="n">
        <v>8</v>
      </c>
      <c r="B85" s="21" t="inlineStr">
        <is>
          <t>Gomita Reducida en Azúcar de Melocotón y Durazno en Pectina LMA (Low Methoxyl Amidated Pectin Peach Gummy)</t>
        </is>
      </c>
      <c r="C85" t="inlineStr">
        <is>
          <t>azucar</t>
        </is>
      </c>
      <c r="D85" s="22" t="inlineStr">
        <is>
          <t>130 g Azúcar blanca refinada</t>
        </is>
      </c>
      <c r="E85" s="6" t="inlineStr">
        <is>
          <t>Azúcar blanca refinada</t>
        </is>
      </c>
      <c r="F85" s="16" t="n">
        <v>130</v>
      </c>
      <c r="G85" t="inlineStr">
        <is>
          <t>g</t>
        </is>
      </c>
      <c r="H85" s="12">
        <f>IFERROR(VLOOKUP(E85,Insumos!$C$5:$G$100,5,FALSE),0)</f>
        <v/>
      </c>
      <c r="I85" s="17">
        <f>F85*H85/IF(C85="molde",MAX(1,'Mi negocio'!$C$34),1)</f>
        <v/>
      </c>
    </row>
    <row r="86">
      <c r="A86" t="n">
        <v>8</v>
      </c>
      <c r="B86" s="21" t="inlineStr">
        <is>
          <t>Gomita Reducida en Azúcar de Melocotón y Durazno en Pectina LMA (Low Methoxyl Amidated Pectin Peach Gummy)</t>
        </is>
      </c>
      <c r="C86" t="inlineStr">
        <is>
          <t>azucar</t>
        </is>
      </c>
      <c r="D86" s="22" t="inlineStr">
        <is>
          <t>90 g Jarabe de glucosa 42DE</t>
        </is>
      </c>
      <c r="E86" s="6" t="inlineStr">
        <is>
          <t>Jarabe de glucosa 42 DE</t>
        </is>
      </c>
      <c r="F86" s="16" t="n">
        <v>90</v>
      </c>
      <c r="G86" t="inlineStr">
        <is>
          <t>g</t>
        </is>
      </c>
      <c r="H86" s="12">
        <f>IFERROR(VLOOKUP(E86,Insumos!$C$5:$G$100,5,FALSE),0)</f>
        <v/>
      </c>
      <c r="I86" s="17">
        <f>F86*H86/IF(C86="molde",MAX(1,'Mi negocio'!$C$34),1)</f>
        <v/>
      </c>
    </row>
    <row r="87">
      <c r="A87" t="n">
        <v>8</v>
      </c>
      <c r="B87" s="21" t="inlineStr">
        <is>
          <t>Gomita Reducida en Azúcar de Melocotón y Durazno en Pectina LMA (Low Methoxyl Amidated Pectin Peach Gummy)</t>
        </is>
      </c>
      <c r="C87" t="inlineStr">
        <is>
          <t>azucar</t>
        </is>
      </c>
      <c r="D87" s="22" t="inlineStr">
        <is>
          <t>25 g Jarabe de maltitol o sorbitol líquido al 70% (aporta cuerpo sin sacarosa)</t>
        </is>
      </c>
      <c r="E87" s="6" t="inlineStr">
        <is>
          <t>Jarabe de maltitol</t>
        </is>
      </c>
      <c r="F87" s="16" t="n">
        <v>25</v>
      </c>
      <c r="G87" t="inlineStr">
        <is>
          <t>g</t>
        </is>
      </c>
      <c r="H87" s="12">
        <f>IFERROR(VLOOKUP(E87,Insumos!$C$5:$G$100,5,FALSE),0)</f>
        <v/>
      </c>
      <c r="I87" s="17">
        <f>F87*H87/IF(C87="molde",MAX(1,'Mi negocio'!$C$34),1)</f>
        <v/>
      </c>
    </row>
    <row r="88">
      <c r="A88" t="n">
        <v>8</v>
      </c>
      <c r="B88" s="21" t="inlineStr">
        <is>
          <t>Gomita Reducida en Azúcar de Melocotón y Durazno en Pectina LMA (Low Methoxyl Amidated Pectin Peach Gummy)</t>
        </is>
      </c>
      <c r="C88" t="inlineStr">
        <is>
          <t>sabor</t>
        </is>
      </c>
      <c r="D88" s="22" t="inlineStr">
        <is>
          <t>15 ml Solución de gluconato de calcio al 10% o cloruro de calcio alimenticio (1.5 g de sal de calcio disuelta en 13.5 ml de agua)</t>
        </is>
      </c>
      <c r="E88" s="6" t="inlineStr">
        <is>
          <t>Lactato o gluconato de calcio</t>
        </is>
      </c>
      <c r="F88" s="16" t="n">
        <v>15</v>
      </c>
      <c r="G88" t="inlineStr">
        <is>
          <t>g</t>
        </is>
      </c>
      <c r="H88" s="12">
        <f>IFERROR(VLOOKUP(E88,Insumos!$C$5:$G$100,5,FALSE),0)</f>
        <v/>
      </c>
      <c r="I88" s="17">
        <f>F88*H88/IF(C88="molde",MAX(1,'Mi negocio'!$C$34),1)</f>
        <v/>
      </c>
    </row>
    <row r="89">
      <c r="A89" t="n">
        <v>8</v>
      </c>
      <c r="B89" s="21" t="inlineStr">
        <is>
          <t>Gomita Reducida en Azúcar de Melocotón y Durazno en Pectina LMA (Low Methoxyl Amidated Pectin Peach Gummy)</t>
        </is>
      </c>
      <c r="C89" t="inlineStr">
        <is>
          <t>sabor</t>
        </is>
      </c>
      <c r="D89" s="22" t="inlineStr">
        <is>
          <t>6 ml Solución de ácido cítrico al 50% p/v</t>
        </is>
      </c>
      <c r="E89" s="6" t="inlineStr">
        <is>
          <t>Solución de ácido cítrico al 50% p/v (elaborada)</t>
        </is>
      </c>
      <c r="F89" s="16" t="n">
        <v>6</v>
      </c>
      <c r="G89" t="inlineStr">
        <is>
          <t>ml</t>
        </is>
      </c>
      <c r="H89" s="12">
        <f>IFERROR(VLOOKUP(E89,Insumos!$C$5:$G$100,5,FALSE),0)</f>
        <v/>
      </c>
      <c r="I89" s="17">
        <f>F89*H89/IF(C89="molde",MAX(1,'Mi negocio'!$C$34),1)</f>
        <v/>
      </c>
    </row>
    <row r="90">
      <c r="A90" t="n">
        <v>8</v>
      </c>
      <c r="B90" s="21" t="inlineStr">
        <is>
          <t>Gomita Reducida en Azúcar de Melocotón y Durazno en Pectina LMA (Low Methoxyl Amidated Pectin Peach Gummy)</t>
        </is>
      </c>
      <c r="C90" t="inlineStr">
        <is>
          <t>sabor</t>
        </is>
      </c>
      <c r="D90" s="22" t="inlineStr">
        <is>
          <t>2 ml Aroma natural concentrado de melocotón/durazno</t>
        </is>
      </c>
      <c r="E90" s="6" t="inlineStr">
        <is>
          <t>Aroma natural hidrosoluble concentrado</t>
        </is>
      </c>
      <c r="F90" s="16" t="n">
        <v>2</v>
      </c>
      <c r="G90" t="inlineStr">
        <is>
          <t>ml</t>
        </is>
      </c>
      <c r="H90" s="12">
        <f>IFERROR(VLOOKUP(E90,Insumos!$C$5:$G$100,5,FALSE),0)</f>
        <v/>
      </c>
      <c r="I90" s="17">
        <f>F90*H90/IF(C90="molde",MAX(1,'Mi negocio'!$C$34),1)</f>
        <v/>
      </c>
    </row>
    <row r="91">
      <c r="A91" t="n">
        <v>8</v>
      </c>
      <c r="B91" s="21" t="inlineStr">
        <is>
          <t>Gomita Reducida en Azúcar de Melocotón y Durazno en Pectina LMA (Low Methoxyl Amidated Pectin Peach Gummy)</t>
        </is>
      </c>
      <c r="C91" t="inlineStr">
        <is>
          <t>sabor</t>
        </is>
      </c>
      <c r="D91" s="22" t="inlineStr">
        <is>
          <t>0.2 g Colorante natural extracto de paprika/achiote hidrosoluble (naranja pastel)</t>
        </is>
      </c>
      <c r="E91" s="6" t="inlineStr">
        <is>
          <t>Extracto de paprika o achiote</t>
        </is>
      </c>
      <c r="F91" s="16" t="n">
        <v>0.2</v>
      </c>
      <c r="G91" t="inlineStr">
        <is>
          <t>ml</t>
        </is>
      </c>
      <c r="H91" s="12">
        <f>IFERROR(VLOOKUP(E91,Insumos!$C$5:$G$100,5,FALSE),0)</f>
        <v/>
      </c>
      <c r="I91" s="17">
        <f>F91*H91/IF(C91="molde",MAX(1,'Mi negocio'!$C$34),1)</f>
        <v/>
      </c>
    </row>
    <row r="92">
      <c r="A92" t="n">
        <v>8</v>
      </c>
      <c r="B92" s="21" t="inlineStr">
        <is>
          <t>Gomita Reducida en Azúcar de Melocotón y Durazno en Pectina LMA (Low Methoxyl Amidated Pectin Peach Gummy)</t>
        </is>
      </c>
      <c r="C92" t="inlineStr">
        <is>
          <t>acabado</t>
        </is>
      </c>
      <c r="D92" s="22" t="inlineStr">
        <is>
          <t>2 g Aceite de coco fraccionado con cera de carnauba</t>
        </is>
      </c>
      <c r="E92" s="6" t="inlineStr">
        <is>
          <t>Aceite de coco fraccionado (MCT)</t>
        </is>
      </c>
      <c r="F92" s="16" t="n">
        <v>2</v>
      </c>
      <c r="G92" t="inlineStr">
        <is>
          <t>ml</t>
        </is>
      </c>
      <c r="H92" s="12">
        <f>IFERROR(VLOOKUP(E92,Insumos!$C$5:$G$100,5,FALSE),0)</f>
        <v/>
      </c>
      <c r="I92" s="17">
        <f>F92*H92/IF(C92="molde",MAX(1,'Mi negocio'!$C$34),1)</f>
        <v/>
      </c>
    </row>
    <row r="93">
      <c r="A93" t="n">
        <v>9</v>
      </c>
      <c r="B93" s="21" t="inlineStr">
        <is>
          <t>Perla de Frutos Rojos en Pectina Lenta (Slow-Set HM Pectin Red Berry Gem)</t>
        </is>
      </c>
      <c r="C93" t="inlineStr">
        <is>
          <t>sabor</t>
        </is>
      </c>
      <c r="D93" s="22" t="inlineStr">
        <is>
          <t>100 g Puré de frambuesa sin semillas</t>
        </is>
      </c>
      <c r="E93" s="6" t="inlineStr">
        <is>
          <t>Puré concentrado de fresa o frambuesa sin semillas</t>
        </is>
      </c>
      <c r="F93" s="16" t="n">
        <v>100</v>
      </c>
      <c r="G93" t="inlineStr">
        <is>
          <t>g</t>
        </is>
      </c>
      <c r="H93" s="12">
        <f>IFERROR(VLOOKUP(E93,Insumos!$C$5:$G$100,5,FALSE),0)</f>
        <v/>
      </c>
      <c r="I93" s="17">
        <f>F93*H93/IF(C93="molde",MAX(1,'Mi negocio'!$C$34),1)</f>
        <v/>
      </c>
    </row>
    <row r="94">
      <c r="A94" t="n">
        <v>9</v>
      </c>
      <c r="B94" s="21" t="inlineStr">
        <is>
          <t>Perla de Frutos Rojos en Pectina Lenta (Slow-Set HM Pectin Red Berry Gem)</t>
        </is>
      </c>
      <c r="C94" t="inlineStr">
        <is>
          <t>sabor</t>
        </is>
      </c>
      <c r="D94" s="22" t="inlineStr">
        <is>
          <t>60 g Puré de fresa madura concentrado</t>
        </is>
      </c>
      <c r="E94" s="6" t="inlineStr">
        <is>
          <t>Puré concentrado de fresa o frambuesa sin semillas</t>
        </is>
      </c>
      <c r="F94" s="16" t="n">
        <v>60</v>
      </c>
      <c r="G94" t="inlineStr">
        <is>
          <t>g</t>
        </is>
      </c>
      <c r="H94" s="12">
        <f>IFERROR(VLOOKUP(E94,Insumos!$C$5:$G$100,5,FALSE),0)</f>
        <v/>
      </c>
      <c r="I94" s="17">
        <f>F94*H94/IF(C94="molde",MAX(1,'Mi negocio'!$C$34),1)</f>
        <v/>
      </c>
    </row>
    <row r="95">
      <c r="A95" t="n">
        <v>9</v>
      </c>
      <c r="B95" s="21" t="inlineStr">
        <is>
          <t>Perla de Frutos Rojos en Pectina Lenta (Slow-Set HM Pectin Red Berry Gem)</t>
        </is>
      </c>
      <c r="C95" t="inlineStr">
        <is>
          <t>sabor</t>
        </is>
      </c>
      <c r="D95" s="22" t="inlineStr">
        <is>
          <t>40 g Puré de zarzamora/mora azul colado</t>
        </is>
      </c>
      <c r="E95" s="6" t="inlineStr">
        <is>
          <t>Puré concentrado de zarzamora, mora azul o grosella</t>
        </is>
      </c>
      <c r="F95" s="16" t="n">
        <v>40</v>
      </c>
      <c r="G95" t="inlineStr">
        <is>
          <t>g</t>
        </is>
      </c>
      <c r="H95" s="12">
        <f>IFERROR(VLOOKUP(E95,Insumos!$C$5:$G$100,5,FALSE),0)</f>
        <v/>
      </c>
      <c r="I95" s="17">
        <f>F95*H95/IF(C95="molde",MAX(1,'Mi negocio'!$C$34),1)</f>
        <v/>
      </c>
    </row>
    <row r="96">
      <c r="A96" t="n">
        <v>9</v>
      </c>
      <c r="B96" s="21" t="inlineStr">
        <is>
          <t>Perla de Frutos Rojos en Pectina Lenta (Slow-Set HM Pectin Red Berry Gem)</t>
        </is>
      </c>
      <c r="C96" t="inlineStr">
        <is>
          <t>sabor</t>
        </is>
      </c>
      <c r="D96" s="22" t="inlineStr">
        <is>
          <t>30 ml Agua desmineralizada</t>
        </is>
      </c>
      <c r="E96" s="6" t="inlineStr">
        <is>
          <t>Agua desmineralizada o purificada</t>
        </is>
      </c>
      <c r="F96" s="16" t="n">
        <v>30</v>
      </c>
      <c r="G96" t="inlineStr">
        <is>
          <t>ml</t>
        </is>
      </c>
      <c r="H96" s="12">
        <f>IFERROR(VLOOKUP(E96,Insumos!$C$5:$G$100,5,FALSE),0)</f>
        <v/>
      </c>
      <c r="I96" s="17">
        <f>F96*H96/IF(C96="molde",MAX(1,'Mi negocio'!$C$34),1)</f>
        <v/>
      </c>
    </row>
    <row r="97">
      <c r="A97" t="n">
        <v>9</v>
      </c>
      <c r="B97" s="21" t="inlineStr">
        <is>
          <t>Perla de Frutos Rojos en Pectina Lenta (Slow-Set HM Pectin Red Berry Gem)</t>
        </is>
      </c>
      <c r="C97" t="inlineStr">
        <is>
          <t>gelificante</t>
        </is>
      </c>
      <c r="D97" s="22" t="inlineStr">
        <is>
          <t>11 g Pectina de Alto Metoxilo lenta (HM Slow Set)</t>
        </is>
      </c>
      <c r="E97" s="6" t="inlineStr">
        <is>
          <t>Pectina de alto metoxilo lenta (HM slow-set)</t>
        </is>
      </c>
      <c r="F97" s="16" t="n">
        <v>11</v>
      </c>
      <c r="G97" t="inlineStr">
        <is>
          <t>g</t>
        </is>
      </c>
      <c r="H97" s="12">
        <f>IFERROR(VLOOKUP(E97,Insumos!$C$5:$G$100,5,FALSE),0)</f>
        <v/>
      </c>
      <c r="I97" s="17">
        <f>F97*H97/IF(C97="molde",MAX(1,'Mi negocio'!$C$34),1)</f>
        <v/>
      </c>
    </row>
    <row r="98">
      <c r="A98" t="n">
        <v>9</v>
      </c>
      <c r="B98" s="21" t="inlineStr">
        <is>
          <t>Perla de Frutos Rojos en Pectina Lenta (Slow-Set HM Pectin Red Berry Gem)</t>
        </is>
      </c>
      <c r="C98" t="inlineStr">
        <is>
          <t>azucar</t>
        </is>
      </c>
      <c r="D98" s="22" t="inlineStr">
        <is>
          <t>35 g Azúcar blanca refinada (para dispersión en seco)</t>
        </is>
      </c>
      <c r="E98" s="6" t="inlineStr">
        <is>
          <t>Azúcar blanca refinada</t>
        </is>
      </c>
      <c r="F98" s="16" t="n">
        <v>35</v>
      </c>
      <c r="G98" t="inlineStr">
        <is>
          <t>g</t>
        </is>
      </c>
      <c r="H98" s="12">
        <f>IFERROR(VLOOKUP(E98,Insumos!$C$5:$G$100,5,FALSE),0)</f>
        <v/>
      </c>
      <c r="I98" s="17">
        <f>F98*H98/IF(C98="molde",MAX(1,'Mi negocio'!$C$34),1)</f>
        <v/>
      </c>
    </row>
    <row r="99">
      <c r="A99" t="n">
        <v>9</v>
      </c>
      <c r="B99" s="21" t="inlineStr">
        <is>
          <t>Perla de Frutos Rojos en Pectina Lenta (Slow-Set HM Pectin Red Berry Gem)</t>
        </is>
      </c>
      <c r="C99" t="inlineStr">
        <is>
          <t>azucar</t>
        </is>
      </c>
      <c r="D99" s="22" t="inlineStr">
        <is>
          <t>180 g Azúcar blanca refinada pura</t>
        </is>
      </c>
      <c r="E99" s="6" t="inlineStr">
        <is>
          <t>Azúcar blanca refinada</t>
        </is>
      </c>
      <c r="F99" s="16" t="n">
        <v>180</v>
      </c>
      <c r="G99" t="inlineStr">
        <is>
          <t>g</t>
        </is>
      </c>
      <c r="H99" s="12">
        <f>IFERROR(VLOOKUP(E99,Insumos!$C$5:$G$100,5,FALSE),0)</f>
        <v/>
      </c>
      <c r="I99" s="17">
        <f>F99*H99/IF(C99="molde",MAX(1,'Mi negocio'!$C$34),1)</f>
        <v/>
      </c>
    </row>
    <row r="100">
      <c r="A100" t="n">
        <v>9</v>
      </c>
      <c r="B100" s="21" t="inlineStr">
        <is>
          <t>Perla de Frutos Rojos en Pectina Lenta (Slow-Set HM Pectin Red Berry Gem)</t>
        </is>
      </c>
      <c r="C100" t="inlineStr">
        <is>
          <t>azucar</t>
        </is>
      </c>
      <c r="D100" s="22" t="inlineStr">
        <is>
          <t>85 g Jarabe de glucosa 42DE</t>
        </is>
      </c>
      <c r="E100" s="6" t="inlineStr">
        <is>
          <t>Jarabe de glucosa 42 DE</t>
        </is>
      </c>
      <c r="F100" s="16" t="n">
        <v>85</v>
      </c>
      <c r="G100" t="inlineStr">
        <is>
          <t>g</t>
        </is>
      </c>
      <c r="H100" s="12">
        <f>IFERROR(VLOOKUP(E100,Insumos!$C$5:$G$100,5,FALSE),0)</f>
        <v/>
      </c>
      <c r="I100" s="17">
        <f>F100*H100/IF(C100="molde",MAX(1,'Mi negocio'!$C$34),1)</f>
        <v/>
      </c>
    </row>
    <row r="101">
      <c r="A101" t="n">
        <v>9</v>
      </c>
      <c r="B101" s="21" t="inlineStr">
        <is>
          <t>Perla de Frutos Rojos en Pectina Lenta (Slow-Set HM Pectin Red Berry Gem)</t>
        </is>
      </c>
      <c r="C101" t="inlineStr">
        <is>
          <t>sabor</t>
        </is>
      </c>
      <c r="D101" s="22" t="inlineStr">
        <is>
          <t>8 ml Solución de ácido cítrico al 50% p/v</t>
        </is>
      </c>
      <c r="E101" s="6" t="inlineStr">
        <is>
          <t>Solución de ácido cítrico al 50% p/v (elaborada)</t>
        </is>
      </c>
      <c r="F101" s="16" t="n">
        <v>8</v>
      </c>
      <c r="G101" t="inlineStr">
        <is>
          <t>ml</t>
        </is>
      </c>
      <c r="H101" s="12">
        <f>IFERROR(VLOOKUP(E101,Insumos!$C$5:$G$100,5,FALSE),0)</f>
        <v/>
      </c>
      <c r="I101" s="17">
        <f>F101*H101/IF(C101="molde",MAX(1,'Mi negocio'!$C$34),1)</f>
        <v/>
      </c>
    </row>
    <row r="102">
      <c r="A102" t="n">
        <v>9</v>
      </c>
      <c r="B102" s="21" t="inlineStr">
        <is>
          <t>Perla de Frutos Rojos en Pectina Lenta (Slow-Set HM Pectin Red Berry Gem)</t>
        </is>
      </c>
      <c r="C102" t="inlineStr">
        <is>
          <t>acabado</t>
        </is>
      </c>
      <c r="D102" s="22" t="inlineStr">
        <is>
          <t>1.5 ml Aroma natural de frutos del bosque</t>
        </is>
      </c>
      <c r="E102" s="6" t="inlineStr">
        <is>
          <t>Aroma natural hidrosoluble concentrado</t>
        </is>
      </c>
      <c r="F102" s="16" t="n">
        <v>1.5</v>
      </c>
      <c r="G102" t="inlineStr">
        <is>
          <t>ml</t>
        </is>
      </c>
      <c r="H102" s="12">
        <f>IFERROR(VLOOKUP(E102,Insumos!$C$5:$G$100,5,FALSE),0)</f>
        <v/>
      </c>
      <c r="I102" s="17">
        <f>F102*H102/IF(C102="molde",MAX(1,'Mi negocio'!$C$34),1)</f>
        <v/>
      </c>
    </row>
    <row r="103">
      <c r="A103" t="n">
        <v>9</v>
      </c>
      <c r="B103" s="21" t="inlineStr">
        <is>
          <t>Perla de Frutos Rojos en Pectina Lenta (Slow-Set HM Pectin Red Berry Gem)</t>
        </is>
      </c>
      <c r="C103" t="inlineStr">
        <is>
          <t>acabado</t>
        </is>
      </c>
      <c r="D103" s="22" t="inlineStr">
        <is>
          <t>140 g Azúcar cristalino de grano medio para rebozado exterior</t>
        </is>
      </c>
      <c r="E103" s="6" t="inlineStr">
        <is>
          <t>Azúcar cristal de grano medio a grueso (rebozado)</t>
        </is>
      </c>
      <c r="F103" s="16" t="n">
        <v>140</v>
      </c>
      <c r="G103" t="inlineStr">
        <is>
          <t>g</t>
        </is>
      </c>
      <c r="H103" s="12">
        <f>IFERROR(VLOOKUP(E103,Insumos!$C$5:$G$100,5,FALSE),0)</f>
        <v/>
      </c>
      <c r="I103" s="17">
        <f>F103*H103/IF(C103="molde",MAX(1,'Mi negocio'!$C$34),1)</f>
        <v/>
      </c>
    </row>
    <row r="104">
      <c r="A104" t="n">
        <v>10</v>
      </c>
      <c r="B104" s="21" t="inlineStr">
        <is>
          <t>Pastilla de Goma Balsámica de Limón Criollo y Eucalipto (Balsamic Eucalyptus &amp; Key Lime Pastille)</t>
        </is>
      </c>
      <c r="C104" t="inlineStr">
        <is>
          <t>gelificante</t>
        </is>
      </c>
      <c r="D104" s="22" t="inlineStr">
        <is>
          <t>36 g Gelatina en polvo de res de 240 Bloom</t>
        </is>
      </c>
      <c r="E104" s="6" t="inlineStr">
        <is>
          <t>Gelatina en polvo de 240-260 Bloom</t>
        </is>
      </c>
      <c r="F104" s="16" t="n">
        <v>36</v>
      </c>
      <c r="G104" t="inlineStr">
        <is>
          <t>g</t>
        </is>
      </c>
      <c r="H104" s="12">
        <f>IFERROR(VLOOKUP(E104,Insumos!$C$5:$G$100,5,FALSE),0)</f>
        <v/>
      </c>
      <c r="I104" s="17">
        <f>F104*H104/IF(C104="molde",MAX(1,'Mi negocio'!$C$34),1)</f>
        <v/>
      </c>
    </row>
    <row r="105">
      <c r="A105" t="n">
        <v>10</v>
      </c>
      <c r="B105" s="21" t="inlineStr">
        <is>
          <t>Pastilla de Goma Balsámica de Limón Criollo y Eucalipto (Balsamic Eucalyptus &amp; Key Lime Pastille)</t>
        </is>
      </c>
      <c r="C105" t="inlineStr">
        <is>
          <t>gelificante</t>
        </is>
      </c>
      <c r="D105" s="22" t="inlineStr">
        <is>
          <t>12 g Goma arábiga en polvo atomizada pura (Acacia senegal)</t>
        </is>
      </c>
      <c r="E105" s="6" t="inlineStr">
        <is>
          <t>Goma arábiga en polvo atomizada (acacia)</t>
        </is>
      </c>
      <c r="F105" s="16" t="n">
        <v>12</v>
      </c>
      <c r="G105" t="inlineStr">
        <is>
          <t>g</t>
        </is>
      </c>
      <c r="H105" s="12">
        <f>IFERROR(VLOOKUP(E105,Insumos!$C$5:$G$100,5,FALSE),0)</f>
        <v/>
      </c>
      <c r="I105" s="17">
        <f>F105*H105/IF(C105="molde",MAX(1,'Mi negocio'!$C$34),1)</f>
        <v/>
      </c>
    </row>
    <row r="106">
      <c r="A106" t="n">
        <v>10</v>
      </c>
      <c r="B106" s="21" t="inlineStr">
        <is>
          <t>Pastilla de Goma Balsámica de Limón Criollo y Eucalipto (Balsamic Eucalyptus &amp; Key Lime Pastille)</t>
        </is>
      </c>
      <c r="C106" t="inlineStr">
        <is>
          <t>sabor</t>
        </is>
      </c>
      <c r="D106" s="22" t="inlineStr">
        <is>
          <t>100 ml Agua desmineralizada a 15 °C</t>
        </is>
      </c>
      <c r="E106" s="6" t="inlineStr">
        <is>
          <t>Agua desmineralizada o purificada</t>
        </is>
      </c>
      <c r="F106" s="16" t="n">
        <v>100</v>
      </c>
      <c r="G106" t="inlineStr">
        <is>
          <t>ml</t>
        </is>
      </c>
      <c r="H106" s="12">
        <f>IFERROR(VLOOKUP(E106,Insumos!$C$5:$G$100,5,FALSE),0)</f>
        <v/>
      </c>
      <c r="I106" s="17">
        <f>F106*H106/IF(C106="molde",MAX(1,'Mi negocio'!$C$34),1)</f>
        <v/>
      </c>
    </row>
    <row r="107">
      <c r="A107" t="n">
        <v>10</v>
      </c>
      <c r="B107" s="21" t="inlineStr">
        <is>
          <t>Pastilla de Goma Balsámica de Limón Criollo y Eucalipto (Balsamic Eucalyptus &amp; Key Lime Pastille)</t>
        </is>
      </c>
      <c r="C107" t="inlineStr">
        <is>
          <t>azucar</t>
        </is>
      </c>
      <c r="D107" s="22" t="inlineStr">
        <is>
          <t>190 g Azúcar blanca refinada pura</t>
        </is>
      </c>
      <c r="E107" s="6" t="inlineStr">
        <is>
          <t>Azúcar blanca refinada</t>
        </is>
      </c>
      <c r="F107" s="16" t="n">
        <v>190</v>
      </c>
      <c r="G107" t="inlineStr">
        <is>
          <t>g</t>
        </is>
      </c>
      <c r="H107" s="12">
        <f>IFERROR(VLOOKUP(E107,Insumos!$C$5:$G$100,5,FALSE),0)</f>
        <v/>
      </c>
      <c r="I107" s="17">
        <f>F107*H107/IF(C107="molde",MAX(1,'Mi negocio'!$C$34),1)</f>
        <v/>
      </c>
    </row>
    <row r="108">
      <c r="A108" t="n">
        <v>10</v>
      </c>
      <c r="B108" s="21" t="inlineStr">
        <is>
          <t>Pastilla de Goma Balsámica de Limón Criollo y Eucalipto (Balsamic Eucalyptus &amp; Key Lime Pastille)</t>
        </is>
      </c>
      <c r="C108" t="inlineStr">
        <is>
          <t>azucar</t>
        </is>
      </c>
      <c r="D108" s="22" t="inlineStr">
        <is>
          <t>160 g Jarabe de glucosa 42DE</t>
        </is>
      </c>
      <c r="E108" s="6" t="inlineStr">
        <is>
          <t>Jarabe de glucosa 42 DE</t>
        </is>
      </c>
      <c r="F108" s="16" t="n">
        <v>160</v>
      </c>
      <c r="G108" t="inlineStr">
        <is>
          <t>g</t>
        </is>
      </c>
      <c r="H108" s="12">
        <f>IFERROR(VLOOKUP(E108,Insumos!$C$5:$G$100,5,FALSE),0)</f>
        <v/>
      </c>
      <c r="I108" s="17">
        <f>F108*H108/IF(C108="molde",MAX(1,'Mi negocio'!$C$34),1)</f>
        <v/>
      </c>
    </row>
    <row r="109">
      <c r="A109" t="n">
        <v>10</v>
      </c>
      <c r="B109" s="21" t="inlineStr">
        <is>
          <t>Pastilla de Goma Balsámica de Limón Criollo y Eucalipto (Balsamic Eucalyptus &amp; Key Lime Pastille)</t>
        </is>
      </c>
      <c r="C109" t="inlineStr">
        <is>
          <t>sabor</t>
        </is>
      </c>
      <c r="D109" s="22" t="inlineStr">
        <is>
          <t>45 ml Agua purificada</t>
        </is>
      </c>
      <c r="E109" s="6" t="inlineStr">
        <is>
          <t>Agua desmineralizada o purificada</t>
        </is>
      </c>
      <c r="F109" s="16" t="n">
        <v>45</v>
      </c>
      <c r="G109" t="inlineStr">
        <is>
          <t>ml</t>
        </is>
      </c>
      <c r="H109" s="12">
        <f>IFERROR(VLOOKUP(E109,Insumos!$C$5:$G$100,5,FALSE),0)</f>
        <v/>
      </c>
      <c r="I109" s="17">
        <f>F109*H109/IF(C109="molde",MAX(1,'Mi negocio'!$C$34),1)</f>
        <v/>
      </c>
    </row>
    <row r="110">
      <c r="A110" t="n">
        <v>10</v>
      </c>
      <c r="B110" s="21" t="inlineStr">
        <is>
          <t>Pastilla de Goma Balsámica de Limón Criollo y Eucalipto (Balsamic Eucalyptus &amp; Key Lime Pastille)</t>
        </is>
      </c>
      <c r="C110" t="inlineStr">
        <is>
          <t>azucar</t>
        </is>
      </c>
      <c r="D110" s="22" t="inlineStr">
        <is>
          <t>15 g Miel pura de abeja (aporta azúcares invertidos naturales y notas balsámicas)</t>
        </is>
      </c>
      <c r="E110" s="6" t="inlineStr">
        <is>
          <t>Miel pura de abeja</t>
        </is>
      </c>
      <c r="F110" s="16" t="n">
        <v>15</v>
      </c>
      <c r="G110" t="inlineStr">
        <is>
          <t>g</t>
        </is>
      </c>
      <c r="H110" s="12">
        <f>IFERROR(VLOOKUP(E110,Insumos!$C$5:$G$100,5,FALSE),0)</f>
        <v/>
      </c>
      <c r="I110" s="17">
        <f>F110*H110/IF(C110="molde",MAX(1,'Mi negocio'!$C$34),1)</f>
        <v/>
      </c>
    </row>
    <row r="111">
      <c r="A111" t="n">
        <v>10</v>
      </c>
      <c r="B111" s="21" t="inlineStr">
        <is>
          <t>Pastilla de Goma Balsámica de Limón Criollo y Eucalipto (Balsamic Eucalyptus &amp; Key Lime Pastille)</t>
        </is>
      </c>
      <c r="C111" t="inlineStr">
        <is>
          <t>sabor</t>
        </is>
      </c>
      <c r="D111" s="22" t="inlineStr">
        <is>
          <t>8 ml Solución de ácido cítrico al 50% p/v</t>
        </is>
      </c>
      <c r="E111" s="6" t="inlineStr">
        <is>
          <t>Solución de ácido cítrico al 50% p/v (elaborada)</t>
        </is>
      </c>
      <c r="F111" s="16" t="n">
        <v>8</v>
      </c>
      <c r="G111" t="inlineStr">
        <is>
          <t>ml</t>
        </is>
      </c>
      <c r="H111" s="12">
        <f>IFERROR(VLOOKUP(E111,Insumos!$C$5:$G$100,5,FALSE),0)</f>
        <v/>
      </c>
      <c r="I111" s="17">
        <f>F111*H111/IF(C111="molde",MAX(1,'Mi negocio'!$C$34),1)</f>
        <v/>
      </c>
    </row>
    <row r="112">
      <c r="A112" t="n">
        <v>10</v>
      </c>
      <c r="B112" s="21" t="inlineStr">
        <is>
          <t>Pastilla de Goma Balsámica de Limón Criollo y Eucalipto (Balsamic Eucalyptus &amp; Key Lime Pastille)</t>
        </is>
      </c>
      <c r="C112" t="inlineStr">
        <is>
          <t>sabor</t>
        </is>
      </c>
      <c r="D112" s="22" t="inlineStr">
        <is>
          <t>2 ml Aceite esencial puro de limón criollo/mexicano destilado (Citrus aurantiifolia)</t>
        </is>
      </c>
      <c r="E112" s="6" t="inlineStr">
        <is>
          <t>Aceite esencial puro destilado de cítrico</t>
        </is>
      </c>
      <c r="F112" s="16" t="n">
        <v>2</v>
      </c>
      <c r="G112" t="inlineStr">
        <is>
          <t>ml</t>
        </is>
      </c>
      <c r="H112" s="12">
        <f>IFERROR(VLOOKUP(E112,Insumos!$C$5:$G$100,5,FALSE),0)</f>
        <v/>
      </c>
      <c r="I112" s="17">
        <f>F112*H112/IF(C112="molde",MAX(1,'Mi negocio'!$C$34),1)</f>
        <v/>
      </c>
    </row>
    <row r="113">
      <c r="A113" t="n">
        <v>10</v>
      </c>
      <c r="B113" s="21" t="inlineStr">
        <is>
          <t>Pastilla de Goma Balsámica de Limón Criollo y Eucalipto (Balsamic Eucalyptus &amp; Key Lime Pastille)</t>
        </is>
      </c>
      <c r="C113" t="inlineStr">
        <is>
          <t>sabor</t>
        </is>
      </c>
      <c r="D113" s="22" t="inlineStr">
        <is>
          <t>0.4 g Eucaliptol / 1,8-cineol alimentario natural (o 0.5 ml de esencia pura de eucalipto)</t>
        </is>
      </c>
      <c r="E113" s="6" t="inlineStr">
        <is>
          <t>Cristales de mentol o eucaliptol alimentario</t>
        </is>
      </c>
      <c r="F113" s="16" t="n">
        <v>0.4</v>
      </c>
      <c r="G113" t="inlineStr">
        <is>
          <t>g</t>
        </is>
      </c>
      <c r="H113" s="12">
        <f>IFERROR(VLOOKUP(E113,Insumos!$C$5:$G$100,5,FALSE),0)</f>
        <v/>
      </c>
      <c r="I113" s="17">
        <f>F113*H113/IF(C113="molde",MAX(1,'Mi negocio'!$C$34),1)</f>
        <v/>
      </c>
    </row>
    <row r="114">
      <c r="A114" t="n">
        <v>10</v>
      </c>
      <c r="B114" s="21" t="inlineStr">
        <is>
          <t>Pastilla de Goma Balsámica de Limón Criollo y Eucalipto (Balsamic Eucalyptus &amp; Key Lime Pastille)</t>
        </is>
      </c>
      <c r="C114" t="inlineStr">
        <is>
          <t>sabor</t>
        </is>
      </c>
      <c r="D114" s="22" t="inlineStr">
        <is>
          <t>0.2 g Cristales de mentol puro grado alimenticio disueltos en el aceite de limón</t>
        </is>
      </c>
      <c r="E114" s="6" t="inlineStr">
        <is>
          <t>Cristales de mentol o eucaliptol alimentario</t>
        </is>
      </c>
      <c r="F114" s="16" t="n">
        <v>0.2</v>
      </c>
      <c r="G114" t="inlineStr">
        <is>
          <t>g</t>
        </is>
      </c>
      <c r="H114" s="12">
        <f>IFERROR(VLOOKUP(E114,Insumos!$C$5:$G$100,5,FALSE),0)</f>
        <v/>
      </c>
      <c r="I114" s="17">
        <f>F114*H114/IF(C114="molde",MAX(1,'Mi negocio'!$C$34),1)</f>
        <v/>
      </c>
    </row>
    <row r="115">
      <c r="A115" t="n">
        <v>10</v>
      </c>
      <c r="B115" s="21" t="inlineStr">
        <is>
          <t>Pastilla de Goma Balsámica de Limón Criollo y Eucalipto (Balsamic Eucalyptus &amp; Key Lime Pastille)</t>
        </is>
      </c>
      <c r="C115" t="inlineStr">
        <is>
          <t>sabor</t>
        </is>
      </c>
      <c r="D115" s="22" t="inlineStr">
        <is>
          <t>0.2 g Clorofilina cúprica líquida (verde limón brillante)</t>
        </is>
      </c>
      <c r="E115" s="6" t="inlineStr">
        <is>
          <t>Clorofilina cúprica (verde)</t>
        </is>
      </c>
      <c r="F115" s="16" t="n">
        <v>0.2</v>
      </c>
      <c r="G115" t="inlineStr">
        <is>
          <t>g</t>
        </is>
      </c>
      <c r="H115" s="12">
        <f>IFERROR(VLOOKUP(E115,Insumos!$C$5:$G$100,5,FALSE),0)</f>
        <v/>
      </c>
      <c r="I115" s="17">
        <f>F115*H115/IF(C115="molde",MAX(1,'Mi negocio'!$C$34),1)</f>
        <v/>
      </c>
    </row>
    <row r="116">
      <c r="A116" t="n">
        <v>10</v>
      </c>
      <c r="B116" s="21" t="inlineStr">
        <is>
          <t>Pastilla de Goma Balsámica de Limón Criollo y Eucalipto (Balsamic Eucalyptus &amp; Key Lime Pastille)</t>
        </is>
      </c>
      <c r="C116" t="inlineStr">
        <is>
          <t>acabado</t>
        </is>
      </c>
      <c r="D116" s="22" t="inlineStr">
        <is>
          <t>2 g Aceite mineral alimentario o cera de carnauba disuelta en aceite de coco MCT</t>
        </is>
      </c>
      <c r="E116" s="6" t="inlineStr">
        <is>
          <t>Agente de brillo de carnauba en MCT (elaborado)</t>
        </is>
      </c>
      <c r="F116" s="16" t="n">
        <v>2</v>
      </c>
      <c r="G116" t="inlineStr">
        <is>
          <t>g</t>
        </is>
      </c>
      <c r="H116" s="12">
        <f>IFERROR(VLOOKUP(E116,Insumos!$C$5:$G$100,5,FALSE),0)</f>
        <v/>
      </c>
      <c r="I116" s="17">
        <f>F116*H116/IF(C116="molde",MAX(1,'Mi negocio'!$C$34),1)</f>
        <v/>
      </c>
    </row>
    <row r="117">
      <c r="A117" t="n">
        <v>11</v>
      </c>
      <c r="B117" s="21" t="inlineStr">
        <is>
          <t>Lengua / Tira Ácida de Fresa Salvaje (Ultra-Sour Strawberry Sanded Ribbon)</t>
        </is>
      </c>
      <c r="C117" t="inlineStr">
        <is>
          <t>gelificante</t>
        </is>
      </c>
      <c r="D117" s="22" t="inlineStr">
        <is>
          <t>36 g Gelatina en polvo pura de 240 Bloom</t>
        </is>
      </c>
      <c r="E117" s="6" t="inlineStr">
        <is>
          <t>Gelatina en polvo de 240-260 Bloom</t>
        </is>
      </c>
      <c r="F117" s="16" t="n">
        <v>36</v>
      </c>
      <c r="G117" t="inlineStr">
        <is>
          <t>g</t>
        </is>
      </c>
      <c r="H117" s="12">
        <f>IFERROR(VLOOKUP(E117,Insumos!$C$5:$G$100,5,FALSE),0)</f>
        <v/>
      </c>
      <c r="I117" s="17">
        <f>F117*H117/IF(C117="molde",MAX(1,'Mi negocio'!$C$34),1)</f>
        <v/>
      </c>
    </row>
    <row r="118">
      <c r="A118" t="n">
        <v>11</v>
      </c>
      <c r="B118" s="21" t="inlineStr">
        <is>
          <t>Lengua / Tira Ácida de Fresa Salvaje (Ultra-Sour Strawberry Sanded Ribbon)</t>
        </is>
      </c>
      <c r="C118" t="inlineStr">
        <is>
          <t>gelificante</t>
        </is>
      </c>
      <c r="D118" s="22" t="inlineStr">
        <is>
          <t>9 g Almidón modificado de maíz fluidificado (aporta elasticidad tensil longitudinal para resistir estiramiento)</t>
        </is>
      </c>
      <c r="E118" s="6" t="inlineStr">
        <is>
          <t>Almidón modificado de maíz fluidificado</t>
        </is>
      </c>
      <c r="F118" s="16" t="n">
        <v>9</v>
      </c>
      <c r="G118" t="inlineStr">
        <is>
          <t>g</t>
        </is>
      </c>
      <c r="H118" s="12">
        <f>IFERROR(VLOOKUP(E118,Insumos!$C$5:$G$100,5,FALSE),0)</f>
        <v/>
      </c>
      <c r="I118" s="17">
        <f>F118*H118/IF(C118="molde",MAX(1,'Mi negocio'!$C$34),1)</f>
        <v/>
      </c>
    </row>
    <row r="119">
      <c r="A119" t="n">
        <v>11</v>
      </c>
      <c r="B119" s="21" t="inlineStr">
        <is>
          <t>Lengua / Tira Ácida de Fresa Salvaje (Ultra-Sour Strawberry Sanded Ribbon)</t>
        </is>
      </c>
      <c r="C119" t="inlineStr">
        <is>
          <t>sabor</t>
        </is>
      </c>
      <c r="D119" s="22" t="inlineStr">
        <is>
          <t>90 ml Agua desmineralizada a 15 °C</t>
        </is>
      </c>
      <c r="E119" s="6" t="inlineStr">
        <is>
          <t>Agua desmineralizada o purificada</t>
        </is>
      </c>
      <c r="F119" s="16" t="n">
        <v>90</v>
      </c>
      <c r="G119" t="inlineStr">
        <is>
          <t>ml</t>
        </is>
      </c>
      <c r="H119" s="12">
        <f>IFERROR(VLOOKUP(E119,Insumos!$C$5:$G$100,5,FALSE),0)</f>
        <v/>
      </c>
      <c r="I119" s="17">
        <f>F119*H119/IF(C119="molde",MAX(1,'Mi negocio'!$C$34),1)</f>
        <v/>
      </c>
    </row>
    <row r="120">
      <c r="A120" t="n">
        <v>11</v>
      </c>
      <c r="B120" s="21" t="inlineStr">
        <is>
          <t>Lengua / Tira Ácida de Fresa Salvaje (Ultra-Sour Strawberry Sanded Ribbon)</t>
        </is>
      </c>
      <c r="C120" t="inlineStr">
        <is>
          <t>azucar</t>
        </is>
      </c>
      <c r="D120" s="22" t="inlineStr">
        <is>
          <t>195 g Azúcar refinada blanca de alta pureza</t>
        </is>
      </c>
      <c r="E120" s="6" t="inlineStr">
        <is>
          <t>Azúcar blanca refinada</t>
        </is>
      </c>
      <c r="F120" s="16" t="n">
        <v>195</v>
      </c>
      <c r="G120" t="inlineStr">
        <is>
          <t>g</t>
        </is>
      </c>
      <c r="H120" s="12">
        <f>IFERROR(VLOOKUP(E120,Insumos!$C$5:$G$100,5,FALSE),0)</f>
        <v/>
      </c>
      <c r="I120" s="17">
        <f>F120*H120/IF(C120="molde",MAX(1,'Mi negocio'!$C$34),1)</f>
        <v/>
      </c>
    </row>
    <row r="121">
      <c r="A121" t="n">
        <v>11</v>
      </c>
      <c r="B121" s="21" t="inlineStr">
        <is>
          <t>Lengua / Tira Ácida de Fresa Salvaje (Ultra-Sour Strawberry Sanded Ribbon)</t>
        </is>
      </c>
      <c r="C121" t="inlineStr">
        <is>
          <t>azucar</t>
        </is>
      </c>
      <c r="D121" s="22" t="inlineStr">
        <is>
          <t>155 g Jarabe de glucosa estándar de maíz de 42DE</t>
        </is>
      </c>
      <c r="E121" s="6" t="inlineStr">
        <is>
          <t>Jarabe de glucosa 42 DE</t>
        </is>
      </c>
      <c r="F121" s="16" t="n">
        <v>155</v>
      </c>
      <c r="G121" t="inlineStr">
        <is>
          <t>g</t>
        </is>
      </c>
      <c r="H121" s="12">
        <f>IFERROR(VLOOKUP(E121,Insumos!$C$5:$G$100,5,FALSE),0)</f>
        <v/>
      </c>
      <c r="I121" s="17">
        <f>F121*H121/IF(C121="molde",MAX(1,'Mi negocio'!$C$34),1)</f>
        <v/>
      </c>
    </row>
    <row r="122">
      <c r="A122" t="n">
        <v>11</v>
      </c>
      <c r="B122" s="21" t="inlineStr">
        <is>
          <t>Lengua / Tira Ácida de Fresa Salvaje (Ultra-Sour Strawberry Sanded Ribbon)</t>
        </is>
      </c>
      <c r="C122" t="inlineStr">
        <is>
          <t>sabor</t>
        </is>
      </c>
      <c r="D122" s="22" t="inlineStr">
        <is>
          <t>50 ml Agua purificada limpia</t>
        </is>
      </c>
      <c r="E122" s="6" t="inlineStr">
        <is>
          <t>Agua desmineralizada o purificada</t>
        </is>
      </c>
      <c r="F122" s="16" t="n">
        <v>50</v>
      </c>
      <c r="G122" t="inlineStr">
        <is>
          <t>ml</t>
        </is>
      </c>
      <c r="H122" s="12">
        <f>IFERROR(VLOOKUP(E122,Insumos!$C$5:$G$100,5,FALSE),0)</f>
        <v/>
      </c>
      <c r="I122" s="17">
        <f>F122*H122/IF(C122="molde",MAX(1,'Mi negocio'!$C$34),1)</f>
        <v/>
      </c>
    </row>
    <row r="123">
      <c r="A123" t="n">
        <v>11</v>
      </c>
      <c r="B123" s="21" t="inlineStr">
        <is>
          <t>Lengua / Tira Ácida de Fresa Salvaje (Ultra-Sour Strawberry Sanded Ribbon)</t>
        </is>
      </c>
      <c r="C123" t="inlineStr">
        <is>
          <t>azucar</t>
        </is>
      </c>
      <c r="D123" s="22" t="inlineStr">
        <is>
          <t>12 g Sorbitol líquido al 70% (control de migración de humedad hacia la costra)</t>
        </is>
      </c>
      <c r="E123" s="6" t="inlineStr">
        <is>
          <t>Sorbitol líquido al 70%</t>
        </is>
      </c>
      <c r="F123" s="16" t="n">
        <v>12</v>
      </c>
      <c r="G123" t="inlineStr">
        <is>
          <t>g</t>
        </is>
      </c>
      <c r="H123" s="12">
        <f>IFERROR(VLOOKUP(E123,Insumos!$C$5:$G$100,5,FALSE),0)</f>
        <v/>
      </c>
      <c r="I123" s="17">
        <f>F123*H123/IF(C123="molde",MAX(1,'Mi negocio'!$C$34),1)</f>
        <v/>
      </c>
    </row>
    <row r="124">
      <c r="A124" t="n">
        <v>11</v>
      </c>
      <c r="B124" s="21" t="inlineStr">
        <is>
          <t>Lengua / Tira Ácida de Fresa Salvaje (Ultra-Sour Strawberry Sanded Ribbon)</t>
        </is>
      </c>
      <c r="C124" t="inlineStr">
        <is>
          <t>sabor</t>
        </is>
      </c>
      <c r="D124" s="22" t="inlineStr">
        <is>
          <t>1.8 g Citrato de sodio dihidratado (agente tampón / buffer que previene hidrólisis excesiva de la gelatina a pH ácido)</t>
        </is>
      </c>
      <c r="E124" s="6" t="inlineStr">
        <is>
          <t>Citrato de sodio dihidratado</t>
        </is>
      </c>
      <c r="F124" s="16" t="n">
        <v>1.8</v>
      </c>
      <c r="G124" t="inlineStr">
        <is>
          <t>g</t>
        </is>
      </c>
      <c r="H124" s="12">
        <f>IFERROR(VLOOKUP(E124,Insumos!$C$5:$G$100,5,FALSE),0)</f>
        <v/>
      </c>
      <c r="I124" s="17">
        <f>F124*H124/IF(C124="molde",MAX(1,'Mi negocio'!$C$34),1)</f>
        <v/>
      </c>
    </row>
    <row r="125">
      <c r="A125" t="n">
        <v>11</v>
      </c>
      <c r="B125" s="21" t="inlineStr">
        <is>
          <t>Lengua / Tira Ácida de Fresa Salvaje (Ultra-Sour Strawberry Sanded Ribbon)</t>
        </is>
      </c>
      <c r="C125" t="inlineStr">
        <is>
          <t>sabor</t>
        </is>
      </c>
      <c r="D125" s="22" t="inlineStr">
        <is>
          <t>12 ml Solución ácida interna al 50% p/v (6 g de ácido málico anhidro disuelto en 6 ml de agua)</t>
        </is>
      </c>
      <c r="E125" s="6" t="inlineStr">
        <is>
          <t>Solución de ácido cítrico al 50% p/v (elaborada)</t>
        </is>
      </c>
      <c r="F125" s="16" t="n">
        <v>12</v>
      </c>
      <c r="G125" t="inlineStr">
        <is>
          <t>ml</t>
        </is>
      </c>
      <c r="H125" s="12">
        <f>IFERROR(VLOOKUP(E125,Insumos!$C$5:$G$100,5,FALSE),0)</f>
        <v/>
      </c>
      <c r="I125" s="17">
        <f>F125*H125/IF(C125="molde",MAX(1,'Mi negocio'!$C$34),1)</f>
        <v/>
      </c>
    </row>
    <row r="126">
      <c r="A126" t="n">
        <v>11</v>
      </c>
      <c r="B126" s="21" t="inlineStr">
        <is>
          <t>Lengua / Tira Ácida de Fresa Salvaje (Ultra-Sour Strawberry Sanded Ribbon)</t>
        </is>
      </c>
      <c r="C126" t="inlineStr">
        <is>
          <t>sabor</t>
        </is>
      </c>
      <c r="D126" s="22" t="inlineStr">
        <is>
          <t>2.5 ml Aroma natural hidrosoluble concentrado de fresa silvestre ácida</t>
        </is>
      </c>
      <c r="E126" s="6" t="inlineStr">
        <is>
          <t>Aroma natural hidrosoluble concentrado</t>
        </is>
      </c>
      <c r="F126" s="16" t="n">
        <v>2.5</v>
      </c>
      <c r="G126" t="inlineStr">
        <is>
          <t>ml</t>
        </is>
      </c>
      <c r="H126" s="12">
        <f>IFERROR(VLOOKUP(E126,Insumos!$C$5:$G$100,5,FALSE),0)</f>
        <v/>
      </c>
      <c r="I126" s="17">
        <f>F126*H126/IF(C126="molde",MAX(1,'Mi negocio'!$C$34),1)</f>
        <v/>
      </c>
    </row>
    <row r="127">
      <c r="A127" t="n">
        <v>11</v>
      </c>
      <c r="B127" s="21" t="inlineStr">
        <is>
          <t>Lengua / Tira Ácida de Fresa Salvaje (Ultra-Sour Strawberry Sanded Ribbon)</t>
        </is>
      </c>
      <c r="C127" t="inlineStr">
        <is>
          <t>sabor</t>
        </is>
      </c>
      <c r="D127" s="22" t="inlineStr">
        <is>
          <t>0.35 g Colorante rojo allura (FD&amp;C Red 40)</t>
        </is>
      </c>
      <c r="E127" s="6" t="inlineStr">
        <is>
          <t>Colorante rojo carmín o allura hidrosoluble</t>
        </is>
      </c>
      <c r="F127" s="16" t="n">
        <v>0.35</v>
      </c>
      <c r="G127" t="inlineStr">
        <is>
          <t>g</t>
        </is>
      </c>
      <c r="H127" s="12">
        <f>IFERROR(VLOOKUP(E127,Insumos!$C$5:$G$100,5,FALSE),0)</f>
        <v/>
      </c>
      <c r="I127" s="17">
        <f>F127*H127/IF(C127="molde",MAX(1,'Mi negocio'!$C$34),1)</f>
        <v/>
      </c>
    </row>
    <row r="128">
      <c r="A128" t="n">
        <v>11</v>
      </c>
      <c r="B128" s="21" t="inlineStr">
        <is>
          <t>Lengua / Tira Ácida de Fresa Salvaje (Ultra-Sour Strawberry Sanded Ribbon)</t>
        </is>
      </c>
      <c r="C128" t="inlineStr">
        <is>
          <t>acabado</t>
        </is>
      </c>
      <c r="D128" s="22" t="inlineStr">
        <is>
          <t>90 g Azúcar refinada de grano grueso (granulometría 400-600 mum, lavada y secada)</t>
        </is>
      </c>
      <c r="E128" s="6" t="inlineStr">
        <is>
          <t>Azúcar cristal de grano medio a grueso (rebozado)</t>
        </is>
      </c>
      <c r="F128" s="16" t="n">
        <v>90</v>
      </c>
      <c r="G128" t="inlineStr">
        <is>
          <t>g</t>
        </is>
      </c>
      <c r="H128" s="12">
        <f>IFERROR(VLOOKUP(E128,Insumos!$C$5:$G$100,5,FALSE),0)</f>
        <v/>
      </c>
      <c r="I128" s="17">
        <f>F128*H128/IF(C128="molde",MAX(1,'Mi negocio'!$C$34),1)</f>
        <v/>
      </c>
    </row>
    <row r="129">
      <c r="A129" t="n">
        <v>11</v>
      </c>
      <c r="B129" s="21" t="inlineStr">
        <is>
          <t>Lengua / Tira Ácida de Fresa Salvaje (Ultra-Sour Strawberry Sanded Ribbon)</t>
        </is>
      </c>
      <c r="C129" t="inlineStr">
        <is>
          <t>acabado</t>
        </is>
      </c>
      <c r="D129" s="22" t="inlineStr">
        <is>
          <t>25 g Ácido málico de grado confitería encapsulado con grasa vegetal hidrogenada (micro-encapsulado anti-humedad)</t>
        </is>
      </c>
      <c r="E129" s="6" t="inlineStr">
        <is>
          <t>Ácido cítrico o málico micro-encapsulado</t>
        </is>
      </c>
      <c r="F129" s="16" t="n">
        <v>25</v>
      </c>
      <c r="G129" t="inlineStr">
        <is>
          <t>g</t>
        </is>
      </c>
      <c r="H129" s="12">
        <f>IFERROR(VLOOKUP(E129,Insumos!$C$5:$G$100,5,FALSE),0)</f>
        <v/>
      </c>
      <c r="I129" s="17">
        <f>F129*H129/IF(C129="molde",MAX(1,'Mi negocio'!$C$34),1)</f>
        <v/>
      </c>
    </row>
    <row r="130">
      <c r="A130" t="n">
        <v>11</v>
      </c>
      <c r="B130" s="21" t="inlineStr">
        <is>
          <t>Lengua / Tira Ácida de Fresa Salvaje (Ultra-Sour Strawberry Sanded Ribbon)</t>
        </is>
      </c>
      <c r="C130" t="inlineStr">
        <is>
          <t>acabado</t>
        </is>
      </c>
      <c r="D130" s="22" t="inlineStr">
        <is>
          <t>10 g Dextrosa anhidra cristalina (adsorbente de humedad residual)</t>
        </is>
      </c>
      <c r="E130" s="6" t="inlineStr">
        <is>
          <t>Dextrosa anhidra</t>
        </is>
      </c>
      <c r="F130" s="16" t="n">
        <v>10</v>
      </c>
      <c r="G130" t="inlineStr">
        <is>
          <t>g</t>
        </is>
      </c>
      <c r="H130" s="12">
        <f>IFERROR(VLOOKUP(E130,Insumos!$C$5:$G$100,5,FALSE),0)</f>
        <v/>
      </c>
      <c r="I130" s="17">
        <f>F130*H130/IF(C130="molde",MAX(1,'Mi negocio'!$C$34),1)</f>
        <v/>
      </c>
    </row>
    <row r="131">
      <c r="A131" t="n">
        <v>11</v>
      </c>
      <c r="B131" s="21" t="inlineStr">
        <is>
          <t>Lengua / Tira Ácida de Fresa Salvaje (Ultra-Sour Strawberry Sanded Ribbon)</t>
        </is>
      </c>
      <c r="C131" t="inlineStr">
        <is>
          <t>acabado</t>
        </is>
      </c>
      <c r="D131" s="22" t="inlineStr">
        <is>
          <t>3 g Ácido fumárico micronizado (&lt;50 mum, aporta choque ácido instantáneo de muy baja solubilidad)</t>
        </is>
      </c>
      <c r="E131" s="6" t="inlineStr">
        <is>
          <t>Ácido fumárico micronizado</t>
        </is>
      </c>
      <c r="F131" s="16" t="n">
        <v>3</v>
      </c>
      <c r="G131" t="inlineStr">
        <is>
          <t>g</t>
        </is>
      </c>
      <c r="H131" s="12">
        <f>IFERROR(VLOOKUP(E131,Insumos!$C$5:$G$100,5,FALSE),0)</f>
        <v/>
      </c>
      <c r="I131" s="17">
        <f>F131*H131/IF(C131="molde",MAX(1,'Mi negocio'!$C$34),1)</f>
        <v/>
      </c>
    </row>
    <row r="132">
      <c r="A132" t="n">
        <v>12</v>
      </c>
      <c r="B132" s="21" t="inlineStr">
        <is>
          <t>Gajo Super-Ácido de Limón Eureka y Yuzu (Extreme Citrus Yuzu-Lemon Wedge)</t>
        </is>
      </c>
      <c r="C132" t="inlineStr">
        <is>
          <t>gelificante</t>
        </is>
      </c>
      <c r="D132" s="22" t="inlineStr">
        <is>
          <t>44 g Gelatina en polvo de 250 Bloom</t>
        </is>
      </c>
      <c r="E132" s="6" t="inlineStr">
        <is>
          <t>Gelatina en polvo de 240-260 Bloom</t>
        </is>
      </c>
      <c r="F132" s="16" t="n">
        <v>44</v>
      </c>
      <c r="G132" t="inlineStr">
        <is>
          <t>g</t>
        </is>
      </c>
      <c r="H132" s="12">
        <f>IFERROR(VLOOKUP(E132,Insumos!$C$5:$G$100,5,FALSE),0)</f>
        <v/>
      </c>
      <c r="I132" s="17">
        <f>F132*H132/IF(C132="molde",MAX(1,'Mi negocio'!$C$34),1)</f>
        <v/>
      </c>
    </row>
    <row r="133">
      <c r="A133" t="n">
        <v>12</v>
      </c>
      <c r="B133" s="21" t="inlineStr">
        <is>
          <t>Gajo Super-Ácido de Limón Eureka y Yuzu (Extreme Citrus Yuzu-Lemon Wedge)</t>
        </is>
      </c>
      <c r="C133" t="inlineStr">
        <is>
          <t>sabor</t>
        </is>
      </c>
      <c r="D133" s="22" t="inlineStr">
        <is>
          <t>95 ml Agua desmineralizada a 15 °C</t>
        </is>
      </c>
      <c r="E133" s="6" t="inlineStr">
        <is>
          <t>Agua desmineralizada o purificada</t>
        </is>
      </c>
      <c r="F133" s="16" t="n">
        <v>95</v>
      </c>
      <c r="G133" t="inlineStr">
        <is>
          <t>ml</t>
        </is>
      </c>
      <c r="H133" s="12">
        <f>IFERROR(VLOOKUP(E133,Insumos!$C$5:$G$100,5,FALSE),0)</f>
        <v/>
      </c>
      <c r="I133" s="17">
        <f>F133*H133/IF(C133="molde",MAX(1,'Mi negocio'!$C$34),1)</f>
        <v/>
      </c>
    </row>
    <row r="134">
      <c r="A134" t="n">
        <v>12</v>
      </c>
      <c r="B134" s="21" t="inlineStr">
        <is>
          <t>Gajo Super-Ácido de Limón Eureka y Yuzu (Extreme Citrus Yuzu-Lemon Wedge)</t>
        </is>
      </c>
      <c r="C134" t="inlineStr">
        <is>
          <t>azucar</t>
        </is>
      </c>
      <c r="D134" s="22" t="inlineStr">
        <is>
          <t>190 g Azúcar blanca refinada pura</t>
        </is>
      </c>
      <c r="E134" s="6" t="inlineStr">
        <is>
          <t>Azúcar blanca refinada</t>
        </is>
      </c>
      <c r="F134" s="16" t="n">
        <v>190</v>
      </c>
      <c r="G134" t="inlineStr">
        <is>
          <t>g</t>
        </is>
      </c>
      <c r="H134" s="12">
        <f>IFERROR(VLOOKUP(E134,Insumos!$C$5:$G$100,5,FALSE),0)</f>
        <v/>
      </c>
      <c r="I134" s="17">
        <f>F134*H134/IF(C134="molde",MAX(1,'Mi negocio'!$C$34),1)</f>
        <v/>
      </c>
    </row>
    <row r="135">
      <c r="A135" t="n">
        <v>12</v>
      </c>
      <c r="B135" s="21" t="inlineStr">
        <is>
          <t>Gajo Super-Ácido de Limón Eureka y Yuzu (Extreme Citrus Yuzu-Lemon Wedge)</t>
        </is>
      </c>
      <c r="C135" t="inlineStr">
        <is>
          <t>azucar</t>
        </is>
      </c>
      <c r="D135" s="22" t="inlineStr">
        <is>
          <t>150 g Jarabe de glucosa 42DE</t>
        </is>
      </c>
      <c r="E135" s="6" t="inlineStr">
        <is>
          <t>Jarabe de glucosa 42 DE</t>
        </is>
      </c>
      <c r="F135" s="16" t="n">
        <v>150</v>
      </c>
      <c r="G135" t="inlineStr">
        <is>
          <t>g</t>
        </is>
      </c>
      <c r="H135" s="12">
        <f>IFERROR(VLOOKUP(E135,Insumos!$C$5:$G$100,5,FALSE),0)</f>
        <v/>
      </c>
      <c r="I135" s="17">
        <f>F135*H135/IF(C135="molde",MAX(1,'Mi negocio'!$C$34),1)</f>
        <v/>
      </c>
    </row>
    <row r="136">
      <c r="A136" t="n">
        <v>12</v>
      </c>
      <c r="B136" s="21" t="inlineStr">
        <is>
          <t>Gajo Super-Ácido de Limón Eureka y Yuzu (Extreme Citrus Yuzu-Lemon Wedge)</t>
        </is>
      </c>
      <c r="C136" t="inlineStr">
        <is>
          <t>sabor</t>
        </is>
      </c>
      <c r="D136" s="22" t="inlineStr">
        <is>
          <t>50 ml Jugo concentrado clarificado de limón amarillo Eureka (15)</t>
        </is>
      </c>
      <c r="E136" s="6" t="inlineStr">
        <is>
          <t>Zumo concentrado clarificado de cítrico</t>
        </is>
      </c>
      <c r="F136" s="16" t="n">
        <v>50</v>
      </c>
      <c r="G136" t="inlineStr">
        <is>
          <t>ml</t>
        </is>
      </c>
      <c r="H136" s="12">
        <f>IFERROR(VLOOKUP(E136,Insumos!$C$5:$G$100,5,FALSE),0)</f>
        <v/>
      </c>
      <c r="I136" s="17">
        <f>F136*H136/IF(C136="molde",MAX(1,'Mi negocio'!$C$34),1)</f>
        <v/>
      </c>
    </row>
    <row r="137">
      <c r="A137" t="n">
        <v>12</v>
      </c>
      <c r="B137" s="21" t="inlineStr">
        <is>
          <t>Gajo Super-Ácido de Limón Eureka y Yuzu (Extreme Citrus Yuzu-Lemon Wedge)</t>
        </is>
      </c>
      <c r="C137" t="inlineStr">
        <is>
          <t>azucar</t>
        </is>
      </c>
      <c r="D137" s="22" t="inlineStr">
        <is>
          <t>15 g Sorbitol líquido al 70%</t>
        </is>
      </c>
      <c r="E137" s="6" t="inlineStr">
        <is>
          <t>Sorbitol líquido al 70%</t>
        </is>
      </c>
      <c r="F137" s="16" t="n">
        <v>15</v>
      </c>
      <c r="G137" t="inlineStr">
        <is>
          <t>g</t>
        </is>
      </c>
      <c r="H137" s="12">
        <f>IFERROR(VLOOKUP(E137,Insumos!$C$5:$G$100,5,FALSE),0)</f>
        <v/>
      </c>
      <c r="I137" s="17">
        <f>F137*H137/IF(C137="molde",MAX(1,'Mi negocio'!$C$34),1)</f>
        <v/>
      </c>
    </row>
    <row r="138">
      <c r="A138" t="n">
        <v>12</v>
      </c>
      <c r="B138" s="21" t="inlineStr">
        <is>
          <t>Gajo Super-Ácido de Limón Eureka y Yuzu (Extreme Citrus Yuzu-Lemon Wedge)</t>
        </is>
      </c>
      <c r="C138" t="inlineStr">
        <is>
          <t>sabor</t>
        </is>
      </c>
      <c r="D138" s="22" t="inlineStr">
        <is>
          <t>2.5 g Citrato de potasio monohidratado (regulador iónico y tampón)</t>
        </is>
      </c>
      <c r="E138" s="6" t="inlineStr">
        <is>
          <t>Citrato de potasio monohidratado</t>
        </is>
      </c>
      <c r="F138" s="16" t="n">
        <v>2.5</v>
      </c>
      <c r="G138" t="inlineStr">
        <is>
          <t>g</t>
        </is>
      </c>
      <c r="H138" s="12">
        <f>IFERROR(VLOOKUP(E138,Insumos!$C$5:$G$100,5,FALSE),0)</f>
        <v/>
      </c>
      <c r="I138" s="17">
        <f>F138*H138/IF(C138="molde",MAX(1,'Mi negocio'!$C$34),1)</f>
        <v/>
      </c>
    </row>
    <row r="139">
      <c r="A139" t="n">
        <v>12</v>
      </c>
      <c r="B139" s="21" t="inlineStr">
        <is>
          <t>Gajo Super-Ácido de Limón Eureka y Yuzu (Extreme Citrus Yuzu-Lemon Wedge)</t>
        </is>
      </c>
      <c r="C139" t="inlineStr">
        <is>
          <t>sabor</t>
        </is>
      </c>
      <c r="D139" s="22" t="inlineStr">
        <is>
          <t>10 ml Solución de ácido cítrico al 50% p/v (5 g ácido cítrico en 5 ml de agua)</t>
        </is>
      </c>
      <c r="E139" s="6" t="inlineStr">
        <is>
          <t>Solución de ácido cítrico al 50% p/v (elaborada)</t>
        </is>
      </c>
      <c r="F139" s="16" t="n">
        <v>10</v>
      </c>
      <c r="G139" t="inlineStr">
        <is>
          <t>ml</t>
        </is>
      </c>
      <c r="H139" s="12">
        <f>IFERROR(VLOOKUP(E139,Insumos!$C$5:$G$100,5,FALSE),0)</f>
        <v/>
      </c>
      <c r="I139" s="17">
        <f>F139*H139/IF(C139="molde",MAX(1,'Mi negocio'!$C$34),1)</f>
        <v/>
      </c>
    </row>
    <row r="140">
      <c r="A140" t="n">
        <v>12</v>
      </c>
      <c r="B140" s="21" t="inlineStr">
        <is>
          <t>Gajo Super-Ácido de Limón Eureka y Yuzu (Extreme Citrus Yuzu-Lemon Wedge)</t>
        </is>
      </c>
      <c r="C140" t="inlineStr">
        <is>
          <t>sabor</t>
        </is>
      </c>
      <c r="D140" s="22" t="inlineStr">
        <is>
          <t>2.5 ml Zumo puro pasteurizado de Yuzu (Citrus junos)</t>
        </is>
      </c>
      <c r="E140" s="6" t="inlineStr">
        <is>
          <t>Zumo puro pasteurizado de yuzu</t>
        </is>
      </c>
      <c r="F140" s="16" t="n">
        <v>2.5</v>
      </c>
      <c r="G140" t="inlineStr">
        <is>
          <t>ml</t>
        </is>
      </c>
      <c r="H140" s="12">
        <f>IFERROR(VLOOKUP(E140,Insumos!$C$5:$G$100,5,FALSE),0)</f>
        <v/>
      </c>
      <c r="I140" s="17">
        <f>F140*H140/IF(C140="molde",MAX(1,'Mi negocio'!$C$34),1)</f>
        <v/>
      </c>
    </row>
    <row r="141">
      <c r="A141" t="n">
        <v>12</v>
      </c>
      <c r="B141" s="21" t="inlineStr">
        <is>
          <t>Gajo Super-Ácido de Limón Eureka y Yuzu (Extreme Citrus Yuzu-Lemon Wedge)</t>
        </is>
      </c>
      <c r="C141" t="inlineStr">
        <is>
          <t>sabor</t>
        </is>
      </c>
      <c r="D141" s="22" t="inlineStr">
        <is>
          <t>1.5 ml Aceite esencial puro destilado de limón Eureka (rico en d-limoneno y citral)</t>
        </is>
      </c>
      <c r="E141" s="6" t="inlineStr">
        <is>
          <t>Aceite esencial puro destilado de cítrico</t>
        </is>
      </c>
      <c r="F141" s="16" t="n">
        <v>1.5</v>
      </c>
      <c r="G141" t="inlineStr">
        <is>
          <t>ml</t>
        </is>
      </c>
      <c r="H141" s="12">
        <f>IFERROR(VLOOKUP(E141,Insumos!$C$5:$G$100,5,FALSE),0)</f>
        <v/>
      </c>
      <c r="I141" s="17">
        <f>F141*H141/IF(C141="molde",MAX(1,'Mi negocio'!$C$34),1)</f>
        <v/>
      </c>
    </row>
    <row r="142">
      <c r="A142" t="n">
        <v>12</v>
      </c>
      <c r="B142" s="21" t="inlineStr">
        <is>
          <t>Gajo Super-Ácido de Limón Eureka y Yuzu (Extreme Citrus Yuzu-Lemon Wedge)</t>
        </is>
      </c>
      <c r="C142" t="inlineStr">
        <is>
          <t>sabor</t>
        </is>
      </c>
      <c r="D142" s="22" t="inlineStr">
        <is>
          <t>0.2 g Colorante amarillo curcumina hidrosoluble</t>
        </is>
      </c>
      <c r="E142" s="6" t="inlineStr">
        <is>
          <t>Colorante amarillo curcumina hidrosoluble</t>
        </is>
      </c>
      <c r="F142" s="16" t="n">
        <v>0.2</v>
      </c>
      <c r="G142" t="inlineStr">
        <is>
          <t>g</t>
        </is>
      </c>
      <c r="H142" s="12">
        <f>IFERROR(VLOOKUP(E142,Insumos!$C$5:$G$100,5,FALSE),0)</f>
        <v/>
      </c>
      <c r="I142" s="17">
        <f>F142*H142/IF(C142="molde",MAX(1,'Mi negocio'!$C$34),1)</f>
        <v/>
      </c>
    </row>
    <row r="143">
      <c r="A143" t="n">
        <v>12</v>
      </c>
      <c r="B143" s="21" t="inlineStr">
        <is>
          <t>Gajo Super-Ácido de Limón Eureka y Yuzu (Extreme Citrus Yuzu-Lemon Wedge)</t>
        </is>
      </c>
      <c r="C143" t="inlineStr">
        <is>
          <t>acabado</t>
        </is>
      </c>
      <c r="D143" s="22" t="inlineStr">
        <is>
          <t>85 g Azúcar refinada de grano medio (300-450 mum)</t>
        </is>
      </c>
      <c r="E143" s="6" t="inlineStr">
        <is>
          <t>Azúcar cristal de grano medio a grueso (rebozado)</t>
        </is>
      </c>
      <c r="F143" s="16" t="n">
        <v>85</v>
      </c>
      <c r="G143" t="inlineStr">
        <is>
          <t>g</t>
        </is>
      </c>
      <c r="H143" s="12">
        <f>IFERROR(VLOOKUP(E143,Insumos!$C$5:$G$100,5,FALSE),0)</f>
        <v/>
      </c>
      <c r="I143" s="17">
        <f>F143*H143/IF(C143="molde",MAX(1,'Mi negocio'!$C$34),1)</f>
        <v/>
      </c>
    </row>
    <row r="144">
      <c r="A144" t="n">
        <v>12</v>
      </c>
      <c r="B144" s="21" t="inlineStr">
        <is>
          <t>Gajo Super-Ácido de Limón Eureka y Yuzu (Extreme Citrus Yuzu-Lemon Wedge)</t>
        </is>
      </c>
      <c r="C144" t="inlineStr">
        <is>
          <t>sabor</t>
        </is>
      </c>
      <c r="D144" s="22" t="inlineStr">
        <is>
          <t>20 g Ácido cítrico anhidro de molienda fina</t>
        </is>
      </c>
      <c r="E144" s="6" t="inlineStr">
        <is>
          <t>Ácido cítrico anhidro fino</t>
        </is>
      </c>
      <c r="F144" s="16" t="n">
        <v>20</v>
      </c>
      <c r="G144" t="inlineStr">
        <is>
          <t>g</t>
        </is>
      </c>
      <c r="H144" s="12">
        <f>IFERROR(VLOOKUP(E144,Insumos!$C$5:$G$100,5,FALSE),0)</f>
        <v/>
      </c>
      <c r="I144" s="17">
        <f>F144*H144/IF(C144="molde",MAX(1,'Mi negocio'!$C$34),1)</f>
        <v/>
      </c>
    </row>
    <row r="145">
      <c r="A145" t="n">
        <v>12</v>
      </c>
      <c r="B145" s="21" t="inlineStr">
        <is>
          <t>Gajo Super-Ácido de Limón Eureka y Yuzu (Extreme Citrus Yuzu-Lemon Wedge)</t>
        </is>
      </c>
      <c r="C145" t="inlineStr">
        <is>
          <t>sabor</t>
        </is>
      </c>
      <c r="D145" s="22" t="inlineStr">
        <is>
          <t>10 g Ácido málico micronizado</t>
        </is>
      </c>
      <c r="E145" s="6" t="inlineStr">
        <is>
          <t>Ácido málico micronizado</t>
        </is>
      </c>
      <c r="F145" s="16" t="n">
        <v>10</v>
      </c>
      <c r="G145" t="inlineStr">
        <is>
          <t>g</t>
        </is>
      </c>
      <c r="H145" s="12">
        <f>IFERROR(VLOOKUP(E145,Insumos!$C$5:$G$100,5,FALSE),0)</f>
        <v/>
      </c>
      <c r="I145" s="17">
        <f>F145*H145/IF(C145="molde",MAX(1,'Mi negocio'!$C$34),1)</f>
        <v/>
      </c>
    </row>
    <row r="146">
      <c r="A146" t="n">
        <v>12</v>
      </c>
      <c r="B146" s="21" t="inlineStr">
        <is>
          <t>Gajo Super-Ácido de Limón Eureka y Yuzu (Extreme Citrus Yuzu-Lemon Wedge)</t>
        </is>
      </c>
      <c r="C146" t="inlineStr">
        <is>
          <t>sabor</t>
        </is>
      </c>
      <c r="D146" s="22" t="inlineStr">
        <is>
          <t>1 g Ralladura deshidratada ultrafina de piel de limón Eureka (tamizada a 100 mum)</t>
        </is>
      </c>
      <c r="E146" s="6" t="inlineStr">
        <is>
          <t>Aceite esencial puro destilado de cítrico</t>
        </is>
      </c>
      <c r="F146" s="16" t="n">
        <v>1</v>
      </c>
      <c r="G146" t="inlineStr">
        <is>
          <t>ml</t>
        </is>
      </c>
      <c r="H146" s="12">
        <f>IFERROR(VLOOKUP(E146,Insumos!$C$5:$G$100,5,FALSE),0)</f>
        <v/>
      </c>
      <c r="I146" s="17">
        <f>F146*H146/IF(C146="molde",MAX(1,'Mi negocio'!$C$34),1)</f>
        <v/>
      </c>
    </row>
    <row r="147">
      <c r="A147" t="n">
        <v>13</v>
      </c>
      <c r="B147" s="21" t="inlineStr">
        <is>
          <t>Cubo Ácido de Maracuyá y Granada en Pectina Lenta (Sour Passion Fruit &amp; Pomegranate HM Jelly)</t>
        </is>
      </c>
      <c r="C147" t="inlineStr">
        <is>
          <t>sabor</t>
        </is>
      </c>
      <c r="D147" s="22" t="inlineStr">
        <is>
          <t>120 g Puré concentrado de maracuyá 100% puro sin semillas (tamizado, pH natural ≈3.0)</t>
        </is>
      </c>
      <c r="E147" s="6" t="inlineStr">
        <is>
          <t>Puré concentrado de maracuyá sin semillas</t>
        </is>
      </c>
      <c r="F147" s="16" t="n">
        <v>120</v>
      </c>
      <c r="G147" t="inlineStr">
        <is>
          <t>g</t>
        </is>
      </c>
      <c r="H147" s="12">
        <f>IFERROR(VLOOKUP(E147,Insumos!$C$5:$G$100,5,FALSE),0)</f>
        <v/>
      </c>
      <c r="I147" s="17">
        <f>F147*H147/IF(C147="molde",MAX(1,'Mi negocio'!$C$34),1)</f>
        <v/>
      </c>
    </row>
    <row r="148">
      <c r="A148" t="n">
        <v>13</v>
      </c>
      <c r="B148" s="21" t="inlineStr">
        <is>
          <t>Cubo Ácido de Maracuyá y Granada en Pectina Lenta (Sour Passion Fruit &amp; Pomegranate HM Jelly)</t>
        </is>
      </c>
      <c r="C148" t="inlineStr">
        <is>
          <t>sabor</t>
        </is>
      </c>
      <c r="D148" s="22" t="inlineStr">
        <is>
          <t>70 g Zumo concentrado clarificado de granada roja (Punica granatum)</t>
        </is>
      </c>
      <c r="E148" s="6" t="inlineStr">
        <is>
          <t>Zumo concentrado clarificado de uva, granada o manzana</t>
        </is>
      </c>
      <c r="F148" s="16" t="n">
        <v>70</v>
      </c>
      <c r="G148" t="inlineStr">
        <is>
          <t>ml</t>
        </is>
      </c>
      <c r="H148" s="12">
        <f>IFERROR(VLOOKUP(E148,Insumos!$C$5:$G$100,5,FALSE),0)</f>
        <v/>
      </c>
      <c r="I148" s="17">
        <f>F148*H148/IF(C148="molde",MAX(1,'Mi negocio'!$C$34),1)</f>
        <v/>
      </c>
    </row>
    <row r="149">
      <c r="A149" t="n">
        <v>13</v>
      </c>
      <c r="B149" s="21" t="inlineStr">
        <is>
          <t>Cubo Ácido de Maracuyá y Granada en Pectina Lenta (Sour Passion Fruit &amp; Pomegranate HM Jelly)</t>
        </is>
      </c>
      <c r="C149" t="inlineStr">
        <is>
          <t>sabor</t>
        </is>
      </c>
      <c r="D149" s="22" t="inlineStr">
        <is>
          <t>30 ml Agua desmineralizada</t>
        </is>
      </c>
      <c r="E149" s="6" t="inlineStr">
        <is>
          <t>Agua desmineralizada o purificada</t>
        </is>
      </c>
      <c r="F149" s="16" t="n">
        <v>30</v>
      </c>
      <c r="G149" t="inlineStr">
        <is>
          <t>ml</t>
        </is>
      </c>
      <c r="H149" s="12">
        <f>IFERROR(VLOOKUP(E149,Insumos!$C$5:$G$100,5,FALSE),0)</f>
        <v/>
      </c>
      <c r="I149" s="17">
        <f>F149*H149/IF(C149="molde",MAX(1,'Mi negocio'!$C$34),1)</f>
        <v/>
      </c>
    </row>
    <row r="150">
      <c r="A150" t="n">
        <v>13</v>
      </c>
      <c r="B150" s="21" t="inlineStr">
        <is>
          <t>Cubo Ácido de Maracuyá y Granada en Pectina Lenta (Sour Passion Fruit &amp; Pomegranate HM Jelly)</t>
        </is>
      </c>
      <c r="C150" t="inlineStr">
        <is>
          <t>gelificante</t>
        </is>
      </c>
      <c r="D150" s="22" t="inlineStr">
        <is>
          <t>11.5 g Pectina de Alto Metoxilo lenta (HM Slow-Set Pectin)</t>
        </is>
      </c>
      <c r="E150" s="6" t="inlineStr">
        <is>
          <t>Pectina de alto metoxilo lenta (HM slow-set)</t>
        </is>
      </c>
      <c r="F150" s="16" t="n">
        <v>11.5</v>
      </c>
      <c r="G150" t="inlineStr">
        <is>
          <t>g</t>
        </is>
      </c>
      <c r="H150" s="12">
        <f>IFERROR(VLOOKUP(E150,Insumos!$C$5:$G$100,5,FALSE),0)</f>
        <v/>
      </c>
      <c r="I150" s="17">
        <f>F150*H150/IF(C150="molde",MAX(1,'Mi negocio'!$C$34),1)</f>
        <v/>
      </c>
    </row>
    <row r="151">
      <c r="A151" t="n">
        <v>13</v>
      </c>
      <c r="B151" s="21" t="inlineStr">
        <is>
          <t>Cubo Ácido de Maracuyá y Granada en Pectina Lenta (Sour Passion Fruit &amp; Pomegranate HM Jelly)</t>
        </is>
      </c>
      <c r="C151" t="inlineStr">
        <is>
          <t>azucar</t>
        </is>
      </c>
      <c r="D151" s="22" t="inlineStr">
        <is>
          <t>35 g Azúcar blanca refinada (para dispersar la pectina en seco)</t>
        </is>
      </c>
      <c r="E151" s="6" t="inlineStr">
        <is>
          <t>Azúcar blanca refinada</t>
        </is>
      </c>
      <c r="F151" s="16" t="n">
        <v>35</v>
      </c>
      <c r="G151" t="inlineStr">
        <is>
          <t>g</t>
        </is>
      </c>
      <c r="H151" s="12">
        <f>IFERROR(VLOOKUP(E151,Insumos!$C$5:$G$100,5,FALSE),0)</f>
        <v/>
      </c>
      <c r="I151" s="17">
        <f>F151*H151/IF(C151="molde",MAX(1,'Mi negocio'!$C$34),1)</f>
        <v/>
      </c>
    </row>
    <row r="152">
      <c r="A152" t="n">
        <v>13</v>
      </c>
      <c r="B152" s="21" t="inlineStr">
        <is>
          <t>Cubo Ácido de Maracuyá y Granada en Pectina Lenta (Sour Passion Fruit &amp; Pomegranate HM Jelly)</t>
        </is>
      </c>
      <c r="C152" t="inlineStr">
        <is>
          <t>azucar</t>
        </is>
      </c>
      <c r="D152" s="22" t="inlineStr">
        <is>
          <t>185 g Azúcar blanca refinada pura</t>
        </is>
      </c>
      <c r="E152" s="6" t="inlineStr">
        <is>
          <t>Azúcar blanca refinada</t>
        </is>
      </c>
      <c r="F152" s="16" t="n">
        <v>185</v>
      </c>
      <c r="G152" t="inlineStr">
        <is>
          <t>g</t>
        </is>
      </c>
      <c r="H152" s="12">
        <f>IFERROR(VLOOKUP(E152,Insumos!$C$5:$G$100,5,FALSE),0)</f>
        <v/>
      </c>
      <c r="I152" s="17">
        <f>F152*H152/IF(C152="molde",MAX(1,'Mi negocio'!$C$34),1)</f>
        <v/>
      </c>
    </row>
    <row r="153">
      <c r="A153" t="n">
        <v>13</v>
      </c>
      <c r="B153" s="21" t="inlineStr">
        <is>
          <t>Cubo Ácido de Maracuyá y Granada en Pectina Lenta (Sour Passion Fruit &amp; Pomegranate HM Jelly)</t>
        </is>
      </c>
      <c r="C153" t="inlineStr">
        <is>
          <t>azucar</t>
        </is>
      </c>
      <c r="D153" s="22" t="inlineStr">
        <is>
          <t>90 g Jarabe de glucosa 42DE</t>
        </is>
      </c>
      <c r="E153" s="6" t="inlineStr">
        <is>
          <t>Jarabe de glucosa 42 DE</t>
        </is>
      </c>
      <c r="F153" s="16" t="n">
        <v>90</v>
      </c>
      <c r="G153" t="inlineStr">
        <is>
          <t>g</t>
        </is>
      </c>
      <c r="H153" s="12">
        <f>IFERROR(VLOOKUP(E153,Insumos!$C$5:$G$100,5,FALSE),0)</f>
        <v/>
      </c>
      <c r="I153" s="17">
        <f>F153*H153/IF(C153="molde",MAX(1,'Mi negocio'!$C$34),1)</f>
        <v/>
      </c>
    </row>
    <row r="154">
      <c r="A154" t="n">
        <v>13</v>
      </c>
      <c r="B154" s="21" t="inlineStr">
        <is>
          <t>Cubo Ácido de Maracuyá y Granada en Pectina Lenta (Sour Passion Fruit &amp; Pomegranate HM Jelly)</t>
        </is>
      </c>
      <c r="C154" t="inlineStr">
        <is>
          <t>azucar</t>
        </is>
      </c>
      <c r="D154" s="22" t="inlineStr">
        <is>
          <t>15 g Jarabe de sorbitol al 70%</t>
        </is>
      </c>
      <c r="E154" s="6" t="inlineStr">
        <is>
          <t>Sorbitol líquido al 70%</t>
        </is>
      </c>
      <c r="F154" s="16" t="n">
        <v>15</v>
      </c>
      <c r="G154" t="inlineStr">
        <is>
          <t>g</t>
        </is>
      </c>
      <c r="H154" s="12">
        <f>IFERROR(VLOOKUP(E154,Insumos!$C$5:$G$100,5,FALSE),0)</f>
        <v/>
      </c>
      <c r="I154" s="17">
        <f>F154*H154/IF(C154="molde",MAX(1,'Mi negocio'!$C$34),1)</f>
        <v/>
      </c>
    </row>
    <row r="155">
      <c r="A155" t="n">
        <v>13</v>
      </c>
      <c r="B155" s="21" t="inlineStr">
        <is>
          <t>Cubo Ácido de Maracuyá y Granada en Pectina Lenta (Sour Passion Fruit &amp; Pomegranate HM Jelly)</t>
        </is>
      </c>
      <c r="C155" t="inlineStr">
        <is>
          <t>sabor</t>
        </is>
      </c>
      <c r="D155" s="22" t="inlineStr">
        <is>
          <t>5 ml Solución de ácido málico al 50% p/v</t>
        </is>
      </c>
      <c r="E155" s="6" t="inlineStr">
        <is>
          <t>Ácido málico micronizado</t>
        </is>
      </c>
      <c r="F155" s="16" t="n">
        <v>5</v>
      </c>
      <c r="G155" t="inlineStr">
        <is>
          <t>g</t>
        </is>
      </c>
      <c r="H155" s="12">
        <f>IFERROR(VLOOKUP(E155,Insumos!$C$5:$G$100,5,FALSE),0)</f>
        <v/>
      </c>
      <c r="I155" s="17">
        <f>F155*H155/IF(C155="molde",MAX(1,'Mi negocio'!$C$34),1)</f>
        <v/>
      </c>
    </row>
    <row r="156">
      <c r="A156" t="n">
        <v>13</v>
      </c>
      <c r="B156" s="21" t="inlineStr">
        <is>
          <t>Cubo Ácido de Maracuyá y Granada en Pectina Lenta (Sour Passion Fruit &amp; Pomegranate HM Jelly)</t>
        </is>
      </c>
      <c r="C156" t="inlineStr">
        <is>
          <t>sabor</t>
        </is>
      </c>
      <c r="D156" s="22" t="inlineStr">
        <is>
          <t>5 ml Solución de ácido cítrico al 50% p/v</t>
        </is>
      </c>
      <c r="E156" s="6" t="inlineStr">
        <is>
          <t>Solución de ácido cítrico al 50% p/v (elaborada)</t>
        </is>
      </c>
      <c r="F156" s="16" t="n">
        <v>5</v>
      </c>
      <c r="G156" t="inlineStr">
        <is>
          <t>ml</t>
        </is>
      </c>
      <c r="H156" s="12">
        <f>IFERROR(VLOOKUP(E156,Insumos!$C$5:$G$100,5,FALSE),0)</f>
        <v/>
      </c>
      <c r="I156" s="17">
        <f>F156*H156/IF(C156="molde",MAX(1,'Mi negocio'!$C$34),1)</f>
        <v/>
      </c>
    </row>
    <row r="157">
      <c r="A157" t="n">
        <v>13</v>
      </c>
      <c r="B157" s="21" t="inlineStr">
        <is>
          <t>Cubo Ácido de Maracuyá y Granada en Pectina Lenta (Sour Passion Fruit &amp; Pomegranate HM Jelly)</t>
        </is>
      </c>
      <c r="C157" t="inlineStr">
        <is>
          <t>sabor</t>
        </is>
      </c>
      <c r="D157" s="22" t="inlineStr">
        <is>
          <t>1.5 ml Aroma natural de maracuyá</t>
        </is>
      </c>
      <c r="E157" s="6" t="inlineStr">
        <is>
          <t>Aroma natural hidrosoluble concentrado</t>
        </is>
      </c>
      <c r="F157" s="16" t="n">
        <v>1.5</v>
      </c>
      <c r="G157" t="inlineStr">
        <is>
          <t>ml</t>
        </is>
      </c>
      <c r="H157" s="12">
        <f>IFERROR(VLOOKUP(E157,Insumos!$C$5:$G$100,5,FALSE),0)</f>
        <v/>
      </c>
      <c r="I157" s="17">
        <f>F157*H157/IF(C157="molde",MAX(1,'Mi negocio'!$C$34),1)</f>
        <v/>
      </c>
    </row>
    <row r="158">
      <c r="A158" t="n">
        <v>13</v>
      </c>
      <c r="B158" s="21" t="inlineStr">
        <is>
          <t>Cubo Ácido de Maracuyá y Granada en Pectina Lenta (Sour Passion Fruit &amp; Pomegranate HM Jelly)</t>
        </is>
      </c>
      <c r="C158" t="inlineStr">
        <is>
          <t>sabor</t>
        </is>
      </c>
      <c r="D158" s="22" t="inlineStr">
        <is>
          <t>0.2 g Colorante rojo carmín + 0.1 g amarillo curcumina (tono coral encendido)</t>
        </is>
      </c>
      <c r="E158" s="6" t="inlineStr">
        <is>
          <t>Colorante rojo carmín o allura hidrosoluble</t>
        </is>
      </c>
      <c r="F158" s="16" t="n">
        <v>0.2</v>
      </c>
      <c r="G158" t="inlineStr">
        <is>
          <t>g</t>
        </is>
      </c>
      <c r="H158" s="12">
        <f>IFERROR(VLOOKUP(E158,Insumos!$C$5:$G$100,5,FALSE),0)</f>
        <v/>
      </c>
      <c r="I158" s="17">
        <f>F158*H158/IF(C158="molde",MAX(1,'Mi negocio'!$C$34),1)</f>
        <v/>
      </c>
    </row>
    <row r="159">
      <c r="A159" t="n">
        <v>13</v>
      </c>
      <c r="B159" s="21" t="inlineStr">
        <is>
          <t>Cubo Ácido de Maracuyá y Granada en Pectina Lenta (Sour Passion Fruit &amp; Pomegranate HM Jelly)</t>
        </is>
      </c>
      <c r="C159" t="inlineStr">
        <is>
          <t>acabado</t>
        </is>
      </c>
      <c r="D159" s="22" t="inlineStr">
        <is>
          <t>110 g Azúcar cristal de grano grueso (500-700 mum)</t>
        </is>
      </c>
      <c r="E159" s="6" t="inlineStr">
        <is>
          <t>Azúcar cristal de grano medio a grueso (rebozado)</t>
        </is>
      </c>
      <c r="F159" s="16" t="n">
        <v>110</v>
      </c>
      <c r="G159" t="inlineStr">
        <is>
          <t>g</t>
        </is>
      </c>
      <c r="H159" s="12">
        <f>IFERROR(VLOOKUP(E159,Insumos!$C$5:$G$100,5,FALSE),0)</f>
        <v/>
      </c>
      <c r="I159" s="17">
        <f>F159*H159/IF(C159="molde",MAX(1,'Mi negocio'!$C$34),1)</f>
        <v/>
      </c>
    </row>
    <row r="160">
      <c r="A160" t="n">
        <v>13</v>
      </c>
      <c r="B160" s="21" t="inlineStr">
        <is>
          <t>Cubo Ácido de Maracuyá y Granada en Pectina Lenta (Sour Passion Fruit &amp; Pomegranate HM Jelly)</t>
        </is>
      </c>
      <c r="C160" t="inlineStr">
        <is>
          <t>sabor</t>
        </is>
      </c>
      <c r="D160" s="22" t="inlineStr">
        <is>
          <t>18 g Ácido málico micro-encapsulado</t>
        </is>
      </c>
      <c r="E160" s="6" t="inlineStr">
        <is>
          <t>Ácido cítrico o málico micro-encapsulado</t>
        </is>
      </c>
      <c r="F160" s="16" t="n">
        <v>18</v>
      </c>
      <c r="G160" t="inlineStr">
        <is>
          <t>g</t>
        </is>
      </c>
      <c r="H160" s="12">
        <f>IFERROR(VLOOKUP(E160,Insumos!$C$5:$G$100,5,FALSE),0)</f>
        <v/>
      </c>
      <c r="I160" s="17">
        <f>F160*H160/IF(C160="molde",MAX(1,'Mi negocio'!$C$34),1)</f>
        <v/>
      </c>
    </row>
    <row r="161">
      <c r="A161" t="n">
        <v>13</v>
      </c>
      <c r="B161" s="21" t="inlineStr">
        <is>
          <t>Cubo Ácido de Maracuyá y Granada en Pectina Lenta (Sour Passion Fruit &amp; Pomegranate HM Jelly)</t>
        </is>
      </c>
      <c r="C161" t="inlineStr">
        <is>
          <t>sabor</t>
        </is>
      </c>
      <c r="D161" s="22" t="inlineStr">
        <is>
          <t>6 g Ácido cítrico anhidro fino</t>
        </is>
      </c>
      <c r="E161" s="6" t="inlineStr">
        <is>
          <t>Ácido cítrico anhidro fino</t>
        </is>
      </c>
      <c r="F161" s="16" t="n">
        <v>6</v>
      </c>
      <c r="G161" t="inlineStr">
        <is>
          <t>g</t>
        </is>
      </c>
      <c r="H161" s="12">
        <f>IFERROR(VLOOKUP(E161,Insumos!$C$5:$G$100,5,FALSE),0)</f>
        <v/>
      </c>
      <c r="I161" s="17">
        <f>F161*H161/IF(C161="molde",MAX(1,'Mi negocio'!$C$34),1)</f>
        <v/>
      </c>
    </row>
    <row r="162">
      <c r="A162" t="n">
        <v>14</v>
      </c>
      <c r="B162" s="21" t="inlineStr">
        <is>
          <t>Lágrima de Toronja Rosa y Flor de Saúco con Búfer de Lactato (Buffered Ruby Grapefruit &amp; Elderflower Sour Tear)</t>
        </is>
      </c>
      <c r="C162" t="inlineStr">
        <is>
          <t>gelificante</t>
        </is>
      </c>
      <c r="D162" s="22" t="inlineStr">
        <is>
          <t>38 g Gelatina en polvo pura de 240 Bloom</t>
        </is>
      </c>
      <c r="E162" s="6" t="inlineStr">
        <is>
          <t>Gelatina en polvo de 240-260 Bloom</t>
        </is>
      </c>
      <c r="F162" s="16" t="n">
        <v>38</v>
      </c>
      <c r="G162" t="inlineStr">
        <is>
          <t>g</t>
        </is>
      </c>
      <c r="H162" s="12">
        <f>IFERROR(VLOOKUP(E162,Insumos!$C$5:$G$100,5,FALSE),0)</f>
        <v/>
      </c>
      <c r="I162" s="17">
        <f>F162*H162/IF(C162="molde",MAX(1,'Mi negocio'!$C$34),1)</f>
        <v/>
      </c>
    </row>
    <row r="163">
      <c r="A163" t="n">
        <v>14</v>
      </c>
      <c r="B163" s="21" t="inlineStr">
        <is>
          <t>Lágrima de Toronja Rosa y Flor de Saúco con Búfer de Lactato (Buffered Ruby Grapefruit &amp; Elderflower Sour Tear)</t>
        </is>
      </c>
      <c r="C163" t="inlineStr">
        <is>
          <t>gelificante</t>
        </is>
      </c>
      <c r="D163" s="22" t="inlineStr">
        <is>
          <t>7.5 g Pectina de Alto Metoxilo lenta (HM Slow-Set)</t>
        </is>
      </c>
      <c r="E163" s="6" t="inlineStr">
        <is>
          <t>Pectina de alto metoxilo lenta (HM slow-set)</t>
        </is>
      </c>
      <c r="F163" s="16" t="n">
        <v>7.5</v>
      </c>
      <c r="G163" t="inlineStr">
        <is>
          <t>g</t>
        </is>
      </c>
      <c r="H163" s="12">
        <f>IFERROR(VLOOKUP(E163,Insumos!$C$5:$G$100,5,FALSE),0)</f>
        <v/>
      </c>
      <c r="I163" s="17">
        <f>F163*H163/IF(C163="molde",MAX(1,'Mi negocio'!$C$34),1)</f>
        <v/>
      </c>
    </row>
    <row r="164">
      <c r="A164" t="n">
        <v>14</v>
      </c>
      <c r="B164" s="21" t="inlineStr">
        <is>
          <t>Lágrima de Toronja Rosa y Flor de Saúco con Búfer de Lactato (Buffered Ruby Grapefruit &amp; Elderflower Sour Tear)</t>
        </is>
      </c>
      <c r="C164" t="inlineStr">
        <is>
          <t>azucar</t>
        </is>
      </c>
      <c r="D164" s="22" t="inlineStr">
        <is>
          <t>20 g Azúcar refinada (para dispersar la pectina)</t>
        </is>
      </c>
      <c r="E164" s="6" t="inlineStr">
        <is>
          <t>Azúcar blanca refinada</t>
        </is>
      </c>
      <c r="F164" s="16" t="n">
        <v>20</v>
      </c>
      <c r="G164" t="inlineStr">
        <is>
          <t>g</t>
        </is>
      </c>
      <c r="H164" s="12">
        <f>IFERROR(VLOOKUP(E164,Insumos!$C$5:$G$100,5,FALSE),0)</f>
        <v/>
      </c>
      <c r="I164" s="17">
        <f>F164*H164/IF(C164="molde",MAX(1,'Mi negocio'!$C$34),1)</f>
        <v/>
      </c>
    </row>
    <row r="165">
      <c r="A165" t="n">
        <v>14</v>
      </c>
      <c r="B165" s="21" t="inlineStr">
        <is>
          <t>Lágrima de Toronja Rosa y Flor de Saúco con Búfer de Lactato (Buffered Ruby Grapefruit &amp; Elderflower Sour Tear)</t>
        </is>
      </c>
      <c r="C165" t="inlineStr">
        <is>
          <t>sabor</t>
        </is>
      </c>
      <c r="D165" s="22" t="inlineStr">
        <is>
          <t>90 ml Agua desmineralizada a 15 °C (para la gelatina)</t>
        </is>
      </c>
      <c r="E165" s="6" t="inlineStr">
        <is>
          <t>Agua desmineralizada o purificada</t>
        </is>
      </c>
      <c r="F165" s="16" t="n">
        <v>90</v>
      </c>
      <c r="G165" t="inlineStr">
        <is>
          <t>ml</t>
        </is>
      </c>
      <c r="H165" s="12">
        <f>IFERROR(VLOOKUP(E165,Insumos!$C$5:$G$100,5,FALSE),0)</f>
        <v/>
      </c>
      <c r="I165" s="17">
        <f>F165*H165/IF(C165="molde",MAX(1,'Mi negocio'!$C$34),1)</f>
        <v/>
      </c>
    </row>
    <row r="166">
      <c r="A166" t="n">
        <v>14</v>
      </c>
      <c r="B166" s="21" t="inlineStr">
        <is>
          <t>Lágrima de Toronja Rosa y Flor de Saúco con Búfer de Lactato (Buffered Ruby Grapefruit &amp; Elderflower Sour Tear)</t>
        </is>
      </c>
      <c r="C166" t="inlineStr">
        <is>
          <t>sabor</t>
        </is>
      </c>
      <c r="D166" s="22" t="inlineStr">
        <is>
          <t>50 ml Zumo concentrado clarificado de toronja rosa (Ruby Red, para la pectina)</t>
        </is>
      </c>
      <c r="E166" s="6" t="inlineStr">
        <is>
          <t>Zumo concentrado clarificado de cítrico</t>
        </is>
      </c>
      <c r="F166" s="16" t="n">
        <v>50</v>
      </c>
      <c r="G166" t="inlineStr">
        <is>
          <t>ml</t>
        </is>
      </c>
      <c r="H166" s="12">
        <f>IFERROR(VLOOKUP(E166,Insumos!$C$5:$G$100,5,FALSE),0)</f>
        <v/>
      </c>
      <c r="I166" s="17">
        <f>F166*H166/IF(C166="molde",MAX(1,'Mi negocio'!$C$34),1)</f>
        <v/>
      </c>
    </row>
    <row r="167">
      <c r="A167" t="n">
        <v>14</v>
      </c>
      <c r="B167" s="21" t="inlineStr">
        <is>
          <t>Lágrima de Toronja Rosa y Flor de Saúco con Búfer de Lactato (Buffered Ruby Grapefruit &amp; Elderflower Sour Tear)</t>
        </is>
      </c>
      <c r="C167" t="inlineStr">
        <is>
          <t>azucar</t>
        </is>
      </c>
      <c r="D167" s="22" t="inlineStr">
        <is>
          <t>185 g Azúcar blanca refinada pura</t>
        </is>
      </c>
      <c r="E167" s="6" t="inlineStr">
        <is>
          <t>Azúcar blanca refinada</t>
        </is>
      </c>
      <c r="F167" s="16" t="n">
        <v>185</v>
      </c>
      <c r="G167" t="inlineStr">
        <is>
          <t>g</t>
        </is>
      </c>
      <c r="H167" s="12">
        <f>IFERROR(VLOOKUP(E167,Insumos!$C$5:$G$100,5,FALSE),0)</f>
        <v/>
      </c>
      <c r="I167" s="17">
        <f>F167*H167/IF(C167="molde",MAX(1,'Mi negocio'!$C$34),1)</f>
        <v/>
      </c>
    </row>
    <row r="168">
      <c r="A168" t="n">
        <v>14</v>
      </c>
      <c r="B168" s="21" t="inlineStr">
        <is>
          <t>Lágrima de Toronja Rosa y Flor de Saúco con Búfer de Lactato (Buffered Ruby Grapefruit &amp; Elderflower Sour Tear)</t>
        </is>
      </c>
      <c r="C168" t="inlineStr">
        <is>
          <t>azucar</t>
        </is>
      </c>
      <c r="D168" s="22" t="inlineStr">
        <is>
          <t>145 g Jarabe de glucosa 42DE</t>
        </is>
      </c>
      <c r="E168" s="6" t="inlineStr">
        <is>
          <t>Jarabe de glucosa 42 DE</t>
        </is>
      </c>
      <c r="F168" s="16" t="n">
        <v>145</v>
      </c>
      <c r="G168" t="inlineStr">
        <is>
          <t>g</t>
        </is>
      </c>
      <c r="H168" s="12">
        <f>IFERROR(VLOOKUP(E168,Insumos!$C$5:$G$100,5,FALSE),0)</f>
        <v/>
      </c>
      <c r="I168" s="17">
        <f>F168*H168/IF(C168="molde",MAX(1,'Mi negocio'!$C$34),1)</f>
        <v/>
      </c>
    </row>
    <row r="169">
      <c r="A169" t="n">
        <v>14</v>
      </c>
      <c r="B169" s="21" t="inlineStr">
        <is>
          <t>Lágrima de Toronja Rosa y Flor de Saúco con Búfer de Lactato (Buffered Ruby Grapefruit &amp; Elderflower Sour Tear)</t>
        </is>
      </c>
      <c r="C169" t="inlineStr">
        <is>
          <t>azucar</t>
        </is>
      </c>
      <c r="D169" s="22" t="inlineStr">
        <is>
          <t>12 g Sorbitol líquido al 70%</t>
        </is>
      </c>
      <c r="E169" s="6" t="inlineStr">
        <is>
          <t>Sorbitol líquido al 70%</t>
        </is>
      </c>
      <c r="F169" s="16" t="n">
        <v>12</v>
      </c>
      <c r="G169" t="inlineStr">
        <is>
          <t>g</t>
        </is>
      </c>
      <c r="H169" s="12">
        <f>IFERROR(VLOOKUP(E169,Insumos!$C$5:$G$100,5,FALSE),0)</f>
        <v/>
      </c>
      <c r="I169" s="17">
        <f>F169*H169/IF(C169="molde",MAX(1,'Mi negocio'!$C$34),1)</f>
        <v/>
      </c>
    </row>
    <row r="170">
      <c r="A170" t="n">
        <v>14</v>
      </c>
      <c r="B170" s="21" t="inlineStr">
        <is>
          <t>Lágrima de Toronja Rosa y Flor de Saúco con Búfer de Lactato (Buffered Ruby Grapefruit &amp; Elderflower Sour Tear)</t>
        </is>
      </c>
      <c r="C170" t="inlineStr">
        <is>
          <t>sabor</t>
        </is>
      </c>
      <c r="D170" s="22" t="inlineStr">
        <is>
          <t>3.5 g Lactato de sodio al 60% en solución acuosa (agente tampón / buffering salt)</t>
        </is>
      </c>
      <c r="E170" s="6" t="inlineStr">
        <is>
          <t>Citrato de sodio dihidratado</t>
        </is>
      </c>
      <c r="F170" s="16" t="n">
        <v>3.5</v>
      </c>
      <c r="G170" t="inlineStr">
        <is>
          <t>g</t>
        </is>
      </c>
      <c r="H170" s="12">
        <f>IFERROR(VLOOKUP(E170,Insumos!$C$5:$G$100,5,FALSE),0)</f>
        <v/>
      </c>
      <c r="I170" s="17">
        <f>F170*H170/IF(C170="molde",MAX(1,'Mi negocio'!$C$34),1)</f>
        <v/>
      </c>
    </row>
    <row r="171">
      <c r="A171" t="n">
        <v>14</v>
      </c>
      <c r="B171" s="21" t="inlineStr">
        <is>
          <t>Lágrima de Toronja Rosa y Flor de Saúco con Búfer de Lactato (Buffered Ruby Grapefruit &amp; Elderflower Sour Tear)</t>
        </is>
      </c>
      <c r="C171" t="inlineStr">
        <is>
          <t>sabor</t>
        </is>
      </c>
      <c r="D171" s="22" t="inlineStr">
        <is>
          <t>8 ml Solución de ácido cítrico al 50% p/v</t>
        </is>
      </c>
      <c r="E171" s="6" t="inlineStr">
        <is>
          <t>Solución de ácido cítrico al 50% p/v (elaborada)</t>
        </is>
      </c>
      <c r="F171" s="16" t="n">
        <v>8</v>
      </c>
      <c r="G171" t="inlineStr">
        <is>
          <t>ml</t>
        </is>
      </c>
      <c r="H171" s="12">
        <f>IFERROR(VLOOKUP(E171,Insumos!$C$5:$G$100,5,FALSE),0)</f>
        <v/>
      </c>
      <c r="I171" s="17">
        <f>F171*H171/IF(C171="molde",MAX(1,'Mi negocio'!$C$34),1)</f>
        <v/>
      </c>
    </row>
    <row r="172">
      <c r="A172" t="n">
        <v>14</v>
      </c>
      <c r="B172" s="21" t="inlineStr">
        <is>
          <t>Lágrima de Toronja Rosa y Flor de Saúco con Búfer de Lactato (Buffered Ruby Grapefruit &amp; Elderflower Sour Tear)</t>
        </is>
      </c>
      <c r="C172" t="inlineStr">
        <is>
          <t>sabor</t>
        </is>
      </c>
      <c r="D172" s="22" t="inlineStr">
        <is>
          <t>2 ml Solución de ácido láctico al 80% (aporta una nota láctica suave que balancea los cítricos)</t>
        </is>
      </c>
      <c r="E172" s="6" t="inlineStr">
        <is>
          <t>Ácido láctico al 80%</t>
        </is>
      </c>
      <c r="F172" s="16" t="n">
        <v>2</v>
      </c>
      <c r="G172" t="inlineStr">
        <is>
          <t>ml</t>
        </is>
      </c>
      <c r="H172" s="12">
        <f>IFERROR(VLOOKUP(E172,Insumos!$C$5:$G$100,5,FALSE),0)</f>
        <v/>
      </c>
      <c r="I172" s="17">
        <f>F172*H172/IF(C172="molde",MAX(1,'Mi negocio'!$C$34),1)</f>
        <v/>
      </c>
    </row>
    <row r="173">
      <c r="A173" t="n">
        <v>14</v>
      </c>
      <c r="B173" s="21" t="inlineStr">
        <is>
          <t>Lágrima de Toronja Rosa y Flor de Saúco con Búfer de Lactato (Buffered Ruby Grapefruit &amp; Elderflower Sour Tear)</t>
        </is>
      </c>
      <c r="C173" t="inlineStr">
        <is>
          <t>sabor</t>
        </is>
      </c>
      <c r="D173" s="22" t="inlineStr">
        <is>
          <t>2.5 ml Extracto natural destilado de flor de saúco (Elderflower / Sambucus nigra)</t>
        </is>
      </c>
      <c r="E173" s="6" t="inlineStr">
        <is>
          <t>Extracto o infusión botánica concentrada</t>
        </is>
      </c>
      <c r="F173" s="16" t="n">
        <v>2.5</v>
      </c>
      <c r="G173" t="inlineStr">
        <is>
          <t>ml</t>
        </is>
      </c>
      <c r="H173" s="12">
        <f>IFERROR(VLOOKUP(E173,Insumos!$C$5:$G$100,5,FALSE),0)</f>
        <v/>
      </c>
      <c r="I173" s="17">
        <f>F173*H173/IF(C173="molde",MAX(1,'Mi negocio'!$C$34),1)</f>
        <v/>
      </c>
    </row>
    <row r="174">
      <c r="A174" t="n">
        <v>14</v>
      </c>
      <c r="B174" s="21" t="inlineStr">
        <is>
          <t>Lágrima de Toronja Rosa y Flor de Saúco con Búfer de Lactato (Buffered Ruby Grapefruit &amp; Elderflower Sour Tear)</t>
        </is>
      </c>
      <c r="C174" t="inlineStr">
        <is>
          <t>sabor</t>
        </is>
      </c>
      <c r="D174" s="22" t="inlineStr">
        <is>
          <t>1.5 ml Aceite esencial puro de toronja rosa destilado</t>
        </is>
      </c>
      <c r="E174" s="6" t="inlineStr">
        <is>
          <t>Aceite esencial puro destilado de cítrico</t>
        </is>
      </c>
      <c r="F174" s="16" t="n">
        <v>1.5</v>
      </c>
      <c r="G174" t="inlineStr">
        <is>
          <t>ml</t>
        </is>
      </c>
      <c r="H174" s="12">
        <f>IFERROR(VLOOKUP(E174,Insumos!$C$5:$G$100,5,FALSE),0)</f>
        <v/>
      </c>
      <c r="I174" s="17">
        <f>F174*H174/IF(C174="molde",MAX(1,'Mi negocio'!$C$34),1)</f>
        <v/>
      </c>
    </row>
    <row r="175">
      <c r="A175" t="n">
        <v>14</v>
      </c>
      <c r="B175" s="21" t="inlineStr">
        <is>
          <t>Lágrima de Toronja Rosa y Flor de Saúco con Búfer de Lactato (Buffered Ruby Grapefruit &amp; Elderflower Sour Tear)</t>
        </is>
      </c>
      <c r="C175" t="inlineStr">
        <is>
          <t>sabor</t>
        </is>
      </c>
      <c r="D175" s="22" t="inlineStr">
        <is>
          <t>0.2 g Colorante rojo carmín + 0.1 g amarillo curcumina (tono rosa toronja brillante)</t>
        </is>
      </c>
      <c r="E175" s="6" t="inlineStr">
        <is>
          <t>Colorante rojo carmín o allura hidrosoluble</t>
        </is>
      </c>
      <c r="F175" s="16" t="n">
        <v>0.2</v>
      </c>
      <c r="G175" t="inlineStr">
        <is>
          <t>g</t>
        </is>
      </c>
      <c r="H175" s="12">
        <f>IFERROR(VLOOKUP(E175,Insumos!$C$5:$G$100,5,FALSE),0)</f>
        <v/>
      </c>
      <c r="I175" s="17">
        <f>F175*H175/IF(C175="molde",MAX(1,'Mi negocio'!$C$34),1)</f>
        <v/>
      </c>
    </row>
    <row r="176">
      <c r="A176" t="n">
        <v>14</v>
      </c>
      <c r="B176" s="21" t="inlineStr">
        <is>
          <t>Lágrima de Toronja Rosa y Flor de Saúco con Búfer de Lactato (Buffered Ruby Grapefruit &amp; Elderflower Sour Tear)</t>
        </is>
      </c>
      <c r="C176" t="inlineStr">
        <is>
          <t>azucar</t>
        </is>
      </c>
      <c r="D176" s="22" t="inlineStr">
        <is>
          <t>90 g Azúcar refinada fina (250-400 mum)</t>
        </is>
      </c>
      <c r="E176" s="6" t="inlineStr">
        <is>
          <t>Azúcar blanca refinada</t>
        </is>
      </c>
      <c r="F176" s="16" t="n">
        <v>90</v>
      </c>
      <c r="G176" t="inlineStr">
        <is>
          <t>g</t>
        </is>
      </c>
      <c r="H176" s="12">
        <f>IFERROR(VLOOKUP(E176,Insumos!$C$5:$G$100,5,FALSE),0)</f>
        <v/>
      </c>
      <c r="I176" s="17">
        <f>F176*H176/IF(C176="molde",MAX(1,'Mi negocio'!$C$34),1)</f>
        <v/>
      </c>
    </row>
    <row r="177">
      <c r="A177" t="n">
        <v>14</v>
      </c>
      <c r="B177" s="21" t="inlineStr">
        <is>
          <t>Lágrima de Toronja Rosa y Flor de Saúco con Búfer de Lactato (Buffered Ruby Grapefruit &amp; Elderflower Sour Tear)</t>
        </is>
      </c>
      <c r="C177" t="inlineStr">
        <is>
          <t>sabor</t>
        </is>
      </c>
      <c r="D177" s="22" t="inlineStr">
        <is>
          <t>18 g Ácido málico micro-encapsulado</t>
        </is>
      </c>
      <c r="E177" s="6" t="inlineStr">
        <is>
          <t>Ácido cítrico o málico micro-encapsulado</t>
        </is>
      </c>
      <c r="F177" s="16" t="n">
        <v>18</v>
      </c>
      <c r="G177" t="inlineStr">
        <is>
          <t>g</t>
        </is>
      </c>
      <c r="H177" s="12">
        <f>IFERROR(VLOOKUP(E177,Insumos!$C$5:$G$100,5,FALSE),0)</f>
        <v/>
      </c>
      <c r="I177" s="17">
        <f>F177*H177/IF(C177="molde",MAX(1,'Mi negocio'!$C$34),1)</f>
        <v/>
      </c>
    </row>
    <row r="178">
      <c r="A178" t="n">
        <v>14</v>
      </c>
      <c r="B178" s="21" t="inlineStr">
        <is>
          <t>Lágrima de Toronja Rosa y Flor de Saúco con Búfer de Lactato (Buffered Ruby Grapefruit &amp; Elderflower Sour Tear)</t>
        </is>
      </c>
      <c r="C178" t="inlineStr">
        <is>
          <t>sabor</t>
        </is>
      </c>
      <c r="D178" s="22" t="inlineStr">
        <is>
          <t>6 g Polvo de zumo de toronja deshidratado liofilizado (tamizado fino)</t>
        </is>
      </c>
      <c r="E178" s="6" t="inlineStr">
        <is>
          <t>Zumo concentrado clarificado de cítrico</t>
        </is>
      </c>
      <c r="F178" s="16" t="n">
        <v>6</v>
      </c>
      <c r="G178" t="inlineStr">
        <is>
          <t>ml</t>
        </is>
      </c>
      <c r="H178" s="12">
        <f>IFERROR(VLOOKUP(E178,Insumos!$C$5:$G$100,5,FALSE),0)</f>
        <v/>
      </c>
      <c r="I178" s="17">
        <f>F178*H178/IF(C178="molde",MAX(1,'Mi negocio'!$C$34),1)</f>
        <v/>
      </c>
    </row>
    <row r="179">
      <c r="A179" t="n">
        <v>15</v>
      </c>
      <c r="B179" s="21" t="inlineStr">
        <is>
          <t>Botón Ácido de Fruta de la Pasión y Lima Kaffir (Kaffir Lime &amp; Passion Fruit Sour Button)</t>
        </is>
      </c>
      <c r="C179" t="inlineStr">
        <is>
          <t>gelificante</t>
        </is>
      </c>
      <c r="D179" s="22" t="inlineStr">
        <is>
          <t>45 g Gelatina en polvo de res de 250 Bloom</t>
        </is>
      </c>
      <c r="E179" s="6" t="inlineStr">
        <is>
          <t>Gelatina en polvo de 240-260 Bloom</t>
        </is>
      </c>
      <c r="F179" s="16" t="n">
        <v>45</v>
      </c>
      <c r="G179" t="inlineStr">
        <is>
          <t>g</t>
        </is>
      </c>
      <c r="H179" s="12">
        <f>IFERROR(VLOOKUP(E179,Insumos!$C$5:$G$100,5,FALSE),0)</f>
        <v/>
      </c>
      <c r="I179" s="17">
        <f>F179*H179/IF(C179="molde",MAX(1,'Mi negocio'!$C$34),1)</f>
        <v/>
      </c>
    </row>
    <row r="180">
      <c r="A180" t="n">
        <v>15</v>
      </c>
      <c r="B180" s="21" t="inlineStr">
        <is>
          <t>Botón Ácido de Fruta de la Pasión y Lima Kaffir (Kaffir Lime &amp; Passion Fruit Sour Button)</t>
        </is>
      </c>
      <c r="C180" t="inlineStr">
        <is>
          <t>sabor</t>
        </is>
      </c>
      <c r="D180" s="22" t="inlineStr">
        <is>
          <t>100 ml Agua desmineralizada a 15 °C</t>
        </is>
      </c>
      <c r="E180" s="6" t="inlineStr">
        <is>
          <t>Agua desmineralizada o purificada</t>
        </is>
      </c>
      <c r="F180" s="16" t="n">
        <v>100</v>
      </c>
      <c r="G180" t="inlineStr">
        <is>
          <t>ml</t>
        </is>
      </c>
      <c r="H180" s="12">
        <f>IFERROR(VLOOKUP(E180,Insumos!$C$5:$G$100,5,FALSE),0)</f>
        <v/>
      </c>
      <c r="I180" s="17">
        <f>F180*H180/IF(C180="molde",MAX(1,'Mi negocio'!$C$34),1)</f>
        <v/>
      </c>
    </row>
    <row r="181">
      <c r="A181" t="n">
        <v>15</v>
      </c>
      <c r="B181" s="21" t="inlineStr">
        <is>
          <t>Botón Ácido de Fruta de la Pasión y Lima Kaffir (Kaffir Lime &amp; Passion Fruit Sour Button)</t>
        </is>
      </c>
      <c r="C181" t="inlineStr">
        <is>
          <t>azucar</t>
        </is>
      </c>
      <c r="D181" s="22" t="inlineStr">
        <is>
          <t>195 g Azúcar blanca refinada pura</t>
        </is>
      </c>
      <c r="E181" s="6" t="inlineStr">
        <is>
          <t>Azúcar blanca refinada</t>
        </is>
      </c>
      <c r="F181" s="16" t="n">
        <v>195</v>
      </c>
      <c r="G181" t="inlineStr">
        <is>
          <t>g</t>
        </is>
      </c>
      <c r="H181" s="12">
        <f>IFERROR(VLOOKUP(E181,Insumos!$C$5:$G$100,5,FALSE),0)</f>
        <v/>
      </c>
      <c r="I181" s="17">
        <f>F181*H181/IF(C181="molde",MAX(1,'Mi negocio'!$C$34),1)</f>
        <v/>
      </c>
    </row>
    <row r="182">
      <c r="A182" t="n">
        <v>15</v>
      </c>
      <c r="B182" s="21" t="inlineStr">
        <is>
          <t>Botón Ácido de Fruta de la Pasión y Lima Kaffir (Kaffir Lime &amp; Passion Fruit Sour Button)</t>
        </is>
      </c>
      <c r="C182" t="inlineStr">
        <is>
          <t>azucar</t>
        </is>
      </c>
      <c r="D182" s="22" t="inlineStr">
        <is>
          <t>155 g Jarabe de glucosa 42DE</t>
        </is>
      </c>
      <c r="E182" s="6" t="inlineStr">
        <is>
          <t>Jarabe de glucosa 42 DE</t>
        </is>
      </c>
      <c r="F182" s="16" t="n">
        <v>155</v>
      </c>
      <c r="G182" t="inlineStr">
        <is>
          <t>g</t>
        </is>
      </c>
      <c r="H182" s="12">
        <f>IFERROR(VLOOKUP(E182,Insumos!$C$5:$G$100,5,FALSE),0)</f>
        <v/>
      </c>
      <c r="I182" s="17">
        <f>F182*H182/IF(C182="molde",MAX(1,'Mi negocio'!$C$34),1)</f>
        <v/>
      </c>
    </row>
    <row r="183">
      <c r="A183" t="n">
        <v>15</v>
      </c>
      <c r="B183" s="21" t="inlineStr">
        <is>
          <t>Botón Ácido de Fruta de la Pasión y Lima Kaffir (Kaffir Lime &amp; Passion Fruit Sour Button)</t>
        </is>
      </c>
      <c r="C183" t="inlineStr">
        <is>
          <t>sabor</t>
        </is>
      </c>
      <c r="D183" s="22" t="inlineStr">
        <is>
          <t>45 ml Jugo concentrado clarificado de maracuyá (sin semillas, pH ≈3.0)</t>
        </is>
      </c>
      <c r="E183" s="6" t="inlineStr">
        <is>
          <t>Puré concentrado de maracuyá sin semillas</t>
        </is>
      </c>
      <c r="F183" s="16" t="n">
        <v>45</v>
      </c>
      <c r="G183" t="inlineStr">
        <is>
          <t>g</t>
        </is>
      </c>
      <c r="H183" s="12">
        <f>IFERROR(VLOOKUP(E183,Insumos!$C$5:$G$100,5,FALSE),0)</f>
        <v/>
      </c>
      <c r="I183" s="17">
        <f>F183*H183/IF(C183="molde",MAX(1,'Mi negocio'!$C$34),1)</f>
        <v/>
      </c>
    </row>
    <row r="184">
      <c r="A184" t="n">
        <v>15</v>
      </c>
      <c r="B184" s="21" t="inlineStr">
        <is>
          <t>Botón Ácido de Fruta de la Pasión y Lima Kaffir (Kaffir Lime &amp; Passion Fruit Sour Button)</t>
        </is>
      </c>
      <c r="C184" t="inlineStr">
        <is>
          <t>azucar</t>
        </is>
      </c>
      <c r="D184" s="22" t="inlineStr">
        <is>
          <t>15 g Sorbitol líquido al 70%</t>
        </is>
      </c>
      <c r="E184" s="6" t="inlineStr">
        <is>
          <t>Sorbitol líquido al 70%</t>
        </is>
      </c>
      <c r="F184" s="16" t="n">
        <v>15</v>
      </c>
      <c r="G184" t="inlineStr">
        <is>
          <t>g</t>
        </is>
      </c>
      <c r="H184" s="12">
        <f>IFERROR(VLOOKUP(E184,Insumos!$C$5:$G$100,5,FALSE),0)</f>
        <v/>
      </c>
      <c r="I184" s="17">
        <f>F184*H184/IF(C184="molde",MAX(1,'Mi negocio'!$C$34),1)</f>
        <v/>
      </c>
    </row>
    <row r="185">
      <c r="A185" t="n">
        <v>15</v>
      </c>
      <c r="B185" s="21" t="inlineStr">
        <is>
          <t>Botón Ácido de Fruta de la Pasión y Lima Kaffir (Kaffir Lime &amp; Passion Fruit Sour Button)</t>
        </is>
      </c>
      <c r="C185" t="inlineStr">
        <is>
          <t>sabor</t>
        </is>
      </c>
      <c r="D185" s="22" t="inlineStr">
        <is>
          <t>2.2 g Citrato de potasio monohidratado (tampón de pH)</t>
        </is>
      </c>
      <c r="E185" s="6" t="inlineStr">
        <is>
          <t>Citrato de potasio monohidratado</t>
        </is>
      </c>
      <c r="F185" s="16" t="n">
        <v>2.2</v>
      </c>
      <c r="G185" t="inlineStr">
        <is>
          <t>g</t>
        </is>
      </c>
      <c r="H185" s="12">
        <f>IFERROR(VLOOKUP(E185,Insumos!$C$5:$G$100,5,FALSE),0)</f>
        <v/>
      </c>
      <c r="I185" s="17">
        <f>F185*H185/IF(C185="molde",MAX(1,'Mi negocio'!$C$34),1)</f>
        <v/>
      </c>
    </row>
    <row r="186">
      <c r="A186" t="n">
        <v>15</v>
      </c>
      <c r="B186" s="21" t="inlineStr">
        <is>
          <t>Botón Ácido de Fruta de la Pasión y Lima Kaffir (Kaffir Lime &amp; Passion Fruit Sour Button)</t>
        </is>
      </c>
      <c r="C186" t="inlineStr">
        <is>
          <t>sabor</t>
        </is>
      </c>
      <c r="D186" s="22" t="inlineStr">
        <is>
          <t>7 ml Solución de ácido málico al 50% p/v</t>
        </is>
      </c>
      <c r="E186" s="6" t="inlineStr">
        <is>
          <t>Ácido málico micronizado</t>
        </is>
      </c>
      <c r="F186" s="16" t="n">
        <v>7</v>
      </c>
      <c r="G186" t="inlineStr">
        <is>
          <t>g</t>
        </is>
      </c>
      <c r="H186" s="12">
        <f>IFERROR(VLOOKUP(E186,Insumos!$C$5:$G$100,5,FALSE),0)</f>
        <v/>
      </c>
      <c r="I186" s="17">
        <f>F186*H186/IF(C186="molde",MAX(1,'Mi negocio'!$C$34),1)</f>
        <v/>
      </c>
    </row>
    <row r="187">
      <c r="A187" t="n">
        <v>15</v>
      </c>
      <c r="B187" s="21" t="inlineStr">
        <is>
          <t>Botón Ácido de Fruta de la Pasión y Lima Kaffir (Kaffir Lime &amp; Passion Fruit Sour Button)</t>
        </is>
      </c>
      <c r="C187" t="inlineStr">
        <is>
          <t>sabor</t>
        </is>
      </c>
      <c r="D187" s="22" t="inlineStr">
        <is>
          <t>4 ml Solución de ácido cítrico al 50% p/v</t>
        </is>
      </c>
      <c r="E187" s="6" t="inlineStr">
        <is>
          <t>Solución de ácido cítrico al 50% p/v (elaborada)</t>
        </is>
      </c>
      <c r="F187" s="16" t="n">
        <v>4</v>
      </c>
      <c r="G187" t="inlineStr">
        <is>
          <t>ml</t>
        </is>
      </c>
      <c r="H187" s="12">
        <f>IFERROR(VLOOKUP(E187,Insumos!$C$5:$G$100,5,FALSE),0)</f>
        <v/>
      </c>
      <c r="I187" s="17">
        <f>F187*H187/IF(C187="molde",MAX(1,'Mi negocio'!$C$34),1)</f>
        <v/>
      </c>
    </row>
    <row r="188">
      <c r="A188" t="n">
        <v>15</v>
      </c>
      <c r="B188" s="21" t="inlineStr">
        <is>
          <t>Botón Ácido de Fruta de la Pasión y Lima Kaffir (Kaffir Lime &amp; Passion Fruit Sour Button)</t>
        </is>
      </c>
      <c r="C188" t="inlineStr">
        <is>
          <t>sabor</t>
        </is>
      </c>
      <c r="D188" s="22" t="inlineStr">
        <is>
          <t>1.8 ml Aceite esencial puro destilado de hojas de lima Kaffir (Citrus hystrix, grado alimenticio)</t>
        </is>
      </c>
      <c r="E188" s="6" t="inlineStr">
        <is>
          <t>Aceite esencial puro destilado de cítrico</t>
        </is>
      </c>
      <c r="F188" s="16" t="n">
        <v>1.8</v>
      </c>
      <c r="G188" t="inlineStr">
        <is>
          <t>ml</t>
        </is>
      </c>
      <c r="H188" s="12">
        <f>IFERROR(VLOOKUP(E188,Insumos!$C$5:$G$100,5,FALSE),0)</f>
        <v/>
      </c>
      <c r="I188" s="17">
        <f>F188*H188/IF(C188="molde",MAX(1,'Mi negocio'!$C$34),1)</f>
        <v/>
      </c>
    </row>
    <row r="189">
      <c r="A189" t="n">
        <v>15</v>
      </c>
      <c r="B189" s="21" t="inlineStr">
        <is>
          <t>Botón Ácido de Fruta de la Pasión y Lima Kaffir (Kaffir Lime &amp; Passion Fruit Sour Button)</t>
        </is>
      </c>
      <c r="C189" t="inlineStr">
        <is>
          <t>sabor</t>
        </is>
      </c>
      <c r="D189" s="22" t="inlineStr">
        <is>
          <t>1.5 ml Aroma natural concentrado de maracuyá</t>
        </is>
      </c>
      <c r="E189" s="6" t="inlineStr">
        <is>
          <t>Aroma natural hidrosoluble concentrado</t>
        </is>
      </c>
      <c r="F189" s="16" t="n">
        <v>1.5</v>
      </c>
      <c r="G189" t="inlineStr">
        <is>
          <t>ml</t>
        </is>
      </c>
      <c r="H189" s="12">
        <f>IFERROR(VLOOKUP(E189,Insumos!$C$5:$G$100,5,FALSE),0)</f>
        <v/>
      </c>
      <c r="I189" s="17">
        <f>F189*H189/IF(C189="molde",MAX(1,'Mi negocio'!$C$34),1)</f>
        <v/>
      </c>
    </row>
    <row r="190">
      <c r="A190" t="n">
        <v>15</v>
      </c>
      <c r="B190" s="21" t="inlineStr">
        <is>
          <t>Botón Ácido de Fruta de la Pasión y Lima Kaffir (Kaffir Lime &amp; Passion Fruit Sour Button)</t>
        </is>
      </c>
      <c r="C190" t="inlineStr">
        <is>
          <t>sabor</t>
        </is>
      </c>
      <c r="D190" s="22" t="inlineStr">
        <is>
          <t>0.25 g Colorante amarillo curcumina + traza de clorofila (verde lima tropical traslúcido)</t>
        </is>
      </c>
      <c r="E190" s="6" t="inlineStr">
        <is>
          <t>Colorante amarillo curcumina hidrosoluble</t>
        </is>
      </c>
      <c r="F190" s="16" t="n">
        <v>0.25</v>
      </c>
      <c r="G190" t="inlineStr">
        <is>
          <t>g</t>
        </is>
      </c>
      <c r="H190" s="12">
        <f>IFERROR(VLOOKUP(E190,Insumos!$C$5:$G$100,5,FALSE),0)</f>
        <v/>
      </c>
      <c r="I190" s="17">
        <f>F190*H190/IF(C190="molde",MAX(1,'Mi negocio'!$C$34),1)</f>
        <v/>
      </c>
    </row>
    <row r="191">
      <c r="A191" t="n">
        <v>15</v>
      </c>
      <c r="B191" s="21" t="inlineStr">
        <is>
          <t>Botón Ácido de Fruta de la Pasión y Lima Kaffir (Kaffir Lime &amp; Passion Fruit Sour Button)</t>
        </is>
      </c>
      <c r="C191" t="inlineStr">
        <is>
          <t>acabado</t>
        </is>
      </c>
      <c r="D191" s="22" t="inlineStr">
        <is>
          <t>85 g Azúcar refinada de grano medio (300-450 mum)</t>
        </is>
      </c>
      <c r="E191" s="6" t="inlineStr">
        <is>
          <t>Azúcar cristal de grano medio a grueso (rebozado)</t>
        </is>
      </c>
      <c r="F191" s="16" t="n">
        <v>85</v>
      </c>
      <c r="G191" t="inlineStr">
        <is>
          <t>g</t>
        </is>
      </c>
      <c r="H191" s="12">
        <f>IFERROR(VLOOKUP(E191,Insumos!$C$5:$G$100,5,FALSE),0)</f>
        <v/>
      </c>
      <c r="I191" s="17">
        <f>F191*H191/IF(C191="molde",MAX(1,'Mi negocio'!$C$34),1)</f>
        <v/>
      </c>
    </row>
    <row r="192">
      <c r="A192" t="n">
        <v>15</v>
      </c>
      <c r="B192" s="21" t="inlineStr">
        <is>
          <t>Botón Ácido de Fruta de la Pasión y Lima Kaffir (Kaffir Lime &amp; Passion Fruit Sour Button)</t>
        </is>
      </c>
      <c r="C192" t="inlineStr">
        <is>
          <t>azucar</t>
        </is>
      </c>
      <c r="D192" s="22" t="inlineStr">
        <is>
          <t>15 g Fructosa pura cristalina (potenciador inicial de dulzor frutal de rápida disolución)</t>
        </is>
      </c>
      <c r="E192" s="6" t="inlineStr">
        <is>
          <t>Fructosa pura cristalina</t>
        </is>
      </c>
      <c r="F192" s="16" t="n">
        <v>15</v>
      </c>
      <c r="G192" t="inlineStr">
        <is>
          <t>g</t>
        </is>
      </c>
      <c r="H192" s="12">
        <f>IFERROR(VLOOKUP(E192,Insumos!$C$5:$G$100,5,FALSE),0)</f>
        <v/>
      </c>
      <c r="I192" s="17">
        <f>F192*H192/IF(C192="molde",MAX(1,'Mi negocio'!$C$34),1)</f>
        <v/>
      </c>
    </row>
    <row r="193">
      <c r="A193" t="n">
        <v>15</v>
      </c>
      <c r="B193" s="21" t="inlineStr">
        <is>
          <t>Botón Ácido de Fruta de la Pasión y Lima Kaffir (Kaffir Lime &amp; Passion Fruit Sour Button)</t>
        </is>
      </c>
      <c r="C193" t="inlineStr">
        <is>
          <t>sabor</t>
        </is>
      </c>
      <c r="D193" s="22" t="inlineStr">
        <is>
          <t>18 g Ácido málico micro-encapsulado</t>
        </is>
      </c>
      <c r="E193" s="6" t="inlineStr">
        <is>
          <t>Ácido cítrico o málico micro-encapsulado</t>
        </is>
      </c>
      <c r="F193" s="16" t="n">
        <v>18</v>
      </c>
      <c r="G193" t="inlineStr">
        <is>
          <t>g</t>
        </is>
      </c>
      <c r="H193" s="12">
        <f>IFERROR(VLOOKUP(E193,Insumos!$C$5:$G$100,5,FALSE),0)</f>
        <v/>
      </c>
      <c r="I193" s="17">
        <f>F193*H193/IF(C193="molde",MAX(1,'Mi negocio'!$C$34),1)</f>
        <v/>
      </c>
    </row>
    <row r="194">
      <c r="A194" t="n">
        <v>15</v>
      </c>
      <c r="B194" s="21" t="inlineStr">
        <is>
          <t>Botón Ácido de Fruta de la Pasión y Lima Kaffir (Kaffir Lime &amp; Passion Fruit Sour Button)</t>
        </is>
      </c>
      <c r="C194" t="inlineStr">
        <is>
          <t>sabor</t>
        </is>
      </c>
      <c r="D194" s="22" t="inlineStr">
        <is>
          <t>6 g Ácido cítrico anhidro fino</t>
        </is>
      </c>
      <c r="E194" s="6" t="inlineStr">
        <is>
          <t>Ácido cítrico anhidro fino</t>
        </is>
      </c>
      <c r="F194" s="16" t="n">
        <v>6</v>
      </c>
      <c r="G194" t="inlineStr">
        <is>
          <t>g</t>
        </is>
      </c>
      <c r="H194" s="12">
        <f>IFERROR(VLOOKUP(E194,Insumos!$C$5:$G$100,5,FALSE),0)</f>
        <v/>
      </c>
      <c r="I194" s="17">
        <f>F194*H194/IF(C194="molde",MAX(1,'Mi negocio'!$C$34),1)</f>
        <v/>
      </c>
    </row>
    <row r="195">
      <c r="A195" t="n">
        <v>16</v>
      </c>
      <c r="B195" s="21" t="inlineStr">
        <is>
          <t>Botella Efervescente de Cola Ácida (Fizzy Sour Cola Bottle)</t>
        </is>
      </c>
      <c r="C195" t="inlineStr">
        <is>
          <t>gelificante</t>
        </is>
      </c>
      <c r="D195" s="22" t="inlineStr">
        <is>
          <t>44 g Gelatina en polvo de 250 Bloom</t>
        </is>
      </c>
      <c r="E195" s="6" t="inlineStr">
        <is>
          <t>Gelatina en polvo de 240-260 Bloom</t>
        </is>
      </c>
      <c r="F195" s="16" t="n">
        <v>44</v>
      </c>
      <c r="G195" t="inlineStr">
        <is>
          <t>g</t>
        </is>
      </c>
      <c r="H195" s="12">
        <f>IFERROR(VLOOKUP(E195,Insumos!$C$5:$G$100,5,FALSE),0)</f>
        <v/>
      </c>
      <c r="I195" s="17">
        <f>F195*H195/IF(C195="molde",MAX(1,'Mi negocio'!$C$34),1)</f>
        <v/>
      </c>
    </row>
    <row r="196">
      <c r="A196" t="n">
        <v>16</v>
      </c>
      <c r="B196" s="21" t="inlineStr">
        <is>
          <t>Botella Efervescente de Cola Ácida (Fizzy Sour Cola Bottle)</t>
        </is>
      </c>
      <c r="C196" t="inlineStr">
        <is>
          <t>sabor</t>
        </is>
      </c>
      <c r="D196" s="22" t="inlineStr">
        <is>
          <t>95 ml Agua desmineralizada a 15 °C</t>
        </is>
      </c>
      <c r="E196" s="6" t="inlineStr">
        <is>
          <t>Agua desmineralizada o purificada</t>
        </is>
      </c>
      <c r="F196" s="16" t="n">
        <v>95</v>
      </c>
      <c r="G196" t="inlineStr">
        <is>
          <t>ml</t>
        </is>
      </c>
      <c r="H196" s="12">
        <f>IFERROR(VLOOKUP(E196,Insumos!$C$5:$G$100,5,FALSE),0)</f>
        <v/>
      </c>
      <c r="I196" s="17">
        <f>F196*H196/IF(C196="molde",MAX(1,'Mi negocio'!$C$34),1)</f>
        <v/>
      </c>
    </row>
    <row r="197">
      <c r="A197" t="n">
        <v>16</v>
      </c>
      <c r="B197" s="21" t="inlineStr">
        <is>
          <t>Botella Efervescente de Cola Ácida (Fizzy Sour Cola Bottle)</t>
        </is>
      </c>
      <c r="C197" t="inlineStr">
        <is>
          <t>azucar</t>
        </is>
      </c>
      <c r="D197" s="22" t="inlineStr">
        <is>
          <t>195 g Azúcar blanca refinada de alta pureza</t>
        </is>
      </c>
      <c r="E197" s="6" t="inlineStr">
        <is>
          <t>Azúcar blanca refinada</t>
        </is>
      </c>
      <c r="F197" s="16" t="n">
        <v>195</v>
      </c>
      <c r="G197" t="inlineStr">
        <is>
          <t>g</t>
        </is>
      </c>
      <c r="H197" s="12">
        <f>IFERROR(VLOOKUP(E197,Insumos!$C$5:$G$100,5,FALSE),0)</f>
        <v/>
      </c>
      <c r="I197" s="17">
        <f>F197*H197/IF(C197="molde",MAX(1,'Mi negocio'!$C$34),1)</f>
        <v/>
      </c>
    </row>
    <row r="198">
      <c r="A198" t="n">
        <v>16</v>
      </c>
      <c r="B198" s="21" t="inlineStr">
        <is>
          <t>Botella Efervescente de Cola Ácida (Fizzy Sour Cola Bottle)</t>
        </is>
      </c>
      <c r="C198" t="inlineStr">
        <is>
          <t>azucar</t>
        </is>
      </c>
      <c r="D198" s="22" t="inlineStr">
        <is>
          <t>155 g Jarabe de glucosa estándar de maíz 42DE</t>
        </is>
      </c>
      <c r="E198" s="6" t="inlineStr">
        <is>
          <t>Jarabe de glucosa 42 DE</t>
        </is>
      </c>
      <c r="F198" s="16" t="n">
        <v>155</v>
      </c>
      <c r="G198" t="inlineStr">
        <is>
          <t>g</t>
        </is>
      </c>
      <c r="H198" s="12">
        <f>IFERROR(VLOOKUP(E198,Insumos!$C$5:$G$100,5,FALSE),0)</f>
        <v/>
      </c>
      <c r="I198" s="17">
        <f>F198*H198/IF(C198="molde",MAX(1,'Mi negocio'!$C$34),1)</f>
        <v/>
      </c>
    </row>
    <row r="199">
      <c r="A199" t="n">
        <v>16</v>
      </c>
      <c r="B199" s="21" t="inlineStr">
        <is>
          <t>Botella Efervescente de Cola Ácida (Fizzy Sour Cola Bottle)</t>
        </is>
      </c>
      <c r="C199" t="inlineStr">
        <is>
          <t>sabor</t>
        </is>
      </c>
      <c r="D199" s="22" t="inlineStr">
        <is>
          <t>50 ml Agua purificada limpia</t>
        </is>
      </c>
      <c r="E199" s="6" t="inlineStr">
        <is>
          <t>Agua desmineralizada o purificada</t>
        </is>
      </c>
      <c r="F199" s="16" t="n">
        <v>50</v>
      </c>
      <c r="G199" t="inlineStr">
        <is>
          <t>ml</t>
        </is>
      </c>
      <c r="H199" s="12">
        <f>IFERROR(VLOOKUP(E199,Insumos!$C$5:$G$100,5,FALSE),0)</f>
        <v/>
      </c>
      <c r="I199" s="17">
        <f>F199*H199/IF(C199="molde",MAX(1,'Mi negocio'!$C$34),1)</f>
        <v/>
      </c>
    </row>
    <row r="200">
      <c r="A200" t="n">
        <v>16</v>
      </c>
      <c r="B200" s="21" t="inlineStr">
        <is>
          <t>Botella Efervescente de Cola Ácida (Fizzy Sour Cola Bottle)</t>
        </is>
      </c>
      <c r="C200" t="inlineStr">
        <is>
          <t>azucar</t>
        </is>
      </c>
      <c r="D200" s="22" t="inlineStr">
        <is>
          <t>12 g Sorbitol líquido al 70%</t>
        </is>
      </c>
      <c r="E200" s="6" t="inlineStr">
        <is>
          <t>Sorbitol líquido al 70%</t>
        </is>
      </c>
      <c r="F200" s="16" t="n">
        <v>12</v>
      </c>
      <c r="G200" t="inlineStr">
        <is>
          <t>g</t>
        </is>
      </c>
      <c r="H200" s="12">
        <f>IFERROR(VLOOKUP(E200,Insumos!$C$5:$G$100,5,FALSE),0)</f>
        <v/>
      </c>
      <c r="I200" s="17">
        <f>F200*H200/IF(C200="molde",MAX(1,'Mi negocio'!$C$34),1)</f>
        <v/>
      </c>
    </row>
    <row r="201">
      <c r="A201" t="n">
        <v>16</v>
      </c>
      <c r="B201" s="21" t="inlineStr">
        <is>
          <t>Botella Efervescente de Cola Ácida (Fizzy Sour Cola Bottle)</t>
        </is>
      </c>
      <c r="C201" t="inlineStr">
        <is>
          <t>sabor</t>
        </is>
      </c>
      <c r="D201" s="22" t="inlineStr">
        <is>
          <t>2 g Citrato de sodio dihidratado (amortiguador de pH)</t>
        </is>
      </c>
      <c r="E201" s="6" t="inlineStr">
        <is>
          <t>Citrato de sodio dihidratado</t>
        </is>
      </c>
      <c r="F201" s="16" t="n">
        <v>2</v>
      </c>
      <c r="G201" t="inlineStr">
        <is>
          <t>g</t>
        </is>
      </c>
      <c r="H201" s="12">
        <f>IFERROR(VLOOKUP(E201,Insumos!$C$5:$G$100,5,FALSE),0)</f>
        <v/>
      </c>
      <c r="I201" s="17">
        <f>F201*H201/IF(C201="molde",MAX(1,'Mi negocio'!$C$34),1)</f>
        <v/>
      </c>
    </row>
    <row r="202">
      <c r="A202" t="n">
        <v>16</v>
      </c>
      <c r="B202" s="21" t="inlineStr">
        <is>
          <t>Botella Efervescente de Cola Ácida (Fizzy Sour Cola Bottle)</t>
        </is>
      </c>
      <c r="C202" t="inlineStr">
        <is>
          <t>sabor</t>
        </is>
      </c>
      <c r="D202" s="22" t="inlineStr">
        <is>
          <t>8 ml Solución de ácido fosfórico al 20% p/v mezclado con ácido cítrico al 30% (perfil aromático cola tradicional)</t>
        </is>
      </c>
      <c r="E202" s="6" t="inlineStr">
        <is>
          <t>Ácido fosfórico grado alimenticio al 85%</t>
        </is>
      </c>
      <c r="F202" s="16" t="n">
        <v>8</v>
      </c>
      <c r="G202" t="inlineStr">
        <is>
          <t>ml</t>
        </is>
      </c>
      <c r="H202" s="12">
        <f>IFERROR(VLOOKUP(E202,Insumos!$C$5:$G$100,5,FALSE),0)</f>
        <v/>
      </c>
      <c r="I202" s="17">
        <f>F202*H202/IF(C202="molde",MAX(1,'Mi negocio'!$C$34),1)</f>
        <v/>
      </c>
    </row>
    <row r="203">
      <c r="A203" t="n">
        <v>16</v>
      </c>
      <c r="B203" s="21" t="inlineStr">
        <is>
          <t>Botella Efervescente de Cola Ácida (Fizzy Sour Cola Bottle)</t>
        </is>
      </c>
      <c r="C203" t="inlineStr">
        <is>
          <t>sabor</t>
        </is>
      </c>
      <c r="D203" s="22" t="inlineStr">
        <is>
          <t>2.5 ml Aroma natural concentrado de nuez de cola, lima y canela</t>
        </is>
      </c>
      <c r="E203" s="6" t="inlineStr">
        <is>
          <t>Aroma natural hidrosoluble concentrado</t>
        </is>
      </c>
      <c r="F203" s="16" t="n">
        <v>2.5</v>
      </c>
      <c r="G203" t="inlineStr">
        <is>
          <t>ml</t>
        </is>
      </c>
      <c r="H203" s="12">
        <f>IFERROR(VLOOKUP(E203,Insumos!$C$5:$G$100,5,FALSE),0)</f>
        <v/>
      </c>
      <c r="I203" s="17">
        <f>F203*H203/IF(C203="molde",MAX(1,'Mi negocio'!$C$34),1)</f>
        <v/>
      </c>
    </row>
    <row r="204">
      <c r="A204" t="n">
        <v>16</v>
      </c>
      <c r="B204" s="21" t="inlineStr">
        <is>
          <t>Botella Efervescente de Cola Ácida (Fizzy Sour Cola Bottle)</t>
        </is>
      </c>
      <c r="C204" t="inlineStr">
        <is>
          <t>sabor</t>
        </is>
      </c>
      <c r="D204" s="22" t="inlineStr">
        <is>
          <t>0.8 g Colorante caramelo clase IV resistente a medio ácido</t>
        </is>
      </c>
      <c r="E204" s="6" t="inlineStr">
        <is>
          <t>Colorante caramelo clase IV</t>
        </is>
      </c>
      <c r="F204" s="16" t="n">
        <v>0.8</v>
      </c>
      <c r="G204" t="inlineStr">
        <is>
          <t>ml</t>
        </is>
      </c>
      <c r="H204" s="12">
        <f>IFERROR(VLOOKUP(E204,Insumos!$C$5:$G$100,5,FALSE),0)</f>
        <v/>
      </c>
      <c r="I204" s="17">
        <f>F204*H204/IF(C204="molde",MAX(1,'Mi negocio'!$C$34),1)</f>
        <v/>
      </c>
    </row>
    <row r="205">
      <c r="A205" t="n">
        <v>16</v>
      </c>
      <c r="B205" s="21" t="inlineStr">
        <is>
          <t>Botella Efervescente de Cola Ácida (Fizzy Sour Cola Bottle)</t>
        </is>
      </c>
      <c r="C205" t="inlineStr">
        <is>
          <t>sabor</t>
        </is>
      </c>
      <c r="D205" s="22" t="inlineStr">
        <is>
          <t>3 ml Solución de ácido cítrico al 50% p/v</t>
        </is>
      </c>
      <c r="E205" s="6" t="inlineStr">
        <is>
          <t>Solución de ácido cítrico al 50% p/v (elaborada)</t>
        </is>
      </c>
      <c r="F205" s="16" t="n">
        <v>3</v>
      </c>
      <c r="G205" t="inlineStr">
        <is>
          <t>ml</t>
        </is>
      </c>
      <c r="H205" s="12">
        <f>IFERROR(VLOOKUP(E205,Insumos!$C$5:$G$100,5,FALSE),0)</f>
        <v/>
      </c>
      <c r="I205" s="17">
        <f>F205*H205/IF(C205="molde",MAX(1,'Mi negocio'!$C$34),1)</f>
        <v/>
      </c>
    </row>
    <row r="206">
      <c r="A206" t="n">
        <v>16</v>
      </c>
      <c r="B206" s="21" t="inlineStr">
        <is>
          <t>Botella Efervescente de Cola Ácida (Fizzy Sour Cola Bottle)</t>
        </is>
      </c>
      <c r="C206" t="inlineStr">
        <is>
          <t>sabor</t>
        </is>
      </c>
      <c r="D206" s="22" t="inlineStr">
        <is>
          <t>0.8 ml Aroma natural de lima-limón</t>
        </is>
      </c>
      <c r="E206" s="6" t="inlineStr">
        <is>
          <t>Aroma natural hidrosoluble concentrado</t>
        </is>
      </c>
      <c r="F206" s="16" t="n">
        <v>0.8</v>
      </c>
      <c r="G206" t="inlineStr">
        <is>
          <t>ml</t>
        </is>
      </c>
      <c r="H206" s="12">
        <f>IFERROR(VLOOKUP(E206,Insumos!$C$5:$G$100,5,FALSE),0)</f>
        <v/>
      </c>
      <c r="I206" s="17">
        <f>F206*H206/IF(C206="molde",MAX(1,'Mi negocio'!$C$34),1)</f>
        <v/>
      </c>
    </row>
    <row r="207">
      <c r="A207" t="n">
        <v>16</v>
      </c>
      <c r="B207" s="21" t="inlineStr">
        <is>
          <t>Botella Efervescente de Cola Ácida (Fizzy Sour Cola Bottle)</t>
        </is>
      </c>
      <c r="C207" t="inlineStr">
        <is>
          <t>sabor</t>
        </is>
      </c>
      <c r="D207" s="22" t="inlineStr">
        <is>
          <t>0.05 g Dióxido de titanio grado alimenticio (para un tono blanco lechoso traslúcido)</t>
        </is>
      </c>
      <c r="E207" s="6" t="inlineStr">
        <is>
          <t>Dióxido de titanio o blanco alimentario</t>
        </is>
      </c>
      <c r="F207" s="16" t="n">
        <v>0.05</v>
      </c>
      <c r="G207" t="inlineStr">
        <is>
          <t>g</t>
        </is>
      </c>
      <c r="H207" s="12">
        <f>IFERROR(VLOOKUP(E207,Insumos!$C$5:$G$100,5,FALSE),0)</f>
        <v/>
      </c>
      <c r="I207" s="17">
        <f>F207*H207/IF(C207="molde",MAX(1,'Mi negocio'!$C$34),1)</f>
        <v/>
      </c>
    </row>
    <row r="208">
      <c r="A208" t="n">
        <v>16</v>
      </c>
      <c r="B208" s="21" t="inlineStr">
        <is>
          <t>Botella Efervescente de Cola Ácida (Fizzy Sour Cola Bottle)</t>
        </is>
      </c>
      <c r="C208" t="inlineStr">
        <is>
          <t>acabado</t>
        </is>
      </c>
      <c r="D208" s="22" t="inlineStr">
        <is>
          <t>85 g Azúcar refinada de grano medio (300-500 mum)</t>
        </is>
      </c>
      <c r="E208" s="6" t="inlineStr">
        <is>
          <t>Azúcar cristal de grano medio a grueso (rebozado)</t>
        </is>
      </c>
      <c r="F208" s="16" t="n">
        <v>85</v>
      </c>
      <c r="G208" t="inlineStr">
        <is>
          <t>g</t>
        </is>
      </c>
      <c r="H208" s="12">
        <f>IFERROR(VLOOKUP(E208,Insumos!$C$5:$G$100,5,FALSE),0)</f>
        <v/>
      </c>
      <c r="I208" s="17">
        <f>F208*H208/IF(C208="molde",MAX(1,'Mi negocio'!$C$34),1)</f>
        <v/>
      </c>
    </row>
    <row r="209">
      <c r="A209" t="n">
        <v>16</v>
      </c>
      <c r="B209" s="21" t="inlineStr">
        <is>
          <t>Botella Efervescente de Cola Ácida (Fizzy Sour Cola Bottle)</t>
        </is>
      </c>
      <c r="C209" t="inlineStr">
        <is>
          <t>acabado</t>
        </is>
      </c>
      <c r="D209" s="22" t="inlineStr">
        <is>
          <t>15 g Bicarbonato de sodio micro-encapsulado con grasa vegetal hidrogenada (100 mum)</t>
        </is>
      </c>
      <c r="E209" s="6" t="inlineStr">
        <is>
          <t>Bicarbonato de sodio micro-encapsulado</t>
        </is>
      </c>
      <c r="F209" s="16" t="n">
        <v>15</v>
      </c>
      <c r="G209" t="inlineStr">
        <is>
          <t>g</t>
        </is>
      </c>
      <c r="H209" s="12">
        <f>IFERROR(VLOOKUP(E209,Insumos!$C$5:$G$100,5,FALSE),0)</f>
        <v/>
      </c>
      <c r="I209" s="17">
        <f>F209*H209/IF(C209="molde",MAX(1,'Mi negocio'!$C$34),1)</f>
        <v/>
      </c>
    </row>
    <row r="210">
      <c r="A210" t="n">
        <v>16</v>
      </c>
      <c r="B210" s="21" t="inlineStr">
        <is>
          <t>Botella Efervescente de Cola Ácida (Fizzy Sour Cola Bottle)</t>
        </is>
      </c>
      <c r="C210" t="inlineStr">
        <is>
          <t>acabado</t>
        </is>
      </c>
      <c r="D210" s="22" t="inlineStr">
        <is>
          <t>18 g Ácido málico micro-encapsulado</t>
        </is>
      </c>
      <c r="E210" s="6" t="inlineStr">
        <is>
          <t>Ácido cítrico o málico micro-encapsulado</t>
        </is>
      </c>
      <c r="F210" s="16" t="n">
        <v>18</v>
      </c>
      <c r="G210" t="inlineStr">
        <is>
          <t>g</t>
        </is>
      </c>
      <c r="H210" s="12">
        <f>IFERROR(VLOOKUP(E210,Insumos!$C$5:$G$100,5,FALSE),0)</f>
        <v/>
      </c>
      <c r="I210" s="17">
        <f>F210*H210/IF(C210="molde",MAX(1,'Mi negocio'!$C$34),1)</f>
        <v/>
      </c>
    </row>
    <row r="211">
      <c r="A211" t="n">
        <v>16</v>
      </c>
      <c r="B211" s="21" t="inlineStr">
        <is>
          <t>Botella Efervescente de Cola Ácida (Fizzy Sour Cola Bottle)</t>
        </is>
      </c>
      <c r="C211" t="inlineStr">
        <is>
          <t>acabado</t>
        </is>
      </c>
      <c r="D211" s="22" t="inlineStr">
        <is>
          <t>5 g Ácido fumárico micronizado</t>
        </is>
      </c>
      <c r="E211" s="6" t="inlineStr">
        <is>
          <t>Ácido fumárico micronizado</t>
        </is>
      </c>
      <c r="F211" s="16" t="n">
        <v>5</v>
      </c>
      <c r="G211" t="inlineStr">
        <is>
          <t>g</t>
        </is>
      </c>
      <c r="H211" s="12">
        <f>IFERROR(VLOOKUP(E211,Insumos!$C$5:$G$100,5,FALSE),0)</f>
        <v/>
      </c>
      <c r="I211" s="17">
        <f>F211*H211/IF(C211="molde",MAX(1,'Mi negocio'!$C$34),1)</f>
        <v/>
      </c>
    </row>
    <row r="212">
      <c r="A212" t="n">
        <v>17</v>
      </c>
      <c r="B212" s="21" t="inlineStr">
        <is>
          <t>Cinta Ácida de Naranja Sangrienta y Granada (Sour Blood Orange &amp; Pomegranate Belt)</t>
        </is>
      </c>
      <c r="C212" t="inlineStr">
        <is>
          <t>gelificante</t>
        </is>
      </c>
      <c r="D212" s="22" t="inlineStr">
        <is>
          <t>38 g Gelatina en polvo de 240 Bloom</t>
        </is>
      </c>
      <c r="E212" s="6" t="inlineStr">
        <is>
          <t>Gelatina en polvo de 240-260 Bloom</t>
        </is>
      </c>
      <c r="F212" s="16" t="n">
        <v>38</v>
      </c>
      <c r="G212" t="inlineStr">
        <is>
          <t>g</t>
        </is>
      </c>
      <c r="H212" s="12">
        <f>IFERROR(VLOOKUP(E212,Insumos!$C$5:$G$100,5,FALSE),0)</f>
        <v/>
      </c>
      <c r="I212" s="17">
        <f>F212*H212/IF(C212="molde",MAX(1,'Mi negocio'!$C$34),1)</f>
        <v/>
      </c>
    </row>
    <row r="213">
      <c r="A213" t="n">
        <v>17</v>
      </c>
      <c r="B213" s="21" t="inlineStr">
        <is>
          <t>Cinta Ácida de Naranja Sangrienta y Granada (Sour Blood Orange &amp; Pomegranate Belt)</t>
        </is>
      </c>
      <c r="C213" t="inlineStr">
        <is>
          <t>gelificante</t>
        </is>
      </c>
      <c r="D213" s="22" t="inlineStr">
        <is>
          <t>7.5 g Pectina de Alto Metoxilo lenta (HM Slow-Set)</t>
        </is>
      </c>
      <c r="E213" s="6" t="inlineStr">
        <is>
          <t>Pectina de alto metoxilo lenta (HM slow-set)</t>
        </is>
      </c>
      <c r="F213" s="16" t="n">
        <v>7.5</v>
      </c>
      <c r="G213" t="inlineStr">
        <is>
          <t>g</t>
        </is>
      </c>
      <c r="H213" s="12">
        <f>IFERROR(VLOOKUP(E213,Insumos!$C$5:$G$100,5,FALSE),0)</f>
        <v/>
      </c>
      <c r="I213" s="17">
        <f>F213*H213/IF(C213="molde",MAX(1,'Mi negocio'!$C$34),1)</f>
        <v/>
      </c>
    </row>
    <row r="214">
      <c r="A214" t="n">
        <v>17</v>
      </c>
      <c r="B214" s="21" t="inlineStr">
        <is>
          <t>Cinta Ácida de Naranja Sangrienta y Granada (Sour Blood Orange &amp; Pomegranate Belt)</t>
        </is>
      </c>
      <c r="C214" t="inlineStr">
        <is>
          <t>azucar</t>
        </is>
      </c>
      <c r="D214" s="22" t="inlineStr">
        <is>
          <t>25 g Azúcar refinada (para dispersar la pectina en seco)</t>
        </is>
      </c>
      <c r="E214" s="6" t="inlineStr">
        <is>
          <t>Azúcar blanca refinada</t>
        </is>
      </c>
      <c r="F214" s="16" t="n">
        <v>25</v>
      </c>
      <c r="G214" t="inlineStr">
        <is>
          <t>g</t>
        </is>
      </c>
      <c r="H214" s="12">
        <f>IFERROR(VLOOKUP(E214,Insumos!$C$5:$G$100,5,FALSE),0)</f>
        <v/>
      </c>
      <c r="I214" s="17">
        <f>F214*H214/IF(C214="molde",MAX(1,'Mi negocio'!$C$34),1)</f>
        <v/>
      </c>
    </row>
    <row r="215">
      <c r="A215" t="n">
        <v>17</v>
      </c>
      <c r="B215" s="21" t="inlineStr">
        <is>
          <t>Cinta Ácida de Naranja Sangrienta y Granada (Sour Blood Orange &amp; Pomegranate Belt)</t>
        </is>
      </c>
      <c r="C215" t="inlineStr">
        <is>
          <t>sabor</t>
        </is>
      </c>
      <c r="D215" s="22" t="inlineStr">
        <is>
          <t>85 ml Agua desmineralizada a 15 °C (para hidratar la gelatina)</t>
        </is>
      </c>
      <c r="E215" s="6" t="inlineStr">
        <is>
          <t>Agua desmineralizada o purificada</t>
        </is>
      </c>
      <c r="F215" s="16" t="n">
        <v>85</v>
      </c>
      <c r="G215" t="inlineStr">
        <is>
          <t>ml</t>
        </is>
      </c>
      <c r="H215" s="12">
        <f>IFERROR(VLOOKUP(E215,Insumos!$C$5:$G$100,5,FALSE),0)</f>
        <v/>
      </c>
      <c r="I215" s="17">
        <f>F215*H215/IF(C215="molde",MAX(1,'Mi negocio'!$C$34),1)</f>
        <v/>
      </c>
    </row>
    <row r="216">
      <c r="A216" t="n">
        <v>17</v>
      </c>
      <c r="B216" s="21" t="inlineStr">
        <is>
          <t>Cinta Ácida de Naranja Sangrienta y Granada (Sour Blood Orange &amp; Pomegranate Belt)</t>
        </is>
      </c>
      <c r="C216" t="inlineStr">
        <is>
          <t>sabor</t>
        </is>
      </c>
      <c r="D216" s="22" t="inlineStr">
        <is>
          <t>50 ml Jugo concentrado clarificado de granada roja (para la pectina)</t>
        </is>
      </c>
      <c r="E216" s="6" t="inlineStr">
        <is>
          <t>Zumo concentrado clarificado de uva, granada o manzana</t>
        </is>
      </c>
      <c r="F216" s="16" t="n">
        <v>50</v>
      </c>
      <c r="G216" t="inlineStr">
        <is>
          <t>ml</t>
        </is>
      </c>
      <c r="H216" s="12">
        <f>IFERROR(VLOOKUP(E216,Insumos!$C$5:$G$100,5,FALSE),0)</f>
        <v/>
      </c>
      <c r="I216" s="17">
        <f>F216*H216/IF(C216="molde",MAX(1,'Mi negocio'!$C$34),1)</f>
        <v/>
      </c>
    </row>
    <row r="217">
      <c r="A217" t="n">
        <v>17</v>
      </c>
      <c r="B217" s="21" t="inlineStr">
        <is>
          <t>Cinta Ácida de Naranja Sangrienta y Granada (Sour Blood Orange &amp; Pomegranate Belt)</t>
        </is>
      </c>
      <c r="C217" t="inlineStr">
        <is>
          <t>azucar</t>
        </is>
      </c>
      <c r="D217" s="22" t="inlineStr">
        <is>
          <t>185 g Azúcar blanca refinada pura</t>
        </is>
      </c>
      <c r="E217" s="6" t="inlineStr">
        <is>
          <t>Azúcar blanca refinada</t>
        </is>
      </c>
      <c r="F217" s="16" t="n">
        <v>185</v>
      </c>
      <c r="G217" t="inlineStr">
        <is>
          <t>g</t>
        </is>
      </c>
      <c r="H217" s="12">
        <f>IFERROR(VLOOKUP(E217,Insumos!$C$5:$G$100,5,FALSE),0)</f>
        <v/>
      </c>
      <c r="I217" s="17">
        <f>F217*H217/IF(C217="molde",MAX(1,'Mi negocio'!$C$34),1)</f>
        <v/>
      </c>
    </row>
    <row r="218">
      <c r="A218" t="n">
        <v>17</v>
      </c>
      <c r="B218" s="21" t="inlineStr">
        <is>
          <t>Cinta Ácida de Naranja Sangrienta y Granada (Sour Blood Orange &amp; Pomegranate Belt)</t>
        </is>
      </c>
      <c r="C218" t="inlineStr">
        <is>
          <t>azucar</t>
        </is>
      </c>
      <c r="D218" s="22" t="inlineStr">
        <is>
          <t>150 g Jarabe de glucosa 42DE</t>
        </is>
      </c>
      <c r="E218" s="6" t="inlineStr">
        <is>
          <t>Jarabe de glucosa 42 DE</t>
        </is>
      </c>
      <c r="F218" s="16" t="n">
        <v>150</v>
      </c>
      <c r="G218" t="inlineStr">
        <is>
          <t>g</t>
        </is>
      </c>
      <c r="H218" s="12">
        <f>IFERROR(VLOOKUP(E218,Insumos!$C$5:$G$100,5,FALSE),0)</f>
        <v/>
      </c>
      <c r="I218" s="17">
        <f>F218*H218/IF(C218="molde",MAX(1,'Mi negocio'!$C$34),1)</f>
        <v/>
      </c>
    </row>
    <row r="219">
      <c r="A219" t="n">
        <v>17</v>
      </c>
      <c r="B219" s="21" t="inlineStr">
        <is>
          <t>Cinta Ácida de Naranja Sangrienta y Granada (Sour Blood Orange &amp; Pomegranate Belt)</t>
        </is>
      </c>
      <c r="C219" t="inlineStr">
        <is>
          <t>azucar</t>
        </is>
      </c>
      <c r="D219" s="22" t="inlineStr">
        <is>
          <t>15 g Sorbitol líquido al 70%</t>
        </is>
      </c>
      <c r="E219" s="6" t="inlineStr">
        <is>
          <t>Sorbitol líquido al 70%</t>
        </is>
      </c>
      <c r="F219" s="16" t="n">
        <v>15</v>
      </c>
      <c r="G219" t="inlineStr">
        <is>
          <t>g</t>
        </is>
      </c>
      <c r="H219" s="12">
        <f>IFERROR(VLOOKUP(E219,Insumos!$C$5:$G$100,5,FALSE),0)</f>
        <v/>
      </c>
      <c r="I219" s="17">
        <f>F219*H219/IF(C219="molde",MAX(1,'Mi negocio'!$C$34),1)</f>
        <v/>
      </c>
    </row>
    <row r="220">
      <c r="A220" t="n">
        <v>17</v>
      </c>
      <c r="B220" s="21" t="inlineStr">
        <is>
          <t>Cinta Ácida de Naranja Sangrienta y Granada (Sour Blood Orange &amp; Pomegranate Belt)</t>
        </is>
      </c>
      <c r="C220" t="inlineStr">
        <is>
          <t>sabor</t>
        </is>
      </c>
      <c r="D220" s="22" t="inlineStr">
        <is>
          <t>2.5 g Citrato de potasio (regulador de acidez y tampón)</t>
        </is>
      </c>
      <c r="E220" s="6" t="inlineStr">
        <is>
          <t>Citrato de potasio monohidratado</t>
        </is>
      </c>
      <c r="F220" s="16" t="n">
        <v>2.5</v>
      </c>
      <c r="G220" t="inlineStr">
        <is>
          <t>g</t>
        </is>
      </c>
      <c r="H220" s="12">
        <f>IFERROR(VLOOKUP(E220,Insumos!$C$5:$G$100,5,FALSE),0)</f>
        <v/>
      </c>
      <c r="I220" s="17">
        <f>F220*H220/IF(C220="molde",MAX(1,'Mi negocio'!$C$34),1)</f>
        <v/>
      </c>
    </row>
    <row r="221">
      <c r="A221" t="n">
        <v>17</v>
      </c>
      <c r="B221" s="21" t="inlineStr">
        <is>
          <t>Cinta Ácida de Naranja Sangrienta y Granada (Sour Blood Orange &amp; Pomegranate Belt)</t>
        </is>
      </c>
      <c r="C221" t="inlineStr">
        <is>
          <t>sabor</t>
        </is>
      </c>
      <c r="D221" s="22" t="inlineStr">
        <is>
          <t>10 ml Solución de ácido tartárico al 50% p/v (aporta la nota tánica seca de la granada)</t>
        </is>
      </c>
      <c r="E221" s="6" t="inlineStr">
        <is>
          <t>Ácido tartárico fino</t>
        </is>
      </c>
      <c r="F221" s="16" t="n">
        <v>10</v>
      </c>
      <c r="G221" t="inlineStr">
        <is>
          <t>g</t>
        </is>
      </c>
      <c r="H221" s="12">
        <f>IFERROR(VLOOKUP(E221,Insumos!$C$5:$G$100,5,FALSE),0)</f>
        <v/>
      </c>
      <c r="I221" s="17">
        <f>F221*H221/IF(C221="molde",MAX(1,'Mi negocio'!$C$34),1)</f>
        <v/>
      </c>
    </row>
    <row r="222">
      <c r="A222" t="n">
        <v>17</v>
      </c>
      <c r="B222" s="21" t="inlineStr">
        <is>
          <t>Cinta Ácida de Naranja Sangrienta y Granada (Sour Blood Orange &amp; Pomegranate Belt)</t>
        </is>
      </c>
      <c r="C222" t="inlineStr">
        <is>
          <t>sabor</t>
        </is>
      </c>
      <c r="D222" s="22" t="inlineStr">
        <is>
          <t>2 ml Aceite esencial puro destilado de naranja sangrienta (Citrus sinensis Moro)</t>
        </is>
      </c>
      <c r="E222" s="6" t="inlineStr">
        <is>
          <t>Aceite esencial puro destilado de cítrico</t>
        </is>
      </c>
      <c r="F222" s="16" t="n">
        <v>2</v>
      </c>
      <c r="G222" t="inlineStr">
        <is>
          <t>ml</t>
        </is>
      </c>
      <c r="H222" s="12">
        <f>IFERROR(VLOOKUP(E222,Insumos!$C$5:$G$100,5,FALSE),0)</f>
        <v/>
      </c>
      <c r="I222" s="17">
        <f>F222*H222/IF(C222="molde",MAX(1,'Mi negocio'!$C$34),1)</f>
        <v/>
      </c>
    </row>
    <row r="223">
      <c r="A223" t="n">
        <v>17</v>
      </c>
      <c r="B223" s="21" t="inlineStr">
        <is>
          <t>Cinta Ácida de Naranja Sangrienta y Granada (Sour Blood Orange &amp; Pomegranate Belt)</t>
        </is>
      </c>
      <c r="C223" t="inlineStr">
        <is>
          <t>sabor</t>
        </is>
      </c>
      <c r="D223" s="22" t="inlineStr">
        <is>
          <t>1.5 ml Aroma natural de granada roja</t>
        </is>
      </c>
      <c r="E223" s="6" t="inlineStr">
        <is>
          <t>Aroma natural hidrosoluble concentrado</t>
        </is>
      </c>
      <c r="F223" s="16" t="n">
        <v>1.5</v>
      </c>
      <c r="G223" t="inlineStr">
        <is>
          <t>ml</t>
        </is>
      </c>
      <c r="H223" s="12">
        <f>IFERROR(VLOOKUP(E223,Insumos!$C$5:$G$100,5,FALSE),0)</f>
        <v/>
      </c>
      <c r="I223" s="17">
        <f>F223*H223/IF(C223="molde",MAX(1,'Mi negocio'!$C$34),1)</f>
        <v/>
      </c>
    </row>
    <row r="224">
      <c r="A224" t="n">
        <v>17</v>
      </c>
      <c r="B224" s="21" t="inlineStr">
        <is>
          <t>Cinta Ácida de Naranja Sangrienta y Granada (Sour Blood Orange &amp; Pomegranate Belt)</t>
        </is>
      </c>
      <c r="C224" t="inlineStr">
        <is>
          <t>sabor</t>
        </is>
      </c>
      <c r="D224" s="22" t="inlineStr">
        <is>
          <t>0.4 g Extracto de antocianinas / carmín líquido (rojo rubí profundo)</t>
        </is>
      </c>
      <c r="E224" s="6" t="inlineStr">
        <is>
          <t>Extracto o infusión botánica concentrada</t>
        </is>
      </c>
      <c r="F224" s="16" t="n">
        <v>0.4</v>
      </c>
      <c r="G224" t="inlineStr">
        <is>
          <t>ml</t>
        </is>
      </c>
      <c r="H224" s="12">
        <f>IFERROR(VLOOKUP(E224,Insumos!$C$5:$G$100,5,FALSE),0)</f>
        <v/>
      </c>
      <c r="I224" s="17">
        <f>F224*H224/IF(C224="molde",MAX(1,'Mi negocio'!$C$34),1)</f>
        <v/>
      </c>
    </row>
    <row r="225">
      <c r="A225" t="n">
        <v>17</v>
      </c>
      <c r="B225" s="21" t="inlineStr">
        <is>
          <t>Cinta Ácida de Naranja Sangrienta y Granada (Sour Blood Orange &amp; Pomegranate Belt)</t>
        </is>
      </c>
      <c r="C225" t="inlineStr">
        <is>
          <t>acabado</t>
        </is>
      </c>
      <c r="D225" s="22" t="inlineStr">
        <is>
          <t>90 g Azúcar refinada de grano grueso (400-600 mum)</t>
        </is>
      </c>
      <c r="E225" s="6" t="inlineStr">
        <is>
          <t>Azúcar cristal de grano medio a grueso (rebozado)</t>
        </is>
      </c>
      <c r="F225" s="16" t="n">
        <v>90</v>
      </c>
      <c r="G225" t="inlineStr">
        <is>
          <t>g</t>
        </is>
      </c>
      <c r="H225" s="12">
        <f>IFERROR(VLOOKUP(E225,Insumos!$C$5:$G$100,5,FALSE),0)</f>
        <v/>
      </c>
      <c r="I225" s="17">
        <f>F225*H225/IF(C225="molde",MAX(1,'Mi negocio'!$C$34),1)</f>
        <v/>
      </c>
    </row>
    <row r="226">
      <c r="A226" t="n">
        <v>17</v>
      </c>
      <c r="B226" s="21" t="inlineStr">
        <is>
          <t>Cinta Ácida de Naranja Sangrienta y Granada (Sour Blood Orange &amp; Pomegranate Belt)</t>
        </is>
      </c>
      <c r="C226" t="inlineStr">
        <is>
          <t>acabado</t>
        </is>
      </c>
      <c r="D226" s="22" t="inlineStr">
        <is>
          <t>20 g Ácido tartárico de molienda fina</t>
        </is>
      </c>
      <c r="E226" s="6" t="inlineStr">
        <is>
          <t>Ácido tartárico fino</t>
        </is>
      </c>
      <c r="F226" s="16" t="n">
        <v>20</v>
      </c>
      <c r="G226" t="inlineStr">
        <is>
          <t>g</t>
        </is>
      </c>
      <c r="H226" s="12">
        <f>IFERROR(VLOOKUP(E226,Insumos!$C$5:$G$100,5,FALSE),0)</f>
        <v/>
      </c>
      <c r="I226" s="17">
        <f>F226*H226/IF(C226="molde",MAX(1,'Mi negocio'!$C$34),1)</f>
        <v/>
      </c>
    </row>
    <row r="227">
      <c r="A227" t="n">
        <v>17</v>
      </c>
      <c r="B227" s="21" t="inlineStr">
        <is>
          <t>Cinta Ácida de Naranja Sangrienta y Granada (Sour Blood Orange &amp; Pomegranate Belt)</t>
        </is>
      </c>
      <c r="C227" t="inlineStr">
        <is>
          <t>acabado</t>
        </is>
      </c>
      <c r="D227" s="22" t="inlineStr">
        <is>
          <t>15 g Ácido málico micro-encapsulado</t>
        </is>
      </c>
      <c r="E227" s="6" t="inlineStr">
        <is>
          <t>Ácido cítrico o málico micro-encapsulado</t>
        </is>
      </c>
      <c r="F227" s="16" t="n">
        <v>15</v>
      </c>
      <c r="G227" t="inlineStr">
        <is>
          <t>g</t>
        </is>
      </c>
      <c r="H227" s="12">
        <f>IFERROR(VLOOKUP(E227,Insumos!$C$5:$G$100,5,FALSE),0)</f>
        <v/>
      </c>
      <c r="I227" s="17">
        <f>F227*H227/IF(C227="molde",MAX(1,'Mi negocio'!$C$34),1)</f>
        <v/>
      </c>
    </row>
    <row r="228">
      <c r="A228" t="n">
        <v>17</v>
      </c>
      <c r="B228" s="21" t="inlineStr">
        <is>
          <t>Cinta Ácida de Naranja Sangrienta y Granada (Sour Blood Orange &amp; Pomegranate Belt)</t>
        </is>
      </c>
      <c r="C228" t="inlineStr">
        <is>
          <t>acabado</t>
        </is>
      </c>
      <c r="D228" s="22" t="inlineStr">
        <is>
          <t>3 g Dextrosa anhidra</t>
        </is>
      </c>
      <c r="E228" s="6" t="inlineStr">
        <is>
          <t>Dextrosa anhidra</t>
        </is>
      </c>
      <c r="F228" s="16" t="n">
        <v>3</v>
      </c>
      <c r="G228" t="inlineStr">
        <is>
          <t>g</t>
        </is>
      </c>
      <c r="H228" s="12">
        <f>IFERROR(VLOOKUP(E228,Insumos!$C$5:$G$100,5,FALSE),0)</f>
        <v/>
      </c>
      <c r="I228" s="17">
        <f>F228*H228/IF(C228="molde",MAX(1,'Mi negocio'!$C$34),1)</f>
        <v/>
      </c>
    </row>
    <row r="229">
      <c r="A229" t="n">
        <v>18</v>
      </c>
      <c r="B229" s="21" t="inlineStr">
        <is>
          <t>Esfera de Mandarina Verde y Lima-Limón en Pectina Rápida (Quick-Gel Green Mandarin Sour Orb)</t>
        </is>
      </c>
      <c r="C229" t="inlineStr">
        <is>
          <t>sabor</t>
        </is>
      </c>
      <c r="D229" s="22" t="inlineStr">
        <is>
          <t>150 g Jugo concentrado clarificado de mandarina verde y lima criolla</t>
        </is>
      </c>
      <c r="E229" s="6" t="inlineStr">
        <is>
          <t>Zumo concentrado clarificado de cítrico</t>
        </is>
      </c>
      <c r="F229" s="16" t="n">
        <v>150</v>
      </c>
      <c r="G229" t="inlineStr">
        <is>
          <t>ml</t>
        </is>
      </c>
      <c r="H229" s="12">
        <f>IFERROR(VLOOKUP(E229,Insumos!$C$5:$G$100,5,FALSE),0)</f>
        <v/>
      </c>
      <c r="I229" s="17">
        <f>F229*H229/IF(C229="molde",MAX(1,'Mi negocio'!$C$34),1)</f>
        <v/>
      </c>
    </row>
    <row r="230">
      <c r="A230" t="n">
        <v>18</v>
      </c>
      <c r="B230" s="21" t="inlineStr">
        <is>
          <t>Esfera de Mandarina Verde y Lima-Limón en Pectina Rápida (Quick-Gel Green Mandarin Sour Orb)</t>
        </is>
      </c>
      <c r="C230" t="inlineStr">
        <is>
          <t>sabor</t>
        </is>
      </c>
      <c r="D230" s="22" t="inlineStr">
        <is>
          <t>30 ml Agua desmineralizada</t>
        </is>
      </c>
      <c r="E230" s="6" t="inlineStr">
        <is>
          <t>Agua desmineralizada o purificada</t>
        </is>
      </c>
      <c r="F230" s="16" t="n">
        <v>30</v>
      </c>
      <c r="G230" t="inlineStr">
        <is>
          <t>ml</t>
        </is>
      </c>
      <c r="H230" s="12">
        <f>IFERROR(VLOOKUP(E230,Insumos!$C$5:$G$100,5,FALSE),0)</f>
        <v/>
      </c>
      <c r="I230" s="17">
        <f>F230*H230/IF(C230="molde",MAX(1,'Mi negocio'!$C$34),1)</f>
        <v/>
      </c>
    </row>
    <row r="231">
      <c r="A231" t="n">
        <v>18</v>
      </c>
      <c r="B231" s="21" t="inlineStr">
        <is>
          <t>Esfera de Mandarina Verde y Lima-Limón en Pectina Rápida (Quick-Gel Green Mandarin Sour Orb)</t>
        </is>
      </c>
      <c r="C231" t="inlineStr">
        <is>
          <t>gelificante</t>
        </is>
      </c>
      <c r="D231" s="22" t="inlineStr">
        <is>
          <t>11 g Pectina de Alto Metoxilo rápida (HM Rapid-Set Pectin)</t>
        </is>
      </c>
      <c r="E231" s="6" t="inlineStr">
        <is>
          <t>Pectina de alto metoxilo rápida (HM rapid-set)</t>
        </is>
      </c>
      <c r="F231" s="16" t="n">
        <v>11</v>
      </c>
      <c r="G231" t="inlineStr">
        <is>
          <t>g</t>
        </is>
      </c>
      <c r="H231" s="12">
        <f>IFERROR(VLOOKUP(E231,Insumos!$C$5:$G$100,5,FALSE),0)</f>
        <v/>
      </c>
      <c r="I231" s="17">
        <f>F231*H231/IF(C231="molde",MAX(1,'Mi negocio'!$C$34),1)</f>
        <v/>
      </c>
    </row>
    <row r="232">
      <c r="A232" t="n">
        <v>18</v>
      </c>
      <c r="B232" s="21" t="inlineStr">
        <is>
          <t>Esfera de Mandarina Verde y Lima-Limón en Pectina Rápida (Quick-Gel Green Mandarin Sour Orb)</t>
        </is>
      </c>
      <c r="C232" t="inlineStr">
        <is>
          <t>azucar</t>
        </is>
      </c>
      <c r="D232" s="22" t="inlineStr">
        <is>
          <t>30 g Azúcar blanca refinada (para dispersar la pectina en seco)</t>
        </is>
      </c>
      <c r="E232" s="6" t="inlineStr">
        <is>
          <t>Azúcar blanca refinada</t>
        </is>
      </c>
      <c r="F232" s="16" t="n">
        <v>30</v>
      </c>
      <c r="G232" t="inlineStr">
        <is>
          <t>g</t>
        </is>
      </c>
      <c r="H232" s="12">
        <f>IFERROR(VLOOKUP(E232,Insumos!$C$5:$G$100,5,FALSE),0)</f>
        <v/>
      </c>
      <c r="I232" s="17">
        <f>F232*H232/IF(C232="molde",MAX(1,'Mi negocio'!$C$34),1)</f>
        <v/>
      </c>
    </row>
    <row r="233">
      <c r="A233" t="n">
        <v>18</v>
      </c>
      <c r="B233" s="21" t="inlineStr">
        <is>
          <t>Esfera de Mandarina Verde y Lima-Limón en Pectina Rápida (Quick-Gel Green Mandarin Sour Orb)</t>
        </is>
      </c>
      <c r="C233" t="inlineStr">
        <is>
          <t>azucar</t>
        </is>
      </c>
      <c r="D233" s="22" t="inlineStr">
        <is>
          <t>195 g Azúcar blanca refinada pura</t>
        </is>
      </c>
      <c r="E233" s="6" t="inlineStr">
        <is>
          <t>Azúcar blanca refinada</t>
        </is>
      </c>
      <c r="F233" s="16" t="n">
        <v>195</v>
      </c>
      <c r="G233" t="inlineStr">
        <is>
          <t>g</t>
        </is>
      </c>
      <c r="H233" s="12">
        <f>IFERROR(VLOOKUP(E233,Insumos!$C$5:$G$100,5,FALSE),0)</f>
        <v/>
      </c>
      <c r="I233" s="17">
        <f>F233*H233/IF(C233="molde",MAX(1,'Mi negocio'!$C$34),1)</f>
        <v/>
      </c>
    </row>
    <row r="234">
      <c r="A234" t="n">
        <v>18</v>
      </c>
      <c r="B234" s="21" t="inlineStr">
        <is>
          <t>Esfera de Mandarina Verde y Lima-Limón en Pectina Rápida (Quick-Gel Green Mandarin Sour Orb)</t>
        </is>
      </c>
      <c r="C234" t="inlineStr">
        <is>
          <t>azucar</t>
        </is>
      </c>
      <c r="D234" s="22" t="inlineStr">
        <is>
          <t>85 g Jarabe de glucosa 42DE</t>
        </is>
      </c>
      <c r="E234" s="6" t="inlineStr">
        <is>
          <t>Jarabe de glucosa 42 DE</t>
        </is>
      </c>
      <c r="F234" s="16" t="n">
        <v>85</v>
      </c>
      <c r="G234" t="inlineStr">
        <is>
          <t>g</t>
        </is>
      </c>
      <c r="H234" s="12">
        <f>IFERROR(VLOOKUP(E234,Insumos!$C$5:$G$100,5,FALSE),0)</f>
        <v/>
      </c>
      <c r="I234" s="17">
        <f>F234*H234/IF(C234="molde",MAX(1,'Mi negocio'!$C$34),1)</f>
        <v/>
      </c>
    </row>
    <row r="235">
      <c r="A235" t="n">
        <v>18</v>
      </c>
      <c r="B235" s="21" t="inlineStr">
        <is>
          <t>Esfera de Mandarina Verde y Lima-Limón en Pectina Rápida (Quick-Gel Green Mandarin Sour Orb)</t>
        </is>
      </c>
      <c r="C235" t="inlineStr">
        <is>
          <t>azucar</t>
        </is>
      </c>
      <c r="D235" s="22" t="inlineStr">
        <is>
          <t>12 g Sorbitol líquido al 70%</t>
        </is>
      </c>
      <c r="E235" s="6" t="inlineStr">
        <is>
          <t>Sorbitol líquido al 70%</t>
        </is>
      </c>
      <c r="F235" s="16" t="n">
        <v>12</v>
      </c>
      <c r="G235" t="inlineStr">
        <is>
          <t>g</t>
        </is>
      </c>
      <c r="H235" s="12">
        <f>IFERROR(VLOOKUP(E235,Insumos!$C$5:$G$100,5,FALSE),0)</f>
        <v/>
      </c>
      <c r="I235" s="17">
        <f>F235*H235/IF(C235="molde",MAX(1,'Mi negocio'!$C$34),1)</f>
        <v/>
      </c>
    </row>
    <row r="236">
      <c r="A236" t="n">
        <v>18</v>
      </c>
      <c r="B236" s="21" t="inlineStr">
        <is>
          <t>Esfera de Mandarina Verde y Lima-Limón en Pectina Rápida (Quick-Gel Green Mandarin Sour Orb)</t>
        </is>
      </c>
      <c r="C236" t="inlineStr">
        <is>
          <t>sabor</t>
        </is>
      </c>
      <c r="D236" s="22" t="inlineStr">
        <is>
          <t>6 ml Solución de ácido cítrico al 50% p/v</t>
        </is>
      </c>
      <c r="E236" s="6" t="inlineStr">
        <is>
          <t>Solución de ácido cítrico al 50% p/v (elaborada)</t>
        </is>
      </c>
      <c r="F236" s="16" t="n">
        <v>6</v>
      </c>
      <c r="G236" t="inlineStr">
        <is>
          <t>ml</t>
        </is>
      </c>
      <c r="H236" s="12">
        <f>IFERROR(VLOOKUP(E236,Insumos!$C$5:$G$100,5,FALSE),0)</f>
        <v/>
      </c>
      <c r="I236" s="17">
        <f>F236*H236/IF(C236="molde",MAX(1,'Mi negocio'!$C$34),1)</f>
        <v/>
      </c>
    </row>
    <row r="237">
      <c r="A237" t="n">
        <v>18</v>
      </c>
      <c r="B237" s="21" t="inlineStr">
        <is>
          <t>Esfera de Mandarina Verde y Lima-Limón en Pectina Rápida (Quick-Gel Green Mandarin Sour Orb)</t>
        </is>
      </c>
      <c r="C237" t="inlineStr">
        <is>
          <t>sabor</t>
        </is>
      </c>
      <c r="D237" s="22" t="inlineStr">
        <is>
          <t>4 ml Solución de ácido láctico al 80% (aporta acidez suave y retiene brillo)</t>
        </is>
      </c>
      <c r="E237" s="6" t="inlineStr">
        <is>
          <t>Ácido láctico al 80%</t>
        </is>
      </c>
      <c r="F237" s="16" t="n">
        <v>4</v>
      </c>
      <c r="G237" t="inlineStr">
        <is>
          <t>ml</t>
        </is>
      </c>
      <c r="H237" s="12">
        <f>IFERROR(VLOOKUP(E237,Insumos!$C$5:$G$100,5,FALSE),0)</f>
        <v/>
      </c>
      <c r="I237" s="17">
        <f>F237*H237/IF(C237="molde",MAX(1,'Mi negocio'!$C$34),1)</f>
        <v/>
      </c>
    </row>
    <row r="238">
      <c r="A238" t="n">
        <v>18</v>
      </c>
      <c r="B238" s="21" t="inlineStr">
        <is>
          <t>Esfera de Mandarina Verde y Lima-Limón en Pectina Rápida (Quick-Gel Green Mandarin Sour Orb)</t>
        </is>
      </c>
      <c r="C238" t="inlineStr">
        <is>
          <t>sabor</t>
        </is>
      </c>
      <c r="D238" s="22" t="inlineStr">
        <is>
          <t>2 ml Aceite esencial puro destilado de mandarina verde (Citrus reticulata peel oil)</t>
        </is>
      </c>
      <c r="E238" s="6" t="inlineStr">
        <is>
          <t>Aceite esencial puro destilado de cítrico</t>
        </is>
      </c>
      <c r="F238" s="16" t="n">
        <v>2</v>
      </c>
      <c r="G238" t="inlineStr">
        <is>
          <t>ml</t>
        </is>
      </c>
      <c r="H238" s="12">
        <f>IFERROR(VLOOKUP(E238,Insumos!$C$5:$G$100,5,FALSE),0)</f>
        <v/>
      </c>
      <c r="I238" s="17">
        <f>F238*H238/IF(C238="molde",MAX(1,'Mi negocio'!$C$34),1)</f>
        <v/>
      </c>
    </row>
    <row r="239">
      <c r="A239" t="n">
        <v>18</v>
      </c>
      <c r="B239" s="21" t="inlineStr">
        <is>
          <t>Esfera de Mandarina Verde y Lima-Limón en Pectina Rápida (Quick-Gel Green Mandarin Sour Orb)</t>
        </is>
      </c>
      <c r="C239" t="inlineStr">
        <is>
          <t>sabor</t>
        </is>
      </c>
      <c r="D239" s="22" t="inlineStr">
        <is>
          <t>1 ml Aceite esencial destilado de lima destilada</t>
        </is>
      </c>
      <c r="E239" s="6" t="inlineStr">
        <is>
          <t>Aceite esencial puro destilado de cítrico</t>
        </is>
      </c>
      <c r="F239" s="16" t="n">
        <v>1</v>
      </c>
      <c r="G239" t="inlineStr">
        <is>
          <t>ml</t>
        </is>
      </c>
      <c r="H239" s="12">
        <f>IFERROR(VLOOKUP(E239,Insumos!$C$5:$G$100,5,FALSE),0)</f>
        <v/>
      </c>
      <c r="I239" s="17">
        <f>F239*H239/IF(C239="molde",MAX(1,'Mi negocio'!$C$34),1)</f>
        <v/>
      </c>
    </row>
    <row r="240">
      <c r="A240" t="n">
        <v>18</v>
      </c>
      <c r="B240" s="21" t="inlineStr">
        <is>
          <t>Esfera de Mandarina Verde y Lima-Limón en Pectina Rápida (Quick-Gel Green Mandarin Sour Orb)</t>
        </is>
      </c>
      <c r="C240" t="inlineStr">
        <is>
          <t>sabor</t>
        </is>
      </c>
      <c r="D240" s="22" t="inlineStr">
        <is>
          <t>0.2 g Clorofilina cúprica (verde lima cítrico)</t>
        </is>
      </c>
      <c r="E240" s="6" t="inlineStr">
        <is>
          <t>Clorofilina cúprica (verde)</t>
        </is>
      </c>
      <c r="F240" s="16" t="n">
        <v>0.2</v>
      </c>
      <c r="G240" t="inlineStr">
        <is>
          <t>g</t>
        </is>
      </c>
      <c r="H240" s="12">
        <f>IFERROR(VLOOKUP(E240,Insumos!$C$5:$G$100,5,FALSE),0)</f>
        <v/>
      </c>
      <c r="I240" s="17">
        <f>F240*H240/IF(C240="molde",MAX(1,'Mi negocio'!$C$34),1)</f>
        <v/>
      </c>
    </row>
    <row r="241">
      <c r="A241" t="n">
        <v>18</v>
      </c>
      <c r="B241" s="21" t="inlineStr">
        <is>
          <t>Esfera de Mandarina Verde y Lima-Limón en Pectina Rápida (Quick-Gel Green Mandarin Sour Orb)</t>
        </is>
      </c>
      <c r="C241" t="inlineStr">
        <is>
          <t>acabado</t>
        </is>
      </c>
      <c r="D241" s="22" t="inlineStr">
        <is>
          <t>100 g Azúcar cristalino (500-700 mum)</t>
        </is>
      </c>
      <c r="E241" s="6" t="inlineStr">
        <is>
          <t>Azúcar cristal de grano medio a grueso (rebozado)</t>
        </is>
      </c>
      <c r="F241" s="16" t="n">
        <v>100</v>
      </c>
      <c r="G241" t="inlineStr">
        <is>
          <t>g</t>
        </is>
      </c>
      <c r="H241" s="12">
        <f>IFERROR(VLOOKUP(E241,Insumos!$C$5:$G$100,5,FALSE),0)</f>
        <v/>
      </c>
      <c r="I241" s="17">
        <f>F241*H241/IF(C241="molde",MAX(1,'Mi negocio'!$C$34),1)</f>
        <v/>
      </c>
    </row>
    <row r="242">
      <c r="A242" t="n">
        <v>18</v>
      </c>
      <c r="B242" s="21" t="inlineStr">
        <is>
          <t>Esfera de Mandarina Verde y Lima-Limón en Pectina Rápida (Quick-Gel Green Mandarin Sour Orb)</t>
        </is>
      </c>
      <c r="C242" t="inlineStr">
        <is>
          <t>sabor</t>
        </is>
      </c>
      <c r="D242" s="22" t="inlineStr">
        <is>
          <t>18 g Ácido cítrico anhidro de grano fino</t>
        </is>
      </c>
      <c r="E242" s="6" t="inlineStr">
        <is>
          <t>Ácido cítrico anhidro fino</t>
        </is>
      </c>
      <c r="F242" s="16" t="n">
        <v>18</v>
      </c>
      <c r="G242" t="inlineStr">
        <is>
          <t>g</t>
        </is>
      </c>
      <c r="H242" s="12">
        <f>IFERROR(VLOOKUP(E242,Insumos!$C$5:$G$100,5,FALSE),0)</f>
        <v/>
      </c>
      <c r="I242" s="17">
        <f>F242*H242/IF(C242="molde",MAX(1,'Mi negocio'!$C$34),1)</f>
        <v/>
      </c>
    </row>
    <row r="243">
      <c r="A243" t="n">
        <v>18</v>
      </c>
      <c r="B243" s="21" t="inlineStr">
        <is>
          <t>Esfera de Mandarina Verde y Lima-Limón en Pectina Rápida (Quick-Gel Green Mandarin Sour Orb)</t>
        </is>
      </c>
      <c r="C243" t="inlineStr">
        <is>
          <t>sabor</t>
        </is>
      </c>
      <c r="D243" s="22" t="inlineStr">
        <is>
          <t>6 g Ácido málico micronizado</t>
        </is>
      </c>
      <c r="E243" s="6" t="inlineStr">
        <is>
          <t>Ácido málico micronizado</t>
        </is>
      </c>
      <c r="F243" s="16" t="n">
        <v>6</v>
      </c>
      <c r="G243" t="inlineStr">
        <is>
          <t>g</t>
        </is>
      </c>
      <c r="H243" s="12">
        <f>IFERROR(VLOOKUP(E243,Insumos!$C$5:$G$100,5,FALSE),0)</f>
        <v/>
      </c>
      <c r="I243" s="17">
        <f>F243*H243/IF(C243="molde",MAX(1,'Mi negocio'!$C$34),1)</f>
        <v/>
      </c>
    </row>
    <row r="244">
      <c r="A244" t="n">
        <v>19</v>
      </c>
      <c r="B244" s="21" t="inlineStr">
        <is>
          <t>Aro Ácido de Manzana y Grosella Negra (Sour Blackcurrant &amp; Green Apple Ring)</t>
        </is>
      </c>
      <c r="C244" t="inlineStr">
        <is>
          <t>gelificante</t>
        </is>
      </c>
      <c r="D244" s="22" t="inlineStr">
        <is>
          <t>44 g Gelatina en polvo de 250 Bloom</t>
        </is>
      </c>
      <c r="E244" s="6" t="inlineStr">
        <is>
          <t>Gelatina en polvo de 240-260 Bloom</t>
        </is>
      </c>
      <c r="F244" s="16" t="n">
        <v>44</v>
      </c>
      <c r="G244" t="inlineStr">
        <is>
          <t>g</t>
        </is>
      </c>
      <c r="H244" s="12">
        <f>IFERROR(VLOOKUP(E244,Insumos!$C$5:$G$100,5,FALSE),0)</f>
        <v/>
      </c>
      <c r="I244" s="17">
        <f>F244*H244/IF(C244="molde",MAX(1,'Mi negocio'!$C$34),1)</f>
        <v/>
      </c>
    </row>
    <row r="245">
      <c r="A245" t="n">
        <v>19</v>
      </c>
      <c r="B245" s="21" t="inlineStr">
        <is>
          <t>Aro Ácido de Manzana y Grosella Negra (Sour Blackcurrant &amp; Green Apple Ring)</t>
        </is>
      </c>
      <c r="C245" t="inlineStr">
        <is>
          <t>sabor</t>
        </is>
      </c>
      <c r="D245" s="22" t="inlineStr">
        <is>
          <t>95 ml Agua desmineralizada a 15 °C</t>
        </is>
      </c>
      <c r="E245" s="6" t="inlineStr">
        <is>
          <t>Agua desmineralizada o purificada</t>
        </is>
      </c>
      <c r="F245" s="16" t="n">
        <v>95</v>
      </c>
      <c r="G245" t="inlineStr">
        <is>
          <t>ml</t>
        </is>
      </c>
      <c r="H245" s="12">
        <f>IFERROR(VLOOKUP(E245,Insumos!$C$5:$G$100,5,FALSE),0)</f>
        <v/>
      </c>
      <c r="I245" s="17">
        <f>F245*H245/IF(C245="molde",MAX(1,'Mi negocio'!$C$34),1)</f>
        <v/>
      </c>
    </row>
    <row r="246">
      <c r="A246" t="n">
        <v>19</v>
      </c>
      <c r="B246" s="21" t="inlineStr">
        <is>
          <t>Aro Ácido de Manzana y Grosella Negra (Sour Blackcurrant &amp; Green Apple Ring)</t>
        </is>
      </c>
      <c r="C246" t="inlineStr">
        <is>
          <t>azucar</t>
        </is>
      </c>
      <c r="D246" s="22" t="inlineStr">
        <is>
          <t>195 g Azúcar blanca refinada pura</t>
        </is>
      </c>
      <c r="E246" s="6" t="inlineStr">
        <is>
          <t>Azúcar blanca refinada</t>
        </is>
      </c>
      <c r="F246" s="16" t="n">
        <v>195</v>
      </c>
      <c r="G246" t="inlineStr">
        <is>
          <t>g</t>
        </is>
      </c>
      <c r="H246" s="12">
        <f>IFERROR(VLOOKUP(E246,Insumos!$C$5:$G$100,5,FALSE),0)</f>
        <v/>
      </c>
      <c r="I246" s="17">
        <f>F246*H246/IF(C246="molde",MAX(1,'Mi negocio'!$C$34),1)</f>
        <v/>
      </c>
    </row>
    <row r="247">
      <c r="A247" t="n">
        <v>19</v>
      </c>
      <c r="B247" s="21" t="inlineStr">
        <is>
          <t>Aro Ácido de Manzana y Grosella Negra (Sour Blackcurrant &amp; Green Apple Ring)</t>
        </is>
      </c>
      <c r="C247" t="inlineStr">
        <is>
          <t>azucar</t>
        </is>
      </c>
      <c r="D247" s="22" t="inlineStr">
        <is>
          <t>155 g Jarabe de glucosa 42DE</t>
        </is>
      </c>
      <c r="E247" s="6" t="inlineStr">
        <is>
          <t>Jarabe de glucosa 42 DE</t>
        </is>
      </c>
      <c r="F247" s="16" t="n">
        <v>155</v>
      </c>
      <c r="G247" t="inlineStr">
        <is>
          <t>g</t>
        </is>
      </c>
      <c r="H247" s="12">
        <f>IFERROR(VLOOKUP(E247,Insumos!$C$5:$G$100,5,FALSE),0)</f>
        <v/>
      </c>
      <c r="I247" s="17">
        <f>F247*H247/IF(C247="molde",MAX(1,'Mi negocio'!$C$34),1)</f>
        <v/>
      </c>
    </row>
    <row r="248">
      <c r="A248" t="n">
        <v>19</v>
      </c>
      <c r="B248" s="21" t="inlineStr">
        <is>
          <t>Aro Ácido de Manzana y Grosella Negra (Sour Blackcurrant &amp; Green Apple Ring)</t>
        </is>
      </c>
      <c r="C248" t="inlineStr">
        <is>
          <t>sabor</t>
        </is>
      </c>
      <c r="D248" s="22" t="inlineStr">
        <is>
          <t>50 ml Agua purificada limpia</t>
        </is>
      </c>
      <c r="E248" s="6" t="inlineStr">
        <is>
          <t>Agua desmineralizada o purificada</t>
        </is>
      </c>
      <c r="F248" s="16" t="n">
        <v>50</v>
      </c>
      <c r="G248" t="inlineStr">
        <is>
          <t>ml</t>
        </is>
      </c>
      <c r="H248" s="12">
        <f>IFERROR(VLOOKUP(E248,Insumos!$C$5:$G$100,5,FALSE),0)</f>
        <v/>
      </c>
      <c r="I248" s="17">
        <f>F248*H248/IF(C248="molde",MAX(1,'Mi negocio'!$C$34),1)</f>
        <v/>
      </c>
    </row>
    <row r="249">
      <c r="A249" t="n">
        <v>19</v>
      </c>
      <c r="B249" s="21" t="inlineStr">
        <is>
          <t>Aro Ácido de Manzana y Grosella Negra (Sour Blackcurrant &amp; Green Apple Ring)</t>
        </is>
      </c>
      <c r="C249" t="inlineStr">
        <is>
          <t>azucar</t>
        </is>
      </c>
      <c r="D249" s="22" t="inlineStr">
        <is>
          <t>12 g Sorbitol líquido al 70%</t>
        </is>
      </c>
      <c r="E249" s="6" t="inlineStr">
        <is>
          <t>Sorbitol líquido al 70%</t>
        </is>
      </c>
      <c r="F249" s="16" t="n">
        <v>12</v>
      </c>
      <c r="G249" t="inlineStr">
        <is>
          <t>g</t>
        </is>
      </c>
      <c r="H249" s="12">
        <f>IFERROR(VLOOKUP(E249,Insumos!$C$5:$G$100,5,FALSE),0)</f>
        <v/>
      </c>
      <c r="I249" s="17">
        <f>F249*H249/IF(C249="molde",MAX(1,'Mi negocio'!$C$34),1)</f>
        <v/>
      </c>
    </row>
    <row r="250">
      <c r="A250" t="n">
        <v>19</v>
      </c>
      <c r="B250" s="21" t="inlineStr">
        <is>
          <t>Aro Ácido de Manzana y Grosella Negra (Sour Blackcurrant &amp; Green Apple Ring)</t>
        </is>
      </c>
      <c r="C250" t="inlineStr">
        <is>
          <t>sabor</t>
        </is>
      </c>
      <c r="D250" s="22" t="inlineStr">
        <is>
          <t>2.2 g Citrato de potasio (amortiguador de pH)</t>
        </is>
      </c>
      <c r="E250" s="6" t="inlineStr">
        <is>
          <t>Citrato de potasio monohidratado</t>
        </is>
      </c>
      <c r="F250" s="16" t="n">
        <v>2.2</v>
      </c>
      <c r="G250" t="inlineStr">
        <is>
          <t>g</t>
        </is>
      </c>
      <c r="H250" s="12">
        <f>IFERROR(VLOOKUP(E250,Insumos!$C$5:$G$100,5,FALSE),0)</f>
        <v/>
      </c>
      <c r="I250" s="17">
        <f>F250*H250/IF(C250="molde",MAX(1,'Mi negocio'!$C$34),1)</f>
        <v/>
      </c>
    </row>
    <row r="251">
      <c r="A251" t="n">
        <v>19</v>
      </c>
      <c r="B251" s="21" t="inlineStr">
        <is>
          <t>Aro Ácido de Manzana y Grosella Negra (Sour Blackcurrant &amp; Green Apple Ring)</t>
        </is>
      </c>
      <c r="C251" t="inlineStr">
        <is>
          <t>sabor</t>
        </is>
      </c>
      <c r="D251" s="22" t="inlineStr">
        <is>
          <t>6 ml Solución de ácido málico al 50% p/v</t>
        </is>
      </c>
      <c r="E251" s="6" t="inlineStr">
        <is>
          <t>Ácido málico micronizado</t>
        </is>
      </c>
      <c r="F251" s="16" t="n">
        <v>6</v>
      </c>
      <c r="G251" t="inlineStr">
        <is>
          <t>g</t>
        </is>
      </c>
      <c r="H251" s="12">
        <f>IFERROR(VLOOKUP(E251,Insumos!$C$5:$G$100,5,FALSE),0)</f>
        <v/>
      </c>
      <c r="I251" s="17">
        <f>F251*H251/IF(C251="molde",MAX(1,'Mi negocio'!$C$34),1)</f>
        <v/>
      </c>
    </row>
    <row r="252">
      <c r="A252" t="n">
        <v>19</v>
      </c>
      <c r="B252" s="21" t="inlineStr">
        <is>
          <t>Aro Ácido de Manzana y Grosella Negra (Sour Blackcurrant &amp; Green Apple Ring)</t>
        </is>
      </c>
      <c r="C252" t="inlineStr">
        <is>
          <t>sabor</t>
        </is>
      </c>
      <c r="D252" s="22" t="inlineStr">
        <is>
          <t>1.5 ml Aroma natural de manzana verde ácida</t>
        </is>
      </c>
      <c r="E252" s="6" t="inlineStr">
        <is>
          <t>Aroma natural hidrosoluble concentrado</t>
        </is>
      </c>
      <c r="F252" s="16" t="n">
        <v>1.5</v>
      </c>
      <c r="G252" t="inlineStr">
        <is>
          <t>ml</t>
        </is>
      </c>
      <c r="H252" s="12">
        <f>IFERROR(VLOOKUP(E252,Insumos!$C$5:$G$100,5,FALSE),0)</f>
        <v/>
      </c>
      <c r="I252" s="17">
        <f>F252*H252/IF(C252="molde",MAX(1,'Mi negocio'!$C$34),1)</f>
        <v/>
      </c>
    </row>
    <row r="253">
      <c r="A253" t="n">
        <v>19</v>
      </c>
      <c r="B253" s="21" t="inlineStr">
        <is>
          <t>Aro Ácido de Manzana y Grosella Negra (Sour Blackcurrant &amp; Green Apple Ring)</t>
        </is>
      </c>
      <c r="C253" t="inlineStr">
        <is>
          <t>sabor</t>
        </is>
      </c>
      <c r="D253" s="22" t="inlineStr">
        <is>
          <t>0.15 g Colorante verde manzana (clorofila cúprica + tartrazina)</t>
        </is>
      </c>
      <c r="E253" s="6" t="inlineStr">
        <is>
          <t>Clorofilina cúprica (verde)</t>
        </is>
      </c>
      <c r="F253" s="16" t="n">
        <v>0.15</v>
      </c>
      <c r="G253" t="inlineStr">
        <is>
          <t>g</t>
        </is>
      </c>
      <c r="H253" s="12">
        <f>IFERROR(VLOOKUP(E253,Insumos!$C$5:$G$100,5,FALSE),0)</f>
        <v/>
      </c>
      <c r="I253" s="17">
        <f>F253*H253/IF(C253="molde",MAX(1,'Mi negocio'!$C$34),1)</f>
        <v/>
      </c>
    </row>
    <row r="254">
      <c r="A254" t="n">
        <v>19</v>
      </c>
      <c r="B254" s="21" t="inlineStr">
        <is>
          <t>Aro Ácido de Manzana y Grosella Negra (Sour Blackcurrant &amp; Green Apple Ring)</t>
        </is>
      </c>
      <c r="C254" t="inlineStr">
        <is>
          <t>sabor</t>
        </is>
      </c>
      <c r="D254" s="22" t="inlineStr">
        <is>
          <t>6 ml Solución de ácido tartárico al 50% p/v</t>
        </is>
      </c>
      <c r="E254" s="6" t="inlineStr">
        <is>
          <t>Ácido tartárico fino</t>
        </is>
      </c>
      <c r="F254" s="16" t="n">
        <v>6</v>
      </c>
      <c r="G254" t="inlineStr">
        <is>
          <t>g</t>
        </is>
      </c>
      <c r="H254" s="12">
        <f>IFERROR(VLOOKUP(E254,Insumos!$C$5:$G$100,5,FALSE),0)</f>
        <v/>
      </c>
      <c r="I254" s="17">
        <f>F254*H254/IF(C254="molde",MAX(1,'Mi negocio'!$C$34),1)</f>
        <v/>
      </c>
    </row>
    <row r="255">
      <c r="A255" t="n">
        <v>19</v>
      </c>
      <c r="B255" s="21" t="inlineStr">
        <is>
          <t>Aro Ácido de Manzana y Grosella Negra (Sour Blackcurrant &amp; Green Apple Ring)</t>
        </is>
      </c>
      <c r="C255" t="inlineStr">
        <is>
          <t>sabor</t>
        </is>
      </c>
      <c r="D255" s="22" t="inlineStr">
        <is>
          <t>1.5 ml Aroma natural de grosella negra (Ribes nigrum)</t>
        </is>
      </c>
      <c r="E255" s="6" t="inlineStr">
        <is>
          <t>Aroma natural hidrosoluble concentrado</t>
        </is>
      </c>
      <c r="F255" s="16" t="n">
        <v>1.5</v>
      </c>
      <c r="G255" t="inlineStr">
        <is>
          <t>ml</t>
        </is>
      </c>
      <c r="H255" s="12">
        <f>IFERROR(VLOOKUP(E255,Insumos!$C$5:$G$100,5,FALSE),0)</f>
        <v/>
      </c>
      <c r="I255" s="17">
        <f>F255*H255/IF(C255="molde",MAX(1,'Mi negocio'!$C$34),1)</f>
        <v/>
      </c>
    </row>
    <row r="256">
      <c r="A256" t="n">
        <v>19</v>
      </c>
      <c r="B256" s="21" t="inlineStr">
        <is>
          <t>Aro Ácido de Manzana y Grosella Negra (Sour Blackcurrant &amp; Green Apple Ring)</t>
        </is>
      </c>
      <c r="C256" t="inlineStr">
        <is>
          <t>sabor</t>
        </is>
      </c>
      <c r="D256" s="22" t="inlineStr">
        <is>
          <t>0.25 g Colorante violeta extracto de uva / zanahoria negra</t>
        </is>
      </c>
      <c r="E256" s="6" t="inlineStr">
        <is>
          <t>Colorante violeta de uva o zanahoria negra</t>
        </is>
      </c>
      <c r="F256" s="16" t="n">
        <v>0.25</v>
      </c>
      <c r="G256" t="inlineStr">
        <is>
          <t>g</t>
        </is>
      </c>
      <c r="H256" s="12">
        <f>IFERROR(VLOOKUP(E256,Insumos!$C$5:$G$100,5,FALSE),0)</f>
        <v/>
      </c>
      <c r="I256" s="17">
        <f>F256*H256/IF(C256="molde",MAX(1,'Mi negocio'!$C$34),1)</f>
        <v/>
      </c>
    </row>
    <row r="257">
      <c r="A257" t="n">
        <v>19</v>
      </c>
      <c r="B257" s="21" t="inlineStr">
        <is>
          <t>Aro Ácido de Manzana y Grosella Negra (Sour Blackcurrant &amp; Green Apple Ring)</t>
        </is>
      </c>
      <c r="C257" t="inlineStr">
        <is>
          <t>acabado</t>
        </is>
      </c>
      <c r="D257" s="22" t="inlineStr">
        <is>
          <t>90 g Azúcar refinada de grano medio (300-500 mum)</t>
        </is>
      </c>
      <c r="E257" s="6" t="inlineStr">
        <is>
          <t>Azúcar cristal de grano medio a grueso (rebozado)</t>
        </is>
      </c>
      <c r="F257" s="16" t="n">
        <v>90</v>
      </c>
      <c r="G257" t="inlineStr">
        <is>
          <t>g</t>
        </is>
      </c>
      <c r="H257" s="12">
        <f>IFERROR(VLOOKUP(E257,Insumos!$C$5:$G$100,5,FALSE),0)</f>
        <v/>
      </c>
      <c r="I257" s="17">
        <f>F257*H257/IF(C257="molde",MAX(1,'Mi negocio'!$C$34),1)</f>
        <v/>
      </c>
    </row>
    <row r="258">
      <c r="A258" t="n">
        <v>19</v>
      </c>
      <c r="B258" s="21" t="inlineStr">
        <is>
          <t>Aro Ácido de Manzana y Grosella Negra (Sour Blackcurrant &amp; Green Apple Ring)</t>
        </is>
      </c>
      <c r="C258" t="inlineStr">
        <is>
          <t>sabor</t>
        </is>
      </c>
      <c r="D258" s="22" t="inlineStr">
        <is>
          <t>20 g Ácido málico micro-encapsulado</t>
        </is>
      </c>
      <c r="E258" s="6" t="inlineStr">
        <is>
          <t>Ácido cítrico o málico micro-encapsulado</t>
        </is>
      </c>
      <c r="F258" s="16" t="n">
        <v>20</v>
      </c>
      <c r="G258" t="inlineStr">
        <is>
          <t>g</t>
        </is>
      </c>
      <c r="H258" s="12">
        <f>IFERROR(VLOOKUP(E258,Insumos!$C$5:$G$100,5,FALSE),0)</f>
        <v/>
      </c>
      <c r="I258" s="17">
        <f>F258*H258/IF(C258="molde",MAX(1,'Mi negocio'!$C$34),1)</f>
        <v/>
      </c>
    </row>
    <row r="259">
      <c r="A259" t="n">
        <v>19</v>
      </c>
      <c r="B259" s="21" t="inlineStr">
        <is>
          <t>Aro Ácido de Manzana y Grosella Negra (Sour Blackcurrant &amp; Green Apple Ring)</t>
        </is>
      </c>
      <c r="C259" t="inlineStr">
        <is>
          <t>sabor</t>
        </is>
      </c>
      <c r="D259" s="22" t="inlineStr">
        <is>
          <t>5 g Ácido cítrico fino</t>
        </is>
      </c>
      <c r="E259" s="6" t="inlineStr">
        <is>
          <t>Ácido cítrico anhidro fino</t>
        </is>
      </c>
      <c r="F259" s="16" t="n">
        <v>5</v>
      </c>
      <c r="G259" t="inlineStr">
        <is>
          <t>g</t>
        </is>
      </c>
      <c r="H259" s="12">
        <f>IFERROR(VLOOKUP(E259,Insumos!$C$5:$G$100,5,FALSE),0)</f>
        <v/>
      </c>
      <c r="I259" s="17">
        <f>F259*H259/IF(C259="molde",MAX(1,'Mi negocio'!$C$34),1)</f>
        <v/>
      </c>
    </row>
    <row r="260">
      <c r="A260" t="n">
        <v>19</v>
      </c>
      <c r="B260" s="21" t="inlineStr">
        <is>
          <t>Aro Ácido de Manzana y Grosella Negra (Sour Blackcurrant &amp; Green Apple Ring)</t>
        </is>
      </c>
      <c r="C260" t="inlineStr">
        <is>
          <t>sabor</t>
        </is>
      </c>
      <c r="D260" s="22" t="inlineStr">
        <is>
          <t>3 g Polvo liofilizado de grosella negra micronizado</t>
        </is>
      </c>
      <c r="E260" s="6" t="inlineStr">
        <is>
          <t>Puré concentrado de zarzamora, mora azul o grosella</t>
        </is>
      </c>
      <c r="F260" s="16" t="n">
        <v>3</v>
      </c>
      <c r="G260" t="inlineStr">
        <is>
          <t>g</t>
        </is>
      </c>
      <c r="H260" s="12">
        <f>IFERROR(VLOOKUP(E260,Insumos!$C$5:$G$100,5,FALSE),0)</f>
        <v/>
      </c>
      <c r="I260" s="17">
        <f>F260*H260/IF(C260="molde",MAX(1,'Mi negocio'!$C$34),1)</f>
        <v/>
      </c>
    </row>
    <row r="261">
      <c r="A261" t="n">
        <v>20</v>
      </c>
      <c r="B261" s="21" t="inlineStr">
        <is>
          <t>Lengüeta Ácida de Piña Asada y Jengibre Picante (Sour Charred Pineapple &amp; Ginger Tongue)</t>
        </is>
      </c>
      <c r="C261" t="inlineStr">
        <is>
          <t>gelificante</t>
        </is>
      </c>
      <c r="D261" s="22" t="inlineStr">
        <is>
          <t>36 g Gelatina en polvo de 240 Bloom</t>
        </is>
      </c>
      <c r="E261" s="6" t="inlineStr">
        <is>
          <t>Gelatina en polvo de 240-260 Bloom</t>
        </is>
      </c>
      <c r="F261" s="16" t="n">
        <v>36</v>
      </c>
      <c r="G261" t="inlineStr">
        <is>
          <t>g</t>
        </is>
      </c>
      <c r="H261" s="12">
        <f>IFERROR(VLOOKUP(E261,Insumos!$C$5:$G$100,5,FALSE),0)</f>
        <v/>
      </c>
      <c r="I261" s="17">
        <f>F261*H261/IF(C261="molde",MAX(1,'Mi negocio'!$C$34),1)</f>
        <v/>
      </c>
    </row>
    <row r="262">
      <c r="A262" t="n">
        <v>20</v>
      </c>
      <c r="B262" s="21" t="inlineStr">
        <is>
          <t>Lengüeta Ácida de Piña Asada y Jengibre Picante (Sour Charred Pineapple &amp; Ginger Tongue)</t>
        </is>
      </c>
      <c r="C262" t="inlineStr">
        <is>
          <t>gelificante</t>
        </is>
      </c>
      <c r="D262" s="22" t="inlineStr">
        <is>
          <t>9 g Almidón modificado de maíz fluidificado</t>
        </is>
      </c>
      <c r="E262" s="6" t="inlineStr">
        <is>
          <t>Almidón modificado de maíz fluidificado</t>
        </is>
      </c>
      <c r="F262" s="16" t="n">
        <v>9</v>
      </c>
      <c r="G262" t="inlineStr">
        <is>
          <t>g</t>
        </is>
      </c>
      <c r="H262" s="12">
        <f>IFERROR(VLOOKUP(E262,Insumos!$C$5:$G$100,5,FALSE),0)</f>
        <v/>
      </c>
      <c r="I262" s="17">
        <f>F262*H262/IF(C262="molde",MAX(1,'Mi negocio'!$C$34),1)</f>
        <v/>
      </c>
    </row>
    <row r="263">
      <c r="A263" t="n">
        <v>20</v>
      </c>
      <c r="B263" s="21" t="inlineStr">
        <is>
          <t>Lengüeta Ácida de Piña Asada y Jengibre Picante (Sour Charred Pineapple &amp; Ginger Tongue)</t>
        </is>
      </c>
      <c r="C263" t="inlineStr">
        <is>
          <t>sabor</t>
        </is>
      </c>
      <c r="D263" s="22" t="inlineStr">
        <is>
          <t>90 ml Agua desmineralizada a 15 °C</t>
        </is>
      </c>
      <c r="E263" s="6" t="inlineStr">
        <is>
          <t>Agua desmineralizada o purificada</t>
        </is>
      </c>
      <c r="F263" s="16" t="n">
        <v>90</v>
      </c>
      <c r="G263" t="inlineStr">
        <is>
          <t>ml</t>
        </is>
      </c>
      <c r="H263" s="12">
        <f>IFERROR(VLOOKUP(E263,Insumos!$C$5:$G$100,5,FALSE),0)</f>
        <v/>
      </c>
      <c r="I263" s="17">
        <f>F263*H263/IF(C263="molde",MAX(1,'Mi negocio'!$C$34),1)</f>
        <v/>
      </c>
    </row>
    <row r="264">
      <c r="A264" t="n">
        <v>20</v>
      </c>
      <c r="B264" s="21" t="inlineStr">
        <is>
          <t>Lengüeta Ácida de Piña Asada y Jengibre Picante (Sour Charred Pineapple &amp; Ginger Tongue)</t>
        </is>
      </c>
      <c r="C264" t="inlineStr">
        <is>
          <t>azucar</t>
        </is>
      </c>
      <c r="D264" s="22" t="inlineStr">
        <is>
          <t>195 g Azúcar blanca refinada pura</t>
        </is>
      </c>
      <c r="E264" s="6" t="inlineStr">
        <is>
          <t>Azúcar blanca refinada</t>
        </is>
      </c>
      <c r="F264" s="16" t="n">
        <v>195</v>
      </c>
      <c r="G264" t="inlineStr">
        <is>
          <t>g</t>
        </is>
      </c>
      <c r="H264" s="12">
        <f>IFERROR(VLOOKUP(E264,Insumos!$C$5:$G$100,5,FALSE),0)</f>
        <v/>
      </c>
      <c r="I264" s="17">
        <f>F264*H264/IF(C264="molde",MAX(1,'Mi negocio'!$C$34),1)</f>
        <v/>
      </c>
    </row>
    <row r="265">
      <c r="A265" t="n">
        <v>20</v>
      </c>
      <c r="B265" s="21" t="inlineStr">
        <is>
          <t>Lengüeta Ácida de Piña Asada y Jengibre Picante (Sour Charred Pineapple &amp; Ginger Tongue)</t>
        </is>
      </c>
      <c r="C265" t="inlineStr">
        <is>
          <t>azucar</t>
        </is>
      </c>
      <c r="D265" s="22" t="inlineStr">
        <is>
          <t>150 g Jarabe de glucosa 42DE</t>
        </is>
      </c>
      <c r="E265" s="6" t="inlineStr">
        <is>
          <t>Jarabe de glucosa 42 DE</t>
        </is>
      </c>
      <c r="F265" s="16" t="n">
        <v>150</v>
      </c>
      <c r="G265" t="inlineStr">
        <is>
          <t>g</t>
        </is>
      </c>
      <c r="H265" s="12">
        <f>IFERROR(VLOOKUP(E265,Insumos!$C$5:$G$100,5,FALSE),0)</f>
        <v/>
      </c>
      <c r="I265" s="17">
        <f>F265*H265/IF(C265="molde",MAX(1,'Mi negocio'!$C$34),1)</f>
        <v/>
      </c>
    </row>
    <row r="266">
      <c r="A266" t="n">
        <v>20</v>
      </c>
      <c r="B266" s="21" t="inlineStr">
        <is>
          <t>Lengüeta Ácida de Piña Asada y Jengibre Picante (Sour Charred Pineapple &amp; Ginger Tongue)</t>
        </is>
      </c>
      <c r="C266" t="inlineStr">
        <is>
          <t>sabor</t>
        </is>
      </c>
      <c r="D266" s="22" t="inlineStr">
        <is>
          <t>50 ml Jugo concentrado clarificado de piña asada (hervido previamente a 95 °C para inactivar bromelina)</t>
        </is>
      </c>
      <c r="E266" s="6" t="inlineStr">
        <is>
          <t>Zumo concentrado clarificado de piña, sandía o tropical</t>
        </is>
      </c>
      <c r="F266" s="16" t="n">
        <v>50</v>
      </c>
      <c r="G266" t="inlineStr">
        <is>
          <t>ml</t>
        </is>
      </c>
      <c r="H266" s="12">
        <f>IFERROR(VLOOKUP(E266,Insumos!$C$5:$G$100,5,FALSE),0)</f>
        <v/>
      </c>
      <c r="I266" s="17">
        <f>F266*H266/IF(C266="molde",MAX(1,'Mi negocio'!$C$34),1)</f>
        <v/>
      </c>
    </row>
    <row r="267">
      <c r="A267" t="n">
        <v>20</v>
      </c>
      <c r="B267" s="21" t="inlineStr">
        <is>
          <t>Lengüeta Ácida de Piña Asada y Jengibre Picante (Sour Charred Pineapple &amp; Ginger Tongue)</t>
        </is>
      </c>
      <c r="C267" t="inlineStr">
        <is>
          <t>azucar</t>
        </is>
      </c>
      <c r="D267" s="22" t="inlineStr">
        <is>
          <t>15 g Sorbitol líquido al 70%</t>
        </is>
      </c>
      <c r="E267" s="6" t="inlineStr">
        <is>
          <t>Sorbitol líquido al 70%</t>
        </is>
      </c>
      <c r="F267" s="16" t="n">
        <v>15</v>
      </c>
      <c r="G267" t="inlineStr">
        <is>
          <t>g</t>
        </is>
      </c>
      <c r="H267" s="12">
        <f>IFERROR(VLOOKUP(E267,Insumos!$C$5:$G$100,5,FALSE),0)</f>
        <v/>
      </c>
      <c r="I267" s="17">
        <f>F267*H267/IF(C267="molde",MAX(1,'Mi negocio'!$C$34),1)</f>
        <v/>
      </c>
    </row>
    <row r="268">
      <c r="A268" t="n">
        <v>20</v>
      </c>
      <c r="B268" s="21" t="inlineStr">
        <is>
          <t>Lengüeta Ácida de Piña Asada y Jengibre Picante (Sour Charred Pineapple &amp; Ginger Tongue)</t>
        </is>
      </c>
      <c r="C268" t="inlineStr">
        <is>
          <t>sabor</t>
        </is>
      </c>
      <c r="D268" s="22" t="inlineStr">
        <is>
          <t>2 g Citrato de sodio (amortiguador de pH)</t>
        </is>
      </c>
      <c r="E268" s="6" t="inlineStr">
        <is>
          <t>Citrato de sodio dihidratado</t>
        </is>
      </c>
      <c r="F268" s="16" t="n">
        <v>2</v>
      </c>
      <c r="G268" t="inlineStr">
        <is>
          <t>g</t>
        </is>
      </c>
      <c r="H268" s="12">
        <f>IFERROR(VLOOKUP(E268,Insumos!$C$5:$G$100,5,FALSE),0)</f>
        <v/>
      </c>
      <c r="I268" s="17">
        <f>F268*H268/IF(C268="molde",MAX(1,'Mi negocio'!$C$34),1)</f>
        <v/>
      </c>
    </row>
    <row r="269">
      <c r="A269" t="n">
        <v>20</v>
      </c>
      <c r="B269" s="21" t="inlineStr">
        <is>
          <t>Lengüeta Ácida de Piña Asada y Jengibre Picante (Sour Charred Pineapple &amp; Ginger Tongue)</t>
        </is>
      </c>
      <c r="C269" t="inlineStr">
        <is>
          <t>sabor</t>
        </is>
      </c>
      <c r="D269" s="22" t="inlineStr">
        <is>
          <t>10 ml Solución de ácido málico al 50% p/v</t>
        </is>
      </c>
      <c r="E269" s="6" t="inlineStr">
        <is>
          <t>Ácido málico micronizado</t>
        </is>
      </c>
      <c r="F269" s="16" t="n">
        <v>10</v>
      </c>
      <c r="G269" t="inlineStr">
        <is>
          <t>g</t>
        </is>
      </c>
      <c r="H269" s="12">
        <f>IFERROR(VLOOKUP(E269,Insumos!$C$5:$G$100,5,FALSE),0)</f>
        <v/>
      </c>
      <c r="I269" s="17">
        <f>F269*H269/IF(C269="molde",MAX(1,'Mi negocio'!$C$34),1)</f>
        <v/>
      </c>
    </row>
    <row r="270">
      <c r="A270" t="n">
        <v>20</v>
      </c>
      <c r="B270" s="21" t="inlineStr">
        <is>
          <t>Lengüeta Ácida de Piña Asada y Jengibre Picante (Sour Charred Pineapple &amp; Ginger Tongue)</t>
        </is>
      </c>
      <c r="C270" t="inlineStr">
        <is>
          <t>sabor</t>
        </is>
      </c>
      <c r="D270" s="22" t="inlineStr">
        <is>
          <t>2 ml Extracto concentrado natural de piña asada / caramelizada</t>
        </is>
      </c>
      <c r="E270" s="6" t="inlineStr">
        <is>
          <t>Extracto o infusión botánica concentrada</t>
        </is>
      </c>
      <c r="F270" s="16" t="n">
        <v>2</v>
      </c>
      <c r="G270" t="inlineStr">
        <is>
          <t>ml</t>
        </is>
      </c>
      <c r="H270" s="12">
        <f>IFERROR(VLOOKUP(E270,Insumos!$C$5:$G$100,5,FALSE),0)</f>
        <v/>
      </c>
      <c r="I270" s="17">
        <f>F270*H270/IF(C270="molde",MAX(1,'Mi negocio'!$C$34),1)</f>
        <v/>
      </c>
    </row>
    <row r="271">
      <c r="A271" t="n">
        <v>20</v>
      </c>
      <c r="B271" s="21" t="inlineStr">
        <is>
          <t>Lengüeta Ácida de Piña Asada y Jengibre Picante (Sour Charred Pineapple &amp; Ginger Tongue)</t>
        </is>
      </c>
      <c r="C271" t="inlineStr">
        <is>
          <t>sabor</t>
        </is>
      </c>
      <c r="D271" s="22" t="inlineStr">
        <is>
          <t>1.5 ml Oleorresina o extracto fluido natural de jengibre estandarizado (5% gingeroles)</t>
        </is>
      </c>
      <c r="E271" s="6" t="inlineStr">
        <is>
          <t>Oleorresina estandarizada de chile</t>
        </is>
      </c>
      <c r="F271" s="16" t="n">
        <v>1.5</v>
      </c>
      <c r="G271" t="inlineStr">
        <is>
          <t>ml</t>
        </is>
      </c>
      <c r="H271" s="12">
        <f>IFERROR(VLOOKUP(E271,Insumos!$C$5:$G$100,5,FALSE),0)</f>
        <v/>
      </c>
      <c r="I271" s="17">
        <f>F271*H271/IF(C271="molde",MAX(1,'Mi negocio'!$C$34),1)</f>
        <v/>
      </c>
    </row>
    <row r="272">
      <c r="A272" t="n">
        <v>20</v>
      </c>
      <c r="B272" s="21" t="inlineStr">
        <is>
          <t>Lengüeta Ácida de Piña Asada y Jengibre Picante (Sour Charred Pineapple &amp; Ginger Tongue)</t>
        </is>
      </c>
      <c r="C272" t="inlineStr">
        <is>
          <t>sabor</t>
        </is>
      </c>
      <c r="D272" s="22" t="inlineStr">
        <is>
          <t>0.25 g Colorante amarillo curcumina + traza de caramelo</t>
        </is>
      </c>
      <c r="E272" s="6" t="inlineStr">
        <is>
          <t>Colorante amarillo curcumina hidrosoluble</t>
        </is>
      </c>
      <c r="F272" s="16" t="n">
        <v>0.25</v>
      </c>
      <c r="G272" t="inlineStr">
        <is>
          <t>g</t>
        </is>
      </c>
      <c r="H272" s="12">
        <f>IFERROR(VLOOKUP(E272,Insumos!$C$5:$G$100,5,FALSE),0)</f>
        <v/>
      </c>
      <c r="I272" s="17">
        <f>F272*H272/IF(C272="molde",MAX(1,'Mi negocio'!$C$34),1)</f>
        <v/>
      </c>
    </row>
    <row r="273">
      <c r="A273" t="n">
        <v>20</v>
      </c>
      <c r="B273" s="21" t="inlineStr">
        <is>
          <t>Lengüeta Ácida de Piña Asada y Jengibre Picante (Sour Charred Pineapple &amp; Ginger Tongue)</t>
        </is>
      </c>
      <c r="C273" t="inlineStr">
        <is>
          <t>acabado</t>
        </is>
      </c>
      <c r="D273" s="22" t="inlineStr">
        <is>
          <t>90 g Azúcar refinada de grano medio (300-500 mum)</t>
        </is>
      </c>
      <c r="E273" s="6" t="inlineStr">
        <is>
          <t>Azúcar cristal de grano medio a grueso (rebozado)</t>
        </is>
      </c>
      <c r="F273" s="16" t="n">
        <v>90</v>
      </c>
      <c r="G273" t="inlineStr">
        <is>
          <t>g</t>
        </is>
      </c>
      <c r="H273" s="12">
        <f>IFERROR(VLOOKUP(E273,Insumos!$C$5:$G$100,5,FALSE),0)</f>
        <v/>
      </c>
      <c r="I273" s="17">
        <f>F273*H273/IF(C273="molde",MAX(1,'Mi negocio'!$C$34),1)</f>
        <v/>
      </c>
    </row>
    <row r="274">
      <c r="A274" t="n">
        <v>20</v>
      </c>
      <c r="B274" s="21" t="inlineStr">
        <is>
          <t>Lengüeta Ácida de Piña Asada y Jengibre Picante (Sour Charred Pineapple &amp; Ginger Tongue)</t>
        </is>
      </c>
      <c r="C274" t="inlineStr">
        <is>
          <t>acabado</t>
        </is>
      </c>
      <c r="D274" s="22" t="inlineStr">
        <is>
          <t>20 g Ácido málico micro-encapsulado</t>
        </is>
      </c>
      <c r="E274" s="6" t="inlineStr">
        <is>
          <t>Ácido cítrico o málico micro-encapsulado</t>
        </is>
      </c>
      <c r="F274" s="16" t="n">
        <v>20</v>
      </c>
      <c r="G274" t="inlineStr">
        <is>
          <t>g</t>
        </is>
      </c>
      <c r="H274" s="12">
        <f>IFERROR(VLOOKUP(E274,Insumos!$C$5:$G$100,5,FALSE),0)</f>
        <v/>
      </c>
      <c r="I274" s="17">
        <f>F274*H274/IF(C274="molde",MAX(1,'Mi negocio'!$C$34),1)</f>
        <v/>
      </c>
    </row>
    <row r="275">
      <c r="A275" t="n">
        <v>20</v>
      </c>
      <c r="B275" s="21" t="inlineStr">
        <is>
          <t>Lengüeta Ácida de Piña Asada y Jengibre Picante (Sour Charred Pineapple &amp; Ginger Tongue)</t>
        </is>
      </c>
      <c r="C275" t="inlineStr">
        <is>
          <t>acabado</t>
        </is>
      </c>
      <c r="D275" s="22" t="inlineStr">
        <is>
          <t>8 g Ácido cítrico fino</t>
        </is>
      </c>
      <c r="E275" s="6" t="inlineStr">
        <is>
          <t>Ácido cítrico anhidro fino</t>
        </is>
      </c>
      <c r="F275" s="16" t="n">
        <v>8</v>
      </c>
      <c r="G275" t="inlineStr">
        <is>
          <t>g</t>
        </is>
      </c>
      <c r="H275" s="12">
        <f>IFERROR(VLOOKUP(E275,Insumos!$C$5:$G$100,5,FALSE),0)</f>
        <v/>
      </c>
      <c r="I275" s="17">
        <f>F275*H275/IF(C275="molde",MAX(1,'Mi negocio'!$C$34),1)</f>
        <v/>
      </c>
    </row>
    <row r="276">
      <c r="A276" t="n">
        <v>20</v>
      </c>
      <c r="B276" s="21" t="inlineStr">
        <is>
          <t>Lengüeta Ácida de Piña Asada y Jengibre Picante (Sour Charred Pineapple &amp; Ginger Tongue)</t>
        </is>
      </c>
      <c r="C276" t="inlineStr">
        <is>
          <t>acabado</t>
        </is>
      </c>
      <c r="D276" s="22" t="inlineStr">
        <is>
          <t>2 g Jengibre puro en polvo micronizado (&lt;80 mum)</t>
        </is>
      </c>
      <c r="E276" s="6" t="inlineStr">
        <is>
          <t>Canela, jengibre o especia micronizada</t>
        </is>
      </c>
      <c r="F276" s="16" t="n">
        <v>2</v>
      </c>
      <c r="G276" t="inlineStr">
        <is>
          <t>g</t>
        </is>
      </c>
      <c r="H276" s="12">
        <f>IFERROR(VLOOKUP(E276,Insumos!$C$5:$G$100,5,FALSE),0)</f>
        <v/>
      </c>
      <c r="I276" s="17">
        <f>F276*H276/IF(C276="molde",MAX(1,'Mi negocio'!$C$34),1)</f>
        <v/>
      </c>
    </row>
    <row r="277">
      <c r="A277" t="n">
        <v>21</v>
      </c>
      <c r="B277" s="21" t="inlineStr">
        <is>
          <t>Gomita de Tamarindo Concentrado al Chile Guajillo y Piquín (Spiced Tamarind &amp; Guajillo-Piquín Drop)</t>
        </is>
      </c>
      <c r="C277" t="inlineStr">
        <is>
          <t>gelificante</t>
        </is>
      </c>
      <c r="D277" s="22" t="inlineStr">
        <is>
          <t>38 g Gelatina en polvo de res de 240 Bloom</t>
        </is>
      </c>
      <c r="E277" s="6" t="inlineStr">
        <is>
          <t>Gelatina en polvo de 240-260 Bloom</t>
        </is>
      </c>
      <c r="F277" s="16" t="n">
        <v>38</v>
      </c>
      <c r="G277" t="inlineStr">
        <is>
          <t>g</t>
        </is>
      </c>
      <c r="H277" s="12">
        <f>IFERROR(VLOOKUP(E277,Insumos!$C$5:$G$100,5,FALSE),0)</f>
        <v/>
      </c>
      <c r="I277" s="17">
        <f>F277*H277/IF(C277="molde",MAX(1,'Mi negocio'!$C$34),1)</f>
        <v/>
      </c>
    </row>
    <row r="278">
      <c r="A278" t="n">
        <v>21</v>
      </c>
      <c r="B278" s="21" t="inlineStr">
        <is>
          <t>Gomita de Tamarindo Concentrado al Chile Guajillo y Piquín (Spiced Tamarind &amp; Guajillo-Piquín Drop)</t>
        </is>
      </c>
      <c r="C278" t="inlineStr">
        <is>
          <t>gelificante</t>
        </is>
      </c>
      <c r="D278" s="22" t="inlineStr">
        <is>
          <t>7.5 g Pectina de Alto Metoxilo lenta (HM Slow-Set)</t>
        </is>
      </c>
      <c r="E278" s="6" t="inlineStr">
        <is>
          <t>Pectina de alto metoxilo lenta (HM slow-set)</t>
        </is>
      </c>
      <c r="F278" s="16" t="n">
        <v>7.5</v>
      </c>
      <c r="G278" t="inlineStr">
        <is>
          <t>g</t>
        </is>
      </c>
      <c r="H278" s="12">
        <f>IFERROR(VLOOKUP(E278,Insumos!$C$5:$G$100,5,FALSE),0)</f>
        <v/>
      </c>
      <c r="I278" s="17">
        <f>F278*H278/IF(C278="molde",MAX(1,'Mi negocio'!$C$34),1)</f>
        <v/>
      </c>
    </row>
    <row r="279">
      <c r="A279" t="n">
        <v>21</v>
      </c>
      <c r="B279" s="21" t="inlineStr">
        <is>
          <t>Gomita de Tamarindo Concentrado al Chile Guajillo y Piquín (Spiced Tamarind &amp; Guajillo-Piquín Drop)</t>
        </is>
      </c>
      <c r="C279" t="inlineStr">
        <is>
          <t>azucar</t>
        </is>
      </c>
      <c r="D279" s="22" t="inlineStr">
        <is>
          <t>25 g Azúcar refinada (para dispersar la pectina en seco)</t>
        </is>
      </c>
      <c r="E279" s="6" t="inlineStr">
        <is>
          <t>Azúcar blanca refinada</t>
        </is>
      </c>
      <c r="F279" s="16" t="n">
        <v>25</v>
      </c>
      <c r="G279" t="inlineStr">
        <is>
          <t>g</t>
        </is>
      </c>
      <c r="H279" s="12">
        <f>IFERROR(VLOOKUP(E279,Insumos!$C$5:$G$100,5,FALSE),0)</f>
        <v/>
      </c>
      <c r="I279" s="17">
        <f>F279*H279/IF(C279="molde",MAX(1,'Mi negocio'!$C$34),1)</f>
        <v/>
      </c>
    </row>
    <row r="280">
      <c r="A280" t="n">
        <v>21</v>
      </c>
      <c r="B280" s="21" t="inlineStr">
        <is>
          <t>Gomita de Tamarindo Concentrado al Chile Guajillo y Piquín (Spiced Tamarind &amp; Guajillo-Piquín Drop)</t>
        </is>
      </c>
      <c r="C280" t="inlineStr">
        <is>
          <t>sabor</t>
        </is>
      </c>
      <c r="D280" s="22" t="inlineStr">
        <is>
          <t>85 ml Agua desmineralizada a 15 °C (para hidratar la gelatina)</t>
        </is>
      </c>
      <c r="E280" s="6" t="inlineStr">
        <is>
          <t>Agua desmineralizada o purificada</t>
        </is>
      </c>
      <c r="F280" s="16" t="n">
        <v>85</v>
      </c>
      <c r="G280" t="inlineStr">
        <is>
          <t>ml</t>
        </is>
      </c>
      <c r="H280" s="12">
        <f>IFERROR(VLOOKUP(E280,Insumos!$C$5:$G$100,5,FALSE),0)</f>
        <v/>
      </c>
      <c r="I280" s="17">
        <f>F280*H280/IF(C280="molde",MAX(1,'Mi negocio'!$C$34),1)</f>
        <v/>
      </c>
    </row>
    <row r="281">
      <c r="A281" t="n">
        <v>21</v>
      </c>
      <c r="B281" s="21" t="inlineStr">
        <is>
          <t>Gomita de Tamarindo Concentrado al Chile Guajillo y Piquín (Spiced Tamarind &amp; Guajillo-Piquín Drop)</t>
        </is>
      </c>
      <c r="C281" t="inlineStr">
        <is>
          <t>sabor</t>
        </is>
      </c>
      <c r="D281" s="22" t="inlineStr">
        <is>
          <t>50 ml Agua purificada tibia (para disolver la pectina)</t>
        </is>
      </c>
      <c r="E281" s="6" t="inlineStr">
        <is>
          <t>Agua desmineralizada o purificada</t>
        </is>
      </c>
      <c r="F281" s="16" t="n">
        <v>50</v>
      </c>
      <c r="G281" t="inlineStr">
        <is>
          <t>ml</t>
        </is>
      </c>
      <c r="H281" s="12">
        <f>IFERROR(VLOOKUP(E281,Insumos!$C$5:$G$100,5,FALSE),0)</f>
        <v/>
      </c>
      <c r="I281" s="17">
        <f>F281*H281/IF(C281="molde",MAX(1,'Mi negocio'!$C$34),1)</f>
        <v/>
      </c>
    </row>
    <row r="282">
      <c r="A282" t="n">
        <v>21</v>
      </c>
      <c r="B282" s="21" t="inlineStr">
        <is>
          <t>Gomita de Tamarindo Concentrado al Chile Guajillo y Piquín (Spiced Tamarind &amp; Guajillo-Piquín Drop)</t>
        </is>
      </c>
      <c r="C282" t="inlineStr">
        <is>
          <t>azucar</t>
        </is>
      </c>
      <c r="D282" s="22" t="inlineStr">
        <is>
          <t>180 g Azúcar blanca refinada pura</t>
        </is>
      </c>
      <c r="E282" s="6" t="inlineStr">
        <is>
          <t>Azúcar blanca refinada</t>
        </is>
      </c>
      <c r="F282" s="16" t="n">
        <v>180</v>
      </c>
      <c r="G282" t="inlineStr">
        <is>
          <t>g</t>
        </is>
      </c>
      <c r="H282" s="12">
        <f>IFERROR(VLOOKUP(E282,Insumos!$C$5:$G$100,5,FALSE),0)</f>
        <v/>
      </c>
      <c r="I282" s="17">
        <f>F282*H282/IF(C282="molde",MAX(1,'Mi negocio'!$C$34),1)</f>
        <v/>
      </c>
    </row>
    <row r="283">
      <c r="A283" t="n">
        <v>21</v>
      </c>
      <c r="B283" s="21" t="inlineStr">
        <is>
          <t>Gomita de Tamarindo Concentrado al Chile Guajillo y Piquín (Spiced Tamarind &amp; Guajillo-Piquín Drop)</t>
        </is>
      </c>
      <c r="C283" t="inlineStr">
        <is>
          <t>azucar</t>
        </is>
      </c>
      <c r="D283" s="22" t="inlineStr">
        <is>
          <t>145 g Jarabe de glucosa 42DE</t>
        </is>
      </c>
      <c r="E283" s="6" t="inlineStr">
        <is>
          <t>Jarabe de glucosa 42 DE</t>
        </is>
      </c>
      <c r="F283" s="16" t="n">
        <v>145</v>
      </c>
      <c r="G283" t="inlineStr">
        <is>
          <t>g</t>
        </is>
      </c>
      <c r="H283" s="12">
        <f>IFERROR(VLOOKUP(E283,Insumos!$C$5:$G$100,5,FALSE),0)</f>
        <v/>
      </c>
      <c r="I283" s="17">
        <f>F283*H283/IF(C283="molde",MAX(1,'Mi negocio'!$C$34),1)</f>
        <v/>
      </c>
    </row>
    <row r="284">
      <c r="A284" t="n">
        <v>21</v>
      </c>
      <c r="B284" s="21" t="inlineStr">
        <is>
          <t>Gomita de Tamarindo Concentrado al Chile Guajillo y Piquín (Spiced Tamarind &amp; Guajillo-Piquín Drop)</t>
        </is>
      </c>
      <c r="C284" t="inlineStr">
        <is>
          <t>sabor</t>
        </is>
      </c>
      <c r="D284" s="22" t="inlineStr">
        <is>
          <t>60 g Concentrado de pulpa de tamarindo 100% puro (despulpado en caliente y tamizado a 100 mum, ≈18)</t>
        </is>
      </c>
      <c r="E284" s="6" t="inlineStr">
        <is>
          <t>Concentrado de pulpa de tamarindo puro</t>
        </is>
      </c>
      <c r="F284" s="16" t="n">
        <v>60</v>
      </c>
      <c r="G284" t="inlineStr">
        <is>
          <t>g</t>
        </is>
      </c>
      <c r="H284" s="12">
        <f>IFERROR(VLOOKUP(E284,Insumos!$C$5:$G$100,5,FALSE),0)</f>
        <v/>
      </c>
      <c r="I284" s="17">
        <f>F284*H284/IF(C284="molde",MAX(1,'Mi negocio'!$C$34),1)</f>
        <v/>
      </c>
    </row>
    <row r="285">
      <c r="A285" t="n">
        <v>21</v>
      </c>
      <c r="B285" s="21" t="inlineStr">
        <is>
          <t>Gomita de Tamarindo Concentrado al Chile Guajillo y Piquín (Spiced Tamarind &amp; Guajillo-Piquín Drop)</t>
        </is>
      </c>
      <c r="C285" t="inlineStr">
        <is>
          <t>azucar</t>
        </is>
      </c>
      <c r="D285" s="22" t="inlineStr">
        <is>
          <t>15 g Sorbitol líquido al 70%</t>
        </is>
      </c>
      <c r="E285" s="6" t="inlineStr">
        <is>
          <t>Sorbitol líquido al 70%</t>
        </is>
      </c>
      <c r="F285" s="16" t="n">
        <v>15</v>
      </c>
      <c r="G285" t="inlineStr">
        <is>
          <t>g</t>
        </is>
      </c>
      <c r="H285" s="12">
        <f>IFERROR(VLOOKUP(E285,Insumos!$C$5:$G$100,5,FALSE),0)</f>
        <v/>
      </c>
      <c r="I285" s="17">
        <f>F285*H285/IF(C285="molde",MAX(1,'Mi negocio'!$C$34),1)</f>
        <v/>
      </c>
    </row>
    <row r="286">
      <c r="A286" t="n">
        <v>21</v>
      </c>
      <c r="B286" s="21" t="inlineStr">
        <is>
          <t>Gomita de Tamarindo Concentrado al Chile Guajillo y Piquín (Spiced Tamarind &amp; Guajillo-Piquín Drop)</t>
        </is>
      </c>
      <c r="C286" t="inlineStr">
        <is>
          <t>sabor</t>
        </is>
      </c>
      <c r="D286" s="22" t="inlineStr">
        <is>
          <t>2.5 g Citrato de sodio dihidratado (regulador de pH)</t>
        </is>
      </c>
      <c r="E286" s="6" t="inlineStr">
        <is>
          <t>Citrato de sodio dihidratado</t>
        </is>
      </c>
      <c r="F286" s="16" t="n">
        <v>2.5</v>
      </c>
      <c r="G286" t="inlineStr">
        <is>
          <t>g</t>
        </is>
      </c>
      <c r="H286" s="12">
        <f>IFERROR(VLOOKUP(E286,Insumos!$C$5:$G$100,5,FALSE),0)</f>
        <v/>
      </c>
      <c r="I286" s="17">
        <f>F286*H286/IF(C286="molde",MAX(1,'Mi negocio'!$C$34),1)</f>
        <v/>
      </c>
    </row>
    <row r="287">
      <c r="A287" t="n">
        <v>21</v>
      </c>
      <c r="B287" s="21" t="inlineStr">
        <is>
          <t>Gomita de Tamarindo Concentrado al Chile Guajillo y Piquín (Spiced Tamarind &amp; Guajillo-Piquín Drop)</t>
        </is>
      </c>
      <c r="C287" t="inlineStr">
        <is>
          <t>sabor</t>
        </is>
      </c>
      <c r="D287" s="22" t="inlineStr">
        <is>
          <t>6 ml Solución de ácido cítrico al 50% p/v</t>
        </is>
      </c>
      <c r="E287" s="6" t="inlineStr">
        <is>
          <t>Solución de ácido cítrico al 50% p/v (elaborada)</t>
        </is>
      </c>
      <c r="F287" s="16" t="n">
        <v>6</v>
      </c>
      <c r="G287" t="inlineStr">
        <is>
          <t>ml</t>
        </is>
      </c>
      <c r="H287" s="12">
        <f>IFERROR(VLOOKUP(E287,Insumos!$C$5:$G$100,5,FALSE),0)</f>
        <v/>
      </c>
      <c r="I287" s="17">
        <f>F287*H287/IF(C287="molde",MAX(1,'Mi negocio'!$C$34),1)</f>
        <v/>
      </c>
    </row>
    <row r="288">
      <c r="A288" t="n">
        <v>21</v>
      </c>
      <c r="B288" s="21" t="inlineStr">
        <is>
          <t>Gomita de Tamarindo Concentrado al Chile Guajillo y Piquín (Spiced Tamarind &amp; Guajillo-Piquín Drop)</t>
        </is>
      </c>
      <c r="C288" t="inlineStr">
        <is>
          <t>sabor</t>
        </is>
      </c>
      <c r="D288" s="22" t="inlineStr">
        <is>
          <t>4 ml Solución de ácido tartárico al 50% p/v</t>
        </is>
      </c>
      <c r="E288" s="6" t="inlineStr">
        <is>
          <t>Ácido tartárico fino</t>
        </is>
      </c>
      <c r="F288" s="16" t="n">
        <v>4</v>
      </c>
      <c r="G288" t="inlineStr">
        <is>
          <t>g</t>
        </is>
      </c>
      <c r="H288" s="12">
        <f>IFERROR(VLOOKUP(E288,Insumos!$C$5:$G$100,5,FALSE),0)</f>
        <v/>
      </c>
      <c r="I288" s="17">
        <f>F288*H288/IF(C288="molde",MAX(1,'Mi negocio'!$C$34),1)</f>
        <v/>
      </c>
    </row>
    <row r="289">
      <c r="A289" t="n">
        <v>21</v>
      </c>
      <c r="B289" s="21" t="inlineStr">
        <is>
          <t>Gomita de Tamarindo Concentrado al Chile Guajillo y Piquín (Spiced Tamarind &amp; Guajillo-Piquín Drop)</t>
        </is>
      </c>
      <c r="C289" t="inlineStr">
        <is>
          <t>sabor</t>
        </is>
      </c>
      <c r="D289" s="22" t="inlineStr">
        <is>
          <t>0.8 ml Oleorresina de chile guajillo desvenado (extracto oleoso hidrófugo sin semillas)</t>
        </is>
      </c>
      <c r="E289" s="6" t="inlineStr">
        <is>
          <t>Oleorresina estandarizada de chile</t>
        </is>
      </c>
      <c r="F289" s="16" t="n">
        <v>0.8</v>
      </c>
      <c r="G289" t="inlineStr">
        <is>
          <t>ml</t>
        </is>
      </c>
      <c r="H289" s="12">
        <f>IFERROR(VLOOKUP(E289,Insumos!$C$5:$G$100,5,FALSE),0)</f>
        <v/>
      </c>
      <c r="I289" s="17">
        <f>F289*H289/IF(C289="molde",MAX(1,'Mi negocio'!$C$34),1)</f>
        <v/>
      </c>
    </row>
    <row r="290">
      <c r="A290" t="n">
        <v>21</v>
      </c>
      <c r="B290" s="21" t="inlineStr">
        <is>
          <t>Gomita de Tamarindo Concentrado al Chile Guajillo y Piquín (Spiced Tamarind &amp; Guajillo-Piquín Drop)</t>
        </is>
      </c>
      <c r="C290" t="inlineStr">
        <is>
          <t>sabor</t>
        </is>
      </c>
      <c r="D290" s="22" t="inlineStr">
        <is>
          <t>0.4 g Colorante natural extracto de caramelo clase IV + carmín (pardo rojizo profundo)</t>
        </is>
      </c>
      <c r="E290" s="6" t="inlineStr">
        <is>
          <t>Colorante caramelo clase IV</t>
        </is>
      </c>
      <c r="F290" s="16" t="n">
        <v>0.4</v>
      </c>
      <c r="G290" t="inlineStr">
        <is>
          <t>ml</t>
        </is>
      </c>
      <c r="H290" s="12">
        <f>IFERROR(VLOOKUP(E290,Insumos!$C$5:$G$100,5,FALSE),0)</f>
        <v/>
      </c>
      <c r="I290" s="17">
        <f>F290*H290/IF(C290="molde",MAX(1,'Mi negocio'!$C$34),1)</f>
        <v/>
      </c>
    </row>
    <row r="291">
      <c r="A291" t="n">
        <v>21</v>
      </c>
      <c r="B291" s="21" t="inlineStr">
        <is>
          <t>Gomita de Tamarindo Concentrado al Chile Guajillo y Piquín (Spiced Tamarind &amp; Guajillo-Piquín Drop)</t>
        </is>
      </c>
      <c r="C291" t="inlineStr">
        <is>
          <t>acabado</t>
        </is>
      </c>
      <c r="D291" s="22" t="inlineStr">
        <is>
          <t>70 g Azúcar blanca refinada de grano medio (300-450 mum)</t>
        </is>
      </c>
      <c r="E291" s="6" t="inlineStr">
        <is>
          <t>Azúcar blanca refinada</t>
        </is>
      </c>
      <c r="F291" s="16" t="n">
        <v>70</v>
      </c>
      <c r="G291" t="inlineStr">
        <is>
          <t>g</t>
        </is>
      </c>
      <c r="H291" s="12">
        <f>IFERROR(VLOOKUP(E291,Insumos!$C$5:$G$100,5,FALSE),0)</f>
        <v/>
      </c>
      <c r="I291" s="17">
        <f>F291*H291/IF(C291="molde",MAX(1,'Mi negocio'!$C$34),1)</f>
        <v/>
      </c>
    </row>
    <row r="292">
      <c r="A292" t="n">
        <v>21</v>
      </c>
      <c r="B292" s="21" t="inlineStr">
        <is>
          <t>Gomita de Tamarindo Concentrado al Chile Guajillo y Piquín (Spiced Tamarind &amp; Guajillo-Piquín Drop)</t>
        </is>
      </c>
      <c r="C292" t="inlineStr">
        <is>
          <t>acabado</t>
        </is>
      </c>
      <c r="D292" s="22" t="inlineStr">
        <is>
          <t>20 g Polvo puro de chile piquín sonorense deshidratado en frío (&lt;80 mum, picor vivo)</t>
        </is>
      </c>
      <c r="E292" s="6" t="inlineStr">
        <is>
          <t>Chile piquín o chiltepín en polvo fino</t>
        </is>
      </c>
      <c r="F292" s="16" t="n">
        <v>20</v>
      </c>
      <c r="G292" t="inlineStr">
        <is>
          <t>g</t>
        </is>
      </c>
      <c r="H292" s="12">
        <f>IFERROR(VLOOKUP(E292,Insumos!$C$5:$G$100,5,FALSE),0)</f>
        <v/>
      </c>
      <c r="I292" s="17">
        <f>F292*H292/IF(C292="molde",MAX(1,'Mi negocio'!$C$34),1)</f>
        <v/>
      </c>
    </row>
    <row r="293">
      <c r="A293" t="n">
        <v>21</v>
      </c>
      <c r="B293" s="21" t="inlineStr">
        <is>
          <t>Gomita de Tamarindo Concentrado al Chile Guajillo y Piquín (Spiced Tamarind &amp; Guajillo-Piquín Drop)</t>
        </is>
      </c>
      <c r="C293" t="inlineStr">
        <is>
          <t>acabado</t>
        </is>
      </c>
      <c r="D293" s="22" t="inlineStr">
        <is>
          <t>15 g Polvo de chile guajillo seco tamizado (aporta coloración carmín y notas ahumadas dulces)</t>
        </is>
      </c>
      <c r="E293" s="6" t="inlineStr">
        <is>
          <t>Chile guajillo, árbol o pasilla en polvo</t>
        </is>
      </c>
      <c r="F293" s="16" t="n">
        <v>15</v>
      </c>
      <c r="G293" t="inlineStr">
        <is>
          <t>g</t>
        </is>
      </c>
      <c r="H293" s="12">
        <f>IFERROR(VLOOKUP(E293,Insumos!$C$5:$G$100,5,FALSE),0)</f>
        <v/>
      </c>
      <c r="I293" s="17">
        <f>F293*H293/IF(C293="molde",MAX(1,'Mi negocio'!$C$34),1)</f>
        <v/>
      </c>
    </row>
    <row r="294">
      <c r="A294" t="n">
        <v>21</v>
      </c>
      <c r="B294" s="21" t="inlineStr">
        <is>
          <t>Gomita de Tamarindo Concentrado al Chile Guajillo y Piquín (Spiced Tamarind &amp; Guajillo-Piquín Drop)</t>
        </is>
      </c>
      <c r="C294" t="inlineStr">
        <is>
          <t>acabado</t>
        </is>
      </c>
      <c r="D294" s="22" t="inlineStr">
        <is>
          <t>8 g Sal de grano de Colima micro-pulverizada (&lt;50 mum)</t>
        </is>
      </c>
      <c r="E294" s="6" t="inlineStr">
        <is>
          <t>Sal marina fina o flor de sal</t>
        </is>
      </c>
      <c r="F294" s="16" t="n">
        <v>8</v>
      </c>
      <c r="G294" t="inlineStr">
        <is>
          <t>g</t>
        </is>
      </c>
      <c r="H294" s="12">
        <f>IFERROR(VLOOKUP(E294,Insumos!$C$5:$G$100,5,FALSE),0)</f>
        <v/>
      </c>
      <c r="I294" s="17">
        <f>F294*H294/IF(C294="molde",MAX(1,'Mi negocio'!$C$34),1)</f>
        <v/>
      </c>
    </row>
    <row r="295">
      <c r="A295" t="n">
        <v>21</v>
      </c>
      <c r="B295" s="21" t="inlineStr">
        <is>
          <t>Gomita de Tamarindo Concentrado al Chile Guajillo y Piquín (Spiced Tamarind &amp; Guajillo-Piquín Drop)</t>
        </is>
      </c>
      <c r="C295" t="inlineStr">
        <is>
          <t>acabado</t>
        </is>
      </c>
      <c r="D295" s="22" t="inlineStr">
        <is>
          <t>5 g Ácido cítrico micro-encapsulado con grasa vegetal hidrogenada</t>
        </is>
      </c>
      <c r="E295" s="6" t="inlineStr">
        <is>
          <t>Ácido cítrico o málico micro-encapsulado</t>
        </is>
      </c>
      <c r="F295" s="16" t="n">
        <v>5</v>
      </c>
      <c r="G295" t="inlineStr">
        <is>
          <t>g</t>
        </is>
      </c>
      <c r="H295" s="12">
        <f>IFERROR(VLOOKUP(E295,Insumos!$C$5:$G$100,5,FALSE),0)</f>
        <v/>
      </c>
      <c r="I295" s="17">
        <f>F295*H295/IF(C295="molde",MAX(1,'Mi negocio'!$C$34),1)</f>
        <v/>
      </c>
    </row>
    <row r="296">
      <c r="A296" t="n">
        <v>22</v>
      </c>
      <c r="B296" s="21" t="inlineStr">
        <is>
          <t>Gota de Mango Verde con Chamoy Glaseado y Chile Morita (Glazed Mango-Chamoy &amp; Smoked Morita Pepper)</t>
        </is>
      </c>
      <c r="C296" t="inlineStr">
        <is>
          <t>gelificante</t>
        </is>
      </c>
      <c r="D296" s="22" t="inlineStr">
        <is>
          <t>44 g Gelatina en polvo de 250 Bloom</t>
        </is>
      </c>
      <c r="E296" s="6" t="inlineStr">
        <is>
          <t>Gelatina en polvo de 240-260 Bloom</t>
        </is>
      </c>
      <c r="F296" s="16" t="n">
        <v>44</v>
      </c>
      <c r="G296" t="inlineStr">
        <is>
          <t>g</t>
        </is>
      </c>
      <c r="H296" s="12">
        <f>IFERROR(VLOOKUP(E296,Insumos!$C$5:$G$100,5,FALSE),0)</f>
        <v/>
      </c>
      <c r="I296" s="17">
        <f>F296*H296/IF(C296="molde",MAX(1,'Mi negocio'!$C$34),1)</f>
        <v/>
      </c>
    </row>
    <row r="297">
      <c r="A297" t="n">
        <v>22</v>
      </c>
      <c r="B297" s="21" t="inlineStr">
        <is>
          <t>Gota de Mango Verde con Chamoy Glaseado y Chile Morita (Glazed Mango-Chamoy &amp; Smoked Morita Pepper)</t>
        </is>
      </c>
      <c r="C297" t="inlineStr">
        <is>
          <t>sabor</t>
        </is>
      </c>
      <c r="D297" s="22" t="inlineStr">
        <is>
          <t>95 ml Agua desmineralizada a 15 °C</t>
        </is>
      </c>
      <c r="E297" s="6" t="inlineStr">
        <is>
          <t>Agua desmineralizada o purificada</t>
        </is>
      </c>
      <c r="F297" s="16" t="n">
        <v>95</v>
      </c>
      <c r="G297" t="inlineStr">
        <is>
          <t>ml</t>
        </is>
      </c>
      <c r="H297" s="12">
        <f>IFERROR(VLOOKUP(E297,Insumos!$C$5:$G$100,5,FALSE),0)</f>
        <v/>
      </c>
      <c r="I297" s="17">
        <f>F297*H297/IF(C297="molde",MAX(1,'Mi negocio'!$C$34),1)</f>
        <v/>
      </c>
    </row>
    <row r="298">
      <c r="A298" t="n">
        <v>22</v>
      </c>
      <c r="B298" s="21" t="inlineStr">
        <is>
          <t>Gota de Mango Verde con Chamoy Glaseado y Chile Morita (Glazed Mango-Chamoy &amp; Smoked Morita Pepper)</t>
        </is>
      </c>
      <c r="C298" t="inlineStr">
        <is>
          <t>azucar</t>
        </is>
      </c>
      <c r="D298" s="22" t="inlineStr">
        <is>
          <t>195 g Azúcar blanca refinada pura</t>
        </is>
      </c>
      <c r="E298" s="6" t="inlineStr">
        <is>
          <t>Azúcar blanca refinada</t>
        </is>
      </c>
      <c r="F298" s="16" t="n">
        <v>195</v>
      </c>
      <c r="G298" t="inlineStr">
        <is>
          <t>g</t>
        </is>
      </c>
      <c r="H298" s="12">
        <f>IFERROR(VLOOKUP(E298,Insumos!$C$5:$G$100,5,FALSE),0)</f>
        <v/>
      </c>
      <c r="I298" s="17">
        <f>F298*H298/IF(C298="molde",MAX(1,'Mi negocio'!$C$34),1)</f>
        <v/>
      </c>
    </row>
    <row r="299">
      <c r="A299" t="n">
        <v>22</v>
      </c>
      <c r="B299" s="21" t="inlineStr">
        <is>
          <t>Gota de Mango Verde con Chamoy Glaseado y Chile Morita (Glazed Mango-Chamoy &amp; Smoked Morita Pepper)</t>
        </is>
      </c>
      <c r="C299" t="inlineStr">
        <is>
          <t>azucar</t>
        </is>
      </c>
      <c r="D299" s="22" t="inlineStr">
        <is>
          <t>150 g Jarabe de glucosa 42DE</t>
        </is>
      </c>
      <c r="E299" s="6" t="inlineStr">
        <is>
          <t>Jarabe de glucosa 42 DE</t>
        </is>
      </c>
      <c r="F299" s="16" t="n">
        <v>150</v>
      </c>
      <c r="G299" t="inlineStr">
        <is>
          <t>g</t>
        </is>
      </c>
      <c r="H299" s="12">
        <f>IFERROR(VLOOKUP(E299,Insumos!$C$5:$G$100,5,FALSE),0)</f>
        <v/>
      </c>
      <c r="I299" s="17">
        <f>F299*H299/IF(C299="molde",MAX(1,'Mi negocio'!$C$34),1)</f>
        <v/>
      </c>
    </row>
    <row r="300">
      <c r="A300" t="n">
        <v>22</v>
      </c>
      <c r="B300" s="21" t="inlineStr">
        <is>
          <t>Gota de Mango Verde con Chamoy Glaseado y Chile Morita (Glazed Mango-Chamoy &amp; Smoked Morita Pepper)</t>
        </is>
      </c>
      <c r="C300" t="inlineStr">
        <is>
          <t>sabor</t>
        </is>
      </c>
      <c r="D300" s="22" t="inlineStr">
        <is>
          <t>50 ml Jugo concentrado clarificado de mango verde ácido</t>
        </is>
      </c>
      <c r="E300" s="6" t="inlineStr">
        <is>
          <t>Puré concentrado de mango, durazno o chabacano</t>
        </is>
      </c>
      <c r="F300" s="16" t="n">
        <v>50</v>
      </c>
      <c r="G300" t="inlineStr">
        <is>
          <t>g</t>
        </is>
      </c>
      <c r="H300" s="12">
        <f>IFERROR(VLOOKUP(E300,Insumos!$C$5:$G$100,5,FALSE),0)</f>
        <v/>
      </c>
      <c r="I300" s="17">
        <f>F300*H300/IF(C300="molde",MAX(1,'Mi negocio'!$C$34),1)</f>
        <v/>
      </c>
    </row>
    <row r="301">
      <c r="A301" t="n">
        <v>22</v>
      </c>
      <c r="B301" s="21" t="inlineStr">
        <is>
          <t>Gota de Mango Verde con Chamoy Glaseado y Chile Morita (Glazed Mango-Chamoy &amp; Smoked Morita Pepper)</t>
        </is>
      </c>
      <c r="C301" t="inlineStr">
        <is>
          <t>azucar</t>
        </is>
      </c>
      <c r="D301" s="22" t="inlineStr">
        <is>
          <t>15 g Sorbitol líquido al 70%</t>
        </is>
      </c>
      <c r="E301" s="6" t="inlineStr">
        <is>
          <t>Sorbitol líquido al 70%</t>
        </is>
      </c>
      <c r="F301" s="16" t="n">
        <v>15</v>
      </c>
      <c r="G301" t="inlineStr">
        <is>
          <t>g</t>
        </is>
      </c>
      <c r="H301" s="12">
        <f>IFERROR(VLOOKUP(E301,Insumos!$C$5:$G$100,5,FALSE),0)</f>
        <v/>
      </c>
      <c r="I301" s="17">
        <f>F301*H301/IF(C301="molde",MAX(1,'Mi negocio'!$C$34),1)</f>
        <v/>
      </c>
    </row>
    <row r="302">
      <c r="A302" t="n">
        <v>22</v>
      </c>
      <c r="B302" s="21" t="inlineStr">
        <is>
          <t>Gota de Mango Verde con Chamoy Glaseado y Chile Morita (Glazed Mango-Chamoy &amp; Smoked Morita Pepper)</t>
        </is>
      </c>
      <c r="C302" t="inlineStr">
        <is>
          <t>sabor</t>
        </is>
      </c>
      <c r="D302" s="22" t="inlineStr">
        <is>
          <t>2 g Citrato de sodio</t>
        </is>
      </c>
      <c r="E302" s="6" t="inlineStr">
        <is>
          <t>Citrato de sodio dihidratado</t>
        </is>
      </c>
      <c r="F302" s="16" t="n">
        <v>2</v>
      </c>
      <c r="G302" t="inlineStr">
        <is>
          <t>g</t>
        </is>
      </c>
      <c r="H302" s="12">
        <f>IFERROR(VLOOKUP(E302,Insumos!$C$5:$G$100,5,FALSE),0)</f>
        <v/>
      </c>
      <c r="I302" s="17">
        <f>F302*H302/IF(C302="molde",MAX(1,'Mi negocio'!$C$34),1)</f>
        <v/>
      </c>
    </row>
    <row r="303">
      <c r="A303" t="n">
        <v>22</v>
      </c>
      <c r="B303" s="21" t="inlineStr">
        <is>
          <t>Gota de Mango Verde con Chamoy Glaseado y Chile Morita (Glazed Mango-Chamoy &amp; Smoked Morita Pepper)</t>
        </is>
      </c>
      <c r="C303" t="inlineStr">
        <is>
          <t>sabor</t>
        </is>
      </c>
      <c r="D303" s="22" t="inlineStr">
        <is>
          <t>8 ml Solución de ácido málico al 50% p/v</t>
        </is>
      </c>
      <c r="E303" s="6" t="inlineStr">
        <is>
          <t>Ácido málico micronizado</t>
        </is>
      </c>
      <c r="F303" s="16" t="n">
        <v>8</v>
      </c>
      <c r="G303" t="inlineStr">
        <is>
          <t>g</t>
        </is>
      </c>
      <c r="H303" s="12">
        <f>IFERROR(VLOOKUP(E303,Insumos!$C$5:$G$100,5,FALSE),0)</f>
        <v/>
      </c>
      <c r="I303" s="17">
        <f>F303*H303/IF(C303="molde",MAX(1,'Mi negocio'!$C$34),1)</f>
        <v/>
      </c>
    </row>
    <row r="304">
      <c r="A304" t="n">
        <v>22</v>
      </c>
      <c r="B304" s="21" t="inlineStr">
        <is>
          <t>Gota de Mango Verde con Chamoy Glaseado y Chile Morita (Glazed Mango-Chamoy &amp; Smoked Morita Pepper)</t>
        </is>
      </c>
      <c r="C304" t="inlineStr">
        <is>
          <t>sabor</t>
        </is>
      </c>
      <c r="D304" s="22" t="inlineStr">
        <is>
          <t>2 ml Solución de ácido cítrico al 50% p/v</t>
        </is>
      </c>
      <c r="E304" s="6" t="inlineStr">
        <is>
          <t>Solución de ácido cítrico al 50% p/v (elaborada)</t>
        </is>
      </c>
      <c r="F304" s="16" t="n">
        <v>2</v>
      </c>
      <c r="G304" t="inlineStr">
        <is>
          <t>ml</t>
        </is>
      </c>
      <c r="H304" s="12">
        <f>IFERROR(VLOOKUP(E304,Insumos!$C$5:$G$100,5,FALSE),0)</f>
        <v/>
      </c>
      <c r="I304" s="17">
        <f>F304*H304/IF(C304="molde",MAX(1,'Mi negocio'!$C$34),1)</f>
        <v/>
      </c>
    </row>
    <row r="305">
      <c r="A305" t="n">
        <v>22</v>
      </c>
      <c r="B305" s="21" t="inlineStr">
        <is>
          <t>Gota de Mango Verde con Chamoy Glaseado y Chile Morita (Glazed Mango-Chamoy &amp; Smoked Morita Pepper)</t>
        </is>
      </c>
      <c r="C305" t="inlineStr">
        <is>
          <t>sabor</t>
        </is>
      </c>
      <c r="D305" s="22" t="inlineStr">
        <is>
          <t>2 ml Aroma natural concentrado de mango verde</t>
        </is>
      </c>
      <c r="E305" s="6" t="inlineStr">
        <is>
          <t>Aroma natural hidrosoluble concentrado</t>
        </is>
      </c>
      <c r="F305" s="16" t="n">
        <v>2</v>
      </c>
      <c r="G305" t="inlineStr">
        <is>
          <t>ml</t>
        </is>
      </c>
      <c r="H305" s="12">
        <f>IFERROR(VLOOKUP(E305,Insumos!$C$5:$G$100,5,FALSE),0)</f>
        <v/>
      </c>
      <c r="I305" s="17">
        <f>F305*H305/IF(C305="molde",MAX(1,'Mi negocio'!$C$34),1)</f>
        <v/>
      </c>
    </row>
    <row r="306">
      <c r="A306" t="n">
        <v>22</v>
      </c>
      <c r="B306" s="21" t="inlineStr">
        <is>
          <t>Gota de Mango Verde con Chamoy Glaseado y Chile Morita (Glazed Mango-Chamoy &amp; Smoked Morita Pepper)</t>
        </is>
      </c>
      <c r="C306" t="inlineStr">
        <is>
          <t>sabor</t>
        </is>
      </c>
      <c r="D306" s="22" t="inlineStr">
        <is>
          <t>0.2 g Colorante amarillo curcumina hidrosoluble</t>
        </is>
      </c>
      <c r="E306" s="6" t="inlineStr">
        <is>
          <t>Colorante amarillo curcumina hidrosoluble</t>
        </is>
      </c>
      <c r="F306" s="16" t="n">
        <v>0.2</v>
      </c>
      <c r="G306" t="inlineStr">
        <is>
          <t>g</t>
        </is>
      </c>
      <c r="H306" s="12">
        <f>IFERROR(VLOOKUP(E306,Insumos!$C$5:$G$100,5,FALSE),0)</f>
        <v/>
      </c>
      <c r="I306" s="17">
        <f>F306*H306/IF(C306="molde",MAX(1,'Mi negocio'!$C$34),1)</f>
        <v/>
      </c>
    </row>
    <row r="307">
      <c r="A307" t="n">
        <v>22</v>
      </c>
      <c r="B307" s="21" t="inlineStr">
        <is>
          <t>Gota de Mango Verde con Chamoy Glaseado y Chile Morita (Glazed Mango-Chamoy &amp; Smoked Morita Pepper)</t>
        </is>
      </c>
      <c r="C307" t="inlineStr">
        <is>
          <t>azucar</t>
        </is>
      </c>
      <c r="D307" s="22" t="inlineStr">
        <is>
          <t>80 g Jarabe de glucosa 42DE</t>
        </is>
      </c>
      <c r="E307" s="6" t="inlineStr">
        <is>
          <t>Jarabe de glucosa 42 DE</t>
        </is>
      </c>
      <c r="F307" s="16" t="n">
        <v>80</v>
      </c>
      <c r="G307" t="inlineStr">
        <is>
          <t>g</t>
        </is>
      </c>
      <c r="H307" s="12">
        <f>IFERROR(VLOOKUP(E307,Insumos!$C$5:$G$100,5,FALSE),0)</f>
        <v/>
      </c>
      <c r="I307" s="17">
        <f>F307*H307/IF(C307="molde",MAX(1,'Mi negocio'!$C$34),1)</f>
        <v/>
      </c>
    </row>
    <row r="308">
      <c r="A308" t="n">
        <v>22</v>
      </c>
      <c r="B308" s="21" t="inlineStr">
        <is>
          <t>Gota de Mango Verde con Chamoy Glaseado y Chile Morita (Glazed Mango-Chamoy &amp; Smoked Morita Pepper)</t>
        </is>
      </c>
      <c r="C308" t="inlineStr">
        <is>
          <t>sabor</t>
        </is>
      </c>
      <c r="D308" s="22" t="inlineStr">
        <is>
          <t>40 g Puré concentrado de chabacano deshidratado (orejones rehidratados y tamizados)</t>
        </is>
      </c>
      <c r="E308" s="6" t="inlineStr">
        <is>
          <t>Puré concentrado de mango, durazno o chabacano</t>
        </is>
      </c>
      <c r="F308" s="16" t="n">
        <v>40</v>
      </c>
      <c r="G308" t="inlineStr">
        <is>
          <t>g</t>
        </is>
      </c>
      <c r="H308" s="12">
        <f>IFERROR(VLOOKUP(E308,Insumos!$C$5:$G$100,5,FALSE),0)</f>
        <v/>
      </c>
      <c r="I308" s="17">
        <f>F308*H308/IF(C308="molde",MAX(1,'Mi negocio'!$C$34),1)</f>
        <v/>
      </c>
    </row>
    <row r="309">
      <c r="A309" t="n">
        <v>22</v>
      </c>
      <c r="B309" s="21" t="inlineStr">
        <is>
          <t>Gota de Mango Verde con Chamoy Glaseado y Chile Morita (Glazed Mango-Chamoy &amp; Smoked Morita Pepper)</t>
        </is>
      </c>
      <c r="C309" t="inlineStr">
        <is>
          <t>sabor</t>
        </is>
      </c>
      <c r="D309" s="22" t="inlineStr">
        <is>
          <t>25 ml Concentrado denso de flor de Jamaica (reducido al 50%)</t>
        </is>
      </c>
      <c r="E309" s="6" t="inlineStr">
        <is>
          <t>Concentrado de flor de jamaica</t>
        </is>
      </c>
      <c r="F309" s="16" t="n">
        <v>25</v>
      </c>
      <c r="G309" t="inlineStr">
        <is>
          <t>ml</t>
        </is>
      </c>
      <c r="H309" s="12">
        <f>IFERROR(VLOOKUP(E309,Insumos!$C$5:$G$100,5,FALSE),0)</f>
        <v/>
      </c>
      <c r="I309" s="17">
        <f>F309*H309/IF(C309="molde",MAX(1,'Mi negocio'!$C$34),1)</f>
        <v/>
      </c>
    </row>
    <row r="310">
      <c r="A310" t="n">
        <v>22</v>
      </c>
      <c r="B310" s="21" t="inlineStr">
        <is>
          <t>Gota de Mango Verde con Chamoy Glaseado y Chile Morita (Glazed Mango-Chamoy &amp; Smoked Morita Pepper)</t>
        </is>
      </c>
      <c r="C310" t="inlineStr">
        <is>
          <t>sabor</t>
        </is>
      </c>
      <c r="D310" s="22" t="inlineStr">
        <is>
          <t>8 g Ácido cítrico anhidro fino</t>
        </is>
      </c>
      <c r="E310" s="6" t="inlineStr">
        <is>
          <t>Ácido cítrico anhidro fino</t>
        </is>
      </c>
      <c r="F310" s="16" t="n">
        <v>8</v>
      </c>
      <c r="G310" t="inlineStr">
        <is>
          <t>g</t>
        </is>
      </c>
      <c r="H310" s="12">
        <f>IFERROR(VLOOKUP(E310,Insumos!$C$5:$G$100,5,FALSE),0)</f>
        <v/>
      </c>
      <c r="I310" s="17">
        <f>F310*H310/IF(C310="molde",MAX(1,'Mi negocio'!$C$34),1)</f>
        <v/>
      </c>
    </row>
    <row r="311">
      <c r="A311" t="n">
        <v>22</v>
      </c>
      <c r="B311" s="21" t="inlineStr">
        <is>
          <t>Gota de Mango Verde con Chamoy Glaseado y Chile Morita (Glazed Mango-Chamoy &amp; Smoked Morita Pepper)</t>
        </is>
      </c>
      <c r="C311" t="inlineStr">
        <is>
          <t>sabor</t>
        </is>
      </c>
      <c r="D311" s="22" t="inlineStr">
        <is>
          <t>6 g Sal marina fina</t>
        </is>
      </c>
      <c r="E311" s="6" t="inlineStr">
        <is>
          <t>Sal marina fina o flor de sal</t>
        </is>
      </c>
      <c r="F311" s="16" t="n">
        <v>6</v>
      </c>
      <c r="G311" t="inlineStr">
        <is>
          <t>g</t>
        </is>
      </c>
      <c r="H311" s="12">
        <f>IFERROR(VLOOKUP(E311,Insumos!$C$5:$G$100,5,FALSE),0)</f>
        <v/>
      </c>
      <c r="I311" s="17">
        <f>F311*H311/IF(C311="molde",MAX(1,'Mi negocio'!$C$34),1)</f>
        <v/>
      </c>
    </row>
    <row r="312">
      <c r="A312" t="n">
        <v>22</v>
      </c>
      <c r="B312" s="21" t="inlineStr">
        <is>
          <t>Gota de Mango Verde con Chamoy Glaseado y Chile Morita (Glazed Mango-Chamoy &amp; Smoked Morita Pepper)</t>
        </is>
      </c>
      <c r="C312" t="inlineStr">
        <is>
          <t>sabor</t>
        </is>
      </c>
      <c r="D312" s="22" t="inlineStr">
        <is>
          <t>40 g Hojuelas y polvo de chile morita tostado a leña (limpio de semillas, molienda a 150 mum)</t>
        </is>
      </c>
      <c r="E312" s="6" t="inlineStr">
        <is>
          <t>Chile guajillo, árbol o pasilla en polvo</t>
        </is>
      </c>
      <c r="F312" s="16" t="n">
        <v>40</v>
      </c>
      <c r="G312" t="inlineStr">
        <is>
          <t>g</t>
        </is>
      </c>
      <c r="H312" s="12">
        <f>IFERROR(VLOOKUP(E312,Insumos!$C$5:$G$100,5,FALSE),0)</f>
        <v/>
      </c>
      <c r="I312" s="17">
        <f>F312*H312/IF(C312="molde",MAX(1,'Mi negocio'!$C$34),1)</f>
        <v/>
      </c>
    </row>
    <row r="313">
      <c r="A313" t="n">
        <v>22</v>
      </c>
      <c r="B313" s="21" t="inlineStr">
        <is>
          <t>Gota de Mango Verde con Chamoy Glaseado y Chile Morita (Glazed Mango-Chamoy &amp; Smoked Morita Pepper)</t>
        </is>
      </c>
      <c r="C313" t="inlineStr">
        <is>
          <t>sabor</t>
        </is>
      </c>
      <c r="D313" s="22" t="inlineStr">
        <is>
          <t>15 g Chile piquín puro en polvo</t>
        </is>
      </c>
      <c r="E313" s="6" t="inlineStr">
        <is>
          <t>Chile piquín o chiltepín en polvo fino</t>
        </is>
      </c>
      <c r="F313" s="16" t="n">
        <v>15</v>
      </c>
      <c r="G313" t="inlineStr">
        <is>
          <t>g</t>
        </is>
      </c>
      <c r="H313" s="12">
        <f>IFERROR(VLOOKUP(E313,Insumos!$C$5:$G$100,5,FALSE),0)</f>
        <v/>
      </c>
      <c r="I313" s="17">
        <f>F313*H313/IF(C313="molde",MAX(1,'Mi negocio'!$C$34),1)</f>
        <v/>
      </c>
    </row>
    <row r="314">
      <c r="A314" t="n">
        <v>23</v>
      </c>
      <c r="B314" s="21" t="inlineStr">
        <is>
          <t>Confitura de Piña Asada con Chile Habanero y Sal de Gusano (Charred Pineapple, Habanero &amp; Agave Worm Salt)</t>
        </is>
      </c>
      <c r="C314" t="inlineStr">
        <is>
          <t>gelificante</t>
        </is>
      </c>
      <c r="D314" s="22" t="inlineStr">
        <is>
          <t>36 g Gelatina en polvo de 240 Bloom</t>
        </is>
      </c>
      <c r="E314" s="6" t="inlineStr">
        <is>
          <t>Gelatina en polvo de 240-260 Bloom</t>
        </is>
      </c>
      <c r="F314" s="16" t="n">
        <v>36</v>
      </c>
      <c r="G314" t="inlineStr">
        <is>
          <t>g</t>
        </is>
      </c>
      <c r="H314" s="12">
        <f>IFERROR(VLOOKUP(E314,Insumos!$C$5:$G$100,5,FALSE),0)</f>
        <v/>
      </c>
      <c r="I314" s="17">
        <f>F314*H314/IF(C314="molde",MAX(1,'Mi negocio'!$C$34),1)</f>
        <v/>
      </c>
    </row>
    <row r="315">
      <c r="A315" t="n">
        <v>23</v>
      </c>
      <c r="B315" s="21" t="inlineStr">
        <is>
          <t>Confitura de Piña Asada con Chile Habanero y Sal de Gusano (Charred Pineapple, Habanero &amp; Agave Worm Salt)</t>
        </is>
      </c>
      <c r="C315" t="inlineStr">
        <is>
          <t>gelificante</t>
        </is>
      </c>
      <c r="D315" s="22" t="inlineStr">
        <is>
          <t>9 g Pectina de Alto Metoxilo lenta (HM Slow-Set)</t>
        </is>
      </c>
      <c r="E315" s="6" t="inlineStr">
        <is>
          <t>Pectina de alto metoxilo lenta (HM slow-set)</t>
        </is>
      </c>
      <c r="F315" s="16" t="n">
        <v>9</v>
      </c>
      <c r="G315" t="inlineStr">
        <is>
          <t>g</t>
        </is>
      </c>
      <c r="H315" s="12">
        <f>IFERROR(VLOOKUP(E315,Insumos!$C$5:$G$100,5,FALSE),0)</f>
        <v/>
      </c>
      <c r="I315" s="17">
        <f>F315*H315/IF(C315="molde",MAX(1,'Mi negocio'!$C$34),1)</f>
        <v/>
      </c>
    </row>
    <row r="316">
      <c r="A316" t="n">
        <v>23</v>
      </c>
      <c r="B316" s="21" t="inlineStr">
        <is>
          <t>Confitura de Piña Asada con Chile Habanero y Sal de Gusano (Charred Pineapple, Habanero &amp; Agave Worm Salt)</t>
        </is>
      </c>
      <c r="C316" t="inlineStr">
        <is>
          <t>azucar</t>
        </is>
      </c>
      <c r="D316" s="22" t="inlineStr">
        <is>
          <t>25 g Azúcar blanca refinada (para dispersión en seco)</t>
        </is>
      </c>
      <c r="E316" s="6" t="inlineStr">
        <is>
          <t>Azúcar blanca refinada</t>
        </is>
      </c>
      <c r="F316" s="16" t="n">
        <v>25</v>
      </c>
      <c r="G316" t="inlineStr">
        <is>
          <t>g</t>
        </is>
      </c>
      <c r="H316" s="12">
        <f>IFERROR(VLOOKUP(E316,Insumos!$C$5:$G$100,5,FALSE),0)</f>
        <v/>
      </c>
      <c r="I316" s="17">
        <f>F316*H316/IF(C316="molde",MAX(1,'Mi negocio'!$C$34),1)</f>
        <v/>
      </c>
    </row>
    <row r="317">
      <c r="A317" t="n">
        <v>23</v>
      </c>
      <c r="B317" s="21" t="inlineStr">
        <is>
          <t>Confitura de Piña Asada con Chile Habanero y Sal de Gusano (Charred Pineapple, Habanero &amp; Agave Worm Salt)</t>
        </is>
      </c>
      <c r="C317" t="inlineStr">
        <is>
          <t>sabor</t>
        </is>
      </c>
      <c r="D317" s="22" t="inlineStr">
        <is>
          <t>85 ml Agua desmineralizada a 15 °C (para la gelatina)</t>
        </is>
      </c>
      <c r="E317" s="6" t="inlineStr">
        <is>
          <t>Agua desmineralizada o purificada</t>
        </is>
      </c>
      <c r="F317" s="16" t="n">
        <v>85</v>
      </c>
      <c r="G317" t="inlineStr">
        <is>
          <t>ml</t>
        </is>
      </c>
      <c r="H317" s="12">
        <f>IFERROR(VLOOKUP(E317,Insumos!$C$5:$G$100,5,FALSE),0)</f>
        <v/>
      </c>
      <c r="I317" s="17">
        <f>F317*H317/IF(C317="molde",MAX(1,'Mi negocio'!$C$34),1)</f>
        <v/>
      </c>
    </row>
    <row r="318">
      <c r="A318" t="n">
        <v>23</v>
      </c>
      <c r="B318" s="21" t="inlineStr">
        <is>
          <t>Confitura de Piña Asada con Chile Habanero y Sal de Gusano (Charred Pineapple, Habanero &amp; Agave Worm Salt)</t>
        </is>
      </c>
      <c r="C318" t="inlineStr">
        <is>
          <t>sabor</t>
        </is>
      </c>
      <c r="D318" s="22" t="inlineStr">
        <is>
          <t>50 ml Jugo concentrado clarificado de piña asada pasteurizado (para la pectina)</t>
        </is>
      </c>
      <c r="E318" s="6" t="inlineStr">
        <is>
          <t>Zumo concentrado clarificado de piña, sandía o tropical</t>
        </is>
      </c>
      <c r="F318" s="16" t="n">
        <v>50</v>
      </c>
      <c r="G318" t="inlineStr">
        <is>
          <t>ml</t>
        </is>
      </c>
      <c r="H318" s="12">
        <f>IFERROR(VLOOKUP(E318,Insumos!$C$5:$G$100,5,FALSE),0)</f>
        <v/>
      </c>
      <c r="I318" s="17">
        <f>F318*H318/IF(C318="molde",MAX(1,'Mi negocio'!$C$34),1)</f>
        <v/>
      </c>
    </row>
    <row r="319">
      <c r="A319" t="n">
        <v>23</v>
      </c>
      <c r="B319" s="21" t="inlineStr">
        <is>
          <t>Confitura de Piña Asada con Chile Habanero y Sal de Gusano (Charred Pineapple, Habanero &amp; Agave Worm Salt)</t>
        </is>
      </c>
      <c r="C319" t="inlineStr">
        <is>
          <t>azucar</t>
        </is>
      </c>
      <c r="D319" s="22" t="inlineStr">
        <is>
          <t>185 g Azúcar blanca refinada pura</t>
        </is>
      </c>
      <c r="E319" s="6" t="inlineStr">
        <is>
          <t>Azúcar blanca refinada</t>
        </is>
      </c>
      <c r="F319" s="16" t="n">
        <v>185</v>
      </c>
      <c r="G319" t="inlineStr">
        <is>
          <t>g</t>
        </is>
      </c>
      <c r="H319" s="12">
        <f>IFERROR(VLOOKUP(E319,Insumos!$C$5:$G$100,5,FALSE),0)</f>
        <v/>
      </c>
      <c r="I319" s="17">
        <f>F319*H319/IF(C319="molde",MAX(1,'Mi negocio'!$C$34),1)</f>
        <v/>
      </c>
    </row>
    <row r="320">
      <c r="A320" t="n">
        <v>23</v>
      </c>
      <c r="B320" s="21" t="inlineStr">
        <is>
          <t>Confitura de Piña Asada con Chile Habanero y Sal de Gusano (Charred Pineapple, Habanero &amp; Agave Worm Salt)</t>
        </is>
      </c>
      <c r="C320" t="inlineStr">
        <is>
          <t>azucar</t>
        </is>
      </c>
      <c r="D320" s="22" t="inlineStr">
        <is>
          <t>145 g Jarabe de glucosa 42DE</t>
        </is>
      </c>
      <c r="E320" s="6" t="inlineStr">
        <is>
          <t>Jarabe de glucosa 42 DE</t>
        </is>
      </c>
      <c r="F320" s="16" t="n">
        <v>145</v>
      </c>
      <c r="G320" t="inlineStr">
        <is>
          <t>g</t>
        </is>
      </c>
      <c r="H320" s="12">
        <f>IFERROR(VLOOKUP(E320,Insumos!$C$5:$G$100,5,FALSE),0)</f>
        <v/>
      </c>
      <c r="I320" s="17">
        <f>F320*H320/IF(C320="molde",MAX(1,'Mi negocio'!$C$34),1)</f>
        <v/>
      </c>
    </row>
    <row r="321">
      <c r="A321" t="n">
        <v>23</v>
      </c>
      <c r="B321" s="21" t="inlineStr">
        <is>
          <t>Confitura de Piña Asada con Chile Habanero y Sal de Gusano (Charred Pineapple, Habanero &amp; Agave Worm Salt)</t>
        </is>
      </c>
      <c r="C321" t="inlineStr">
        <is>
          <t>azucar</t>
        </is>
      </c>
      <c r="D321" s="22" t="inlineStr">
        <is>
          <t>15 g Miel de agave azul pura al 100%</t>
        </is>
      </c>
      <c r="E321" s="6" t="inlineStr">
        <is>
          <t>Miel de agave azul pura</t>
        </is>
      </c>
      <c r="F321" s="16" t="n">
        <v>15</v>
      </c>
      <c r="G321" t="inlineStr">
        <is>
          <t>ml</t>
        </is>
      </c>
      <c r="H321" s="12">
        <f>IFERROR(VLOOKUP(E321,Insumos!$C$5:$G$100,5,FALSE),0)</f>
        <v/>
      </c>
      <c r="I321" s="17">
        <f>F321*H321/IF(C321="molde",MAX(1,'Mi negocio'!$C$34),1)</f>
        <v/>
      </c>
    </row>
    <row r="322">
      <c r="A322" t="n">
        <v>23</v>
      </c>
      <c r="B322" s="21" t="inlineStr">
        <is>
          <t>Confitura de Piña Asada con Chile Habanero y Sal de Gusano (Charred Pineapple, Habanero &amp; Agave Worm Salt)</t>
        </is>
      </c>
      <c r="C322" t="inlineStr">
        <is>
          <t>azucar</t>
        </is>
      </c>
      <c r="D322" s="22" t="inlineStr">
        <is>
          <t>12 g Sorbitol líquido al 70%</t>
        </is>
      </c>
      <c r="E322" s="6" t="inlineStr">
        <is>
          <t>Sorbitol líquido al 70%</t>
        </is>
      </c>
      <c r="F322" s="16" t="n">
        <v>12</v>
      </c>
      <c r="G322" t="inlineStr">
        <is>
          <t>g</t>
        </is>
      </c>
      <c r="H322" s="12">
        <f>IFERROR(VLOOKUP(E322,Insumos!$C$5:$G$100,5,FALSE),0)</f>
        <v/>
      </c>
      <c r="I322" s="17">
        <f>F322*H322/IF(C322="molde",MAX(1,'Mi negocio'!$C$34),1)</f>
        <v/>
      </c>
    </row>
    <row r="323">
      <c r="A323" t="n">
        <v>23</v>
      </c>
      <c r="B323" s="21" t="inlineStr">
        <is>
          <t>Confitura de Piña Asada con Chile Habanero y Sal de Gusano (Charred Pineapple, Habanero &amp; Agave Worm Salt)</t>
        </is>
      </c>
      <c r="C323" t="inlineStr">
        <is>
          <t>sabor</t>
        </is>
      </c>
      <c r="D323" s="22" t="inlineStr">
        <is>
          <t>2.2 g Citrato de potasio (amortiguador de pH)</t>
        </is>
      </c>
      <c r="E323" s="6" t="inlineStr">
        <is>
          <t>Citrato de potasio monohidratado</t>
        </is>
      </c>
      <c r="F323" s="16" t="n">
        <v>2.2</v>
      </c>
      <c r="G323" t="inlineStr">
        <is>
          <t>g</t>
        </is>
      </c>
      <c r="H323" s="12">
        <f>IFERROR(VLOOKUP(E323,Insumos!$C$5:$G$100,5,FALSE),0)</f>
        <v/>
      </c>
      <c r="I323" s="17">
        <f>F323*H323/IF(C323="molde",MAX(1,'Mi negocio'!$C$34),1)</f>
        <v/>
      </c>
    </row>
    <row r="324">
      <c r="A324" t="n">
        <v>23</v>
      </c>
      <c r="B324" s="21" t="inlineStr">
        <is>
          <t>Confitura de Piña Asada con Chile Habanero y Sal de Gusano (Charred Pineapple, Habanero &amp; Agave Worm Salt)</t>
        </is>
      </c>
      <c r="C324" t="inlineStr">
        <is>
          <t>sabor</t>
        </is>
      </c>
      <c r="D324" s="22" t="inlineStr">
        <is>
          <t>8 ml Solución de ácido cítrico al 50% p/v</t>
        </is>
      </c>
      <c r="E324" s="6" t="inlineStr">
        <is>
          <t>Solución de ácido cítrico al 50% p/v (elaborada)</t>
        </is>
      </c>
      <c r="F324" s="16" t="n">
        <v>8</v>
      </c>
      <c r="G324" t="inlineStr">
        <is>
          <t>ml</t>
        </is>
      </c>
      <c r="H324" s="12">
        <f>IFERROR(VLOOKUP(E324,Insumos!$C$5:$G$100,5,FALSE),0)</f>
        <v/>
      </c>
      <c r="I324" s="17">
        <f>F324*H324/IF(C324="molde",MAX(1,'Mi negocio'!$C$34),1)</f>
        <v/>
      </c>
    </row>
    <row r="325">
      <c r="A325" t="n">
        <v>23</v>
      </c>
      <c r="B325" s="21" t="inlineStr">
        <is>
          <t>Confitura de Piña Asada con Chile Habanero y Sal de Gusano (Charred Pineapple, Habanero &amp; Agave Worm Salt)</t>
        </is>
      </c>
      <c r="C325" t="inlineStr">
        <is>
          <t>sabor</t>
        </is>
      </c>
      <c r="D325" s="22" t="inlineStr">
        <is>
          <t>2 ml Solución de ácido málico al 50% p/v</t>
        </is>
      </c>
      <c r="E325" s="6" t="inlineStr">
        <is>
          <t>Ácido málico micronizado</t>
        </is>
      </c>
      <c r="F325" s="16" t="n">
        <v>2</v>
      </c>
      <c r="G325" t="inlineStr">
        <is>
          <t>g</t>
        </is>
      </c>
      <c r="H325" s="12">
        <f>IFERROR(VLOOKUP(E325,Insumos!$C$5:$G$100,5,FALSE),0)</f>
        <v/>
      </c>
      <c r="I325" s="17">
        <f>F325*H325/IF(C325="molde",MAX(1,'Mi negocio'!$C$34),1)</f>
        <v/>
      </c>
    </row>
    <row r="326">
      <c r="A326" t="n">
        <v>23</v>
      </c>
      <c r="B326" s="21" t="inlineStr">
        <is>
          <t>Confitura de Piña Asada con Chile Habanero y Sal de Gusano (Charred Pineapple, Habanero &amp; Agave Worm Salt)</t>
        </is>
      </c>
      <c r="C326" t="inlineStr">
        <is>
          <t>sabor</t>
        </is>
      </c>
      <c r="D326" s="22" t="inlineStr">
        <is>
          <t>1.8 ml Aroma natural concentrado de piña asada / caramelo furánico</t>
        </is>
      </c>
      <c r="E326" s="6" t="inlineStr">
        <is>
          <t>Aroma natural hidrosoluble concentrado</t>
        </is>
      </c>
      <c r="F326" s="16" t="n">
        <v>1.8</v>
      </c>
      <c r="G326" t="inlineStr">
        <is>
          <t>ml</t>
        </is>
      </c>
      <c r="H326" s="12">
        <f>IFERROR(VLOOKUP(E326,Insumos!$C$5:$G$100,5,FALSE),0)</f>
        <v/>
      </c>
      <c r="I326" s="17">
        <f>F326*H326/IF(C326="molde",MAX(1,'Mi negocio'!$C$34),1)</f>
        <v/>
      </c>
    </row>
    <row r="327">
      <c r="A327" t="n">
        <v>23</v>
      </c>
      <c r="B327" s="21" t="inlineStr">
        <is>
          <t>Confitura de Piña Asada con Chile Habanero y Sal de Gusano (Charred Pineapple, Habanero &amp; Agave Worm Salt)</t>
        </is>
      </c>
      <c r="C327" t="inlineStr">
        <is>
          <t>sabor</t>
        </is>
      </c>
      <c r="D327" s="22" t="inlineStr">
        <is>
          <t>0.4 ml Oleorresina pura de chile habanero naranja estandarizada (dosificación precisa para picor medio-alto limpio)</t>
        </is>
      </c>
      <c r="E327" s="6" t="inlineStr">
        <is>
          <t>Oleorresina estandarizada de chile</t>
        </is>
      </c>
      <c r="F327" s="16" t="n">
        <v>0.4</v>
      </c>
      <c r="G327" t="inlineStr">
        <is>
          <t>ml</t>
        </is>
      </c>
      <c r="H327" s="12">
        <f>IFERROR(VLOOKUP(E327,Insumos!$C$5:$G$100,5,FALSE),0)</f>
        <v/>
      </c>
      <c r="I327" s="17">
        <f>F327*H327/IF(C327="molde",MAX(1,'Mi negocio'!$C$34),1)</f>
        <v/>
      </c>
    </row>
    <row r="328">
      <c r="A328" t="n">
        <v>23</v>
      </c>
      <c r="B328" s="21" t="inlineStr">
        <is>
          <t>Confitura de Piña Asada con Chile Habanero y Sal de Gusano (Charred Pineapple, Habanero &amp; Agave Worm Salt)</t>
        </is>
      </c>
      <c r="C328" t="inlineStr">
        <is>
          <t>sabor</t>
        </is>
      </c>
      <c r="D328" s="22" t="inlineStr">
        <is>
          <t>0.2 g Colorante amarillo curcumina + traza de achiote</t>
        </is>
      </c>
      <c r="E328" s="6" t="inlineStr">
        <is>
          <t>Colorante amarillo curcumina hidrosoluble</t>
        </is>
      </c>
      <c r="F328" s="16" t="n">
        <v>0.2</v>
      </c>
      <c r="G328" t="inlineStr">
        <is>
          <t>g</t>
        </is>
      </c>
      <c r="H328" s="12">
        <f>IFERROR(VLOOKUP(E328,Insumos!$C$5:$G$100,5,FALSE),0)</f>
        <v/>
      </c>
      <c r="I328" s="17">
        <f>F328*H328/IF(C328="molde",MAX(1,'Mi negocio'!$C$34),1)</f>
        <v/>
      </c>
    </row>
    <row r="329">
      <c r="A329" t="n">
        <v>23</v>
      </c>
      <c r="B329" s="21" t="inlineStr">
        <is>
          <t>Confitura de Piña Asada con Chile Habanero y Sal de Gusano (Charred Pineapple, Habanero &amp; Agave Worm Salt)</t>
        </is>
      </c>
      <c r="C329" t="inlineStr">
        <is>
          <t>acabado</t>
        </is>
      </c>
      <c r="D329" s="22" t="inlineStr">
        <is>
          <t>75 g Azúcar refinada de grano medio (300-450 mum)</t>
        </is>
      </c>
      <c r="E329" s="6" t="inlineStr">
        <is>
          <t>Azúcar cristal de grano medio a grueso (rebozado)</t>
        </is>
      </c>
      <c r="F329" s="16" t="n">
        <v>75</v>
      </c>
      <c r="G329" t="inlineStr">
        <is>
          <t>g</t>
        </is>
      </c>
      <c r="H329" s="12">
        <f>IFERROR(VLOOKUP(E329,Insumos!$C$5:$G$100,5,FALSE),0)</f>
        <v/>
      </c>
      <c r="I329" s="17">
        <f>F329*H329/IF(C329="molde",MAX(1,'Mi negocio'!$C$34),1)</f>
        <v/>
      </c>
    </row>
    <row r="330">
      <c r="A330" t="n">
        <v>23</v>
      </c>
      <c r="B330" s="21" t="inlineStr">
        <is>
          <t>Confitura de Piña Asada con Chile Habanero y Sal de Gusano (Charred Pineapple, Habanero &amp; Agave Worm Salt)</t>
        </is>
      </c>
      <c r="C330" t="inlineStr">
        <is>
          <t>sabor</t>
        </is>
      </c>
      <c r="D330" s="22" t="inlineStr">
        <is>
          <t>20 g Sal de gusano artesanal oaxaqueña pura (larva de Hypopta agavis tostada y molida con chile costeño y sal de roca)</t>
        </is>
      </c>
      <c r="E330" s="6" t="inlineStr">
        <is>
          <t>Sal de gusano artesanal oaxaqueña</t>
        </is>
      </c>
      <c r="F330" s="16" t="n">
        <v>20</v>
      </c>
      <c r="G330" t="inlineStr">
        <is>
          <t>g</t>
        </is>
      </c>
      <c r="H330" s="12">
        <f>IFERROR(VLOOKUP(E330,Insumos!$C$5:$G$100,5,FALSE),0)</f>
        <v/>
      </c>
      <c r="I330" s="17">
        <f>F330*H330/IF(C330="molde",MAX(1,'Mi negocio'!$C$34),1)</f>
        <v/>
      </c>
    </row>
    <row r="331">
      <c r="A331" t="n">
        <v>23</v>
      </c>
      <c r="B331" s="21" t="inlineStr">
        <is>
          <t>Confitura de Piña Asada con Chile Habanero y Sal de Gusano (Charred Pineapple, Habanero &amp; Agave Worm Salt)</t>
        </is>
      </c>
      <c r="C331" t="inlineStr">
        <is>
          <t>sabor</t>
        </is>
      </c>
      <c r="D331" s="22" t="inlineStr">
        <is>
          <t>10 g Ácido cítrico micro-encapsulado</t>
        </is>
      </c>
      <c r="E331" s="6" t="inlineStr">
        <is>
          <t>Ácido cítrico o málico micro-encapsulado</t>
        </is>
      </c>
      <c r="F331" s="16" t="n">
        <v>10</v>
      </c>
      <c r="G331" t="inlineStr">
        <is>
          <t>g</t>
        </is>
      </c>
      <c r="H331" s="12">
        <f>IFERROR(VLOOKUP(E331,Insumos!$C$5:$G$100,5,FALSE),0)</f>
        <v/>
      </c>
      <c r="I331" s="17">
        <f>F331*H331/IF(C331="molde",MAX(1,'Mi negocio'!$C$34),1)</f>
        <v/>
      </c>
    </row>
    <row r="332">
      <c r="A332" t="n">
        <v>23</v>
      </c>
      <c r="B332" s="21" t="inlineStr">
        <is>
          <t>Confitura de Piña Asada con Chile Habanero y Sal de Gusano (Charred Pineapple, Habanero &amp; Agave Worm Salt)</t>
        </is>
      </c>
      <c r="C332" t="inlineStr">
        <is>
          <t>sabor</t>
        </is>
      </c>
      <c r="D332" s="22" t="inlineStr">
        <is>
          <t>5 g Chile chiltepín / piquín en polvo fino</t>
        </is>
      </c>
      <c r="E332" s="6" t="inlineStr">
        <is>
          <t>Chile piquín o chiltepín en polvo fino</t>
        </is>
      </c>
      <c r="F332" s="16" t="n">
        <v>5</v>
      </c>
      <c r="G332" t="inlineStr">
        <is>
          <t>g</t>
        </is>
      </c>
      <c r="H332" s="12">
        <f>IFERROR(VLOOKUP(E332,Insumos!$C$5:$G$100,5,FALSE),0)</f>
        <v/>
      </c>
      <c r="I332" s="17">
        <f>F332*H332/IF(C332="molde",MAX(1,'Mi negocio'!$C$34),1)</f>
        <v/>
      </c>
    </row>
    <row r="333">
      <c r="A333" t="n">
        <v>24</v>
      </c>
      <c r="B333" s="21" t="inlineStr">
        <is>
          <t>Gomita Botánica de Pepino, Limón Verde y Salitre con Chile Jalapeño (Cucumber-Lime, Sal de Grano &amp; Jalapeño Crisp)</t>
        </is>
      </c>
      <c r="C333" t="inlineStr">
        <is>
          <t>gelificante</t>
        </is>
      </c>
      <c r="D333" s="22" t="inlineStr">
        <is>
          <t>44 g Gelatina en polvo de 250 Bloom</t>
        </is>
      </c>
      <c r="E333" s="6" t="inlineStr">
        <is>
          <t>Gelatina en polvo de 240-260 Bloom</t>
        </is>
      </c>
      <c r="F333" s="16" t="n">
        <v>44</v>
      </c>
      <c r="G333" t="inlineStr">
        <is>
          <t>g</t>
        </is>
      </c>
      <c r="H333" s="12">
        <f>IFERROR(VLOOKUP(E333,Insumos!$C$5:$G$100,5,FALSE),0)</f>
        <v/>
      </c>
      <c r="I333" s="17">
        <f>F333*H333/IF(C333="molde",MAX(1,'Mi negocio'!$C$34),1)</f>
        <v/>
      </c>
    </row>
    <row r="334">
      <c r="A334" t="n">
        <v>24</v>
      </c>
      <c r="B334" s="21" t="inlineStr">
        <is>
          <t>Gomita Botánica de Pepino, Limón Verde y Salitre con Chile Jalapeño (Cucumber-Lime, Sal de Grano &amp; Jalapeño Crisp)</t>
        </is>
      </c>
      <c r="C334" t="inlineStr">
        <is>
          <t>sabor</t>
        </is>
      </c>
      <c r="D334" s="22" t="inlineStr">
        <is>
          <t>95 ml Agua desmineralizada a 15 °C</t>
        </is>
      </c>
      <c r="E334" s="6" t="inlineStr">
        <is>
          <t>Agua desmineralizada o purificada</t>
        </is>
      </c>
      <c r="F334" s="16" t="n">
        <v>95</v>
      </c>
      <c r="G334" t="inlineStr">
        <is>
          <t>ml</t>
        </is>
      </c>
      <c r="H334" s="12">
        <f>IFERROR(VLOOKUP(E334,Insumos!$C$5:$G$100,5,FALSE),0)</f>
        <v/>
      </c>
      <c r="I334" s="17">
        <f>F334*H334/IF(C334="molde",MAX(1,'Mi negocio'!$C$34),1)</f>
        <v/>
      </c>
    </row>
    <row r="335">
      <c r="A335" t="n">
        <v>24</v>
      </c>
      <c r="B335" s="21" t="inlineStr">
        <is>
          <t>Gomita Botánica de Pepino, Limón Verde y Salitre con Chile Jalapeño (Cucumber-Lime, Sal de Grano &amp; Jalapeño Crisp)</t>
        </is>
      </c>
      <c r="C335" t="inlineStr">
        <is>
          <t>azucar</t>
        </is>
      </c>
      <c r="D335" s="22" t="inlineStr">
        <is>
          <t>195 g Azúcar blanca refinada pura</t>
        </is>
      </c>
      <c r="E335" s="6" t="inlineStr">
        <is>
          <t>Azúcar blanca refinada</t>
        </is>
      </c>
      <c r="F335" s="16" t="n">
        <v>195</v>
      </c>
      <c r="G335" t="inlineStr">
        <is>
          <t>g</t>
        </is>
      </c>
      <c r="H335" s="12">
        <f>IFERROR(VLOOKUP(E335,Insumos!$C$5:$G$100,5,FALSE),0)</f>
        <v/>
      </c>
      <c r="I335" s="17">
        <f>F335*H335/IF(C335="molde",MAX(1,'Mi negocio'!$C$34),1)</f>
        <v/>
      </c>
    </row>
    <row r="336">
      <c r="A336" t="n">
        <v>24</v>
      </c>
      <c r="B336" s="21" t="inlineStr">
        <is>
          <t>Gomita Botánica de Pepino, Limón Verde y Salitre con Chile Jalapeño (Cucumber-Lime, Sal de Grano &amp; Jalapeño Crisp)</t>
        </is>
      </c>
      <c r="C336" t="inlineStr">
        <is>
          <t>azucar</t>
        </is>
      </c>
      <c r="D336" s="22" t="inlineStr">
        <is>
          <t>155 g Jarabe de glucosa 42DE</t>
        </is>
      </c>
      <c r="E336" s="6" t="inlineStr">
        <is>
          <t>Jarabe de glucosa 42 DE</t>
        </is>
      </c>
      <c r="F336" s="16" t="n">
        <v>155</v>
      </c>
      <c r="G336" t="inlineStr">
        <is>
          <t>g</t>
        </is>
      </c>
      <c r="H336" s="12">
        <f>IFERROR(VLOOKUP(E336,Insumos!$C$5:$G$100,5,FALSE),0)</f>
        <v/>
      </c>
      <c r="I336" s="17">
        <f>F336*H336/IF(C336="molde",MAX(1,'Mi negocio'!$C$34),1)</f>
        <v/>
      </c>
    </row>
    <row r="337">
      <c r="A337" t="n">
        <v>24</v>
      </c>
      <c r="B337" s="21" t="inlineStr">
        <is>
          <t>Gomita Botánica de Pepino, Limón Verde y Salitre con Chile Jalapeño (Cucumber-Lime, Sal de Grano &amp; Jalapeño Crisp)</t>
        </is>
      </c>
      <c r="C337" t="inlineStr">
        <is>
          <t>sabor</t>
        </is>
      </c>
      <c r="D337" s="22" t="inlineStr">
        <is>
          <t>50 ml Jugo concentrado clarificado de limón verde mexicano</t>
        </is>
      </c>
      <c r="E337" s="6" t="inlineStr">
        <is>
          <t>Zumo concentrado clarificado de cítrico</t>
        </is>
      </c>
      <c r="F337" s="16" t="n">
        <v>50</v>
      </c>
      <c r="G337" t="inlineStr">
        <is>
          <t>ml</t>
        </is>
      </c>
      <c r="H337" s="12">
        <f>IFERROR(VLOOKUP(E337,Insumos!$C$5:$G$100,5,FALSE),0)</f>
        <v/>
      </c>
      <c r="I337" s="17">
        <f>F337*H337/IF(C337="molde",MAX(1,'Mi negocio'!$C$34),1)</f>
        <v/>
      </c>
    </row>
    <row r="338">
      <c r="A338" t="n">
        <v>24</v>
      </c>
      <c r="B338" s="21" t="inlineStr">
        <is>
          <t>Gomita Botánica de Pepino, Limón Verde y Salitre con Chile Jalapeño (Cucumber-Lime, Sal de Grano &amp; Jalapeño Crisp)</t>
        </is>
      </c>
      <c r="C338" t="inlineStr">
        <is>
          <t>azucar</t>
        </is>
      </c>
      <c r="D338" s="22" t="inlineStr">
        <is>
          <t>12 g Sorbitol líquido al 70%</t>
        </is>
      </c>
      <c r="E338" s="6" t="inlineStr">
        <is>
          <t>Sorbitol líquido al 70%</t>
        </is>
      </c>
      <c r="F338" s="16" t="n">
        <v>12</v>
      </c>
      <c r="G338" t="inlineStr">
        <is>
          <t>g</t>
        </is>
      </c>
      <c r="H338" s="12">
        <f>IFERROR(VLOOKUP(E338,Insumos!$C$5:$G$100,5,FALSE),0)</f>
        <v/>
      </c>
      <c r="I338" s="17">
        <f>F338*H338/IF(C338="molde",MAX(1,'Mi negocio'!$C$34),1)</f>
        <v/>
      </c>
    </row>
    <row r="339">
      <c r="A339" t="n">
        <v>24</v>
      </c>
      <c r="B339" s="21" t="inlineStr">
        <is>
          <t>Gomita Botánica de Pepino, Limón Verde y Salitre con Chile Jalapeño (Cucumber-Lime, Sal de Grano &amp; Jalapeño Crisp)</t>
        </is>
      </c>
      <c r="C339" t="inlineStr">
        <is>
          <t>sabor</t>
        </is>
      </c>
      <c r="D339" s="22" t="inlineStr">
        <is>
          <t>2 g Citrato de sodio</t>
        </is>
      </c>
      <c r="E339" s="6" t="inlineStr">
        <is>
          <t>Citrato de sodio dihidratado</t>
        </is>
      </c>
      <c r="F339" s="16" t="n">
        <v>2</v>
      </c>
      <c r="G339" t="inlineStr">
        <is>
          <t>g</t>
        </is>
      </c>
      <c r="H339" s="12">
        <f>IFERROR(VLOOKUP(E339,Insumos!$C$5:$G$100,5,FALSE),0)</f>
        <v/>
      </c>
      <c r="I339" s="17">
        <f>F339*H339/IF(C339="molde",MAX(1,'Mi negocio'!$C$34),1)</f>
        <v/>
      </c>
    </row>
    <row r="340">
      <c r="A340" t="n">
        <v>24</v>
      </c>
      <c r="B340" s="21" t="inlineStr">
        <is>
          <t>Gomita Botánica de Pepino, Limón Verde y Salitre con Chile Jalapeño (Cucumber-Lime, Sal de Grano &amp; Jalapeño Crisp)</t>
        </is>
      </c>
      <c r="C340" t="inlineStr">
        <is>
          <t>sabor</t>
        </is>
      </c>
      <c r="D340" s="22" t="inlineStr">
        <is>
          <t>10 ml Solución de ácido cítrico al 50% p/v</t>
        </is>
      </c>
      <c r="E340" s="6" t="inlineStr">
        <is>
          <t>Solución de ácido cítrico al 50% p/v (elaborada)</t>
        </is>
      </c>
      <c r="F340" s="16" t="n">
        <v>10</v>
      </c>
      <c r="G340" t="inlineStr">
        <is>
          <t>ml</t>
        </is>
      </c>
      <c r="H340" s="12">
        <f>IFERROR(VLOOKUP(E340,Insumos!$C$5:$G$100,5,FALSE),0)</f>
        <v/>
      </c>
      <c r="I340" s="17">
        <f>F340*H340/IF(C340="molde",MAX(1,'Mi negocio'!$C$34),1)</f>
        <v/>
      </c>
    </row>
    <row r="341">
      <c r="A341" t="n">
        <v>24</v>
      </c>
      <c r="B341" s="21" t="inlineStr">
        <is>
          <t>Gomita Botánica de Pepino, Limón Verde y Salitre con Chile Jalapeño (Cucumber-Lime, Sal de Grano &amp; Jalapeño Crisp)</t>
        </is>
      </c>
      <c r="C341" t="inlineStr">
        <is>
          <t>sabor</t>
        </is>
      </c>
      <c r="D341" s="22" t="inlineStr">
        <is>
          <t>2 ml Aroma natural destilado de pepino fresco (Cucumis sativus)</t>
        </is>
      </c>
      <c r="E341" s="6" t="inlineStr">
        <is>
          <t>Aroma natural hidrosoluble concentrado</t>
        </is>
      </c>
      <c r="F341" s="16" t="n">
        <v>2</v>
      </c>
      <c r="G341" t="inlineStr">
        <is>
          <t>ml</t>
        </is>
      </c>
      <c r="H341" s="12">
        <f>IFERROR(VLOOKUP(E341,Insumos!$C$5:$G$100,5,FALSE),0)</f>
        <v/>
      </c>
      <c r="I341" s="17">
        <f>F341*H341/IF(C341="molde",MAX(1,'Mi negocio'!$C$34),1)</f>
        <v/>
      </c>
    </row>
    <row r="342">
      <c r="A342" t="n">
        <v>24</v>
      </c>
      <c r="B342" s="21" t="inlineStr">
        <is>
          <t>Gomita Botánica de Pepino, Limón Verde y Salitre con Chile Jalapeño (Cucumber-Lime, Sal de Grano &amp; Jalapeño Crisp)</t>
        </is>
      </c>
      <c r="C342" t="inlineStr">
        <is>
          <t>sabor</t>
        </is>
      </c>
      <c r="D342" s="22" t="inlineStr">
        <is>
          <t>1 ml Aceite esencial puro destilado de limón verde (Citrus aurantiifolia)</t>
        </is>
      </c>
      <c r="E342" s="6" t="inlineStr">
        <is>
          <t>Aceite esencial puro destilado de cítrico</t>
        </is>
      </c>
      <c r="F342" s="16" t="n">
        <v>1</v>
      </c>
      <c r="G342" t="inlineStr">
        <is>
          <t>ml</t>
        </is>
      </c>
      <c r="H342" s="12">
        <f>IFERROR(VLOOKUP(E342,Insumos!$C$5:$G$100,5,FALSE),0)</f>
        <v/>
      </c>
      <c r="I342" s="17">
        <f>F342*H342/IF(C342="molde",MAX(1,'Mi negocio'!$C$34),1)</f>
        <v/>
      </c>
    </row>
    <row r="343">
      <c r="A343" t="n">
        <v>24</v>
      </c>
      <c r="B343" s="21" t="inlineStr">
        <is>
          <t>Gomita Botánica de Pepino, Limón Verde y Salitre con Chile Jalapeño (Cucumber-Lime, Sal de Grano &amp; Jalapeño Crisp)</t>
        </is>
      </c>
      <c r="C343" t="inlineStr">
        <is>
          <t>sabor</t>
        </is>
      </c>
      <c r="D343" s="22" t="inlineStr">
        <is>
          <t>0.6 ml Extracto fluido natural de chile jalapeño verde (estandarizado para notas verdes de pirazina y picor medio)</t>
        </is>
      </c>
      <c r="E343" s="6" t="inlineStr">
        <is>
          <t>Extracto o infusión botánica concentrada</t>
        </is>
      </c>
      <c r="F343" s="16" t="n">
        <v>0.6</v>
      </c>
      <c r="G343" t="inlineStr">
        <is>
          <t>ml</t>
        </is>
      </c>
      <c r="H343" s="12">
        <f>IFERROR(VLOOKUP(E343,Insumos!$C$5:$G$100,5,FALSE),0)</f>
        <v/>
      </c>
      <c r="I343" s="17">
        <f>F343*H343/IF(C343="molde",MAX(1,'Mi negocio'!$C$34),1)</f>
        <v/>
      </c>
    </row>
    <row r="344">
      <c r="A344" t="n">
        <v>24</v>
      </c>
      <c r="B344" s="21" t="inlineStr">
        <is>
          <t>Gomita Botánica de Pepino, Limón Verde y Salitre con Chile Jalapeño (Cucumber-Lime, Sal de Grano &amp; Jalapeño Crisp)</t>
        </is>
      </c>
      <c r="C344" t="inlineStr">
        <is>
          <t>sabor</t>
        </is>
      </c>
      <c r="D344" s="22" t="inlineStr">
        <is>
          <t>0.25 g Clorofilina cúprica líquida (verde esmeralda translúcido)</t>
        </is>
      </c>
      <c r="E344" s="6" t="inlineStr">
        <is>
          <t>Clorofilina cúprica (verde)</t>
        </is>
      </c>
      <c r="F344" s="16" t="n">
        <v>0.25</v>
      </c>
      <c r="G344" t="inlineStr">
        <is>
          <t>g</t>
        </is>
      </c>
      <c r="H344" s="12">
        <f>IFERROR(VLOOKUP(E344,Insumos!$C$5:$G$100,5,FALSE),0)</f>
        <v/>
      </c>
      <c r="I344" s="17">
        <f>F344*H344/IF(C344="molde",MAX(1,'Mi negocio'!$C$34),1)</f>
        <v/>
      </c>
    </row>
    <row r="345">
      <c r="A345" t="n">
        <v>24</v>
      </c>
      <c r="B345" s="21" t="inlineStr">
        <is>
          <t>Gomita Botánica de Pepino, Limón Verde y Salitre con Chile Jalapeño (Cucumber-Lime, Sal de Grano &amp; Jalapeño Crisp)</t>
        </is>
      </c>
      <c r="C345" t="inlineStr">
        <is>
          <t>acabado</t>
        </is>
      </c>
      <c r="D345" s="22" t="inlineStr">
        <is>
          <t>80 g Azúcar refinada de grano medio (300-450 mum)</t>
        </is>
      </c>
      <c r="E345" s="6" t="inlineStr">
        <is>
          <t>Azúcar cristal de grano medio a grueso (rebozado)</t>
        </is>
      </c>
      <c r="F345" s="16" t="n">
        <v>80</v>
      </c>
      <c r="G345" t="inlineStr">
        <is>
          <t>g</t>
        </is>
      </c>
      <c r="H345" s="12">
        <f>IFERROR(VLOOKUP(E345,Insumos!$C$5:$G$100,5,FALSE),0)</f>
        <v/>
      </c>
      <c r="I345" s="17">
        <f>F345*H345/IF(C345="molde",MAX(1,'Mi negocio'!$C$34),1)</f>
        <v/>
      </c>
    </row>
    <row r="346">
      <c r="A346" t="n">
        <v>24</v>
      </c>
      <c r="B346" s="21" t="inlineStr">
        <is>
          <t>Gomita Botánica de Pepino, Limón Verde y Salitre con Chile Jalapeño (Cucumber-Lime, Sal de Grano &amp; Jalapeño Crisp)</t>
        </is>
      </c>
      <c r="C346" t="inlineStr">
        <is>
          <t>sabor</t>
        </is>
      </c>
      <c r="D346" s="22" t="inlineStr">
        <is>
          <t>18 g Polvo puro de chile jalapeño verde deshidratado en frío (&lt;80 mum)</t>
        </is>
      </c>
      <c r="E346" s="6" t="inlineStr">
        <is>
          <t>Chile jalapeño o habanero deshidratado en polvo</t>
        </is>
      </c>
      <c r="F346" s="16" t="n">
        <v>18</v>
      </c>
      <c r="G346" t="inlineStr">
        <is>
          <t>g</t>
        </is>
      </c>
      <c r="H346" s="12">
        <f>IFERROR(VLOOKUP(E346,Insumos!$C$5:$G$100,5,FALSE),0)</f>
        <v/>
      </c>
      <c r="I346" s="17">
        <f>F346*H346/IF(C346="molde",MAX(1,'Mi negocio'!$C$34),1)</f>
        <v/>
      </c>
    </row>
    <row r="347">
      <c r="A347" t="n">
        <v>24</v>
      </c>
      <c r="B347" s="21" t="inlineStr">
        <is>
          <t>Gomita Botánica de Pepino, Limón Verde y Salitre con Chile Jalapeño (Cucumber-Lime, Sal de Grano &amp; Jalapeño Crisp)</t>
        </is>
      </c>
      <c r="C347" t="inlineStr">
        <is>
          <t>sabor</t>
        </is>
      </c>
      <c r="D347" s="22" t="inlineStr">
        <is>
          <t>8 g Sal marina de grano medio quebrada a 200 mum</t>
        </is>
      </c>
      <c r="E347" s="6" t="inlineStr">
        <is>
          <t>Sal marina fina o flor de sal</t>
        </is>
      </c>
      <c r="F347" s="16" t="n">
        <v>8</v>
      </c>
      <c r="G347" t="inlineStr">
        <is>
          <t>g</t>
        </is>
      </c>
      <c r="H347" s="12">
        <f>IFERROR(VLOOKUP(E347,Insumos!$C$5:$G$100,5,FALSE),0)</f>
        <v/>
      </c>
      <c r="I347" s="17">
        <f>F347*H347/IF(C347="molde",MAX(1,'Mi negocio'!$C$34),1)</f>
        <v/>
      </c>
    </row>
    <row r="348">
      <c r="A348" t="n">
        <v>24</v>
      </c>
      <c r="B348" s="21" t="inlineStr">
        <is>
          <t>Gomita Botánica de Pepino, Limón Verde y Salitre con Chile Jalapeño (Cucumber-Lime, Sal de Grano &amp; Jalapeño Crisp)</t>
        </is>
      </c>
      <c r="C348" t="inlineStr">
        <is>
          <t>sabor</t>
        </is>
      </c>
      <c r="D348" s="22" t="inlineStr">
        <is>
          <t>6 g Ácido cítrico anhidro de molienda fina</t>
        </is>
      </c>
      <c r="E348" s="6" t="inlineStr">
        <is>
          <t>Ácido cítrico anhidro fino</t>
        </is>
      </c>
      <c r="F348" s="16" t="n">
        <v>6</v>
      </c>
      <c r="G348" t="inlineStr">
        <is>
          <t>g</t>
        </is>
      </c>
      <c r="H348" s="12">
        <f>IFERROR(VLOOKUP(E348,Insumos!$C$5:$G$100,5,FALSE),0)</f>
        <v/>
      </c>
      <c r="I348" s="17">
        <f>F348*H348/IF(C348="molde",MAX(1,'Mi negocio'!$C$34),1)</f>
        <v/>
      </c>
    </row>
    <row r="349">
      <c r="A349" t="n">
        <v>25</v>
      </c>
      <c r="B349" s="21" t="inlineStr">
        <is>
          <t>Perla de Sandía y Mezcal Espadín con Chamoy y Chile Pasilla (Smoked Mezcal, Watermelon &amp; Pasilla Chili Pearl)</t>
        </is>
      </c>
      <c r="C349" t="inlineStr">
        <is>
          <t>gelificante</t>
        </is>
      </c>
      <c r="D349" s="22" t="inlineStr">
        <is>
          <t>40 g Gelatina en polvo de res de 240 Bloom</t>
        </is>
      </c>
      <c r="E349" s="6" t="inlineStr">
        <is>
          <t>Gelatina en polvo de 240-260 Bloom</t>
        </is>
      </c>
      <c r="F349" s="16" t="n">
        <v>40</v>
      </c>
      <c r="G349" t="inlineStr">
        <is>
          <t>g</t>
        </is>
      </c>
      <c r="H349" s="12">
        <f>IFERROR(VLOOKUP(E349,Insumos!$C$5:$G$100,5,FALSE),0)</f>
        <v/>
      </c>
      <c r="I349" s="17">
        <f>F349*H349/IF(C349="molde",MAX(1,'Mi negocio'!$C$34),1)</f>
        <v/>
      </c>
    </row>
    <row r="350">
      <c r="A350" t="n">
        <v>25</v>
      </c>
      <c r="B350" s="21" t="inlineStr">
        <is>
          <t>Perla de Sandía y Mezcal Espadín con Chamoy y Chile Pasilla (Smoked Mezcal, Watermelon &amp; Pasilla Chili Pearl)</t>
        </is>
      </c>
      <c r="C350" t="inlineStr">
        <is>
          <t>gelificante</t>
        </is>
      </c>
      <c r="D350" s="22" t="inlineStr">
        <is>
          <t>5 g Goma arábiga en polvo atomizada pura (Acacia senegal)</t>
        </is>
      </c>
      <c r="E350" s="6" t="inlineStr">
        <is>
          <t>Goma arábiga en polvo atomizada (acacia)</t>
        </is>
      </c>
      <c r="F350" s="16" t="n">
        <v>5</v>
      </c>
      <c r="G350" t="inlineStr">
        <is>
          <t>g</t>
        </is>
      </c>
      <c r="H350" s="12">
        <f>IFERROR(VLOOKUP(E350,Insumos!$C$5:$G$100,5,FALSE),0)</f>
        <v/>
      </c>
      <c r="I350" s="17">
        <f>F350*H350/IF(C350="molde",MAX(1,'Mi negocio'!$C$34),1)</f>
        <v/>
      </c>
    </row>
    <row r="351">
      <c r="A351" t="n">
        <v>25</v>
      </c>
      <c r="B351" s="21" t="inlineStr">
        <is>
          <t>Perla de Sandía y Mezcal Espadín con Chamoy y Chile Pasilla (Smoked Mezcal, Watermelon &amp; Pasilla Chili Pearl)</t>
        </is>
      </c>
      <c r="C351" t="inlineStr">
        <is>
          <t>sabor</t>
        </is>
      </c>
      <c r="D351" s="22" t="inlineStr">
        <is>
          <t>95 ml Agua desmineralizada a 15 °C</t>
        </is>
      </c>
      <c r="E351" s="6" t="inlineStr">
        <is>
          <t>Agua desmineralizada o purificada</t>
        </is>
      </c>
      <c r="F351" s="16" t="n">
        <v>95</v>
      </c>
      <c r="G351" t="inlineStr">
        <is>
          <t>ml</t>
        </is>
      </c>
      <c r="H351" s="12">
        <f>IFERROR(VLOOKUP(E351,Insumos!$C$5:$G$100,5,FALSE),0)</f>
        <v/>
      </c>
      <c r="I351" s="17">
        <f>F351*H351/IF(C351="molde",MAX(1,'Mi negocio'!$C$34),1)</f>
        <v/>
      </c>
    </row>
    <row r="352">
      <c r="A352" t="n">
        <v>25</v>
      </c>
      <c r="B352" s="21" t="inlineStr">
        <is>
          <t>Perla de Sandía y Mezcal Espadín con Chamoy y Chile Pasilla (Smoked Mezcal, Watermelon &amp; Pasilla Chili Pearl)</t>
        </is>
      </c>
      <c r="C352" t="inlineStr">
        <is>
          <t>azucar</t>
        </is>
      </c>
      <c r="D352" s="22" t="inlineStr">
        <is>
          <t>190 g Azúcar blanca refinada pura</t>
        </is>
      </c>
      <c r="E352" s="6" t="inlineStr">
        <is>
          <t>Azúcar blanca refinada</t>
        </is>
      </c>
      <c r="F352" s="16" t="n">
        <v>190</v>
      </c>
      <c r="G352" t="inlineStr">
        <is>
          <t>g</t>
        </is>
      </c>
      <c r="H352" s="12">
        <f>IFERROR(VLOOKUP(E352,Insumos!$C$5:$G$100,5,FALSE),0)</f>
        <v/>
      </c>
      <c r="I352" s="17">
        <f>F352*H352/IF(C352="molde",MAX(1,'Mi negocio'!$C$34),1)</f>
        <v/>
      </c>
    </row>
    <row r="353">
      <c r="A353" t="n">
        <v>25</v>
      </c>
      <c r="B353" s="21" t="inlineStr">
        <is>
          <t>Perla de Sandía y Mezcal Espadín con Chamoy y Chile Pasilla (Smoked Mezcal, Watermelon &amp; Pasilla Chili Pearl)</t>
        </is>
      </c>
      <c r="C353" t="inlineStr">
        <is>
          <t>azucar</t>
        </is>
      </c>
      <c r="D353" s="22" t="inlineStr">
        <is>
          <t>150 g Jarabe de glucosa 42DE</t>
        </is>
      </c>
      <c r="E353" s="6" t="inlineStr">
        <is>
          <t>Jarabe de glucosa 42 DE</t>
        </is>
      </c>
      <c r="F353" s="16" t="n">
        <v>150</v>
      </c>
      <c r="G353" t="inlineStr">
        <is>
          <t>g</t>
        </is>
      </c>
      <c r="H353" s="12">
        <f>IFERROR(VLOOKUP(E353,Insumos!$C$5:$G$100,5,FALSE),0)</f>
        <v/>
      </c>
      <c r="I353" s="17">
        <f>F353*H353/IF(C353="molde",MAX(1,'Mi negocio'!$C$34),1)</f>
        <v/>
      </c>
    </row>
    <row r="354">
      <c r="A354" t="n">
        <v>25</v>
      </c>
      <c r="B354" s="21" t="inlineStr">
        <is>
          <t>Perla de Sandía y Mezcal Espadín con Chamoy y Chile Pasilla (Smoked Mezcal, Watermelon &amp; Pasilla Chili Pearl)</t>
        </is>
      </c>
      <c r="C354" t="inlineStr">
        <is>
          <t>sabor</t>
        </is>
      </c>
      <c r="D354" s="22" t="inlineStr">
        <is>
          <t>45 ml Jugo concentrado clarificado de sandía roja (12)</t>
        </is>
      </c>
      <c r="E354" s="6" t="inlineStr">
        <is>
          <t>Zumo concentrado clarificado de piña, sandía o tropical</t>
        </is>
      </c>
      <c r="F354" s="16" t="n">
        <v>45</v>
      </c>
      <c r="G354" t="inlineStr">
        <is>
          <t>ml</t>
        </is>
      </c>
      <c r="H354" s="12">
        <f>IFERROR(VLOOKUP(E354,Insumos!$C$5:$G$100,5,FALSE),0)</f>
        <v/>
      </c>
      <c r="I354" s="17">
        <f>F354*H354/IF(C354="molde",MAX(1,'Mi negocio'!$C$34),1)</f>
        <v/>
      </c>
    </row>
    <row r="355">
      <c r="A355" t="n">
        <v>25</v>
      </c>
      <c r="B355" s="21" t="inlineStr">
        <is>
          <t>Perla de Sandía y Mezcal Espadín con Chamoy y Chile Pasilla (Smoked Mezcal, Watermelon &amp; Pasilla Chili Pearl)</t>
        </is>
      </c>
      <c r="C355" t="inlineStr">
        <is>
          <t>azucar</t>
        </is>
      </c>
      <c r="D355" s="22" t="inlineStr">
        <is>
          <t>12 g Sorbitol líquido al 70%</t>
        </is>
      </c>
      <c r="E355" s="6" t="inlineStr">
        <is>
          <t>Sorbitol líquido al 70%</t>
        </is>
      </c>
      <c r="F355" s="16" t="n">
        <v>12</v>
      </c>
      <c r="G355" t="inlineStr">
        <is>
          <t>g</t>
        </is>
      </c>
      <c r="H355" s="12">
        <f>IFERROR(VLOOKUP(E355,Insumos!$C$5:$G$100,5,FALSE),0)</f>
        <v/>
      </c>
      <c r="I355" s="17">
        <f>F355*H355/IF(C355="molde",MAX(1,'Mi negocio'!$C$34),1)</f>
        <v/>
      </c>
    </row>
    <row r="356">
      <c r="A356" t="n">
        <v>25</v>
      </c>
      <c r="B356" s="21" t="inlineStr">
        <is>
          <t>Perla de Sandía y Mezcal Espadín con Chamoy y Chile Pasilla (Smoked Mezcal, Watermelon &amp; Pasilla Chili Pearl)</t>
        </is>
      </c>
      <c r="C356" t="inlineStr">
        <is>
          <t>sabor</t>
        </is>
      </c>
      <c r="D356" s="22" t="inlineStr">
        <is>
          <t>2 g Citrato de sodio</t>
        </is>
      </c>
      <c r="E356" s="6" t="inlineStr">
        <is>
          <t>Citrato de sodio dihidratado</t>
        </is>
      </c>
      <c r="F356" s="16" t="n">
        <v>2</v>
      </c>
      <c r="G356" t="inlineStr">
        <is>
          <t>g</t>
        </is>
      </c>
      <c r="H356" s="12">
        <f>IFERROR(VLOOKUP(E356,Insumos!$C$5:$G$100,5,FALSE),0)</f>
        <v/>
      </c>
      <c r="I356" s="17">
        <f>F356*H356/IF(C356="molde",MAX(1,'Mi negocio'!$C$34),1)</f>
        <v/>
      </c>
    </row>
    <row r="357">
      <c r="A357" t="n">
        <v>25</v>
      </c>
      <c r="B357" s="21" t="inlineStr">
        <is>
          <t>Perla de Sandía y Mezcal Espadín con Chamoy y Chile Pasilla (Smoked Mezcal, Watermelon &amp; Pasilla Chili Pearl)</t>
        </is>
      </c>
      <c r="C357" t="inlineStr">
        <is>
          <t>sabor</t>
        </is>
      </c>
      <c r="D357" s="22" t="inlineStr">
        <is>
          <t>25 ml Mezcal artesanal Espadín joven (45 °GL, con destilado en alambique de cobre y notas de horno cónico)</t>
        </is>
      </c>
      <c r="E357" s="6" t="inlineStr">
        <is>
          <t>Mezcal artesanal espadín joven</t>
        </is>
      </c>
      <c r="F357" s="16" t="n">
        <v>25</v>
      </c>
      <c r="G357" t="inlineStr">
        <is>
          <t>ml</t>
        </is>
      </c>
      <c r="H357" s="12">
        <f>IFERROR(VLOOKUP(E357,Insumos!$C$5:$G$100,5,FALSE),0)</f>
        <v/>
      </c>
      <c r="I357" s="17">
        <f>F357*H357/IF(C357="molde",MAX(1,'Mi negocio'!$C$34),1)</f>
        <v/>
      </c>
    </row>
    <row r="358">
      <c r="A358" t="n">
        <v>25</v>
      </c>
      <c r="B358" s="21" t="inlineStr">
        <is>
          <t>Perla de Sandía y Mezcal Espadín con Chamoy y Chile Pasilla (Smoked Mezcal, Watermelon &amp; Pasilla Chili Pearl)</t>
        </is>
      </c>
      <c r="C358" t="inlineStr">
        <is>
          <t>sabor</t>
        </is>
      </c>
      <c r="D358" s="22" t="inlineStr">
        <is>
          <t>8 ml Solución de ácido cítrico al 50% p/v</t>
        </is>
      </c>
      <c r="E358" s="6" t="inlineStr">
        <is>
          <t>Solución de ácido cítrico al 50% p/v (elaborada)</t>
        </is>
      </c>
      <c r="F358" s="16" t="n">
        <v>8</v>
      </c>
      <c r="G358" t="inlineStr">
        <is>
          <t>ml</t>
        </is>
      </c>
      <c r="H358" s="12">
        <f>IFERROR(VLOOKUP(E358,Insumos!$C$5:$G$100,5,FALSE),0)</f>
        <v/>
      </c>
      <c r="I358" s="17">
        <f>F358*H358/IF(C358="molde",MAX(1,'Mi negocio'!$C$34),1)</f>
        <v/>
      </c>
    </row>
    <row r="359">
      <c r="A359" t="n">
        <v>25</v>
      </c>
      <c r="B359" s="21" t="inlineStr">
        <is>
          <t>Perla de Sandía y Mezcal Espadín con Chamoy y Chile Pasilla (Smoked Mezcal, Watermelon &amp; Pasilla Chili Pearl)</t>
        </is>
      </c>
      <c r="C359" t="inlineStr">
        <is>
          <t>sabor</t>
        </is>
      </c>
      <c r="D359" s="22" t="inlineStr">
        <is>
          <t>2 ml Aroma natural concentrado de sandía fresca</t>
        </is>
      </c>
      <c r="E359" s="6" t="inlineStr">
        <is>
          <t>Aroma natural hidrosoluble concentrado</t>
        </is>
      </c>
      <c r="F359" s="16" t="n">
        <v>2</v>
      </c>
      <c r="G359" t="inlineStr">
        <is>
          <t>ml</t>
        </is>
      </c>
      <c r="H359" s="12">
        <f>IFERROR(VLOOKUP(E359,Insumos!$C$5:$G$100,5,FALSE),0)</f>
        <v/>
      </c>
      <c r="I359" s="17">
        <f>F359*H359/IF(C359="molde",MAX(1,'Mi negocio'!$C$34),1)</f>
        <v/>
      </c>
    </row>
    <row r="360">
      <c r="A360" t="n">
        <v>25</v>
      </c>
      <c r="B360" s="21" t="inlineStr">
        <is>
          <t>Perla de Sandía y Mezcal Espadín con Chamoy y Chile Pasilla (Smoked Mezcal, Watermelon &amp; Pasilla Chili Pearl)</t>
        </is>
      </c>
      <c r="C360" t="inlineStr">
        <is>
          <t>sabor</t>
        </is>
      </c>
      <c r="D360" s="22" t="inlineStr">
        <is>
          <t>0.3 g Colorante rojo carmín hidrosoluble</t>
        </is>
      </c>
      <c r="E360" s="6" t="inlineStr">
        <is>
          <t>Colorante rojo carmín o allura hidrosoluble</t>
        </is>
      </c>
      <c r="F360" s="16" t="n">
        <v>0.3</v>
      </c>
      <c r="G360" t="inlineStr">
        <is>
          <t>g</t>
        </is>
      </c>
      <c r="H360" s="12">
        <f>IFERROR(VLOOKUP(E360,Insumos!$C$5:$G$100,5,FALSE),0)</f>
        <v/>
      </c>
      <c r="I360" s="17">
        <f>F360*H360/IF(C360="molde",MAX(1,'Mi negocio'!$C$34),1)</f>
        <v/>
      </c>
    </row>
    <row r="361">
      <c r="A361" t="n">
        <v>25</v>
      </c>
      <c r="B361" s="21" t="inlineStr">
        <is>
          <t>Perla de Sandía y Mezcal Espadín con Chamoy y Chile Pasilla (Smoked Mezcal, Watermelon &amp; Pasilla Chili Pearl)</t>
        </is>
      </c>
      <c r="C361" t="inlineStr">
        <is>
          <t>acabado</t>
        </is>
      </c>
      <c r="D361" s="22" t="inlineStr">
        <is>
          <t>80 g Azúcar refinada de grano medio (300-450 mum)</t>
        </is>
      </c>
      <c r="E361" s="6" t="inlineStr">
        <is>
          <t>Azúcar cristal de grano medio a grueso (rebozado)</t>
        </is>
      </c>
      <c r="F361" s="16" t="n">
        <v>80</v>
      </c>
      <c r="G361" t="inlineStr">
        <is>
          <t>g</t>
        </is>
      </c>
      <c r="H361" s="12">
        <f>IFERROR(VLOOKUP(E361,Insumos!$C$5:$G$100,5,FALSE),0)</f>
        <v/>
      </c>
      <c r="I361" s="17">
        <f>F361*H361/IF(C361="molde",MAX(1,'Mi negocio'!$C$34),1)</f>
        <v/>
      </c>
    </row>
    <row r="362">
      <c r="A362" t="n">
        <v>25</v>
      </c>
      <c r="B362" s="21" t="inlineStr">
        <is>
          <t>Perla de Sandía y Mezcal Espadín con Chamoy y Chile Pasilla (Smoked Mezcal, Watermelon &amp; Pasilla Chili Pearl)</t>
        </is>
      </c>
      <c r="C362" t="inlineStr">
        <is>
          <t>sabor</t>
        </is>
      </c>
      <c r="D362" s="22" t="inlineStr">
        <is>
          <t>18 g Polvo puro de chile pasilla desvenado y tostado (&lt;80 mum, color negro-rojizo, notas de pasa y cacao seco)</t>
        </is>
      </c>
      <c r="E362" s="6" t="inlineStr">
        <is>
          <t>Chile guajillo, árbol o pasilla en polvo</t>
        </is>
      </c>
      <c r="F362" s="16" t="n">
        <v>18</v>
      </c>
      <c r="G362" t="inlineStr">
        <is>
          <t>g</t>
        </is>
      </c>
      <c r="H362" s="12">
        <f>IFERROR(VLOOKUP(E362,Insumos!$C$5:$G$100,5,FALSE),0)</f>
        <v/>
      </c>
      <c r="I362" s="17">
        <f>F362*H362/IF(C362="molde",MAX(1,'Mi negocio'!$C$34),1)</f>
        <v/>
      </c>
    </row>
    <row r="363">
      <c r="A363" t="n">
        <v>25</v>
      </c>
      <c r="B363" s="21" t="inlineStr">
        <is>
          <t>Perla de Sandía y Mezcal Espadín con Chamoy y Chile Pasilla (Smoked Mezcal, Watermelon &amp; Pasilla Chili Pearl)</t>
        </is>
      </c>
      <c r="C363" t="inlineStr">
        <is>
          <t>sabor</t>
        </is>
      </c>
      <c r="D363" s="22" t="inlineStr">
        <is>
          <t>10 g Ácido cítrico micro-encapsulado</t>
        </is>
      </c>
      <c r="E363" s="6" t="inlineStr">
        <is>
          <t>Ácido cítrico o málico micro-encapsulado</t>
        </is>
      </c>
      <c r="F363" s="16" t="n">
        <v>10</v>
      </c>
      <c r="G363" t="inlineStr">
        <is>
          <t>g</t>
        </is>
      </c>
      <c r="H363" s="12">
        <f>IFERROR(VLOOKUP(E363,Insumos!$C$5:$G$100,5,FALSE),0)</f>
        <v/>
      </c>
      <c r="I363" s="17">
        <f>F363*H363/IF(C363="molde",MAX(1,'Mi negocio'!$C$34),1)</f>
        <v/>
      </c>
    </row>
    <row r="364">
      <c r="A364" t="n">
        <v>25</v>
      </c>
      <c r="B364" s="21" t="inlineStr">
        <is>
          <t>Perla de Sandía y Mezcal Espadín con Chamoy y Chile Pasilla (Smoked Mezcal, Watermelon &amp; Pasilla Chili Pearl)</t>
        </is>
      </c>
      <c r="C364" t="inlineStr">
        <is>
          <t>sabor</t>
        </is>
      </c>
      <c r="D364" s="22" t="inlineStr">
        <is>
          <t>7 g Sal de mar en flor micro-molida</t>
        </is>
      </c>
      <c r="E364" s="6" t="inlineStr">
        <is>
          <t>Sal marina fina o flor de sal</t>
        </is>
      </c>
      <c r="F364" s="16" t="n">
        <v>7</v>
      </c>
      <c r="G364" t="inlineStr">
        <is>
          <t>g</t>
        </is>
      </c>
      <c r="H364" s="12">
        <f>IFERROR(VLOOKUP(E364,Insumos!$C$5:$G$100,5,FALSE),0)</f>
        <v/>
      </c>
      <c r="I364" s="17">
        <f>F364*H364/IF(C364="molde",MAX(1,'Mi negocio'!$C$34),1)</f>
        <v/>
      </c>
    </row>
    <row r="365">
      <c r="A365" t="n">
        <v>26</v>
      </c>
      <c r="B365" s="21" t="inlineStr">
        <is>
          <t>Gema Cristalina de Mango y Chile Habanero (Mango-Habanero Translucent Gem)</t>
        </is>
      </c>
      <c r="C365" t="inlineStr">
        <is>
          <t>gelificante</t>
        </is>
      </c>
      <c r="D365" s="22" t="inlineStr">
        <is>
          <t>42 g Gelatina en polvo pura de 260 Bloom</t>
        </is>
      </c>
      <c r="E365" s="6" t="inlineStr">
        <is>
          <t>Gelatina en polvo de 240-260 Bloom</t>
        </is>
      </c>
      <c r="F365" s="16" t="n">
        <v>42</v>
      </c>
      <c r="G365" t="inlineStr">
        <is>
          <t>g</t>
        </is>
      </c>
      <c r="H365" s="12">
        <f>IFERROR(VLOOKUP(E365,Insumos!$C$5:$G$100,5,FALSE),0)</f>
        <v/>
      </c>
      <c r="I365" s="17">
        <f>F365*H365/IF(C365="molde",MAX(1,'Mi negocio'!$C$34),1)</f>
        <v/>
      </c>
    </row>
    <row r="366">
      <c r="A366" t="n">
        <v>26</v>
      </c>
      <c r="B366" s="21" t="inlineStr">
        <is>
          <t>Gema Cristalina de Mango y Chile Habanero (Mango-Habanero Translucent Gem)</t>
        </is>
      </c>
      <c r="C366" t="inlineStr">
        <is>
          <t>sabor</t>
        </is>
      </c>
      <c r="D366" s="22" t="inlineStr">
        <is>
          <t>95 ml Agua desmineralizada a 12 °C</t>
        </is>
      </c>
      <c r="E366" s="6" t="inlineStr">
        <is>
          <t>Agua desmineralizada o purificada</t>
        </is>
      </c>
      <c r="F366" s="16" t="n">
        <v>95</v>
      </c>
      <c r="G366" t="inlineStr">
        <is>
          <t>ml</t>
        </is>
      </c>
      <c r="H366" s="12">
        <f>IFERROR(VLOOKUP(E366,Insumos!$C$5:$G$100,5,FALSE),0)</f>
        <v/>
      </c>
      <c r="I366" s="17">
        <f>F366*H366/IF(C366="molde",MAX(1,'Mi negocio'!$C$34),1)</f>
        <v/>
      </c>
    </row>
    <row r="367">
      <c r="A367" t="n">
        <v>26</v>
      </c>
      <c r="B367" s="21" t="inlineStr">
        <is>
          <t>Gema Cristalina de Mango y Chile Habanero (Mango-Habanero Translucent Gem)</t>
        </is>
      </c>
      <c r="C367" t="inlineStr">
        <is>
          <t>azucar</t>
        </is>
      </c>
      <c r="D367" s="22" t="inlineStr">
        <is>
          <t>195 g Azúcar blanca refinada de alta pureza (99.8% polarización)</t>
        </is>
      </c>
      <c r="E367" s="6" t="inlineStr">
        <is>
          <t>Azúcar blanca refinada</t>
        </is>
      </c>
      <c r="F367" s="16" t="n">
        <v>195</v>
      </c>
      <c r="G367" t="inlineStr">
        <is>
          <t>g</t>
        </is>
      </c>
      <c r="H367" s="12">
        <f>IFERROR(VLOOKUP(E367,Insumos!$C$5:$G$100,5,FALSE),0)</f>
        <v/>
      </c>
      <c r="I367" s="17">
        <f>F367*H367/IF(C367="molde",MAX(1,'Mi negocio'!$C$34),1)</f>
        <v/>
      </c>
    </row>
    <row r="368">
      <c r="A368" t="n">
        <v>26</v>
      </c>
      <c r="B368" s="21" t="inlineStr">
        <is>
          <t>Gema Cristalina de Mango y Chile Habanero (Mango-Habanero Translucent Gem)</t>
        </is>
      </c>
      <c r="C368" t="inlineStr">
        <is>
          <t>azucar</t>
        </is>
      </c>
      <c r="D368" s="22" t="inlineStr">
        <is>
          <t>155 g Jarabe de glucosa estándar de maíz de 42DE</t>
        </is>
      </c>
      <c r="E368" s="6" t="inlineStr">
        <is>
          <t>Jarabe de glucosa 42 DE</t>
        </is>
      </c>
      <c r="F368" s="16" t="n">
        <v>155</v>
      </c>
      <c r="G368" t="inlineStr">
        <is>
          <t>g</t>
        </is>
      </c>
      <c r="H368" s="12">
        <f>IFERROR(VLOOKUP(E368,Insumos!$C$5:$G$100,5,FALSE),0)</f>
        <v/>
      </c>
      <c r="I368" s="17">
        <f>F368*H368/IF(C368="molde",MAX(1,'Mi negocio'!$C$34),1)</f>
        <v/>
      </c>
    </row>
    <row r="369">
      <c r="A369" t="n">
        <v>26</v>
      </c>
      <c r="B369" s="21" t="inlineStr">
        <is>
          <t>Gema Cristalina de Mango y Chile Habanero (Mango-Habanero Translucent Gem)</t>
        </is>
      </c>
      <c r="C369" t="inlineStr">
        <is>
          <t>sabor</t>
        </is>
      </c>
      <c r="D369" s="22" t="inlineStr">
        <is>
          <t>50 ml Jugo concentrado clarificado y despectinizado de mango Ataulfo (Brix 18, sin pulpa en suspensión)</t>
        </is>
      </c>
      <c r="E369" s="6" t="inlineStr">
        <is>
          <t>Puré concentrado de mango, durazno o chabacano</t>
        </is>
      </c>
      <c r="F369" s="16" t="n">
        <v>50</v>
      </c>
      <c r="G369" t="inlineStr">
        <is>
          <t>g</t>
        </is>
      </c>
      <c r="H369" s="12">
        <f>IFERROR(VLOOKUP(E369,Insumos!$C$5:$G$100,5,FALSE),0)</f>
        <v/>
      </c>
      <c r="I369" s="17">
        <f>F369*H369/IF(C369="molde",MAX(1,'Mi negocio'!$C$34),1)</f>
        <v/>
      </c>
    </row>
    <row r="370">
      <c r="A370" t="n">
        <v>26</v>
      </c>
      <c r="B370" s="21" t="inlineStr">
        <is>
          <t>Gema Cristalina de Mango y Chile Habanero (Mango-Habanero Translucent Gem)</t>
        </is>
      </c>
      <c r="C370" t="inlineStr">
        <is>
          <t>azucar</t>
        </is>
      </c>
      <c r="D370" s="22" t="inlineStr">
        <is>
          <t>12 g Sorbitol líquido al 70% (plastificante óptico)</t>
        </is>
      </c>
      <c r="E370" s="6" t="inlineStr">
        <is>
          <t>Sorbitol líquido al 70%</t>
        </is>
      </c>
      <c r="F370" s="16" t="n">
        <v>12</v>
      </c>
      <c r="G370" t="inlineStr">
        <is>
          <t>g</t>
        </is>
      </c>
      <c r="H370" s="12">
        <f>IFERROR(VLOOKUP(E370,Insumos!$C$5:$G$100,5,FALSE),0)</f>
        <v/>
      </c>
      <c r="I370" s="17">
        <f>F370*H370/IF(C370="molde",MAX(1,'Mi negocio'!$C$34),1)</f>
        <v/>
      </c>
    </row>
    <row r="371">
      <c r="A371" t="n">
        <v>26</v>
      </c>
      <c r="B371" s="21" t="inlineStr">
        <is>
          <t>Gema Cristalina de Mango y Chile Habanero (Mango-Habanero Translucent Gem)</t>
        </is>
      </c>
      <c r="C371" t="inlineStr">
        <is>
          <t>sabor</t>
        </is>
      </c>
      <c r="D371" s="22" t="inlineStr">
        <is>
          <t>2 g Citrato de sodio dihidratado (amortiguador de pH)</t>
        </is>
      </c>
      <c r="E371" s="6" t="inlineStr">
        <is>
          <t>Citrato de sodio dihidratado</t>
        </is>
      </c>
      <c r="F371" s="16" t="n">
        <v>2</v>
      </c>
      <c r="G371" t="inlineStr">
        <is>
          <t>g</t>
        </is>
      </c>
      <c r="H371" s="12">
        <f>IFERROR(VLOOKUP(E371,Insumos!$C$5:$G$100,5,FALSE),0)</f>
        <v/>
      </c>
      <c r="I371" s="17">
        <f>F371*H371/IF(C371="molde",MAX(1,'Mi negocio'!$C$34),1)</f>
        <v/>
      </c>
    </row>
    <row r="372">
      <c r="A372" t="n">
        <v>26</v>
      </c>
      <c r="B372" s="21" t="inlineStr">
        <is>
          <t>Gema Cristalina de Mango y Chile Habanero (Mango-Habanero Translucent Gem)</t>
        </is>
      </c>
      <c r="C372" t="inlineStr">
        <is>
          <t>sabor</t>
        </is>
      </c>
      <c r="D372" s="22" t="inlineStr">
        <is>
          <t>8 ml Solución de ácido cítrico al 50% p/v</t>
        </is>
      </c>
      <c r="E372" s="6" t="inlineStr">
        <is>
          <t>Solución de ácido cítrico al 50% p/v (elaborada)</t>
        </is>
      </c>
      <c r="F372" s="16" t="n">
        <v>8</v>
      </c>
      <c r="G372" t="inlineStr">
        <is>
          <t>ml</t>
        </is>
      </c>
      <c r="H372" s="12">
        <f>IFERROR(VLOOKUP(E372,Insumos!$C$5:$G$100,5,FALSE),0)</f>
        <v/>
      </c>
      <c r="I372" s="17">
        <f>F372*H372/IF(C372="molde",MAX(1,'Mi negocio'!$C$34),1)</f>
        <v/>
      </c>
    </row>
    <row r="373">
      <c r="A373" t="n">
        <v>26</v>
      </c>
      <c r="B373" s="21" t="inlineStr">
        <is>
          <t>Gema Cristalina de Mango y Chile Habanero (Mango-Habanero Translucent Gem)</t>
        </is>
      </c>
      <c r="C373" t="inlineStr">
        <is>
          <t>sabor</t>
        </is>
      </c>
      <c r="D373" s="22" t="inlineStr">
        <is>
          <t>2 ml Aroma natural concentrado hidrosoluble de mango Ataulfo</t>
        </is>
      </c>
      <c r="E373" s="6" t="inlineStr">
        <is>
          <t>Aroma natural hidrosoluble concentrado</t>
        </is>
      </c>
      <c r="F373" s="16" t="n">
        <v>2</v>
      </c>
      <c r="G373" t="inlineStr">
        <is>
          <t>ml</t>
        </is>
      </c>
      <c r="H373" s="12">
        <f>IFERROR(VLOOKUP(E373,Insumos!$C$5:$G$100,5,FALSE),0)</f>
        <v/>
      </c>
      <c r="I373" s="17">
        <f>F373*H373/IF(C373="molde",MAX(1,'Mi negocio'!$C$34),1)</f>
        <v/>
      </c>
    </row>
    <row r="374">
      <c r="A374" t="n">
        <v>26</v>
      </c>
      <c r="B374" s="21" t="inlineStr">
        <is>
          <t>Gema Cristalina de Mango y Chile Habanero (Mango-Habanero Translucent Gem)</t>
        </is>
      </c>
      <c r="C374" t="inlineStr">
        <is>
          <t>sabor</t>
        </is>
      </c>
      <c r="D374" s="22" t="inlineStr">
        <is>
          <t>0.35 ml Oleorresina estandarizada de chile habanero naranja (1,000,000SHU diluida al 1% en triglicéridos de cadena media con 0.05 g de polisorbato 80)</t>
        </is>
      </c>
      <c r="E374" s="6" t="inlineStr">
        <is>
          <t>Oleorresina estandarizada de chile</t>
        </is>
      </c>
      <c r="F374" s="16" t="n">
        <v>0.35</v>
      </c>
      <c r="G374" t="inlineStr">
        <is>
          <t>ml</t>
        </is>
      </c>
      <c r="H374" s="12">
        <f>IFERROR(VLOOKUP(E374,Insumos!$C$5:$G$100,5,FALSE),0)</f>
        <v/>
      </c>
      <c r="I374" s="17">
        <f>F374*H374/IF(C374="molde",MAX(1,'Mi negocio'!$C$34),1)</f>
        <v/>
      </c>
    </row>
    <row r="375">
      <c r="A375" t="n">
        <v>26</v>
      </c>
      <c r="B375" s="21" t="inlineStr">
        <is>
          <t>Gema Cristalina de Mango y Chile Habanero (Mango-Habanero Translucent Gem)</t>
        </is>
      </c>
      <c r="C375" t="inlineStr">
        <is>
          <t>sabor</t>
        </is>
      </c>
      <c r="D375" s="22" t="inlineStr">
        <is>
          <t>0.15 g Colorante amarillo curcumina hidrosoluble de alta pureza (amarillo topacio brillante)</t>
        </is>
      </c>
      <c r="E375" s="6" t="inlineStr">
        <is>
          <t>Colorante amarillo curcumina hidrosoluble</t>
        </is>
      </c>
      <c r="F375" s="16" t="n">
        <v>0.15</v>
      </c>
      <c r="G375" t="inlineStr">
        <is>
          <t>g</t>
        </is>
      </c>
      <c r="H375" s="12">
        <f>IFERROR(VLOOKUP(E375,Insumos!$C$5:$G$100,5,FALSE),0)</f>
        <v/>
      </c>
      <c r="I375" s="17">
        <f>F375*H375/IF(C375="molde",MAX(1,'Mi negocio'!$C$34),1)</f>
        <v/>
      </c>
    </row>
    <row r="376">
      <c r="A376" t="n">
        <v>26</v>
      </c>
      <c r="B376" s="21" t="inlineStr">
        <is>
          <t>Gema Cristalina de Mango y Chile Habanero (Mango-Habanero Translucent Gem)</t>
        </is>
      </c>
      <c r="C376" t="inlineStr">
        <is>
          <t>acabado</t>
        </is>
      </c>
      <c r="D376" s="22" t="inlineStr">
        <is>
          <t>2 g Aceite de coco fraccionado (MCT) con 0.15 g de cera de carnauba refinada</t>
        </is>
      </c>
      <c r="E376" s="6" t="inlineStr">
        <is>
          <t>Aceite de coco fraccionado (MCT)</t>
        </is>
      </c>
      <c r="F376" s="16" t="n">
        <v>2</v>
      </c>
      <c r="G376" t="inlineStr">
        <is>
          <t>ml</t>
        </is>
      </c>
      <c r="H376" s="12">
        <f>IFERROR(VLOOKUP(E376,Insumos!$C$5:$G$100,5,FALSE),0)</f>
        <v/>
      </c>
      <c r="I376" s="17">
        <f>F376*H376/IF(C376="molde",MAX(1,'Mi negocio'!$C$34),1)</f>
        <v/>
      </c>
    </row>
    <row r="377">
      <c r="A377" t="n">
        <v>27</v>
      </c>
      <c r="B377" s="21" t="inlineStr">
        <is>
          <t>Confitura de Chabacano al Chamoy Seco en Pectina Lenta (Apricot &amp; Dry Chamoy Pectin Pâte de Fruits)</t>
        </is>
      </c>
      <c r="C377" t="inlineStr">
        <is>
          <t>sabor</t>
        </is>
      </c>
      <c r="D377" s="22" t="inlineStr">
        <is>
          <t>150 g Puré concentrado de chabacano / albaricoque maduro (100% fruta, tamizado sin fibra gruesa)</t>
        </is>
      </c>
      <c r="E377" s="6" t="inlineStr">
        <is>
          <t>Puré concentrado de mango, durazno o chabacano</t>
        </is>
      </c>
      <c r="F377" s="16" t="n">
        <v>150</v>
      </c>
      <c r="G377" t="inlineStr">
        <is>
          <t>g</t>
        </is>
      </c>
      <c r="H377" s="12">
        <f>IFERROR(VLOOKUP(E377,Insumos!$C$5:$G$100,5,FALSE),0)</f>
        <v/>
      </c>
      <c r="I377" s="17">
        <f>F377*H377/IF(C377="molde",MAX(1,'Mi negocio'!$C$34),1)</f>
        <v/>
      </c>
    </row>
    <row r="378">
      <c r="A378" t="n">
        <v>27</v>
      </c>
      <c r="B378" s="21" t="inlineStr">
        <is>
          <t>Confitura de Chabacano al Chamoy Seco en Pectina Lenta (Apricot &amp; Dry Chamoy Pectin Pâte de Fruits)</t>
        </is>
      </c>
      <c r="C378" t="inlineStr">
        <is>
          <t>sabor</t>
        </is>
      </c>
      <c r="D378" s="22" t="inlineStr">
        <is>
          <t>40 ml Infusión concentrada de flor de Jamaica criolla reducida al 50% (aporta taninos y color rubí)</t>
        </is>
      </c>
      <c r="E378" s="6" t="inlineStr">
        <is>
          <t>Extracto o infusión botánica concentrada</t>
        </is>
      </c>
      <c r="F378" s="16" t="n">
        <v>40</v>
      </c>
      <c r="G378" t="inlineStr">
        <is>
          <t>ml</t>
        </is>
      </c>
      <c r="H378" s="12">
        <f>IFERROR(VLOOKUP(E378,Insumos!$C$5:$G$100,5,FALSE),0)</f>
        <v/>
      </c>
      <c r="I378" s="17">
        <f>F378*H378/IF(C378="molde",MAX(1,'Mi negocio'!$C$34),1)</f>
        <v/>
      </c>
    </row>
    <row r="379">
      <c r="A379" t="n">
        <v>27</v>
      </c>
      <c r="B379" s="21" t="inlineStr">
        <is>
          <t>Confitura de Chabacano al Chamoy Seco en Pectina Lenta (Apricot &amp; Dry Chamoy Pectin Pâte de Fruits)</t>
        </is>
      </c>
      <c r="C379" t="inlineStr">
        <is>
          <t>sabor</t>
        </is>
      </c>
      <c r="D379" s="22" t="inlineStr">
        <is>
          <t>30 ml Agua desmineralizada</t>
        </is>
      </c>
      <c r="E379" s="6" t="inlineStr">
        <is>
          <t>Agua desmineralizada o purificada</t>
        </is>
      </c>
      <c r="F379" s="16" t="n">
        <v>30</v>
      </c>
      <c r="G379" t="inlineStr">
        <is>
          <t>ml</t>
        </is>
      </c>
      <c r="H379" s="12">
        <f>IFERROR(VLOOKUP(E379,Insumos!$C$5:$G$100,5,FALSE),0)</f>
        <v/>
      </c>
      <c r="I379" s="17">
        <f>F379*H379/IF(C379="molde",MAX(1,'Mi negocio'!$C$34),1)</f>
        <v/>
      </c>
    </row>
    <row r="380">
      <c r="A380" t="n">
        <v>27</v>
      </c>
      <c r="B380" s="21" t="inlineStr">
        <is>
          <t>Confitura de Chabacano al Chamoy Seco en Pectina Lenta (Apricot &amp; Dry Chamoy Pectin Pâte de Fruits)</t>
        </is>
      </c>
      <c r="C380" t="inlineStr">
        <is>
          <t>gelificante</t>
        </is>
      </c>
      <c r="D380" s="22" t="inlineStr">
        <is>
          <t>11.5 g Pectina de Alto Metoxilo lenta (HM Slow-Set Pectin)</t>
        </is>
      </c>
      <c r="E380" s="6" t="inlineStr">
        <is>
          <t>Pectina de alto metoxilo lenta (HM slow-set)</t>
        </is>
      </c>
      <c r="F380" s="16" t="n">
        <v>11.5</v>
      </c>
      <c r="G380" t="inlineStr">
        <is>
          <t>g</t>
        </is>
      </c>
      <c r="H380" s="12">
        <f>IFERROR(VLOOKUP(E380,Insumos!$C$5:$G$100,5,FALSE),0)</f>
        <v/>
      </c>
      <c r="I380" s="17">
        <f>F380*H380/IF(C380="molde",MAX(1,'Mi negocio'!$C$34),1)</f>
        <v/>
      </c>
    </row>
    <row r="381">
      <c r="A381" t="n">
        <v>27</v>
      </c>
      <c r="B381" s="21" t="inlineStr">
        <is>
          <t>Confitura de Chabacano al Chamoy Seco en Pectina Lenta (Apricot &amp; Dry Chamoy Pectin Pâte de Fruits)</t>
        </is>
      </c>
      <c r="C381" t="inlineStr">
        <is>
          <t>azucar</t>
        </is>
      </c>
      <c r="D381" s="22" t="inlineStr">
        <is>
          <t>35 g Azúcar blanca refinada (para dispersar la pectina en seco)</t>
        </is>
      </c>
      <c r="E381" s="6" t="inlineStr">
        <is>
          <t>Azúcar blanca refinada</t>
        </is>
      </c>
      <c r="F381" s="16" t="n">
        <v>35</v>
      </c>
      <c r="G381" t="inlineStr">
        <is>
          <t>g</t>
        </is>
      </c>
      <c r="H381" s="12">
        <f>IFERROR(VLOOKUP(E381,Insumos!$C$5:$G$100,5,FALSE),0)</f>
        <v/>
      </c>
      <c r="I381" s="17">
        <f>F381*H381/IF(C381="molde",MAX(1,'Mi negocio'!$C$34),1)</f>
        <v/>
      </c>
    </row>
    <row r="382">
      <c r="A382" t="n">
        <v>27</v>
      </c>
      <c r="B382" s="21" t="inlineStr">
        <is>
          <t>Confitura de Chabacano al Chamoy Seco en Pectina Lenta (Apricot &amp; Dry Chamoy Pectin Pâte de Fruits)</t>
        </is>
      </c>
      <c r="C382" t="inlineStr">
        <is>
          <t>azucar</t>
        </is>
      </c>
      <c r="D382" s="22" t="inlineStr">
        <is>
          <t>180 g Azúcar blanca refinada pura</t>
        </is>
      </c>
      <c r="E382" s="6" t="inlineStr">
        <is>
          <t>Azúcar blanca refinada</t>
        </is>
      </c>
      <c r="F382" s="16" t="n">
        <v>180</v>
      </c>
      <c r="G382" t="inlineStr">
        <is>
          <t>g</t>
        </is>
      </c>
      <c r="H382" s="12">
        <f>IFERROR(VLOOKUP(E382,Insumos!$C$5:$G$100,5,FALSE),0)</f>
        <v/>
      </c>
      <c r="I382" s="17">
        <f>F382*H382/IF(C382="molde",MAX(1,'Mi negocio'!$C$34),1)</f>
        <v/>
      </c>
    </row>
    <row r="383">
      <c r="A383" t="n">
        <v>27</v>
      </c>
      <c r="B383" s="21" t="inlineStr">
        <is>
          <t>Confitura de Chabacano al Chamoy Seco en Pectina Lenta (Apricot &amp; Dry Chamoy Pectin Pâte de Fruits)</t>
        </is>
      </c>
      <c r="C383" t="inlineStr">
        <is>
          <t>azucar</t>
        </is>
      </c>
      <c r="D383" s="22" t="inlineStr">
        <is>
          <t>85 g Jarabe de glucosa 42DE</t>
        </is>
      </c>
      <c r="E383" s="6" t="inlineStr">
        <is>
          <t>Jarabe de glucosa 42 DE</t>
        </is>
      </c>
      <c r="F383" s="16" t="n">
        <v>85</v>
      </c>
      <c r="G383" t="inlineStr">
        <is>
          <t>g</t>
        </is>
      </c>
      <c r="H383" s="12">
        <f>IFERROR(VLOOKUP(E383,Insumos!$C$5:$G$100,5,FALSE),0)</f>
        <v/>
      </c>
      <c r="I383" s="17">
        <f>F383*H383/IF(C383="molde",MAX(1,'Mi negocio'!$C$34),1)</f>
        <v/>
      </c>
    </row>
    <row r="384">
      <c r="A384" t="n">
        <v>27</v>
      </c>
      <c r="B384" s="21" t="inlineStr">
        <is>
          <t>Confitura de Chabacano al Chamoy Seco en Pectina Lenta (Apricot &amp; Dry Chamoy Pectin Pâte de Fruits)</t>
        </is>
      </c>
      <c r="C384" t="inlineStr">
        <is>
          <t>azucar</t>
        </is>
      </c>
      <c r="D384" s="22" t="inlineStr">
        <is>
          <t>15 g Jarabe de sorbitol al 70% (control de cristalización y elasticidad)</t>
        </is>
      </c>
      <c r="E384" s="6" t="inlineStr">
        <is>
          <t>Sorbitol líquido al 70%</t>
        </is>
      </c>
      <c r="F384" s="16" t="n">
        <v>15</v>
      </c>
      <c r="G384" t="inlineStr">
        <is>
          <t>g</t>
        </is>
      </c>
      <c r="H384" s="12">
        <f>IFERROR(VLOOKUP(E384,Insumos!$C$5:$G$100,5,FALSE),0)</f>
        <v/>
      </c>
      <c r="I384" s="17">
        <f>F384*H384/IF(C384="molde",MAX(1,'Mi negocio'!$C$34),1)</f>
        <v/>
      </c>
    </row>
    <row r="385">
      <c r="A385" t="n">
        <v>27</v>
      </c>
      <c r="B385" s="21" t="inlineStr">
        <is>
          <t>Confitura de Chabacano al Chamoy Seco en Pectina Lenta (Apricot &amp; Dry Chamoy Pectin Pâte de Fruits)</t>
        </is>
      </c>
      <c r="C385" t="inlineStr">
        <is>
          <t>sabor</t>
        </is>
      </c>
      <c r="D385" s="22" t="inlineStr">
        <is>
          <t>6 ml Solución de ácido cítrico al 50% p/v</t>
        </is>
      </c>
      <c r="E385" s="6" t="inlineStr">
        <is>
          <t>Solución de ácido cítrico al 50% p/v (elaborada)</t>
        </is>
      </c>
      <c r="F385" s="16" t="n">
        <v>6</v>
      </c>
      <c r="G385" t="inlineStr">
        <is>
          <t>ml</t>
        </is>
      </c>
      <c r="H385" s="12">
        <f>IFERROR(VLOOKUP(E385,Insumos!$C$5:$G$100,5,FALSE),0)</f>
        <v/>
      </c>
      <c r="I385" s="17">
        <f>F385*H385/IF(C385="molde",MAX(1,'Mi negocio'!$C$34),1)</f>
        <v/>
      </c>
    </row>
    <row r="386">
      <c r="A386" t="n">
        <v>27</v>
      </c>
      <c r="B386" s="21" t="inlineStr">
        <is>
          <t>Confitura de Chabacano al Chamoy Seco en Pectina Lenta (Apricot &amp; Dry Chamoy Pectin Pâte de Fruits)</t>
        </is>
      </c>
      <c r="C386" t="inlineStr">
        <is>
          <t>sabor</t>
        </is>
      </c>
      <c r="D386" s="22" t="inlineStr">
        <is>
          <t>4 ml Solución de ácido tartárico al 50% p/v</t>
        </is>
      </c>
      <c r="E386" s="6" t="inlineStr">
        <is>
          <t>Ácido tartárico fino</t>
        </is>
      </c>
      <c r="F386" s="16" t="n">
        <v>4</v>
      </c>
      <c r="G386" t="inlineStr">
        <is>
          <t>g</t>
        </is>
      </c>
      <c r="H386" s="12">
        <f>IFERROR(VLOOKUP(E386,Insumos!$C$5:$G$100,5,FALSE),0)</f>
        <v/>
      </c>
      <c r="I386" s="17">
        <f>F386*H386/IF(C386="molde",MAX(1,'Mi negocio'!$C$34),1)</f>
        <v/>
      </c>
    </row>
    <row r="387">
      <c r="A387" t="n">
        <v>27</v>
      </c>
      <c r="B387" s="21" t="inlineStr">
        <is>
          <t>Confitura de Chabacano al Chamoy Seco en Pectina Lenta (Apricot &amp; Dry Chamoy Pectin Pâte de Fruits)</t>
        </is>
      </c>
      <c r="C387" t="inlineStr">
        <is>
          <t>sabor</t>
        </is>
      </c>
      <c r="D387" s="22" t="inlineStr">
        <is>
          <t>1.5 ml Aroma natural de chabacano</t>
        </is>
      </c>
      <c r="E387" s="6" t="inlineStr">
        <is>
          <t>Aroma natural hidrosoluble concentrado</t>
        </is>
      </c>
      <c r="F387" s="16" t="n">
        <v>1.5</v>
      </c>
      <c r="G387" t="inlineStr">
        <is>
          <t>ml</t>
        </is>
      </c>
      <c r="H387" s="12">
        <f>IFERROR(VLOOKUP(E387,Insumos!$C$5:$G$100,5,FALSE),0)</f>
        <v/>
      </c>
      <c r="I387" s="17">
        <f>F387*H387/IF(C387="molde",MAX(1,'Mi negocio'!$C$34),1)</f>
        <v/>
      </c>
    </row>
    <row r="388">
      <c r="A388" t="n">
        <v>27</v>
      </c>
      <c r="B388" s="21" t="inlineStr">
        <is>
          <t>Confitura de Chabacano al Chamoy Seco en Pectina Lenta (Apricot &amp; Dry Chamoy Pectin Pâte de Fruits)</t>
        </is>
      </c>
      <c r="C388" t="inlineStr">
        <is>
          <t>acabado</t>
        </is>
      </c>
      <c r="D388" s="22" t="inlineStr">
        <is>
          <t>70 g Azúcar refinada de grano medio (300-450 mum)</t>
        </is>
      </c>
      <c r="E388" s="6" t="inlineStr">
        <is>
          <t>Azúcar cristal de grano medio a grueso (rebozado)</t>
        </is>
      </c>
      <c r="F388" s="16" t="n">
        <v>70</v>
      </c>
      <c r="G388" t="inlineStr">
        <is>
          <t>g</t>
        </is>
      </c>
      <c r="H388" s="12">
        <f>IFERROR(VLOOKUP(E388,Insumos!$C$5:$G$100,5,FALSE),0)</f>
        <v/>
      </c>
      <c r="I388" s="17">
        <f>F388*H388/IF(C388="molde",MAX(1,'Mi negocio'!$C$34),1)</f>
        <v/>
      </c>
    </row>
    <row r="389">
      <c r="A389" t="n">
        <v>27</v>
      </c>
      <c r="B389" s="21" t="inlineStr">
        <is>
          <t>Confitura de Chabacano al Chamoy Seco en Pectina Lenta (Apricot &amp; Dry Chamoy Pectin Pâte de Fruits)</t>
        </is>
      </c>
      <c r="C389" t="inlineStr">
        <is>
          <t>acabado</t>
        </is>
      </c>
      <c r="D389" s="22" t="inlineStr">
        <is>
          <t>20 g Polvo puro de chabacano deshidratado liofilizado (tamizado fino)</t>
        </is>
      </c>
      <c r="E389" s="6" t="inlineStr">
        <is>
          <t>Polvo liofilizado de fruta micronizado</t>
        </is>
      </c>
      <c r="F389" s="16" t="n">
        <v>20</v>
      </c>
      <c r="G389" t="inlineStr">
        <is>
          <t>g</t>
        </is>
      </c>
      <c r="H389" s="12">
        <f>IFERROR(VLOOKUP(E389,Insumos!$C$5:$G$100,5,FALSE),0)</f>
        <v/>
      </c>
      <c r="I389" s="17">
        <f>F389*H389/IF(C389="molde",MAX(1,'Mi negocio'!$C$34),1)</f>
        <v/>
      </c>
    </row>
    <row r="390">
      <c r="A390" t="n">
        <v>27</v>
      </c>
      <c r="B390" s="21" t="inlineStr">
        <is>
          <t>Confitura de Chabacano al Chamoy Seco en Pectina Lenta (Apricot &amp; Dry Chamoy Pectin Pâte de Fruits)</t>
        </is>
      </c>
      <c r="C390" t="inlineStr">
        <is>
          <t>acabado</t>
        </is>
      </c>
      <c r="D390" s="22" t="inlineStr">
        <is>
          <t>15 g Polvo de flor de Jamaica deshidratada liofilizada (&lt;80 mum)</t>
        </is>
      </c>
      <c r="E390" s="6" t="inlineStr">
        <is>
          <t>Concentrado de flor de jamaica</t>
        </is>
      </c>
      <c r="F390" s="16" t="n">
        <v>15</v>
      </c>
      <c r="G390" t="inlineStr">
        <is>
          <t>ml</t>
        </is>
      </c>
      <c r="H390" s="12">
        <f>IFERROR(VLOOKUP(E390,Insumos!$C$5:$G$100,5,FALSE),0)</f>
        <v/>
      </c>
      <c r="I390" s="17">
        <f>F390*H390/IF(C390="molde",MAX(1,'Mi negocio'!$C$34),1)</f>
        <v/>
      </c>
    </row>
    <row r="391">
      <c r="A391" t="n">
        <v>27</v>
      </c>
      <c r="B391" s="21" t="inlineStr">
        <is>
          <t>Confitura de Chabacano al Chamoy Seco en Pectina Lenta (Apricot &amp; Dry Chamoy Pectin Pâte de Fruits)</t>
        </is>
      </c>
      <c r="C391" t="inlineStr">
        <is>
          <t>acabado</t>
        </is>
      </c>
      <c r="D391" s="22" t="inlineStr">
        <is>
          <t>12 g Polvo de chile piquín y chile guajillo desvenado en partes iguales</t>
        </is>
      </c>
      <c r="E391" s="6" t="inlineStr">
        <is>
          <t>Chile piquín o chiltepín en polvo fino</t>
        </is>
      </c>
      <c r="F391" s="16" t="n">
        <v>12</v>
      </c>
      <c r="G391" t="inlineStr">
        <is>
          <t>g</t>
        </is>
      </c>
      <c r="H391" s="12">
        <f>IFERROR(VLOOKUP(E391,Insumos!$C$5:$G$100,5,FALSE),0)</f>
        <v/>
      </c>
      <c r="I391" s="17">
        <f>F391*H391/IF(C391="molde",MAX(1,'Mi negocio'!$C$34),1)</f>
        <v/>
      </c>
    </row>
    <row r="392">
      <c r="A392" t="n">
        <v>27</v>
      </c>
      <c r="B392" s="21" t="inlineStr">
        <is>
          <t>Confitura de Chabacano al Chamoy Seco en Pectina Lenta (Apricot &amp; Dry Chamoy Pectin Pâte de Fruits)</t>
        </is>
      </c>
      <c r="C392" t="inlineStr">
        <is>
          <t>acabado</t>
        </is>
      </c>
      <c r="D392" s="22" t="inlineStr">
        <is>
          <t>7 g Sal marina de grano fino micro-molida</t>
        </is>
      </c>
      <c r="E392" s="6" t="inlineStr">
        <is>
          <t>Sal marina fina o flor de sal</t>
        </is>
      </c>
      <c r="F392" s="16" t="n">
        <v>7</v>
      </c>
      <c r="G392" t="inlineStr">
        <is>
          <t>g</t>
        </is>
      </c>
      <c r="H392" s="12">
        <f>IFERROR(VLOOKUP(E392,Insumos!$C$5:$G$100,5,FALSE),0)</f>
        <v/>
      </c>
      <c r="I392" s="17">
        <f>F392*H392/IF(C392="molde",MAX(1,'Mi negocio'!$C$34),1)</f>
        <v/>
      </c>
    </row>
    <row r="393">
      <c r="A393" t="n">
        <v>27</v>
      </c>
      <c r="B393" s="21" t="inlineStr">
        <is>
          <t>Confitura de Chabacano al Chamoy Seco en Pectina Lenta (Apricot &amp; Dry Chamoy Pectin Pâte de Fruits)</t>
        </is>
      </c>
      <c r="C393" t="inlineStr">
        <is>
          <t>acabado</t>
        </is>
      </c>
      <c r="D393" s="22" t="inlineStr">
        <is>
          <t>5 g Ácido cítrico micro-encapsulado con grasa vegetal hidrogenada</t>
        </is>
      </c>
      <c r="E393" s="6" t="inlineStr">
        <is>
          <t>Ácido cítrico o málico micro-encapsulado</t>
        </is>
      </c>
      <c r="F393" s="16" t="n">
        <v>5</v>
      </c>
      <c r="G393" t="inlineStr">
        <is>
          <t>g</t>
        </is>
      </c>
      <c r="H393" s="12">
        <f>IFERROR(VLOOKUP(E393,Insumos!$C$5:$G$100,5,FALSE),0)</f>
        <v/>
      </c>
      <c r="I393" s="17">
        <f>F393*H393/IF(C393="molde",MAX(1,'Mi negocio'!$C$34),1)</f>
        <v/>
      </c>
    </row>
    <row r="394">
      <c r="A394" t="n">
        <v>28</v>
      </c>
      <c r="B394" s="21" t="inlineStr">
        <is>
          <t>Gomita de Sandía al Limón y Escamas de Tajín Artesanal (Watermelon-Lime with Handcrafted Chile-Lime Sanding)</t>
        </is>
      </c>
      <c r="C394" t="inlineStr">
        <is>
          <t>gelificante</t>
        </is>
      </c>
      <c r="D394" s="22" t="inlineStr">
        <is>
          <t>44 g Gelatina en polvo de res de 240 Bloom</t>
        </is>
      </c>
      <c r="E394" s="6" t="inlineStr">
        <is>
          <t>Gelatina en polvo de 240-260 Bloom</t>
        </is>
      </c>
      <c r="F394" s="16" t="n">
        <v>44</v>
      </c>
      <c r="G394" t="inlineStr">
        <is>
          <t>g</t>
        </is>
      </c>
      <c r="H394" s="12">
        <f>IFERROR(VLOOKUP(E394,Insumos!$C$5:$G$100,5,FALSE),0)</f>
        <v/>
      </c>
      <c r="I394" s="17">
        <f>F394*H394/IF(C394="molde",MAX(1,'Mi negocio'!$C$34),1)</f>
        <v/>
      </c>
    </row>
    <row r="395">
      <c r="A395" t="n">
        <v>28</v>
      </c>
      <c r="B395" s="21" t="inlineStr">
        <is>
          <t>Gomita de Sandía al Limón y Escamas de Tajín Artesanal (Watermelon-Lime with Handcrafted Chile-Lime Sanding)</t>
        </is>
      </c>
      <c r="C395" t="inlineStr">
        <is>
          <t>sabor</t>
        </is>
      </c>
      <c r="D395" s="22" t="inlineStr">
        <is>
          <t>95 ml Agua desmineralizada a 15 °C</t>
        </is>
      </c>
      <c r="E395" s="6" t="inlineStr">
        <is>
          <t>Agua desmineralizada o purificada</t>
        </is>
      </c>
      <c r="F395" s="16" t="n">
        <v>95</v>
      </c>
      <c r="G395" t="inlineStr">
        <is>
          <t>ml</t>
        </is>
      </c>
      <c r="H395" s="12">
        <f>IFERROR(VLOOKUP(E395,Insumos!$C$5:$G$100,5,FALSE),0)</f>
        <v/>
      </c>
      <c r="I395" s="17">
        <f>F395*H395/IF(C395="molde",MAX(1,'Mi negocio'!$C$34),1)</f>
        <v/>
      </c>
    </row>
    <row r="396">
      <c r="A396" t="n">
        <v>28</v>
      </c>
      <c r="B396" s="21" t="inlineStr">
        <is>
          <t>Gomita de Sandía al Limón y Escamas de Tajín Artesanal (Watermelon-Lime with Handcrafted Chile-Lime Sanding)</t>
        </is>
      </c>
      <c r="C396" t="inlineStr">
        <is>
          <t>azucar</t>
        </is>
      </c>
      <c r="D396" s="22" t="inlineStr">
        <is>
          <t>195 g Azúcar blanca refinada pura</t>
        </is>
      </c>
      <c r="E396" s="6" t="inlineStr">
        <is>
          <t>Azúcar blanca refinada</t>
        </is>
      </c>
      <c r="F396" s="16" t="n">
        <v>195</v>
      </c>
      <c r="G396" t="inlineStr">
        <is>
          <t>g</t>
        </is>
      </c>
      <c r="H396" s="12">
        <f>IFERROR(VLOOKUP(E396,Insumos!$C$5:$G$100,5,FALSE),0)</f>
        <v/>
      </c>
      <c r="I396" s="17">
        <f>F396*H396/IF(C396="molde",MAX(1,'Mi negocio'!$C$34),1)</f>
        <v/>
      </c>
    </row>
    <row r="397">
      <c r="A397" t="n">
        <v>28</v>
      </c>
      <c r="B397" s="21" t="inlineStr">
        <is>
          <t>Gomita de Sandía al Limón y Escamas de Tajín Artesanal (Watermelon-Lime with Handcrafted Chile-Lime Sanding)</t>
        </is>
      </c>
      <c r="C397" t="inlineStr">
        <is>
          <t>azucar</t>
        </is>
      </c>
      <c r="D397" s="22" t="inlineStr">
        <is>
          <t>155 g Jarabe de glucosa 42DE</t>
        </is>
      </c>
      <c r="E397" s="6" t="inlineStr">
        <is>
          <t>Jarabe de glucosa 42 DE</t>
        </is>
      </c>
      <c r="F397" s="16" t="n">
        <v>155</v>
      </c>
      <c r="G397" t="inlineStr">
        <is>
          <t>g</t>
        </is>
      </c>
      <c r="H397" s="12">
        <f>IFERROR(VLOOKUP(E397,Insumos!$C$5:$G$100,5,FALSE),0)</f>
        <v/>
      </c>
      <c r="I397" s="17">
        <f>F397*H397/IF(C397="molde",MAX(1,'Mi negocio'!$C$34),1)</f>
        <v/>
      </c>
    </row>
    <row r="398">
      <c r="A398" t="n">
        <v>28</v>
      </c>
      <c r="B398" s="21" t="inlineStr">
        <is>
          <t>Gomita de Sandía al Limón y Escamas de Tajín Artesanal (Watermelon-Lime with Handcrafted Chile-Lime Sanding)</t>
        </is>
      </c>
      <c r="C398" t="inlineStr">
        <is>
          <t>sabor</t>
        </is>
      </c>
      <c r="D398" s="22" t="inlineStr">
        <is>
          <t>50 ml Jugo concentrado clarificado de sandía roja (12)</t>
        </is>
      </c>
      <c r="E398" s="6" t="inlineStr">
        <is>
          <t>Zumo concentrado clarificado de piña, sandía o tropical</t>
        </is>
      </c>
      <c r="F398" s="16" t="n">
        <v>50</v>
      </c>
      <c r="G398" t="inlineStr">
        <is>
          <t>ml</t>
        </is>
      </c>
      <c r="H398" s="12">
        <f>IFERROR(VLOOKUP(E398,Insumos!$C$5:$G$100,5,FALSE),0)</f>
        <v/>
      </c>
      <c r="I398" s="17">
        <f>F398*H398/IF(C398="molde",MAX(1,'Mi negocio'!$C$34),1)</f>
        <v/>
      </c>
    </row>
    <row r="399">
      <c r="A399" t="n">
        <v>28</v>
      </c>
      <c r="B399" s="21" t="inlineStr">
        <is>
          <t>Gomita de Sandía al Limón y Escamas de Tajín Artesanal (Watermelon-Lime with Handcrafted Chile-Lime Sanding)</t>
        </is>
      </c>
      <c r="C399" t="inlineStr">
        <is>
          <t>azucar</t>
        </is>
      </c>
      <c r="D399" s="22" t="inlineStr">
        <is>
          <t>12 g Sorbitol líquido al 70%</t>
        </is>
      </c>
      <c r="E399" s="6" t="inlineStr">
        <is>
          <t>Sorbitol líquido al 70%</t>
        </is>
      </c>
      <c r="F399" s="16" t="n">
        <v>12</v>
      </c>
      <c r="G399" t="inlineStr">
        <is>
          <t>g</t>
        </is>
      </c>
      <c r="H399" s="12">
        <f>IFERROR(VLOOKUP(E399,Insumos!$C$5:$G$100,5,FALSE),0)</f>
        <v/>
      </c>
      <c r="I399" s="17">
        <f>F399*H399/IF(C399="molde",MAX(1,'Mi negocio'!$C$34),1)</f>
        <v/>
      </c>
    </row>
    <row r="400">
      <c r="A400" t="n">
        <v>28</v>
      </c>
      <c r="B400" s="21" t="inlineStr">
        <is>
          <t>Gomita de Sandía al Limón y Escamas de Tajín Artesanal (Watermelon-Lime with Handcrafted Chile-Lime Sanding)</t>
        </is>
      </c>
      <c r="C400" t="inlineStr">
        <is>
          <t>sabor</t>
        </is>
      </c>
      <c r="D400" s="22" t="inlineStr">
        <is>
          <t>2 g Citrato de sodio</t>
        </is>
      </c>
      <c r="E400" s="6" t="inlineStr">
        <is>
          <t>Citrato de sodio dihidratado</t>
        </is>
      </c>
      <c r="F400" s="16" t="n">
        <v>2</v>
      </c>
      <c r="G400" t="inlineStr">
        <is>
          <t>g</t>
        </is>
      </c>
      <c r="H400" s="12">
        <f>IFERROR(VLOOKUP(E400,Insumos!$C$5:$G$100,5,FALSE),0)</f>
        <v/>
      </c>
      <c r="I400" s="17">
        <f>F400*H400/IF(C400="molde",MAX(1,'Mi negocio'!$C$34),1)</f>
        <v/>
      </c>
    </row>
    <row r="401">
      <c r="A401" t="n">
        <v>28</v>
      </c>
      <c r="B401" s="21" t="inlineStr">
        <is>
          <t>Gomita de Sandía al Limón y Escamas de Tajín Artesanal (Watermelon-Lime with Handcrafted Chile-Lime Sanding)</t>
        </is>
      </c>
      <c r="C401" t="inlineStr">
        <is>
          <t>sabor</t>
        </is>
      </c>
      <c r="D401" s="22" t="inlineStr">
        <is>
          <t>10 ml Solución de ácido cítrico al 50% p/v</t>
        </is>
      </c>
      <c r="E401" s="6" t="inlineStr">
        <is>
          <t>Solución de ácido cítrico al 50% p/v (elaborada)</t>
        </is>
      </c>
      <c r="F401" s="16" t="n">
        <v>10</v>
      </c>
      <c r="G401" t="inlineStr">
        <is>
          <t>ml</t>
        </is>
      </c>
      <c r="H401" s="12">
        <f>IFERROR(VLOOKUP(E401,Insumos!$C$5:$G$100,5,FALSE),0)</f>
        <v/>
      </c>
      <c r="I401" s="17">
        <f>F401*H401/IF(C401="molde",MAX(1,'Mi negocio'!$C$34),1)</f>
        <v/>
      </c>
    </row>
    <row r="402">
      <c r="A402" t="n">
        <v>28</v>
      </c>
      <c r="B402" s="21" t="inlineStr">
        <is>
          <t>Gomita de Sandía al Limón y Escamas de Tajín Artesanal (Watermelon-Lime with Handcrafted Chile-Lime Sanding)</t>
        </is>
      </c>
      <c r="C402" t="inlineStr">
        <is>
          <t>sabor</t>
        </is>
      </c>
      <c r="D402" s="22" t="inlineStr">
        <is>
          <t>2.5 ml Aroma natural concentrado de sandía fresca</t>
        </is>
      </c>
      <c r="E402" s="6" t="inlineStr">
        <is>
          <t>Aroma natural hidrosoluble concentrado</t>
        </is>
      </c>
      <c r="F402" s="16" t="n">
        <v>2.5</v>
      </c>
      <c r="G402" t="inlineStr">
        <is>
          <t>ml</t>
        </is>
      </c>
      <c r="H402" s="12">
        <f>IFERROR(VLOOKUP(E402,Insumos!$C$5:$G$100,5,FALSE),0)</f>
        <v/>
      </c>
      <c r="I402" s="17">
        <f>F402*H402/IF(C402="molde",MAX(1,'Mi negocio'!$C$34),1)</f>
        <v/>
      </c>
    </row>
    <row r="403">
      <c r="A403" t="n">
        <v>28</v>
      </c>
      <c r="B403" s="21" t="inlineStr">
        <is>
          <t>Gomita de Sandía al Limón y Escamas de Tajín Artesanal (Watermelon-Lime with Handcrafted Chile-Lime Sanding)</t>
        </is>
      </c>
      <c r="C403" t="inlineStr">
        <is>
          <t>sabor</t>
        </is>
      </c>
      <c r="D403" s="22" t="inlineStr">
        <is>
          <t>1 ml Aceite esencial puro destilado de limón verde (Citrus aurantiifolia)</t>
        </is>
      </c>
      <c r="E403" s="6" t="inlineStr">
        <is>
          <t>Aceite esencial puro destilado de cítrico</t>
        </is>
      </c>
      <c r="F403" s="16" t="n">
        <v>1</v>
      </c>
      <c r="G403" t="inlineStr">
        <is>
          <t>ml</t>
        </is>
      </c>
      <c r="H403" s="12">
        <f>IFERROR(VLOOKUP(E403,Insumos!$C$5:$G$100,5,FALSE),0)</f>
        <v/>
      </c>
      <c r="I403" s="17">
        <f>F403*H403/IF(C403="molde",MAX(1,'Mi negocio'!$C$34),1)</f>
        <v/>
      </c>
    </row>
    <row r="404">
      <c r="A404" t="n">
        <v>28</v>
      </c>
      <c r="B404" s="21" t="inlineStr">
        <is>
          <t>Gomita de Sandía al Limón y Escamas de Tajín Artesanal (Watermelon-Lime with Handcrafted Chile-Lime Sanding)</t>
        </is>
      </c>
      <c r="C404" t="inlineStr">
        <is>
          <t>sabor</t>
        </is>
      </c>
      <c r="D404" s="22" t="inlineStr">
        <is>
          <t>0.3 g Colorante rojo carmín hidrosoluble</t>
        </is>
      </c>
      <c r="E404" s="6" t="inlineStr">
        <is>
          <t>Colorante rojo carmín o allura hidrosoluble</t>
        </is>
      </c>
      <c r="F404" s="16" t="n">
        <v>0.3</v>
      </c>
      <c r="G404" t="inlineStr">
        <is>
          <t>g</t>
        </is>
      </c>
      <c r="H404" s="12">
        <f>IFERROR(VLOOKUP(E404,Insumos!$C$5:$G$100,5,FALSE),0)</f>
        <v/>
      </c>
      <c r="I404" s="17">
        <f>F404*H404/IF(C404="molde",MAX(1,'Mi negocio'!$C$34),1)</f>
        <v/>
      </c>
    </row>
    <row r="405">
      <c r="A405" t="n">
        <v>28</v>
      </c>
      <c r="B405" s="21" t="inlineStr">
        <is>
          <t>Gomita de Sandía al Limón y Escamas de Tajín Artesanal (Watermelon-Lime with Handcrafted Chile-Lime Sanding)</t>
        </is>
      </c>
      <c r="C405" t="inlineStr">
        <is>
          <t>acabado</t>
        </is>
      </c>
      <c r="D405" s="22" t="inlineStr">
        <is>
          <t>70 g Azúcar refinada de grano medio (300-450 mum)</t>
        </is>
      </c>
      <c r="E405" s="6" t="inlineStr">
        <is>
          <t>Azúcar cristal de grano medio a grueso (rebozado)</t>
        </is>
      </c>
      <c r="F405" s="16" t="n">
        <v>70</v>
      </c>
      <c r="G405" t="inlineStr">
        <is>
          <t>g</t>
        </is>
      </c>
      <c r="H405" s="12">
        <f>IFERROR(VLOOKUP(E405,Insumos!$C$5:$G$100,5,FALSE),0)</f>
        <v/>
      </c>
      <c r="I405" s="17">
        <f>F405*H405/IF(C405="molde",MAX(1,'Mi negocio'!$C$34),1)</f>
        <v/>
      </c>
    </row>
    <row r="406">
      <c r="A406" t="n">
        <v>28</v>
      </c>
      <c r="B406" s="21" t="inlineStr">
        <is>
          <t>Gomita de Sandía al Limón y Escamas de Tajín Artesanal (Watermelon-Lime with Handcrafted Chile-Lime Sanding)</t>
        </is>
      </c>
      <c r="C406" t="inlineStr">
        <is>
          <t>sabor</t>
        </is>
      </c>
      <c r="D406" s="22" t="inlineStr">
        <is>
          <t>18 g Escamas de chile árbol y chile guajillo deshidratadas al vacío (partículas de 0.8a1.2 mm, color rojo fuego)</t>
        </is>
      </c>
      <c r="E406" s="6" t="inlineStr">
        <is>
          <t>Chile guajillo, árbol o pasilla en polvo</t>
        </is>
      </c>
      <c r="F406" s="16" t="n">
        <v>18</v>
      </c>
      <c r="G406" t="inlineStr">
        <is>
          <t>g</t>
        </is>
      </c>
      <c r="H406" s="12">
        <f>IFERROR(VLOOKUP(E406,Insumos!$C$5:$G$100,5,FALSE),0)</f>
        <v/>
      </c>
      <c r="I406" s="17">
        <f>F406*H406/IF(C406="molde",MAX(1,'Mi negocio'!$C$34),1)</f>
        <v/>
      </c>
    </row>
    <row r="407">
      <c r="A407" t="n">
        <v>28</v>
      </c>
      <c r="B407" s="21" t="inlineStr">
        <is>
          <t>Gomita de Sandía al Limón y Escamas de Tajín Artesanal (Watermelon-Lime with Handcrafted Chile-Lime Sanding)</t>
        </is>
      </c>
      <c r="C407" t="inlineStr">
        <is>
          <t>sabor</t>
        </is>
      </c>
      <c r="D407" s="22" t="inlineStr">
        <is>
          <t>12 g Polvo cristalizado de zumo de limón deshidratado liofilizado puro</t>
        </is>
      </c>
      <c r="E407" s="6" t="inlineStr">
        <is>
          <t>Polvo liofilizado de fruta micronizado</t>
        </is>
      </c>
      <c r="F407" s="16" t="n">
        <v>12</v>
      </c>
      <c r="G407" t="inlineStr">
        <is>
          <t>g</t>
        </is>
      </c>
      <c r="H407" s="12">
        <f>IFERROR(VLOOKUP(E407,Insumos!$C$5:$G$100,5,FALSE),0)</f>
        <v/>
      </c>
      <c r="I407" s="17">
        <f>F407*H407/IF(C407="molde",MAX(1,'Mi negocio'!$C$34),1)</f>
        <v/>
      </c>
    </row>
    <row r="408">
      <c r="A408" t="n">
        <v>28</v>
      </c>
      <c r="B408" s="21" t="inlineStr">
        <is>
          <t>Gomita de Sandía al Limón y Escamas de Tajín Artesanal (Watermelon-Lime with Handcrafted Chile-Lime Sanding)</t>
        </is>
      </c>
      <c r="C408" t="inlineStr">
        <is>
          <t>sabor</t>
        </is>
      </c>
      <c r="D408" s="22" t="inlineStr">
        <is>
          <t>8 g Sal marina de grano fino (&lt;100 mum)</t>
        </is>
      </c>
      <c r="E408" s="6" t="inlineStr">
        <is>
          <t>Sal marina fina o flor de sal</t>
        </is>
      </c>
      <c r="F408" s="16" t="n">
        <v>8</v>
      </c>
      <c r="G408" t="inlineStr">
        <is>
          <t>g</t>
        </is>
      </c>
      <c r="H408" s="12">
        <f>IFERROR(VLOOKUP(E408,Insumos!$C$5:$G$100,5,FALSE),0)</f>
        <v/>
      </c>
      <c r="I408" s="17">
        <f>F408*H408/IF(C408="molde",MAX(1,'Mi negocio'!$C$34),1)</f>
        <v/>
      </c>
    </row>
    <row r="409">
      <c r="A409" t="n">
        <v>28</v>
      </c>
      <c r="B409" s="21" t="inlineStr">
        <is>
          <t>Gomita de Sandía al Limón y Escamas de Tajín Artesanal (Watermelon-Lime with Handcrafted Chile-Lime Sanding)</t>
        </is>
      </c>
      <c r="C409" t="inlineStr">
        <is>
          <t>sabor</t>
        </is>
      </c>
      <c r="D409" s="22" t="inlineStr">
        <is>
          <t>6 g Ácido cítrico micro-encapsulado</t>
        </is>
      </c>
      <c r="E409" s="6" t="inlineStr">
        <is>
          <t>Ácido cítrico o málico micro-encapsulado</t>
        </is>
      </c>
      <c r="F409" s="16" t="n">
        <v>6</v>
      </c>
      <c r="G409" t="inlineStr">
        <is>
          <t>g</t>
        </is>
      </c>
      <c r="H409" s="12">
        <f>IFERROR(VLOOKUP(E409,Insumos!$C$5:$G$100,5,FALSE),0)</f>
        <v/>
      </c>
      <c r="I409" s="17">
        <f>F409*H409/IF(C409="molde",MAX(1,'Mi negocio'!$C$34),1)</f>
        <v/>
      </c>
    </row>
    <row r="410">
      <c r="A410" t="n">
        <v>28</v>
      </c>
      <c r="B410" s="21" t="inlineStr">
        <is>
          <t>Gomita de Sandía al Limón y Escamas de Tajín Artesanal (Watermelon-Lime with Handcrafted Chile-Lime Sanding)</t>
        </is>
      </c>
      <c r="C410" t="inlineStr">
        <is>
          <t>azucar</t>
        </is>
      </c>
      <c r="D410" s="22" t="inlineStr">
        <is>
          <t>4 g Dextrosa anhidra pura</t>
        </is>
      </c>
      <c r="E410" s="6" t="inlineStr">
        <is>
          <t>Dextrosa anhidra</t>
        </is>
      </c>
      <c r="F410" s="16" t="n">
        <v>4</v>
      </c>
      <c r="G410" t="inlineStr">
        <is>
          <t>g</t>
        </is>
      </c>
      <c r="H410" s="12">
        <f>IFERROR(VLOOKUP(E410,Insumos!$C$5:$G$100,5,FALSE),0)</f>
        <v/>
      </c>
      <c r="I410" s="17">
        <f>F410*H410/IF(C410="molde",MAX(1,'Mi negocio'!$C$34),1)</f>
        <v/>
      </c>
    </row>
    <row r="411">
      <c r="A411" t="n">
        <v>29</v>
      </c>
      <c r="B411" s="21" t="inlineStr">
        <is>
          <t>Pastilla Salina de Limón Criollo al Chile de Árbol Tostado (Key Lime, Sea Salt &amp; Charred Chile de Árbol Pastille)</t>
        </is>
      </c>
      <c r="C411" t="inlineStr">
        <is>
          <t>gelificante</t>
        </is>
      </c>
      <c r="D411" s="22" t="inlineStr">
        <is>
          <t>36 g Gelatina en polvo de res de 240 Bloom</t>
        </is>
      </c>
      <c r="E411" s="6" t="inlineStr">
        <is>
          <t>Gelatina en polvo de 240-260 Bloom</t>
        </is>
      </c>
      <c r="F411" s="16" t="n">
        <v>36</v>
      </c>
      <c r="G411" t="inlineStr">
        <is>
          <t>g</t>
        </is>
      </c>
      <c r="H411" s="12">
        <f>IFERROR(VLOOKUP(E411,Insumos!$C$5:$G$100,5,FALSE),0)</f>
        <v/>
      </c>
      <c r="I411" s="17">
        <f>F411*H411/IF(C411="molde",MAX(1,'Mi negocio'!$C$34),1)</f>
        <v/>
      </c>
    </row>
    <row r="412">
      <c r="A412" t="n">
        <v>29</v>
      </c>
      <c r="B412" s="21" t="inlineStr">
        <is>
          <t>Pastilla Salina de Limón Criollo al Chile de Árbol Tostado (Key Lime, Sea Salt &amp; Charred Chile de Árbol Pastille)</t>
        </is>
      </c>
      <c r="C412" t="inlineStr">
        <is>
          <t>gelificante</t>
        </is>
      </c>
      <c r="D412" s="22" t="inlineStr">
        <is>
          <t>12 g Goma arábiga en polvo atomizada (Acacia senegal)</t>
        </is>
      </c>
      <c r="E412" s="6" t="inlineStr">
        <is>
          <t>Goma arábiga en polvo atomizada (acacia)</t>
        </is>
      </c>
      <c r="F412" s="16" t="n">
        <v>12</v>
      </c>
      <c r="G412" t="inlineStr">
        <is>
          <t>g</t>
        </is>
      </c>
      <c r="H412" s="12">
        <f>IFERROR(VLOOKUP(E412,Insumos!$C$5:$G$100,5,FALSE),0)</f>
        <v/>
      </c>
      <c r="I412" s="17">
        <f>F412*H412/IF(C412="molde",MAX(1,'Mi negocio'!$C$34),1)</f>
        <v/>
      </c>
    </row>
    <row r="413">
      <c r="A413" t="n">
        <v>29</v>
      </c>
      <c r="B413" s="21" t="inlineStr">
        <is>
          <t>Pastilla Salina de Limón Criollo al Chile de Árbol Tostado (Key Lime, Sea Salt &amp; Charred Chile de Árbol Pastille)</t>
        </is>
      </c>
      <c r="C413" t="inlineStr">
        <is>
          <t>sabor</t>
        </is>
      </c>
      <c r="D413" s="22" t="inlineStr">
        <is>
          <t>100 ml Agua desmineralizada a 15 °C</t>
        </is>
      </c>
      <c r="E413" s="6" t="inlineStr">
        <is>
          <t>Agua desmineralizada o purificada</t>
        </is>
      </c>
      <c r="F413" s="16" t="n">
        <v>100</v>
      </c>
      <c r="G413" t="inlineStr">
        <is>
          <t>ml</t>
        </is>
      </c>
      <c r="H413" s="12">
        <f>IFERROR(VLOOKUP(E413,Insumos!$C$5:$G$100,5,FALSE),0)</f>
        <v/>
      </c>
      <c r="I413" s="17">
        <f>F413*H413/IF(C413="molde",MAX(1,'Mi negocio'!$C$34),1)</f>
        <v/>
      </c>
    </row>
    <row r="414">
      <c r="A414" t="n">
        <v>29</v>
      </c>
      <c r="B414" s="21" t="inlineStr">
        <is>
          <t>Pastilla Salina de Limón Criollo al Chile de Árbol Tostado (Key Lime, Sea Salt &amp; Charred Chile de Árbol Pastille)</t>
        </is>
      </c>
      <c r="C414" t="inlineStr">
        <is>
          <t>azucar</t>
        </is>
      </c>
      <c r="D414" s="22" t="inlineStr">
        <is>
          <t>190 g Azúcar blanca refinada pura</t>
        </is>
      </c>
      <c r="E414" s="6" t="inlineStr">
        <is>
          <t>Azúcar blanca refinada</t>
        </is>
      </c>
      <c r="F414" s="16" t="n">
        <v>190</v>
      </c>
      <c r="G414" t="inlineStr">
        <is>
          <t>g</t>
        </is>
      </c>
      <c r="H414" s="12">
        <f>IFERROR(VLOOKUP(E414,Insumos!$C$5:$G$100,5,FALSE),0)</f>
        <v/>
      </c>
      <c r="I414" s="17">
        <f>F414*H414/IF(C414="molde",MAX(1,'Mi negocio'!$C$34),1)</f>
        <v/>
      </c>
    </row>
    <row r="415">
      <c r="A415" t="n">
        <v>29</v>
      </c>
      <c r="B415" s="21" t="inlineStr">
        <is>
          <t>Pastilla Salina de Limón Criollo al Chile de Árbol Tostado (Key Lime, Sea Salt &amp; Charred Chile de Árbol Pastille)</t>
        </is>
      </c>
      <c r="C415" t="inlineStr">
        <is>
          <t>azucar</t>
        </is>
      </c>
      <c r="D415" s="22" t="inlineStr">
        <is>
          <t>160 g Jarabe de glucosa 42DE</t>
        </is>
      </c>
      <c r="E415" s="6" t="inlineStr">
        <is>
          <t>Jarabe de glucosa 42 DE</t>
        </is>
      </c>
      <c r="F415" s="16" t="n">
        <v>160</v>
      </c>
      <c r="G415" t="inlineStr">
        <is>
          <t>g</t>
        </is>
      </c>
      <c r="H415" s="12">
        <f>IFERROR(VLOOKUP(E415,Insumos!$C$5:$G$100,5,FALSE),0)</f>
        <v/>
      </c>
      <c r="I415" s="17">
        <f>F415*H415/IF(C415="molde",MAX(1,'Mi negocio'!$C$34),1)</f>
        <v/>
      </c>
    </row>
    <row r="416">
      <c r="A416" t="n">
        <v>29</v>
      </c>
      <c r="B416" s="21" t="inlineStr">
        <is>
          <t>Pastilla Salina de Limón Criollo al Chile de Árbol Tostado (Key Lime, Sea Salt &amp; Charred Chile de Árbol Pastille)</t>
        </is>
      </c>
      <c r="C416" t="inlineStr">
        <is>
          <t>sabor</t>
        </is>
      </c>
      <c r="D416" s="22" t="inlineStr">
        <is>
          <t>40 ml Jugo concentrado clarificado de limón mexicano/criollo</t>
        </is>
      </c>
      <c r="E416" s="6" t="inlineStr">
        <is>
          <t>Zumo concentrado clarificado de cítrico</t>
        </is>
      </c>
      <c r="F416" s="16" t="n">
        <v>40</v>
      </c>
      <c r="G416" t="inlineStr">
        <is>
          <t>ml</t>
        </is>
      </c>
      <c r="H416" s="12">
        <f>IFERROR(VLOOKUP(E416,Insumos!$C$5:$G$100,5,FALSE),0)</f>
        <v/>
      </c>
      <c r="I416" s="17">
        <f>F416*H416/IF(C416="molde",MAX(1,'Mi negocio'!$C$34),1)</f>
        <v/>
      </c>
    </row>
    <row r="417">
      <c r="A417" t="n">
        <v>29</v>
      </c>
      <c r="B417" s="21" t="inlineStr">
        <is>
          <t>Pastilla Salina de Limón Criollo al Chile de Árbol Tostado (Key Lime, Sea Salt &amp; Charred Chile de Árbol Pastille)</t>
        </is>
      </c>
      <c r="C417" t="inlineStr">
        <is>
          <t>azucar</t>
        </is>
      </c>
      <c r="D417" s="22" t="inlineStr">
        <is>
          <t>15 g Sorbitol líquido al 70%</t>
        </is>
      </c>
      <c r="E417" s="6" t="inlineStr">
        <is>
          <t>Sorbitol líquido al 70%</t>
        </is>
      </c>
      <c r="F417" s="16" t="n">
        <v>15</v>
      </c>
      <c r="G417" t="inlineStr">
        <is>
          <t>g</t>
        </is>
      </c>
      <c r="H417" s="12">
        <f>IFERROR(VLOOKUP(E417,Insumos!$C$5:$G$100,5,FALSE),0)</f>
        <v/>
      </c>
      <c r="I417" s="17">
        <f>F417*H417/IF(C417="molde",MAX(1,'Mi negocio'!$C$34),1)</f>
        <v/>
      </c>
    </row>
    <row r="418">
      <c r="A418" t="n">
        <v>29</v>
      </c>
      <c r="B418" s="21" t="inlineStr">
        <is>
          <t>Pastilla Salina de Limón Criollo al Chile de Árbol Tostado (Key Lime, Sea Salt &amp; Charred Chile de Árbol Pastille)</t>
        </is>
      </c>
      <c r="C418" t="inlineStr">
        <is>
          <t>sabor</t>
        </is>
      </c>
      <c r="D418" s="22" t="inlineStr">
        <is>
          <t>3 g Sal marina de Colima pura (disuelta directamente en el jarabe)</t>
        </is>
      </c>
      <c r="E418" s="6" t="inlineStr">
        <is>
          <t>Sal marina fina o flor de sal</t>
        </is>
      </c>
      <c r="F418" s="16" t="n">
        <v>3</v>
      </c>
      <c r="G418" t="inlineStr">
        <is>
          <t>g</t>
        </is>
      </c>
      <c r="H418" s="12">
        <f>IFERROR(VLOOKUP(E418,Insumos!$C$5:$G$100,5,FALSE),0)</f>
        <v/>
      </c>
      <c r="I418" s="17">
        <f>F418*H418/IF(C418="molde",MAX(1,'Mi negocio'!$C$34),1)</f>
        <v/>
      </c>
    </row>
    <row r="419">
      <c r="A419" t="n">
        <v>29</v>
      </c>
      <c r="B419" s="21" t="inlineStr">
        <is>
          <t>Pastilla Salina de Limón Criollo al Chile de Árbol Tostado (Key Lime, Sea Salt &amp; Charred Chile de Árbol Pastille)</t>
        </is>
      </c>
      <c r="C419" t="inlineStr">
        <is>
          <t>sabor</t>
        </is>
      </c>
      <c r="D419" s="22" t="inlineStr">
        <is>
          <t>2 g Citrato de sodio</t>
        </is>
      </c>
      <c r="E419" s="6" t="inlineStr">
        <is>
          <t>Citrato de sodio dihidratado</t>
        </is>
      </c>
      <c r="F419" s="16" t="n">
        <v>2</v>
      </c>
      <c r="G419" t="inlineStr">
        <is>
          <t>g</t>
        </is>
      </c>
      <c r="H419" s="12">
        <f>IFERROR(VLOOKUP(E419,Insumos!$C$5:$G$100,5,FALSE),0)</f>
        <v/>
      </c>
      <c r="I419" s="17">
        <f>F419*H419/IF(C419="molde",MAX(1,'Mi negocio'!$C$34),1)</f>
        <v/>
      </c>
    </row>
    <row r="420">
      <c r="A420" t="n">
        <v>29</v>
      </c>
      <c r="B420" s="21" t="inlineStr">
        <is>
          <t>Pastilla Salina de Limón Criollo al Chile de Árbol Tostado (Key Lime, Sea Salt &amp; Charred Chile de Árbol Pastille)</t>
        </is>
      </c>
      <c r="C420" t="inlineStr">
        <is>
          <t>sabor</t>
        </is>
      </c>
      <c r="D420" s="22" t="inlineStr">
        <is>
          <t>8 ml Solución de ácido cítrico al 50% p/v</t>
        </is>
      </c>
      <c r="E420" s="6" t="inlineStr">
        <is>
          <t>Solución de ácido cítrico al 50% p/v (elaborada)</t>
        </is>
      </c>
      <c r="F420" s="16" t="n">
        <v>8</v>
      </c>
      <c r="G420" t="inlineStr">
        <is>
          <t>ml</t>
        </is>
      </c>
      <c r="H420" s="12">
        <f>IFERROR(VLOOKUP(E420,Insumos!$C$5:$G$100,5,FALSE),0)</f>
        <v/>
      </c>
      <c r="I420" s="17">
        <f>F420*H420/IF(C420="molde",MAX(1,'Mi negocio'!$C$34),1)</f>
        <v/>
      </c>
    </row>
    <row r="421">
      <c r="A421" t="n">
        <v>29</v>
      </c>
      <c r="B421" s="21" t="inlineStr">
        <is>
          <t>Pastilla Salina de Limón Criollo al Chile de Árbol Tostado (Key Lime, Sea Salt &amp; Charred Chile de Árbol Pastille)</t>
        </is>
      </c>
      <c r="C421" t="inlineStr">
        <is>
          <t>sabor</t>
        </is>
      </c>
      <c r="D421" s="22" t="inlineStr">
        <is>
          <t>2 ml Aceite esencial puro destilado de limón criollo (Citrus aurantiifolia)</t>
        </is>
      </c>
      <c r="E421" s="6" t="inlineStr">
        <is>
          <t>Aceite esencial puro destilado de cítrico</t>
        </is>
      </c>
      <c r="F421" s="16" t="n">
        <v>2</v>
      </c>
      <c r="G421" t="inlineStr">
        <is>
          <t>ml</t>
        </is>
      </c>
      <c r="H421" s="12">
        <f>IFERROR(VLOOKUP(E421,Insumos!$C$5:$G$100,5,FALSE),0)</f>
        <v/>
      </c>
      <c r="I421" s="17">
        <f>F421*H421/IF(C421="molde",MAX(1,'Mi negocio'!$C$34),1)</f>
        <v/>
      </c>
    </row>
    <row r="422">
      <c r="A422" t="n">
        <v>29</v>
      </c>
      <c r="B422" s="21" t="inlineStr">
        <is>
          <t>Pastilla Salina de Limón Criollo al Chile de Árbol Tostado (Key Lime, Sea Salt &amp; Charred Chile de Árbol Pastille)</t>
        </is>
      </c>
      <c r="C422" t="inlineStr">
        <is>
          <t>sabor</t>
        </is>
      </c>
      <c r="D422" s="22" t="inlineStr">
        <is>
          <t>0.2 g Clorofilina cúprica (verde limón claro)</t>
        </is>
      </c>
      <c r="E422" s="6" t="inlineStr">
        <is>
          <t>Clorofilina cúprica (verde)</t>
        </is>
      </c>
      <c r="F422" s="16" t="n">
        <v>0.2</v>
      </c>
      <c r="G422" t="inlineStr">
        <is>
          <t>g</t>
        </is>
      </c>
      <c r="H422" s="12">
        <f>IFERROR(VLOOKUP(E422,Insumos!$C$5:$G$100,5,FALSE),0)</f>
        <v/>
      </c>
      <c r="I422" s="17">
        <f>F422*H422/IF(C422="molde",MAX(1,'Mi negocio'!$C$34),1)</f>
        <v/>
      </c>
    </row>
    <row r="423">
      <c r="A423" t="n">
        <v>29</v>
      </c>
      <c r="B423" s="21" t="inlineStr">
        <is>
          <t>Pastilla Salina de Limón Criollo al Chile de Árbol Tostado (Key Lime, Sea Salt &amp; Charred Chile de Árbol Pastille)</t>
        </is>
      </c>
      <c r="C423" t="inlineStr">
        <is>
          <t>acabado</t>
        </is>
      </c>
      <c r="D423" s="22" t="inlineStr">
        <is>
          <t>70 g Azúcar refinada de grano medio (300-450 mum)</t>
        </is>
      </c>
      <c r="E423" s="6" t="inlineStr">
        <is>
          <t>Azúcar cristal de grano medio a grueso (rebozado)</t>
        </is>
      </c>
      <c r="F423" s="16" t="n">
        <v>70</v>
      </c>
      <c r="G423" t="inlineStr">
        <is>
          <t>g</t>
        </is>
      </c>
      <c r="H423" s="12">
        <f>IFERROR(VLOOKUP(E423,Insumos!$C$5:$G$100,5,FALSE),0)</f>
        <v/>
      </c>
      <c r="I423" s="17">
        <f>F423*H423/IF(C423="molde",MAX(1,'Mi negocio'!$C$34),1)</f>
        <v/>
      </c>
    </row>
    <row r="424">
      <c r="A424" t="n">
        <v>29</v>
      </c>
      <c r="B424" s="21" t="inlineStr">
        <is>
          <t>Pastilla Salina de Limón Criollo al Chile de Árbol Tostado (Key Lime, Sea Salt &amp; Charred Chile de Árbol Pastille)</t>
        </is>
      </c>
      <c r="C424" t="inlineStr">
        <is>
          <t>sabor</t>
        </is>
      </c>
      <c r="D424" s="22" t="inlineStr">
        <is>
          <t>20 g Polvo de chile de árbol tostado en seco sobre comal de barro (tamizado a 100 mum, notas tostadas intensas)</t>
        </is>
      </c>
      <c r="E424" s="6" t="inlineStr">
        <is>
          <t>Chile guajillo, árbol o pasilla en polvo</t>
        </is>
      </c>
      <c r="F424" s="16" t="n">
        <v>20</v>
      </c>
      <c r="G424" t="inlineStr">
        <is>
          <t>g</t>
        </is>
      </c>
      <c r="H424" s="12">
        <f>IFERROR(VLOOKUP(E424,Insumos!$C$5:$G$100,5,FALSE),0)</f>
        <v/>
      </c>
      <c r="I424" s="17">
        <f>F424*H424/IF(C424="molde",MAX(1,'Mi negocio'!$C$34),1)</f>
        <v/>
      </c>
    </row>
    <row r="425">
      <c r="A425" t="n">
        <v>29</v>
      </c>
      <c r="B425" s="21" t="inlineStr">
        <is>
          <t>Pastilla Salina de Limón Criollo al Chile de Árbol Tostado (Key Lime, Sea Salt &amp; Charred Chile de Árbol Pastille)</t>
        </is>
      </c>
      <c r="C425" t="inlineStr">
        <is>
          <t>sabor</t>
        </is>
      </c>
      <c r="D425" s="22" t="inlineStr">
        <is>
          <t>12 g Sal marina de grano fino</t>
        </is>
      </c>
      <c r="E425" s="6" t="inlineStr">
        <is>
          <t>Sal marina fina o flor de sal</t>
        </is>
      </c>
      <c r="F425" s="16" t="n">
        <v>12</v>
      </c>
      <c r="G425" t="inlineStr">
        <is>
          <t>g</t>
        </is>
      </c>
      <c r="H425" s="12">
        <f>IFERROR(VLOOKUP(E425,Insumos!$C$5:$G$100,5,FALSE),0)</f>
        <v/>
      </c>
      <c r="I425" s="17">
        <f>F425*H425/IF(C425="molde",MAX(1,'Mi negocio'!$C$34),1)</f>
        <v/>
      </c>
    </row>
    <row r="426">
      <c r="A426" t="n">
        <v>29</v>
      </c>
      <c r="B426" s="21" t="inlineStr">
        <is>
          <t>Pastilla Salina de Limón Criollo al Chile de Árbol Tostado (Key Lime, Sea Salt &amp; Charred Chile de Árbol Pastille)</t>
        </is>
      </c>
      <c r="C426" t="inlineStr">
        <is>
          <t>sabor</t>
        </is>
      </c>
      <c r="D426" s="22" t="inlineStr">
        <is>
          <t>6 g Ácido cítrico micro-encapsulado</t>
        </is>
      </c>
      <c r="E426" s="6" t="inlineStr">
        <is>
          <t>Ácido cítrico o málico micro-encapsulado</t>
        </is>
      </c>
      <c r="F426" s="16" t="n">
        <v>6</v>
      </c>
      <c r="G426" t="inlineStr">
        <is>
          <t>g</t>
        </is>
      </c>
      <c r="H426" s="12">
        <f>IFERROR(VLOOKUP(E426,Insumos!$C$5:$G$100,5,FALSE),0)</f>
        <v/>
      </c>
      <c r="I426" s="17">
        <f>F426*H426/IF(C426="molde",MAX(1,'Mi negocio'!$C$34),1)</f>
        <v/>
      </c>
    </row>
    <row r="427">
      <c r="A427" t="n">
        <v>30</v>
      </c>
      <c r="B427" s="21" t="inlineStr">
        <is>
          <t>Manzana Verde con Canela de Ceilán, Chipotle y Piquín (Green Apple, Ceylon Cinnamon &amp; Sweet Chipotle Drop)</t>
        </is>
      </c>
      <c r="C427" t="inlineStr">
        <is>
          <t>gelificante</t>
        </is>
      </c>
      <c r="D427" s="22" t="inlineStr">
        <is>
          <t>38 g Gelatina en polvo de res de 250 Bloom</t>
        </is>
      </c>
      <c r="E427" s="6" t="inlineStr">
        <is>
          <t>Gelatina en polvo de 240-260 Bloom</t>
        </is>
      </c>
      <c r="F427" s="16" t="n">
        <v>38</v>
      </c>
      <c r="G427" t="inlineStr">
        <is>
          <t>g</t>
        </is>
      </c>
      <c r="H427" s="12">
        <f>IFERROR(VLOOKUP(E427,Insumos!$C$5:$G$100,5,FALSE),0)</f>
        <v/>
      </c>
      <c r="I427" s="17">
        <f>F427*H427/IF(C427="molde",MAX(1,'Mi negocio'!$C$34),1)</f>
        <v/>
      </c>
    </row>
    <row r="428">
      <c r="A428" t="n">
        <v>30</v>
      </c>
      <c r="B428" s="21" t="inlineStr">
        <is>
          <t>Manzana Verde con Canela de Ceilán, Chipotle y Piquín (Green Apple, Ceylon Cinnamon &amp; Sweet Chipotle Drop)</t>
        </is>
      </c>
      <c r="C428" t="inlineStr">
        <is>
          <t>gelificante</t>
        </is>
      </c>
      <c r="D428" s="22" t="inlineStr">
        <is>
          <t>7.5 g Pectina de Alto Metoxilo lenta (HM Slow-Set)</t>
        </is>
      </c>
      <c r="E428" s="6" t="inlineStr">
        <is>
          <t>Pectina de alto metoxilo lenta (HM slow-set)</t>
        </is>
      </c>
      <c r="F428" s="16" t="n">
        <v>7.5</v>
      </c>
      <c r="G428" t="inlineStr">
        <is>
          <t>g</t>
        </is>
      </c>
      <c r="H428" s="12">
        <f>IFERROR(VLOOKUP(E428,Insumos!$C$5:$G$100,5,FALSE),0)</f>
        <v/>
      </c>
      <c r="I428" s="17">
        <f>F428*H428/IF(C428="molde",MAX(1,'Mi negocio'!$C$34),1)</f>
        <v/>
      </c>
    </row>
    <row r="429">
      <c r="A429" t="n">
        <v>30</v>
      </c>
      <c r="B429" s="21" t="inlineStr">
        <is>
          <t>Manzana Verde con Canela de Ceilán, Chipotle y Piquín (Green Apple, Ceylon Cinnamon &amp; Sweet Chipotle Drop)</t>
        </is>
      </c>
      <c r="C429" t="inlineStr">
        <is>
          <t>azucar</t>
        </is>
      </c>
      <c r="D429" s="22" t="inlineStr">
        <is>
          <t>25 g Azúcar blanca refinada (para dispersar la pectina)</t>
        </is>
      </c>
      <c r="E429" s="6" t="inlineStr">
        <is>
          <t>Azúcar blanca refinada</t>
        </is>
      </c>
      <c r="F429" s="16" t="n">
        <v>25</v>
      </c>
      <c r="G429" t="inlineStr">
        <is>
          <t>g</t>
        </is>
      </c>
      <c r="H429" s="12">
        <f>IFERROR(VLOOKUP(E429,Insumos!$C$5:$G$100,5,FALSE),0)</f>
        <v/>
      </c>
      <c r="I429" s="17">
        <f>F429*H429/IF(C429="molde",MAX(1,'Mi negocio'!$C$34),1)</f>
        <v/>
      </c>
    </row>
    <row r="430">
      <c r="A430" t="n">
        <v>30</v>
      </c>
      <c r="B430" s="21" t="inlineStr">
        <is>
          <t>Manzana Verde con Canela de Ceilán, Chipotle y Piquín (Green Apple, Ceylon Cinnamon &amp; Sweet Chipotle Drop)</t>
        </is>
      </c>
      <c r="C430" t="inlineStr">
        <is>
          <t>sabor</t>
        </is>
      </c>
      <c r="D430" s="22" t="inlineStr">
        <is>
          <t>85 ml Agua desmineralizada a 15 °C (para la gelatina)</t>
        </is>
      </c>
      <c r="E430" s="6" t="inlineStr">
        <is>
          <t>Agua desmineralizada o purificada</t>
        </is>
      </c>
      <c r="F430" s="16" t="n">
        <v>85</v>
      </c>
      <c r="G430" t="inlineStr">
        <is>
          <t>ml</t>
        </is>
      </c>
      <c r="H430" s="12">
        <f>IFERROR(VLOOKUP(E430,Insumos!$C$5:$G$100,5,FALSE),0)</f>
        <v/>
      </c>
      <c r="I430" s="17">
        <f>F430*H430/IF(C430="molde",MAX(1,'Mi negocio'!$C$34),1)</f>
        <v/>
      </c>
    </row>
    <row r="431">
      <c r="A431" t="n">
        <v>30</v>
      </c>
      <c r="B431" s="21" t="inlineStr">
        <is>
          <t>Manzana Verde con Canela de Ceilán, Chipotle y Piquín (Green Apple, Ceylon Cinnamon &amp; Sweet Chipotle Drop)</t>
        </is>
      </c>
      <c r="C431" t="inlineStr">
        <is>
          <t>sabor</t>
        </is>
      </c>
      <c r="D431" s="22" t="inlineStr">
        <is>
          <t>50 ml Jugo concentrado clarificado de manzana verde (para la pectina)</t>
        </is>
      </c>
      <c r="E431" s="6" t="inlineStr">
        <is>
          <t>Zumo concentrado clarificado de uva, granada o manzana</t>
        </is>
      </c>
      <c r="F431" s="16" t="n">
        <v>50</v>
      </c>
      <c r="G431" t="inlineStr">
        <is>
          <t>ml</t>
        </is>
      </c>
      <c r="H431" s="12">
        <f>IFERROR(VLOOKUP(E431,Insumos!$C$5:$G$100,5,FALSE),0)</f>
        <v/>
      </c>
      <c r="I431" s="17">
        <f>F431*H431/IF(C431="molde",MAX(1,'Mi negocio'!$C$34),1)</f>
        <v/>
      </c>
    </row>
    <row r="432">
      <c r="A432" t="n">
        <v>30</v>
      </c>
      <c r="B432" s="21" t="inlineStr">
        <is>
          <t>Manzana Verde con Canela de Ceilán, Chipotle y Piquín (Green Apple, Ceylon Cinnamon &amp; Sweet Chipotle Drop)</t>
        </is>
      </c>
      <c r="C432" t="inlineStr">
        <is>
          <t>azucar</t>
        </is>
      </c>
      <c r="D432" s="22" t="inlineStr">
        <is>
          <t>185 g Azúcar blanca refinada pura</t>
        </is>
      </c>
      <c r="E432" s="6" t="inlineStr">
        <is>
          <t>Azúcar blanca refinada</t>
        </is>
      </c>
      <c r="F432" s="16" t="n">
        <v>185</v>
      </c>
      <c r="G432" t="inlineStr">
        <is>
          <t>g</t>
        </is>
      </c>
      <c r="H432" s="12">
        <f>IFERROR(VLOOKUP(E432,Insumos!$C$5:$G$100,5,FALSE),0)</f>
        <v/>
      </c>
      <c r="I432" s="17">
        <f>F432*H432/IF(C432="molde",MAX(1,'Mi negocio'!$C$34),1)</f>
        <v/>
      </c>
    </row>
    <row r="433">
      <c r="A433" t="n">
        <v>30</v>
      </c>
      <c r="B433" s="21" t="inlineStr">
        <is>
          <t>Manzana Verde con Canela de Ceilán, Chipotle y Piquín (Green Apple, Ceylon Cinnamon &amp; Sweet Chipotle Drop)</t>
        </is>
      </c>
      <c r="C433" t="inlineStr">
        <is>
          <t>azucar</t>
        </is>
      </c>
      <c r="D433" s="22" t="inlineStr">
        <is>
          <t>150 g Jarabe de glucosa 42DE</t>
        </is>
      </c>
      <c r="E433" s="6" t="inlineStr">
        <is>
          <t>Jarabe de glucosa 42 DE</t>
        </is>
      </c>
      <c r="F433" s="16" t="n">
        <v>150</v>
      </c>
      <c r="G433" t="inlineStr">
        <is>
          <t>g</t>
        </is>
      </c>
      <c r="H433" s="12">
        <f>IFERROR(VLOOKUP(E433,Insumos!$C$5:$G$100,5,FALSE),0)</f>
        <v/>
      </c>
      <c r="I433" s="17">
        <f>F433*H433/IF(C433="molde",MAX(1,'Mi negocio'!$C$34),1)</f>
        <v/>
      </c>
    </row>
    <row r="434">
      <c r="A434" t="n">
        <v>30</v>
      </c>
      <c r="B434" s="21" t="inlineStr">
        <is>
          <t>Manzana Verde con Canela de Ceilán, Chipotle y Piquín (Green Apple, Ceylon Cinnamon &amp; Sweet Chipotle Drop)</t>
        </is>
      </c>
      <c r="C434" t="inlineStr">
        <is>
          <t>azucar</t>
        </is>
      </c>
      <c r="D434" s="22" t="inlineStr">
        <is>
          <t>15 g Sorbitol líquido al 70%</t>
        </is>
      </c>
      <c r="E434" s="6" t="inlineStr">
        <is>
          <t>Sorbitol líquido al 70%</t>
        </is>
      </c>
      <c r="F434" s="16" t="n">
        <v>15</v>
      </c>
      <c r="G434" t="inlineStr">
        <is>
          <t>g</t>
        </is>
      </c>
      <c r="H434" s="12">
        <f>IFERROR(VLOOKUP(E434,Insumos!$C$5:$G$100,5,FALSE),0)</f>
        <v/>
      </c>
      <c r="I434" s="17">
        <f>F434*H434/IF(C434="molde",MAX(1,'Mi negocio'!$C$34),1)</f>
        <v/>
      </c>
    </row>
    <row r="435">
      <c r="A435" t="n">
        <v>30</v>
      </c>
      <c r="B435" s="21" t="inlineStr">
        <is>
          <t>Manzana Verde con Canela de Ceilán, Chipotle y Piquín (Green Apple, Ceylon Cinnamon &amp; Sweet Chipotle Drop)</t>
        </is>
      </c>
      <c r="C435" t="inlineStr">
        <is>
          <t>sabor</t>
        </is>
      </c>
      <c r="D435" s="22" t="inlineStr">
        <is>
          <t>2.2 g Citrato de potasio</t>
        </is>
      </c>
      <c r="E435" s="6" t="inlineStr">
        <is>
          <t>Citrato de potasio monohidratado</t>
        </is>
      </c>
      <c r="F435" s="16" t="n">
        <v>2.2</v>
      </c>
      <c r="G435" t="inlineStr">
        <is>
          <t>g</t>
        </is>
      </c>
      <c r="H435" s="12">
        <f>IFERROR(VLOOKUP(E435,Insumos!$C$5:$G$100,5,FALSE),0)</f>
        <v/>
      </c>
      <c r="I435" s="17">
        <f>F435*H435/IF(C435="molde",MAX(1,'Mi negocio'!$C$34),1)</f>
        <v/>
      </c>
    </row>
    <row r="436">
      <c r="A436" t="n">
        <v>30</v>
      </c>
      <c r="B436" s="21" t="inlineStr">
        <is>
          <t>Manzana Verde con Canela de Ceilán, Chipotle y Piquín (Green Apple, Ceylon Cinnamon &amp; Sweet Chipotle Drop)</t>
        </is>
      </c>
      <c r="C436" t="inlineStr">
        <is>
          <t>sabor</t>
        </is>
      </c>
      <c r="D436" s="22" t="inlineStr">
        <is>
          <t>8 ml Solución de ácido málico al 50% p/v</t>
        </is>
      </c>
      <c r="E436" s="6" t="inlineStr">
        <is>
          <t>Ácido málico micronizado</t>
        </is>
      </c>
      <c r="F436" s="16" t="n">
        <v>8</v>
      </c>
      <c r="G436" t="inlineStr">
        <is>
          <t>g</t>
        </is>
      </c>
      <c r="H436" s="12">
        <f>IFERROR(VLOOKUP(E436,Insumos!$C$5:$G$100,5,FALSE),0)</f>
        <v/>
      </c>
      <c r="I436" s="17">
        <f>F436*H436/IF(C436="molde",MAX(1,'Mi negocio'!$C$34),1)</f>
        <v/>
      </c>
    </row>
    <row r="437">
      <c r="A437" t="n">
        <v>30</v>
      </c>
      <c r="B437" s="21" t="inlineStr">
        <is>
          <t>Manzana Verde con Canela de Ceilán, Chipotle y Piquín (Green Apple, Ceylon Cinnamon &amp; Sweet Chipotle Drop)</t>
        </is>
      </c>
      <c r="C437" t="inlineStr">
        <is>
          <t>sabor</t>
        </is>
      </c>
      <c r="D437" s="22" t="inlineStr">
        <is>
          <t>2 ml Solución de ácido cítrico al 50% p/v</t>
        </is>
      </c>
      <c r="E437" s="6" t="inlineStr">
        <is>
          <t>Solución de ácido cítrico al 50% p/v (elaborada)</t>
        </is>
      </c>
      <c r="F437" s="16" t="n">
        <v>2</v>
      </c>
      <c r="G437" t="inlineStr">
        <is>
          <t>ml</t>
        </is>
      </c>
      <c r="H437" s="12">
        <f>IFERROR(VLOOKUP(E437,Insumos!$C$5:$G$100,5,FALSE),0)</f>
        <v/>
      </c>
      <c r="I437" s="17">
        <f>F437*H437/IF(C437="molde",MAX(1,'Mi negocio'!$C$34),1)</f>
        <v/>
      </c>
    </row>
    <row r="438">
      <c r="A438" t="n">
        <v>30</v>
      </c>
      <c r="B438" s="21" t="inlineStr">
        <is>
          <t>Manzana Verde con Canela de Ceilán, Chipotle y Piquín (Green Apple, Ceylon Cinnamon &amp; Sweet Chipotle Drop)</t>
        </is>
      </c>
      <c r="C438" t="inlineStr">
        <is>
          <t>sabor</t>
        </is>
      </c>
      <c r="D438" s="22" t="inlineStr">
        <is>
          <t>2 ml Aroma natural de manzana verde (Granny Smith)</t>
        </is>
      </c>
      <c r="E438" s="6" t="inlineStr">
        <is>
          <t>Aroma natural hidrosoluble concentrado</t>
        </is>
      </c>
      <c r="F438" s="16" t="n">
        <v>2</v>
      </c>
      <c r="G438" t="inlineStr">
        <is>
          <t>ml</t>
        </is>
      </c>
      <c r="H438" s="12">
        <f>IFERROR(VLOOKUP(E438,Insumos!$C$5:$G$100,5,FALSE),0)</f>
        <v/>
      </c>
      <c r="I438" s="17">
        <f>F438*H438/IF(C438="molde",MAX(1,'Mi negocio'!$C$34),1)</f>
        <v/>
      </c>
    </row>
    <row r="439">
      <c r="A439" t="n">
        <v>30</v>
      </c>
      <c r="B439" s="21" t="inlineStr">
        <is>
          <t>Manzana Verde con Canela de Ceilán, Chipotle y Piquín (Green Apple, Ceylon Cinnamon &amp; Sweet Chipotle Drop)</t>
        </is>
      </c>
      <c r="C439" t="inlineStr">
        <is>
          <t>sabor</t>
        </is>
      </c>
      <c r="D439" s="22" t="inlineStr">
        <is>
          <t>0.4 ml Extracto fluido concentrado de chile chipotle dulce desvenado</t>
        </is>
      </c>
      <c r="E439" s="6" t="inlineStr">
        <is>
          <t>Extracto o infusión botánica concentrada</t>
        </is>
      </c>
      <c r="F439" s="16" t="n">
        <v>0.4</v>
      </c>
      <c r="G439" t="inlineStr">
        <is>
          <t>ml</t>
        </is>
      </c>
      <c r="H439" s="12">
        <f>IFERROR(VLOOKUP(E439,Insumos!$C$5:$G$100,5,FALSE),0)</f>
        <v/>
      </c>
      <c r="I439" s="17">
        <f>F439*H439/IF(C439="molde",MAX(1,'Mi negocio'!$C$34),1)</f>
        <v/>
      </c>
    </row>
    <row r="440">
      <c r="A440" t="n">
        <v>30</v>
      </c>
      <c r="B440" s="21" t="inlineStr">
        <is>
          <t>Manzana Verde con Canela de Ceilán, Chipotle y Piquín (Green Apple, Ceylon Cinnamon &amp; Sweet Chipotle Drop)</t>
        </is>
      </c>
      <c r="C440" t="inlineStr">
        <is>
          <t>sabor</t>
        </is>
      </c>
      <c r="D440" s="22" t="inlineStr">
        <is>
          <t>0.3 ml Extracto puro hidrosoluble de canela de Ceilán (rico en eugenol dulce)</t>
        </is>
      </c>
      <c r="E440" s="6" t="inlineStr">
        <is>
          <t>Extracto o infusión botánica concentrada</t>
        </is>
      </c>
      <c r="F440" s="16" t="n">
        <v>0.3</v>
      </c>
      <c r="G440" t="inlineStr">
        <is>
          <t>ml</t>
        </is>
      </c>
      <c r="H440" s="12">
        <f>IFERROR(VLOOKUP(E440,Insumos!$C$5:$G$100,5,FALSE),0)</f>
        <v/>
      </c>
      <c r="I440" s="17">
        <f>F440*H440/IF(C440="molde",MAX(1,'Mi negocio'!$C$34),1)</f>
        <v/>
      </c>
    </row>
    <row r="441">
      <c r="A441" t="n">
        <v>30</v>
      </c>
      <c r="B441" s="21" t="inlineStr">
        <is>
          <t>Manzana Verde con Canela de Ceilán, Chipotle y Piquín (Green Apple, Ceylon Cinnamon &amp; Sweet Chipotle Drop)</t>
        </is>
      </c>
      <c r="C441" t="inlineStr">
        <is>
          <t>sabor</t>
        </is>
      </c>
      <c r="D441" s="22" t="inlineStr">
        <is>
          <t>0.2 g Colorante verde esmeralda (clorofilina cúprica + traza de caramelo)</t>
        </is>
      </c>
      <c r="E441" s="6" t="inlineStr">
        <is>
          <t>Clorofilina cúprica (verde)</t>
        </is>
      </c>
      <c r="F441" s="16" t="n">
        <v>0.2</v>
      </c>
      <c r="G441" t="inlineStr">
        <is>
          <t>g</t>
        </is>
      </c>
      <c r="H441" s="12">
        <f>IFERROR(VLOOKUP(E441,Insumos!$C$5:$G$100,5,FALSE),0)</f>
        <v/>
      </c>
      <c r="I441" s="17">
        <f>F441*H441/IF(C441="molde",MAX(1,'Mi negocio'!$C$34),1)</f>
        <v/>
      </c>
    </row>
    <row r="442">
      <c r="A442" t="n">
        <v>30</v>
      </c>
      <c r="B442" s="21" t="inlineStr">
        <is>
          <t>Manzana Verde con Canela de Ceilán, Chipotle y Piquín (Green Apple, Ceylon Cinnamon &amp; Sweet Chipotle Drop)</t>
        </is>
      </c>
      <c r="C442" t="inlineStr">
        <is>
          <t>acabado</t>
        </is>
      </c>
      <c r="D442" s="22" t="inlineStr">
        <is>
          <t>70 g Azúcar refinada de grano medio (300-450 mum)</t>
        </is>
      </c>
      <c r="E442" s="6" t="inlineStr">
        <is>
          <t>Azúcar cristal de grano medio a grueso (rebozado)</t>
        </is>
      </c>
      <c r="F442" s="16" t="n">
        <v>70</v>
      </c>
      <c r="G442" t="inlineStr">
        <is>
          <t>g</t>
        </is>
      </c>
      <c r="H442" s="12">
        <f>IFERROR(VLOOKUP(E442,Insumos!$C$5:$G$100,5,FALSE),0)</f>
        <v/>
      </c>
      <c r="I442" s="17">
        <f>F442*H442/IF(C442="molde",MAX(1,'Mi negocio'!$C$34),1)</f>
        <v/>
      </c>
    </row>
    <row r="443">
      <c r="A443" t="n">
        <v>30</v>
      </c>
      <c r="B443" s="21" t="inlineStr">
        <is>
          <t>Manzana Verde con Canela de Ceilán, Chipotle y Piquín (Green Apple, Ceylon Cinnamon &amp; Sweet Chipotle Drop)</t>
        </is>
      </c>
      <c r="C443" t="inlineStr">
        <is>
          <t>sabor</t>
        </is>
      </c>
      <c r="D443" s="22" t="inlineStr">
        <is>
          <t>15 g Polvo puro de chile piquín fino</t>
        </is>
      </c>
      <c r="E443" s="6" t="inlineStr">
        <is>
          <t>Chile piquín o chiltepín en polvo fino</t>
        </is>
      </c>
      <c r="F443" s="16" t="n">
        <v>15</v>
      </c>
      <c r="G443" t="inlineStr">
        <is>
          <t>g</t>
        </is>
      </c>
      <c r="H443" s="12">
        <f>IFERROR(VLOOKUP(E443,Insumos!$C$5:$G$100,5,FALSE),0)</f>
        <v/>
      </c>
      <c r="I443" s="17">
        <f>F443*H443/IF(C443="molde",MAX(1,'Mi negocio'!$C$34),1)</f>
        <v/>
      </c>
    </row>
    <row r="444">
      <c r="A444" t="n">
        <v>30</v>
      </c>
      <c r="B444" s="21" t="inlineStr">
        <is>
          <t>Manzana Verde con Canela de Ceilán, Chipotle y Piquín (Green Apple, Ceylon Cinnamon &amp; Sweet Chipotle Drop)</t>
        </is>
      </c>
      <c r="C444" t="inlineStr">
        <is>
          <t>sabor</t>
        </is>
      </c>
      <c r="D444" s="22" t="inlineStr">
        <is>
          <t>12 g Polvo de chile chipotle meco deshidratado al humo (&lt;80 mum, notas de piloncillo y ceniza dulce)</t>
        </is>
      </c>
      <c r="E444" s="6" t="inlineStr">
        <is>
          <t>Chile morita o chipotle en polvo ahumado</t>
        </is>
      </c>
      <c r="F444" s="16" t="n">
        <v>12</v>
      </c>
      <c r="G444" t="inlineStr">
        <is>
          <t>g</t>
        </is>
      </c>
      <c r="H444" s="12">
        <f>IFERROR(VLOOKUP(E444,Insumos!$C$5:$G$100,5,FALSE),0)</f>
        <v/>
      </c>
      <c r="I444" s="17">
        <f>F444*H444/IF(C444="molde",MAX(1,'Mi negocio'!$C$34),1)</f>
        <v/>
      </c>
    </row>
    <row r="445">
      <c r="A445" t="n">
        <v>30</v>
      </c>
      <c r="B445" s="21" t="inlineStr">
        <is>
          <t>Manzana Verde con Canela de Ceilán, Chipotle y Piquín (Green Apple, Ceylon Cinnamon &amp; Sweet Chipotle Drop)</t>
        </is>
      </c>
      <c r="C445" t="inlineStr">
        <is>
          <t>sabor</t>
        </is>
      </c>
      <c r="D445" s="22" t="inlineStr">
        <is>
          <t>6 g Canela de Ceilán pura en polvo micronizada</t>
        </is>
      </c>
      <c r="E445" s="6" t="inlineStr">
        <is>
          <t>Canela, jengibre o especia micronizada</t>
        </is>
      </c>
      <c r="F445" s="16" t="n">
        <v>6</v>
      </c>
      <c r="G445" t="inlineStr">
        <is>
          <t>g</t>
        </is>
      </c>
      <c r="H445" s="12">
        <f>IFERROR(VLOOKUP(E445,Insumos!$C$5:$G$100,5,FALSE),0)</f>
        <v/>
      </c>
      <c r="I445" s="17">
        <f>F445*H445/IF(C445="molde",MAX(1,'Mi negocio'!$C$34),1)</f>
        <v/>
      </c>
    </row>
    <row r="446">
      <c r="A446" t="n">
        <v>30</v>
      </c>
      <c r="B446" s="21" t="inlineStr">
        <is>
          <t>Manzana Verde con Canela de Ceilán, Chipotle y Piquín (Green Apple, Ceylon Cinnamon &amp; Sweet Chipotle Drop)</t>
        </is>
      </c>
      <c r="C446" t="inlineStr">
        <is>
          <t>sabor</t>
        </is>
      </c>
      <c r="D446" s="22" t="inlineStr">
        <is>
          <t>6 g Ácido málico micro-encapsulado</t>
        </is>
      </c>
      <c r="E446" s="6" t="inlineStr">
        <is>
          <t>Ácido cítrico o málico micro-encapsulado</t>
        </is>
      </c>
      <c r="F446" s="16" t="n">
        <v>6</v>
      </c>
      <c r="G446" t="inlineStr">
        <is>
          <t>g</t>
        </is>
      </c>
      <c r="H446" s="12">
        <f>IFERROR(VLOOKUP(E446,Insumos!$C$5:$G$100,5,FALSE),0)</f>
        <v/>
      </c>
      <c r="I446" s="17">
        <f>F446*H446/IF(C446="molde",MAX(1,'Mi negocio'!$C$34),1)</f>
        <v/>
      </c>
    </row>
    <row r="447">
      <c r="A447" t="n">
        <v>30</v>
      </c>
      <c r="B447" s="21" t="inlineStr">
        <is>
          <t>Manzana Verde con Canela de Ceilán, Chipotle y Piquín (Green Apple, Ceylon Cinnamon &amp; Sweet Chipotle Drop)</t>
        </is>
      </c>
      <c r="C447" t="inlineStr">
        <is>
          <t>sabor</t>
        </is>
      </c>
      <c r="D447" s="22" t="inlineStr">
        <is>
          <t>5 g Sal marina fina</t>
        </is>
      </c>
      <c r="E447" s="6" t="inlineStr">
        <is>
          <t>Sal marina fina o flor de sal</t>
        </is>
      </c>
      <c r="F447" s="16" t="n">
        <v>5</v>
      </c>
      <c r="G447" t="inlineStr">
        <is>
          <t>g</t>
        </is>
      </c>
      <c r="H447" s="12">
        <f>IFERROR(VLOOKUP(E447,Insumos!$C$5:$G$100,5,FALSE),0)</f>
        <v/>
      </c>
      <c r="I447" s="17">
        <f>F447*H447/IF(C447="molde",MAX(1,'Mi negocio'!$C$34),1)</f>
        <v/>
      </c>
    </row>
    <row r="448">
      <c r="A448" t="n">
        <v>31</v>
      </c>
      <c r="B448" s="21" t="inlineStr">
        <is>
          <t>Tiburón / Delfín Bicolor de Frambuesa Azul y Espuma Marshmallow (Two-Tone Blue Raspberry &amp; Marshmallow Foam Sea-Jelly)</t>
        </is>
      </c>
      <c r="C448" t="inlineStr">
        <is>
          <t>gelificante</t>
        </is>
      </c>
      <c r="D448" s="22" t="inlineStr">
        <is>
          <t>44 g Gelatina en polvo de 250 Bloom</t>
        </is>
      </c>
      <c r="E448" s="6" t="inlineStr">
        <is>
          <t>Gelatina en polvo de 240-260 Bloom</t>
        </is>
      </c>
      <c r="F448" s="16" t="n">
        <v>44</v>
      </c>
      <c r="G448" t="inlineStr">
        <is>
          <t>g</t>
        </is>
      </c>
      <c r="H448" s="12">
        <f>IFERROR(VLOOKUP(E448,Insumos!$C$5:$G$100,5,FALSE),0)</f>
        <v/>
      </c>
      <c r="I448" s="17">
        <f>F448*H448/IF(C448="molde",MAX(1,'Mi negocio'!$C$34),1)</f>
        <v/>
      </c>
    </row>
    <row r="449">
      <c r="A449" t="n">
        <v>31</v>
      </c>
      <c r="B449" s="21" t="inlineStr">
        <is>
          <t>Tiburón / Delfín Bicolor de Frambuesa Azul y Espuma Marshmallow (Two-Tone Blue Raspberry &amp; Marshmallow Foam Sea-Jelly)</t>
        </is>
      </c>
      <c r="C449" t="inlineStr">
        <is>
          <t>sabor</t>
        </is>
      </c>
      <c r="D449" s="22" t="inlineStr">
        <is>
          <t>95 ml Agua desmineralizada a 15 °C</t>
        </is>
      </c>
      <c r="E449" s="6" t="inlineStr">
        <is>
          <t>Agua desmineralizada o purificada</t>
        </is>
      </c>
      <c r="F449" s="16" t="n">
        <v>95</v>
      </c>
      <c r="G449" t="inlineStr">
        <is>
          <t>ml</t>
        </is>
      </c>
      <c r="H449" s="12">
        <f>IFERROR(VLOOKUP(E449,Insumos!$C$5:$G$100,5,FALSE),0)</f>
        <v/>
      </c>
      <c r="I449" s="17">
        <f>F449*H449/IF(C449="molde",MAX(1,'Mi negocio'!$C$34),1)</f>
        <v/>
      </c>
    </row>
    <row r="450">
      <c r="A450" t="n">
        <v>31</v>
      </c>
      <c r="B450" s="21" t="inlineStr">
        <is>
          <t>Tiburón / Delfín Bicolor de Frambuesa Azul y Espuma Marshmallow (Two-Tone Blue Raspberry &amp; Marshmallow Foam Sea-Jelly)</t>
        </is>
      </c>
      <c r="C450" t="inlineStr">
        <is>
          <t>azucar</t>
        </is>
      </c>
      <c r="D450" s="22" t="inlineStr">
        <is>
          <t>195 g Azúcar blanca refinada pura</t>
        </is>
      </c>
      <c r="E450" s="6" t="inlineStr">
        <is>
          <t>Azúcar blanca refinada</t>
        </is>
      </c>
      <c r="F450" s="16" t="n">
        <v>195</v>
      </c>
      <c r="G450" t="inlineStr">
        <is>
          <t>g</t>
        </is>
      </c>
      <c r="H450" s="12">
        <f>IFERROR(VLOOKUP(E450,Insumos!$C$5:$G$100,5,FALSE),0)</f>
        <v/>
      </c>
      <c r="I450" s="17">
        <f>F450*H450/IF(C450="molde",MAX(1,'Mi negocio'!$C$34),1)</f>
        <v/>
      </c>
    </row>
    <row r="451">
      <c r="A451" t="n">
        <v>31</v>
      </c>
      <c r="B451" s="21" t="inlineStr">
        <is>
          <t>Tiburón / Delfín Bicolor de Frambuesa Azul y Espuma Marshmallow (Two-Tone Blue Raspberry &amp; Marshmallow Foam Sea-Jelly)</t>
        </is>
      </c>
      <c r="C451" t="inlineStr">
        <is>
          <t>azucar</t>
        </is>
      </c>
      <c r="D451" s="22" t="inlineStr">
        <is>
          <t>155 g Jarabe de glucosa estándar de maíz de 42DE</t>
        </is>
      </c>
      <c r="E451" s="6" t="inlineStr">
        <is>
          <t>Jarabe de glucosa 42 DE</t>
        </is>
      </c>
      <c r="F451" s="16" t="n">
        <v>155</v>
      </c>
      <c r="G451" t="inlineStr">
        <is>
          <t>g</t>
        </is>
      </c>
      <c r="H451" s="12">
        <f>IFERROR(VLOOKUP(E451,Insumos!$C$5:$G$100,5,FALSE),0)</f>
        <v/>
      </c>
      <c r="I451" s="17">
        <f>F451*H451/IF(C451="molde",MAX(1,'Mi negocio'!$C$34),1)</f>
        <v/>
      </c>
    </row>
    <row r="452">
      <c r="A452" t="n">
        <v>31</v>
      </c>
      <c r="B452" s="21" t="inlineStr">
        <is>
          <t>Tiburón / Delfín Bicolor de Frambuesa Azul y Espuma Marshmallow (Two-Tone Blue Raspberry &amp; Marshmallow Foam Sea-Jelly)</t>
        </is>
      </c>
      <c r="C452" t="inlineStr">
        <is>
          <t>sabor</t>
        </is>
      </c>
      <c r="D452" s="22" t="inlineStr">
        <is>
          <t>50 ml Agua purificada limpia</t>
        </is>
      </c>
      <c r="E452" s="6" t="inlineStr">
        <is>
          <t>Agua desmineralizada o purificada</t>
        </is>
      </c>
      <c r="F452" s="16" t="n">
        <v>50</v>
      </c>
      <c r="G452" t="inlineStr">
        <is>
          <t>ml</t>
        </is>
      </c>
      <c r="H452" s="12">
        <f>IFERROR(VLOOKUP(E452,Insumos!$C$5:$G$100,5,FALSE),0)</f>
        <v/>
      </c>
      <c r="I452" s="17">
        <f>F452*H452/IF(C452="molde",MAX(1,'Mi negocio'!$C$34),1)</f>
        <v/>
      </c>
    </row>
    <row r="453">
      <c r="A453" t="n">
        <v>31</v>
      </c>
      <c r="B453" s="21" t="inlineStr">
        <is>
          <t>Tiburón / Delfín Bicolor de Frambuesa Azul y Espuma Marshmallow (Two-Tone Blue Raspberry &amp; Marshmallow Foam Sea-Jelly)</t>
        </is>
      </c>
      <c r="C453" t="inlineStr">
        <is>
          <t>azucar</t>
        </is>
      </c>
      <c r="D453" s="22" t="inlineStr">
        <is>
          <t>12 g Sorbitol líquido al 70%</t>
        </is>
      </c>
      <c r="E453" s="6" t="inlineStr">
        <is>
          <t>Sorbitol líquido al 70%</t>
        </is>
      </c>
      <c r="F453" s="16" t="n">
        <v>12</v>
      </c>
      <c r="G453" t="inlineStr">
        <is>
          <t>g</t>
        </is>
      </c>
      <c r="H453" s="12">
        <f>IFERROR(VLOOKUP(E453,Insumos!$C$5:$G$100,5,FALSE),0)</f>
        <v/>
      </c>
      <c r="I453" s="17">
        <f>F453*H453/IF(C453="molde",MAX(1,'Mi negocio'!$C$34),1)</f>
        <v/>
      </c>
    </row>
    <row r="454">
      <c r="A454" t="n">
        <v>31</v>
      </c>
      <c r="B454" s="21" t="inlineStr">
        <is>
          <t>Tiburón / Delfín Bicolor de Frambuesa Azul y Espuma Marshmallow (Two-Tone Blue Raspberry &amp; Marshmallow Foam Sea-Jelly)</t>
        </is>
      </c>
      <c r="C454" t="inlineStr">
        <is>
          <t>sabor</t>
        </is>
      </c>
      <c r="D454" s="22" t="inlineStr">
        <is>
          <t>2 g Citrato de sodio dihidratado (amortiguador de pH)</t>
        </is>
      </c>
      <c r="E454" s="6" t="inlineStr">
        <is>
          <t>Citrato de sodio dihidratado</t>
        </is>
      </c>
      <c r="F454" s="16" t="n">
        <v>2</v>
      </c>
      <c r="G454" t="inlineStr">
        <is>
          <t>g</t>
        </is>
      </c>
      <c r="H454" s="12">
        <f>IFERROR(VLOOKUP(E454,Insumos!$C$5:$G$100,5,FALSE),0)</f>
        <v/>
      </c>
      <c r="I454" s="17">
        <f>F454*H454/IF(C454="molde",MAX(1,'Mi negocio'!$C$34),1)</f>
        <v/>
      </c>
    </row>
    <row r="455">
      <c r="A455" t="n">
        <v>31</v>
      </c>
      <c r="B455" s="21" t="inlineStr">
        <is>
          <t>Tiburón / Delfín Bicolor de Frambuesa Azul y Espuma Marshmallow (Two-Tone Blue Raspberry &amp; Marshmallow Foam Sea-Jelly)</t>
        </is>
      </c>
      <c r="C455" t="inlineStr">
        <is>
          <t>sabor</t>
        </is>
      </c>
      <c r="D455" s="22" t="inlineStr">
        <is>
          <t>6 ml Solución de ácido málico al 50% p/v</t>
        </is>
      </c>
      <c r="E455" s="6" t="inlineStr">
        <is>
          <t>Ácido málico micronizado</t>
        </is>
      </c>
      <c r="F455" s="16" t="n">
        <v>6</v>
      </c>
      <c r="G455" t="inlineStr">
        <is>
          <t>g</t>
        </is>
      </c>
      <c r="H455" s="12">
        <f>IFERROR(VLOOKUP(E455,Insumos!$C$5:$G$100,5,FALSE),0)</f>
        <v/>
      </c>
      <c r="I455" s="17">
        <f>F455*H455/IF(C455="molde",MAX(1,'Mi negocio'!$C$34),1)</f>
        <v/>
      </c>
    </row>
    <row r="456">
      <c r="A456" t="n">
        <v>31</v>
      </c>
      <c r="B456" s="21" t="inlineStr">
        <is>
          <t>Tiburón / Delfín Bicolor de Frambuesa Azul y Espuma Marshmallow (Two-Tone Blue Raspberry &amp; Marshmallow Foam Sea-Jelly)</t>
        </is>
      </c>
      <c r="C456" t="inlineStr">
        <is>
          <t>sabor</t>
        </is>
      </c>
      <c r="D456" s="22" t="inlineStr">
        <is>
          <t>1.8 ml Aroma natural concentrado de frambuesa azul (Blue Raspberry)</t>
        </is>
      </c>
      <c r="E456" s="6" t="inlineStr">
        <is>
          <t>Aroma natural hidrosoluble concentrado</t>
        </is>
      </c>
      <c r="F456" s="16" t="n">
        <v>1.8</v>
      </c>
      <c r="G456" t="inlineStr">
        <is>
          <t>ml</t>
        </is>
      </c>
      <c r="H456" s="12">
        <f>IFERROR(VLOOKUP(E456,Insumos!$C$5:$G$100,5,FALSE),0)</f>
        <v/>
      </c>
      <c r="I456" s="17">
        <f>F456*H456/IF(C456="molde",MAX(1,'Mi negocio'!$C$34),1)</f>
        <v/>
      </c>
    </row>
    <row r="457">
      <c r="A457" t="n">
        <v>31</v>
      </c>
      <c r="B457" s="21" t="inlineStr">
        <is>
          <t>Tiburón / Delfín Bicolor de Frambuesa Azul y Espuma Marshmallow (Two-Tone Blue Raspberry &amp; Marshmallow Foam Sea-Jelly)</t>
        </is>
      </c>
      <c r="C457" t="inlineStr">
        <is>
          <t>sabor</t>
        </is>
      </c>
      <c r="D457" s="22" t="inlineStr">
        <is>
          <t>0.15 g Colorante azul brillante (FD&amp;C Blue 1)</t>
        </is>
      </c>
      <c r="E457" s="6" t="inlineStr">
        <is>
          <t>Colorante azul brillante hidrosoluble</t>
        </is>
      </c>
      <c r="F457" s="16" t="n">
        <v>0.15</v>
      </c>
      <c r="G457" t="inlineStr">
        <is>
          <t>g</t>
        </is>
      </c>
      <c r="H457" s="12">
        <f>IFERROR(VLOOKUP(E457,Insumos!$C$5:$G$100,5,FALSE),0)</f>
        <v/>
      </c>
      <c r="I457" s="17">
        <f>F457*H457/IF(C457="molde",MAX(1,'Mi negocio'!$C$34),1)</f>
        <v/>
      </c>
    </row>
    <row r="458">
      <c r="A458" t="n">
        <v>31</v>
      </c>
      <c r="B458" s="21" t="inlineStr">
        <is>
          <t>Tiburón / Delfín Bicolor de Frambuesa Azul y Espuma Marshmallow (Two-Tone Blue Raspberry &amp; Marshmallow Foam Sea-Jelly)</t>
        </is>
      </c>
      <c r="C458" t="inlineStr">
        <is>
          <t>sabor</t>
        </is>
      </c>
      <c r="D458" s="22" t="inlineStr">
        <is>
          <t>3 ml Solución de ácido cítrico al 50% p/v</t>
        </is>
      </c>
      <c r="E458" s="6" t="inlineStr">
        <is>
          <t>Solución de ácido cítrico al 50% p/v (elaborada)</t>
        </is>
      </c>
      <c r="F458" s="16" t="n">
        <v>3</v>
      </c>
      <c r="G458" t="inlineStr">
        <is>
          <t>ml</t>
        </is>
      </c>
      <c r="H458" s="12">
        <f>IFERROR(VLOOKUP(E458,Insumos!$C$5:$G$100,5,FALSE),0)</f>
        <v/>
      </c>
      <c r="I458" s="17">
        <f>F458*H458/IF(C458="molde",MAX(1,'Mi negocio'!$C$34),1)</f>
        <v/>
      </c>
    </row>
    <row r="459">
      <c r="A459" t="n">
        <v>31</v>
      </c>
      <c r="B459" s="21" t="inlineStr">
        <is>
          <t>Tiburón / Delfín Bicolor de Frambuesa Azul y Espuma Marshmallow (Two-Tone Blue Raspberry &amp; Marshmallow Foam Sea-Jelly)</t>
        </is>
      </c>
      <c r="C459" t="inlineStr">
        <is>
          <t>sabor</t>
        </is>
      </c>
      <c r="D459" s="22" t="inlineStr">
        <is>
          <t>1.2 ml Aroma natural de crema de vainilla / nata fresca</t>
        </is>
      </c>
      <c r="E459" s="6" t="inlineStr">
        <is>
          <t>Aroma natural hidrosoluble concentrado</t>
        </is>
      </c>
      <c r="F459" s="16" t="n">
        <v>1.2</v>
      </c>
      <c r="G459" t="inlineStr">
        <is>
          <t>ml</t>
        </is>
      </c>
      <c r="H459" s="12">
        <f>IFERROR(VLOOKUP(E459,Insumos!$C$5:$G$100,5,FALSE),0)</f>
        <v/>
      </c>
      <c r="I459" s="17">
        <f>F459*H459/IF(C459="molde",MAX(1,'Mi negocio'!$C$34),1)</f>
        <v/>
      </c>
    </row>
    <row r="460">
      <c r="A460" t="n">
        <v>31</v>
      </c>
      <c r="B460" s="21" t="inlineStr">
        <is>
          <t>Tiburón / Delfín Bicolor de Frambuesa Azul y Espuma Marshmallow (Two-Tone Blue Raspberry &amp; Marshmallow Foam Sea-Jelly)</t>
        </is>
      </c>
      <c r="C460" t="inlineStr">
        <is>
          <t>sabor</t>
        </is>
      </c>
      <c r="D460" s="22" t="inlineStr">
        <is>
          <t>0.4 g Dióxido de titanio o carbonato de calcio micronizado de grado alimenticio (blanqueador opacificante)</t>
        </is>
      </c>
      <c r="E460" s="6" t="inlineStr">
        <is>
          <t>Dióxido de titanio o blanco alimentario</t>
        </is>
      </c>
      <c r="F460" s="16" t="n">
        <v>0.4</v>
      </c>
      <c r="G460" t="inlineStr">
        <is>
          <t>g</t>
        </is>
      </c>
      <c r="H460" s="12">
        <f>IFERROR(VLOOKUP(E460,Insumos!$C$5:$G$100,5,FALSE),0)</f>
        <v/>
      </c>
      <c r="I460" s="17">
        <f>F460*H460/IF(C460="molde",MAX(1,'Mi negocio'!$C$34),1)</f>
        <v/>
      </c>
    </row>
    <row r="461">
      <c r="A461" t="n">
        <v>31</v>
      </c>
      <c r="B461" s="21" t="inlineStr">
        <is>
          <t>Tiburón / Delfín Bicolor de Frambuesa Azul y Espuma Marshmallow (Two-Tone Blue Raspberry &amp; Marshmallow Foam Sea-Jelly)</t>
        </is>
      </c>
      <c r="C461" t="inlineStr">
        <is>
          <t>acabado</t>
        </is>
      </c>
      <c r="D461" s="22" t="inlineStr">
        <is>
          <t>2 g Aceite de coco fraccionado (MCT) con 0.15 g de cera de carnauba refinada</t>
        </is>
      </c>
      <c r="E461" s="6" t="inlineStr">
        <is>
          <t>Aceite de coco fraccionado (MCT)</t>
        </is>
      </c>
      <c r="F461" s="16" t="n">
        <v>2</v>
      </c>
      <c r="G461" t="inlineStr">
        <is>
          <t>ml</t>
        </is>
      </c>
      <c r="H461" s="12">
        <f>IFERROR(VLOOKUP(E461,Insumos!$C$5:$G$100,5,FALSE),0)</f>
        <v/>
      </c>
      <c r="I461" s="17">
        <f>F461*H461/IF(C461="molde",MAX(1,'Mi negocio'!$C$34),1)</f>
        <v/>
      </c>
    </row>
    <row r="462">
      <c r="A462" t="n">
        <v>32</v>
      </c>
      <c r="B462" s="21" t="inlineStr">
        <is>
          <t>Domo con Núcleo Líquido Inyectado de Fresa (Liquid-Center Co-Deposited Strawberry Lava Dome)</t>
        </is>
      </c>
      <c r="C462" t="inlineStr">
        <is>
          <t>gelificante</t>
        </is>
      </c>
      <c r="D462" s="22" t="inlineStr">
        <is>
          <t>32 g Gelatina en polvo de 250 Bloom</t>
        </is>
      </c>
      <c r="E462" s="6" t="inlineStr">
        <is>
          <t>Gelatina en polvo de 240-260 Bloom</t>
        </is>
      </c>
      <c r="F462" s="16" t="n">
        <v>32</v>
      </c>
      <c r="G462" t="inlineStr">
        <is>
          <t>g</t>
        </is>
      </c>
      <c r="H462" s="12">
        <f>IFERROR(VLOOKUP(E462,Insumos!$C$5:$G$100,5,FALSE),0)</f>
        <v/>
      </c>
      <c r="I462" s="17">
        <f>F462*H462/IF(C462="molde",MAX(1,'Mi negocio'!$C$34),1)</f>
        <v/>
      </c>
    </row>
    <row r="463">
      <c r="A463" t="n">
        <v>32</v>
      </c>
      <c r="B463" s="21" t="inlineStr">
        <is>
          <t>Domo con Núcleo Líquido Inyectado de Fresa (Liquid-Center Co-Deposited Strawberry Lava Dome)</t>
        </is>
      </c>
      <c r="C463" t="inlineStr">
        <is>
          <t>gelificante</t>
        </is>
      </c>
      <c r="D463" s="22" t="inlineStr">
        <is>
          <t>6.5 g Pectina de Alto Metoxilo lenta (HM Slow-Set)</t>
        </is>
      </c>
      <c r="E463" s="6" t="inlineStr">
        <is>
          <t>Pectina de alto metoxilo lenta (HM slow-set)</t>
        </is>
      </c>
      <c r="F463" s="16" t="n">
        <v>6.5</v>
      </c>
      <c r="G463" t="inlineStr">
        <is>
          <t>g</t>
        </is>
      </c>
      <c r="H463" s="12">
        <f>IFERROR(VLOOKUP(E463,Insumos!$C$5:$G$100,5,FALSE),0)</f>
        <v/>
      </c>
      <c r="I463" s="17">
        <f>F463*H463/IF(C463="molde",MAX(1,'Mi negocio'!$C$34),1)</f>
        <v/>
      </c>
    </row>
    <row r="464">
      <c r="A464" t="n">
        <v>32</v>
      </c>
      <c r="B464" s="21" t="inlineStr">
        <is>
          <t>Domo con Núcleo Líquido Inyectado de Fresa (Liquid-Center Co-Deposited Strawberry Lava Dome)</t>
        </is>
      </c>
      <c r="C464" t="inlineStr">
        <is>
          <t>azucar</t>
        </is>
      </c>
      <c r="D464" s="22" t="inlineStr">
        <is>
          <t>20 g Azúcar refinada (para dispersar la pectina)</t>
        </is>
      </c>
      <c r="E464" s="6" t="inlineStr">
        <is>
          <t>Azúcar blanca refinada</t>
        </is>
      </c>
      <c r="F464" s="16" t="n">
        <v>20</v>
      </c>
      <c r="G464" t="inlineStr">
        <is>
          <t>g</t>
        </is>
      </c>
      <c r="H464" s="12">
        <f>IFERROR(VLOOKUP(E464,Insumos!$C$5:$G$100,5,FALSE),0)</f>
        <v/>
      </c>
      <c r="I464" s="17">
        <f>F464*H464/IF(C464="molde",MAX(1,'Mi negocio'!$C$34),1)</f>
        <v/>
      </c>
    </row>
    <row r="465">
      <c r="A465" t="n">
        <v>32</v>
      </c>
      <c r="B465" s="21" t="inlineStr">
        <is>
          <t>Domo con Núcleo Líquido Inyectado de Fresa (Liquid-Center Co-Deposited Strawberry Lava Dome)</t>
        </is>
      </c>
      <c r="C465" t="inlineStr">
        <is>
          <t>sabor</t>
        </is>
      </c>
      <c r="D465" s="22" t="inlineStr">
        <is>
          <t>75 ml Agua desmineralizada a 15 °C (para la gelatina)</t>
        </is>
      </c>
      <c r="E465" s="6" t="inlineStr">
        <is>
          <t>Agua desmineralizada o purificada</t>
        </is>
      </c>
      <c r="F465" s="16" t="n">
        <v>75</v>
      </c>
      <c r="G465" t="inlineStr">
        <is>
          <t>ml</t>
        </is>
      </c>
      <c r="H465" s="12">
        <f>IFERROR(VLOOKUP(E465,Insumos!$C$5:$G$100,5,FALSE),0)</f>
        <v/>
      </c>
      <c r="I465" s="17">
        <f>F465*H465/IF(C465="molde",MAX(1,'Mi negocio'!$C$34),1)</f>
        <v/>
      </c>
    </row>
    <row r="466">
      <c r="A466" t="n">
        <v>32</v>
      </c>
      <c r="B466" s="21" t="inlineStr">
        <is>
          <t>Domo con Núcleo Líquido Inyectado de Fresa (Liquid-Center Co-Deposited Strawberry Lava Dome)</t>
        </is>
      </c>
      <c r="C466" t="inlineStr">
        <is>
          <t>sabor</t>
        </is>
      </c>
      <c r="D466" s="22" t="inlineStr">
        <is>
          <t>40 ml Agua purificada tibia (para la pectina)</t>
        </is>
      </c>
      <c r="E466" s="6" t="inlineStr">
        <is>
          <t>Agua desmineralizada o purificada</t>
        </is>
      </c>
      <c r="F466" s="16" t="n">
        <v>40</v>
      </c>
      <c r="G466" t="inlineStr">
        <is>
          <t>ml</t>
        </is>
      </c>
      <c r="H466" s="12">
        <f>IFERROR(VLOOKUP(E466,Insumos!$C$5:$G$100,5,FALSE),0)</f>
        <v/>
      </c>
      <c r="I466" s="17">
        <f>F466*H466/IF(C466="molde",MAX(1,'Mi negocio'!$C$34),1)</f>
        <v/>
      </c>
    </row>
    <row r="467">
      <c r="A467" t="n">
        <v>32</v>
      </c>
      <c r="B467" s="21" t="inlineStr">
        <is>
          <t>Domo con Núcleo Líquido Inyectado de Fresa (Liquid-Center Co-Deposited Strawberry Lava Dome)</t>
        </is>
      </c>
      <c r="C467" t="inlineStr">
        <is>
          <t>azucar</t>
        </is>
      </c>
      <c r="D467" s="22" t="inlineStr">
        <is>
          <t>150 g Azúcar blanca refinada pura</t>
        </is>
      </c>
      <c r="E467" s="6" t="inlineStr">
        <is>
          <t>Azúcar blanca refinada</t>
        </is>
      </c>
      <c r="F467" s="16" t="n">
        <v>150</v>
      </c>
      <c r="G467" t="inlineStr">
        <is>
          <t>g</t>
        </is>
      </c>
      <c r="H467" s="12">
        <f>IFERROR(VLOOKUP(E467,Insumos!$C$5:$G$100,5,FALSE),0)</f>
        <v/>
      </c>
      <c r="I467" s="17">
        <f>F467*H467/IF(C467="molde",MAX(1,'Mi negocio'!$C$34),1)</f>
        <v/>
      </c>
    </row>
    <row r="468">
      <c r="A468" t="n">
        <v>32</v>
      </c>
      <c r="B468" s="21" t="inlineStr">
        <is>
          <t>Domo con Núcleo Líquido Inyectado de Fresa (Liquid-Center Co-Deposited Strawberry Lava Dome)</t>
        </is>
      </c>
      <c r="C468" t="inlineStr">
        <is>
          <t>azucar</t>
        </is>
      </c>
      <c r="D468" s="22" t="inlineStr">
        <is>
          <t>120 g Jarabe de glucosa 42DE</t>
        </is>
      </c>
      <c r="E468" s="6" t="inlineStr">
        <is>
          <t>Jarabe de glucosa 42 DE</t>
        </is>
      </c>
      <c r="F468" s="16" t="n">
        <v>120</v>
      </c>
      <c r="G468" t="inlineStr">
        <is>
          <t>g</t>
        </is>
      </c>
      <c r="H468" s="12">
        <f>IFERROR(VLOOKUP(E468,Insumos!$C$5:$G$100,5,FALSE),0)</f>
        <v/>
      </c>
      <c r="I468" s="17">
        <f>F468*H468/IF(C468="molde",MAX(1,'Mi negocio'!$C$34),1)</f>
        <v/>
      </c>
    </row>
    <row r="469">
      <c r="A469" t="n">
        <v>32</v>
      </c>
      <c r="B469" s="21" t="inlineStr">
        <is>
          <t>Domo con Núcleo Líquido Inyectado de Fresa (Liquid-Center Co-Deposited Strawberry Lava Dome)</t>
        </is>
      </c>
      <c r="C469" t="inlineStr">
        <is>
          <t>azucar</t>
        </is>
      </c>
      <c r="D469" s="22" t="inlineStr">
        <is>
          <t>12 g Sorbitol líquido al 70%</t>
        </is>
      </c>
      <c r="E469" s="6" t="inlineStr">
        <is>
          <t>Sorbitol líquido al 70%</t>
        </is>
      </c>
      <c r="F469" s="16" t="n">
        <v>12</v>
      </c>
      <c r="G469" t="inlineStr">
        <is>
          <t>g</t>
        </is>
      </c>
      <c r="H469" s="12">
        <f>IFERROR(VLOOKUP(E469,Insumos!$C$5:$G$100,5,FALSE),0)</f>
        <v/>
      </c>
      <c r="I469" s="17">
        <f>F469*H469/IF(C469="molde",MAX(1,'Mi negocio'!$C$34),1)</f>
        <v/>
      </c>
    </row>
    <row r="470">
      <c r="A470" t="n">
        <v>32</v>
      </c>
      <c r="B470" s="21" t="inlineStr">
        <is>
          <t>Domo con Núcleo Líquido Inyectado de Fresa (Liquid-Center Co-Deposited Strawberry Lava Dome)</t>
        </is>
      </c>
      <c r="C470" t="inlineStr">
        <is>
          <t>sabor</t>
        </is>
      </c>
      <c r="D470" s="22" t="inlineStr">
        <is>
          <t>2 g Citrato de sodio</t>
        </is>
      </c>
      <c r="E470" s="6" t="inlineStr">
        <is>
          <t>Citrato de sodio dihidratado</t>
        </is>
      </c>
      <c r="F470" s="16" t="n">
        <v>2</v>
      </c>
      <c r="G470" t="inlineStr">
        <is>
          <t>g</t>
        </is>
      </c>
      <c r="H470" s="12">
        <f>IFERROR(VLOOKUP(E470,Insumos!$C$5:$G$100,5,FALSE),0)</f>
        <v/>
      </c>
      <c r="I470" s="17">
        <f>F470*H470/IF(C470="molde",MAX(1,'Mi negocio'!$C$34),1)</f>
        <v/>
      </c>
    </row>
    <row r="471">
      <c r="A471" t="n">
        <v>32</v>
      </c>
      <c r="B471" s="21" t="inlineStr">
        <is>
          <t>Domo con Núcleo Líquido Inyectado de Fresa (Liquid-Center Co-Deposited Strawberry Lava Dome)</t>
        </is>
      </c>
      <c r="C471" t="inlineStr">
        <is>
          <t>sabor</t>
        </is>
      </c>
      <c r="D471" s="22" t="inlineStr">
        <is>
          <t>6 ml Solución de ácido cítrico al 50% p/v</t>
        </is>
      </c>
      <c r="E471" s="6" t="inlineStr">
        <is>
          <t>Solución de ácido cítrico al 50% p/v (elaborada)</t>
        </is>
      </c>
      <c r="F471" s="16" t="n">
        <v>6</v>
      </c>
      <c r="G471" t="inlineStr">
        <is>
          <t>ml</t>
        </is>
      </c>
      <c r="H471" s="12">
        <f>IFERROR(VLOOKUP(E471,Insumos!$C$5:$G$100,5,FALSE),0)</f>
        <v/>
      </c>
      <c r="I471" s="17">
        <f>F471*H471/IF(C471="molde",MAX(1,'Mi negocio'!$C$34),1)</f>
        <v/>
      </c>
    </row>
    <row r="472">
      <c r="A472" t="n">
        <v>32</v>
      </c>
      <c r="B472" s="21" t="inlineStr">
        <is>
          <t>Domo con Núcleo Líquido Inyectado de Fresa (Liquid-Center Co-Deposited Strawberry Lava Dome)</t>
        </is>
      </c>
      <c r="C472" t="inlineStr">
        <is>
          <t>sabor</t>
        </is>
      </c>
      <c r="D472" s="22" t="inlineStr">
        <is>
          <t>1.5 ml Aroma natural de fresa madura</t>
        </is>
      </c>
      <c r="E472" s="6" t="inlineStr">
        <is>
          <t>Aroma natural hidrosoluble concentrado</t>
        </is>
      </c>
      <c r="F472" s="16" t="n">
        <v>1.5</v>
      </c>
      <c r="G472" t="inlineStr">
        <is>
          <t>ml</t>
        </is>
      </c>
      <c r="H472" s="12">
        <f>IFERROR(VLOOKUP(E472,Insumos!$C$5:$G$100,5,FALSE),0)</f>
        <v/>
      </c>
      <c r="I472" s="17">
        <f>F472*H472/IF(C472="molde",MAX(1,'Mi negocio'!$C$34),1)</f>
        <v/>
      </c>
    </row>
    <row r="473">
      <c r="A473" t="n">
        <v>32</v>
      </c>
      <c r="B473" s="21" t="inlineStr">
        <is>
          <t>Domo con Núcleo Líquido Inyectado de Fresa (Liquid-Center Co-Deposited Strawberry Lava Dome)</t>
        </is>
      </c>
      <c r="C473" t="inlineStr">
        <is>
          <t>sabor</t>
        </is>
      </c>
      <c r="D473" s="22" t="inlineStr">
        <is>
          <t>0.2 g Colorante rojo carmín hidrosoluble</t>
        </is>
      </c>
      <c r="E473" s="6" t="inlineStr">
        <is>
          <t>Colorante rojo carmín o allura hidrosoluble</t>
        </is>
      </c>
      <c r="F473" s="16" t="n">
        <v>0.2</v>
      </c>
      <c r="G473" t="inlineStr">
        <is>
          <t>g</t>
        </is>
      </c>
      <c r="H473" s="12">
        <f>IFERROR(VLOOKUP(E473,Insumos!$C$5:$G$100,5,FALSE),0)</f>
        <v/>
      </c>
      <c r="I473" s="17">
        <f>F473*H473/IF(C473="molde",MAX(1,'Mi negocio'!$C$34),1)</f>
        <v/>
      </c>
    </row>
    <row r="474">
      <c r="A474" t="n">
        <v>32</v>
      </c>
      <c r="B474" s="21" t="inlineStr">
        <is>
          <t>Domo con Núcleo Líquido Inyectado de Fresa (Liquid-Center Co-Deposited Strawberry Lava Dome)</t>
        </is>
      </c>
      <c r="C474" t="inlineStr">
        <is>
          <t>azucar</t>
        </is>
      </c>
      <c r="D474" s="22" t="inlineStr">
        <is>
          <t>45 g Jarabe de glucosa de alta fructosa o glucosa 60DE (alta fluidez y poder anticristalizante)</t>
        </is>
      </c>
      <c r="E474" s="6" t="inlineStr">
        <is>
          <t>Jarabe de glucosa 42 DE</t>
        </is>
      </c>
      <c r="F474" s="16" t="n">
        <v>45</v>
      </c>
      <c r="G474" t="inlineStr">
        <is>
          <t>g</t>
        </is>
      </c>
      <c r="H474" s="12">
        <f>IFERROR(VLOOKUP(E474,Insumos!$C$5:$G$100,5,FALSE),0)</f>
        <v/>
      </c>
      <c r="I474" s="17">
        <f>F474*H474/IF(C474="molde",MAX(1,'Mi negocio'!$C$34),1)</f>
        <v/>
      </c>
    </row>
    <row r="475">
      <c r="A475" t="n">
        <v>32</v>
      </c>
      <c r="B475" s="21" t="inlineStr">
        <is>
          <t>Domo con Núcleo Líquido Inyectado de Fresa (Liquid-Center Co-Deposited Strawberry Lava Dome)</t>
        </is>
      </c>
      <c r="C475" t="inlineStr">
        <is>
          <t>sabor</t>
        </is>
      </c>
      <c r="D475" s="22" t="inlineStr">
        <is>
          <t>35 g Puré concentrado de fresa silvestre tamizado fino a 50 mum (sin aquenios ni fibras)</t>
        </is>
      </c>
      <c r="E475" s="6" t="inlineStr">
        <is>
          <t>Puré concentrado de fresa o frambuesa sin semillas</t>
        </is>
      </c>
      <c r="F475" s="16" t="n">
        <v>35</v>
      </c>
      <c r="G475" t="inlineStr">
        <is>
          <t>g</t>
        </is>
      </c>
      <c r="H475" s="12">
        <f>IFERROR(VLOOKUP(E475,Insumos!$C$5:$G$100,5,FALSE),0)</f>
        <v/>
      </c>
      <c r="I475" s="17">
        <f>F475*H475/IF(C475="molde",MAX(1,'Mi negocio'!$C$34),1)</f>
        <v/>
      </c>
    </row>
    <row r="476">
      <c r="A476" t="n">
        <v>32</v>
      </c>
      <c r="B476" s="21" t="inlineStr">
        <is>
          <t>Domo con Núcleo Líquido Inyectado de Fresa (Liquid-Center Co-Deposited Strawberry Lava Dome)</t>
        </is>
      </c>
      <c r="C476" t="inlineStr">
        <is>
          <t>azucar</t>
        </is>
      </c>
      <c r="D476" s="22" t="inlineStr">
        <is>
          <t>25 g Azúcar blanca refinada</t>
        </is>
      </c>
      <c r="E476" s="6" t="inlineStr">
        <is>
          <t>Azúcar blanca refinada</t>
        </is>
      </c>
      <c r="F476" s="16" t="n">
        <v>25</v>
      </c>
      <c r="G476" t="inlineStr">
        <is>
          <t>g</t>
        </is>
      </c>
      <c r="H476" s="12">
        <f>IFERROR(VLOOKUP(E476,Insumos!$C$5:$G$100,5,FALSE),0)</f>
        <v/>
      </c>
      <c r="I476" s="17">
        <f>F476*H476/IF(C476="molde",MAX(1,'Mi negocio'!$C$34),1)</f>
        <v/>
      </c>
    </row>
    <row r="477">
      <c r="A477" t="n">
        <v>32</v>
      </c>
      <c r="B477" s="21" t="inlineStr">
        <is>
          <t>Domo con Núcleo Líquido Inyectado de Fresa (Liquid-Center Co-Deposited Strawberry Lava Dome)</t>
        </is>
      </c>
      <c r="C477" t="inlineStr">
        <is>
          <t>azucar</t>
        </is>
      </c>
      <c r="D477" s="22" t="inlineStr">
        <is>
          <t>12 g Glicerina vegetal pura grado alimenticio (baja la viscosidad y fija actividad de agua)</t>
        </is>
      </c>
      <c r="E477" s="6" t="inlineStr">
        <is>
          <t>Glicerina vegetal grado alimenticio</t>
        </is>
      </c>
      <c r="F477" s="16" t="n">
        <v>12</v>
      </c>
      <c r="G477" t="inlineStr">
        <is>
          <t>ml</t>
        </is>
      </c>
      <c r="H477" s="12">
        <f>IFERROR(VLOOKUP(E477,Insumos!$C$5:$G$100,5,FALSE),0)</f>
        <v/>
      </c>
      <c r="I477" s="17">
        <f>F477*H477/IF(C477="molde",MAX(1,'Mi negocio'!$C$34),1)</f>
        <v/>
      </c>
    </row>
    <row r="478">
      <c r="A478" t="n">
        <v>32</v>
      </c>
      <c r="B478" s="21" t="inlineStr">
        <is>
          <t>Domo con Núcleo Líquido Inyectado de Fresa (Liquid-Center Co-Deposited Strawberry Lava Dome)</t>
        </is>
      </c>
      <c r="C478" t="inlineStr">
        <is>
          <t>gelificante</t>
        </is>
      </c>
      <c r="D478" s="22" t="inlineStr">
        <is>
          <t>0.8 g Pectina de Bajo Metoxilo (LMA, actúa como agente tixotrópico que evita goteo sin cuajar)</t>
        </is>
      </c>
      <c r="E478" s="6" t="inlineStr">
        <is>
          <t>Pectina de bajo metoxilo amidada (LMA)</t>
        </is>
      </c>
      <c r="F478" s="16" t="n">
        <v>0.8</v>
      </c>
      <c r="G478" t="inlineStr">
        <is>
          <t>g</t>
        </is>
      </c>
      <c r="H478" s="12">
        <f>IFERROR(VLOOKUP(E478,Insumos!$C$5:$G$100,5,FALSE),0)</f>
        <v/>
      </c>
      <c r="I478" s="17">
        <f>F478*H478/IF(C478="molde",MAX(1,'Mi negocio'!$C$34),1)</f>
        <v/>
      </c>
    </row>
    <row r="479">
      <c r="A479" t="n">
        <v>32</v>
      </c>
      <c r="B479" s="21" t="inlineStr">
        <is>
          <t>Domo con Núcleo Líquido Inyectado de Fresa (Liquid-Center Co-Deposited Strawberry Lava Dome)</t>
        </is>
      </c>
      <c r="C479" t="inlineStr">
        <is>
          <t>sabor</t>
        </is>
      </c>
      <c r="D479" s="22" t="inlineStr">
        <is>
          <t>4 ml Solución de ácido málico al 50% p/v</t>
        </is>
      </c>
      <c r="E479" s="6" t="inlineStr">
        <is>
          <t>Ácido málico micronizado</t>
        </is>
      </c>
      <c r="F479" s="16" t="n">
        <v>4</v>
      </c>
      <c r="G479" t="inlineStr">
        <is>
          <t>g</t>
        </is>
      </c>
      <c r="H479" s="12">
        <f>IFERROR(VLOOKUP(E479,Insumos!$C$5:$G$100,5,FALSE),0)</f>
        <v/>
      </c>
      <c r="I479" s="17">
        <f>F479*H479/IF(C479="molde",MAX(1,'Mi negocio'!$C$34),1)</f>
        <v/>
      </c>
    </row>
    <row r="480">
      <c r="A480" t="n">
        <v>32</v>
      </c>
      <c r="B480" s="21" t="inlineStr">
        <is>
          <t>Domo con Núcleo Líquido Inyectado de Fresa (Liquid-Center Co-Deposited Strawberry Lava Dome)</t>
        </is>
      </c>
      <c r="C480" t="inlineStr">
        <is>
          <t>sabor</t>
        </is>
      </c>
      <c r="D480" s="22" t="inlineStr">
        <is>
          <t>1 ml Aroma concentrado de fresa salvaje</t>
        </is>
      </c>
      <c r="E480" s="6" t="inlineStr">
        <is>
          <t>Aroma natural hidrosoluble concentrado</t>
        </is>
      </c>
      <c r="F480" s="16" t="n">
        <v>1</v>
      </c>
      <c r="G480" t="inlineStr">
        <is>
          <t>ml</t>
        </is>
      </c>
      <c r="H480" s="12">
        <f>IFERROR(VLOOKUP(E480,Insumos!$C$5:$G$100,5,FALSE),0)</f>
        <v/>
      </c>
      <c r="I480" s="17">
        <f>F480*H480/IF(C480="molde",MAX(1,'Mi negocio'!$C$34),1)</f>
        <v/>
      </c>
    </row>
    <row r="481">
      <c r="A481" t="n">
        <v>32</v>
      </c>
      <c r="B481" s="21" t="inlineStr">
        <is>
          <t>Domo con Núcleo Líquido Inyectado de Fresa (Liquid-Center Co-Deposited Strawberry Lava Dome)</t>
        </is>
      </c>
      <c r="C481" t="inlineStr">
        <is>
          <t>sabor</t>
        </is>
      </c>
      <c r="D481" s="22" t="inlineStr">
        <is>
          <t>0.1 g Colorante rojo allura concentrado (núcleo rojo rubí intenso)</t>
        </is>
      </c>
      <c r="E481" s="6" t="inlineStr">
        <is>
          <t>Colorante rojo carmín o allura hidrosoluble</t>
        </is>
      </c>
      <c r="F481" s="16" t="n">
        <v>0.1</v>
      </c>
      <c r="G481" t="inlineStr">
        <is>
          <t>g</t>
        </is>
      </c>
      <c r="H481" s="12">
        <f>IFERROR(VLOOKUP(E481,Insumos!$C$5:$G$100,5,FALSE),0)</f>
        <v/>
      </c>
      <c r="I481" s="17">
        <f>F481*H481/IF(C481="molde",MAX(1,'Mi negocio'!$C$34),1)</f>
        <v/>
      </c>
    </row>
    <row r="482">
      <c r="A482" t="n">
        <v>32</v>
      </c>
      <c r="B482" s="21" t="inlineStr">
        <is>
          <t>Domo con Núcleo Líquido Inyectado de Fresa (Liquid-Center Co-Deposited Strawberry Lava Dome)</t>
        </is>
      </c>
      <c r="C482" t="inlineStr">
        <is>
          <t>acabado</t>
        </is>
      </c>
      <c r="D482" s="22" t="inlineStr">
        <is>
          <t>2 g Aceite de coco fraccionado (MCT) con cera de carnauba</t>
        </is>
      </c>
      <c r="E482" s="6" t="inlineStr">
        <is>
          <t>Aceite de coco fraccionado (MCT)</t>
        </is>
      </c>
      <c r="F482" s="16" t="n">
        <v>2</v>
      </c>
      <c r="G482" t="inlineStr">
        <is>
          <t>ml</t>
        </is>
      </c>
      <c r="H482" s="12">
        <f>IFERROR(VLOOKUP(E482,Insumos!$C$5:$G$100,5,FALSE),0)</f>
        <v/>
      </c>
      <c r="I482" s="17">
        <f>F482*H482/IF(C482="molde",MAX(1,'Mi negocio'!$C$34),1)</f>
        <v/>
      </c>
    </row>
    <row r="483">
      <c r="A483" t="n">
        <v>33</v>
      </c>
      <c r="B483" s="21" t="inlineStr">
        <is>
          <t>Sándwich Tricapa Napolitano de Fresa, Vainilla y Chocolate (Neapolitan Tri-Layer Marshmallow &amp; Gummy Sandwich)</t>
        </is>
      </c>
      <c r="C483" t="inlineStr">
        <is>
          <t>gelificante</t>
        </is>
      </c>
      <c r="D483" s="22" t="inlineStr">
        <is>
          <t>44 g Gelatina en polvo de res de 240 Bloom</t>
        </is>
      </c>
      <c r="E483" s="6" t="inlineStr">
        <is>
          <t>Gelatina en polvo de 240-260 Bloom</t>
        </is>
      </c>
      <c r="F483" s="16" t="n">
        <v>44</v>
      </c>
      <c r="G483" t="inlineStr">
        <is>
          <t>g</t>
        </is>
      </c>
      <c r="H483" s="12">
        <f>IFERROR(VLOOKUP(E483,Insumos!$C$5:$G$100,5,FALSE),0)</f>
        <v/>
      </c>
      <c r="I483" s="17">
        <f>F483*H483/IF(C483="molde",MAX(1,'Mi negocio'!$C$34),1)</f>
        <v/>
      </c>
    </row>
    <row r="484">
      <c r="A484" t="n">
        <v>33</v>
      </c>
      <c r="B484" s="21" t="inlineStr">
        <is>
          <t>Sándwich Tricapa Napolitano de Fresa, Vainilla y Chocolate (Neapolitan Tri-Layer Marshmallow &amp; Gummy Sandwich)</t>
        </is>
      </c>
      <c r="C484" t="inlineStr">
        <is>
          <t>sabor</t>
        </is>
      </c>
      <c r="D484" s="22" t="inlineStr">
        <is>
          <t>95 ml Agua desmineralizada a 15 °C</t>
        </is>
      </c>
      <c r="E484" s="6" t="inlineStr">
        <is>
          <t>Agua desmineralizada o purificada</t>
        </is>
      </c>
      <c r="F484" s="16" t="n">
        <v>95</v>
      </c>
      <c r="G484" t="inlineStr">
        <is>
          <t>ml</t>
        </is>
      </c>
      <c r="H484" s="12">
        <f>IFERROR(VLOOKUP(E484,Insumos!$C$5:$G$100,5,FALSE),0)</f>
        <v/>
      </c>
      <c r="I484" s="17">
        <f>F484*H484/IF(C484="molde",MAX(1,'Mi negocio'!$C$34),1)</f>
        <v/>
      </c>
    </row>
    <row r="485">
      <c r="A485" t="n">
        <v>33</v>
      </c>
      <c r="B485" s="21" t="inlineStr">
        <is>
          <t>Sándwich Tricapa Napolitano de Fresa, Vainilla y Chocolate (Neapolitan Tri-Layer Marshmallow &amp; Gummy Sandwich)</t>
        </is>
      </c>
      <c r="C485" t="inlineStr">
        <is>
          <t>azucar</t>
        </is>
      </c>
      <c r="D485" s="22" t="inlineStr">
        <is>
          <t>195 g Azúcar blanca refinada pura</t>
        </is>
      </c>
      <c r="E485" s="6" t="inlineStr">
        <is>
          <t>Azúcar blanca refinada</t>
        </is>
      </c>
      <c r="F485" s="16" t="n">
        <v>195</v>
      </c>
      <c r="G485" t="inlineStr">
        <is>
          <t>g</t>
        </is>
      </c>
      <c r="H485" s="12">
        <f>IFERROR(VLOOKUP(E485,Insumos!$C$5:$G$100,5,FALSE),0)</f>
        <v/>
      </c>
      <c r="I485" s="17">
        <f>F485*H485/IF(C485="molde",MAX(1,'Mi negocio'!$C$34),1)</f>
        <v/>
      </c>
    </row>
    <row r="486">
      <c r="A486" t="n">
        <v>33</v>
      </c>
      <c r="B486" s="21" t="inlineStr">
        <is>
          <t>Sándwich Tricapa Napolitano de Fresa, Vainilla y Chocolate (Neapolitan Tri-Layer Marshmallow &amp; Gummy Sandwich)</t>
        </is>
      </c>
      <c r="C486" t="inlineStr">
        <is>
          <t>azucar</t>
        </is>
      </c>
      <c r="D486" s="22" t="inlineStr">
        <is>
          <t>155 g Jarabe de glucosa 42DE</t>
        </is>
      </c>
      <c r="E486" s="6" t="inlineStr">
        <is>
          <t>Jarabe de glucosa 42 DE</t>
        </is>
      </c>
      <c r="F486" s="16" t="n">
        <v>155</v>
      </c>
      <c r="G486" t="inlineStr">
        <is>
          <t>g</t>
        </is>
      </c>
      <c r="H486" s="12">
        <f>IFERROR(VLOOKUP(E486,Insumos!$C$5:$G$100,5,FALSE),0)</f>
        <v/>
      </c>
      <c r="I486" s="17">
        <f>F486*H486/IF(C486="molde",MAX(1,'Mi negocio'!$C$34),1)</f>
        <v/>
      </c>
    </row>
    <row r="487">
      <c r="A487" t="n">
        <v>33</v>
      </c>
      <c r="B487" s="21" t="inlineStr">
        <is>
          <t>Sándwich Tricapa Napolitano de Fresa, Vainilla y Chocolate (Neapolitan Tri-Layer Marshmallow &amp; Gummy Sandwich)</t>
        </is>
      </c>
      <c r="C487" t="inlineStr">
        <is>
          <t>sabor</t>
        </is>
      </c>
      <c r="D487" s="22" t="inlineStr">
        <is>
          <t>50 ml Agua purificada limpia</t>
        </is>
      </c>
      <c r="E487" s="6" t="inlineStr">
        <is>
          <t>Agua desmineralizada o purificada</t>
        </is>
      </c>
      <c r="F487" s="16" t="n">
        <v>50</v>
      </c>
      <c r="G487" t="inlineStr">
        <is>
          <t>ml</t>
        </is>
      </c>
      <c r="H487" s="12">
        <f>IFERROR(VLOOKUP(E487,Insumos!$C$5:$G$100,5,FALSE),0)</f>
        <v/>
      </c>
      <c r="I487" s="17">
        <f>F487*H487/IF(C487="molde",MAX(1,'Mi negocio'!$C$34),1)</f>
        <v/>
      </c>
    </row>
    <row r="488">
      <c r="A488" t="n">
        <v>33</v>
      </c>
      <c r="B488" s="21" t="inlineStr">
        <is>
          <t>Sándwich Tricapa Napolitano de Fresa, Vainilla y Chocolate (Neapolitan Tri-Layer Marshmallow &amp; Gummy Sandwich)</t>
        </is>
      </c>
      <c r="C488" t="inlineStr">
        <is>
          <t>azucar</t>
        </is>
      </c>
      <c r="D488" s="22" t="inlineStr">
        <is>
          <t>12 g Sorbitol líquido al 70%</t>
        </is>
      </c>
      <c r="E488" s="6" t="inlineStr">
        <is>
          <t>Sorbitol líquido al 70%</t>
        </is>
      </c>
      <c r="F488" s="16" t="n">
        <v>12</v>
      </c>
      <c r="G488" t="inlineStr">
        <is>
          <t>g</t>
        </is>
      </c>
      <c r="H488" s="12">
        <f>IFERROR(VLOOKUP(E488,Insumos!$C$5:$G$100,5,FALSE),0)</f>
        <v/>
      </c>
      <c r="I488" s="17">
        <f>F488*H488/IF(C488="molde",MAX(1,'Mi negocio'!$C$34),1)</f>
        <v/>
      </c>
    </row>
    <row r="489">
      <c r="A489" t="n">
        <v>33</v>
      </c>
      <c r="B489" s="21" t="inlineStr">
        <is>
          <t>Sándwich Tricapa Napolitano de Fresa, Vainilla y Chocolate (Neapolitan Tri-Layer Marshmallow &amp; Gummy Sandwich)</t>
        </is>
      </c>
      <c r="C489" t="inlineStr">
        <is>
          <t>sabor</t>
        </is>
      </c>
      <c r="D489" s="22" t="inlineStr">
        <is>
          <t>2 g Citrato de sodio</t>
        </is>
      </c>
      <c r="E489" s="6" t="inlineStr">
        <is>
          <t>Citrato de sodio dihidratado</t>
        </is>
      </c>
      <c r="F489" s="16" t="n">
        <v>2</v>
      </c>
      <c r="G489" t="inlineStr">
        <is>
          <t>g</t>
        </is>
      </c>
      <c r="H489" s="12">
        <f>IFERROR(VLOOKUP(E489,Insumos!$C$5:$G$100,5,FALSE),0)</f>
        <v/>
      </c>
      <c r="I489" s="17">
        <f>F489*H489/IF(C489="molde",MAX(1,'Mi negocio'!$C$34),1)</f>
        <v/>
      </c>
    </row>
    <row r="490">
      <c r="A490" t="n">
        <v>33</v>
      </c>
      <c r="B490" s="21" t="inlineStr">
        <is>
          <t>Sándwich Tricapa Napolitano de Fresa, Vainilla y Chocolate (Neapolitan Tri-Layer Marshmallow &amp; Gummy Sandwich)</t>
        </is>
      </c>
      <c r="C490" t="inlineStr">
        <is>
          <t>sabor</t>
        </is>
      </c>
      <c r="D490" s="22" t="inlineStr">
        <is>
          <t>3 ml Solución de ácido cítrico al 50% p/v</t>
        </is>
      </c>
      <c r="E490" s="6" t="inlineStr">
        <is>
          <t>Solución de ácido cítrico al 50% p/v (elaborada)</t>
        </is>
      </c>
      <c r="F490" s="16" t="n">
        <v>3</v>
      </c>
      <c r="G490" t="inlineStr">
        <is>
          <t>ml</t>
        </is>
      </c>
      <c r="H490" s="12">
        <f>IFERROR(VLOOKUP(E490,Insumos!$C$5:$G$100,5,FALSE),0)</f>
        <v/>
      </c>
      <c r="I490" s="17">
        <f>F490*H490/IF(C490="molde",MAX(1,'Mi negocio'!$C$34),1)</f>
        <v/>
      </c>
    </row>
    <row r="491">
      <c r="A491" t="n">
        <v>33</v>
      </c>
      <c r="B491" s="21" t="inlineStr">
        <is>
          <t>Sándwich Tricapa Napolitano de Fresa, Vainilla y Chocolate (Neapolitan Tri-Layer Marshmallow &amp; Gummy Sandwich)</t>
        </is>
      </c>
      <c r="C491" t="inlineStr">
        <is>
          <t>sabor</t>
        </is>
      </c>
      <c r="D491" s="22" t="inlineStr">
        <is>
          <t>1 ml Aroma natural concentrado de fresa silvestre</t>
        </is>
      </c>
      <c r="E491" s="6" t="inlineStr">
        <is>
          <t>Aroma natural hidrosoluble concentrado</t>
        </is>
      </c>
      <c r="F491" s="16" t="n">
        <v>1</v>
      </c>
      <c r="G491" t="inlineStr">
        <is>
          <t>ml</t>
        </is>
      </c>
      <c r="H491" s="12">
        <f>IFERROR(VLOOKUP(E491,Insumos!$C$5:$G$100,5,FALSE),0)</f>
        <v/>
      </c>
      <c r="I491" s="17">
        <f>F491*H491/IF(C491="molde",MAX(1,'Mi negocio'!$C$34),1)</f>
        <v/>
      </c>
    </row>
    <row r="492">
      <c r="A492" t="n">
        <v>33</v>
      </c>
      <c r="B492" s="21" t="inlineStr">
        <is>
          <t>Sándwich Tricapa Napolitano de Fresa, Vainilla y Chocolate (Neapolitan Tri-Layer Marshmallow &amp; Gummy Sandwich)</t>
        </is>
      </c>
      <c r="C492" t="inlineStr">
        <is>
          <t>sabor</t>
        </is>
      </c>
      <c r="D492" s="22" t="inlineStr">
        <is>
          <t>0.1 g Colorante rojo carmín</t>
        </is>
      </c>
      <c r="E492" s="6" t="inlineStr">
        <is>
          <t>Colorante rojo carmín o allura hidrosoluble</t>
        </is>
      </c>
      <c r="F492" s="16" t="n">
        <v>0.1</v>
      </c>
      <c r="G492" t="inlineStr">
        <is>
          <t>g</t>
        </is>
      </c>
      <c r="H492" s="12">
        <f>IFERROR(VLOOKUP(E492,Insumos!$C$5:$G$100,5,FALSE),0)</f>
        <v/>
      </c>
      <c r="I492" s="17">
        <f>F492*H492/IF(C492="molde",MAX(1,'Mi negocio'!$C$34),1)</f>
        <v/>
      </c>
    </row>
    <row r="493">
      <c r="A493" t="n">
        <v>33</v>
      </c>
      <c r="B493" s="21" t="inlineStr">
        <is>
          <t>Sándwich Tricapa Napolitano de Fresa, Vainilla y Chocolate (Neapolitan Tri-Layer Marshmallow &amp; Gummy Sandwich)</t>
        </is>
      </c>
      <c r="C493" t="inlineStr">
        <is>
          <t>sabor</t>
        </is>
      </c>
      <c r="D493" s="22" t="inlineStr">
        <is>
          <t>1.5 ml Solución de ácido cítrico al 50% p/v</t>
        </is>
      </c>
      <c r="E493" s="6" t="inlineStr">
        <is>
          <t>Solución de ácido cítrico al 50% p/v (elaborada)</t>
        </is>
      </c>
      <c r="F493" s="16" t="n">
        <v>1.5</v>
      </c>
      <c r="G493" t="inlineStr">
        <is>
          <t>ml</t>
        </is>
      </c>
      <c r="H493" s="12">
        <f>IFERROR(VLOOKUP(E493,Insumos!$C$5:$G$100,5,FALSE),0)</f>
        <v/>
      </c>
      <c r="I493" s="17">
        <f>F493*H493/IF(C493="molde",MAX(1,'Mi negocio'!$C$34),1)</f>
        <v/>
      </c>
    </row>
    <row r="494">
      <c r="A494" t="n">
        <v>33</v>
      </c>
      <c r="B494" s="21" t="inlineStr">
        <is>
          <t>Sándwich Tricapa Napolitano de Fresa, Vainilla y Chocolate (Neapolitan Tri-Layer Marshmallow &amp; Gummy Sandwich)</t>
        </is>
      </c>
      <c r="C494" t="inlineStr">
        <is>
          <t>sabor</t>
        </is>
      </c>
      <c r="D494" s="22" t="inlineStr">
        <is>
          <t>1.2 ml Extracto natural puro de vainilla de Papantla</t>
        </is>
      </c>
      <c r="E494" s="6" t="inlineStr">
        <is>
          <t>Extracto puro natural de vainilla</t>
        </is>
      </c>
      <c r="F494" s="16" t="n">
        <v>1.2</v>
      </c>
      <c r="G494" t="inlineStr">
        <is>
          <t>ml</t>
        </is>
      </c>
      <c r="H494" s="12">
        <f>IFERROR(VLOOKUP(E494,Insumos!$C$5:$G$100,5,FALSE),0)</f>
        <v/>
      </c>
      <c r="I494" s="17">
        <f>F494*H494/IF(C494="molde",MAX(1,'Mi negocio'!$C$34),1)</f>
        <v/>
      </c>
    </row>
    <row r="495">
      <c r="A495" t="n">
        <v>33</v>
      </c>
      <c r="B495" s="21" t="inlineStr">
        <is>
          <t>Sándwich Tricapa Napolitano de Fresa, Vainilla y Chocolate (Neapolitan Tri-Layer Marshmallow &amp; Gummy Sandwich)</t>
        </is>
      </c>
      <c r="C495" t="inlineStr">
        <is>
          <t>sabor</t>
        </is>
      </c>
      <c r="D495" s="22" t="inlineStr">
        <is>
          <t>0.3 g Dióxido de titanio (blanco nube)</t>
        </is>
      </c>
      <c r="E495" s="6" t="inlineStr">
        <is>
          <t>Dióxido de titanio o blanco alimentario</t>
        </is>
      </c>
      <c r="F495" s="16" t="n">
        <v>0.3</v>
      </c>
      <c r="G495" t="inlineStr">
        <is>
          <t>g</t>
        </is>
      </c>
      <c r="H495" s="12">
        <f>IFERROR(VLOOKUP(E495,Insumos!$C$5:$G$100,5,FALSE),0)</f>
        <v/>
      </c>
      <c r="I495" s="17">
        <f>F495*H495/IF(C495="molde",MAX(1,'Mi negocio'!$C$34),1)</f>
        <v/>
      </c>
    </row>
    <row r="496">
      <c r="A496" t="n">
        <v>33</v>
      </c>
      <c r="B496" s="21" t="inlineStr">
        <is>
          <t>Sándwich Tricapa Napolitano de Fresa, Vainilla y Chocolate (Neapolitan Tri-Layer Marshmallow &amp; Gummy Sandwich)</t>
        </is>
      </c>
      <c r="C496" t="inlineStr">
        <is>
          <t>sabor</t>
        </is>
      </c>
      <c r="D496" s="22" t="inlineStr">
        <is>
          <t>12 g Cacao puro en polvo alcalinizado (22% - 24% MG, disuelto previamente en 20 ml de agua tibia)</t>
        </is>
      </c>
      <c r="E496" s="6" t="inlineStr">
        <is>
          <t>Cacao puro en polvo alcalinizado (22-24% MG)</t>
        </is>
      </c>
      <c r="F496" s="16" t="n">
        <v>12</v>
      </c>
      <c r="G496" t="inlineStr">
        <is>
          <t>g</t>
        </is>
      </c>
      <c r="H496" s="12">
        <f>IFERROR(VLOOKUP(E496,Insumos!$C$5:$G$100,5,FALSE),0)</f>
        <v/>
      </c>
      <c r="I496" s="17">
        <f>F496*H496/IF(C496="molde",MAX(1,'Mi negocio'!$C$34),1)</f>
        <v/>
      </c>
    </row>
    <row r="497">
      <c r="A497" t="n">
        <v>33</v>
      </c>
      <c r="B497" s="21" t="inlineStr">
        <is>
          <t>Sándwich Tricapa Napolitano de Fresa, Vainilla y Chocolate (Neapolitan Tri-Layer Marshmallow &amp; Gummy Sandwich)</t>
        </is>
      </c>
      <c r="C497" t="inlineStr">
        <is>
          <t>sabor</t>
        </is>
      </c>
      <c r="D497" s="22" t="inlineStr">
        <is>
          <t>1 ml Aroma natural de chocolate amargo</t>
        </is>
      </c>
      <c r="E497" s="6" t="inlineStr">
        <is>
          <t>Aroma natural hidrosoluble concentrado</t>
        </is>
      </c>
      <c r="F497" s="16" t="n">
        <v>1</v>
      </c>
      <c r="G497" t="inlineStr">
        <is>
          <t>ml</t>
        </is>
      </c>
      <c r="H497" s="12">
        <f>IFERROR(VLOOKUP(E497,Insumos!$C$5:$G$100,5,FALSE),0)</f>
        <v/>
      </c>
      <c r="I497" s="17">
        <f>F497*H497/IF(C497="molde",MAX(1,'Mi negocio'!$C$34),1)</f>
        <v/>
      </c>
    </row>
    <row r="498">
      <c r="A498" t="n">
        <v>34</v>
      </c>
      <c r="B498" s="21" t="inlineStr">
        <is>
          <t>Perla Encapsulada con Esfera de Isomalt y Núcleo Semilíquido (Suspended Geode Pearl with Semi-Liquid Core)</t>
        </is>
      </c>
      <c r="C498" t="inlineStr">
        <is>
          <t>gelificante</t>
        </is>
      </c>
      <c r="D498" s="22" t="inlineStr">
        <is>
          <t>30 g Gelatina en polvo de 260 Bloom</t>
        </is>
      </c>
      <c r="E498" s="6" t="inlineStr">
        <is>
          <t>Gelatina en polvo de 240-260 Bloom</t>
        </is>
      </c>
      <c r="F498" s="16" t="n">
        <v>30</v>
      </c>
      <c r="G498" t="inlineStr">
        <is>
          <t>g</t>
        </is>
      </c>
      <c r="H498" s="12">
        <f>IFERROR(VLOOKUP(E498,Insumos!$C$5:$G$100,5,FALSE),0)</f>
        <v/>
      </c>
      <c r="I498" s="17">
        <f>F498*H498/IF(C498="molde",MAX(1,'Mi negocio'!$C$34),1)</f>
        <v/>
      </c>
    </row>
    <row r="499">
      <c r="A499" t="n">
        <v>34</v>
      </c>
      <c r="B499" s="21" t="inlineStr">
        <is>
          <t>Perla Encapsulada con Esfera de Isomalt y Núcleo Semilíquido (Suspended Geode Pearl with Semi-Liquid Core)</t>
        </is>
      </c>
      <c r="C499" t="inlineStr">
        <is>
          <t>sabor</t>
        </is>
      </c>
      <c r="D499" s="22" t="inlineStr">
        <is>
          <t>70 ml Agua desmineralizada a 12 °C</t>
        </is>
      </c>
      <c r="E499" s="6" t="inlineStr">
        <is>
          <t>Agua desmineralizada o purificada</t>
        </is>
      </c>
      <c r="F499" s="16" t="n">
        <v>70</v>
      </c>
      <c r="G499" t="inlineStr">
        <is>
          <t>ml</t>
        </is>
      </c>
      <c r="H499" s="12">
        <f>IFERROR(VLOOKUP(E499,Insumos!$C$5:$G$100,5,FALSE),0)</f>
        <v/>
      </c>
      <c r="I499" s="17">
        <f>F499*H499/IF(C499="molde",MAX(1,'Mi negocio'!$C$34),1)</f>
        <v/>
      </c>
    </row>
    <row r="500">
      <c r="A500" t="n">
        <v>34</v>
      </c>
      <c r="B500" s="21" t="inlineStr">
        <is>
          <t>Perla Encapsulada con Esfera de Isomalt y Núcleo Semilíquido (Suspended Geode Pearl with Semi-Liquid Core)</t>
        </is>
      </c>
      <c r="C500" t="inlineStr">
        <is>
          <t>azucar</t>
        </is>
      </c>
      <c r="D500" s="22" t="inlineStr">
        <is>
          <t>140 g Azúcar blanca refinada pura</t>
        </is>
      </c>
      <c r="E500" s="6" t="inlineStr">
        <is>
          <t>Azúcar blanca refinada</t>
        </is>
      </c>
      <c r="F500" s="16" t="n">
        <v>140</v>
      </c>
      <c r="G500" t="inlineStr">
        <is>
          <t>g</t>
        </is>
      </c>
      <c r="H500" s="12">
        <f>IFERROR(VLOOKUP(E500,Insumos!$C$5:$G$100,5,FALSE),0)</f>
        <v/>
      </c>
      <c r="I500" s="17">
        <f>F500*H500/IF(C500="molde",MAX(1,'Mi negocio'!$C$34),1)</f>
        <v/>
      </c>
    </row>
    <row r="501">
      <c r="A501" t="n">
        <v>34</v>
      </c>
      <c r="B501" s="21" t="inlineStr">
        <is>
          <t>Perla Encapsulada con Esfera de Isomalt y Núcleo Semilíquido (Suspended Geode Pearl with Semi-Liquid Core)</t>
        </is>
      </c>
      <c r="C501" t="inlineStr">
        <is>
          <t>azucar</t>
        </is>
      </c>
      <c r="D501" s="22" t="inlineStr">
        <is>
          <t>110 g Jarabe de glucosa 42DE</t>
        </is>
      </c>
      <c r="E501" s="6" t="inlineStr">
        <is>
          <t>Jarabe de glucosa 42 DE</t>
        </is>
      </c>
      <c r="F501" s="16" t="n">
        <v>110</v>
      </c>
      <c r="G501" t="inlineStr">
        <is>
          <t>g</t>
        </is>
      </c>
      <c r="H501" s="12">
        <f>IFERROR(VLOOKUP(E501,Insumos!$C$5:$G$100,5,FALSE),0)</f>
        <v/>
      </c>
      <c r="I501" s="17">
        <f>F501*H501/IF(C501="molde",MAX(1,'Mi negocio'!$C$34),1)</f>
        <v/>
      </c>
    </row>
    <row r="502">
      <c r="A502" t="n">
        <v>34</v>
      </c>
      <c r="B502" s="21" t="inlineStr">
        <is>
          <t>Perla Encapsulada con Esfera de Isomalt y Núcleo Semilíquido (Suspended Geode Pearl with Semi-Liquid Core)</t>
        </is>
      </c>
      <c r="C502" t="inlineStr">
        <is>
          <t>sabor</t>
        </is>
      </c>
      <c r="D502" s="22" t="inlineStr">
        <is>
          <t>35 ml Agua purificada limpia</t>
        </is>
      </c>
      <c r="E502" s="6" t="inlineStr">
        <is>
          <t>Agua desmineralizada o purificada</t>
        </is>
      </c>
      <c r="F502" s="16" t="n">
        <v>35</v>
      </c>
      <c r="G502" t="inlineStr">
        <is>
          <t>ml</t>
        </is>
      </c>
      <c r="H502" s="12">
        <f>IFERROR(VLOOKUP(E502,Insumos!$C$5:$G$100,5,FALSE),0)</f>
        <v/>
      </c>
      <c r="I502" s="17">
        <f>F502*H502/IF(C502="molde",MAX(1,'Mi negocio'!$C$34),1)</f>
        <v/>
      </c>
    </row>
    <row r="503">
      <c r="A503" t="n">
        <v>34</v>
      </c>
      <c r="B503" s="21" t="inlineStr">
        <is>
          <t>Perla Encapsulada con Esfera de Isomalt y Núcleo Semilíquido (Suspended Geode Pearl with Semi-Liquid Core)</t>
        </is>
      </c>
      <c r="C503" t="inlineStr">
        <is>
          <t>azucar</t>
        </is>
      </c>
      <c r="D503" s="22" t="inlineStr">
        <is>
          <t>10 g Sorbitol líquido al 70%</t>
        </is>
      </c>
      <c r="E503" s="6" t="inlineStr">
        <is>
          <t>Sorbitol líquido al 70%</t>
        </is>
      </c>
      <c r="F503" s="16" t="n">
        <v>10</v>
      </c>
      <c r="G503" t="inlineStr">
        <is>
          <t>g</t>
        </is>
      </c>
      <c r="H503" s="12">
        <f>IFERROR(VLOOKUP(E503,Insumos!$C$5:$G$100,5,FALSE),0)</f>
        <v/>
      </c>
      <c r="I503" s="17">
        <f>F503*H503/IF(C503="molde",MAX(1,'Mi negocio'!$C$34),1)</f>
        <v/>
      </c>
    </row>
    <row r="504">
      <c r="A504" t="n">
        <v>34</v>
      </c>
      <c r="B504" s="21" t="inlineStr">
        <is>
          <t>Perla Encapsulada con Esfera de Isomalt y Núcleo Semilíquido (Suspended Geode Pearl with Semi-Liquid Core)</t>
        </is>
      </c>
      <c r="C504" t="inlineStr">
        <is>
          <t>sabor</t>
        </is>
      </c>
      <c r="D504" s="22" t="inlineStr">
        <is>
          <t>1.5 g Citrato de sodio</t>
        </is>
      </c>
      <c r="E504" s="6" t="inlineStr">
        <is>
          <t>Citrato de sodio dihidratado</t>
        </is>
      </c>
      <c r="F504" s="16" t="n">
        <v>1.5</v>
      </c>
      <c r="G504" t="inlineStr">
        <is>
          <t>g</t>
        </is>
      </c>
      <c r="H504" s="12">
        <f>IFERROR(VLOOKUP(E504,Insumos!$C$5:$G$100,5,FALSE),0)</f>
        <v/>
      </c>
      <c r="I504" s="17">
        <f>F504*H504/IF(C504="molde",MAX(1,'Mi negocio'!$C$34),1)</f>
        <v/>
      </c>
    </row>
    <row r="505">
      <c r="A505" t="n">
        <v>34</v>
      </c>
      <c r="B505" s="21" t="inlineStr">
        <is>
          <t>Perla Encapsulada con Esfera de Isomalt y Núcleo Semilíquido (Suspended Geode Pearl with Semi-Liquid Core)</t>
        </is>
      </c>
      <c r="C505" t="inlineStr">
        <is>
          <t>sabor</t>
        </is>
      </c>
      <c r="D505" s="22" t="inlineStr">
        <is>
          <t>5 ml Solución de ácido málico al 50% p/v</t>
        </is>
      </c>
      <c r="E505" s="6" t="inlineStr">
        <is>
          <t>Ácido málico micronizado</t>
        </is>
      </c>
      <c r="F505" s="16" t="n">
        <v>5</v>
      </c>
      <c r="G505" t="inlineStr">
        <is>
          <t>g</t>
        </is>
      </c>
      <c r="H505" s="12">
        <f>IFERROR(VLOOKUP(E505,Insumos!$C$5:$G$100,5,FALSE),0)</f>
        <v/>
      </c>
      <c r="I505" s="17">
        <f>F505*H505/IF(C505="molde",MAX(1,'Mi negocio'!$C$34),1)</f>
        <v/>
      </c>
    </row>
    <row r="506">
      <c r="A506" t="n">
        <v>34</v>
      </c>
      <c r="B506" s="21" t="inlineStr">
        <is>
          <t>Perla Encapsulada con Esfera de Isomalt y Núcleo Semilíquido (Suspended Geode Pearl with Semi-Liquid Core)</t>
        </is>
      </c>
      <c r="C506" t="inlineStr">
        <is>
          <t>sabor</t>
        </is>
      </c>
      <c r="D506" s="22" t="inlineStr">
        <is>
          <t>1.2 ml Aroma natural de uva Moscatel blanca</t>
        </is>
      </c>
      <c r="E506" s="6" t="inlineStr">
        <is>
          <t>Aroma natural hidrosoluble concentrado</t>
        </is>
      </c>
      <c r="F506" s="16" t="n">
        <v>1.2</v>
      </c>
      <c r="G506" t="inlineStr">
        <is>
          <t>ml</t>
        </is>
      </c>
      <c r="H506" s="12">
        <f>IFERROR(VLOOKUP(E506,Insumos!$C$5:$G$100,5,FALSE),0)</f>
        <v/>
      </c>
      <c r="I506" s="17">
        <f>F506*H506/IF(C506="molde",MAX(1,'Mi negocio'!$C$34),1)</f>
        <v/>
      </c>
    </row>
    <row r="507">
      <c r="A507" t="n">
        <v>34</v>
      </c>
      <c r="B507" s="21" t="inlineStr">
        <is>
          <t>Perla Encapsulada con Esfera de Isomalt y Núcleo Semilíquido (Suspended Geode Pearl with Semi-Liquid Core)</t>
        </is>
      </c>
      <c r="C507" t="inlineStr">
        <is>
          <t>sabor</t>
        </is>
      </c>
      <c r="D507" s="22" t="inlineStr">
        <is>
          <t>0.05 g Colorante azul brillante muy diluido (azul aguamarina transparente)</t>
        </is>
      </c>
      <c r="E507" s="6" t="inlineStr">
        <is>
          <t>Colorante azul brillante hidrosoluble</t>
        </is>
      </c>
      <c r="F507" s="16" t="n">
        <v>0.05</v>
      </c>
      <c r="G507" t="inlineStr">
        <is>
          <t>g</t>
        </is>
      </c>
      <c r="H507" s="12">
        <f>IFERROR(VLOOKUP(E507,Insumos!$C$5:$G$100,5,FALSE),0)</f>
        <v/>
      </c>
      <c r="I507" s="17">
        <f>F507*H507/IF(C507="molde",MAX(1,'Mi negocio'!$C$34),1)</f>
        <v/>
      </c>
    </row>
    <row r="508">
      <c r="A508" t="n">
        <v>34</v>
      </c>
      <c r="B508" s="21" t="inlineStr">
        <is>
          <t>Perla Encapsulada con Esfera de Isomalt y Núcleo Semilíquido (Suspended Geode Pearl with Semi-Liquid Core)</t>
        </is>
      </c>
      <c r="C508" t="inlineStr">
        <is>
          <t>azucar</t>
        </is>
      </c>
      <c r="D508" s="22" t="inlineStr">
        <is>
          <t>50 g Jarabe de glucosa 60DE</t>
        </is>
      </c>
      <c r="E508" s="6" t="inlineStr">
        <is>
          <t>Jarabe de glucosa 60 DE de alta fluidez</t>
        </is>
      </c>
      <c r="F508" s="16" t="n">
        <v>50</v>
      </c>
      <c r="G508" t="inlineStr">
        <is>
          <t>g</t>
        </is>
      </c>
      <c r="H508" s="12">
        <f>IFERROR(VLOOKUP(E508,Insumos!$C$5:$G$100,5,FALSE),0)</f>
        <v/>
      </c>
      <c r="I508" s="17">
        <f>F508*H508/IF(C508="molde",MAX(1,'Mi negocio'!$C$34),1)</f>
        <v/>
      </c>
    </row>
    <row r="509">
      <c r="A509" t="n">
        <v>34</v>
      </c>
      <c r="B509" s="21" t="inlineStr">
        <is>
          <t>Perla Encapsulada con Esfera de Isomalt y Núcleo Semilíquido (Suspended Geode Pearl with Semi-Liquid Core)</t>
        </is>
      </c>
      <c r="C509" t="inlineStr">
        <is>
          <t>sabor</t>
        </is>
      </c>
      <c r="D509" s="22" t="inlineStr">
        <is>
          <t>35 g Concentrado clarificado de mora azul / arándano</t>
        </is>
      </c>
      <c r="E509" s="6" t="inlineStr">
        <is>
          <t>Puré concentrado de zarzamora, mora azul o grosella</t>
        </is>
      </c>
      <c r="F509" s="16" t="n">
        <v>35</v>
      </c>
      <c r="G509" t="inlineStr">
        <is>
          <t>g</t>
        </is>
      </c>
      <c r="H509" s="12">
        <f>IFERROR(VLOOKUP(E509,Insumos!$C$5:$G$100,5,FALSE),0)</f>
        <v/>
      </c>
      <c r="I509" s="17">
        <f>F509*H509/IF(C509="molde",MAX(1,'Mi negocio'!$C$34),1)</f>
        <v/>
      </c>
    </row>
    <row r="510">
      <c r="A510" t="n">
        <v>34</v>
      </c>
      <c r="B510" s="21" t="inlineStr">
        <is>
          <t>Perla Encapsulada con Esfera de Isomalt y Núcleo Semilíquido (Suspended Geode Pearl with Semi-Liquid Core)</t>
        </is>
      </c>
      <c r="C510" t="inlineStr">
        <is>
          <t>azucar</t>
        </is>
      </c>
      <c r="D510" s="22" t="inlineStr">
        <is>
          <t>20 g Azúcar refinada</t>
        </is>
      </c>
      <c r="E510" s="6" t="inlineStr">
        <is>
          <t>Azúcar blanca refinada</t>
        </is>
      </c>
      <c r="F510" s="16" t="n">
        <v>20</v>
      </c>
      <c r="G510" t="inlineStr">
        <is>
          <t>g</t>
        </is>
      </c>
      <c r="H510" s="12">
        <f>IFERROR(VLOOKUP(E510,Insumos!$C$5:$G$100,5,FALSE),0)</f>
        <v/>
      </c>
      <c r="I510" s="17">
        <f>F510*H510/IF(C510="molde",MAX(1,'Mi negocio'!$C$34),1)</f>
        <v/>
      </c>
    </row>
    <row r="511">
      <c r="A511" t="n">
        <v>34</v>
      </c>
      <c r="B511" s="21" t="inlineStr">
        <is>
          <t>Perla Encapsulada con Esfera de Isomalt y Núcleo Semilíquido (Suspended Geode Pearl with Semi-Liquid Core)</t>
        </is>
      </c>
      <c r="C511" t="inlineStr">
        <is>
          <t>azucar</t>
        </is>
      </c>
      <c r="D511" s="22" t="inlineStr">
        <is>
          <t>12 g Glicerina vegetal pura</t>
        </is>
      </c>
      <c r="E511" s="6" t="inlineStr">
        <is>
          <t>Glicerina vegetal grado alimenticio</t>
        </is>
      </c>
      <c r="F511" s="16" t="n">
        <v>12</v>
      </c>
      <c r="G511" t="inlineStr">
        <is>
          <t>ml</t>
        </is>
      </c>
      <c r="H511" s="12">
        <f>IFERROR(VLOOKUP(E511,Insumos!$C$5:$G$100,5,FALSE),0)</f>
        <v/>
      </c>
      <c r="I511" s="17">
        <f>F511*H511/IF(C511="molde",MAX(1,'Mi negocio'!$C$34),1)</f>
        <v/>
      </c>
    </row>
    <row r="512">
      <c r="A512" t="n">
        <v>34</v>
      </c>
      <c r="B512" s="21" t="inlineStr">
        <is>
          <t>Perla Encapsulada con Esfera de Isomalt y Núcleo Semilíquido (Suspended Geode Pearl with Semi-Liquid Core)</t>
        </is>
      </c>
      <c r="C512" t="inlineStr">
        <is>
          <t>sabor</t>
        </is>
      </c>
      <c r="D512" s="22" t="inlineStr">
        <is>
          <t>3 ml Solución de ácido cítrico al 50% p/v</t>
        </is>
      </c>
      <c r="E512" s="6" t="inlineStr">
        <is>
          <t>Solución de ácido cítrico al 50% p/v (elaborada)</t>
        </is>
      </c>
      <c r="F512" s="16" t="n">
        <v>3</v>
      </c>
      <c r="G512" t="inlineStr">
        <is>
          <t>ml</t>
        </is>
      </c>
      <c r="H512" s="12">
        <f>IFERROR(VLOOKUP(E512,Insumos!$C$5:$G$100,5,FALSE),0)</f>
        <v/>
      </c>
      <c r="I512" s="17">
        <f>F512*H512/IF(C512="molde",MAX(1,'Mi negocio'!$C$34),1)</f>
        <v/>
      </c>
    </row>
    <row r="513">
      <c r="A513" t="n">
        <v>34</v>
      </c>
      <c r="B513" s="21" t="inlineStr">
        <is>
          <t>Perla Encapsulada con Esfera de Isomalt y Núcleo Semilíquido (Suspended Geode Pearl with Semi-Liquid Core)</t>
        </is>
      </c>
      <c r="C513" t="inlineStr">
        <is>
          <t>sabor</t>
        </is>
      </c>
      <c r="D513" s="22" t="inlineStr">
        <is>
          <t>1 ml Aroma natural de mora azul</t>
        </is>
      </c>
      <c r="E513" s="6" t="inlineStr">
        <is>
          <t>Aroma natural hidrosoluble concentrado</t>
        </is>
      </c>
      <c r="F513" s="16" t="n">
        <v>1</v>
      </c>
      <c r="G513" t="inlineStr">
        <is>
          <t>ml</t>
        </is>
      </c>
      <c r="H513" s="12">
        <f>IFERROR(VLOOKUP(E513,Insumos!$C$5:$G$100,5,FALSE),0)</f>
        <v/>
      </c>
      <c r="I513" s="17">
        <f>F513*H513/IF(C513="molde",MAX(1,'Mi negocio'!$C$34),1)</f>
        <v/>
      </c>
    </row>
    <row r="514">
      <c r="A514" t="n">
        <v>34</v>
      </c>
      <c r="B514" s="21" t="inlineStr">
        <is>
          <t>Perla Encapsulada con Esfera de Isomalt y Núcleo Semilíquido (Suspended Geode Pearl with Semi-Liquid Core)</t>
        </is>
      </c>
      <c r="C514" t="inlineStr">
        <is>
          <t>sabor</t>
        </is>
      </c>
      <c r="D514" s="22" t="inlineStr">
        <is>
          <t>0.1 g Colorante violeta intenso</t>
        </is>
      </c>
      <c r="E514" s="6" t="inlineStr">
        <is>
          <t>Colorante violeta de uva o zanahoria negra</t>
        </is>
      </c>
      <c r="F514" s="16" t="n">
        <v>0.1</v>
      </c>
      <c r="G514" t="inlineStr">
        <is>
          <t>g</t>
        </is>
      </c>
      <c r="H514" s="12">
        <f>IFERROR(VLOOKUP(E514,Insumos!$C$5:$G$100,5,FALSE),0)</f>
        <v/>
      </c>
      <c r="I514" s="17">
        <f>F514*H514/IF(C514="molde",MAX(1,'Mi negocio'!$C$34),1)</f>
        <v/>
      </c>
    </row>
    <row r="515">
      <c r="A515" t="n">
        <v>34</v>
      </c>
      <c r="B515" s="21" t="inlineStr">
        <is>
          <t>Perla Encapsulada con Esfera de Isomalt y Núcleo Semilíquido (Suspended Geode Pearl with Semi-Liquid Core)</t>
        </is>
      </c>
      <c r="C515" t="inlineStr">
        <is>
          <t>azucar</t>
        </is>
      </c>
      <c r="D515" s="22" t="inlineStr">
        <is>
          <t>30 g Isomalt puro en polvo fundido a 165 °C y moldeado en micro-esferas de 3 mm de diámetro (0.3 g c/u)</t>
        </is>
      </c>
      <c r="E515" s="6" t="inlineStr">
        <is>
          <t>Isomalt en cristales</t>
        </is>
      </c>
      <c r="F515" s="16" t="n">
        <v>30</v>
      </c>
      <c r="G515" t="inlineStr">
        <is>
          <t>g</t>
        </is>
      </c>
      <c r="H515" s="12">
        <f>IFERROR(VLOOKUP(E515,Insumos!$C$5:$G$100,5,FALSE),0)</f>
        <v/>
      </c>
      <c r="I515" s="17">
        <f>F515*H515/IF(C515="molde",MAX(1,'Mi negocio'!$C$34),1)</f>
        <v/>
      </c>
    </row>
    <row r="516">
      <c r="A516" t="n">
        <v>34</v>
      </c>
      <c r="B516" s="21" t="inlineStr">
        <is>
          <t>Perla Encapsulada con Esfera de Isomalt y Núcleo Semilíquido (Suspended Geode Pearl with Semi-Liquid Core)</t>
        </is>
      </c>
      <c r="C516" t="inlineStr">
        <is>
          <t>acabado</t>
        </is>
      </c>
      <c r="D516" s="22" t="inlineStr">
        <is>
          <t>2 g Aceite MCT con cera de carnauba</t>
        </is>
      </c>
      <c r="E516" s="6" t="inlineStr">
        <is>
          <t>Agente de brillo de carnauba en MCT (elaborado)</t>
        </is>
      </c>
      <c r="F516" s="16" t="n">
        <v>2</v>
      </c>
      <c r="G516" t="inlineStr">
        <is>
          <t>g</t>
        </is>
      </c>
      <c r="H516" s="12">
        <f>IFERROR(VLOOKUP(E516,Insumos!$C$5:$G$100,5,FALSE),0)</f>
        <v/>
      </c>
      <c r="I516" s="17">
        <f>F516*H516/IF(C516="molde",MAX(1,'Mi negocio'!$C$34),1)</f>
        <v/>
      </c>
    </row>
    <row r="517">
      <c r="A517" t="n">
        <v>35</v>
      </c>
      <c r="B517" s="21" t="inlineStr">
        <is>
          <t>Trenza Helicoidal Bicolor de Mango y Frambuesa en Extrusión Doble (Double-Helix Extruded Mango &amp; Raspberry Twist)</t>
        </is>
      </c>
      <c r="C517" t="inlineStr">
        <is>
          <t>gelificante</t>
        </is>
      </c>
      <c r="D517" s="22" t="inlineStr">
        <is>
          <t>36 g Gelatina en polvo de res de 240 Bloom</t>
        </is>
      </c>
      <c r="E517" s="6" t="inlineStr">
        <is>
          <t>Gelatina en polvo de 240-260 Bloom</t>
        </is>
      </c>
      <c r="F517" s="16" t="n">
        <v>36</v>
      </c>
      <c r="G517" t="inlineStr">
        <is>
          <t>g</t>
        </is>
      </c>
      <c r="H517" s="12">
        <f>IFERROR(VLOOKUP(E517,Insumos!$C$5:$G$100,5,FALSE),0)</f>
        <v/>
      </c>
      <c r="I517" s="17">
        <f>F517*H517/IF(C517="molde",MAX(1,'Mi negocio'!$C$34),1)</f>
        <v/>
      </c>
    </row>
    <row r="518">
      <c r="A518" t="n">
        <v>35</v>
      </c>
      <c r="B518" s="21" t="inlineStr">
        <is>
          <t>Trenza Helicoidal Bicolor de Mango y Frambuesa en Extrusión Doble (Double-Helix Extruded Mango &amp; Raspberry Twist)</t>
        </is>
      </c>
      <c r="C518" t="inlineStr">
        <is>
          <t>gelificante</t>
        </is>
      </c>
      <c r="D518" s="22" t="inlineStr">
        <is>
          <t>9 g Almidón modificado de maíz fluidificado (aporta resistencia tensil al estiramiento)</t>
        </is>
      </c>
      <c r="E518" s="6" t="inlineStr">
        <is>
          <t>Almidón modificado de maíz fluidificado</t>
        </is>
      </c>
      <c r="F518" s="16" t="n">
        <v>9</v>
      </c>
      <c r="G518" t="inlineStr">
        <is>
          <t>g</t>
        </is>
      </c>
      <c r="H518" s="12">
        <f>IFERROR(VLOOKUP(E518,Insumos!$C$5:$G$100,5,FALSE),0)</f>
        <v/>
      </c>
      <c r="I518" s="17">
        <f>F518*H518/IF(C518="molde",MAX(1,'Mi negocio'!$C$34),1)</f>
        <v/>
      </c>
    </row>
    <row r="519">
      <c r="A519" t="n">
        <v>35</v>
      </c>
      <c r="B519" s="21" t="inlineStr">
        <is>
          <t>Trenza Helicoidal Bicolor de Mango y Frambuesa en Extrusión Doble (Double-Helix Extruded Mango &amp; Raspberry Twist)</t>
        </is>
      </c>
      <c r="C519" t="inlineStr">
        <is>
          <t>sabor</t>
        </is>
      </c>
      <c r="D519" s="22" t="inlineStr">
        <is>
          <t>90 ml Agua desmineralizada a 15 °C</t>
        </is>
      </c>
      <c r="E519" s="6" t="inlineStr">
        <is>
          <t>Agua desmineralizada o purificada</t>
        </is>
      </c>
      <c r="F519" s="16" t="n">
        <v>90</v>
      </c>
      <c r="G519" t="inlineStr">
        <is>
          <t>ml</t>
        </is>
      </c>
      <c r="H519" s="12">
        <f>IFERROR(VLOOKUP(E519,Insumos!$C$5:$G$100,5,FALSE),0)</f>
        <v/>
      </c>
      <c r="I519" s="17">
        <f>F519*H519/IF(C519="molde",MAX(1,'Mi negocio'!$C$34),1)</f>
        <v/>
      </c>
    </row>
    <row r="520">
      <c r="A520" t="n">
        <v>35</v>
      </c>
      <c r="B520" s="21" t="inlineStr">
        <is>
          <t>Trenza Helicoidal Bicolor de Mango y Frambuesa en Extrusión Doble (Double-Helix Extruded Mango &amp; Raspberry Twist)</t>
        </is>
      </c>
      <c r="C520" t="inlineStr">
        <is>
          <t>azucar</t>
        </is>
      </c>
      <c r="D520" s="22" t="inlineStr">
        <is>
          <t>195 g Azúcar blanca refinada pura</t>
        </is>
      </c>
      <c r="E520" s="6" t="inlineStr">
        <is>
          <t>Azúcar blanca refinada</t>
        </is>
      </c>
      <c r="F520" s="16" t="n">
        <v>195</v>
      </c>
      <c r="G520" t="inlineStr">
        <is>
          <t>g</t>
        </is>
      </c>
      <c r="H520" s="12">
        <f>IFERROR(VLOOKUP(E520,Insumos!$C$5:$G$100,5,FALSE),0)</f>
        <v/>
      </c>
      <c r="I520" s="17">
        <f>F520*H520/IF(C520="molde",MAX(1,'Mi negocio'!$C$34),1)</f>
        <v/>
      </c>
    </row>
    <row r="521">
      <c r="A521" t="n">
        <v>35</v>
      </c>
      <c r="B521" s="21" t="inlineStr">
        <is>
          <t>Trenza Helicoidal Bicolor de Mango y Frambuesa en Extrusión Doble (Double-Helix Extruded Mango &amp; Raspberry Twist)</t>
        </is>
      </c>
      <c r="C521" t="inlineStr">
        <is>
          <t>azucar</t>
        </is>
      </c>
      <c r="D521" s="22" t="inlineStr">
        <is>
          <t>155 g Jarabe de glucosa 42DE</t>
        </is>
      </c>
      <c r="E521" s="6" t="inlineStr">
        <is>
          <t>Jarabe de glucosa 42 DE</t>
        </is>
      </c>
      <c r="F521" s="16" t="n">
        <v>155</v>
      </c>
      <c r="G521" t="inlineStr">
        <is>
          <t>g</t>
        </is>
      </c>
      <c r="H521" s="12">
        <f>IFERROR(VLOOKUP(E521,Insumos!$C$5:$G$100,5,FALSE),0)</f>
        <v/>
      </c>
      <c r="I521" s="17">
        <f>F521*H521/IF(C521="molde",MAX(1,'Mi negocio'!$C$34),1)</f>
        <v/>
      </c>
    </row>
    <row r="522">
      <c r="A522" t="n">
        <v>35</v>
      </c>
      <c r="B522" s="21" t="inlineStr">
        <is>
          <t>Trenza Helicoidal Bicolor de Mango y Frambuesa en Extrusión Doble (Double-Helix Extruded Mango &amp; Raspberry Twist)</t>
        </is>
      </c>
      <c r="C522" t="inlineStr">
        <is>
          <t>sabor</t>
        </is>
      </c>
      <c r="D522" s="22" t="inlineStr">
        <is>
          <t>50 ml Agua purificada limpia</t>
        </is>
      </c>
      <c r="E522" s="6" t="inlineStr">
        <is>
          <t>Agua desmineralizada o purificada</t>
        </is>
      </c>
      <c r="F522" s="16" t="n">
        <v>50</v>
      </c>
      <c r="G522" t="inlineStr">
        <is>
          <t>ml</t>
        </is>
      </c>
      <c r="H522" s="12">
        <f>IFERROR(VLOOKUP(E522,Insumos!$C$5:$G$100,5,FALSE),0)</f>
        <v/>
      </c>
      <c r="I522" s="17">
        <f>F522*H522/IF(C522="molde",MAX(1,'Mi negocio'!$C$34),1)</f>
        <v/>
      </c>
    </row>
    <row r="523">
      <c r="A523" t="n">
        <v>35</v>
      </c>
      <c r="B523" s="21" t="inlineStr">
        <is>
          <t>Trenza Helicoidal Bicolor de Mango y Frambuesa en Extrusión Doble (Double-Helix Extruded Mango &amp; Raspberry Twist)</t>
        </is>
      </c>
      <c r="C523" t="inlineStr">
        <is>
          <t>azucar</t>
        </is>
      </c>
      <c r="D523" s="22" t="inlineStr">
        <is>
          <t>12 g Sorbitol líquido al 70%</t>
        </is>
      </c>
      <c r="E523" s="6" t="inlineStr">
        <is>
          <t>Sorbitol líquido al 70%</t>
        </is>
      </c>
      <c r="F523" s="16" t="n">
        <v>12</v>
      </c>
      <c r="G523" t="inlineStr">
        <is>
          <t>g</t>
        </is>
      </c>
      <c r="H523" s="12">
        <f>IFERROR(VLOOKUP(E523,Insumos!$C$5:$G$100,5,FALSE),0)</f>
        <v/>
      </c>
      <c r="I523" s="17">
        <f>F523*H523/IF(C523="molde",MAX(1,'Mi negocio'!$C$34),1)</f>
        <v/>
      </c>
    </row>
    <row r="524">
      <c r="A524" t="n">
        <v>35</v>
      </c>
      <c r="B524" s="21" t="inlineStr">
        <is>
          <t>Trenza Helicoidal Bicolor de Mango y Frambuesa en Extrusión Doble (Double-Helix Extruded Mango &amp; Raspberry Twist)</t>
        </is>
      </c>
      <c r="C524" t="inlineStr">
        <is>
          <t>sabor</t>
        </is>
      </c>
      <c r="D524" s="22" t="inlineStr">
        <is>
          <t>2 g Citrato de sodio</t>
        </is>
      </c>
      <c r="E524" s="6" t="inlineStr">
        <is>
          <t>Citrato de sodio dihidratado</t>
        </is>
      </c>
      <c r="F524" s="16" t="n">
        <v>2</v>
      </c>
      <c r="G524" t="inlineStr">
        <is>
          <t>g</t>
        </is>
      </c>
      <c r="H524" s="12">
        <f>IFERROR(VLOOKUP(E524,Insumos!$C$5:$G$100,5,FALSE),0)</f>
        <v/>
      </c>
      <c r="I524" s="17">
        <f>F524*H524/IF(C524="molde",MAX(1,'Mi negocio'!$C$34),1)</f>
        <v/>
      </c>
    </row>
    <row r="525">
      <c r="A525" t="n">
        <v>35</v>
      </c>
      <c r="B525" s="21" t="inlineStr">
        <is>
          <t>Trenza Helicoidal Bicolor de Mango y Frambuesa en Extrusión Doble (Double-Helix Extruded Mango &amp; Raspberry Twist)</t>
        </is>
      </c>
      <c r="C525" t="inlineStr">
        <is>
          <t>sabor</t>
        </is>
      </c>
      <c r="D525" s="22" t="inlineStr">
        <is>
          <t>4 ml Solución de ácido cítrico al 50% p/v</t>
        </is>
      </c>
      <c r="E525" s="6" t="inlineStr">
        <is>
          <t>Solución de ácido cítrico al 50% p/v (elaborada)</t>
        </is>
      </c>
      <c r="F525" s="16" t="n">
        <v>4</v>
      </c>
      <c r="G525" t="inlineStr">
        <is>
          <t>ml</t>
        </is>
      </c>
      <c r="H525" s="12">
        <f>IFERROR(VLOOKUP(E525,Insumos!$C$5:$G$100,5,FALSE),0)</f>
        <v/>
      </c>
      <c r="I525" s="17">
        <f>F525*H525/IF(C525="molde",MAX(1,'Mi negocio'!$C$34),1)</f>
        <v/>
      </c>
    </row>
    <row r="526">
      <c r="A526" t="n">
        <v>35</v>
      </c>
      <c r="B526" s="21" t="inlineStr">
        <is>
          <t>Trenza Helicoidal Bicolor de Mango y Frambuesa en Extrusión Doble (Double-Helix Extruded Mango &amp; Raspberry Twist)</t>
        </is>
      </c>
      <c r="C526" t="inlineStr">
        <is>
          <t>sabor</t>
        </is>
      </c>
      <c r="D526" s="22" t="inlineStr">
        <is>
          <t>1.5 ml Aroma natural de mango maduro</t>
        </is>
      </c>
      <c r="E526" s="6" t="inlineStr">
        <is>
          <t>Aroma natural hidrosoluble concentrado</t>
        </is>
      </c>
      <c r="F526" s="16" t="n">
        <v>1.5</v>
      </c>
      <c r="G526" t="inlineStr">
        <is>
          <t>ml</t>
        </is>
      </c>
      <c r="H526" s="12">
        <f>IFERROR(VLOOKUP(E526,Insumos!$C$5:$G$100,5,FALSE),0)</f>
        <v/>
      </c>
      <c r="I526" s="17">
        <f>F526*H526/IF(C526="molde",MAX(1,'Mi negocio'!$C$34),1)</f>
        <v/>
      </c>
    </row>
    <row r="527">
      <c r="A527" t="n">
        <v>35</v>
      </c>
      <c r="B527" s="21" t="inlineStr">
        <is>
          <t>Trenza Helicoidal Bicolor de Mango y Frambuesa en Extrusión Doble (Double-Helix Extruded Mango &amp; Raspberry Twist)</t>
        </is>
      </c>
      <c r="C527" t="inlineStr">
        <is>
          <t>sabor</t>
        </is>
      </c>
      <c r="D527" s="22" t="inlineStr">
        <is>
          <t>0.15 g Colorante amarillo curcumina hidrosoluble (amarillo brillante)</t>
        </is>
      </c>
      <c r="E527" s="6" t="inlineStr">
        <is>
          <t>Colorante amarillo curcumina hidrosoluble</t>
        </is>
      </c>
      <c r="F527" s="16" t="n">
        <v>0.15</v>
      </c>
      <c r="G527" t="inlineStr">
        <is>
          <t>g</t>
        </is>
      </c>
      <c r="H527" s="12">
        <f>IFERROR(VLOOKUP(E527,Insumos!$C$5:$G$100,5,FALSE),0)</f>
        <v/>
      </c>
      <c r="I527" s="17">
        <f>F527*H527/IF(C527="molde",MAX(1,'Mi negocio'!$C$34),1)</f>
        <v/>
      </c>
    </row>
    <row r="528">
      <c r="A528" t="n">
        <v>35</v>
      </c>
      <c r="B528" s="21" t="inlineStr">
        <is>
          <t>Trenza Helicoidal Bicolor de Mango y Frambuesa en Extrusión Doble (Double-Helix Extruded Mango &amp; Raspberry Twist)</t>
        </is>
      </c>
      <c r="C528" t="inlineStr">
        <is>
          <t>sabor</t>
        </is>
      </c>
      <c r="D528" s="22" t="inlineStr">
        <is>
          <t>5 ml Solución de ácido málico al 50% p/v</t>
        </is>
      </c>
      <c r="E528" s="6" t="inlineStr">
        <is>
          <t>Ácido málico micronizado</t>
        </is>
      </c>
      <c r="F528" s="16" t="n">
        <v>5</v>
      </c>
      <c r="G528" t="inlineStr">
        <is>
          <t>g</t>
        </is>
      </c>
      <c r="H528" s="12">
        <f>IFERROR(VLOOKUP(E528,Insumos!$C$5:$G$100,5,FALSE),0)</f>
        <v/>
      </c>
      <c r="I528" s="17">
        <f>F528*H528/IF(C528="molde",MAX(1,'Mi negocio'!$C$34),1)</f>
        <v/>
      </c>
    </row>
    <row r="529">
      <c r="A529" t="n">
        <v>35</v>
      </c>
      <c r="B529" s="21" t="inlineStr">
        <is>
          <t>Trenza Helicoidal Bicolor de Mango y Frambuesa en Extrusión Doble (Double-Helix Extruded Mango &amp; Raspberry Twist)</t>
        </is>
      </c>
      <c r="C529" t="inlineStr">
        <is>
          <t>sabor</t>
        </is>
      </c>
      <c r="D529" s="22" t="inlineStr">
        <is>
          <t>1.5 ml Aroma natural de frambuesa silvestre</t>
        </is>
      </c>
      <c r="E529" s="6" t="inlineStr">
        <is>
          <t>Aroma natural hidrosoluble concentrado</t>
        </is>
      </c>
      <c r="F529" s="16" t="n">
        <v>1.5</v>
      </c>
      <c r="G529" t="inlineStr">
        <is>
          <t>ml</t>
        </is>
      </c>
      <c r="H529" s="12">
        <f>IFERROR(VLOOKUP(E529,Insumos!$C$5:$G$100,5,FALSE),0)</f>
        <v/>
      </c>
      <c r="I529" s="17">
        <f>F529*H529/IF(C529="molde",MAX(1,'Mi negocio'!$C$34),1)</f>
        <v/>
      </c>
    </row>
    <row r="530">
      <c r="A530" t="n">
        <v>35</v>
      </c>
      <c r="B530" s="21" t="inlineStr">
        <is>
          <t>Trenza Helicoidal Bicolor de Mango y Frambuesa en Extrusión Doble (Double-Helix Extruded Mango &amp; Raspberry Twist)</t>
        </is>
      </c>
      <c r="C530" t="inlineStr">
        <is>
          <t>sabor</t>
        </is>
      </c>
      <c r="D530" s="22" t="inlineStr">
        <is>
          <t>0.15 g Colorante rojo carmín hidrosoluble (rojo rubí)</t>
        </is>
      </c>
      <c r="E530" s="6" t="inlineStr">
        <is>
          <t>Colorante rojo carmín o allura hidrosoluble</t>
        </is>
      </c>
      <c r="F530" s="16" t="n">
        <v>0.15</v>
      </c>
      <c r="G530" t="inlineStr">
        <is>
          <t>g</t>
        </is>
      </c>
      <c r="H530" s="12">
        <f>IFERROR(VLOOKUP(E530,Insumos!$C$5:$G$100,5,FALSE),0)</f>
        <v/>
      </c>
      <c r="I530" s="17">
        <f>F530*H530/IF(C530="molde",MAX(1,'Mi negocio'!$C$34),1)</f>
        <v/>
      </c>
    </row>
    <row r="531">
      <c r="A531" t="n">
        <v>35</v>
      </c>
      <c r="B531" s="21" t="inlineStr">
        <is>
          <t>Trenza Helicoidal Bicolor de Mango y Frambuesa en Extrusión Doble (Double-Helix Extruded Mango &amp; Raspberry Twist)</t>
        </is>
      </c>
      <c r="C531" t="inlineStr">
        <is>
          <t>acabado</t>
        </is>
      </c>
      <c r="D531" s="22" t="inlineStr">
        <is>
          <t>2 g Aceite MCT con cera de carnauba refinada</t>
        </is>
      </c>
      <c r="E531" s="6" t="inlineStr">
        <is>
          <t>Agente de brillo de carnauba en MCT (elaborado)</t>
        </is>
      </c>
      <c r="F531" s="16" t="n">
        <v>2</v>
      </c>
      <c r="G531" t="inlineStr">
        <is>
          <t>g</t>
        </is>
      </c>
      <c r="H531" s="12">
        <f>IFERROR(VLOOKUP(E531,Insumos!$C$5:$G$100,5,FALSE),0)</f>
        <v/>
      </c>
      <c r="I531" s="17">
        <f>F531*H531/IF(C531="molde",MAX(1,'Mi negocio'!$C$34),1)</f>
        <v/>
      </c>
    </row>
    <row r="532">
      <c r="A532" t="n">
        <v>36</v>
      </c>
      <c r="B532" s="21" t="inlineStr">
        <is>
          <t>Huevo Frito Clásico de Yema Cítrica y Clara Marshmallow (Sunny-Side Up Egg: Citrus Gel &amp; Vanilla Foam)</t>
        </is>
      </c>
      <c r="C532" t="inlineStr">
        <is>
          <t>gelificante</t>
        </is>
      </c>
      <c r="D532" s="22" t="inlineStr">
        <is>
          <t>44 g Gelatina en polvo de 250 Bloom</t>
        </is>
      </c>
      <c r="E532" s="6" t="inlineStr">
        <is>
          <t>Gelatina en polvo de 240-260 Bloom</t>
        </is>
      </c>
      <c r="F532" s="16" t="n">
        <v>44</v>
      </c>
      <c r="G532" t="inlineStr">
        <is>
          <t>g</t>
        </is>
      </c>
      <c r="H532" s="12">
        <f>IFERROR(VLOOKUP(E532,Insumos!$C$5:$G$100,5,FALSE),0)</f>
        <v/>
      </c>
      <c r="I532" s="17">
        <f>F532*H532/IF(C532="molde",MAX(1,'Mi negocio'!$C$34),1)</f>
        <v/>
      </c>
    </row>
    <row r="533">
      <c r="A533" t="n">
        <v>36</v>
      </c>
      <c r="B533" s="21" t="inlineStr">
        <is>
          <t>Huevo Frito Clásico de Yema Cítrica y Clara Marshmallow (Sunny-Side Up Egg: Citrus Gel &amp; Vanilla Foam)</t>
        </is>
      </c>
      <c r="C533" t="inlineStr">
        <is>
          <t>sabor</t>
        </is>
      </c>
      <c r="D533" s="22" t="inlineStr">
        <is>
          <t>95 ml Agua desmineralizada a 15 °C</t>
        </is>
      </c>
      <c r="E533" s="6" t="inlineStr">
        <is>
          <t>Agua desmineralizada o purificada</t>
        </is>
      </c>
      <c r="F533" s="16" t="n">
        <v>95</v>
      </c>
      <c r="G533" t="inlineStr">
        <is>
          <t>ml</t>
        </is>
      </c>
      <c r="H533" s="12">
        <f>IFERROR(VLOOKUP(E533,Insumos!$C$5:$G$100,5,FALSE),0)</f>
        <v/>
      </c>
      <c r="I533" s="17">
        <f>F533*H533/IF(C533="molde",MAX(1,'Mi negocio'!$C$34),1)</f>
        <v/>
      </c>
    </row>
    <row r="534">
      <c r="A534" t="n">
        <v>36</v>
      </c>
      <c r="B534" s="21" t="inlineStr">
        <is>
          <t>Huevo Frito Clásico de Yema Cítrica y Clara Marshmallow (Sunny-Side Up Egg: Citrus Gel &amp; Vanilla Foam)</t>
        </is>
      </c>
      <c r="C534" t="inlineStr">
        <is>
          <t>azucar</t>
        </is>
      </c>
      <c r="D534" s="22" t="inlineStr">
        <is>
          <t>195 g Azúcar blanca refinada pura</t>
        </is>
      </c>
      <c r="E534" s="6" t="inlineStr">
        <is>
          <t>Azúcar blanca refinada</t>
        </is>
      </c>
      <c r="F534" s="16" t="n">
        <v>195</v>
      </c>
      <c r="G534" t="inlineStr">
        <is>
          <t>g</t>
        </is>
      </c>
      <c r="H534" s="12">
        <f>IFERROR(VLOOKUP(E534,Insumos!$C$5:$G$100,5,FALSE),0)</f>
        <v/>
      </c>
      <c r="I534" s="17">
        <f>F534*H534/IF(C534="molde",MAX(1,'Mi negocio'!$C$34),1)</f>
        <v/>
      </c>
    </row>
    <row r="535">
      <c r="A535" t="n">
        <v>36</v>
      </c>
      <c r="B535" s="21" t="inlineStr">
        <is>
          <t>Huevo Frito Clásico de Yema Cítrica y Clara Marshmallow (Sunny-Side Up Egg: Citrus Gel &amp; Vanilla Foam)</t>
        </is>
      </c>
      <c r="C535" t="inlineStr">
        <is>
          <t>azucar</t>
        </is>
      </c>
      <c r="D535" s="22" t="inlineStr">
        <is>
          <t>155 g Jarabe de glucosa estándar de maíz de 42DE</t>
        </is>
      </c>
      <c r="E535" s="6" t="inlineStr">
        <is>
          <t>Jarabe de glucosa 42 DE</t>
        </is>
      </c>
      <c r="F535" s="16" t="n">
        <v>155</v>
      </c>
      <c r="G535" t="inlineStr">
        <is>
          <t>g</t>
        </is>
      </c>
      <c r="H535" s="12">
        <f>IFERROR(VLOOKUP(E535,Insumos!$C$5:$G$100,5,FALSE),0)</f>
        <v/>
      </c>
      <c r="I535" s="17">
        <f>F535*H535/IF(C535="molde",MAX(1,'Mi negocio'!$C$34),1)</f>
        <v/>
      </c>
    </row>
    <row r="536">
      <c r="A536" t="n">
        <v>36</v>
      </c>
      <c r="B536" s="21" t="inlineStr">
        <is>
          <t>Huevo Frito Clásico de Yema Cítrica y Clara Marshmallow (Sunny-Side Up Egg: Citrus Gel &amp; Vanilla Foam)</t>
        </is>
      </c>
      <c r="C536" t="inlineStr">
        <is>
          <t>sabor</t>
        </is>
      </c>
      <c r="D536" s="22" t="inlineStr">
        <is>
          <t>50 ml Agua purificada limpia</t>
        </is>
      </c>
      <c r="E536" s="6" t="inlineStr">
        <is>
          <t>Agua desmineralizada o purificada</t>
        </is>
      </c>
      <c r="F536" s="16" t="n">
        <v>50</v>
      </c>
      <c r="G536" t="inlineStr">
        <is>
          <t>ml</t>
        </is>
      </c>
      <c r="H536" s="12">
        <f>IFERROR(VLOOKUP(E536,Insumos!$C$5:$G$100,5,FALSE),0)</f>
        <v/>
      </c>
      <c r="I536" s="17">
        <f>F536*H536/IF(C536="molde",MAX(1,'Mi negocio'!$C$34),1)</f>
        <v/>
      </c>
    </row>
    <row r="537">
      <c r="A537" t="n">
        <v>36</v>
      </c>
      <c r="B537" s="21" t="inlineStr">
        <is>
          <t>Huevo Frito Clásico de Yema Cítrica y Clara Marshmallow (Sunny-Side Up Egg: Citrus Gel &amp; Vanilla Foam)</t>
        </is>
      </c>
      <c r="C537" t="inlineStr">
        <is>
          <t>azucar</t>
        </is>
      </c>
      <c r="D537" s="22" t="inlineStr">
        <is>
          <t>12 g Sorbitol líquido al 70%</t>
        </is>
      </c>
      <c r="E537" s="6" t="inlineStr">
        <is>
          <t>Sorbitol líquido al 70%</t>
        </is>
      </c>
      <c r="F537" s="16" t="n">
        <v>12</v>
      </c>
      <c r="G537" t="inlineStr">
        <is>
          <t>g</t>
        </is>
      </c>
      <c r="H537" s="12">
        <f>IFERROR(VLOOKUP(E537,Insumos!$C$5:$G$100,5,FALSE),0)</f>
        <v/>
      </c>
      <c r="I537" s="17">
        <f>F537*H537/IF(C537="molde",MAX(1,'Mi negocio'!$C$34),1)</f>
        <v/>
      </c>
    </row>
    <row r="538">
      <c r="A538" t="n">
        <v>36</v>
      </c>
      <c r="B538" s="21" t="inlineStr">
        <is>
          <t>Huevo Frito Clásico de Yema Cítrica y Clara Marshmallow (Sunny-Side Up Egg: Citrus Gel &amp; Vanilla Foam)</t>
        </is>
      </c>
      <c r="C538" t="inlineStr">
        <is>
          <t>sabor</t>
        </is>
      </c>
      <c r="D538" s="22" t="inlineStr">
        <is>
          <t>2 g Citrato de sodio dihidratado (amortiguador de pH)</t>
        </is>
      </c>
      <c r="E538" s="6" t="inlineStr">
        <is>
          <t>Citrato de sodio dihidratado</t>
        </is>
      </c>
      <c r="F538" s="16" t="n">
        <v>2</v>
      </c>
      <c r="G538" t="inlineStr">
        <is>
          <t>g</t>
        </is>
      </c>
      <c r="H538" s="12">
        <f>IFERROR(VLOOKUP(E538,Insumos!$C$5:$G$100,5,FALSE),0)</f>
        <v/>
      </c>
      <c r="I538" s="17">
        <f>F538*H538/IF(C538="molde",MAX(1,'Mi negocio'!$C$34),1)</f>
        <v/>
      </c>
    </row>
    <row r="539">
      <c r="A539" t="n">
        <v>36</v>
      </c>
      <c r="B539" s="21" t="inlineStr">
        <is>
          <t>Huevo Frito Clásico de Yema Cítrica y Clara Marshmallow (Sunny-Side Up Egg: Citrus Gel &amp; Vanilla Foam)</t>
        </is>
      </c>
      <c r="C539" t="inlineStr">
        <is>
          <t>sabor</t>
        </is>
      </c>
      <c r="D539" s="22" t="inlineStr">
        <is>
          <t>4 ml Solución de ácido cítrico al 50% p/v</t>
        </is>
      </c>
      <c r="E539" s="6" t="inlineStr">
        <is>
          <t>Solución de ácido cítrico al 50% p/v (elaborada)</t>
        </is>
      </c>
      <c r="F539" s="16" t="n">
        <v>4</v>
      </c>
      <c r="G539" t="inlineStr">
        <is>
          <t>ml</t>
        </is>
      </c>
      <c r="H539" s="12">
        <f>IFERROR(VLOOKUP(E539,Insumos!$C$5:$G$100,5,FALSE),0)</f>
        <v/>
      </c>
      <c r="I539" s="17">
        <f>F539*H539/IF(C539="molde",MAX(1,'Mi negocio'!$C$34),1)</f>
        <v/>
      </c>
    </row>
    <row r="540">
      <c r="A540" t="n">
        <v>36</v>
      </c>
      <c r="B540" s="21" t="inlineStr">
        <is>
          <t>Huevo Frito Clásico de Yema Cítrica y Clara Marshmallow (Sunny-Side Up Egg: Citrus Gel &amp; Vanilla Foam)</t>
        </is>
      </c>
      <c r="C540" t="inlineStr">
        <is>
          <t>sabor</t>
        </is>
      </c>
      <c r="D540" s="22" t="inlineStr">
        <is>
          <t>1.2 ml Aroma natural concentrado de mandarina y naranja valencia</t>
        </is>
      </c>
      <c r="E540" s="6" t="inlineStr">
        <is>
          <t>Aroma natural hidrosoluble concentrado</t>
        </is>
      </c>
      <c r="F540" s="16" t="n">
        <v>1.2</v>
      </c>
      <c r="G540" t="inlineStr">
        <is>
          <t>ml</t>
        </is>
      </c>
      <c r="H540" s="12">
        <f>IFERROR(VLOOKUP(E540,Insumos!$C$5:$G$100,5,FALSE),0)</f>
        <v/>
      </c>
      <c r="I540" s="17">
        <f>F540*H540/IF(C540="molde",MAX(1,'Mi negocio'!$C$34),1)</f>
        <v/>
      </c>
    </row>
    <row r="541">
      <c r="A541" t="n">
        <v>36</v>
      </c>
      <c r="B541" s="21" t="inlineStr">
        <is>
          <t>Huevo Frito Clásico de Yema Cítrica y Clara Marshmallow (Sunny-Side Up Egg: Citrus Gel &amp; Vanilla Foam)</t>
        </is>
      </c>
      <c r="C541" t="inlineStr">
        <is>
          <t>sabor</t>
        </is>
      </c>
      <c r="D541" s="22" t="inlineStr">
        <is>
          <t>0.15 g Colorante amarillo curcumina + micro-traza de carmín (naranja-yema intenso)</t>
        </is>
      </c>
      <c r="E541" s="6" t="inlineStr">
        <is>
          <t>Colorante amarillo curcumina hidrosoluble</t>
        </is>
      </c>
      <c r="F541" s="16" t="n">
        <v>0.15</v>
      </c>
      <c r="G541" t="inlineStr">
        <is>
          <t>g</t>
        </is>
      </c>
      <c r="H541" s="12">
        <f>IFERROR(VLOOKUP(E541,Insumos!$C$5:$G$100,5,FALSE),0)</f>
        <v/>
      </c>
      <c r="I541" s="17">
        <f>F541*H541/IF(C541="molde",MAX(1,'Mi negocio'!$C$34),1)</f>
        <v/>
      </c>
    </row>
    <row r="542">
      <c r="A542" t="n">
        <v>36</v>
      </c>
      <c r="B542" s="21" t="inlineStr">
        <is>
          <t>Huevo Frito Clásico de Yema Cítrica y Clara Marshmallow (Sunny-Side Up Egg: Citrus Gel &amp; Vanilla Foam)</t>
        </is>
      </c>
      <c r="C542" t="inlineStr">
        <is>
          <t>sabor</t>
        </is>
      </c>
      <c r="D542" s="22" t="inlineStr">
        <is>
          <t>3 ml Solución de ácido cítrico al 50% p/v</t>
        </is>
      </c>
      <c r="E542" s="6" t="inlineStr">
        <is>
          <t>Solución de ácido cítrico al 50% p/v (elaborada)</t>
        </is>
      </c>
      <c r="F542" s="16" t="n">
        <v>3</v>
      </c>
      <c r="G542" t="inlineStr">
        <is>
          <t>ml</t>
        </is>
      </c>
      <c r="H542" s="12">
        <f>IFERROR(VLOOKUP(E542,Insumos!$C$5:$G$100,5,FALSE),0)</f>
        <v/>
      </c>
      <c r="I542" s="17">
        <f>F542*H542/IF(C542="molde",MAX(1,'Mi negocio'!$C$34),1)</f>
        <v/>
      </c>
    </row>
    <row r="543">
      <c r="A543" t="n">
        <v>36</v>
      </c>
      <c r="B543" s="21" t="inlineStr">
        <is>
          <t>Huevo Frito Clásico de Yema Cítrica y Clara Marshmallow (Sunny-Side Up Egg: Citrus Gel &amp; Vanilla Foam)</t>
        </is>
      </c>
      <c r="C543" t="inlineStr">
        <is>
          <t>sabor</t>
        </is>
      </c>
      <c r="D543" s="22" t="inlineStr">
        <is>
          <t>1.5 ml Aroma natural de crema de vainilla / nata láctea</t>
        </is>
      </c>
      <c r="E543" s="6" t="inlineStr">
        <is>
          <t>Aroma natural hidrosoluble concentrado</t>
        </is>
      </c>
      <c r="F543" s="16" t="n">
        <v>1.5</v>
      </c>
      <c r="G543" t="inlineStr">
        <is>
          <t>ml</t>
        </is>
      </c>
      <c r="H543" s="12">
        <f>IFERROR(VLOOKUP(E543,Insumos!$C$5:$G$100,5,FALSE),0)</f>
        <v/>
      </c>
      <c r="I543" s="17">
        <f>F543*H543/IF(C543="molde",MAX(1,'Mi negocio'!$C$34),1)</f>
        <v/>
      </c>
    </row>
    <row r="544">
      <c r="A544" t="n">
        <v>36</v>
      </c>
      <c r="B544" s="21" t="inlineStr">
        <is>
          <t>Huevo Frito Clásico de Yema Cítrica y Clara Marshmallow (Sunny-Side Up Egg: Citrus Gel &amp; Vanilla Foam)</t>
        </is>
      </c>
      <c r="C544" t="inlineStr">
        <is>
          <t>sabor</t>
        </is>
      </c>
      <c r="D544" s="22" t="inlineStr">
        <is>
          <t>0.6 g Dióxido de titanio o carbonato de calcio micronizado de grado alimenticio (blanco opaco)</t>
        </is>
      </c>
      <c r="E544" s="6" t="inlineStr">
        <is>
          <t>Dióxido de titanio o blanco alimentario</t>
        </is>
      </c>
      <c r="F544" s="16" t="n">
        <v>0.6</v>
      </c>
      <c r="G544" t="inlineStr">
        <is>
          <t>g</t>
        </is>
      </c>
      <c r="H544" s="12">
        <f>IFERROR(VLOOKUP(E544,Insumos!$C$5:$G$100,5,FALSE),0)</f>
        <v/>
      </c>
      <c r="I544" s="17">
        <f>F544*H544/IF(C544="molde",MAX(1,'Mi negocio'!$C$34),1)</f>
        <v/>
      </c>
    </row>
    <row r="545">
      <c r="A545" t="n">
        <v>36</v>
      </c>
      <c r="B545" s="21" t="inlineStr">
        <is>
          <t>Huevo Frito Clásico de Yema Cítrica y Clara Marshmallow (Sunny-Side Up Egg: Citrus Gel &amp; Vanilla Foam)</t>
        </is>
      </c>
      <c r="C545" t="inlineStr">
        <is>
          <t>acabado</t>
        </is>
      </c>
      <c r="D545" s="22" t="inlineStr">
        <is>
          <t>2 g Aceite de coco fraccionado (MCT) con 0.15 g de cera de carnauba refinada</t>
        </is>
      </c>
      <c r="E545" s="6" t="inlineStr">
        <is>
          <t>Aceite de coco fraccionado (MCT)</t>
        </is>
      </c>
      <c r="F545" s="16" t="n">
        <v>2</v>
      </c>
      <c r="G545" t="inlineStr">
        <is>
          <t>ml</t>
        </is>
      </c>
      <c r="H545" s="12">
        <f>IFERROR(VLOOKUP(E545,Insumos!$C$5:$G$100,5,FALSE),0)</f>
        <v/>
      </c>
      <c r="I545" s="17">
        <f>F545*H545/IF(C545="molde",MAX(1,'Mi negocio'!$C$34),1)</f>
        <v/>
      </c>
    </row>
    <row r="546">
      <c r="A546" t="n">
        <v>37</v>
      </c>
      <c r="B546" s="21" t="inlineStr">
        <is>
          <t>Ojo Eyeball Sangriento con Núcleo Líquido de Cereza Ácida (Spooky Eyeball with Sour Cherry Lava Core)</t>
        </is>
      </c>
      <c r="C546" t="inlineStr">
        <is>
          <t>gelificante</t>
        </is>
      </c>
      <c r="D546" s="22" t="inlineStr">
        <is>
          <t>32 g Gelatina en polvo de res de 250 Bloom</t>
        </is>
      </c>
      <c r="E546" s="6" t="inlineStr">
        <is>
          <t>Gelatina en polvo de 240-260 Bloom</t>
        </is>
      </c>
      <c r="F546" s="16" t="n">
        <v>32</v>
      </c>
      <c r="G546" t="inlineStr">
        <is>
          <t>g</t>
        </is>
      </c>
      <c r="H546" s="12">
        <f>IFERROR(VLOOKUP(E546,Insumos!$C$5:$G$100,5,FALSE),0)</f>
        <v/>
      </c>
      <c r="I546" s="17">
        <f>F546*H546/IF(C546="molde",MAX(1,'Mi negocio'!$C$34),1)</f>
        <v/>
      </c>
    </row>
    <row r="547">
      <c r="A547" t="n">
        <v>37</v>
      </c>
      <c r="B547" s="21" t="inlineStr">
        <is>
          <t>Ojo Eyeball Sangriento con Núcleo Líquido de Cereza Ácida (Spooky Eyeball with Sour Cherry Lava Core)</t>
        </is>
      </c>
      <c r="C547" t="inlineStr">
        <is>
          <t>gelificante</t>
        </is>
      </c>
      <c r="D547" s="22" t="inlineStr">
        <is>
          <t>6.5 g Pectina de Alto Metoxilo lenta (HM Slow-Set)</t>
        </is>
      </c>
      <c r="E547" s="6" t="inlineStr">
        <is>
          <t>Pectina de alto metoxilo lenta (HM slow-set)</t>
        </is>
      </c>
      <c r="F547" s="16" t="n">
        <v>6.5</v>
      </c>
      <c r="G547" t="inlineStr">
        <is>
          <t>g</t>
        </is>
      </c>
      <c r="H547" s="12">
        <f>IFERROR(VLOOKUP(E547,Insumos!$C$5:$G$100,5,FALSE),0)</f>
        <v/>
      </c>
      <c r="I547" s="17">
        <f>F547*H547/IF(C547="molde",MAX(1,'Mi negocio'!$C$34),1)</f>
        <v/>
      </c>
    </row>
    <row r="548">
      <c r="A548" t="n">
        <v>37</v>
      </c>
      <c r="B548" s="21" t="inlineStr">
        <is>
          <t>Ojo Eyeball Sangriento con Núcleo Líquido de Cereza Ácida (Spooky Eyeball with Sour Cherry Lava Core)</t>
        </is>
      </c>
      <c r="C548" t="inlineStr">
        <is>
          <t>azucar</t>
        </is>
      </c>
      <c r="D548" s="22" t="inlineStr">
        <is>
          <t>20 g Azúcar refinada (para dispersar la pectina)</t>
        </is>
      </c>
      <c r="E548" s="6" t="inlineStr">
        <is>
          <t>Azúcar blanca refinada</t>
        </is>
      </c>
      <c r="F548" s="16" t="n">
        <v>20</v>
      </c>
      <c r="G548" t="inlineStr">
        <is>
          <t>g</t>
        </is>
      </c>
      <c r="H548" s="12">
        <f>IFERROR(VLOOKUP(E548,Insumos!$C$5:$G$100,5,FALSE),0)</f>
        <v/>
      </c>
      <c r="I548" s="17">
        <f>F548*H548/IF(C548="molde",MAX(1,'Mi negocio'!$C$34),1)</f>
        <v/>
      </c>
    </row>
    <row r="549">
      <c r="A549" t="n">
        <v>37</v>
      </c>
      <c r="B549" s="21" t="inlineStr">
        <is>
          <t>Ojo Eyeball Sangriento con Núcleo Líquido de Cereza Ácida (Spooky Eyeball with Sour Cherry Lava Core)</t>
        </is>
      </c>
      <c r="C549" t="inlineStr">
        <is>
          <t>sabor</t>
        </is>
      </c>
      <c r="D549" s="22" t="inlineStr">
        <is>
          <t>75 ml Agua desmineralizada a 15 °C (para la gelatina)</t>
        </is>
      </c>
      <c r="E549" s="6" t="inlineStr">
        <is>
          <t>Agua desmineralizada o purificada</t>
        </is>
      </c>
      <c r="F549" s="16" t="n">
        <v>75</v>
      </c>
      <c r="G549" t="inlineStr">
        <is>
          <t>ml</t>
        </is>
      </c>
      <c r="H549" s="12">
        <f>IFERROR(VLOOKUP(E549,Insumos!$C$5:$G$100,5,FALSE),0)</f>
        <v/>
      </c>
      <c r="I549" s="17">
        <f>F549*H549/IF(C549="molde",MAX(1,'Mi negocio'!$C$34),1)</f>
        <v/>
      </c>
    </row>
    <row r="550">
      <c r="A550" t="n">
        <v>37</v>
      </c>
      <c r="B550" s="21" t="inlineStr">
        <is>
          <t>Ojo Eyeball Sangriento con Núcleo Líquido de Cereza Ácida (Spooky Eyeball with Sour Cherry Lava Core)</t>
        </is>
      </c>
      <c r="C550" t="inlineStr">
        <is>
          <t>sabor</t>
        </is>
      </c>
      <c r="D550" s="22" t="inlineStr">
        <is>
          <t>40 ml Agua purificada tibia (para la pectina)</t>
        </is>
      </c>
      <c r="E550" s="6" t="inlineStr">
        <is>
          <t>Agua desmineralizada o purificada</t>
        </is>
      </c>
      <c r="F550" s="16" t="n">
        <v>40</v>
      </c>
      <c r="G550" t="inlineStr">
        <is>
          <t>ml</t>
        </is>
      </c>
      <c r="H550" s="12">
        <f>IFERROR(VLOOKUP(E550,Insumos!$C$5:$G$100,5,FALSE),0)</f>
        <v/>
      </c>
      <c r="I550" s="17">
        <f>F550*H550/IF(C550="molde",MAX(1,'Mi negocio'!$C$34),1)</f>
        <v/>
      </c>
    </row>
    <row r="551">
      <c r="A551" t="n">
        <v>37</v>
      </c>
      <c r="B551" s="21" t="inlineStr">
        <is>
          <t>Ojo Eyeball Sangriento con Núcleo Líquido de Cereza Ácida (Spooky Eyeball with Sour Cherry Lava Core)</t>
        </is>
      </c>
      <c r="C551" t="inlineStr">
        <is>
          <t>azucar</t>
        </is>
      </c>
      <c r="D551" s="22" t="inlineStr">
        <is>
          <t>150 g Azúcar blanca refinada pura</t>
        </is>
      </c>
      <c r="E551" s="6" t="inlineStr">
        <is>
          <t>Azúcar blanca refinada</t>
        </is>
      </c>
      <c r="F551" s="16" t="n">
        <v>150</v>
      </c>
      <c r="G551" t="inlineStr">
        <is>
          <t>g</t>
        </is>
      </c>
      <c r="H551" s="12">
        <f>IFERROR(VLOOKUP(E551,Insumos!$C$5:$G$100,5,FALSE),0)</f>
        <v/>
      </c>
      <c r="I551" s="17">
        <f>F551*H551/IF(C551="molde",MAX(1,'Mi negocio'!$C$34),1)</f>
        <v/>
      </c>
    </row>
    <row r="552">
      <c r="A552" t="n">
        <v>37</v>
      </c>
      <c r="B552" s="21" t="inlineStr">
        <is>
          <t>Ojo Eyeball Sangriento con Núcleo Líquido de Cereza Ácida (Spooky Eyeball with Sour Cherry Lava Core)</t>
        </is>
      </c>
      <c r="C552" t="inlineStr">
        <is>
          <t>azucar</t>
        </is>
      </c>
      <c r="D552" s="22" t="inlineStr">
        <is>
          <t>120 g Jarabe de glucosa 42DE</t>
        </is>
      </c>
      <c r="E552" s="6" t="inlineStr">
        <is>
          <t>Jarabe de glucosa 42 DE</t>
        </is>
      </c>
      <c r="F552" s="16" t="n">
        <v>120</v>
      </c>
      <c r="G552" t="inlineStr">
        <is>
          <t>g</t>
        </is>
      </c>
      <c r="H552" s="12">
        <f>IFERROR(VLOOKUP(E552,Insumos!$C$5:$G$100,5,FALSE),0)</f>
        <v/>
      </c>
      <c r="I552" s="17">
        <f>F552*H552/IF(C552="molde",MAX(1,'Mi negocio'!$C$34),1)</f>
        <v/>
      </c>
    </row>
    <row r="553">
      <c r="A553" t="n">
        <v>37</v>
      </c>
      <c r="B553" s="21" t="inlineStr">
        <is>
          <t>Ojo Eyeball Sangriento con Núcleo Líquido de Cereza Ácida (Spooky Eyeball with Sour Cherry Lava Core)</t>
        </is>
      </c>
      <c r="C553" t="inlineStr">
        <is>
          <t>azucar</t>
        </is>
      </c>
      <c r="D553" s="22" t="inlineStr">
        <is>
          <t>12 g Sorbitol líquido al 70%</t>
        </is>
      </c>
      <c r="E553" s="6" t="inlineStr">
        <is>
          <t>Sorbitol líquido al 70%</t>
        </is>
      </c>
      <c r="F553" s="16" t="n">
        <v>12</v>
      </c>
      <c r="G553" t="inlineStr">
        <is>
          <t>g</t>
        </is>
      </c>
      <c r="H553" s="12">
        <f>IFERROR(VLOOKUP(E553,Insumos!$C$5:$G$100,5,FALSE),0)</f>
        <v/>
      </c>
      <c r="I553" s="17">
        <f>F553*H553/IF(C553="molde",MAX(1,'Mi negocio'!$C$34),1)</f>
        <v/>
      </c>
    </row>
    <row r="554">
      <c r="A554" t="n">
        <v>37</v>
      </c>
      <c r="B554" s="21" t="inlineStr">
        <is>
          <t>Ojo Eyeball Sangriento con Núcleo Líquido de Cereza Ácida (Spooky Eyeball with Sour Cherry Lava Core)</t>
        </is>
      </c>
      <c r="C554" t="inlineStr">
        <is>
          <t>sabor</t>
        </is>
      </c>
      <c r="D554" s="22" t="inlineStr">
        <is>
          <t>2 g Citrato de sodio</t>
        </is>
      </c>
      <c r="E554" s="6" t="inlineStr">
        <is>
          <t>Citrato de sodio dihidratado</t>
        </is>
      </c>
      <c r="F554" s="16" t="n">
        <v>2</v>
      </c>
      <c r="G554" t="inlineStr">
        <is>
          <t>g</t>
        </is>
      </c>
      <c r="H554" s="12">
        <f>IFERROR(VLOOKUP(E554,Insumos!$C$5:$G$100,5,FALSE),0)</f>
        <v/>
      </c>
      <c r="I554" s="17">
        <f>F554*H554/IF(C554="molde",MAX(1,'Mi negocio'!$C$34),1)</f>
        <v/>
      </c>
    </row>
    <row r="555">
      <c r="A555" t="n">
        <v>37</v>
      </c>
      <c r="B555" s="21" t="inlineStr">
        <is>
          <t>Ojo Eyeball Sangriento con Núcleo Líquido de Cereza Ácida (Spooky Eyeball with Sour Cherry Lava Core)</t>
        </is>
      </c>
      <c r="C555" t="inlineStr">
        <is>
          <t>sabor</t>
        </is>
      </c>
      <c r="D555" s="22" t="inlineStr">
        <is>
          <t>6 ml Solución de ácido cítrico al 50% p/v</t>
        </is>
      </c>
      <c r="E555" s="6" t="inlineStr">
        <is>
          <t>Solución de ácido cítrico al 50% p/v (elaborada)</t>
        </is>
      </c>
      <c r="F555" s="16" t="n">
        <v>6</v>
      </c>
      <c r="G555" t="inlineStr">
        <is>
          <t>ml</t>
        </is>
      </c>
      <c r="H555" s="12">
        <f>IFERROR(VLOOKUP(E555,Insumos!$C$5:$G$100,5,FALSE),0)</f>
        <v/>
      </c>
      <c r="I555" s="17">
        <f>F555*H555/IF(C555="molde",MAX(1,'Mi negocio'!$C$34),1)</f>
        <v/>
      </c>
    </row>
    <row r="556">
      <c r="A556" t="n">
        <v>37</v>
      </c>
      <c r="B556" s="21" t="inlineStr">
        <is>
          <t>Ojo Eyeball Sangriento con Núcleo Líquido de Cereza Ácida (Spooky Eyeball with Sour Cherry Lava Core)</t>
        </is>
      </c>
      <c r="C556" t="inlineStr">
        <is>
          <t>sabor</t>
        </is>
      </c>
      <c r="D556" s="22" t="inlineStr">
        <is>
          <t>1.5 ml Aroma natural de tutti-frutti / manzana dulce</t>
        </is>
      </c>
      <c r="E556" s="6" t="inlineStr">
        <is>
          <t>Aroma natural hidrosoluble concentrado</t>
        </is>
      </c>
      <c r="F556" s="16" t="n">
        <v>1.5</v>
      </c>
      <c r="G556" t="inlineStr">
        <is>
          <t>ml</t>
        </is>
      </c>
      <c r="H556" s="12">
        <f>IFERROR(VLOOKUP(E556,Insumos!$C$5:$G$100,5,FALSE),0)</f>
        <v/>
      </c>
      <c r="I556" s="17">
        <f>F556*H556/IF(C556="molde",MAX(1,'Mi negocio'!$C$34),1)</f>
        <v/>
      </c>
    </row>
    <row r="557">
      <c r="A557" t="n">
        <v>37</v>
      </c>
      <c r="B557" s="21" t="inlineStr">
        <is>
          <t>Ojo Eyeball Sangriento con Núcleo Líquido de Cereza Ácida (Spooky Eyeball with Sour Cherry Lava Core)</t>
        </is>
      </c>
      <c r="C557" t="inlineStr">
        <is>
          <t>sabor</t>
        </is>
      </c>
      <c r="D557" s="22" t="inlineStr">
        <is>
          <t>0.4 g Dióxido de titanio (para la esclerótica blanca de 325 g)</t>
        </is>
      </c>
      <c r="E557" s="6" t="inlineStr">
        <is>
          <t>Dióxido de titanio o blanco alimentario</t>
        </is>
      </c>
      <c r="F557" s="16" t="n">
        <v>0.4</v>
      </c>
      <c r="G557" t="inlineStr">
        <is>
          <t>g</t>
        </is>
      </c>
      <c r="H557" s="12">
        <f>IFERROR(VLOOKUP(E557,Insumos!$C$5:$G$100,5,FALSE),0)</f>
        <v/>
      </c>
      <c r="I557" s="17">
        <f>F557*H557/IF(C557="molde",MAX(1,'Mi negocio'!$C$34),1)</f>
        <v/>
      </c>
    </row>
    <row r="558">
      <c r="A558" t="n">
        <v>37</v>
      </c>
      <c r="B558" s="21" t="inlineStr">
        <is>
          <t>Ojo Eyeball Sangriento con Núcleo Líquido de Cereza Ácida (Spooky Eyeball with Sour Cherry Lava Core)</t>
        </is>
      </c>
      <c r="C558" t="inlineStr">
        <is>
          <t>azucar</t>
        </is>
      </c>
      <c r="D558" s="22" t="inlineStr">
        <is>
          <t>45 g Jarabe de glucosa 60DE de alta fluidez</t>
        </is>
      </c>
      <c r="E558" s="6" t="inlineStr">
        <is>
          <t>Jarabe de glucosa 60 DE de alta fluidez</t>
        </is>
      </c>
      <c r="F558" s="16" t="n">
        <v>45</v>
      </c>
      <c r="G558" t="inlineStr">
        <is>
          <t>g</t>
        </is>
      </c>
      <c r="H558" s="12">
        <f>IFERROR(VLOOKUP(E558,Insumos!$C$5:$G$100,5,FALSE),0)</f>
        <v/>
      </c>
      <c r="I558" s="17">
        <f>F558*H558/IF(C558="molde",MAX(1,'Mi negocio'!$C$34),1)</f>
        <v/>
      </c>
    </row>
    <row r="559">
      <c r="A559" t="n">
        <v>37</v>
      </c>
      <c r="B559" s="21" t="inlineStr">
        <is>
          <t>Ojo Eyeball Sangriento con Núcleo Líquido de Cereza Ácida (Spooky Eyeball with Sour Cherry Lava Core)</t>
        </is>
      </c>
      <c r="C559" t="inlineStr">
        <is>
          <t>sabor</t>
        </is>
      </c>
      <c r="D559" s="22" t="inlineStr">
        <is>
          <t>35 g Concentrado puro de cereza ácida (Morello Cherry, filtrado a 50 mum)</t>
        </is>
      </c>
      <c r="E559" s="6" t="inlineStr">
        <is>
          <t>Puré concentrado de zarzamora, mora azul o grosella</t>
        </is>
      </c>
      <c r="F559" s="16" t="n">
        <v>35</v>
      </c>
      <c r="G559" t="inlineStr">
        <is>
          <t>g</t>
        </is>
      </c>
      <c r="H559" s="12">
        <f>IFERROR(VLOOKUP(E559,Insumos!$C$5:$G$100,5,FALSE),0)</f>
        <v/>
      </c>
      <c r="I559" s="17">
        <f>F559*H559/IF(C559="molde",MAX(1,'Mi negocio'!$C$34),1)</f>
        <v/>
      </c>
    </row>
    <row r="560">
      <c r="A560" t="n">
        <v>37</v>
      </c>
      <c r="B560" s="21" t="inlineStr">
        <is>
          <t>Ojo Eyeball Sangriento con Núcleo Líquido de Cereza Ácida (Spooky Eyeball with Sour Cherry Lava Core)</t>
        </is>
      </c>
      <c r="C560" t="inlineStr">
        <is>
          <t>azucar</t>
        </is>
      </c>
      <c r="D560" s="22" t="inlineStr">
        <is>
          <t>25 g Azúcar blanca refinada</t>
        </is>
      </c>
      <c r="E560" s="6" t="inlineStr">
        <is>
          <t>Azúcar blanca refinada</t>
        </is>
      </c>
      <c r="F560" s="16" t="n">
        <v>25</v>
      </c>
      <c r="G560" t="inlineStr">
        <is>
          <t>g</t>
        </is>
      </c>
      <c r="H560" s="12">
        <f>IFERROR(VLOOKUP(E560,Insumos!$C$5:$G$100,5,FALSE),0)</f>
        <v/>
      </c>
      <c r="I560" s="17">
        <f>F560*H560/IF(C560="molde",MAX(1,'Mi negocio'!$C$34),1)</f>
        <v/>
      </c>
    </row>
    <row r="561">
      <c r="A561" t="n">
        <v>37</v>
      </c>
      <c r="B561" s="21" t="inlineStr">
        <is>
          <t>Ojo Eyeball Sangriento con Núcleo Líquido de Cereza Ácida (Spooky Eyeball with Sour Cherry Lava Core)</t>
        </is>
      </c>
      <c r="C561" t="inlineStr">
        <is>
          <t>azucar</t>
        </is>
      </c>
      <c r="D561" s="22" t="inlineStr">
        <is>
          <t>12 g Glicerina vegetal pura grado alimenticio (plastificante y depresor osmótico)</t>
        </is>
      </c>
      <c r="E561" s="6" t="inlineStr">
        <is>
          <t>Glicerina vegetal grado alimenticio</t>
        </is>
      </c>
      <c r="F561" s="16" t="n">
        <v>12</v>
      </c>
      <c r="G561" t="inlineStr">
        <is>
          <t>ml</t>
        </is>
      </c>
      <c r="H561" s="12">
        <f>IFERROR(VLOOKUP(E561,Insumos!$C$5:$G$100,5,FALSE),0)</f>
        <v/>
      </c>
      <c r="I561" s="17">
        <f>F561*H561/IF(C561="molde",MAX(1,'Mi negocio'!$C$34),1)</f>
        <v/>
      </c>
    </row>
    <row r="562">
      <c r="A562" t="n">
        <v>37</v>
      </c>
      <c r="B562" s="21" t="inlineStr">
        <is>
          <t>Ojo Eyeball Sangriento con Núcleo Líquido de Cereza Ácida (Spooky Eyeball with Sour Cherry Lava Core)</t>
        </is>
      </c>
      <c r="C562" t="inlineStr">
        <is>
          <t>gelificante</t>
        </is>
      </c>
      <c r="D562" s="22" t="inlineStr">
        <is>
          <t>0.8 g Pectina de Bajo Metoxilo (LMA, estabilizante anti-goteo)</t>
        </is>
      </c>
      <c r="E562" s="6" t="inlineStr">
        <is>
          <t>Pectina de bajo metoxilo amidada (LMA)</t>
        </is>
      </c>
      <c r="F562" s="16" t="n">
        <v>0.8</v>
      </c>
      <c r="G562" t="inlineStr">
        <is>
          <t>g</t>
        </is>
      </c>
      <c r="H562" s="12">
        <f>IFERROR(VLOOKUP(E562,Insumos!$C$5:$G$100,5,FALSE),0)</f>
        <v/>
      </c>
      <c r="I562" s="17">
        <f>F562*H562/IF(C562="molde",MAX(1,'Mi negocio'!$C$34),1)</f>
        <v/>
      </c>
    </row>
    <row r="563">
      <c r="A563" t="n">
        <v>37</v>
      </c>
      <c r="B563" s="21" t="inlineStr">
        <is>
          <t>Ojo Eyeball Sangriento con Núcleo Líquido de Cereza Ácida (Spooky Eyeball with Sour Cherry Lava Core)</t>
        </is>
      </c>
      <c r="C563" t="inlineStr">
        <is>
          <t>sabor</t>
        </is>
      </c>
      <c r="D563" s="22" t="inlineStr">
        <is>
          <t>5 ml Solución de ácido málico al 50% p/v</t>
        </is>
      </c>
      <c r="E563" s="6" t="inlineStr">
        <is>
          <t>Ácido málico micronizado</t>
        </is>
      </c>
      <c r="F563" s="16" t="n">
        <v>5</v>
      </c>
      <c r="G563" t="inlineStr">
        <is>
          <t>g</t>
        </is>
      </c>
      <c r="H563" s="12">
        <f>IFERROR(VLOOKUP(E563,Insumos!$C$5:$G$100,5,FALSE),0)</f>
        <v/>
      </c>
      <c r="I563" s="17">
        <f>F563*H563/IF(C563="molde",MAX(1,'Mi negocio'!$C$34),1)</f>
        <v/>
      </c>
    </row>
    <row r="564">
      <c r="A564" t="n">
        <v>37</v>
      </c>
      <c r="B564" s="21" t="inlineStr">
        <is>
          <t>Ojo Eyeball Sangriento con Núcleo Líquido de Cereza Ácida (Spooky Eyeball with Sour Cherry Lava Core)</t>
        </is>
      </c>
      <c r="C564" t="inlineStr">
        <is>
          <t>sabor</t>
        </is>
      </c>
      <c r="D564" s="22" t="inlineStr">
        <is>
          <t>1 ml Aroma natural concentrado de cereza negra ácida</t>
        </is>
      </c>
      <c r="E564" s="6" t="inlineStr">
        <is>
          <t>Aroma natural hidrosoluble concentrado</t>
        </is>
      </c>
      <c r="F564" s="16" t="n">
        <v>1</v>
      </c>
      <c r="G564" t="inlineStr">
        <is>
          <t>ml</t>
        </is>
      </c>
      <c r="H564" s="12">
        <f>IFERROR(VLOOKUP(E564,Insumos!$C$5:$G$100,5,FALSE),0)</f>
        <v/>
      </c>
      <c r="I564" s="17">
        <f>F564*H564/IF(C564="molde",MAX(1,'Mi negocio'!$C$34),1)</f>
        <v/>
      </c>
    </row>
    <row r="565">
      <c r="A565" t="n">
        <v>37</v>
      </c>
      <c r="B565" s="21" t="inlineStr">
        <is>
          <t>Ojo Eyeball Sangriento con Núcleo Líquido de Cereza Ácida (Spooky Eyeball with Sour Cherry Lava Core)</t>
        </is>
      </c>
      <c r="C565" t="inlineStr">
        <is>
          <t>sabor</t>
        </is>
      </c>
      <c r="D565" s="22" t="inlineStr">
        <is>
          <t>0.25 g Colorante rojo allura concentrado + traza de azul (rojo sangre arterial oscuro)</t>
        </is>
      </c>
      <c r="E565" s="6" t="inlineStr">
        <is>
          <t>Colorante rojo carmín o allura hidrosoluble</t>
        </is>
      </c>
      <c r="F565" s="16" t="n">
        <v>0.25</v>
      </c>
      <c r="G565" t="inlineStr">
        <is>
          <t>g</t>
        </is>
      </c>
      <c r="H565" s="12">
        <f>IFERROR(VLOOKUP(E565,Insumos!$C$5:$G$100,5,FALSE),0)</f>
        <v/>
      </c>
      <c r="I565" s="17">
        <f>F565*H565/IF(C565="molde",MAX(1,'Mi negocio'!$C$34),1)</f>
        <v/>
      </c>
    </row>
    <row r="566">
      <c r="A566" t="n">
        <v>37</v>
      </c>
      <c r="B566" s="21" t="inlineStr">
        <is>
          <t>Ojo Eyeball Sangriento con Núcleo Líquido de Cereza Ácida (Spooky Eyeball with Sour Cherry Lava Core)</t>
        </is>
      </c>
      <c r="C566" t="inlineStr">
        <is>
          <t>acabado</t>
        </is>
      </c>
      <c r="D566" s="22" t="inlineStr">
        <is>
          <t>2 g Aceite MCT con cera de carnauba</t>
        </is>
      </c>
      <c r="E566" s="6" t="inlineStr">
        <is>
          <t>Agente de brillo de carnauba en MCT (elaborado)</t>
        </is>
      </c>
      <c r="F566" s="16" t="n">
        <v>2</v>
      </c>
      <c r="G566" t="inlineStr">
        <is>
          <t>g</t>
        </is>
      </c>
      <c r="H566" s="12">
        <f>IFERROR(VLOOKUP(E566,Insumos!$C$5:$G$100,5,FALSE),0)</f>
        <v/>
      </c>
      <c r="I566" s="17">
        <f>F566*H566/IF(C566="molde",MAX(1,'Mi negocio'!$C$34),1)</f>
        <v/>
      </c>
    </row>
    <row r="567">
      <c r="A567" t="n">
        <v>38</v>
      </c>
      <c r="B567" s="21" t="inlineStr">
        <is>
          <t>Gota Francesa Rellena de Confit Frutal en Pectina Pura (Pâte de Fruits Framboise Fourrée au Confit de Maracuyá)</t>
        </is>
      </c>
      <c r="C567" t="inlineStr">
        <is>
          <t>sabor</t>
        </is>
      </c>
      <c r="D567" s="22" t="inlineStr">
        <is>
          <t>140 g Puré concentrado de frambuesa sin semillas (100% fruta)</t>
        </is>
      </c>
      <c r="E567" s="6" t="inlineStr">
        <is>
          <t>Puré concentrado de fresa o frambuesa sin semillas</t>
        </is>
      </c>
      <c r="F567" s="16" t="n">
        <v>140</v>
      </c>
      <c r="G567" t="inlineStr">
        <is>
          <t>g</t>
        </is>
      </c>
      <c r="H567" s="12">
        <f>IFERROR(VLOOKUP(E567,Insumos!$C$5:$G$100,5,FALSE),0)</f>
        <v/>
      </c>
      <c r="I567" s="17">
        <f>F567*H567/IF(C567="molde",MAX(1,'Mi negocio'!$C$34),1)</f>
        <v/>
      </c>
    </row>
    <row r="568">
      <c r="A568" t="n">
        <v>38</v>
      </c>
      <c r="B568" s="21" t="inlineStr">
        <is>
          <t>Gota Francesa Rellena de Confit Frutal en Pectina Pura (Pâte de Fruits Framboise Fourrée au Confit de Maracuyá)</t>
        </is>
      </c>
      <c r="C568" t="inlineStr">
        <is>
          <t>sabor</t>
        </is>
      </c>
      <c r="D568" s="22" t="inlineStr">
        <is>
          <t>25 ml Agua desmineralizada</t>
        </is>
      </c>
      <c r="E568" s="6" t="inlineStr">
        <is>
          <t>Agua desmineralizada o purificada</t>
        </is>
      </c>
      <c r="F568" s="16" t="n">
        <v>25</v>
      </c>
      <c r="G568" t="inlineStr">
        <is>
          <t>ml</t>
        </is>
      </c>
      <c r="H568" s="12">
        <f>IFERROR(VLOOKUP(E568,Insumos!$C$5:$G$100,5,FALSE),0)</f>
        <v/>
      </c>
      <c r="I568" s="17">
        <f>F568*H568/IF(C568="molde",MAX(1,'Mi negocio'!$C$34),1)</f>
        <v/>
      </c>
    </row>
    <row r="569">
      <c r="A569" t="n">
        <v>38</v>
      </c>
      <c r="B569" s="21" t="inlineStr">
        <is>
          <t>Gota Francesa Rellena de Confit Frutal en Pectina Pura (Pâte de Fruits Framboise Fourrée au Confit de Maracuyá)</t>
        </is>
      </c>
      <c r="C569" t="inlineStr">
        <is>
          <t>gelificante</t>
        </is>
      </c>
      <c r="D569" s="22" t="inlineStr">
        <is>
          <t>8.5 g Pectina de Alto Metoxilo lenta (HM Slow-Set Pectin)</t>
        </is>
      </c>
      <c r="E569" s="6" t="inlineStr">
        <is>
          <t>Pectina de alto metoxilo lenta (HM slow-set)</t>
        </is>
      </c>
      <c r="F569" s="16" t="n">
        <v>8.5</v>
      </c>
      <c r="G569" t="inlineStr">
        <is>
          <t>g</t>
        </is>
      </c>
      <c r="H569" s="12">
        <f>IFERROR(VLOOKUP(E569,Insumos!$C$5:$G$100,5,FALSE),0)</f>
        <v/>
      </c>
      <c r="I569" s="17">
        <f>F569*H569/IF(C569="molde",MAX(1,'Mi negocio'!$C$34),1)</f>
        <v/>
      </c>
    </row>
    <row r="570">
      <c r="A570" t="n">
        <v>38</v>
      </c>
      <c r="B570" s="21" t="inlineStr">
        <is>
          <t>Gota Francesa Rellena de Confit Frutal en Pectina Pura (Pâte de Fruits Framboise Fourrée au Confit de Maracuyá)</t>
        </is>
      </c>
      <c r="C570" t="inlineStr">
        <is>
          <t>azucar</t>
        </is>
      </c>
      <c r="D570" s="22" t="inlineStr">
        <is>
          <t>25 g Azúcar refinada (para dispersión en seco)</t>
        </is>
      </c>
      <c r="E570" s="6" t="inlineStr">
        <is>
          <t>Azúcar blanca refinada</t>
        </is>
      </c>
      <c r="F570" s="16" t="n">
        <v>25</v>
      </c>
      <c r="G570" t="inlineStr">
        <is>
          <t>g</t>
        </is>
      </c>
      <c r="H570" s="12">
        <f>IFERROR(VLOOKUP(E570,Insumos!$C$5:$G$100,5,FALSE),0)</f>
        <v/>
      </c>
      <c r="I570" s="17">
        <f>F570*H570/IF(C570="molde",MAX(1,'Mi negocio'!$C$34),1)</f>
        <v/>
      </c>
    </row>
    <row r="571">
      <c r="A571" t="n">
        <v>38</v>
      </c>
      <c r="B571" s="21" t="inlineStr">
        <is>
          <t>Gota Francesa Rellena de Confit Frutal en Pectina Pura (Pâte de Fruits Framboise Fourrée au Confit de Maracuyá)</t>
        </is>
      </c>
      <c r="C571" t="inlineStr">
        <is>
          <t>azucar</t>
        </is>
      </c>
      <c r="D571" s="22" t="inlineStr">
        <is>
          <t>130 g Azúcar blanca refinada pura</t>
        </is>
      </c>
      <c r="E571" s="6" t="inlineStr">
        <is>
          <t>Azúcar blanca refinada</t>
        </is>
      </c>
      <c r="F571" s="16" t="n">
        <v>130</v>
      </c>
      <c r="G571" t="inlineStr">
        <is>
          <t>g</t>
        </is>
      </c>
      <c r="H571" s="12">
        <f>IFERROR(VLOOKUP(E571,Insumos!$C$5:$G$100,5,FALSE),0)</f>
        <v/>
      </c>
      <c r="I571" s="17">
        <f>F571*H571/IF(C571="molde",MAX(1,'Mi negocio'!$C$34),1)</f>
        <v/>
      </c>
    </row>
    <row r="572">
      <c r="A572" t="n">
        <v>38</v>
      </c>
      <c r="B572" s="21" t="inlineStr">
        <is>
          <t>Gota Francesa Rellena de Confit Frutal en Pectina Pura (Pâte de Fruits Framboise Fourrée au Confit de Maracuyá)</t>
        </is>
      </c>
      <c r="C572" t="inlineStr">
        <is>
          <t>azucar</t>
        </is>
      </c>
      <c r="D572" s="22" t="inlineStr">
        <is>
          <t>65 g Jarabe de glucosa 42DE</t>
        </is>
      </c>
      <c r="E572" s="6" t="inlineStr">
        <is>
          <t>Jarabe de glucosa 42 DE</t>
        </is>
      </c>
      <c r="F572" s="16" t="n">
        <v>65</v>
      </c>
      <c r="G572" t="inlineStr">
        <is>
          <t>g</t>
        </is>
      </c>
      <c r="H572" s="12">
        <f>IFERROR(VLOOKUP(E572,Insumos!$C$5:$G$100,5,FALSE),0)</f>
        <v/>
      </c>
      <c r="I572" s="17">
        <f>F572*H572/IF(C572="molde",MAX(1,'Mi negocio'!$C$34),1)</f>
        <v/>
      </c>
    </row>
    <row r="573">
      <c r="A573" t="n">
        <v>38</v>
      </c>
      <c r="B573" s="21" t="inlineStr">
        <is>
          <t>Gota Francesa Rellena de Confit Frutal en Pectina Pura (Pâte de Fruits Framboise Fourrée au Confit de Maracuyá)</t>
        </is>
      </c>
      <c r="C573" t="inlineStr">
        <is>
          <t>azucar</t>
        </is>
      </c>
      <c r="D573" s="22" t="inlineStr">
        <is>
          <t>10 g Sorbitol líquido al 70%</t>
        </is>
      </c>
      <c r="E573" s="6" t="inlineStr">
        <is>
          <t>Sorbitol líquido al 70%</t>
        </is>
      </c>
      <c r="F573" s="16" t="n">
        <v>10</v>
      </c>
      <c r="G573" t="inlineStr">
        <is>
          <t>g</t>
        </is>
      </c>
      <c r="H573" s="12">
        <f>IFERROR(VLOOKUP(E573,Insumos!$C$5:$G$100,5,FALSE),0)</f>
        <v/>
      </c>
      <c r="I573" s="17">
        <f>F573*H573/IF(C573="molde",MAX(1,'Mi negocio'!$C$34),1)</f>
        <v/>
      </c>
    </row>
    <row r="574">
      <c r="A574" t="n">
        <v>38</v>
      </c>
      <c r="B574" s="21" t="inlineStr">
        <is>
          <t>Gota Francesa Rellena de Confit Frutal en Pectina Pura (Pâte de Fruits Framboise Fourrée au Confit de Maracuyá)</t>
        </is>
      </c>
      <c r="C574" t="inlineStr">
        <is>
          <t>sabor</t>
        </is>
      </c>
      <c r="D574" s="22" t="inlineStr">
        <is>
          <t>6 ml Solución de ácido tartárico al 50% p/v</t>
        </is>
      </c>
      <c r="E574" s="6" t="inlineStr">
        <is>
          <t>Ácido tartárico fino</t>
        </is>
      </c>
      <c r="F574" s="16" t="n">
        <v>6</v>
      </c>
      <c r="G574" t="inlineStr">
        <is>
          <t>g</t>
        </is>
      </c>
      <c r="H574" s="12">
        <f>IFERROR(VLOOKUP(E574,Insumos!$C$5:$G$100,5,FALSE),0)</f>
        <v/>
      </c>
      <c r="I574" s="17">
        <f>F574*H574/IF(C574="molde",MAX(1,'Mi negocio'!$C$34),1)</f>
        <v/>
      </c>
    </row>
    <row r="575">
      <c r="A575" t="n">
        <v>38</v>
      </c>
      <c r="B575" s="21" t="inlineStr">
        <is>
          <t>Gota Francesa Rellena de Confit Frutal en Pectina Pura (Pâte de Fruits Framboise Fourrée au Confit de Maracuyá)</t>
        </is>
      </c>
      <c r="C575" t="inlineStr">
        <is>
          <t>sabor</t>
        </is>
      </c>
      <c r="D575" s="22" t="inlineStr">
        <is>
          <t>1 ml Aroma natural de frambuesa</t>
        </is>
      </c>
      <c r="E575" s="6" t="inlineStr">
        <is>
          <t>Aroma natural hidrosoluble concentrado</t>
        </is>
      </c>
      <c r="F575" s="16" t="n">
        <v>1</v>
      </c>
      <c r="G575" t="inlineStr">
        <is>
          <t>ml</t>
        </is>
      </c>
      <c r="H575" s="12">
        <f>IFERROR(VLOOKUP(E575,Insumos!$C$5:$G$100,5,FALSE),0)</f>
        <v/>
      </c>
      <c r="I575" s="17">
        <f>F575*H575/IF(C575="molde",MAX(1,'Mi negocio'!$C$34),1)</f>
        <v/>
      </c>
    </row>
    <row r="576">
      <c r="A576" t="n">
        <v>38</v>
      </c>
      <c r="B576" s="21" t="inlineStr">
        <is>
          <t>Gota Francesa Rellena de Confit Frutal en Pectina Pura (Pâte de Fruits Framboise Fourrée au Confit de Maracuyá)</t>
        </is>
      </c>
      <c r="C576" t="inlineStr">
        <is>
          <t>sabor</t>
        </is>
      </c>
      <c r="D576" s="22" t="inlineStr">
        <is>
          <t>70 g Puré concentrado de maracuyá 100% puro (sin semillas, pH ≈3.0)</t>
        </is>
      </c>
      <c r="E576" s="6" t="inlineStr">
        <is>
          <t>Puré concentrado de maracuyá sin semillas</t>
        </is>
      </c>
      <c r="F576" s="16" t="n">
        <v>70</v>
      </c>
      <c r="G576" t="inlineStr">
        <is>
          <t>g</t>
        </is>
      </c>
      <c r="H576" s="12">
        <f>IFERROR(VLOOKUP(E576,Insumos!$C$5:$G$100,5,FALSE),0)</f>
        <v/>
      </c>
      <c r="I576" s="17">
        <f>F576*H576/IF(C576="molde",MAX(1,'Mi negocio'!$C$34),1)</f>
        <v/>
      </c>
    </row>
    <row r="577">
      <c r="A577" t="n">
        <v>38</v>
      </c>
      <c r="B577" s="21" t="inlineStr">
        <is>
          <t>Gota Francesa Rellena de Confit Frutal en Pectina Pura (Pâte de Fruits Framboise Fourrée au Confit de Maracuyá)</t>
        </is>
      </c>
      <c r="C577" t="inlineStr">
        <is>
          <t>sabor</t>
        </is>
      </c>
      <c r="D577" s="22" t="inlineStr">
        <is>
          <t>15 ml Agua desmineralizada</t>
        </is>
      </c>
      <c r="E577" s="6" t="inlineStr">
        <is>
          <t>Agua desmineralizada o purificada</t>
        </is>
      </c>
      <c r="F577" s="16" t="n">
        <v>15</v>
      </c>
      <c r="G577" t="inlineStr">
        <is>
          <t>ml</t>
        </is>
      </c>
      <c r="H577" s="12">
        <f>IFERROR(VLOOKUP(E577,Insumos!$C$5:$G$100,5,FALSE),0)</f>
        <v/>
      </c>
      <c r="I577" s="17">
        <f>F577*H577/IF(C577="molde",MAX(1,'Mi negocio'!$C$34),1)</f>
        <v/>
      </c>
    </row>
    <row r="578">
      <c r="A578" t="n">
        <v>38</v>
      </c>
      <c r="B578" s="21" t="inlineStr">
        <is>
          <t>Gota Francesa Rellena de Confit Frutal en Pectina Pura (Pâte de Fruits Framboise Fourrée au Confit de Maracuyá)</t>
        </is>
      </c>
      <c r="C578" t="inlineStr">
        <is>
          <t>gelificante</t>
        </is>
      </c>
      <c r="D578" s="22" t="inlineStr">
        <is>
          <t>3.5 g Pectina de Alto Metoxilo lenta (HM Slow-Set)</t>
        </is>
      </c>
      <c r="E578" s="6" t="inlineStr">
        <is>
          <t>Pectina de alto metoxilo lenta (HM slow-set)</t>
        </is>
      </c>
      <c r="F578" s="16" t="n">
        <v>3.5</v>
      </c>
      <c r="G578" t="inlineStr">
        <is>
          <t>g</t>
        </is>
      </c>
      <c r="H578" s="12">
        <f>IFERROR(VLOOKUP(E578,Insumos!$C$5:$G$100,5,FALSE),0)</f>
        <v/>
      </c>
      <c r="I578" s="17">
        <f>F578*H578/IF(C578="molde",MAX(1,'Mi negocio'!$C$34),1)</f>
        <v/>
      </c>
    </row>
    <row r="579">
      <c r="A579" t="n">
        <v>38</v>
      </c>
      <c r="B579" s="21" t="inlineStr">
        <is>
          <t>Gota Francesa Rellena de Confit Frutal en Pectina Pura (Pâte de Fruits Framboise Fourrée au Confit de Maracuyá)</t>
        </is>
      </c>
      <c r="C579" t="inlineStr">
        <is>
          <t>azucar</t>
        </is>
      </c>
      <c r="D579" s="22" t="inlineStr">
        <is>
          <t>15 g Azúcar refinada (para dispersión)</t>
        </is>
      </c>
      <c r="E579" s="6" t="inlineStr">
        <is>
          <t>Azúcar blanca refinada</t>
        </is>
      </c>
      <c r="F579" s="16" t="n">
        <v>15</v>
      </c>
      <c r="G579" t="inlineStr">
        <is>
          <t>g</t>
        </is>
      </c>
      <c r="H579" s="12">
        <f>IFERROR(VLOOKUP(E579,Insumos!$C$5:$G$100,5,FALSE),0)</f>
        <v/>
      </c>
      <c r="I579" s="17">
        <f>F579*H579/IF(C579="molde",MAX(1,'Mi negocio'!$C$34),1)</f>
        <v/>
      </c>
    </row>
    <row r="580">
      <c r="A580" t="n">
        <v>38</v>
      </c>
      <c r="B580" s="21" t="inlineStr">
        <is>
          <t>Gota Francesa Rellena de Confit Frutal en Pectina Pura (Pâte de Fruits Framboise Fourrée au Confit de Maracuyá)</t>
        </is>
      </c>
      <c r="C580" t="inlineStr">
        <is>
          <t>azucar</t>
        </is>
      </c>
      <c r="D580" s="22" t="inlineStr">
        <is>
          <t>50 g Azúcar blanca refinada</t>
        </is>
      </c>
      <c r="E580" s="6" t="inlineStr">
        <is>
          <t>Azúcar blanca refinada</t>
        </is>
      </c>
      <c r="F580" s="16" t="n">
        <v>50</v>
      </c>
      <c r="G580" t="inlineStr">
        <is>
          <t>g</t>
        </is>
      </c>
      <c r="H580" s="12">
        <f>IFERROR(VLOOKUP(E580,Insumos!$C$5:$G$100,5,FALSE),0)</f>
        <v/>
      </c>
      <c r="I580" s="17">
        <f>F580*H580/IF(C580="molde",MAX(1,'Mi negocio'!$C$34),1)</f>
        <v/>
      </c>
    </row>
    <row r="581">
      <c r="A581" t="n">
        <v>38</v>
      </c>
      <c r="B581" s="21" t="inlineStr">
        <is>
          <t>Gota Francesa Rellena de Confit Frutal en Pectina Pura (Pâte de Fruits Framboise Fourrée au Confit de Maracuyá)</t>
        </is>
      </c>
      <c r="C581" t="inlineStr">
        <is>
          <t>azucar</t>
        </is>
      </c>
      <c r="D581" s="22" t="inlineStr">
        <is>
          <t>25 g Jarabe de glucosa 42DE</t>
        </is>
      </c>
      <c r="E581" s="6" t="inlineStr">
        <is>
          <t>Jarabe de glucosa 42 DE</t>
        </is>
      </c>
      <c r="F581" s="16" t="n">
        <v>25</v>
      </c>
      <c r="G581" t="inlineStr">
        <is>
          <t>g</t>
        </is>
      </c>
      <c r="H581" s="12">
        <f>IFERROR(VLOOKUP(E581,Insumos!$C$5:$G$100,5,FALSE),0)</f>
        <v/>
      </c>
      <c r="I581" s="17">
        <f>F581*H581/IF(C581="molde",MAX(1,'Mi negocio'!$C$34),1)</f>
        <v/>
      </c>
    </row>
    <row r="582">
      <c r="A582" t="n">
        <v>38</v>
      </c>
      <c r="B582" s="21" t="inlineStr">
        <is>
          <t>Gota Francesa Rellena de Confit Frutal en Pectina Pura (Pâte de Fruits Framboise Fourrée au Confit de Maracuyá)</t>
        </is>
      </c>
      <c r="C582" t="inlineStr">
        <is>
          <t>sabor</t>
        </is>
      </c>
      <c r="D582" s="22" t="inlineStr">
        <is>
          <t>3 ml Solución de ácido cítrico al 50% p/v</t>
        </is>
      </c>
      <c r="E582" s="6" t="inlineStr">
        <is>
          <t>Solución de ácido cítrico al 50% p/v (elaborada)</t>
        </is>
      </c>
      <c r="F582" s="16" t="n">
        <v>3</v>
      </c>
      <c r="G582" t="inlineStr">
        <is>
          <t>ml</t>
        </is>
      </c>
      <c r="H582" s="12">
        <f>IFERROR(VLOOKUP(E582,Insumos!$C$5:$G$100,5,FALSE),0)</f>
        <v/>
      </c>
      <c r="I582" s="17">
        <f>F582*H582/IF(C582="molde",MAX(1,'Mi negocio'!$C$34),1)</f>
        <v/>
      </c>
    </row>
    <row r="583">
      <c r="A583" t="n">
        <v>38</v>
      </c>
      <c r="B583" s="21" t="inlineStr">
        <is>
          <t>Gota Francesa Rellena de Confit Frutal en Pectina Pura (Pâte de Fruits Framboise Fourrée au Confit de Maracuyá)</t>
        </is>
      </c>
      <c r="C583" t="inlineStr">
        <is>
          <t>acabado</t>
        </is>
      </c>
      <c r="D583" s="22" t="inlineStr">
        <is>
          <t>120 g Azúcar cristalino de grano medio (400-600 mum)</t>
        </is>
      </c>
      <c r="E583" s="6" t="inlineStr">
        <is>
          <t>Azúcar cristal de grano medio a grueso (rebozado)</t>
        </is>
      </c>
      <c r="F583" s="16" t="n">
        <v>120</v>
      </c>
      <c r="G583" t="inlineStr">
        <is>
          <t>g</t>
        </is>
      </c>
      <c r="H583" s="12">
        <f>IFERROR(VLOOKUP(E583,Insumos!$C$5:$G$100,5,FALSE),0)</f>
        <v/>
      </c>
      <c r="I583" s="17">
        <f>F583*H583/IF(C583="molde",MAX(1,'Mi negocio'!$C$34),1)</f>
        <v/>
      </c>
    </row>
    <row r="584">
      <c r="A584" t="n">
        <v>39</v>
      </c>
      <c r="B584" s="21" t="inlineStr">
        <is>
          <t>Bloque Bicolor de Melocotón y Mora con Doble Viscosidad (Dual-Viscosity Peach &amp; Blackberry Layered Brick)</t>
        </is>
      </c>
      <c r="C584" t="inlineStr">
        <is>
          <t>gelificante</t>
        </is>
      </c>
      <c r="D584" s="22" t="inlineStr">
        <is>
          <t>36 g Gelatina en polvo de res de 250 Bloom</t>
        </is>
      </c>
      <c r="E584" s="6" t="inlineStr">
        <is>
          <t>Gelatina en polvo de 240-260 Bloom</t>
        </is>
      </c>
      <c r="F584" s="16" t="n">
        <v>36</v>
      </c>
      <c r="G584" t="inlineStr">
        <is>
          <t>g</t>
        </is>
      </c>
      <c r="H584" s="12">
        <f>IFERROR(VLOOKUP(E584,Insumos!$C$5:$G$100,5,FALSE),0)</f>
        <v/>
      </c>
      <c r="I584" s="17">
        <f>F584*H584/IF(C584="molde",MAX(1,'Mi negocio'!$C$34),1)</f>
        <v/>
      </c>
    </row>
    <row r="585">
      <c r="A585" t="n">
        <v>39</v>
      </c>
      <c r="B585" s="21" t="inlineStr">
        <is>
          <t>Bloque Bicolor de Melocotón y Mora con Doble Viscosidad (Dual-Viscosity Peach &amp; Blackberry Layered Brick)</t>
        </is>
      </c>
      <c r="C585" t="inlineStr">
        <is>
          <t>gelificante</t>
        </is>
      </c>
      <c r="D585" s="22" t="inlineStr">
        <is>
          <t>9 g Almidón modificado de maíz fluidificado (aporta estabilidad dimensional al bloque)</t>
        </is>
      </c>
      <c r="E585" s="6" t="inlineStr">
        <is>
          <t>Almidón modificado de maíz fluidificado</t>
        </is>
      </c>
      <c r="F585" s="16" t="n">
        <v>9</v>
      </c>
      <c r="G585" t="inlineStr">
        <is>
          <t>g</t>
        </is>
      </c>
      <c r="H585" s="12">
        <f>IFERROR(VLOOKUP(E585,Insumos!$C$5:$G$100,5,FALSE),0)</f>
        <v/>
      </c>
      <c r="I585" s="17">
        <f>F585*H585/IF(C585="molde",MAX(1,'Mi negocio'!$C$34),1)</f>
        <v/>
      </c>
    </row>
    <row r="586">
      <c r="A586" t="n">
        <v>39</v>
      </c>
      <c r="B586" s="21" t="inlineStr">
        <is>
          <t>Bloque Bicolor de Melocotón y Mora con Doble Viscosidad (Dual-Viscosity Peach &amp; Blackberry Layered Brick)</t>
        </is>
      </c>
      <c r="C586" t="inlineStr">
        <is>
          <t>sabor</t>
        </is>
      </c>
      <c r="D586" s="22" t="inlineStr">
        <is>
          <t>90 ml Agua desmineralizada a 15 °C</t>
        </is>
      </c>
      <c r="E586" s="6" t="inlineStr">
        <is>
          <t>Agua desmineralizada o purificada</t>
        </is>
      </c>
      <c r="F586" s="16" t="n">
        <v>90</v>
      </c>
      <c r="G586" t="inlineStr">
        <is>
          <t>ml</t>
        </is>
      </c>
      <c r="H586" s="12">
        <f>IFERROR(VLOOKUP(E586,Insumos!$C$5:$G$100,5,FALSE),0)</f>
        <v/>
      </c>
      <c r="I586" s="17">
        <f>F586*H586/IF(C586="molde",MAX(1,'Mi negocio'!$C$34),1)</f>
        <v/>
      </c>
    </row>
    <row r="587">
      <c r="A587" t="n">
        <v>39</v>
      </c>
      <c r="B587" s="21" t="inlineStr">
        <is>
          <t>Bloque Bicolor de Melocotón y Mora con Doble Viscosidad (Dual-Viscosity Peach &amp; Blackberry Layered Brick)</t>
        </is>
      </c>
      <c r="C587" t="inlineStr">
        <is>
          <t>azucar</t>
        </is>
      </c>
      <c r="D587" s="22" t="inlineStr">
        <is>
          <t>195 g Azúcar blanca refinada pura</t>
        </is>
      </c>
      <c r="E587" s="6" t="inlineStr">
        <is>
          <t>Azúcar blanca refinada</t>
        </is>
      </c>
      <c r="F587" s="16" t="n">
        <v>195</v>
      </c>
      <c r="G587" t="inlineStr">
        <is>
          <t>g</t>
        </is>
      </c>
      <c r="H587" s="12">
        <f>IFERROR(VLOOKUP(E587,Insumos!$C$5:$G$100,5,FALSE),0)</f>
        <v/>
      </c>
      <c r="I587" s="17">
        <f>F587*H587/IF(C587="molde",MAX(1,'Mi negocio'!$C$34),1)</f>
        <v/>
      </c>
    </row>
    <row r="588">
      <c r="A588" t="n">
        <v>39</v>
      </c>
      <c r="B588" s="21" t="inlineStr">
        <is>
          <t>Bloque Bicolor de Melocotón y Mora con Doble Viscosidad (Dual-Viscosity Peach &amp; Blackberry Layered Brick)</t>
        </is>
      </c>
      <c r="C588" t="inlineStr">
        <is>
          <t>azucar</t>
        </is>
      </c>
      <c r="D588" s="22" t="inlineStr">
        <is>
          <t>155 g Jarabe de glucosa 42DE</t>
        </is>
      </c>
      <c r="E588" s="6" t="inlineStr">
        <is>
          <t>Jarabe de glucosa 42 DE</t>
        </is>
      </c>
      <c r="F588" s="16" t="n">
        <v>155</v>
      </c>
      <c r="G588" t="inlineStr">
        <is>
          <t>g</t>
        </is>
      </c>
      <c r="H588" s="12">
        <f>IFERROR(VLOOKUP(E588,Insumos!$C$5:$G$100,5,FALSE),0)</f>
        <v/>
      </c>
      <c r="I588" s="17">
        <f>F588*H588/IF(C588="molde",MAX(1,'Mi negocio'!$C$34),1)</f>
        <v/>
      </c>
    </row>
    <row r="589">
      <c r="A589" t="n">
        <v>39</v>
      </c>
      <c r="B589" s="21" t="inlineStr">
        <is>
          <t>Bloque Bicolor de Melocotón y Mora con Doble Viscosidad (Dual-Viscosity Peach &amp; Blackberry Layered Brick)</t>
        </is>
      </c>
      <c r="C589" t="inlineStr">
        <is>
          <t>sabor</t>
        </is>
      </c>
      <c r="D589" s="22" t="inlineStr">
        <is>
          <t>50 ml Agua purificada limpia</t>
        </is>
      </c>
      <c r="E589" s="6" t="inlineStr">
        <is>
          <t>Agua desmineralizada o purificada</t>
        </is>
      </c>
      <c r="F589" s="16" t="n">
        <v>50</v>
      </c>
      <c r="G589" t="inlineStr">
        <is>
          <t>ml</t>
        </is>
      </c>
      <c r="H589" s="12">
        <f>IFERROR(VLOOKUP(E589,Insumos!$C$5:$G$100,5,FALSE),0)</f>
        <v/>
      </c>
      <c r="I589" s="17">
        <f>F589*H589/IF(C589="molde",MAX(1,'Mi negocio'!$C$34),1)</f>
        <v/>
      </c>
    </row>
    <row r="590">
      <c r="A590" t="n">
        <v>39</v>
      </c>
      <c r="B590" s="21" t="inlineStr">
        <is>
          <t>Bloque Bicolor de Melocotón y Mora con Doble Viscosidad (Dual-Viscosity Peach &amp; Blackberry Layered Brick)</t>
        </is>
      </c>
      <c r="C590" t="inlineStr">
        <is>
          <t>azucar</t>
        </is>
      </c>
      <c r="D590" s="22" t="inlineStr">
        <is>
          <t>12 g Sorbitol líquido al 70%</t>
        </is>
      </c>
      <c r="E590" s="6" t="inlineStr">
        <is>
          <t>Sorbitol líquido al 70%</t>
        </is>
      </c>
      <c r="F590" s="16" t="n">
        <v>12</v>
      </c>
      <c r="G590" t="inlineStr">
        <is>
          <t>g</t>
        </is>
      </c>
      <c r="H590" s="12">
        <f>IFERROR(VLOOKUP(E590,Insumos!$C$5:$G$100,5,FALSE),0)</f>
        <v/>
      </c>
      <c r="I590" s="17">
        <f>F590*H590/IF(C590="molde",MAX(1,'Mi negocio'!$C$34),1)</f>
        <v/>
      </c>
    </row>
    <row r="591">
      <c r="A591" t="n">
        <v>39</v>
      </c>
      <c r="B591" s="21" t="inlineStr">
        <is>
          <t>Bloque Bicolor de Melocotón y Mora con Doble Viscosidad (Dual-Viscosity Peach &amp; Blackberry Layered Brick)</t>
        </is>
      </c>
      <c r="C591" t="inlineStr">
        <is>
          <t>sabor</t>
        </is>
      </c>
      <c r="D591" s="22" t="inlineStr">
        <is>
          <t>2 g Citrato de sodio</t>
        </is>
      </c>
      <c r="E591" s="6" t="inlineStr">
        <is>
          <t>Citrato de sodio dihidratado</t>
        </is>
      </c>
      <c r="F591" s="16" t="n">
        <v>2</v>
      </c>
      <c r="G591" t="inlineStr">
        <is>
          <t>g</t>
        </is>
      </c>
      <c r="H591" s="12">
        <f>IFERROR(VLOOKUP(E591,Insumos!$C$5:$G$100,5,FALSE),0)</f>
        <v/>
      </c>
      <c r="I591" s="17">
        <f>F591*H591/IF(C591="molde",MAX(1,'Mi negocio'!$C$34),1)</f>
        <v/>
      </c>
    </row>
    <row r="592">
      <c r="A592" t="n">
        <v>39</v>
      </c>
      <c r="B592" s="21" t="inlineStr">
        <is>
          <t>Bloque Bicolor de Melocotón y Mora con Doble Viscosidad (Dual-Viscosity Peach &amp; Blackberry Layered Brick)</t>
        </is>
      </c>
      <c r="C592" t="inlineStr">
        <is>
          <t>sabor</t>
        </is>
      </c>
      <c r="D592" s="22" t="inlineStr">
        <is>
          <t>4 ml Solución de ácido cítrico al 50% p/v</t>
        </is>
      </c>
      <c r="E592" s="6" t="inlineStr">
        <is>
          <t>Solución de ácido cítrico al 50% p/v (elaborada)</t>
        </is>
      </c>
      <c r="F592" s="16" t="n">
        <v>4</v>
      </c>
      <c r="G592" t="inlineStr">
        <is>
          <t>ml</t>
        </is>
      </c>
      <c r="H592" s="12">
        <f>IFERROR(VLOOKUP(E592,Insumos!$C$5:$G$100,5,FALSE),0)</f>
        <v/>
      </c>
      <c r="I592" s="17">
        <f>F592*H592/IF(C592="molde",MAX(1,'Mi negocio'!$C$34),1)</f>
        <v/>
      </c>
    </row>
    <row r="593">
      <c r="A593" t="n">
        <v>39</v>
      </c>
      <c r="B593" s="21" t="inlineStr">
        <is>
          <t>Bloque Bicolor de Melocotón y Mora con Doble Viscosidad (Dual-Viscosity Peach &amp; Blackberry Layered Brick)</t>
        </is>
      </c>
      <c r="C593" t="inlineStr">
        <is>
          <t>sabor</t>
        </is>
      </c>
      <c r="D593" s="22" t="inlineStr">
        <is>
          <t>1.5 ml Aroma natural de melocotón/durazno maduro</t>
        </is>
      </c>
      <c r="E593" s="6" t="inlineStr">
        <is>
          <t>Aroma natural hidrosoluble concentrado</t>
        </is>
      </c>
      <c r="F593" s="16" t="n">
        <v>1.5</v>
      </c>
      <c r="G593" t="inlineStr">
        <is>
          <t>ml</t>
        </is>
      </c>
      <c r="H593" s="12">
        <f>IFERROR(VLOOKUP(E593,Insumos!$C$5:$G$100,5,FALSE),0)</f>
        <v/>
      </c>
      <c r="I593" s="17">
        <f>F593*H593/IF(C593="molde",MAX(1,'Mi negocio'!$C$34),1)</f>
        <v/>
      </c>
    </row>
    <row r="594">
      <c r="A594" t="n">
        <v>39</v>
      </c>
      <c r="B594" s="21" t="inlineStr">
        <is>
          <t>Bloque Bicolor de Melocotón y Mora con Doble Viscosidad (Dual-Viscosity Peach &amp; Blackberry Layered Brick)</t>
        </is>
      </c>
      <c r="C594" t="inlineStr">
        <is>
          <t>sabor</t>
        </is>
      </c>
      <c r="D594" s="22" t="inlineStr">
        <is>
          <t>0.15 g Colorante amarillo curcumina + traza de achiote (naranja brillante)</t>
        </is>
      </c>
      <c r="E594" s="6" t="inlineStr">
        <is>
          <t>Colorante amarillo curcumina hidrosoluble</t>
        </is>
      </c>
      <c r="F594" s="16" t="n">
        <v>0.15</v>
      </c>
      <c r="G594" t="inlineStr">
        <is>
          <t>g</t>
        </is>
      </c>
      <c r="H594" s="12">
        <f>IFERROR(VLOOKUP(E594,Insumos!$C$5:$G$100,5,FALSE),0)</f>
        <v/>
      </c>
      <c r="I594" s="17">
        <f>F594*H594/IF(C594="molde",MAX(1,'Mi negocio'!$C$34),1)</f>
        <v/>
      </c>
    </row>
    <row r="595">
      <c r="A595" t="n">
        <v>39</v>
      </c>
      <c r="B595" s="21" t="inlineStr">
        <is>
          <t>Bloque Bicolor de Melocotón y Mora con Doble Viscosidad (Dual-Viscosity Peach &amp; Blackberry Layered Brick)</t>
        </is>
      </c>
      <c r="C595" t="inlineStr">
        <is>
          <t>sabor</t>
        </is>
      </c>
      <c r="D595" s="22" t="inlineStr">
        <is>
          <t>5 ml Solución de ácido málico al 50% p/v</t>
        </is>
      </c>
      <c r="E595" s="6" t="inlineStr">
        <is>
          <t>Ácido málico micronizado</t>
        </is>
      </c>
      <c r="F595" s="16" t="n">
        <v>5</v>
      </c>
      <c r="G595" t="inlineStr">
        <is>
          <t>g</t>
        </is>
      </c>
      <c r="H595" s="12">
        <f>IFERROR(VLOOKUP(E595,Insumos!$C$5:$G$100,5,FALSE),0)</f>
        <v/>
      </c>
      <c r="I595" s="17">
        <f>F595*H595/IF(C595="molde",MAX(1,'Mi negocio'!$C$34),1)</f>
        <v/>
      </c>
    </row>
    <row r="596">
      <c r="A596" t="n">
        <v>39</v>
      </c>
      <c r="B596" s="21" t="inlineStr">
        <is>
          <t>Bloque Bicolor de Melocotón y Mora con Doble Viscosidad (Dual-Viscosity Peach &amp; Blackberry Layered Brick)</t>
        </is>
      </c>
      <c r="C596" t="inlineStr">
        <is>
          <t>sabor</t>
        </is>
      </c>
      <c r="D596" s="22" t="inlineStr">
        <is>
          <t>1.5 ml Aroma natural de mora silvestre / zarzamora</t>
        </is>
      </c>
      <c r="E596" s="6" t="inlineStr">
        <is>
          <t>Aroma natural hidrosoluble concentrado</t>
        </is>
      </c>
      <c r="F596" s="16" t="n">
        <v>1.5</v>
      </c>
      <c r="G596" t="inlineStr">
        <is>
          <t>ml</t>
        </is>
      </c>
      <c r="H596" s="12">
        <f>IFERROR(VLOOKUP(E596,Insumos!$C$5:$G$100,5,FALSE),0)</f>
        <v/>
      </c>
      <c r="I596" s="17">
        <f>F596*H596/IF(C596="molde",MAX(1,'Mi negocio'!$C$34),1)</f>
        <v/>
      </c>
    </row>
    <row r="597">
      <c r="A597" t="n">
        <v>39</v>
      </c>
      <c r="B597" s="21" t="inlineStr">
        <is>
          <t>Bloque Bicolor de Melocotón y Mora con Doble Viscosidad (Dual-Viscosity Peach &amp; Blackberry Layered Brick)</t>
        </is>
      </c>
      <c r="C597" t="inlineStr">
        <is>
          <t>sabor</t>
        </is>
      </c>
      <c r="D597" s="22" t="inlineStr">
        <is>
          <t>0.2 g Colorante violeta extracto de uva / zanahoria negra</t>
        </is>
      </c>
      <c r="E597" s="6" t="inlineStr">
        <is>
          <t>Colorante violeta de uva o zanahoria negra</t>
        </is>
      </c>
      <c r="F597" s="16" t="n">
        <v>0.2</v>
      </c>
      <c r="G597" t="inlineStr">
        <is>
          <t>g</t>
        </is>
      </c>
      <c r="H597" s="12">
        <f>IFERROR(VLOOKUP(E597,Insumos!$C$5:$G$100,5,FALSE),0)</f>
        <v/>
      </c>
      <c r="I597" s="17">
        <f>F597*H597/IF(C597="molde",MAX(1,'Mi negocio'!$C$34),1)</f>
        <v/>
      </c>
    </row>
    <row r="598">
      <c r="A598" t="n">
        <v>39</v>
      </c>
      <c r="B598" s="21" t="inlineStr">
        <is>
          <t>Bloque Bicolor de Melocotón y Mora con Doble Viscosidad (Dual-Viscosity Peach &amp; Blackberry Layered Brick)</t>
        </is>
      </c>
      <c r="C598" t="inlineStr">
        <is>
          <t>acabado</t>
        </is>
      </c>
      <c r="D598" s="22" t="inlineStr">
        <is>
          <t>2 g Aceite MCT con cera de carnauba refinada</t>
        </is>
      </c>
      <c r="E598" s="6" t="inlineStr">
        <is>
          <t>Agente de brillo de carnauba en MCT (elaborado)</t>
        </is>
      </c>
      <c r="F598" s="16" t="n">
        <v>2</v>
      </c>
      <c r="G598" t="inlineStr">
        <is>
          <t>g</t>
        </is>
      </c>
      <c r="H598" s="12">
        <f>IFERROR(VLOOKUP(E598,Insumos!$C$5:$G$100,5,FALSE),0)</f>
        <v/>
      </c>
      <c r="I598" s="17">
        <f>F598*H598/IF(C598="molde",MAX(1,'Mi negocio'!$C$34),1)</f>
        <v/>
      </c>
    </row>
    <row r="599">
      <c r="A599" t="n">
        <v>40</v>
      </c>
      <c r="B599" s="21" t="inlineStr">
        <is>
          <t>Nube Cítrica de Lima-Limón en Espuma Suave con Base Elástica (Marshmallow Cloud &amp; Citrus Jelly Base)</t>
        </is>
      </c>
      <c r="C599" t="inlineStr">
        <is>
          <t>gelificante</t>
        </is>
      </c>
      <c r="D599" s="22" t="inlineStr">
        <is>
          <t>44 g Gelatina en polvo de 250 Bloom</t>
        </is>
      </c>
      <c r="E599" s="6" t="inlineStr">
        <is>
          <t>Gelatina en polvo de 240-260 Bloom</t>
        </is>
      </c>
      <c r="F599" s="16" t="n">
        <v>44</v>
      </c>
      <c r="G599" t="inlineStr">
        <is>
          <t>g</t>
        </is>
      </c>
      <c r="H599" s="12">
        <f>IFERROR(VLOOKUP(E599,Insumos!$C$5:$G$100,5,FALSE),0)</f>
        <v/>
      </c>
      <c r="I599" s="17">
        <f>F599*H599/IF(C599="molde",MAX(1,'Mi negocio'!$C$34),1)</f>
        <v/>
      </c>
    </row>
    <row r="600">
      <c r="A600" t="n">
        <v>40</v>
      </c>
      <c r="B600" s="21" t="inlineStr">
        <is>
          <t>Nube Cítrica de Lima-Limón en Espuma Suave con Base Elástica (Marshmallow Cloud &amp; Citrus Jelly Base)</t>
        </is>
      </c>
      <c r="C600" t="inlineStr">
        <is>
          <t>sabor</t>
        </is>
      </c>
      <c r="D600" s="22" t="inlineStr">
        <is>
          <t>95 ml Agua desmineralizada a 15 °C</t>
        </is>
      </c>
      <c r="E600" s="6" t="inlineStr">
        <is>
          <t>Agua desmineralizada o purificada</t>
        </is>
      </c>
      <c r="F600" s="16" t="n">
        <v>95</v>
      </c>
      <c r="G600" t="inlineStr">
        <is>
          <t>ml</t>
        </is>
      </c>
      <c r="H600" s="12">
        <f>IFERROR(VLOOKUP(E600,Insumos!$C$5:$G$100,5,FALSE),0)</f>
        <v/>
      </c>
      <c r="I600" s="17">
        <f>F600*H600/IF(C600="molde",MAX(1,'Mi negocio'!$C$34),1)</f>
        <v/>
      </c>
    </row>
    <row r="601">
      <c r="A601" t="n">
        <v>40</v>
      </c>
      <c r="B601" s="21" t="inlineStr">
        <is>
          <t>Nube Cítrica de Lima-Limón en Espuma Suave con Base Elástica (Marshmallow Cloud &amp; Citrus Jelly Base)</t>
        </is>
      </c>
      <c r="C601" t="inlineStr">
        <is>
          <t>azucar</t>
        </is>
      </c>
      <c r="D601" s="22" t="inlineStr">
        <is>
          <t>195 g Azúcar blanca refinada pura</t>
        </is>
      </c>
      <c r="E601" s="6" t="inlineStr">
        <is>
          <t>Azúcar blanca refinada</t>
        </is>
      </c>
      <c r="F601" s="16" t="n">
        <v>195</v>
      </c>
      <c r="G601" t="inlineStr">
        <is>
          <t>g</t>
        </is>
      </c>
      <c r="H601" s="12">
        <f>IFERROR(VLOOKUP(E601,Insumos!$C$5:$G$100,5,FALSE),0)</f>
        <v/>
      </c>
      <c r="I601" s="17">
        <f>F601*H601/IF(C601="molde",MAX(1,'Mi negocio'!$C$34),1)</f>
        <v/>
      </c>
    </row>
    <row r="602">
      <c r="A602" t="n">
        <v>40</v>
      </c>
      <c r="B602" s="21" t="inlineStr">
        <is>
          <t>Nube Cítrica de Lima-Limón en Espuma Suave con Base Elástica (Marshmallow Cloud &amp; Citrus Jelly Base)</t>
        </is>
      </c>
      <c r="C602" t="inlineStr">
        <is>
          <t>azucar</t>
        </is>
      </c>
      <c r="D602" s="22" t="inlineStr">
        <is>
          <t>155 g Jarabe de glucosa estándar 42DE</t>
        </is>
      </c>
      <c r="E602" s="6" t="inlineStr">
        <is>
          <t>Jarabe de glucosa 42 DE</t>
        </is>
      </c>
      <c r="F602" s="16" t="n">
        <v>155</v>
      </c>
      <c r="G602" t="inlineStr">
        <is>
          <t>g</t>
        </is>
      </c>
      <c r="H602" s="12">
        <f>IFERROR(VLOOKUP(E602,Insumos!$C$5:$G$100,5,FALSE),0)</f>
        <v/>
      </c>
      <c r="I602" s="17">
        <f>F602*H602/IF(C602="molde",MAX(1,'Mi negocio'!$C$34),1)</f>
        <v/>
      </c>
    </row>
    <row r="603">
      <c r="A603" t="n">
        <v>40</v>
      </c>
      <c r="B603" s="21" t="inlineStr">
        <is>
          <t>Nube Cítrica de Lima-Limón en Espuma Suave con Base Elástica (Marshmallow Cloud &amp; Citrus Jelly Base)</t>
        </is>
      </c>
      <c r="C603" t="inlineStr">
        <is>
          <t>sabor</t>
        </is>
      </c>
      <c r="D603" s="22" t="inlineStr">
        <is>
          <t>50 ml Agua purificada limpia</t>
        </is>
      </c>
      <c r="E603" s="6" t="inlineStr">
        <is>
          <t>Agua desmineralizada o purificada</t>
        </is>
      </c>
      <c r="F603" s="16" t="n">
        <v>50</v>
      </c>
      <c r="G603" t="inlineStr">
        <is>
          <t>ml</t>
        </is>
      </c>
      <c r="H603" s="12">
        <f>IFERROR(VLOOKUP(E603,Insumos!$C$5:$G$100,5,FALSE),0)</f>
        <v/>
      </c>
      <c r="I603" s="17">
        <f>F603*H603/IF(C603="molde",MAX(1,'Mi negocio'!$C$34),1)</f>
        <v/>
      </c>
    </row>
    <row r="604">
      <c r="A604" t="n">
        <v>40</v>
      </c>
      <c r="B604" s="21" t="inlineStr">
        <is>
          <t>Nube Cítrica de Lima-Limón en Espuma Suave con Base Elástica (Marshmallow Cloud &amp; Citrus Jelly Base)</t>
        </is>
      </c>
      <c r="C604" t="inlineStr">
        <is>
          <t>azucar</t>
        </is>
      </c>
      <c r="D604" s="22" t="inlineStr">
        <is>
          <t>12 g Sorbitol líquido al 70%</t>
        </is>
      </c>
      <c r="E604" s="6" t="inlineStr">
        <is>
          <t>Sorbitol líquido al 70%</t>
        </is>
      </c>
      <c r="F604" s="16" t="n">
        <v>12</v>
      </c>
      <c r="G604" t="inlineStr">
        <is>
          <t>g</t>
        </is>
      </c>
      <c r="H604" s="12">
        <f>IFERROR(VLOOKUP(E604,Insumos!$C$5:$G$100,5,FALSE),0)</f>
        <v/>
      </c>
      <c r="I604" s="17">
        <f>F604*H604/IF(C604="molde",MAX(1,'Mi negocio'!$C$34),1)</f>
        <v/>
      </c>
    </row>
    <row r="605">
      <c r="A605" t="n">
        <v>40</v>
      </c>
      <c r="B605" s="21" t="inlineStr">
        <is>
          <t>Nube Cítrica de Lima-Limón en Espuma Suave con Base Elástica (Marshmallow Cloud &amp; Citrus Jelly Base)</t>
        </is>
      </c>
      <c r="C605" t="inlineStr">
        <is>
          <t>sabor</t>
        </is>
      </c>
      <c r="D605" s="22" t="inlineStr">
        <is>
          <t>2 g Citrato de sodio</t>
        </is>
      </c>
      <c r="E605" s="6" t="inlineStr">
        <is>
          <t>Citrato de sodio dihidratado</t>
        </is>
      </c>
      <c r="F605" s="16" t="n">
        <v>2</v>
      </c>
      <c r="G605" t="inlineStr">
        <is>
          <t>g</t>
        </is>
      </c>
      <c r="H605" s="12">
        <f>IFERROR(VLOOKUP(E605,Insumos!$C$5:$G$100,5,FALSE),0)</f>
        <v/>
      </c>
      <c r="I605" s="17">
        <f>F605*H605/IF(C605="molde",MAX(1,'Mi negocio'!$C$34),1)</f>
        <v/>
      </c>
    </row>
    <row r="606">
      <c r="A606" t="n">
        <v>40</v>
      </c>
      <c r="B606" s="21" t="inlineStr">
        <is>
          <t>Nube Cítrica de Lima-Limón en Espuma Suave con Base Elástica (Marshmallow Cloud &amp; Citrus Jelly Base)</t>
        </is>
      </c>
      <c r="C606" t="inlineStr">
        <is>
          <t>sabor</t>
        </is>
      </c>
      <c r="D606" s="22" t="inlineStr">
        <is>
          <t>4 ml Solución de ácido cítrico al 50% p/v</t>
        </is>
      </c>
      <c r="E606" s="6" t="inlineStr">
        <is>
          <t>Solución de ácido cítrico al 50% p/v (elaborada)</t>
        </is>
      </c>
      <c r="F606" s="16" t="n">
        <v>4</v>
      </c>
      <c r="G606" t="inlineStr">
        <is>
          <t>ml</t>
        </is>
      </c>
      <c r="H606" s="12">
        <f>IFERROR(VLOOKUP(E606,Insumos!$C$5:$G$100,5,FALSE),0)</f>
        <v/>
      </c>
      <c r="I606" s="17">
        <f>F606*H606/IF(C606="molde",MAX(1,'Mi negocio'!$C$34),1)</f>
        <v/>
      </c>
    </row>
    <row r="607">
      <c r="A607" t="n">
        <v>40</v>
      </c>
      <c r="B607" s="21" t="inlineStr">
        <is>
          <t>Nube Cítrica de Lima-Limón en Espuma Suave con Base Elástica (Marshmallow Cloud &amp; Citrus Jelly Base)</t>
        </is>
      </c>
      <c r="C607" t="inlineStr">
        <is>
          <t>sabor</t>
        </is>
      </c>
      <c r="D607" s="22" t="inlineStr">
        <is>
          <t>1.5 ml Aroma natural de crema de limón / merengue</t>
        </is>
      </c>
      <c r="E607" s="6" t="inlineStr">
        <is>
          <t>Aroma natural hidrosoluble concentrado</t>
        </is>
      </c>
      <c r="F607" s="16" t="n">
        <v>1.5</v>
      </c>
      <c r="G607" t="inlineStr">
        <is>
          <t>ml</t>
        </is>
      </c>
      <c r="H607" s="12">
        <f>IFERROR(VLOOKUP(E607,Insumos!$C$5:$G$100,5,FALSE),0)</f>
        <v/>
      </c>
      <c r="I607" s="17">
        <f>F607*H607/IF(C607="molde",MAX(1,'Mi negocio'!$C$34),1)</f>
        <v/>
      </c>
    </row>
    <row r="608">
      <c r="A608" t="n">
        <v>40</v>
      </c>
      <c r="B608" s="21" t="inlineStr">
        <is>
          <t>Nube Cítrica de Lima-Limón en Espuma Suave con Base Elástica (Marshmallow Cloud &amp; Citrus Jelly Base)</t>
        </is>
      </c>
      <c r="C608" t="inlineStr">
        <is>
          <t>sabor</t>
        </is>
      </c>
      <c r="D608" s="22" t="inlineStr">
        <is>
          <t>0.6 g Dióxido de titanio de grado alimenticio (blanqueador óptico)</t>
        </is>
      </c>
      <c r="E608" s="6" t="inlineStr">
        <is>
          <t>Dióxido de titanio o blanco alimentario</t>
        </is>
      </c>
      <c r="F608" s="16" t="n">
        <v>0.6</v>
      </c>
      <c r="G608" t="inlineStr">
        <is>
          <t>g</t>
        </is>
      </c>
      <c r="H608" s="12">
        <f>IFERROR(VLOOKUP(E608,Insumos!$C$5:$G$100,5,FALSE),0)</f>
        <v/>
      </c>
      <c r="I608" s="17">
        <f>F608*H608/IF(C608="molde",MAX(1,'Mi negocio'!$C$34),1)</f>
        <v/>
      </c>
    </row>
    <row r="609">
      <c r="A609" t="n">
        <v>40</v>
      </c>
      <c r="B609" s="21" t="inlineStr">
        <is>
          <t>Nube Cítrica de Lima-Limón en Espuma Suave con Base Elástica (Marshmallow Cloud &amp; Citrus Jelly Base)</t>
        </is>
      </c>
      <c r="C609" t="inlineStr">
        <is>
          <t>sabor</t>
        </is>
      </c>
      <c r="D609" s="22" t="inlineStr">
        <is>
          <t>3 ml Solución de ácido málico al 50% p/v</t>
        </is>
      </c>
      <c r="E609" s="6" t="inlineStr">
        <is>
          <t>Ácido málico micronizado</t>
        </is>
      </c>
      <c r="F609" s="16" t="n">
        <v>3</v>
      </c>
      <c r="G609" t="inlineStr">
        <is>
          <t>g</t>
        </is>
      </c>
      <c r="H609" s="12">
        <f>IFERROR(VLOOKUP(E609,Insumos!$C$5:$G$100,5,FALSE),0)</f>
        <v/>
      </c>
      <c r="I609" s="17">
        <f>F609*H609/IF(C609="molde",MAX(1,'Mi negocio'!$C$34),1)</f>
        <v/>
      </c>
    </row>
    <row r="610">
      <c r="A610" t="n">
        <v>40</v>
      </c>
      <c r="B610" s="21" t="inlineStr">
        <is>
          <t>Nube Cítrica de Lima-Limón en Espuma Suave con Base Elástica (Marshmallow Cloud &amp; Citrus Jelly Base)</t>
        </is>
      </c>
      <c r="C610" t="inlineStr">
        <is>
          <t>sabor</t>
        </is>
      </c>
      <c r="D610" s="22" t="inlineStr">
        <is>
          <t>1 ml Aceite esencial puro destilado de lima mexicana (Citrus aurantiifolia)</t>
        </is>
      </c>
      <c r="E610" s="6" t="inlineStr">
        <is>
          <t>Aceite esencial puro destilado de cítrico</t>
        </is>
      </c>
      <c r="F610" s="16" t="n">
        <v>1</v>
      </c>
      <c r="G610" t="inlineStr">
        <is>
          <t>ml</t>
        </is>
      </c>
      <c r="H610" s="12">
        <f>IFERROR(VLOOKUP(E610,Insumos!$C$5:$G$100,5,FALSE),0)</f>
        <v/>
      </c>
      <c r="I610" s="17">
        <f>F610*H610/IF(C610="molde",MAX(1,'Mi negocio'!$C$34),1)</f>
        <v/>
      </c>
    </row>
    <row r="611">
      <c r="A611" t="n">
        <v>40</v>
      </c>
      <c r="B611" s="21" t="inlineStr">
        <is>
          <t>Nube Cítrica de Lima-Limón en Espuma Suave con Base Elástica (Marshmallow Cloud &amp; Citrus Jelly Base)</t>
        </is>
      </c>
      <c r="C611" t="inlineStr">
        <is>
          <t>sabor</t>
        </is>
      </c>
      <c r="D611" s="22" t="inlineStr">
        <is>
          <t>0.15 g Clorofilina cúprica líquida (verde lima translúcido)</t>
        </is>
      </c>
      <c r="E611" s="6" t="inlineStr">
        <is>
          <t>Clorofilina cúprica (verde)</t>
        </is>
      </c>
      <c r="F611" s="16" t="n">
        <v>0.15</v>
      </c>
      <c r="G611" t="inlineStr">
        <is>
          <t>g</t>
        </is>
      </c>
      <c r="H611" s="12">
        <f>IFERROR(VLOOKUP(E611,Insumos!$C$5:$G$100,5,FALSE),0)</f>
        <v/>
      </c>
      <c r="I611" s="17">
        <f>F611*H611/IF(C611="molde",MAX(1,'Mi negocio'!$C$34),1)</f>
        <v/>
      </c>
    </row>
    <row r="612">
      <c r="A612" t="n">
        <v>41</v>
      </c>
      <c r="B612" s="21" t="inlineStr">
        <is>
          <t>Perla de Gin Tonic con Enebro, Cardamomo y Pepino (Gin &amp; Tonic Botanical Jewel)</t>
        </is>
      </c>
      <c r="C612" t="inlineStr">
        <is>
          <t>gelificante</t>
        </is>
      </c>
      <c r="D612" s="22" t="inlineStr">
        <is>
          <t>40 g Gelatina en polvo pura de 260 Bloom</t>
        </is>
      </c>
      <c r="E612" s="6" t="inlineStr">
        <is>
          <t>Gelatina en polvo de 240-260 Bloom</t>
        </is>
      </c>
      <c r="F612" s="16" t="n">
        <v>40</v>
      </c>
      <c r="G612" t="inlineStr">
        <is>
          <t>g</t>
        </is>
      </c>
      <c r="H612" s="12">
        <f>IFERROR(VLOOKUP(E612,Insumos!$C$5:$G$100,5,FALSE),0)</f>
        <v/>
      </c>
      <c r="I612" s="17">
        <f>F612*H612/IF(C612="molde",MAX(1,'Mi negocio'!$C$34),1)</f>
        <v/>
      </c>
    </row>
    <row r="613">
      <c r="A613" t="n">
        <v>41</v>
      </c>
      <c r="B613" s="21" t="inlineStr">
        <is>
          <t>Perla de Gin Tonic con Enebro, Cardamomo y Pepino (Gin &amp; Tonic Botanical Jewel)</t>
        </is>
      </c>
      <c r="C613" t="inlineStr">
        <is>
          <t>gelificante</t>
        </is>
      </c>
      <c r="D613" s="22" t="inlineStr">
        <is>
          <t>5 g Goma arábiga en polvo atomizada pura (Acacia senegal)</t>
        </is>
      </c>
      <c r="E613" s="6" t="inlineStr">
        <is>
          <t>Goma arábiga en polvo atomizada (acacia)</t>
        </is>
      </c>
      <c r="F613" s="16" t="n">
        <v>5</v>
      </c>
      <c r="G613" t="inlineStr">
        <is>
          <t>g</t>
        </is>
      </c>
      <c r="H613" s="12">
        <f>IFERROR(VLOOKUP(E613,Insumos!$C$5:$G$100,5,FALSE),0)</f>
        <v/>
      </c>
      <c r="I613" s="17">
        <f>F613*H613/IF(C613="molde",MAX(1,'Mi negocio'!$C$34),1)</f>
        <v/>
      </c>
    </row>
    <row r="614">
      <c r="A614" t="n">
        <v>41</v>
      </c>
      <c r="B614" s="21" t="inlineStr">
        <is>
          <t>Perla de Gin Tonic con Enebro, Cardamomo y Pepino (Gin &amp; Tonic Botanical Jewel)</t>
        </is>
      </c>
      <c r="C614" t="inlineStr">
        <is>
          <t>sabor</t>
        </is>
      </c>
      <c r="D614" s="22" t="inlineStr">
        <is>
          <t>95 ml Agua desmineralizada a 12 °C</t>
        </is>
      </c>
      <c r="E614" s="6" t="inlineStr">
        <is>
          <t>Agua desmineralizada o purificada</t>
        </is>
      </c>
      <c r="F614" s="16" t="n">
        <v>95</v>
      </c>
      <c r="G614" t="inlineStr">
        <is>
          <t>ml</t>
        </is>
      </c>
      <c r="H614" s="12">
        <f>IFERROR(VLOOKUP(E614,Insumos!$C$5:$G$100,5,FALSE),0)</f>
        <v/>
      </c>
      <c r="I614" s="17">
        <f>F614*H614/IF(C614="molde",MAX(1,'Mi negocio'!$C$34),1)</f>
        <v/>
      </c>
    </row>
    <row r="615">
      <c r="A615" t="n">
        <v>41</v>
      </c>
      <c r="B615" s="21" t="inlineStr">
        <is>
          <t>Perla de Gin Tonic con Enebro, Cardamomo y Pepino (Gin &amp; Tonic Botanical Jewel)</t>
        </is>
      </c>
      <c r="C615" t="inlineStr">
        <is>
          <t>azucar</t>
        </is>
      </c>
      <c r="D615" s="22" t="inlineStr">
        <is>
          <t>190 g Azúcar blanca refinada pura (99.8% polarización)</t>
        </is>
      </c>
      <c r="E615" s="6" t="inlineStr">
        <is>
          <t>Azúcar blanca refinada</t>
        </is>
      </c>
      <c r="F615" s="16" t="n">
        <v>190</v>
      </c>
      <c r="G615" t="inlineStr">
        <is>
          <t>g</t>
        </is>
      </c>
      <c r="H615" s="12">
        <f>IFERROR(VLOOKUP(E615,Insumos!$C$5:$G$100,5,FALSE),0)</f>
        <v/>
      </c>
      <c r="I615" s="17">
        <f>F615*H615/IF(C615="molde",MAX(1,'Mi negocio'!$C$34),1)</f>
        <v/>
      </c>
    </row>
    <row r="616">
      <c r="A616" t="n">
        <v>41</v>
      </c>
      <c r="B616" s="21" t="inlineStr">
        <is>
          <t>Perla de Gin Tonic con Enebro, Cardamomo y Pepino (Gin &amp; Tonic Botanical Jewel)</t>
        </is>
      </c>
      <c r="C616" t="inlineStr">
        <is>
          <t>azucar</t>
        </is>
      </c>
      <c r="D616" s="22" t="inlineStr">
        <is>
          <t>145 g Jarabe de glucosa estándar de maíz de 42DE</t>
        </is>
      </c>
      <c r="E616" s="6" t="inlineStr">
        <is>
          <t>Jarabe de glucosa 42 DE</t>
        </is>
      </c>
      <c r="F616" s="16" t="n">
        <v>145</v>
      </c>
      <c r="G616" t="inlineStr">
        <is>
          <t>g</t>
        </is>
      </c>
      <c r="H616" s="12">
        <f>IFERROR(VLOOKUP(E616,Insumos!$C$5:$G$100,5,FALSE),0)</f>
        <v/>
      </c>
      <c r="I616" s="17">
        <f>F616*H616/IF(C616="molde",MAX(1,'Mi negocio'!$C$34),1)</f>
        <v/>
      </c>
    </row>
    <row r="617">
      <c r="A617" t="n">
        <v>41</v>
      </c>
      <c r="B617" s="21" t="inlineStr">
        <is>
          <t>Perla de Gin Tonic con Enebro, Cardamomo y Pepino (Gin &amp; Tonic Botanical Jewel)</t>
        </is>
      </c>
      <c r="C617" t="inlineStr">
        <is>
          <t>sabor</t>
        </is>
      </c>
      <c r="D617" s="22" t="inlineStr">
        <is>
          <t>40 ml Reducción concentrada de agua tónica artesanal desgasificada (concentrada al 50%, rica en quinina pura)</t>
        </is>
      </c>
      <c r="E617" s="6" t="inlineStr">
        <is>
          <t>Agua tónica artesanal</t>
        </is>
      </c>
      <c r="F617" s="16" t="n">
        <v>40</v>
      </c>
      <c r="G617" t="inlineStr">
        <is>
          <t>ml</t>
        </is>
      </c>
      <c r="H617" s="12">
        <f>IFERROR(VLOOKUP(E617,Insumos!$C$5:$G$100,5,FALSE),0)</f>
        <v/>
      </c>
      <c r="I617" s="17">
        <f>F617*H617/IF(C617="molde",MAX(1,'Mi negocio'!$C$34),1)</f>
        <v/>
      </c>
    </row>
    <row r="618">
      <c r="A618" t="n">
        <v>41</v>
      </c>
      <c r="B618" s="21" t="inlineStr">
        <is>
          <t>Perla de Gin Tonic con Enebro, Cardamomo y Pepino (Gin &amp; Tonic Botanical Jewel)</t>
        </is>
      </c>
      <c r="C618" t="inlineStr">
        <is>
          <t>azucar</t>
        </is>
      </c>
      <c r="D618" s="22" t="inlineStr">
        <is>
          <t>12 g Sorbitol líquido al 70% (control de brillo y plasticidad)</t>
        </is>
      </c>
      <c r="E618" s="6" t="inlineStr">
        <is>
          <t>Sorbitol líquido al 70%</t>
        </is>
      </c>
      <c r="F618" s="16" t="n">
        <v>12</v>
      </c>
      <c r="G618" t="inlineStr">
        <is>
          <t>g</t>
        </is>
      </c>
      <c r="H618" s="12">
        <f>IFERROR(VLOOKUP(E618,Insumos!$C$5:$G$100,5,FALSE),0)</f>
        <v/>
      </c>
      <c r="I618" s="17">
        <f>F618*H618/IF(C618="molde",MAX(1,'Mi negocio'!$C$34),1)</f>
        <v/>
      </c>
    </row>
    <row r="619">
      <c r="A619" t="n">
        <v>41</v>
      </c>
      <c r="B619" s="21" t="inlineStr">
        <is>
          <t>Perla de Gin Tonic con Enebro, Cardamomo y Pepino (Gin &amp; Tonic Botanical Jewel)</t>
        </is>
      </c>
      <c r="C619" t="inlineStr">
        <is>
          <t>sabor</t>
        </is>
      </c>
      <c r="D619" s="22" t="inlineStr">
        <is>
          <t>2 g Citrato de sodio dihidratado (amortiguador de pH)</t>
        </is>
      </c>
      <c r="E619" s="6" t="inlineStr">
        <is>
          <t>Citrato de sodio dihidratado</t>
        </is>
      </c>
      <c r="F619" s="16" t="n">
        <v>2</v>
      </c>
      <c r="G619" t="inlineStr">
        <is>
          <t>g</t>
        </is>
      </c>
      <c r="H619" s="12">
        <f>IFERROR(VLOOKUP(E619,Insumos!$C$5:$G$100,5,FALSE),0)</f>
        <v/>
      </c>
      <c r="I619" s="17">
        <f>F619*H619/IF(C619="molde",MAX(1,'Mi negocio'!$C$34),1)</f>
        <v/>
      </c>
    </row>
    <row r="620">
      <c r="A620" t="n">
        <v>41</v>
      </c>
      <c r="B620" s="21" t="inlineStr">
        <is>
          <t>Perla de Gin Tonic con Enebro, Cardamomo y Pepino (Gin &amp; Tonic Botanical Jewel)</t>
        </is>
      </c>
      <c r="C620" t="inlineStr">
        <is>
          <t>sabor</t>
        </is>
      </c>
      <c r="D620" s="22" t="inlineStr">
        <is>
          <t>35 ml Gin London Dry de alta gama (40, perfil clásico de bayas de enebro)</t>
        </is>
      </c>
      <c r="E620" s="6" t="inlineStr">
        <is>
          <t>Gin London Dry de alta gama</t>
        </is>
      </c>
      <c r="F620" s="16" t="n">
        <v>35</v>
      </c>
      <c r="G620" t="inlineStr">
        <is>
          <t>ml</t>
        </is>
      </c>
      <c r="H620" s="12">
        <f>IFERROR(VLOOKUP(E620,Insumos!$C$5:$G$100,5,FALSE),0)</f>
        <v/>
      </c>
      <c r="I620" s="17">
        <f>F620*H620/IF(C620="molde",MAX(1,'Mi negocio'!$C$34),1)</f>
        <v/>
      </c>
    </row>
    <row r="621">
      <c r="A621" t="n">
        <v>41</v>
      </c>
      <c r="B621" s="21" t="inlineStr">
        <is>
          <t>Perla de Gin Tonic con Enebro, Cardamomo y Pepino (Gin &amp; Tonic Botanical Jewel)</t>
        </is>
      </c>
      <c r="C621" t="inlineStr">
        <is>
          <t>sabor</t>
        </is>
      </c>
      <c r="D621" s="22" t="inlineStr">
        <is>
          <t>7 ml Solución de ácido cítrico al 50% p/v</t>
        </is>
      </c>
      <c r="E621" s="6" t="inlineStr">
        <is>
          <t>Solución de ácido cítrico al 50% p/v (elaborada)</t>
        </is>
      </c>
      <c r="F621" s="16" t="n">
        <v>7</v>
      </c>
      <c r="G621" t="inlineStr">
        <is>
          <t>ml</t>
        </is>
      </c>
      <c r="H621" s="12">
        <f>IFERROR(VLOOKUP(E621,Insumos!$C$5:$G$100,5,FALSE),0)</f>
        <v/>
      </c>
      <c r="I621" s="17">
        <f>F621*H621/IF(C621="molde",MAX(1,'Mi negocio'!$C$34),1)</f>
        <v/>
      </c>
    </row>
    <row r="622">
      <c r="A622" t="n">
        <v>41</v>
      </c>
      <c r="B622" s="21" t="inlineStr">
        <is>
          <t>Perla de Gin Tonic con Enebro, Cardamomo y Pepino (Gin &amp; Tonic Botanical Jewel)</t>
        </is>
      </c>
      <c r="C622" t="inlineStr">
        <is>
          <t>sabor</t>
        </is>
      </c>
      <c r="D622" s="22" t="inlineStr">
        <is>
          <t>1.5 ml Aceite esencial puro destilado de bayas de enebro (Juniperus communis, dilución alcohólica al 10%)</t>
        </is>
      </c>
      <c r="E622" s="6" t="inlineStr">
        <is>
          <t>Aceite esencial puro destilado de cítrico</t>
        </is>
      </c>
      <c r="F622" s="16" t="n">
        <v>1.5</v>
      </c>
      <c r="G622" t="inlineStr">
        <is>
          <t>ml</t>
        </is>
      </c>
      <c r="H622" s="12">
        <f>IFERROR(VLOOKUP(E622,Insumos!$C$5:$G$100,5,FALSE),0)</f>
        <v/>
      </c>
      <c r="I622" s="17">
        <f>F622*H622/IF(C622="molde",MAX(1,'Mi negocio'!$C$34),1)</f>
        <v/>
      </c>
    </row>
    <row r="623">
      <c r="A623" t="n">
        <v>41</v>
      </c>
      <c r="B623" s="21" t="inlineStr">
        <is>
          <t>Perla de Gin Tonic con Enebro, Cardamomo y Pepino (Gin &amp; Tonic Botanical Jewel)</t>
        </is>
      </c>
      <c r="C623" t="inlineStr">
        <is>
          <t>sabor</t>
        </is>
      </c>
      <c r="D623" s="22" t="inlineStr">
        <is>
          <t>1.0 ml Aroma natural destilado de pepino fresco (Cucumis sativus)</t>
        </is>
      </c>
      <c r="E623" s="6" t="inlineStr">
        <is>
          <t>Aroma natural hidrosoluble concentrado</t>
        </is>
      </c>
      <c r="F623" s="16" t="n">
        <v>1</v>
      </c>
      <c r="G623" t="inlineStr">
        <is>
          <t>ml</t>
        </is>
      </c>
      <c r="H623" s="12">
        <f>IFERROR(VLOOKUP(E623,Insumos!$C$5:$G$100,5,FALSE),0)</f>
        <v/>
      </c>
      <c r="I623" s="17">
        <f>F623*H623/IF(C623="molde",MAX(1,'Mi negocio'!$C$34),1)</f>
        <v/>
      </c>
    </row>
    <row r="624">
      <c r="A624" t="n">
        <v>41</v>
      </c>
      <c r="B624" s="21" t="inlineStr">
        <is>
          <t>Perla de Gin Tonic con Enebro, Cardamomo y Pepino (Gin &amp; Tonic Botanical Jewel)</t>
        </is>
      </c>
      <c r="C624" t="inlineStr">
        <is>
          <t>sabor</t>
        </is>
      </c>
      <c r="D624" s="22" t="inlineStr">
        <is>
          <t>0.5 ml Tintura hidroalcohólica de vainas de cardamomo verde (Elettaria cardamomum)</t>
        </is>
      </c>
      <c r="E624" s="6" t="inlineStr">
        <is>
          <t>Tintura hidroalcohólica de especia</t>
        </is>
      </c>
      <c r="F624" s="16" t="n">
        <v>0.5</v>
      </c>
      <c r="G624" t="inlineStr">
        <is>
          <t>ml</t>
        </is>
      </c>
      <c r="H624" s="12">
        <f>IFERROR(VLOOKUP(E624,Insumos!$C$5:$G$100,5,FALSE),0)</f>
        <v/>
      </c>
      <c r="I624" s="17">
        <f>F624*H624/IF(C624="molde",MAX(1,'Mi negocio'!$C$34),1)</f>
        <v/>
      </c>
    </row>
    <row r="625">
      <c r="A625" t="n">
        <v>41</v>
      </c>
      <c r="B625" s="21" t="inlineStr">
        <is>
          <t>Perla de Gin Tonic con Enebro, Cardamomo y Pepino (Gin &amp; Tonic Botanical Jewel)</t>
        </is>
      </c>
      <c r="C625" t="inlineStr">
        <is>
          <t>acabado</t>
        </is>
      </c>
      <c r="D625" s="22" t="inlineStr">
        <is>
          <t>0.05 g Sulfato de quinina grado alimenticio puro (refuerzo de amargor tónico fluorescente bajo luz UV)</t>
        </is>
      </c>
      <c r="E625" s="6" t="inlineStr">
        <is>
          <t>Sulfato de quinina grado alimenticio</t>
        </is>
      </c>
      <c r="F625" s="16" t="n">
        <v>0.05</v>
      </c>
      <c r="G625" t="inlineStr">
        <is>
          <t>g</t>
        </is>
      </c>
      <c r="H625" s="12">
        <f>IFERROR(VLOOKUP(E625,Insumos!$C$5:$G$100,5,FALSE),0)</f>
        <v/>
      </c>
      <c r="I625" s="17">
        <f>F625*H625/IF(C625="molde",MAX(1,'Mi negocio'!$C$34),1)</f>
        <v/>
      </c>
    </row>
    <row r="626">
      <c r="A626" t="n">
        <v>41</v>
      </c>
      <c r="B626" s="21" t="inlineStr">
        <is>
          <t>Perla de Gin Tonic con Enebro, Cardamomo y Pepino (Gin &amp; Tonic Botanical Jewel)</t>
        </is>
      </c>
      <c r="C626" t="inlineStr">
        <is>
          <t>acabado</t>
        </is>
      </c>
      <c r="D626" s="22" t="inlineStr">
        <is>
          <t>2 g Aceite de coco fraccionado (MCT) con 0.15 g de cera de carnauba refinada</t>
        </is>
      </c>
      <c r="E626" s="6" t="inlineStr">
        <is>
          <t>Aceite de coco fraccionado (MCT)</t>
        </is>
      </c>
      <c r="F626" s="16" t="n">
        <v>2</v>
      </c>
      <c r="G626" t="inlineStr">
        <is>
          <t>ml</t>
        </is>
      </c>
      <c r="H626" s="12">
        <f>IFERROR(VLOOKUP(E626,Insumos!$C$5:$G$100,5,FALSE),0)</f>
        <v/>
      </c>
      <c r="I626" s="17">
        <f>F626*H626/IF(C626="molde",MAX(1,'Mi negocio'!$C$34),1)</f>
        <v/>
      </c>
    </row>
    <row r="627">
      <c r="A627" t="n">
        <v>42</v>
      </c>
      <c r="B627" s="21" t="inlineStr">
        <is>
          <t>Confitura de Frambuesa al Vinagre Balsámico Tradicional de Módena DOP (Balsamic Raspberry &amp; Aceto di Modena DOP Pâte de Fruits)</t>
        </is>
      </c>
      <c r="C627" t="inlineStr">
        <is>
          <t>sabor</t>
        </is>
      </c>
      <c r="D627" s="22" t="inlineStr">
        <is>
          <t>160 g Puré concentrado de frambuesa silvestre pura (100% fruta, tamizado a 100 mum sin semillas)</t>
        </is>
      </c>
      <c r="E627" s="6" t="inlineStr">
        <is>
          <t>Puré concentrado de fresa o frambuesa sin semillas</t>
        </is>
      </c>
      <c r="F627" s="16" t="n">
        <v>160</v>
      </c>
      <c r="G627" t="inlineStr">
        <is>
          <t>g</t>
        </is>
      </c>
      <c r="H627" s="12">
        <f>IFERROR(VLOOKUP(E627,Insumos!$C$5:$G$100,5,FALSE),0)</f>
        <v/>
      </c>
      <c r="I627" s="17">
        <f>F627*H627/IF(C627="molde",MAX(1,'Mi negocio'!$C$34),1)</f>
        <v/>
      </c>
    </row>
    <row r="628">
      <c r="A628" t="n">
        <v>42</v>
      </c>
      <c r="B628" s="21" t="inlineStr">
        <is>
          <t>Confitura de Frambuesa al Vinagre Balsámico Tradicional de Módena DOP (Balsamic Raspberry &amp; Aceto di Modena DOP Pâte de Fruits)</t>
        </is>
      </c>
      <c r="C628" t="inlineStr">
        <is>
          <t>sabor</t>
        </is>
      </c>
      <c r="D628" s="22" t="inlineStr">
        <is>
          <t>30 ml Agua desmineralizada</t>
        </is>
      </c>
      <c r="E628" s="6" t="inlineStr">
        <is>
          <t>Agua desmineralizada o purificada</t>
        </is>
      </c>
      <c r="F628" s="16" t="n">
        <v>30</v>
      </c>
      <c r="G628" t="inlineStr">
        <is>
          <t>ml</t>
        </is>
      </c>
      <c r="H628" s="12">
        <f>IFERROR(VLOOKUP(E628,Insumos!$C$5:$G$100,5,FALSE),0)</f>
        <v/>
      </c>
      <c r="I628" s="17">
        <f>F628*H628/IF(C628="molde",MAX(1,'Mi negocio'!$C$34),1)</f>
        <v/>
      </c>
    </row>
    <row r="629">
      <c r="A629" t="n">
        <v>42</v>
      </c>
      <c r="B629" s="21" t="inlineStr">
        <is>
          <t>Confitura de Frambuesa al Vinagre Balsámico Tradicional de Módena DOP (Balsamic Raspberry &amp; Aceto di Modena DOP Pâte de Fruits)</t>
        </is>
      </c>
      <c r="C629" t="inlineStr">
        <is>
          <t>gelificante</t>
        </is>
      </c>
      <c r="D629" s="22" t="inlineStr">
        <is>
          <t>11.5 g Pectina de Alto Metoxilo lenta (HM Slow-Set Pectin)</t>
        </is>
      </c>
      <c r="E629" s="6" t="inlineStr">
        <is>
          <t>Pectina de alto metoxilo lenta (HM slow-set)</t>
        </is>
      </c>
      <c r="F629" s="16" t="n">
        <v>11.5</v>
      </c>
      <c r="G629" t="inlineStr">
        <is>
          <t>g</t>
        </is>
      </c>
      <c r="H629" s="12">
        <f>IFERROR(VLOOKUP(E629,Insumos!$C$5:$G$100,5,FALSE),0)</f>
        <v/>
      </c>
      <c r="I629" s="17">
        <f>F629*H629/IF(C629="molde",MAX(1,'Mi negocio'!$C$34),1)</f>
        <v/>
      </c>
    </row>
    <row r="630">
      <c r="A630" t="n">
        <v>42</v>
      </c>
      <c r="B630" s="21" t="inlineStr">
        <is>
          <t>Confitura de Frambuesa al Vinagre Balsámico Tradicional de Módena DOP (Balsamic Raspberry &amp; Aceto di Modena DOP Pâte de Fruits)</t>
        </is>
      </c>
      <c r="C630" t="inlineStr">
        <is>
          <t>azucar</t>
        </is>
      </c>
      <c r="D630" s="22" t="inlineStr">
        <is>
          <t>35 g Azúcar blanca refinada pura (para dispersión en seco)</t>
        </is>
      </c>
      <c r="E630" s="6" t="inlineStr">
        <is>
          <t>Azúcar blanca refinada</t>
        </is>
      </c>
      <c r="F630" s="16" t="n">
        <v>35</v>
      </c>
      <c r="G630" t="inlineStr">
        <is>
          <t>g</t>
        </is>
      </c>
      <c r="H630" s="12">
        <f>IFERROR(VLOOKUP(E630,Insumos!$C$5:$G$100,5,FALSE),0)</f>
        <v/>
      </c>
      <c r="I630" s="17">
        <f>F630*H630/IF(C630="molde",MAX(1,'Mi negocio'!$C$34),1)</f>
        <v/>
      </c>
    </row>
    <row r="631">
      <c r="A631" t="n">
        <v>42</v>
      </c>
      <c r="B631" s="21" t="inlineStr">
        <is>
          <t>Confitura de Frambuesa al Vinagre Balsámico Tradicional de Módena DOP (Balsamic Raspberry &amp; Aceto di Modena DOP Pâte de Fruits)</t>
        </is>
      </c>
      <c r="C631" t="inlineStr">
        <is>
          <t>azucar</t>
        </is>
      </c>
      <c r="D631" s="22" t="inlineStr">
        <is>
          <t>175 g Azúcar blanca refinada pura</t>
        </is>
      </c>
      <c r="E631" s="6" t="inlineStr">
        <is>
          <t>Azúcar blanca refinada</t>
        </is>
      </c>
      <c r="F631" s="16" t="n">
        <v>175</v>
      </c>
      <c r="G631" t="inlineStr">
        <is>
          <t>g</t>
        </is>
      </c>
      <c r="H631" s="12">
        <f>IFERROR(VLOOKUP(E631,Insumos!$C$5:$G$100,5,FALSE),0)</f>
        <v/>
      </c>
      <c r="I631" s="17">
        <f>F631*H631/IF(C631="molde",MAX(1,'Mi negocio'!$C$34),1)</f>
        <v/>
      </c>
    </row>
    <row r="632">
      <c r="A632" t="n">
        <v>42</v>
      </c>
      <c r="B632" s="21" t="inlineStr">
        <is>
          <t>Confitura de Frambuesa al Vinagre Balsámico Tradicional de Módena DOP (Balsamic Raspberry &amp; Aceto di Modena DOP Pâte de Fruits)</t>
        </is>
      </c>
      <c r="C632" t="inlineStr">
        <is>
          <t>azucar</t>
        </is>
      </c>
      <c r="D632" s="22" t="inlineStr">
        <is>
          <t>85 g Jarabe de glucosa 42DE</t>
        </is>
      </c>
      <c r="E632" s="6" t="inlineStr">
        <is>
          <t>Jarabe de glucosa 42 DE</t>
        </is>
      </c>
      <c r="F632" s="16" t="n">
        <v>85</v>
      </c>
      <c r="G632" t="inlineStr">
        <is>
          <t>g</t>
        </is>
      </c>
      <c r="H632" s="12">
        <f>IFERROR(VLOOKUP(E632,Insumos!$C$5:$G$100,5,FALSE),0)</f>
        <v/>
      </c>
      <c r="I632" s="17">
        <f>F632*H632/IF(C632="molde",MAX(1,'Mi negocio'!$C$34),1)</f>
        <v/>
      </c>
    </row>
    <row r="633">
      <c r="A633" t="n">
        <v>42</v>
      </c>
      <c r="B633" s="21" t="inlineStr">
        <is>
          <t>Confitura de Frambuesa al Vinagre Balsámico Tradicional de Módena DOP (Balsamic Raspberry &amp; Aceto di Modena DOP Pâte de Fruits)</t>
        </is>
      </c>
      <c r="C633" t="inlineStr">
        <is>
          <t>azucar</t>
        </is>
      </c>
      <c r="D633" s="22" t="inlineStr">
        <is>
          <t>15 g Sorbitol líquido al 70%</t>
        </is>
      </c>
      <c r="E633" s="6" t="inlineStr">
        <is>
          <t>Sorbitol líquido al 70%</t>
        </is>
      </c>
      <c r="F633" s="16" t="n">
        <v>15</v>
      </c>
      <c r="G633" t="inlineStr">
        <is>
          <t>g</t>
        </is>
      </c>
      <c r="H633" s="12">
        <f>IFERROR(VLOOKUP(E633,Insumos!$C$5:$G$100,5,FALSE),0)</f>
        <v/>
      </c>
      <c r="I633" s="17">
        <f>F633*H633/IF(C633="molde",MAX(1,'Mi negocio'!$C$34),1)</f>
        <v/>
      </c>
    </row>
    <row r="634">
      <c r="A634" t="n">
        <v>42</v>
      </c>
      <c r="B634" s="21" t="inlineStr">
        <is>
          <t>Confitura de Frambuesa al Vinagre Balsámico Tradicional de Módena DOP (Balsamic Raspberry &amp; Aceto di Modena DOP Pâte de Fruits)</t>
        </is>
      </c>
      <c r="C634" t="inlineStr">
        <is>
          <t>sabor</t>
        </is>
      </c>
      <c r="D634" s="22" t="inlineStr">
        <is>
          <t>25 ml Aceto Balsamico Tradizionale di Modena DOP (envejecido, de viscosidad densa natural, ≈60)</t>
        </is>
      </c>
      <c r="E634" s="6" t="inlineStr">
        <is>
          <t>Vermouth rosso o bitter italiano</t>
        </is>
      </c>
      <c r="F634" s="16" t="n">
        <v>25</v>
      </c>
      <c r="G634" t="inlineStr">
        <is>
          <t>ml</t>
        </is>
      </c>
      <c r="H634" s="12">
        <f>IFERROR(VLOOKUP(E634,Insumos!$C$5:$G$100,5,FALSE),0)</f>
        <v/>
      </c>
      <c r="I634" s="17">
        <f>F634*H634/IF(C634="molde",MAX(1,'Mi negocio'!$C$34),1)</f>
        <v/>
      </c>
    </row>
    <row r="635">
      <c r="A635" t="n">
        <v>42</v>
      </c>
      <c r="B635" s="21" t="inlineStr">
        <is>
          <t>Confitura de Frambuesa al Vinagre Balsámico Tradicional de Módena DOP (Balsamic Raspberry &amp; Aceto di Modena DOP Pâte de Fruits)</t>
        </is>
      </c>
      <c r="C635" t="inlineStr">
        <is>
          <t>sabor</t>
        </is>
      </c>
      <c r="D635" s="22" t="inlineStr">
        <is>
          <t>5 ml Solución de ácido tartárico al 50% p/v</t>
        </is>
      </c>
      <c r="E635" s="6" t="inlineStr">
        <is>
          <t>Ácido tartárico fino</t>
        </is>
      </c>
      <c r="F635" s="16" t="n">
        <v>5</v>
      </c>
      <c r="G635" t="inlineStr">
        <is>
          <t>g</t>
        </is>
      </c>
      <c r="H635" s="12">
        <f>IFERROR(VLOOKUP(E635,Insumos!$C$5:$G$100,5,FALSE),0)</f>
        <v/>
      </c>
      <c r="I635" s="17">
        <f>F635*H635/IF(C635="molde",MAX(1,'Mi negocio'!$C$34),1)</f>
        <v/>
      </c>
    </row>
    <row r="636">
      <c r="A636" t="n">
        <v>42</v>
      </c>
      <c r="B636" s="21" t="inlineStr">
        <is>
          <t>Confitura de Frambuesa al Vinagre Balsámico Tradicional de Módena DOP (Balsamic Raspberry &amp; Aceto di Modena DOP Pâte de Fruits)</t>
        </is>
      </c>
      <c r="C636" t="inlineStr">
        <is>
          <t>sabor</t>
        </is>
      </c>
      <c r="D636" s="22" t="inlineStr">
        <is>
          <t>1.5 ml Aroma natural de frambuesa negra</t>
        </is>
      </c>
      <c r="E636" s="6" t="inlineStr">
        <is>
          <t>Aroma natural hidrosoluble concentrado</t>
        </is>
      </c>
      <c r="F636" s="16" t="n">
        <v>1.5</v>
      </c>
      <c r="G636" t="inlineStr">
        <is>
          <t>ml</t>
        </is>
      </c>
      <c r="H636" s="12">
        <f>IFERROR(VLOOKUP(E636,Insumos!$C$5:$G$100,5,FALSE),0)</f>
        <v/>
      </c>
      <c r="I636" s="17">
        <f>F636*H636/IF(C636="molde",MAX(1,'Mi negocio'!$C$34),1)</f>
        <v/>
      </c>
    </row>
    <row r="637">
      <c r="A637" t="n">
        <v>42</v>
      </c>
      <c r="B637" s="21" t="inlineStr">
        <is>
          <t>Confitura de Frambuesa al Vinagre Balsámico Tradicional de Módena DOP (Balsamic Raspberry &amp; Aceto di Modena DOP Pâte de Fruits)</t>
        </is>
      </c>
      <c r="C637" t="inlineStr">
        <is>
          <t>sabor</t>
        </is>
      </c>
      <c r="D637" s="22" t="inlineStr">
        <is>
          <t>0.2 g Extracto natural de antocianinas de uva / mora (tono borgoña oscuro)</t>
        </is>
      </c>
      <c r="E637" s="6" t="inlineStr">
        <is>
          <t>Extracto o infusión botánica concentrada</t>
        </is>
      </c>
      <c r="F637" s="16" t="n">
        <v>0.2</v>
      </c>
      <c r="G637" t="inlineStr">
        <is>
          <t>ml</t>
        </is>
      </c>
      <c r="H637" s="12">
        <f>IFERROR(VLOOKUP(E637,Insumos!$C$5:$G$100,5,FALSE),0)</f>
        <v/>
      </c>
      <c r="I637" s="17">
        <f>F637*H637/IF(C637="molde",MAX(1,'Mi negocio'!$C$34),1)</f>
        <v/>
      </c>
    </row>
    <row r="638">
      <c r="A638" t="n">
        <v>42</v>
      </c>
      <c r="B638" s="21" t="inlineStr">
        <is>
          <t>Confitura de Frambuesa al Vinagre Balsámico Tradicional de Módena DOP (Balsamic Raspberry &amp; Aceto di Modena DOP Pâte de Fruits)</t>
        </is>
      </c>
      <c r="C638" t="inlineStr">
        <is>
          <t>acabado</t>
        </is>
      </c>
      <c r="D638" s="22" t="inlineStr">
        <is>
          <t>120 g Azúcar cristal de grano medio (400-600 mum)</t>
        </is>
      </c>
      <c r="E638" s="6" t="inlineStr">
        <is>
          <t>Azúcar cristal de grano medio a grueso (rebozado)</t>
        </is>
      </c>
      <c r="F638" s="16" t="n">
        <v>120</v>
      </c>
      <c r="G638" t="inlineStr">
        <is>
          <t>g</t>
        </is>
      </c>
      <c r="H638" s="12">
        <f>IFERROR(VLOOKUP(E638,Insumos!$C$5:$G$100,5,FALSE),0)</f>
        <v/>
      </c>
      <c r="I638" s="17">
        <f>F638*H638/IF(C638="molde",MAX(1,'Mi negocio'!$C$34),1)</f>
        <v/>
      </c>
    </row>
    <row r="639">
      <c r="A639" t="n">
        <v>43</v>
      </c>
      <c r="B639" s="21" t="inlineStr">
        <is>
          <t>Gomita de Cacao Grand Cru y Flor de Sal de Guérande (Pure Dark Chocolate 70% &amp; Fleur de Sel Jelly)</t>
        </is>
      </c>
      <c r="C639" t="inlineStr">
        <is>
          <t>gelificante</t>
        </is>
      </c>
      <c r="D639" s="22" t="inlineStr">
        <is>
          <t>36 g Gelatina en polvo de res de 240 Bloom</t>
        </is>
      </c>
      <c r="E639" s="6" t="inlineStr">
        <is>
          <t>Gelatina en polvo de 240-260 Bloom</t>
        </is>
      </c>
      <c r="F639" s="16" t="n">
        <v>36</v>
      </c>
      <c r="G639" t="inlineStr">
        <is>
          <t>g</t>
        </is>
      </c>
      <c r="H639" s="12">
        <f>IFERROR(VLOOKUP(E639,Insumos!$C$5:$G$100,5,FALSE),0)</f>
        <v/>
      </c>
      <c r="I639" s="17">
        <f>F639*H639/IF(C639="molde",MAX(1,'Mi negocio'!$C$34),1)</f>
        <v/>
      </c>
    </row>
    <row r="640">
      <c r="A640" t="n">
        <v>43</v>
      </c>
      <c r="B640" s="21" t="inlineStr">
        <is>
          <t>Gomita de Cacao Grand Cru y Flor de Sal de Guérande (Pure Dark Chocolate 70% &amp; Fleur de Sel Jelly)</t>
        </is>
      </c>
      <c r="C640" t="inlineStr">
        <is>
          <t>gelificante</t>
        </is>
      </c>
      <c r="D640" s="22" t="inlineStr">
        <is>
          <t>9 g Almidón modificado de maíz fluidificado</t>
        </is>
      </c>
      <c r="E640" s="6" t="inlineStr">
        <is>
          <t>Almidón modificado de maíz fluidificado</t>
        </is>
      </c>
      <c r="F640" s="16" t="n">
        <v>9</v>
      </c>
      <c r="G640" t="inlineStr">
        <is>
          <t>g</t>
        </is>
      </c>
      <c r="H640" s="12">
        <f>IFERROR(VLOOKUP(E640,Insumos!$C$5:$G$100,5,FALSE),0)</f>
        <v/>
      </c>
      <c r="I640" s="17">
        <f>F640*H640/IF(C640="molde",MAX(1,'Mi negocio'!$C$34),1)</f>
        <v/>
      </c>
    </row>
    <row r="641">
      <c r="A641" t="n">
        <v>43</v>
      </c>
      <c r="B641" s="21" t="inlineStr">
        <is>
          <t>Gomita de Cacao Grand Cru y Flor de Sal de Guérande (Pure Dark Chocolate 70% &amp; Fleur de Sel Jelly)</t>
        </is>
      </c>
      <c r="C641" t="inlineStr">
        <is>
          <t>sabor</t>
        </is>
      </c>
      <c r="D641" s="22" t="inlineStr">
        <is>
          <t>90 ml Agua desmineralizada a 15 °C</t>
        </is>
      </c>
      <c r="E641" s="6" t="inlineStr">
        <is>
          <t>Agua desmineralizada o purificada</t>
        </is>
      </c>
      <c r="F641" s="16" t="n">
        <v>90</v>
      </c>
      <c r="G641" t="inlineStr">
        <is>
          <t>ml</t>
        </is>
      </c>
      <c r="H641" s="12">
        <f>IFERROR(VLOOKUP(E641,Insumos!$C$5:$G$100,5,FALSE),0)</f>
        <v/>
      </c>
      <c r="I641" s="17">
        <f>F641*H641/IF(C641="molde",MAX(1,'Mi negocio'!$C$34),1)</f>
        <v/>
      </c>
    </row>
    <row r="642">
      <c r="A642" t="n">
        <v>43</v>
      </c>
      <c r="B642" s="21" t="inlineStr">
        <is>
          <t>Gomita de Cacao Grand Cru y Flor de Sal de Guérande (Pure Dark Chocolate 70% &amp; Fleur de Sel Jelly)</t>
        </is>
      </c>
      <c r="C642" t="inlineStr">
        <is>
          <t>azucar</t>
        </is>
      </c>
      <c r="D642" s="22" t="inlineStr">
        <is>
          <t>185 g Azúcar blanca refinada pura</t>
        </is>
      </c>
      <c r="E642" s="6" t="inlineStr">
        <is>
          <t>Azúcar blanca refinada</t>
        </is>
      </c>
      <c r="F642" s="16" t="n">
        <v>185</v>
      </c>
      <c r="G642" t="inlineStr">
        <is>
          <t>g</t>
        </is>
      </c>
      <c r="H642" s="12">
        <f>IFERROR(VLOOKUP(E642,Insumos!$C$5:$G$100,5,FALSE),0)</f>
        <v/>
      </c>
      <c r="I642" s="17">
        <f>F642*H642/IF(C642="molde",MAX(1,'Mi negocio'!$C$34),1)</f>
        <v/>
      </c>
    </row>
    <row r="643">
      <c r="A643" t="n">
        <v>43</v>
      </c>
      <c r="B643" s="21" t="inlineStr">
        <is>
          <t>Gomita de Cacao Grand Cru y Flor de Sal de Guérande (Pure Dark Chocolate 70% &amp; Fleur de Sel Jelly)</t>
        </is>
      </c>
      <c r="C643" t="inlineStr">
        <is>
          <t>azucar</t>
        </is>
      </c>
      <c r="D643" s="22" t="inlineStr">
        <is>
          <t>145 g Jarabe de glucosa estándar de maíz 42DE</t>
        </is>
      </c>
      <c r="E643" s="6" t="inlineStr">
        <is>
          <t>Jarabe de glucosa 42 DE</t>
        </is>
      </c>
      <c r="F643" s="16" t="n">
        <v>145</v>
      </c>
      <c r="G643" t="inlineStr">
        <is>
          <t>g</t>
        </is>
      </c>
      <c r="H643" s="12">
        <f>IFERROR(VLOOKUP(E643,Insumos!$C$5:$G$100,5,FALSE),0)</f>
        <v/>
      </c>
      <c r="I643" s="17">
        <f>F643*H643/IF(C643="molde",MAX(1,'Mi negocio'!$C$34),1)</f>
        <v/>
      </c>
    </row>
    <row r="644">
      <c r="A644" t="n">
        <v>43</v>
      </c>
      <c r="B644" s="21" t="inlineStr">
        <is>
          <t>Gomita de Cacao Grand Cru y Flor de Sal de Guérande (Pure Dark Chocolate 70% &amp; Fleur de Sel Jelly)</t>
        </is>
      </c>
      <c r="C644" t="inlineStr">
        <is>
          <t>sabor</t>
        </is>
      </c>
      <c r="D644" s="22" t="inlineStr">
        <is>
          <t>40 ml Agua purificada limpia</t>
        </is>
      </c>
      <c r="E644" s="6" t="inlineStr">
        <is>
          <t>Agua desmineralizada o purificada</t>
        </is>
      </c>
      <c r="F644" s="16" t="n">
        <v>40</v>
      </c>
      <c r="G644" t="inlineStr">
        <is>
          <t>ml</t>
        </is>
      </c>
      <c r="H644" s="12">
        <f>IFERROR(VLOOKUP(E644,Insumos!$C$5:$G$100,5,FALSE),0)</f>
        <v/>
      </c>
      <c r="I644" s="17">
        <f>F644*H644/IF(C644="molde",MAX(1,'Mi negocio'!$C$34),1)</f>
        <v/>
      </c>
    </row>
    <row r="645">
      <c r="A645" t="n">
        <v>43</v>
      </c>
      <c r="B645" s="21" t="inlineStr">
        <is>
          <t>Gomita de Cacao Grand Cru y Flor de Sal de Guérande (Pure Dark Chocolate 70% &amp; Fleur de Sel Jelly)</t>
        </is>
      </c>
      <c r="C645" t="inlineStr">
        <is>
          <t>azucar</t>
        </is>
      </c>
      <c r="D645" s="22" t="inlineStr">
        <is>
          <t>15 g Sorbitol líquido al 70%</t>
        </is>
      </c>
      <c r="E645" s="6" t="inlineStr">
        <is>
          <t>Sorbitol líquido al 70%</t>
        </is>
      </c>
      <c r="F645" s="16" t="n">
        <v>15</v>
      </c>
      <c r="G645" t="inlineStr">
        <is>
          <t>g</t>
        </is>
      </c>
      <c r="H645" s="12">
        <f>IFERROR(VLOOKUP(E645,Insumos!$C$5:$G$100,5,FALSE),0)</f>
        <v/>
      </c>
      <c r="I645" s="17">
        <f>F645*H645/IF(C645="molde",MAX(1,'Mi negocio'!$C$34),1)</f>
        <v/>
      </c>
    </row>
    <row r="646">
      <c r="A646" t="n">
        <v>43</v>
      </c>
      <c r="B646" s="21" t="inlineStr">
        <is>
          <t>Gomita de Cacao Grand Cru y Flor de Sal de Guérande (Pure Dark Chocolate 70% &amp; Fleur de Sel Jelly)</t>
        </is>
      </c>
      <c r="C646" t="inlineStr">
        <is>
          <t>sabor</t>
        </is>
      </c>
      <c r="D646" s="22" t="inlineStr">
        <is>
          <t>2 g Citrato de sodio</t>
        </is>
      </c>
      <c r="E646" s="6" t="inlineStr">
        <is>
          <t>Citrato de sodio dihidratado</t>
        </is>
      </c>
      <c r="F646" s="16" t="n">
        <v>2</v>
      </c>
      <c r="G646" t="inlineStr">
        <is>
          <t>g</t>
        </is>
      </c>
      <c r="H646" s="12">
        <f>IFERROR(VLOOKUP(E646,Insumos!$C$5:$G$100,5,FALSE),0)</f>
        <v/>
      </c>
      <c r="I646" s="17">
        <f>F646*H646/IF(C646="molde",MAX(1,'Mi negocio'!$C$34),1)</f>
        <v/>
      </c>
    </row>
    <row r="647">
      <c r="A647" t="n">
        <v>43</v>
      </c>
      <c r="B647" s="21" t="inlineStr">
        <is>
          <t>Gomita de Cacao Grand Cru y Flor de Sal de Guérande (Pure Dark Chocolate 70% &amp; Fleur de Sel Jelly)</t>
        </is>
      </c>
      <c r="C647" t="inlineStr">
        <is>
          <t>sabor</t>
        </is>
      </c>
      <c r="D647" s="22" t="inlineStr">
        <is>
          <t>35 g Cobertura de chocolate negro 70% de origen (Grand Cru, derretido a 45 °C)</t>
        </is>
      </c>
      <c r="E647" s="6" t="inlineStr">
        <is>
          <t>Cobertura de chocolate negro 70%</t>
        </is>
      </c>
      <c r="F647" s="16" t="n">
        <v>35</v>
      </c>
      <c r="G647" t="inlineStr">
        <is>
          <t>g</t>
        </is>
      </c>
      <c r="H647" s="12">
        <f>IFERROR(VLOOKUP(E647,Insumos!$C$5:$G$100,5,FALSE),0)</f>
        <v/>
      </c>
      <c r="I647" s="17">
        <f>F647*H647/IF(C647="molde",MAX(1,'Mi negocio'!$C$34),1)</f>
        <v/>
      </c>
    </row>
    <row r="648">
      <c r="A648" t="n">
        <v>43</v>
      </c>
      <c r="B648" s="21" t="inlineStr">
        <is>
          <t>Gomita de Cacao Grand Cru y Flor de Sal de Guérande (Pure Dark Chocolate 70% &amp; Fleur de Sel Jelly)</t>
        </is>
      </c>
      <c r="C648" t="inlineStr">
        <is>
          <t>sabor</t>
        </is>
      </c>
      <c r="D648" s="22" t="inlineStr">
        <is>
          <t>15 g Cacao puro en polvo alcalinizado holandés (22% - 24% materia grasa)</t>
        </is>
      </c>
      <c r="E648" s="6" t="inlineStr">
        <is>
          <t>Cacao puro en polvo alcalinizado (22-24% MG)</t>
        </is>
      </c>
      <c r="F648" s="16" t="n">
        <v>15</v>
      </c>
      <c r="G648" t="inlineStr">
        <is>
          <t>g</t>
        </is>
      </c>
      <c r="H648" s="12">
        <f>IFERROR(VLOOKUP(E648,Insumos!$C$5:$G$100,5,FALSE),0)</f>
        <v/>
      </c>
      <c r="I648" s="17">
        <f>F648*H648/IF(C648="molde",MAX(1,'Mi negocio'!$C$34),1)</f>
        <v/>
      </c>
    </row>
    <row r="649">
      <c r="A649" t="n">
        <v>43</v>
      </c>
      <c r="B649" s="21" t="inlineStr">
        <is>
          <t>Gomita de Cacao Grand Cru y Flor de Sal de Guérande (Pure Dark Chocolate 70% &amp; Fleur de Sel Jelly)</t>
        </is>
      </c>
      <c r="C649" t="inlineStr">
        <is>
          <t>acabado</t>
        </is>
      </c>
      <c r="D649" s="22" t="inlineStr">
        <is>
          <t>2 g Lecitina de soja o girasol pura (emulsionante lipófilo/hidrófilo)</t>
        </is>
      </c>
      <c r="E649" s="6" t="inlineStr">
        <is>
          <t>Lecitina de girasol o soja pura</t>
        </is>
      </c>
      <c r="F649" s="16" t="n">
        <v>2</v>
      </c>
      <c r="G649" t="inlineStr">
        <is>
          <t>g</t>
        </is>
      </c>
      <c r="H649" s="12">
        <f>IFERROR(VLOOKUP(E649,Insumos!$C$5:$G$100,5,FALSE),0)</f>
        <v/>
      </c>
      <c r="I649" s="17">
        <f>F649*H649/IF(C649="molde",MAX(1,'Mi negocio'!$C$34),1)</f>
        <v/>
      </c>
    </row>
    <row r="650">
      <c r="A650" t="n">
        <v>43</v>
      </c>
      <c r="B650" s="21" t="inlineStr">
        <is>
          <t>Gomita de Cacao Grand Cru y Flor de Sal de Guérande (Pure Dark Chocolate 70% &amp; Fleur de Sel Jelly)</t>
        </is>
      </c>
      <c r="C650" t="inlineStr">
        <is>
          <t>sabor</t>
        </is>
      </c>
      <c r="D650" s="22" t="inlineStr">
        <is>
          <t>30 ml Agua tibia (para dispersar el cacao en polvo)</t>
        </is>
      </c>
      <c r="E650" s="6" t="inlineStr">
        <is>
          <t>Agua desmineralizada o purificada</t>
        </is>
      </c>
      <c r="F650" s="16" t="n">
        <v>30</v>
      </c>
      <c r="G650" t="inlineStr">
        <is>
          <t>ml</t>
        </is>
      </c>
      <c r="H650" s="12">
        <f>IFERROR(VLOOKUP(E650,Insumos!$C$5:$G$100,5,FALSE),0)</f>
        <v/>
      </c>
      <c r="I650" s="17">
        <f>F650*H650/IF(C650="molde",MAX(1,'Mi negocio'!$C$34),1)</f>
        <v/>
      </c>
    </row>
    <row r="651">
      <c r="A651" t="n">
        <v>43</v>
      </c>
      <c r="B651" s="21" t="inlineStr">
        <is>
          <t>Gomita de Cacao Grand Cru y Flor de Sal de Guérande (Pure Dark Chocolate 70% &amp; Fleur de Sel Jelly)</t>
        </is>
      </c>
      <c r="C651" t="inlineStr">
        <is>
          <t>sabor</t>
        </is>
      </c>
      <c r="D651" s="22" t="inlineStr">
        <is>
          <t>4 ml Solución de ácido cítrico al 50% p/v (aporta brillo al retrogusto sin cortar la grasa)</t>
        </is>
      </c>
      <c r="E651" s="6" t="inlineStr">
        <is>
          <t>Solución de ácido cítrico al 50% p/v (elaborada)</t>
        </is>
      </c>
      <c r="F651" s="16" t="n">
        <v>4</v>
      </c>
      <c r="G651" t="inlineStr">
        <is>
          <t>ml</t>
        </is>
      </c>
      <c r="H651" s="12">
        <f>IFERROR(VLOOKUP(E651,Insumos!$C$5:$G$100,5,FALSE),0)</f>
        <v/>
      </c>
      <c r="I651" s="17">
        <f>F651*H651/IF(C651="molde",MAX(1,'Mi negocio'!$C$34),1)</f>
        <v/>
      </c>
    </row>
    <row r="652">
      <c r="A652" t="n">
        <v>43</v>
      </c>
      <c r="B652" s="21" t="inlineStr">
        <is>
          <t>Gomita de Cacao Grand Cru y Flor de Sal de Guérande (Pure Dark Chocolate 70% &amp; Fleur de Sel Jelly)</t>
        </is>
      </c>
      <c r="C652" t="inlineStr">
        <is>
          <t>sabor</t>
        </is>
      </c>
      <c r="D652" s="22" t="inlineStr">
        <is>
          <t>1.5 ml Extracto puro natural de vainilla de Papantla</t>
        </is>
      </c>
      <c r="E652" s="6" t="inlineStr">
        <is>
          <t>Extracto puro natural de vainilla</t>
        </is>
      </c>
      <c r="F652" s="16" t="n">
        <v>1.5</v>
      </c>
      <c r="G652" t="inlineStr">
        <is>
          <t>ml</t>
        </is>
      </c>
      <c r="H652" s="12">
        <f>IFERROR(VLOOKUP(E652,Insumos!$C$5:$G$100,5,FALSE),0)</f>
        <v/>
      </c>
      <c r="I652" s="17">
        <f>F652*H652/IF(C652="molde",MAX(1,'Mi negocio'!$C$34),1)</f>
        <v/>
      </c>
    </row>
    <row r="653">
      <c r="A653" t="n">
        <v>43</v>
      </c>
      <c r="B653" s="21" t="inlineStr">
        <is>
          <t>Gomita de Cacao Grand Cru y Flor de Sal de Guérande (Pure Dark Chocolate 70% &amp; Fleur de Sel Jelly)</t>
        </is>
      </c>
      <c r="C653" t="inlineStr">
        <is>
          <t>acabado</t>
        </is>
      </c>
      <c r="D653" s="22" t="inlineStr">
        <is>
          <t>6 g Flor de sal marina de Guérande (Fleur de Sel de Guérande, escamas húmedas seleccionadas)</t>
        </is>
      </c>
      <c r="E653" s="6" t="inlineStr">
        <is>
          <t>Sal marina fina o flor de sal</t>
        </is>
      </c>
      <c r="F653" s="16" t="n">
        <v>6</v>
      </c>
      <c r="G653" t="inlineStr">
        <is>
          <t>g</t>
        </is>
      </c>
      <c r="H653" s="12">
        <f>IFERROR(VLOOKUP(E653,Insumos!$C$5:$G$100,5,FALSE),0)</f>
        <v/>
      </c>
      <c r="I653" s="17">
        <f>F653*H653/IF(C653="molde",MAX(1,'Mi negocio'!$C$34),1)</f>
        <v/>
      </c>
    </row>
    <row r="654">
      <c r="A654" t="n">
        <v>43</v>
      </c>
      <c r="B654" s="21" t="inlineStr">
        <is>
          <t>Gomita de Cacao Grand Cru y Flor de Sal de Guérande (Pure Dark Chocolate 70% &amp; Fleur de Sel Jelly)</t>
        </is>
      </c>
      <c r="C654" t="inlineStr">
        <is>
          <t>acabado</t>
        </is>
      </c>
      <c r="D654" s="22" t="inlineStr">
        <is>
          <t>2 g Aceite MCT con cera de carnauba</t>
        </is>
      </c>
      <c r="E654" s="6" t="inlineStr">
        <is>
          <t>Agente de brillo de carnauba en MCT (elaborado)</t>
        </is>
      </c>
      <c r="F654" s="16" t="n">
        <v>2</v>
      </c>
      <c r="G654" t="inlineStr">
        <is>
          <t>g</t>
        </is>
      </c>
      <c r="H654" s="12">
        <f>IFERROR(VLOOKUP(E654,Insumos!$C$5:$G$100,5,FALSE),0)</f>
        <v/>
      </c>
      <c r="I654" s="17">
        <f>F654*H654/IF(C654="molde",MAX(1,'Mi negocio'!$C$34),1)</f>
        <v/>
      </c>
    </row>
    <row r="655">
      <c r="A655" t="n">
        <v>44</v>
      </c>
      <c r="B655" s="21" t="inlineStr">
        <is>
          <t>Domo de Té Verde Matcha Ceremonial y Limón Yuzu (Uji Matcha &amp; Yuzu Citrus Dome)</t>
        </is>
      </c>
      <c r="C655" t="inlineStr">
        <is>
          <t>gelificante</t>
        </is>
      </c>
      <c r="D655" s="22" t="inlineStr">
        <is>
          <t>38 g Gelatina en polvo de 250 Bloom</t>
        </is>
      </c>
      <c r="E655" s="6" t="inlineStr">
        <is>
          <t>Gelatina en polvo de 240-260 Bloom</t>
        </is>
      </c>
      <c r="F655" s="16" t="n">
        <v>38</v>
      </c>
      <c r="G655" t="inlineStr">
        <is>
          <t>g</t>
        </is>
      </c>
      <c r="H655" s="12">
        <f>IFERROR(VLOOKUP(E655,Insumos!$C$5:$G$100,5,FALSE),0)</f>
        <v/>
      </c>
      <c r="I655" s="17">
        <f>F655*H655/IF(C655="molde",MAX(1,'Mi negocio'!$C$34),1)</f>
        <v/>
      </c>
    </row>
    <row r="656">
      <c r="A656" t="n">
        <v>44</v>
      </c>
      <c r="B656" s="21" t="inlineStr">
        <is>
          <t>Domo de Té Verde Matcha Ceremonial y Limón Yuzu (Uji Matcha &amp; Yuzu Citrus Dome)</t>
        </is>
      </c>
      <c r="C656" t="inlineStr">
        <is>
          <t>gelificante</t>
        </is>
      </c>
      <c r="D656" s="22" t="inlineStr">
        <is>
          <t>7.5 g Pectina de Alto Metoxilo lenta (HM Slow-Set)</t>
        </is>
      </c>
      <c r="E656" s="6" t="inlineStr">
        <is>
          <t>Pectina de alto metoxilo lenta (HM slow-set)</t>
        </is>
      </c>
      <c r="F656" s="16" t="n">
        <v>7.5</v>
      </c>
      <c r="G656" t="inlineStr">
        <is>
          <t>g</t>
        </is>
      </c>
      <c r="H656" s="12">
        <f>IFERROR(VLOOKUP(E656,Insumos!$C$5:$G$100,5,FALSE),0)</f>
        <v/>
      </c>
      <c r="I656" s="17">
        <f>F656*H656/IF(C656="molde",MAX(1,'Mi negocio'!$C$34),1)</f>
        <v/>
      </c>
    </row>
    <row r="657">
      <c r="A657" t="n">
        <v>44</v>
      </c>
      <c r="B657" s="21" t="inlineStr">
        <is>
          <t>Domo de Té Verde Matcha Ceremonial y Limón Yuzu (Uji Matcha &amp; Yuzu Citrus Dome)</t>
        </is>
      </c>
      <c r="C657" t="inlineStr">
        <is>
          <t>azucar</t>
        </is>
      </c>
      <c r="D657" s="22" t="inlineStr">
        <is>
          <t>25 g Azúcar blanca refinada pura (para dispersión de pectina)</t>
        </is>
      </c>
      <c r="E657" s="6" t="inlineStr">
        <is>
          <t>Azúcar blanca refinada</t>
        </is>
      </c>
      <c r="F657" s="16" t="n">
        <v>25</v>
      </c>
      <c r="G657" t="inlineStr">
        <is>
          <t>g</t>
        </is>
      </c>
      <c r="H657" s="12">
        <f>IFERROR(VLOOKUP(E657,Insumos!$C$5:$G$100,5,FALSE),0)</f>
        <v/>
      </c>
      <c r="I657" s="17">
        <f>F657*H657/IF(C657="molde",MAX(1,'Mi negocio'!$C$34),1)</f>
        <v/>
      </c>
    </row>
    <row r="658">
      <c r="A658" t="n">
        <v>44</v>
      </c>
      <c r="B658" s="21" t="inlineStr">
        <is>
          <t>Domo de Té Verde Matcha Ceremonial y Limón Yuzu (Uji Matcha &amp; Yuzu Citrus Dome)</t>
        </is>
      </c>
      <c r="C658" t="inlineStr">
        <is>
          <t>sabor</t>
        </is>
      </c>
      <c r="D658" s="22" t="inlineStr">
        <is>
          <t>85 ml Agua desmineralizada a 15 °C (para la gelatina)</t>
        </is>
      </c>
      <c r="E658" s="6" t="inlineStr">
        <is>
          <t>Agua desmineralizada o purificada</t>
        </is>
      </c>
      <c r="F658" s="16" t="n">
        <v>85</v>
      </c>
      <c r="G658" t="inlineStr">
        <is>
          <t>ml</t>
        </is>
      </c>
      <c r="H658" s="12">
        <f>IFERROR(VLOOKUP(E658,Insumos!$C$5:$G$100,5,FALSE),0)</f>
        <v/>
      </c>
      <c r="I658" s="17">
        <f>F658*H658/IF(C658="molde",MAX(1,'Mi negocio'!$C$34),1)</f>
        <v/>
      </c>
    </row>
    <row r="659">
      <c r="A659" t="n">
        <v>44</v>
      </c>
      <c r="B659" s="21" t="inlineStr">
        <is>
          <t>Domo de Té Verde Matcha Ceremonial y Limón Yuzu (Uji Matcha &amp; Yuzu Citrus Dome)</t>
        </is>
      </c>
      <c r="C659" t="inlineStr">
        <is>
          <t>sabor</t>
        </is>
      </c>
      <c r="D659" s="22" t="inlineStr">
        <is>
          <t>45 ml Agua purificada tibia (para la pectina)</t>
        </is>
      </c>
      <c r="E659" s="6" t="inlineStr">
        <is>
          <t>Agua desmineralizada o purificada</t>
        </is>
      </c>
      <c r="F659" s="16" t="n">
        <v>45</v>
      </c>
      <c r="G659" t="inlineStr">
        <is>
          <t>ml</t>
        </is>
      </c>
      <c r="H659" s="12">
        <f>IFERROR(VLOOKUP(E659,Insumos!$C$5:$G$100,5,FALSE),0)</f>
        <v/>
      </c>
      <c r="I659" s="17">
        <f>F659*H659/IF(C659="molde",MAX(1,'Mi negocio'!$C$34),1)</f>
        <v/>
      </c>
    </row>
    <row r="660">
      <c r="A660" t="n">
        <v>44</v>
      </c>
      <c r="B660" s="21" t="inlineStr">
        <is>
          <t>Domo de Té Verde Matcha Ceremonial y Limón Yuzu (Uji Matcha &amp; Yuzu Citrus Dome)</t>
        </is>
      </c>
      <c r="C660" t="inlineStr">
        <is>
          <t>azucar</t>
        </is>
      </c>
      <c r="D660" s="22" t="inlineStr">
        <is>
          <t>185 g Azúcar blanca refinada pura</t>
        </is>
      </c>
      <c r="E660" s="6" t="inlineStr">
        <is>
          <t>Azúcar blanca refinada</t>
        </is>
      </c>
      <c r="F660" s="16" t="n">
        <v>185</v>
      </c>
      <c r="G660" t="inlineStr">
        <is>
          <t>g</t>
        </is>
      </c>
      <c r="H660" s="12">
        <f>IFERROR(VLOOKUP(E660,Insumos!$C$5:$G$100,5,FALSE),0)</f>
        <v/>
      </c>
      <c r="I660" s="17">
        <f>F660*H660/IF(C660="molde",MAX(1,'Mi negocio'!$C$34),1)</f>
        <v/>
      </c>
    </row>
    <row r="661">
      <c r="A661" t="n">
        <v>44</v>
      </c>
      <c r="B661" s="21" t="inlineStr">
        <is>
          <t>Domo de Té Verde Matcha Ceremonial y Limón Yuzu (Uji Matcha &amp; Yuzu Citrus Dome)</t>
        </is>
      </c>
      <c r="C661" t="inlineStr">
        <is>
          <t>azucar</t>
        </is>
      </c>
      <c r="D661" s="22" t="inlineStr">
        <is>
          <t>150 g Jarabe de glucosa 42DE</t>
        </is>
      </c>
      <c r="E661" s="6" t="inlineStr">
        <is>
          <t>Jarabe de glucosa 42 DE</t>
        </is>
      </c>
      <c r="F661" s="16" t="n">
        <v>150</v>
      </c>
      <c r="G661" t="inlineStr">
        <is>
          <t>g</t>
        </is>
      </c>
      <c r="H661" s="12">
        <f>IFERROR(VLOOKUP(E661,Insumos!$C$5:$G$100,5,FALSE),0)</f>
        <v/>
      </c>
      <c r="I661" s="17">
        <f>F661*H661/IF(C661="molde",MAX(1,'Mi negocio'!$C$34),1)</f>
        <v/>
      </c>
    </row>
    <row r="662">
      <c r="A662" t="n">
        <v>44</v>
      </c>
      <c r="B662" s="21" t="inlineStr">
        <is>
          <t>Domo de Té Verde Matcha Ceremonial y Limón Yuzu (Uji Matcha &amp; Yuzu Citrus Dome)</t>
        </is>
      </c>
      <c r="C662" t="inlineStr">
        <is>
          <t>azucar</t>
        </is>
      </c>
      <c r="D662" s="22" t="inlineStr">
        <is>
          <t>15 g Sorbitol líquido al 70%</t>
        </is>
      </c>
      <c r="E662" s="6" t="inlineStr">
        <is>
          <t>Sorbitol líquido al 70%</t>
        </is>
      </c>
      <c r="F662" s="16" t="n">
        <v>15</v>
      </c>
      <c r="G662" t="inlineStr">
        <is>
          <t>g</t>
        </is>
      </c>
      <c r="H662" s="12">
        <f>IFERROR(VLOOKUP(E662,Insumos!$C$5:$G$100,5,FALSE),0)</f>
        <v/>
      </c>
      <c r="I662" s="17">
        <f>F662*H662/IF(C662="molde",MAX(1,'Mi negocio'!$C$34),1)</f>
        <v/>
      </c>
    </row>
    <row r="663">
      <c r="A663" t="n">
        <v>44</v>
      </c>
      <c r="B663" s="21" t="inlineStr">
        <is>
          <t>Domo de Té Verde Matcha Ceremonial y Limón Yuzu (Uji Matcha &amp; Yuzu Citrus Dome)</t>
        </is>
      </c>
      <c r="C663" t="inlineStr">
        <is>
          <t>sabor</t>
        </is>
      </c>
      <c r="D663" s="22" t="inlineStr">
        <is>
          <t>2.5 g Citrato de potasio (amortiguador de pH)</t>
        </is>
      </c>
      <c r="E663" s="6" t="inlineStr">
        <is>
          <t>Citrato de potasio monohidratado</t>
        </is>
      </c>
      <c r="F663" s="16" t="n">
        <v>2.5</v>
      </c>
      <c r="G663" t="inlineStr">
        <is>
          <t>g</t>
        </is>
      </c>
      <c r="H663" s="12">
        <f>IFERROR(VLOOKUP(E663,Insumos!$C$5:$G$100,5,FALSE),0)</f>
        <v/>
      </c>
      <c r="I663" s="17">
        <f>F663*H663/IF(C663="molde",MAX(1,'Mi negocio'!$C$34),1)</f>
        <v/>
      </c>
    </row>
    <row r="664">
      <c r="A664" t="n">
        <v>44</v>
      </c>
      <c r="B664" s="21" t="inlineStr">
        <is>
          <t>Domo de Té Verde Matcha Ceremonial y Limón Yuzu (Uji Matcha &amp; Yuzu Citrus Dome)</t>
        </is>
      </c>
      <c r="C664" t="inlineStr">
        <is>
          <t>sabor</t>
        </is>
      </c>
      <c r="D664" s="22" t="inlineStr">
        <is>
          <t>12 g Té verde Matcha ceremonial grado Uji (tamizado fino por malla de 100 mum)</t>
        </is>
      </c>
      <c r="E664" s="6" t="inlineStr">
        <is>
          <t>Té verde matcha ceremonial</t>
        </is>
      </c>
      <c r="F664" s="16" t="n">
        <v>12</v>
      </c>
      <c r="G664" t="inlineStr">
        <is>
          <t>g</t>
        </is>
      </c>
      <c r="H664" s="12">
        <f>IFERROR(VLOOKUP(E664,Insumos!$C$5:$G$100,5,FALSE),0)</f>
        <v/>
      </c>
      <c r="I664" s="17">
        <f>F664*H664/IF(C664="molde",MAX(1,'Mi negocio'!$C$34),1)</f>
        <v/>
      </c>
    </row>
    <row r="665">
      <c r="A665" t="n">
        <v>44</v>
      </c>
      <c r="B665" s="21" t="inlineStr">
        <is>
          <t>Domo de Té Verde Matcha Ceremonial y Limón Yuzu (Uji Matcha &amp; Yuzu Citrus Dome)</t>
        </is>
      </c>
      <c r="C665" t="inlineStr">
        <is>
          <t>sabor</t>
        </is>
      </c>
      <c r="D665" s="22" t="inlineStr">
        <is>
          <t>35 ml Agua desmineralizada fría (15 °C, para batir el matcha)</t>
        </is>
      </c>
      <c r="E665" s="6" t="inlineStr">
        <is>
          <t>Agua desmineralizada o purificada</t>
        </is>
      </c>
      <c r="F665" s="16" t="n">
        <v>35</v>
      </c>
      <c r="G665" t="inlineStr">
        <is>
          <t>ml</t>
        </is>
      </c>
      <c r="H665" s="12">
        <f>IFERROR(VLOOKUP(E665,Insumos!$C$5:$G$100,5,FALSE),0)</f>
        <v/>
      </c>
      <c r="I665" s="17">
        <f>F665*H665/IF(C665="molde",MAX(1,'Mi negocio'!$C$34),1)</f>
        <v/>
      </c>
    </row>
    <row r="666">
      <c r="A666" t="n">
        <v>44</v>
      </c>
      <c r="B666" s="21" t="inlineStr">
        <is>
          <t>Domo de Té Verde Matcha Ceremonial y Limón Yuzu (Uji Matcha &amp; Yuzu Citrus Dome)</t>
        </is>
      </c>
      <c r="C666" t="inlineStr">
        <is>
          <t>sabor</t>
        </is>
      </c>
      <c r="D666" s="22" t="inlineStr">
        <is>
          <t>0.4 g Ácido L-ascórbico puro en polvo (vitamina C grado alimenticio, antioxidante de clorofila)</t>
        </is>
      </c>
      <c r="E666" s="6" t="inlineStr">
        <is>
          <t>Ácido L-ascórbico puro (vitamina C)</t>
        </is>
      </c>
      <c r="F666" s="16" t="n">
        <v>0.4</v>
      </c>
      <c r="G666" t="inlineStr">
        <is>
          <t>g</t>
        </is>
      </c>
      <c r="H666" s="12">
        <f>IFERROR(VLOOKUP(E666,Insumos!$C$5:$G$100,5,FALSE),0)</f>
        <v/>
      </c>
      <c r="I666" s="17">
        <f>F666*H666/IF(C666="molde",MAX(1,'Mi negocio'!$C$34),1)</f>
        <v/>
      </c>
    </row>
    <row r="667">
      <c r="A667" t="n">
        <v>44</v>
      </c>
      <c r="B667" s="21" t="inlineStr">
        <is>
          <t>Domo de Té Verde Matcha Ceremonial y Limón Yuzu (Uji Matcha &amp; Yuzu Citrus Dome)</t>
        </is>
      </c>
      <c r="C667" t="inlineStr">
        <is>
          <t>sabor</t>
        </is>
      </c>
      <c r="D667" s="22" t="inlineStr">
        <is>
          <t>25 ml Zumo puro pasteurizado de Yuzu (Citrus junos)</t>
        </is>
      </c>
      <c r="E667" s="6" t="inlineStr">
        <is>
          <t>Zumo puro pasteurizado de yuzu</t>
        </is>
      </c>
      <c r="F667" s="16" t="n">
        <v>25</v>
      </c>
      <c r="G667" t="inlineStr">
        <is>
          <t>ml</t>
        </is>
      </c>
      <c r="H667" s="12">
        <f>IFERROR(VLOOKUP(E667,Insumos!$C$5:$G$100,5,FALSE),0)</f>
        <v/>
      </c>
      <c r="I667" s="17">
        <f>F667*H667/IF(C667="molde",MAX(1,'Mi negocio'!$C$34),1)</f>
        <v/>
      </c>
    </row>
    <row r="668">
      <c r="A668" t="n">
        <v>44</v>
      </c>
      <c r="B668" s="21" t="inlineStr">
        <is>
          <t>Domo de Té Verde Matcha Ceremonial y Limón Yuzu (Uji Matcha &amp; Yuzu Citrus Dome)</t>
        </is>
      </c>
      <c r="C668" t="inlineStr">
        <is>
          <t>sabor</t>
        </is>
      </c>
      <c r="D668" s="22" t="inlineStr">
        <is>
          <t>6 ml Solución de ácido cítrico al 50% p/v</t>
        </is>
      </c>
      <c r="E668" s="6" t="inlineStr">
        <is>
          <t>Solución de ácido cítrico al 50% p/v (elaborada)</t>
        </is>
      </c>
      <c r="F668" s="16" t="n">
        <v>6</v>
      </c>
      <c r="G668" t="inlineStr">
        <is>
          <t>ml</t>
        </is>
      </c>
      <c r="H668" s="12">
        <f>IFERROR(VLOOKUP(E668,Insumos!$C$5:$G$100,5,FALSE),0)</f>
        <v/>
      </c>
      <c r="I668" s="17">
        <f>F668*H668/IF(C668="molde",MAX(1,'Mi negocio'!$C$34),1)</f>
        <v/>
      </c>
    </row>
    <row r="669">
      <c r="A669" t="n">
        <v>44</v>
      </c>
      <c r="B669" s="21" t="inlineStr">
        <is>
          <t>Domo de Té Verde Matcha Ceremonial y Limón Yuzu (Uji Matcha &amp; Yuzu Citrus Dome)</t>
        </is>
      </c>
      <c r="C669" t="inlineStr">
        <is>
          <t>acabado</t>
        </is>
      </c>
      <c r="D669" s="22" t="inlineStr">
        <is>
          <t>2 g Aceite MCT con cera de carnauba refinada</t>
        </is>
      </c>
      <c r="E669" s="6" t="inlineStr">
        <is>
          <t>Agente de brillo de carnauba en MCT (elaborado)</t>
        </is>
      </c>
      <c r="F669" s="16" t="n">
        <v>2</v>
      </c>
      <c r="G669" t="inlineStr">
        <is>
          <t>g</t>
        </is>
      </c>
      <c r="H669" s="12">
        <f>IFERROR(VLOOKUP(E669,Insumos!$C$5:$G$100,5,FALSE),0)</f>
        <v/>
      </c>
      <c r="I669" s="17">
        <f>F669*H669/IF(C669="molde",MAX(1,'Mi negocio'!$C$34),1)</f>
        <v/>
      </c>
    </row>
    <row r="670">
      <c r="A670" t="n">
        <v>45</v>
      </c>
      <c r="B670" s="21" t="inlineStr">
        <is>
          <t>Joya de Maracuyá, Lavanda Francesa y Miel de Abeja Cruda (Passion Fruit, Lavender &amp; Raw Honey Botanical Gem)</t>
        </is>
      </c>
      <c r="C670" t="inlineStr">
        <is>
          <t>gelificante</t>
        </is>
      </c>
      <c r="D670" s="22" t="inlineStr">
        <is>
          <t>44 g Gelatina en polvo de res de 250 Bloom</t>
        </is>
      </c>
      <c r="E670" s="6" t="inlineStr">
        <is>
          <t>Gelatina en polvo de 240-260 Bloom</t>
        </is>
      </c>
      <c r="F670" s="16" t="n">
        <v>44</v>
      </c>
      <c r="G670" t="inlineStr">
        <is>
          <t>g</t>
        </is>
      </c>
      <c r="H670" s="12">
        <f>IFERROR(VLOOKUP(E670,Insumos!$C$5:$G$100,5,FALSE),0)</f>
        <v/>
      </c>
      <c r="I670" s="17">
        <f>F670*H670/IF(C670="molde",MAX(1,'Mi negocio'!$C$34),1)</f>
        <v/>
      </c>
    </row>
    <row r="671">
      <c r="A671" t="n">
        <v>45</v>
      </c>
      <c r="B671" s="21" t="inlineStr">
        <is>
          <t>Joya de Maracuyá, Lavanda Francesa y Miel de Abeja Cruda (Passion Fruit, Lavender &amp; Raw Honey Botanical Gem)</t>
        </is>
      </c>
      <c r="C671" t="inlineStr">
        <is>
          <t>sabor</t>
        </is>
      </c>
      <c r="D671" s="22" t="inlineStr">
        <is>
          <t>95 ml Agua desmineralizada a 15 °C</t>
        </is>
      </c>
      <c r="E671" s="6" t="inlineStr">
        <is>
          <t>Agua desmineralizada o purificada</t>
        </is>
      </c>
      <c r="F671" s="16" t="n">
        <v>95</v>
      </c>
      <c r="G671" t="inlineStr">
        <is>
          <t>ml</t>
        </is>
      </c>
      <c r="H671" s="12">
        <f>IFERROR(VLOOKUP(E671,Insumos!$C$5:$G$100,5,FALSE),0)</f>
        <v/>
      </c>
      <c r="I671" s="17">
        <f>F671*H671/IF(C671="molde",MAX(1,'Mi negocio'!$C$34),1)</f>
        <v/>
      </c>
    </row>
    <row r="672">
      <c r="A672" t="n">
        <v>45</v>
      </c>
      <c r="B672" s="21" t="inlineStr">
        <is>
          <t>Joya de Maracuyá, Lavanda Francesa y Miel de Abeja Cruda (Passion Fruit, Lavender &amp; Raw Honey Botanical Gem)</t>
        </is>
      </c>
      <c r="C672" t="inlineStr">
        <is>
          <t>azucar</t>
        </is>
      </c>
      <c r="D672" s="22" t="inlineStr">
        <is>
          <t>175 g Azúcar blanca refinada pura</t>
        </is>
      </c>
      <c r="E672" s="6" t="inlineStr">
        <is>
          <t>Azúcar blanca refinada</t>
        </is>
      </c>
      <c r="F672" s="16" t="n">
        <v>175</v>
      </c>
      <c r="G672" t="inlineStr">
        <is>
          <t>g</t>
        </is>
      </c>
      <c r="H672" s="12">
        <f>IFERROR(VLOOKUP(E672,Insumos!$C$5:$G$100,5,FALSE),0)</f>
        <v/>
      </c>
      <c r="I672" s="17">
        <f>F672*H672/IF(C672="molde",MAX(1,'Mi negocio'!$C$34),1)</f>
        <v/>
      </c>
    </row>
    <row r="673">
      <c r="A673" t="n">
        <v>45</v>
      </c>
      <c r="B673" s="21" t="inlineStr">
        <is>
          <t>Joya de Maracuyá, Lavanda Francesa y Miel de Abeja Cruda (Passion Fruit, Lavender &amp; Raw Honey Botanical Gem)</t>
        </is>
      </c>
      <c r="C673" t="inlineStr">
        <is>
          <t>azucar</t>
        </is>
      </c>
      <c r="D673" s="22" t="inlineStr">
        <is>
          <t>145 g Jarabe de glucosa estándar 42DE</t>
        </is>
      </c>
      <c r="E673" s="6" t="inlineStr">
        <is>
          <t>Jarabe de glucosa 42 DE</t>
        </is>
      </c>
      <c r="F673" s="16" t="n">
        <v>145</v>
      </c>
      <c r="G673" t="inlineStr">
        <is>
          <t>g</t>
        </is>
      </c>
      <c r="H673" s="12">
        <f>IFERROR(VLOOKUP(E673,Insumos!$C$5:$G$100,5,FALSE),0)</f>
        <v/>
      </c>
      <c r="I673" s="17">
        <f>F673*H673/IF(C673="molde",MAX(1,'Mi negocio'!$C$34),1)</f>
        <v/>
      </c>
    </row>
    <row r="674">
      <c r="A674" t="n">
        <v>45</v>
      </c>
      <c r="B674" s="21" t="inlineStr">
        <is>
          <t>Joya de Maracuyá, Lavanda Francesa y Miel de Abeja Cruda (Passion Fruit, Lavender &amp; Raw Honey Botanical Gem)</t>
        </is>
      </c>
      <c r="C674" t="inlineStr">
        <is>
          <t>sabor</t>
        </is>
      </c>
      <c r="D674" s="22" t="inlineStr">
        <is>
          <t>40 ml Infusión concentrada de flores secas de lavanda verdadera (Lavandula angustifolia, infusionada 5 min a 85 °C y colada)</t>
        </is>
      </c>
      <c r="E674" s="6" t="inlineStr">
        <is>
          <t>Extracto o infusión botánica concentrada</t>
        </is>
      </c>
      <c r="F674" s="16" t="n">
        <v>40</v>
      </c>
      <c r="G674" t="inlineStr">
        <is>
          <t>ml</t>
        </is>
      </c>
      <c r="H674" s="12">
        <f>IFERROR(VLOOKUP(E674,Insumos!$C$5:$G$100,5,FALSE),0)</f>
        <v/>
      </c>
      <c r="I674" s="17">
        <f>F674*H674/IF(C674="molde",MAX(1,'Mi negocio'!$C$34),1)</f>
        <v/>
      </c>
    </row>
    <row r="675">
      <c r="A675" t="n">
        <v>45</v>
      </c>
      <c r="B675" s="21" t="inlineStr">
        <is>
          <t>Joya de Maracuyá, Lavanda Francesa y Miel de Abeja Cruda (Passion Fruit, Lavender &amp; Raw Honey Botanical Gem)</t>
        </is>
      </c>
      <c r="C675" t="inlineStr">
        <is>
          <t>azucar</t>
        </is>
      </c>
      <c r="D675" s="22" t="inlineStr">
        <is>
          <t>12 g Sorbitol líquido al 70%</t>
        </is>
      </c>
      <c r="E675" s="6" t="inlineStr">
        <is>
          <t>Sorbitol líquido al 70%</t>
        </is>
      </c>
      <c r="F675" s="16" t="n">
        <v>12</v>
      </c>
      <c r="G675" t="inlineStr">
        <is>
          <t>g</t>
        </is>
      </c>
      <c r="H675" s="12">
        <f>IFERROR(VLOOKUP(E675,Insumos!$C$5:$G$100,5,FALSE),0)</f>
        <v/>
      </c>
      <c r="I675" s="17">
        <f>F675*H675/IF(C675="molde",MAX(1,'Mi negocio'!$C$34),1)</f>
        <v/>
      </c>
    </row>
    <row r="676">
      <c r="A676" t="n">
        <v>45</v>
      </c>
      <c r="B676" s="21" t="inlineStr">
        <is>
          <t>Joya de Maracuyá, Lavanda Francesa y Miel de Abeja Cruda (Passion Fruit, Lavender &amp; Raw Honey Botanical Gem)</t>
        </is>
      </c>
      <c r="C676" t="inlineStr">
        <is>
          <t>sabor</t>
        </is>
      </c>
      <c r="D676" s="22" t="inlineStr">
        <is>
          <t>2 g Citrato de sodio</t>
        </is>
      </c>
      <c r="E676" s="6" t="inlineStr">
        <is>
          <t>Citrato de sodio dihidratado</t>
        </is>
      </c>
      <c r="F676" s="16" t="n">
        <v>2</v>
      </c>
      <c r="G676" t="inlineStr">
        <is>
          <t>g</t>
        </is>
      </c>
      <c r="H676" s="12">
        <f>IFERROR(VLOOKUP(E676,Insumos!$C$5:$G$100,5,FALSE),0)</f>
        <v/>
      </c>
      <c r="I676" s="17">
        <f>F676*H676/IF(C676="molde",MAX(1,'Mi negocio'!$C$34),1)</f>
        <v/>
      </c>
    </row>
    <row r="677">
      <c r="A677" t="n">
        <v>45</v>
      </c>
      <c r="B677" s="21" t="inlineStr">
        <is>
          <t>Joya de Maracuyá, Lavanda Francesa y Miel de Abeja Cruda (Passion Fruit, Lavender &amp; Raw Honey Botanical Gem)</t>
        </is>
      </c>
      <c r="C677" t="inlineStr">
        <is>
          <t>azucar</t>
        </is>
      </c>
      <c r="D677" s="22" t="inlineStr">
        <is>
          <t>45 g Miel pura cruda de flor de azahar / multifloral (incorporada en crudo sin hervir)</t>
        </is>
      </c>
      <c r="E677" s="6" t="inlineStr">
        <is>
          <t>Miel pura de abeja</t>
        </is>
      </c>
      <c r="F677" s="16" t="n">
        <v>45</v>
      </c>
      <c r="G677" t="inlineStr">
        <is>
          <t>g</t>
        </is>
      </c>
      <c r="H677" s="12">
        <f>IFERROR(VLOOKUP(E677,Insumos!$C$5:$G$100,5,FALSE),0)</f>
        <v/>
      </c>
      <c r="I677" s="17">
        <f>F677*H677/IF(C677="molde",MAX(1,'Mi negocio'!$C$34),1)</f>
        <v/>
      </c>
    </row>
    <row r="678">
      <c r="A678" t="n">
        <v>45</v>
      </c>
      <c r="B678" s="21" t="inlineStr">
        <is>
          <t>Joya de Maracuyá, Lavanda Francesa y Miel de Abeja Cruda (Passion Fruit, Lavender &amp; Raw Honey Botanical Gem)</t>
        </is>
      </c>
      <c r="C678" t="inlineStr">
        <is>
          <t>sabor</t>
        </is>
      </c>
      <c r="D678" s="22" t="inlineStr">
        <is>
          <t>35 ml Jugo concentrado clarificado de maracuyá 100% puro (pH ≈3.0)</t>
        </is>
      </c>
      <c r="E678" s="6" t="inlineStr">
        <is>
          <t>Puré concentrado de maracuyá sin semillas</t>
        </is>
      </c>
      <c r="F678" s="16" t="n">
        <v>35</v>
      </c>
      <c r="G678" t="inlineStr">
        <is>
          <t>g</t>
        </is>
      </c>
      <c r="H678" s="12">
        <f>IFERROR(VLOOKUP(E678,Insumos!$C$5:$G$100,5,FALSE),0)</f>
        <v/>
      </c>
      <c r="I678" s="17">
        <f>F678*H678/IF(C678="molde",MAX(1,'Mi negocio'!$C$34),1)</f>
        <v/>
      </c>
    </row>
    <row r="679">
      <c r="A679" t="n">
        <v>45</v>
      </c>
      <c r="B679" s="21" t="inlineStr">
        <is>
          <t>Joya de Maracuyá, Lavanda Francesa y Miel de Abeja Cruda (Passion Fruit, Lavender &amp; Raw Honey Botanical Gem)</t>
        </is>
      </c>
      <c r="C679" t="inlineStr">
        <is>
          <t>sabor</t>
        </is>
      </c>
      <c r="D679" s="22" t="inlineStr">
        <is>
          <t>7 ml Solución de ácido cítrico al 50% p/v</t>
        </is>
      </c>
      <c r="E679" s="6" t="inlineStr">
        <is>
          <t>Solución de ácido cítrico al 50% p/v (elaborada)</t>
        </is>
      </c>
      <c r="F679" s="16" t="n">
        <v>7</v>
      </c>
      <c r="G679" t="inlineStr">
        <is>
          <t>ml</t>
        </is>
      </c>
      <c r="H679" s="12">
        <f>IFERROR(VLOOKUP(E679,Insumos!$C$5:$G$100,5,FALSE),0)</f>
        <v/>
      </c>
      <c r="I679" s="17">
        <f>F679*H679/IF(C679="molde",MAX(1,'Mi negocio'!$C$34),1)</f>
        <v/>
      </c>
    </row>
    <row r="680">
      <c r="A680" t="n">
        <v>45</v>
      </c>
      <c r="B680" s="21" t="inlineStr">
        <is>
          <t>Joya de Maracuyá, Lavanda Francesa y Miel de Abeja Cruda (Passion Fruit, Lavender &amp; Raw Honey Botanical Gem)</t>
        </is>
      </c>
      <c r="C680" t="inlineStr">
        <is>
          <t>sabor</t>
        </is>
      </c>
      <c r="D680" s="22" t="inlineStr">
        <is>
          <t>0.4 ml Aceite esencial puro destilado de lavanda verdadera de grado culinario (dilución alcohólica al 5%)</t>
        </is>
      </c>
      <c r="E680" s="6" t="inlineStr">
        <is>
          <t>Aceite esencial puro destilado de cítrico</t>
        </is>
      </c>
      <c r="F680" s="16" t="n">
        <v>0.4</v>
      </c>
      <c r="G680" t="inlineStr">
        <is>
          <t>ml</t>
        </is>
      </c>
      <c r="H680" s="12">
        <f>IFERROR(VLOOKUP(E680,Insumos!$C$5:$G$100,5,FALSE),0)</f>
        <v/>
      </c>
      <c r="I680" s="17">
        <f>F680*H680/IF(C680="molde",MAX(1,'Mi negocio'!$C$34),1)</f>
        <v/>
      </c>
    </row>
    <row r="681">
      <c r="A681" t="n">
        <v>45</v>
      </c>
      <c r="B681" s="21" t="inlineStr">
        <is>
          <t>Joya de Maracuyá, Lavanda Francesa y Miel de Abeja Cruda (Passion Fruit, Lavender &amp; Raw Honey Botanical Gem)</t>
        </is>
      </c>
      <c r="C681" t="inlineStr">
        <is>
          <t>sabor</t>
        </is>
      </c>
      <c r="D681" s="22" t="inlineStr">
        <is>
          <t>0.15 g Colorante violeta suave extracto de zanahoria negra / uva</t>
        </is>
      </c>
      <c r="E681" s="6" t="inlineStr">
        <is>
          <t>Colorante violeta de uva o zanahoria negra</t>
        </is>
      </c>
      <c r="F681" s="16" t="n">
        <v>0.15</v>
      </c>
      <c r="G681" t="inlineStr">
        <is>
          <t>g</t>
        </is>
      </c>
      <c r="H681" s="12">
        <f>IFERROR(VLOOKUP(E681,Insumos!$C$5:$G$100,5,FALSE),0)</f>
        <v/>
      </c>
      <c r="I681" s="17">
        <f>F681*H681/IF(C681="molde",MAX(1,'Mi negocio'!$C$34),1)</f>
        <v/>
      </c>
    </row>
    <row r="682">
      <c r="A682" t="n">
        <v>45</v>
      </c>
      <c r="B682" s="21" t="inlineStr">
        <is>
          <t>Joya de Maracuyá, Lavanda Francesa y Miel de Abeja Cruda (Passion Fruit, Lavender &amp; Raw Honey Botanical Gem)</t>
        </is>
      </c>
      <c r="C682" t="inlineStr">
        <is>
          <t>acabado</t>
        </is>
      </c>
      <c r="D682" s="22" t="inlineStr">
        <is>
          <t>2 g Aceite MCT con cera de carnauba refinada</t>
        </is>
      </c>
      <c r="E682" s="6" t="inlineStr">
        <is>
          <t>Agente de brillo de carnauba en MCT (elaborado)</t>
        </is>
      </c>
      <c r="F682" s="16" t="n">
        <v>2</v>
      </c>
      <c r="G682" t="inlineStr">
        <is>
          <t>g</t>
        </is>
      </c>
      <c r="H682" s="12">
        <f>IFERROR(VLOOKUP(E682,Insumos!$C$5:$G$100,5,FALSE),0)</f>
        <v/>
      </c>
      <c r="I682" s="17">
        <f>F682*H682/IF(C682="molde",MAX(1,'Mi negocio'!$C$34),1)</f>
        <v/>
      </c>
    </row>
    <row r="683">
      <c r="A683" t="n">
        <v>46</v>
      </c>
      <c r="B683" s="21" t="inlineStr">
        <is>
          <t>Cubo de Cóctel Negroni de Autor con Naranja Amarga (Smoked Negroni &amp; Bitter Orange Cocktail Jelly)</t>
        </is>
      </c>
      <c r="C683" t="inlineStr">
        <is>
          <t>gelificante</t>
        </is>
      </c>
      <c r="D683" s="22" t="inlineStr">
        <is>
          <t>40 g Gelatina en polvo pura de 260 Bloom</t>
        </is>
      </c>
      <c r="E683" s="6" t="inlineStr">
        <is>
          <t>Gelatina en polvo de 240-260 Bloom</t>
        </is>
      </c>
      <c r="F683" s="16" t="n">
        <v>40</v>
      </c>
      <c r="G683" t="inlineStr">
        <is>
          <t>g</t>
        </is>
      </c>
      <c r="H683" s="12">
        <f>IFERROR(VLOOKUP(E683,Insumos!$C$5:$G$100,5,FALSE),0)</f>
        <v/>
      </c>
      <c r="I683" s="17">
        <f>F683*H683/IF(C683="molde",MAX(1,'Mi negocio'!$C$34),1)</f>
        <v/>
      </c>
    </row>
    <row r="684">
      <c r="A684" t="n">
        <v>46</v>
      </c>
      <c r="B684" s="21" t="inlineStr">
        <is>
          <t>Cubo de Cóctel Negroni de Autor con Naranja Amarga (Smoked Negroni &amp; Bitter Orange Cocktail Jelly)</t>
        </is>
      </c>
      <c r="C684" t="inlineStr">
        <is>
          <t>gelificante</t>
        </is>
      </c>
      <c r="D684" s="22" t="inlineStr">
        <is>
          <t>5 g Goma arábiga en polvo atomizada pura (Acacia senegal)</t>
        </is>
      </c>
      <c r="E684" s="6" t="inlineStr">
        <is>
          <t>Goma arábiga en polvo atomizada (acacia)</t>
        </is>
      </c>
      <c r="F684" s="16" t="n">
        <v>5</v>
      </c>
      <c r="G684" t="inlineStr">
        <is>
          <t>g</t>
        </is>
      </c>
      <c r="H684" s="12">
        <f>IFERROR(VLOOKUP(E684,Insumos!$C$5:$G$100,5,FALSE),0)</f>
        <v/>
      </c>
      <c r="I684" s="17">
        <f>F684*H684/IF(C684="molde",MAX(1,'Mi negocio'!$C$34),1)</f>
        <v/>
      </c>
    </row>
    <row r="685">
      <c r="A685" t="n">
        <v>46</v>
      </c>
      <c r="B685" s="21" t="inlineStr">
        <is>
          <t>Cubo de Cóctel Negroni de Autor con Naranja Amarga (Smoked Negroni &amp; Bitter Orange Cocktail Jelly)</t>
        </is>
      </c>
      <c r="C685" t="inlineStr">
        <is>
          <t>sabor</t>
        </is>
      </c>
      <c r="D685" s="22" t="inlineStr">
        <is>
          <t>95 ml Agua desmineralizada a 12 °C</t>
        </is>
      </c>
      <c r="E685" s="6" t="inlineStr">
        <is>
          <t>Agua desmineralizada o purificada</t>
        </is>
      </c>
      <c r="F685" s="16" t="n">
        <v>95</v>
      </c>
      <c r="G685" t="inlineStr">
        <is>
          <t>ml</t>
        </is>
      </c>
      <c r="H685" s="12">
        <f>IFERROR(VLOOKUP(E685,Insumos!$C$5:$G$100,5,FALSE),0)</f>
        <v/>
      </c>
      <c r="I685" s="17">
        <f>F685*H685/IF(C685="molde",MAX(1,'Mi negocio'!$C$34),1)</f>
        <v/>
      </c>
    </row>
    <row r="686">
      <c r="A686" t="n">
        <v>46</v>
      </c>
      <c r="B686" s="21" t="inlineStr">
        <is>
          <t>Cubo de Cóctel Negroni de Autor con Naranja Amarga (Smoked Negroni &amp; Bitter Orange Cocktail Jelly)</t>
        </is>
      </c>
      <c r="C686" t="inlineStr">
        <is>
          <t>azucar</t>
        </is>
      </c>
      <c r="D686" s="22" t="inlineStr">
        <is>
          <t>190 g Azúcar blanca refinada pura (99.8% polarización)</t>
        </is>
      </c>
      <c r="E686" s="6" t="inlineStr">
        <is>
          <t>Azúcar blanca refinada</t>
        </is>
      </c>
      <c r="F686" s="16" t="n">
        <v>190</v>
      </c>
      <c r="G686" t="inlineStr">
        <is>
          <t>g</t>
        </is>
      </c>
      <c r="H686" s="12">
        <f>IFERROR(VLOOKUP(E686,Insumos!$C$5:$G$100,5,FALSE),0)</f>
        <v/>
      </c>
      <c r="I686" s="17">
        <f>F686*H686/IF(C686="molde",MAX(1,'Mi negocio'!$C$34),1)</f>
        <v/>
      </c>
    </row>
    <row r="687">
      <c r="A687" t="n">
        <v>46</v>
      </c>
      <c r="B687" s="21" t="inlineStr">
        <is>
          <t>Cubo de Cóctel Negroni de Autor con Naranja Amarga (Smoked Negroni &amp; Bitter Orange Cocktail Jelly)</t>
        </is>
      </c>
      <c r="C687" t="inlineStr">
        <is>
          <t>azucar</t>
        </is>
      </c>
      <c r="D687" s="22" t="inlineStr">
        <is>
          <t>145 g Jarabe de glucosa estándar de maíz de 42DE</t>
        </is>
      </c>
      <c r="E687" s="6" t="inlineStr">
        <is>
          <t>Jarabe de glucosa 42 DE</t>
        </is>
      </c>
      <c r="F687" s="16" t="n">
        <v>145</v>
      </c>
      <c r="G687" t="inlineStr">
        <is>
          <t>g</t>
        </is>
      </c>
      <c r="H687" s="12">
        <f>IFERROR(VLOOKUP(E687,Insumos!$C$5:$G$100,5,FALSE),0)</f>
        <v/>
      </c>
      <c r="I687" s="17">
        <f>F687*H687/IF(C687="molde",MAX(1,'Mi negocio'!$C$34),1)</f>
        <v/>
      </c>
    </row>
    <row r="688">
      <c r="A688" t="n">
        <v>46</v>
      </c>
      <c r="B688" s="21" t="inlineStr">
        <is>
          <t>Cubo de Cóctel Negroni de Autor con Naranja Amarga (Smoked Negroni &amp; Bitter Orange Cocktail Jelly)</t>
        </is>
      </c>
      <c r="C688" t="inlineStr">
        <is>
          <t>sabor</t>
        </is>
      </c>
      <c r="D688" s="22" t="inlineStr">
        <is>
          <t>40 ml Agua purificada limpia</t>
        </is>
      </c>
      <c r="E688" s="6" t="inlineStr">
        <is>
          <t>Agua desmineralizada o purificada</t>
        </is>
      </c>
      <c r="F688" s="16" t="n">
        <v>40</v>
      </c>
      <c r="G688" t="inlineStr">
        <is>
          <t>ml</t>
        </is>
      </c>
      <c r="H688" s="12">
        <f>IFERROR(VLOOKUP(E688,Insumos!$C$5:$G$100,5,FALSE),0)</f>
        <v/>
      </c>
      <c r="I688" s="17">
        <f>F688*H688/IF(C688="molde",MAX(1,'Mi negocio'!$C$34),1)</f>
        <v/>
      </c>
    </row>
    <row r="689">
      <c r="A689" t="n">
        <v>46</v>
      </c>
      <c r="B689" s="21" t="inlineStr">
        <is>
          <t>Cubo de Cóctel Negroni de Autor con Naranja Amarga (Smoked Negroni &amp; Bitter Orange Cocktail Jelly)</t>
        </is>
      </c>
      <c r="C689" t="inlineStr">
        <is>
          <t>azucar</t>
        </is>
      </c>
      <c r="D689" s="22" t="inlineStr">
        <is>
          <t>12 g Sorbitol líquido al 70%</t>
        </is>
      </c>
      <c r="E689" s="6" t="inlineStr">
        <is>
          <t>Sorbitol líquido al 70%</t>
        </is>
      </c>
      <c r="F689" s="16" t="n">
        <v>12</v>
      </c>
      <c r="G689" t="inlineStr">
        <is>
          <t>g</t>
        </is>
      </c>
      <c r="H689" s="12">
        <f>IFERROR(VLOOKUP(E689,Insumos!$C$5:$G$100,5,FALSE),0)</f>
        <v/>
      </c>
      <c r="I689" s="17">
        <f>F689*H689/IF(C689="molde",MAX(1,'Mi negocio'!$C$34),1)</f>
        <v/>
      </c>
    </row>
    <row r="690">
      <c r="A690" t="n">
        <v>46</v>
      </c>
      <c r="B690" s="21" t="inlineStr">
        <is>
          <t>Cubo de Cóctel Negroni de Autor con Naranja Amarga (Smoked Negroni &amp; Bitter Orange Cocktail Jelly)</t>
        </is>
      </c>
      <c r="C690" t="inlineStr">
        <is>
          <t>sabor</t>
        </is>
      </c>
      <c r="D690" s="22" t="inlineStr">
        <is>
          <t>2 g Citrato de sodio dihidratado (amortiguador de pH)</t>
        </is>
      </c>
      <c r="E690" s="6" t="inlineStr">
        <is>
          <t>Citrato de sodio dihidratado</t>
        </is>
      </c>
      <c r="F690" s="16" t="n">
        <v>2</v>
      </c>
      <c r="G690" t="inlineStr">
        <is>
          <t>g</t>
        </is>
      </c>
      <c r="H690" s="12">
        <f>IFERROR(VLOOKUP(E690,Insumos!$C$5:$G$100,5,FALSE),0)</f>
        <v/>
      </c>
      <c r="I690" s="17">
        <f>F690*H690/IF(C690="molde",MAX(1,'Mi negocio'!$C$34),1)</f>
        <v/>
      </c>
    </row>
    <row r="691">
      <c r="A691" t="n">
        <v>46</v>
      </c>
      <c r="B691" s="21" t="inlineStr">
        <is>
          <t>Cubo de Cóctel Negroni de Autor con Naranja Amarga (Smoked Negroni &amp; Bitter Orange Cocktail Jelly)</t>
        </is>
      </c>
      <c r="C691" t="inlineStr">
        <is>
          <t>sabor</t>
        </is>
      </c>
      <c r="D691" s="22" t="inlineStr">
        <is>
          <t>15 ml Gin London Dry destilado (40)</t>
        </is>
      </c>
      <c r="E691" s="6" t="inlineStr">
        <is>
          <t>Gin London Dry de alta gama</t>
        </is>
      </c>
      <c r="F691" s="16" t="n">
        <v>15</v>
      </c>
      <c r="G691" t="inlineStr">
        <is>
          <t>ml</t>
        </is>
      </c>
      <c r="H691" s="12">
        <f>IFERROR(VLOOKUP(E691,Insumos!$C$5:$G$100,5,FALSE),0)</f>
        <v/>
      </c>
      <c r="I691" s="17">
        <f>F691*H691/IF(C691="molde",MAX(1,'Mi negocio'!$C$34),1)</f>
        <v/>
      </c>
    </row>
    <row r="692">
      <c r="A692" t="n">
        <v>46</v>
      </c>
      <c r="B692" s="21" t="inlineStr">
        <is>
          <t>Cubo de Cóctel Negroni de Autor con Naranja Amarga (Smoked Negroni &amp; Bitter Orange Cocktail Jelly)</t>
        </is>
      </c>
      <c r="C692" t="inlineStr">
        <is>
          <t>sabor</t>
        </is>
      </c>
      <c r="D692" s="22" t="inlineStr">
        <is>
          <t>15 ml Bitter italiano rojo / Campari (25, maceración de hierbas amargas y cáscaras)</t>
        </is>
      </c>
      <c r="E692" s="6" t="inlineStr">
        <is>
          <t>Vermouth rosso o bitter italiano</t>
        </is>
      </c>
      <c r="F692" s="16" t="n">
        <v>15</v>
      </c>
      <c r="G692" t="inlineStr">
        <is>
          <t>ml</t>
        </is>
      </c>
      <c r="H692" s="12">
        <f>IFERROR(VLOOKUP(E692,Insumos!$C$5:$G$100,5,FALSE),0)</f>
        <v/>
      </c>
      <c r="I692" s="17">
        <f>F692*H692/IF(C692="molde",MAX(1,'Mi negocio'!$C$34),1)</f>
        <v/>
      </c>
    </row>
    <row r="693">
      <c r="A693" t="n">
        <v>46</v>
      </c>
      <c r="B693" s="21" t="inlineStr">
        <is>
          <t>Cubo de Cóctel Negroni de Autor con Naranja Amarga (Smoked Negroni &amp; Bitter Orange Cocktail Jelly)</t>
        </is>
      </c>
      <c r="C693" t="inlineStr">
        <is>
          <t>sabor</t>
        </is>
      </c>
      <c r="D693" s="22" t="inlineStr">
        <is>
          <t>15 ml Vermouth rosso dulce artesanal (16, notas de ajenjo y vainilla)</t>
        </is>
      </c>
      <c r="E693" s="6" t="inlineStr">
        <is>
          <t>Vermouth rosso o bitter italiano</t>
        </is>
      </c>
      <c r="F693" s="16" t="n">
        <v>15</v>
      </c>
      <c r="G693" t="inlineStr">
        <is>
          <t>ml</t>
        </is>
      </c>
      <c r="H693" s="12">
        <f>IFERROR(VLOOKUP(E693,Insumos!$C$5:$G$100,5,FALSE),0)</f>
        <v/>
      </c>
      <c r="I693" s="17">
        <f>F693*H693/IF(C693="molde",MAX(1,'Mi negocio'!$C$34),1)</f>
        <v/>
      </c>
    </row>
    <row r="694">
      <c r="A694" t="n">
        <v>46</v>
      </c>
      <c r="B694" s="21" t="inlineStr">
        <is>
          <t>Cubo de Cóctel Negroni de Autor con Naranja Amarga (Smoked Negroni &amp; Bitter Orange Cocktail Jelly)</t>
        </is>
      </c>
      <c r="C694" t="inlineStr">
        <is>
          <t>sabor</t>
        </is>
      </c>
      <c r="D694" s="22" t="inlineStr">
        <is>
          <t>6 ml Solución de ácido cítrico al 50% p/v</t>
        </is>
      </c>
      <c r="E694" s="6" t="inlineStr">
        <is>
          <t>Solución de ácido cítrico al 50% p/v (elaborada)</t>
        </is>
      </c>
      <c r="F694" s="16" t="n">
        <v>6</v>
      </c>
      <c r="G694" t="inlineStr">
        <is>
          <t>ml</t>
        </is>
      </c>
      <c r="H694" s="12">
        <f>IFERROR(VLOOKUP(E694,Insumos!$C$5:$G$100,5,FALSE),0)</f>
        <v/>
      </c>
      <c r="I694" s="17">
        <f>F694*H694/IF(C694="molde",MAX(1,'Mi negocio'!$C$34),1)</f>
        <v/>
      </c>
    </row>
    <row r="695">
      <c r="A695" t="n">
        <v>46</v>
      </c>
      <c r="B695" s="21" t="inlineStr">
        <is>
          <t>Cubo de Cóctel Negroni de Autor con Naranja Amarga (Smoked Negroni &amp; Bitter Orange Cocktail Jelly)</t>
        </is>
      </c>
      <c r="C695" t="inlineStr">
        <is>
          <t>sabor</t>
        </is>
      </c>
      <c r="D695" s="22" t="inlineStr">
        <is>
          <t>1.2 ml Aceite esencial puro destilado de naranja amarga (Citrus aurantium)</t>
        </is>
      </c>
      <c r="E695" s="6" t="inlineStr">
        <is>
          <t>Aceite esencial puro destilado de cítrico</t>
        </is>
      </c>
      <c r="F695" s="16" t="n">
        <v>1.2</v>
      </c>
      <c r="G695" t="inlineStr">
        <is>
          <t>ml</t>
        </is>
      </c>
      <c r="H695" s="12">
        <f>IFERROR(VLOOKUP(E695,Insumos!$C$5:$G$100,5,FALSE),0)</f>
        <v/>
      </c>
      <c r="I695" s="17">
        <f>F695*H695/IF(C695="molde",MAX(1,'Mi negocio'!$C$34),1)</f>
        <v/>
      </c>
    </row>
    <row r="696">
      <c r="A696" t="n">
        <v>46</v>
      </c>
      <c r="B696" s="21" t="inlineStr">
        <is>
          <t>Cubo de Cóctel Negroni de Autor con Naranja Amarga (Smoked Negroni &amp; Bitter Orange Cocktail Jelly)</t>
        </is>
      </c>
      <c r="C696" t="inlineStr">
        <is>
          <t>sabor</t>
        </is>
      </c>
      <c r="D696" s="22" t="inlineStr">
        <is>
          <t>0.2 g Colorante rojo carmín hidrosoluble (rojo rubí profundo traslúcido)</t>
        </is>
      </c>
      <c r="E696" s="6" t="inlineStr">
        <is>
          <t>Colorante rojo carmín o allura hidrosoluble</t>
        </is>
      </c>
      <c r="F696" s="16" t="n">
        <v>0.2</v>
      </c>
      <c r="G696" t="inlineStr">
        <is>
          <t>g</t>
        </is>
      </c>
      <c r="H696" s="12">
        <f>IFERROR(VLOOKUP(E696,Insumos!$C$5:$G$100,5,FALSE),0)</f>
        <v/>
      </c>
      <c r="I696" s="17">
        <f>F696*H696/IF(C696="molde",MAX(1,'Mi negocio'!$C$34),1)</f>
        <v/>
      </c>
    </row>
    <row r="697">
      <c r="A697" t="n">
        <v>46</v>
      </c>
      <c r="B697" s="21" t="inlineStr">
        <is>
          <t>Cubo de Cóctel Negroni de Autor con Naranja Amarga (Smoked Negroni &amp; Bitter Orange Cocktail Jelly)</t>
        </is>
      </c>
      <c r="C697" t="inlineStr">
        <is>
          <t>acabado</t>
        </is>
      </c>
      <c r="D697" s="22" t="inlineStr">
        <is>
          <t>2 g Aceite de coco fraccionado (MCT) con 0.15 g de cera de carnauba refinada</t>
        </is>
      </c>
      <c r="E697" s="6" t="inlineStr">
        <is>
          <t>Aceite de coco fraccionado (MCT)</t>
        </is>
      </c>
      <c r="F697" s="16" t="n">
        <v>2</v>
      </c>
      <c r="G697" t="inlineStr">
        <is>
          <t>ml</t>
        </is>
      </c>
      <c r="H697" s="12">
        <f>IFERROR(VLOOKUP(E697,Insumos!$C$5:$G$100,5,FALSE),0)</f>
        <v/>
      </c>
      <c r="I697" s="17">
        <f>F697*H697/IF(C697="molde",MAX(1,'Mi negocio'!$C$34),1)</f>
        <v/>
      </c>
    </row>
    <row r="698">
      <c r="A698" t="n">
        <v>47</v>
      </c>
      <c r="B698" s="21" t="inlineStr">
        <is>
          <t>Botella de Cerveza Doble IPA con Lúpulo Citra y Miel de Malta (Double IPA Hoppy Craft Beer Gummy)</t>
        </is>
      </c>
      <c r="C698" t="inlineStr">
        <is>
          <t>gelificante</t>
        </is>
      </c>
      <c r="D698" s="22" t="inlineStr">
        <is>
          <t>38 g Gelatina en polvo de 250 Bloom</t>
        </is>
      </c>
      <c r="E698" s="6" t="inlineStr">
        <is>
          <t>Gelatina en polvo de 240-260 Bloom</t>
        </is>
      </c>
      <c r="F698" s="16" t="n">
        <v>38</v>
      </c>
      <c r="G698" t="inlineStr">
        <is>
          <t>g</t>
        </is>
      </c>
      <c r="H698" s="12">
        <f>IFERROR(VLOOKUP(E698,Insumos!$C$5:$G$100,5,FALSE),0)</f>
        <v/>
      </c>
      <c r="I698" s="17">
        <f>F698*H698/IF(C698="molde",MAX(1,'Mi negocio'!$C$34),1)</f>
        <v/>
      </c>
    </row>
    <row r="699">
      <c r="A699" t="n">
        <v>47</v>
      </c>
      <c r="B699" s="21" t="inlineStr">
        <is>
          <t>Botella de Cerveza Doble IPA con Lúpulo Citra y Miel de Malta (Double IPA Hoppy Craft Beer Gummy)</t>
        </is>
      </c>
      <c r="C699" t="inlineStr">
        <is>
          <t>gelificante</t>
        </is>
      </c>
      <c r="D699" s="22" t="inlineStr">
        <is>
          <t>7.5 g Pectina de Alto Metoxilo lenta (HM Slow-Set)</t>
        </is>
      </c>
      <c r="E699" s="6" t="inlineStr">
        <is>
          <t>Pectina de alto metoxilo lenta (HM slow-set)</t>
        </is>
      </c>
      <c r="F699" s="16" t="n">
        <v>7.5</v>
      </c>
      <c r="G699" t="inlineStr">
        <is>
          <t>g</t>
        </is>
      </c>
      <c r="H699" s="12">
        <f>IFERROR(VLOOKUP(E699,Insumos!$C$5:$G$100,5,FALSE),0)</f>
        <v/>
      </c>
      <c r="I699" s="17">
        <f>F699*H699/IF(C699="molde",MAX(1,'Mi negocio'!$C$34),1)</f>
        <v/>
      </c>
    </row>
    <row r="700">
      <c r="A700" t="n">
        <v>47</v>
      </c>
      <c r="B700" s="21" t="inlineStr">
        <is>
          <t>Botella de Cerveza Doble IPA con Lúpulo Citra y Miel de Malta (Double IPA Hoppy Craft Beer Gummy)</t>
        </is>
      </c>
      <c r="C700" t="inlineStr">
        <is>
          <t>azucar</t>
        </is>
      </c>
      <c r="D700" s="22" t="inlineStr">
        <is>
          <t>25 g Azúcar blanca refinada pura (para dispersar la pectina)</t>
        </is>
      </c>
      <c r="E700" s="6" t="inlineStr">
        <is>
          <t>Azúcar blanca refinada</t>
        </is>
      </c>
      <c r="F700" s="16" t="n">
        <v>25</v>
      </c>
      <c r="G700" t="inlineStr">
        <is>
          <t>g</t>
        </is>
      </c>
      <c r="H700" s="12">
        <f>IFERROR(VLOOKUP(E700,Insumos!$C$5:$G$100,5,FALSE),0)</f>
        <v/>
      </c>
      <c r="I700" s="17">
        <f>F700*H700/IF(C700="molde",MAX(1,'Mi negocio'!$C$34),1)</f>
        <v/>
      </c>
    </row>
    <row r="701">
      <c r="A701" t="n">
        <v>47</v>
      </c>
      <c r="B701" s="21" t="inlineStr">
        <is>
          <t>Botella de Cerveza Doble IPA con Lúpulo Citra y Miel de Malta (Double IPA Hoppy Craft Beer Gummy)</t>
        </is>
      </c>
      <c r="C701" t="inlineStr">
        <is>
          <t>sabor</t>
        </is>
      </c>
      <c r="D701" s="22" t="inlineStr">
        <is>
          <t>85 ml Agua desmineralizada a 15 °C (para la gelatina)</t>
        </is>
      </c>
      <c r="E701" s="6" t="inlineStr">
        <is>
          <t>Agua desmineralizada o purificada</t>
        </is>
      </c>
      <c r="F701" s="16" t="n">
        <v>85</v>
      </c>
      <c r="G701" t="inlineStr">
        <is>
          <t>ml</t>
        </is>
      </c>
      <c r="H701" s="12">
        <f>IFERROR(VLOOKUP(E701,Insumos!$C$5:$G$100,5,FALSE),0)</f>
        <v/>
      </c>
      <c r="I701" s="17">
        <f>F701*H701/IF(C701="molde",MAX(1,'Mi negocio'!$C$34),1)</f>
        <v/>
      </c>
    </row>
    <row r="702">
      <c r="A702" t="n">
        <v>47</v>
      </c>
      <c r="B702" s="21" t="inlineStr">
        <is>
          <t>Botella de Cerveza Doble IPA con Lúpulo Citra y Miel de Malta (Double IPA Hoppy Craft Beer Gummy)</t>
        </is>
      </c>
      <c r="C702" t="inlineStr">
        <is>
          <t>sabor</t>
        </is>
      </c>
      <c r="D702" s="22" t="inlineStr">
        <is>
          <t>45 ml Reducción concentrada de cerveza IPA desgasificada (para la pectina)</t>
        </is>
      </c>
      <c r="E702" s="6" t="inlineStr">
        <is>
          <t>Cerveza artesanal IPA</t>
        </is>
      </c>
      <c r="F702" s="16" t="n">
        <v>45</v>
      </c>
      <c r="G702" t="inlineStr">
        <is>
          <t>ml</t>
        </is>
      </c>
      <c r="H702" s="12">
        <f>IFERROR(VLOOKUP(E702,Insumos!$C$5:$G$100,5,FALSE),0)</f>
        <v/>
      </c>
      <c r="I702" s="17">
        <f>F702*H702/IF(C702="molde",MAX(1,'Mi negocio'!$C$34),1)</f>
        <v/>
      </c>
    </row>
    <row r="703">
      <c r="A703" t="n">
        <v>47</v>
      </c>
      <c r="B703" s="21" t="inlineStr">
        <is>
          <t>Botella de Cerveza Doble IPA con Lúpulo Citra y Miel de Malta (Double IPA Hoppy Craft Beer Gummy)</t>
        </is>
      </c>
      <c r="C703" t="inlineStr">
        <is>
          <t>azucar</t>
        </is>
      </c>
      <c r="D703" s="22" t="inlineStr">
        <is>
          <t>180 g Azúcar blanca refinada pura</t>
        </is>
      </c>
      <c r="E703" s="6" t="inlineStr">
        <is>
          <t>Azúcar blanca refinada</t>
        </is>
      </c>
      <c r="F703" s="16" t="n">
        <v>180</v>
      </c>
      <c r="G703" t="inlineStr">
        <is>
          <t>g</t>
        </is>
      </c>
      <c r="H703" s="12">
        <f>IFERROR(VLOOKUP(E703,Insumos!$C$5:$G$100,5,FALSE),0)</f>
        <v/>
      </c>
      <c r="I703" s="17">
        <f>F703*H703/IF(C703="molde",MAX(1,'Mi negocio'!$C$34),1)</f>
        <v/>
      </c>
    </row>
    <row r="704">
      <c r="A704" t="n">
        <v>47</v>
      </c>
      <c r="B704" s="21" t="inlineStr">
        <is>
          <t>Botella de Cerveza Doble IPA con Lúpulo Citra y Miel de Malta (Double IPA Hoppy Craft Beer Gummy)</t>
        </is>
      </c>
      <c r="C704" t="inlineStr">
        <is>
          <t>azucar</t>
        </is>
      </c>
      <c r="D704" s="22" t="inlineStr">
        <is>
          <t>145 g Jarabe de glucosa estándar 42DE</t>
        </is>
      </c>
      <c r="E704" s="6" t="inlineStr">
        <is>
          <t>Jarabe de glucosa 42 DE</t>
        </is>
      </c>
      <c r="F704" s="16" t="n">
        <v>145</v>
      </c>
      <c r="G704" t="inlineStr">
        <is>
          <t>g</t>
        </is>
      </c>
      <c r="H704" s="12">
        <f>IFERROR(VLOOKUP(E704,Insumos!$C$5:$G$100,5,FALSE),0)</f>
        <v/>
      </c>
      <c r="I704" s="17">
        <f>F704*H704/IF(C704="molde",MAX(1,'Mi negocio'!$C$34),1)</f>
        <v/>
      </c>
    </row>
    <row r="705">
      <c r="A705" t="n">
        <v>47</v>
      </c>
      <c r="B705" s="21" t="inlineStr">
        <is>
          <t>Botella de Cerveza Doble IPA con Lúpulo Citra y Miel de Malta (Double IPA Hoppy Craft Beer Gummy)</t>
        </is>
      </c>
      <c r="C705" t="inlineStr">
        <is>
          <t>sabor</t>
        </is>
      </c>
      <c r="D705" s="22" t="inlineStr">
        <is>
          <t>45 ml Reducción concentrada de cerveza Double IPA (concentrada al 50%)</t>
        </is>
      </c>
      <c r="E705" s="6" t="inlineStr">
        <is>
          <t>Cerveza artesanal IPA</t>
        </is>
      </c>
      <c r="F705" s="16" t="n">
        <v>45</v>
      </c>
      <c r="G705" t="inlineStr">
        <is>
          <t>ml</t>
        </is>
      </c>
      <c r="H705" s="12">
        <f>IFERROR(VLOOKUP(E705,Insumos!$C$5:$G$100,5,FALSE),0)</f>
        <v/>
      </c>
      <c r="I705" s="17">
        <f>F705*H705/IF(C705="molde",MAX(1,'Mi negocio'!$C$34),1)</f>
        <v/>
      </c>
    </row>
    <row r="706">
      <c r="A706" t="n">
        <v>47</v>
      </c>
      <c r="B706" s="21" t="inlineStr">
        <is>
          <t>Botella de Cerveza Doble IPA con Lúpulo Citra y Miel de Malta (Double IPA Hoppy Craft Beer Gummy)</t>
        </is>
      </c>
      <c r="C706" t="inlineStr">
        <is>
          <t>azucar</t>
        </is>
      </c>
      <c r="D706" s="22" t="inlineStr">
        <is>
          <t>15 g Sorbitol líquido al 70%</t>
        </is>
      </c>
      <c r="E706" s="6" t="inlineStr">
        <is>
          <t>Sorbitol líquido al 70%</t>
        </is>
      </c>
      <c r="F706" s="16" t="n">
        <v>15</v>
      </c>
      <c r="G706" t="inlineStr">
        <is>
          <t>g</t>
        </is>
      </c>
      <c r="H706" s="12">
        <f>IFERROR(VLOOKUP(E706,Insumos!$C$5:$G$100,5,FALSE),0)</f>
        <v/>
      </c>
      <c r="I706" s="17">
        <f>F706*H706/IF(C706="molde",MAX(1,'Mi negocio'!$C$34),1)</f>
        <v/>
      </c>
    </row>
    <row r="707">
      <c r="A707" t="n">
        <v>47</v>
      </c>
      <c r="B707" s="21" t="inlineStr">
        <is>
          <t>Botella de Cerveza Doble IPA con Lúpulo Citra y Miel de Malta (Double IPA Hoppy Craft Beer Gummy)</t>
        </is>
      </c>
      <c r="C707" t="inlineStr">
        <is>
          <t>sabor</t>
        </is>
      </c>
      <c r="D707" s="22" t="inlineStr">
        <is>
          <t>2 g Citrato de sodio</t>
        </is>
      </c>
      <c r="E707" s="6" t="inlineStr">
        <is>
          <t>Citrato de sodio dihidratado</t>
        </is>
      </c>
      <c r="F707" s="16" t="n">
        <v>2</v>
      </c>
      <c r="G707" t="inlineStr">
        <is>
          <t>g</t>
        </is>
      </c>
      <c r="H707" s="12">
        <f>IFERROR(VLOOKUP(E707,Insumos!$C$5:$G$100,5,FALSE),0)</f>
        <v/>
      </c>
      <c r="I707" s="17">
        <f>F707*H707/IF(C707="molde",MAX(1,'Mi negocio'!$C$34),1)</f>
        <v/>
      </c>
    </row>
    <row r="708">
      <c r="A708" t="n">
        <v>47</v>
      </c>
      <c r="B708" s="21" t="inlineStr">
        <is>
          <t>Botella de Cerveza Doble IPA con Lúpulo Citra y Miel de Malta (Double IPA Hoppy Craft Beer Gummy)</t>
        </is>
      </c>
      <c r="C708" t="inlineStr">
        <is>
          <t>sabor</t>
        </is>
      </c>
      <c r="D708" s="22" t="inlineStr">
        <is>
          <t>25 ml Cerveza Double IPA artesanal fresca sin hervir (añadida cruda al final)</t>
        </is>
      </c>
      <c r="E708" s="6" t="inlineStr">
        <is>
          <t>Cerveza artesanal IPA</t>
        </is>
      </c>
      <c r="F708" s="16" t="n">
        <v>25</v>
      </c>
      <c r="G708" t="inlineStr">
        <is>
          <t>ml</t>
        </is>
      </c>
      <c r="H708" s="12">
        <f>IFERROR(VLOOKUP(E708,Insumos!$C$5:$G$100,5,FALSE),0)</f>
        <v/>
      </c>
      <c r="I708" s="17">
        <f>F708*H708/IF(C708="molde",MAX(1,'Mi negocio'!$C$34),1)</f>
        <v/>
      </c>
    </row>
    <row r="709">
      <c r="A709" t="n">
        <v>47</v>
      </c>
      <c r="B709" s="21" t="inlineStr">
        <is>
          <t>Botella de Cerveza Doble IPA con Lúpulo Citra y Miel de Malta (Double IPA Hoppy Craft Beer Gummy)</t>
        </is>
      </c>
      <c r="C709" t="inlineStr">
        <is>
          <t>sabor</t>
        </is>
      </c>
      <c r="D709" s="22" t="inlineStr">
        <is>
          <t>6 ml Solución de ácido cítrico al 50% p/v</t>
        </is>
      </c>
      <c r="E709" s="6" t="inlineStr">
        <is>
          <t>Solución de ácido cítrico al 50% p/v (elaborada)</t>
        </is>
      </c>
      <c r="F709" s="16" t="n">
        <v>6</v>
      </c>
      <c r="G709" t="inlineStr">
        <is>
          <t>ml</t>
        </is>
      </c>
      <c r="H709" s="12">
        <f>IFERROR(VLOOKUP(E709,Insumos!$C$5:$G$100,5,FALSE),0)</f>
        <v/>
      </c>
      <c r="I709" s="17">
        <f>F709*H709/IF(C709="molde",MAX(1,'Mi negocio'!$C$34),1)</f>
        <v/>
      </c>
    </row>
    <row r="710">
      <c r="A710" t="n">
        <v>47</v>
      </c>
      <c r="B710" s="21" t="inlineStr">
        <is>
          <t>Botella de Cerveza Doble IPA con Lúpulo Citra y Miel de Malta (Double IPA Hoppy Craft Beer Gummy)</t>
        </is>
      </c>
      <c r="C710" t="inlineStr">
        <is>
          <t>sabor</t>
        </is>
      </c>
      <c r="D710" s="22" t="inlineStr">
        <is>
          <t>1.2 ml Extracto natural destilado de lúpulo Citra / Mosaic (rico en mirceno y geraniol)</t>
        </is>
      </c>
      <c r="E710" s="6" t="inlineStr">
        <is>
          <t>Extracto o infusión botánica concentrada</t>
        </is>
      </c>
      <c r="F710" s="16" t="n">
        <v>1.2</v>
      </c>
      <c r="G710" t="inlineStr">
        <is>
          <t>ml</t>
        </is>
      </c>
      <c r="H710" s="12">
        <f>IFERROR(VLOOKUP(E710,Insumos!$C$5:$G$100,5,FALSE),0)</f>
        <v/>
      </c>
      <c r="I710" s="17">
        <f>F710*H710/IF(C710="molde",MAX(1,'Mi negocio'!$C$34),1)</f>
        <v/>
      </c>
    </row>
    <row r="711">
      <c r="A711" t="n">
        <v>47</v>
      </c>
      <c r="B711" s="21" t="inlineStr">
        <is>
          <t>Botella de Cerveza Doble IPA con Lúpulo Citra y Miel de Malta (Double IPA Hoppy Craft Beer Gummy)</t>
        </is>
      </c>
      <c r="C711" t="inlineStr">
        <is>
          <t>sabor</t>
        </is>
      </c>
      <c r="D711" s="22" t="inlineStr">
        <is>
          <t>0.2 g Colorante caramelo clase IV + traza de amarillo curcumina (ámbar dorado de cerveza)</t>
        </is>
      </c>
      <c r="E711" s="6" t="inlineStr">
        <is>
          <t>Colorante caramelo clase IV</t>
        </is>
      </c>
      <c r="F711" s="16" t="n">
        <v>0.2</v>
      </c>
      <c r="G711" t="inlineStr">
        <is>
          <t>ml</t>
        </is>
      </c>
      <c r="H711" s="12">
        <f>IFERROR(VLOOKUP(E711,Insumos!$C$5:$G$100,5,FALSE),0)</f>
        <v/>
      </c>
      <c r="I711" s="17">
        <f>F711*H711/IF(C711="molde",MAX(1,'Mi negocio'!$C$34),1)</f>
        <v/>
      </c>
    </row>
    <row r="712">
      <c r="A712" t="n">
        <v>47</v>
      </c>
      <c r="B712" s="21" t="inlineStr">
        <is>
          <t>Botella de Cerveza Doble IPA con Lúpulo Citra y Miel de Malta (Double IPA Hoppy Craft Beer Gummy)</t>
        </is>
      </c>
      <c r="C712" t="inlineStr">
        <is>
          <t>acabado</t>
        </is>
      </c>
      <c r="D712" s="22" t="inlineStr">
        <is>
          <t>2 g Aceite MCT con cera de carnauba refinada</t>
        </is>
      </c>
      <c r="E712" s="6" t="inlineStr">
        <is>
          <t>Agente de brillo de carnauba en MCT (elaborado)</t>
        </is>
      </c>
      <c r="F712" s="16" t="n">
        <v>2</v>
      </c>
      <c r="G712" t="inlineStr">
        <is>
          <t>g</t>
        </is>
      </c>
      <c r="H712" s="12">
        <f>IFERROR(VLOOKUP(E712,Insumos!$C$5:$G$100,5,FALSE),0)</f>
        <v/>
      </c>
      <c r="I712" s="17">
        <f>F712*H712/IF(C712="molde",MAX(1,'Mi negocio'!$C$34),1)</f>
        <v/>
      </c>
    </row>
    <row r="713">
      <c r="A713" t="n">
        <v>48</v>
      </c>
      <c r="B713" s="21" t="inlineStr">
        <is>
          <t>Toffee Masticable de Caramelo Salado con Mantequilla de Bretaña (Salted Butter Caramel Chewy Toffee-Jelly)</t>
        </is>
      </c>
      <c r="C713" t="inlineStr">
        <is>
          <t>gelificante</t>
        </is>
      </c>
      <c r="D713" s="22" t="inlineStr">
        <is>
          <t>36 g Gelatina en polvo de res de 240 Bloom</t>
        </is>
      </c>
      <c r="E713" s="6" t="inlineStr">
        <is>
          <t>Gelatina en polvo de 240-260 Bloom</t>
        </is>
      </c>
      <c r="F713" s="16" t="n">
        <v>36</v>
      </c>
      <c r="G713" t="inlineStr">
        <is>
          <t>g</t>
        </is>
      </c>
      <c r="H713" s="12">
        <f>IFERROR(VLOOKUP(E713,Insumos!$C$5:$G$100,5,FALSE),0)</f>
        <v/>
      </c>
      <c r="I713" s="17">
        <f>F713*H713/IF(C713="molde",MAX(1,'Mi negocio'!$C$34),1)</f>
        <v/>
      </c>
    </row>
    <row r="714">
      <c r="A714" t="n">
        <v>48</v>
      </c>
      <c r="B714" s="21" t="inlineStr">
        <is>
          <t>Toffee Masticable de Caramelo Salado con Mantequilla de Bretaña (Salted Butter Caramel Chewy Toffee-Jelly)</t>
        </is>
      </c>
      <c r="C714" t="inlineStr">
        <is>
          <t>gelificante</t>
        </is>
      </c>
      <c r="D714" s="22" t="inlineStr">
        <is>
          <t>9 g Almidón modificado de maíz fluidificado</t>
        </is>
      </c>
      <c r="E714" s="6" t="inlineStr">
        <is>
          <t>Almidón modificado de maíz fluidificado</t>
        </is>
      </c>
      <c r="F714" s="16" t="n">
        <v>9</v>
      </c>
      <c r="G714" t="inlineStr">
        <is>
          <t>g</t>
        </is>
      </c>
      <c r="H714" s="12">
        <f>IFERROR(VLOOKUP(E714,Insumos!$C$5:$G$100,5,FALSE),0)</f>
        <v/>
      </c>
      <c r="I714" s="17">
        <f>F714*H714/IF(C714="molde",MAX(1,'Mi negocio'!$C$34),1)</f>
        <v/>
      </c>
    </row>
    <row r="715">
      <c r="A715" t="n">
        <v>48</v>
      </c>
      <c r="B715" s="21" t="inlineStr">
        <is>
          <t>Toffee Masticable de Caramelo Salado con Mantequilla de Bretaña (Salted Butter Caramel Chewy Toffee-Jelly)</t>
        </is>
      </c>
      <c r="C715" t="inlineStr">
        <is>
          <t>sabor</t>
        </is>
      </c>
      <c r="D715" s="22" t="inlineStr">
        <is>
          <t>90 ml Agua desmineralizada a 15 °C</t>
        </is>
      </c>
      <c r="E715" s="6" t="inlineStr">
        <is>
          <t>Agua desmineralizada o purificada</t>
        </is>
      </c>
      <c r="F715" s="16" t="n">
        <v>90</v>
      </c>
      <c r="G715" t="inlineStr">
        <is>
          <t>ml</t>
        </is>
      </c>
      <c r="H715" s="12">
        <f>IFERROR(VLOOKUP(E715,Insumos!$C$5:$G$100,5,FALSE),0)</f>
        <v/>
      </c>
      <c r="I715" s="17">
        <f>F715*H715/IF(C715="molde",MAX(1,'Mi negocio'!$C$34),1)</f>
        <v/>
      </c>
    </row>
    <row r="716">
      <c r="A716" t="n">
        <v>48</v>
      </c>
      <c r="B716" s="21" t="inlineStr">
        <is>
          <t>Toffee Masticable de Caramelo Salado con Mantequilla de Bretaña (Salted Butter Caramel Chewy Toffee-Jelly)</t>
        </is>
      </c>
      <c r="C716" t="inlineStr">
        <is>
          <t>azucar</t>
        </is>
      </c>
      <c r="D716" s="22" t="inlineStr">
        <is>
          <t>160 g Azúcar blanca refinada pura</t>
        </is>
      </c>
      <c r="E716" s="6" t="inlineStr">
        <is>
          <t>Azúcar blanca refinada</t>
        </is>
      </c>
      <c r="F716" s="16" t="n">
        <v>160</v>
      </c>
      <c r="G716" t="inlineStr">
        <is>
          <t>g</t>
        </is>
      </c>
      <c r="H716" s="12">
        <f>IFERROR(VLOOKUP(E716,Insumos!$C$5:$G$100,5,FALSE),0)</f>
        <v/>
      </c>
      <c r="I716" s="17">
        <f>F716*H716/IF(C716="molde",MAX(1,'Mi negocio'!$C$34),1)</f>
        <v/>
      </c>
    </row>
    <row r="717">
      <c r="A717" t="n">
        <v>48</v>
      </c>
      <c r="B717" s="21" t="inlineStr">
        <is>
          <t>Toffee Masticable de Caramelo Salado con Mantequilla de Bretaña (Salted Butter Caramel Chewy Toffee-Jelly)</t>
        </is>
      </c>
      <c r="C717" t="inlineStr">
        <is>
          <t>azucar</t>
        </is>
      </c>
      <c r="D717" s="22" t="inlineStr">
        <is>
          <t>130 g Jarabe de glucosa estándar 42DE</t>
        </is>
      </c>
      <c r="E717" s="6" t="inlineStr">
        <is>
          <t>Jarabe de glucosa 42 DE</t>
        </is>
      </c>
      <c r="F717" s="16" t="n">
        <v>130</v>
      </c>
      <c r="G717" t="inlineStr">
        <is>
          <t>g</t>
        </is>
      </c>
      <c r="H717" s="12">
        <f>IFERROR(VLOOKUP(E717,Insumos!$C$5:$G$100,5,FALSE),0)</f>
        <v/>
      </c>
      <c r="I717" s="17">
        <f>F717*H717/IF(C717="molde",MAX(1,'Mi negocio'!$C$34),1)</f>
        <v/>
      </c>
    </row>
    <row r="718">
      <c r="A718" t="n">
        <v>48</v>
      </c>
      <c r="B718" s="21" t="inlineStr">
        <is>
          <t>Toffee Masticable de Caramelo Salado con Mantequilla de Bretaña (Salted Butter Caramel Chewy Toffee-Jelly)</t>
        </is>
      </c>
      <c r="C718" t="inlineStr">
        <is>
          <t>azucar</t>
        </is>
      </c>
      <c r="D718" s="22" t="inlineStr">
        <is>
          <t>50 g Leche condensada azucarada entera (8% MG)</t>
        </is>
      </c>
      <c r="E718" s="6" t="inlineStr">
        <is>
          <t>Leche condensada entera azucarada</t>
        </is>
      </c>
      <c r="F718" s="16" t="n">
        <v>50</v>
      </c>
      <c r="G718" t="inlineStr">
        <is>
          <t>g</t>
        </is>
      </c>
      <c r="H718" s="12">
        <f>IFERROR(VLOOKUP(E718,Insumos!$C$5:$G$100,5,FALSE),0)</f>
        <v/>
      </c>
      <c r="I718" s="17">
        <f>F718*H718/IF(C718="molde",MAX(1,'Mi negocio'!$C$34),1)</f>
        <v/>
      </c>
    </row>
    <row r="719">
      <c r="A719" t="n">
        <v>48</v>
      </c>
      <c r="B719" s="21" t="inlineStr">
        <is>
          <t>Toffee Masticable de Caramelo Salado con Mantequilla de Bretaña (Salted Butter Caramel Chewy Toffee-Jelly)</t>
        </is>
      </c>
      <c r="C719" t="inlineStr">
        <is>
          <t>sabor</t>
        </is>
      </c>
      <c r="D719" s="22" t="inlineStr">
        <is>
          <t>35 g Mantequilla francesa sin sal (82% MG) de alta calidad</t>
        </is>
      </c>
      <c r="E719" s="6" t="inlineStr">
        <is>
          <t>Mantequilla sin sal de alta grasa (82% MG)</t>
        </is>
      </c>
      <c r="F719" s="16" t="n">
        <v>35</v>
      </c>
      <c r="G719" t="inlineStr">
        <is>
          <t>g</t>
        </is>
      </c>
      <c r="H719" s="12">
        <f>IFERROR(VLOOKUP(E719,Insumos!$C$5:$G$100,5,FALSE),0)</f>
        <v/>
      </c>
      <c r="I719" s="17">
        <f>F719*H719/IF(C719="molde",MAX(1,'Mi negocio'!$C$34),1)</f>
        <v/>
      </c>
    </row>
    <row r="720">
      <c r="A720" t="n">
        <v>48</v>
      </c>
      <c r="B720" s="21" t="inlineStr">
        <is>
          <t>Toffee Masticable de Caramelo Salado con Mantequilla de Bretaña (Salted Butter Caramel Chewy Toffee-Jelly)</t>
        </is>
      </c>
      <c r="C720" t="inlineStr">
        <is>
          <t>azucar</t>
        </is>
      </c>
      <c r="D720" s="22" t="inlineStr">
        <is>
          <t>15 g Sorbitol líquido al 70%</t>
        </is>
      </c>
      <c r="E720" s="6" t="inlineStr">
        <is>
          <t>Sorbitol líquido al 70%</t>
        </is>
      </c>
      <c r="F720" s="16" t="n">
        <v>15</v>
      </c>
      <c r="G720" t="inlineStr">
        <is>
          <t>g</t>
        </is>
      </c>
      <c r="H720" s="12">
        <f>IFERROR(VLOOKUP(E720,Insumos!$C$5:$G$100,5,FALSE),0)</f>
        <v/>
      </c>
      <c r="I720" s="17">
        <f>F720*H720/IF(C720="molde",MAX(1,'Mi negocio'!$C$34),1)</f>
        <v/>
      </c>
    </row>
    <row r="721">
      <c r="A721" t="n">
        <v>48</v>
      </c>
      <c r="B721" s="21" t="inlineStr">
        <is>
          <t>Toffee Masticable de Caramelo Salado con Mantequilla de Bretaña (Salted Butter Caramel Chewy Toffee-Jelly)</t>
        </is>
      </c>
      <c r="C721" t="inlineStr">
        <is>
          <t>acabado</t>
        </is>
      </c>
      <c r="D721" s="22" t="inlineStr">
        <is>
          <t>2 g Lecitina de girasol pura (emulsionante)</t>
        </is>
      </c>
      <c r="E721" s="6" t="inlineStr">
        <is>
          <t>Lecitina de girasol o soja pura</t>
        </is>
      </c>
      <c r="F721" s="16" t="n">
        <v>2</v>
      </c>
      <c r="G721" t="inlineStr">
        <is>
          <t>g</t>
        </is>
      </c>
      <c r="H721" s="12">
        <f>IFERROR(VLOOKUP(E721,Insumos!$C$5:$G$100,5,FALSE),0)</f>
        <v/>
      </c>
      <c r="I721" s="17">
        <f>F721*H721/IF(C721="molde",MAX(1,'Mi negocio'!$C$34),1)</f>
        <v/>
      </c>
    </row>
    <row r="722">
      <c r="A722" t="n">
        <v>48</v>
      </c>
      <c r="B722" s="21" t="inlineStr">
        <is>
          <t>Toffee Masticable de Caramelo Salado con Mantequilla de Bretaña (Salted Butter Caramel Chewy Toffee-Jelly)</t>
        </is>
      </c>
      <c r="C722" t="inlineStr">
        <is>
          <t>sabor</t>
        </is>
      </c>
      <c r="D722" s="22" t="inlineStr">
        <is>
          <t>40 ml Agua purificada limpia</t>
        </is>
      </c>
      <c r="E722" s="6" t="inlineStr">
        <is>
          <t>Agua desmineralizada o purificada</t>
        </is>
      </c>
      <c r="F722" s="16" t="n">
        <v>40</v>
      </c>
      <c r="G722" t="inlineStr">
        <is>
          <t>ml</t>
        </is>
      </c>
      <c r="H722" s="12">
        <f>IFERROR(VLOOKUP(E722,Insumos!$C$5:$G$100,5,FALSE),0)</f>
        <v/>
      </c>
      <c r="I722" s="17">
        <f>F722*H722/IF(C722="molde",MAX(1,'Mi negocio'!$C$34),1)</f>
        <v/>
      </c>
    </row>
    <row r="723">
      <c r="A723" t="n">
        <v>48</v>
      </c>
      <c r="B723" s="21" t="inlineStr">
        <is>
          <t>Toffee Masticable de Caramelo Salado con Mantequilla de Bretaña (Salted Butter Caramel Chewy Toffee-Jelly)</t>
        </is>
      </c>
      <c r="C723" t="inlineStr">
        <is>
          <t>sabor</t>
        </is>
      </c>
      <c r="D723" s="22" t="inlineStr">
        <is>
          <t>4.5 g Flor de sal de Guérande (Fleur de Sel)</t>
        </is>
      </c>
      <c r="E723" s="6" t="inlineStr">
        <is>
          <t>Sal marina fina o flor de sal</t>
        </is>
      </c>
      <c r="F723" s="16" t="n">
        <v>4.5</v>
      </c>
      <c r="G723" t="inlineStr">
        <is>
          <t>g</t>
        </is>
      </c>
      <c r="H723" s="12">
        <f>IFERROR(VLOOKUP(E723,Insumos!$C$5:$G$100,5,FALSE),0)</f>
        <v/>
      </c>
      <c r="I723" s="17">
        <f>F723*H723/IF(C723="molde",MAX(1,'Mi negocio'!$C$34),1)</f>
        <v/>
      </c>
    </row>
    <row r="724">
      <c r="A724" t="n">
        <v>48</v>
      </c>
      <c r="B724" s="21" t="inlineStr">
        <is>
          <t>Toffee Masticable de Caramelo Salado con Mantequilla de Bretaña (Salted Butter Caramel Chewy Toffee-Jelly)</t>
        </is>
      </c>
      <c r="C724" t="inlineStr">
        <is>
          <t>sabor</t>
        </is>
      </c>
      <c r="D724" s="22" t="inlineStr">
        <is>
          <t>2.5 ml Aroma natural concentrado de caramelo toffee / dulce de leche</t>
        </is>
      </c>
      <c r="E724" s="6" t="inlineStr">
        <is>
          <t>Aroma natural hidrosoluble concentrado</t>
        </is>
      </c>
      <c r="F724" s="16" t="n">
        <v>2.5</v>
      </c>
      <c r="G724" t="inlineStr">
        <is>
          <t>ml</t>
        </is>
      </c>
      <c r="H724" s="12">
        <f>IFERROR(VLOOKUP(E724,Insumos!$C$5:$G$100,5,FALSE),0)</f>
        <v/>
      </c>
      <c r="I724" s="17">
        <f>F724*H724/IF(C724="molde",MAX(1,'Mi negocio'!$C$34),1)</f>
        <v/>
      </c>
    </row>
    <row r="725">
      <c r="A725" t="n">
        <v>48</v>
      </c>
      <c r="B725" s="21" t="inlineStr">
        <is>
          <t>Toffee Masticable de Caramelo Salado con Mantequilla de Bretaña (Salted Butter Caramel Chewy Toffee-Jelly)</t>
        </is>
      </c>
      <c r="C725" t="inlineStr">
        <is>
          <t>sabor</t>
        </is>
      </c>
      <c r="D725" s="22" t="inlineStr">
        <is>
          <t>1.5 ml Extracto puro natural de vainilla Bourbon</t>
        </is>
      </c>
      <c r="E725" s="6" t="inlineStr">
        <is>
          <t>Extracto puro natural de vainilla</t>
        </is>
      </c>
      <c r="F725" s="16" t="n">
        <v>1.5</v>
      </c>
      <c r="G725" t="inlineStr">
        <is>
          <t>ml</t>
        </is>
      </c>
      <c r="H725" s="12">
        <f>IFERROR(VLOOKUP(E725,Insumos!$C$5:$G$100,5,FALSE),0)</f>
        <v/>
      </c>
      <c r="I725" s="17">
        <f>F725*H725/IF(C725="molde",MAX(1,'Mi negocio'!$C$34),1)</f>
        <v/>
      </c>
    </row>
    <row r="726">
      <c r="A726" t="n">
        <v>48</v>
      </c>
      <c r="B726" s="21" t="inlineStr">
        <is>
          <t>Toffee Masticable de Caramelo Salado con Mantequilla de Bretaña (Salted Butter Caramel Chewy Toffee-Jelly)</t>
        </is>
      </c>
      <c r="C726" t="inlineStr">
        <is>
          <t>acabado</t>
        </is>
      </c>
      <c r="D726" s="22" t="inlineStr">
        <is>
          <t>2 g Aceite MCT con cera de carnauba refinada</t>
        </is>
      </c>
      <c r="E726" s="6" t="inlineStr">
        <is>
          <t>Agente de brillo de carnauba en MCT (elaborado)</t>
        </is>
      </c>
      <c r="F726" s="16" t="n">
        <v>2</v>
      </c>
      <c r="G726" t="inlineStr">
        <is>
          <t>g</t>
        </is>
      </c>
      <c r="H726" s="12">
        <f>IFERROR(VLOOKUP(E726,Insumos!$C$5:$G$100,5,FALSE),0)</f>
        <v/>
      </c>
      <c r="I726" s="17">
        <f>F726*H726/IF(C726="molde",MAX(1,'Mi negocio'!$C$34),1)</f>
        <v/>
      </c>
    </row>
    <row r="727">
      <c r="A727" t="n">
        <v>49</v>
      </c>
      <c r="B727" s="21" t="inlineStr">
        <is>
          <t>Goma Funcional de Cúrcuma, Jengibre y Pimienta Negra con Curcumina Biodisponible (Anti-Inflammatory Golden Turmeric &amp; Ginger Functional Gummy)</t>
        </is>
      </c>
      <c r="C727" t="inlineStr">
        <is>
          <t>gelificante</t>
        </is>
      </c>
      <c r="D727" s="22" t="inlineStr">
        <is>
          <t>11.5 g Pectina de Alto Metoxilo lenta (HM Slow-Set Pectin)</t>
        </is>
      </c>
      <c r="E727" s="6" t="inlineStr">
        <is>
          <t>Pectina de alto metoxilo lenta (HM slow-set)</t>
        </is>
      </c>
      <c r="F727" s="16" t="n">
        <v>11.5</v>
      </c>
      <c r="G727" t="inlineStr">
        <is>
          <t>g</t>
        </is>
      </c>
      <c r="H727" s="12">
        <f>IFERROR(VLOOKUP(E727,Insumos!$C$5:$G$100,5,FALSE),0)</f>
        <v/>
      </c>
      <c r="I727" s="17">
        <f>F727*H727/IF(C727="molde",MAX(1,'Mi negocio'!$C$34),1)</f>
        <v/>
      </c>
    </row>
    <row r="728">
      <c r="A728" t="n">
        <v>49</v>
      </c>
      <c r="B728" s="21" t="inlineStr">
        <is>
          <t>Goma Funcional de Cúrcuma, Jengibre y Pimienta Negra con Curcumina Biodisponible (Anti-Inflammatory Golden Turmeric &amp; Ginger Functional Gummy)</t>
        </is>
      </c>
      <c r="C728" t="inlineStr">
        <is>
          <t>azucar</t>
        </is>
      </c>
      <c r="D728" s="22" t="inlineStr">
        <is>
          <t>35 g Azúcar blanca refinada pura (para dispersión en seco)</t>
        </is>
      </c>
      <c r="E728" s="6" t="inlineStr">
        <is>
          <t>Azúcar blanca refinada</t>
        </is>
      </c>
      <c r="F728" s="16" t="n">
        <v>35</v>
      </c>
      <c r="G728" t="inlineStr">
        <is>
          <t>g</t>
        </is>
      </c>
      <c r="H728" s="12">
        <f>IFERROR(VLOOKUP(E728,Insumos!$C$5:$G$100,5,FALSE),0)</f>
        <v/>
      </c>
      <c r="I728" s="17">
        <f>F728*H728/IF(C728="molde",MAX(1,'Mi negocio'!$C$34),1)</f>
        <v/>
      </c>
    </row>
    <row r="729">
      <c r="A729" t="n">
        <v>49</v>
      </c>
      <c r="B729" s="21" t="inlineStr">
        <is>
          <t>Goma Funcional de Cúrcuma, Jengibre y Pimienta Negra con Curcumina Biodisponible (Anti-Inflammatory Golden Turmeric &amp; Ginger Functional Gummy)</t>
        </is>
      </c>
      <c r="C729" t="inlineStr">
        <is>
          <t>sabor</t>
        </is>
      </c>
      <c r="D729" s="22" t="inlineStr">
        <is>
          <t>150 ml Agua desmineralizada pura</t>
        </is>
      </c>
      <c r="E729" s="6" t="inlineStr">
        <is>
          <t>Agua desmineralizada o purificada</t>
        </is>
      </c>
      <c r="F729" s="16" t="n">
        <v>150</v>
      </c>
      <c r="G729" t="inlineStr">
        <is>
          <t>ml</t>
        </is>
      </c>
      <c r="H729" s="12">
        <f>IFERROR(VLOOKUP(E729,Insumos!$C$5:$G$100,5,FALSE),0)</f>
        <v/>
      </c>
      <c r="I729" s="17">
        <f>F729*H729/IF(C729="molde",MAX(1,'Mi negocio'!$C$34),1)</f>
        <v/>
      </c>
    </row>
    <row r="730">
      <c r="A730" t="n">
        <v>49</v>
      </c>
      <c r="B730" s="21" t="inlineStr">
        <is>
          <t>Goma Funcional de Cúrcuma, Jengibre y Pimienta Negra con Curcumina Biodisponible (Anti-Inflammatory Golden Turmeric &amp; Ginger Functional Gummy)</t>
        </is>
      </c>
      <c r="C730" t="inlineStr">
        <is>
          <t>azucar</t>
        </is>
      </c>
      <c r="D730" s="22" t="inlineStr">
        <is>
          <t>175 g Azúcar blanca refinada pura</t>
        </is>
      </c>
      <c r="E730" s="6" t="inlineStr">
        <is>
          <t>Azúcar blanca refinada</t>
        </is>
      </c>
      <c r="F730" s="16" t="n">
        <v>175</v>
      </c>
      <c r="G730" t="inlineStr">
        <is>
          <t>g</t>
        </is>
      </c>
      <c r="H730" s="12">
        <f>IFERROR(VLOOKUP(E730,Insumos!$C$5:$G$100,5,FALSE),0)</f>
        <v/>
      </c>
      <c r="I730" s="17">
        <f>F730*H730/IF(C730="molde",MAX(1,'Mi negocio'!$C$34),1)</f>
        <v/>
      </c>
    </row>
    <row r="731">
      <c r="A731" t="n">
        <v>49</v>
      </c>
      <c r="B731" s="21" t="inlineStr">
        <is>
          <t>Goma Funcional de Cúrcuma, Jengibre y Pimienta Negra con Curcumina Biodisponible (Anti-Inflammatory Golden Turmeric &amp; Ginger Functional Gummy)</t>
        </is>
      </c>
      <c r="C731" t="inlineStr">
        <is>
          <t>azucar</t>
        </is>
      </c>
      <c r="D731" s="22" t="inlineStr">
        <is>
          <t>90 g Jarabe de glucosa estándar 42DE</t>
        </is>
      </c>
      <c r="E731" s="6" t="inlineStr">
        <is>
          <t>Jarabe de glucosa 42 DE</t>
        </is>
      </c>
      <c r="F731" s="16" t="n">
        <v>90</v>
      </c>
      <c r="G731" t="inlineStr">
        <is>
          <t>g</t>
        </is>
      </c>
      <c r="H731" s="12">
        <f>IFERROR(VLOOKUP(E731,Insumos!$C$5:$G$100,5,FALSE),0)</f>
        <v/>
      </c>
      <c r="I731" s="17">
        <f>F731*H731/IF(C731="molde",MAX(1,'Mi negocio'!$C$34),1)</f>
        <v/>
      </c>
    </row>
    <row r="732">
      <c r="A732" t="n">
        <v>49</v>
      </c>
      <c r="B732" s="21" t="inlineStr">
        <is>
          <t>Goma Funcional de Cúrcuma, Jengibre y Pimienta Negra con Curcumina Biodisponible (Anti-Inflammatory Golden Turmeric &amp; Ginger Functional Gummy)</t>
        </is>
      </c>
      <c r="C732" t="inlineStr">
        <is>
          <t>azucar</t>
        </is>
      </c>
      <c r="D732" s="22" t="inlineStr">
        <is>
          <t>15 g Sorbitol líquido al 70%</t>
        </is>
      </c>
      <c r="E732" s="6" t="inlineStr">
        <is>
          <t>Sorbitol líquido al 70%</t>
        </is>
      </c>
      <c r="F732" s="16" t="n">
        <v>15</v>
      </c>
      <c r="G732" t="inlineStr">
        <is>
          <t>g</t>
        </is>
      </c>
      <c r="H732" s="12">
        <f>IFERROR(VLOOKUP(E732,Insumos!$C$5:$G$100,5,FALSE),0)</f>
        <v/>
      </c>
      <c r="I732" s="17">
        <f>F732*H732/IF(C732="molde",MAX(1,'Mi negocio'!$C$34),1)</f>
        <v/>
      </c>
    </row>
    <row r="733">
      <c r="A733" t="n">
        <v>49</v>
      </c>
      <c r="B733" s="21" t="inlineStr">
        <is>
          <t>Goma Funcional de Cúrcuma, Jengibre y Pimienta Negra con Curcumina Biodisponible (Anti-Inflammatory Golden Turmeric &amp; Ginger Functional Gummy)</t>
        </is>
      </c>
      <c r="C733" t="inlineStr">
        <is>
          <t>sabor</t>
        </is>
      </c>
      <c r="D733" s="22" t="inlineStr">
        <is>
          <t>2 g Citrato de potasio (amortiguador de pH)</t>
        </is>
      </c>
      <c r="E733" s="6" t="inlineStr">
        <is>
          <t>Citrato de potasio monohidratado</t>
        </is>
      </c>
      <c r="F733" s="16" t="n">
        <v>2</v>
      </c>
      <c r="G733" t="inlineStr">
        <is>
          <t>g</t>
        </is>
      </c>
      <c r="H733" s="12">
        <f>IFERROR(VLOOKUP(E733,Insumos!$C$5:$G$100,5,FALSE),0)</f>
        <v/>
      </c>
      <c r="I733" s="17">
        <f>F733*H733/IF(C733="molde",MAX(1,'Mi negocio'!$C$34),1)</f>
        <v/>
      </c>
    </row>
    <row r="734">
      <c r="A734" t="n">
        <v>49</v>
      </c>
      <c r="B734" s="21" t="inlineStr">
        <is>
          <t>Goma Funcional de Cúrcuma, Jengibre y Pimienta Negra con Curcumina Biodisponible (Anti-Inflammatory Golden Turmeric &amp; Ginger Functional Gummy)</t>
        </is>
      </c>
      <c r="C734" t="inlineStr">
        <is>
          <t>sabor</t>
        </is>
      </c>
      <c r="D734" s="22" t="inlineStr">
        <is>
          <t>18.75 g Extracto estandarizado de cúrcuma pura (Curcuma longa, 95% curcuminoides en polvo)</t>
        </is>
      </c>
      <c r="E734" s="6" t="inlineStr">
        <is>
          <t>Extracto o infusión botánica concentrada</t>
        </is>
      </c>
      <c r="F734" s="16" t="n">
        <v>18.75</v>
      </c>
      <c r="G734" t="inlineStr">
        <is>
          <t>ml</t>
        </is>
      </c>
      <c r="H734" s="12">
        <f>IFERROR(VLOOKUP(E734,Insumos!$C$5:$G$100,5,FALSE),0)</f>
        <v/>
      </c>
      <c r="I734" s="17">
        <f>F734*H734/IF(C734="molde",MAX(1,'Mi negocio'!$C$34),1)</f>
        <v/>
      </c>
    </row>
    <row r="735">
      <c r="A735" t="n">
        <v>49</v>
      </c>
      <c r="B735" s="21" t="inlineStr">
        <is>
          <t>Goma Funcional de Cúrcuma, Jengibre y Pimienta Negra con Curcumina Biodisponible (Anti-Inflammatory Golden Turmeric &amp; Ginger Functional Gummy)</t>
        </is>
      </c>
      <c r="C735" t="inlineStr">
        <is>
          <t>sabor</t>
        </is>
      </c>
      <c r="D735" s="22" t="inlineStr">
        <is>
          <t>6.25 g Extracto estandarizado de jengibre (Zingiber officinale, 5% gingeroles)</t>
        </is>
      </c>
      <c r="E735" s="6" t="inlineStr">
        <is>
          <t>Extracto o infusión botánica concentrada</t>
        </is>
      </c>
      <c r="F735" s="16" t="n">
        <v>6.25</v>
      </c>
      <c r="G735" t="inlineStr">
        <is>
          <t>ml</t>
        </is>
      </c>
      <c r="H735" s="12">
        <f>IFERROR(VLOOKUP(E735,Insumos!$C$5:$G$100,5,FALSE),0)</f>
        <v/>
      </c>
      <c r="I735" s="17">
        <f>F735*H735/IF(C735="molde",MAX(1,'Mi negocio'!$C$34),1)</f>
        <v/>
      </c>
    </row>
    <row r="736">
      <c r="A736" t="n">
        <v>49</v>
      </c>
      <c r="B736" s="21" t="inlineStr">
        <is>
          <t>Goma Funcional de Cúrcuma, Jengibre y Pimienta Negra con Curcumina Biodisponible (Anti-Inflammatory Golden Turmeric &amp; Ginger Functional Gummy)</t>
        </is>
      </c>
      <c r="C736" t="inlineStr">
        <is>
          <t>acabado</t>
        </is>
      </c>
      <c r="D736" s="22" t="inlineStr">
        <is>
          <t>0.31 g Piperina pura estandarizada (98% de Piper nigrum)</t>
        </is>
      </c>
      <c r="E736" s="6" t="inlineStr">
        <is>
          <t>Piperina pura estandarizada</t>
        </is>
      </c>
      <c r="F736" s="16" t="n">
        <v>0.31</v>
      </c>
      <c r="G736" t="inlineStr">
        <is>
          <t>g</t>
        </is>
      </c>
      <c r="H736" s="12">
        <f>IFERROR(VLOOKUP(E736,Insumos!$C$5:$G$100,5,FALSE),0)</f>
        <v/>
      </c>
      <c r="I736" s="17">
        <f>F736*H736/IF(C736="molde",MAX(1,'Mi negocio'!$C$34),1)</f>
        <v/>
      </c>
    </row>
    <row r="737">
      <c r="A737" t="n">
        <v>49</v>
      </c>
      <c r="B737" s="21" t="inlineStr">
        <is>
          <t>Goma Funcional de Cúrcuma, Jengibre y Pimienta Negra con Curcumina Biodisponible (Anti-Inflammatory Golden Turmeric &amp; Ginger Functional Gummy)</t>
        </is>
      </c>
      <c r="C737" t="inlineStr">
        <is>
          <t>acabado</t>
        </is>
      </c>
      <c r="D737" s="22" t="inlineStr">
        <is>
          <t>12 g Aceite de coco fraccionado (MCT)</t>
        </is>
      </c>
      <c r="E737" s="6" t="inlineStr">
        <is>
          <t>Aceite de coco fraccionado (MCT)</t>
        </is>
      </c>
      <c r="F737" s="16" t="n">
        <v>12</v>
      </c>
      <c r="G737" t="inlineStr">
        <is>
          <t>ml</t>
        </is>
      </c>
      <c r="H737" s="12">
        <f>IFERROR(VLOOKUP(E737,Insumos!$C$5:$G$100,5,FALSE),0)</f>
        <v/>
      </c>
      <c r="I737" s="17">
        <f>F737*H737/IF(C737="molde",MAX(1,'Mi negocio'!$C$34),1)</f>
        <v/>
      </c>
    </row>
    <row r="738">
      <c r="A738" t="n">
        <v>49</v>
      </c>
      <c r="B738" s="21" t="inlineStr">
        <is>
          <t>Goma Funcional de Cúrcuma, Jengibre y Pimienta Negra con Curcumina Biodisponible (Anti-Inflammatory Golden Turmeric &amp; Ginger Functional Gummy)</t>
        </is>
      </c>
      <c r="C738" t="inlineStr">
        <is>
          <t>acabado</t>
        </is>
      </c>
      <c r="D738" s="22" t="inlineStr">
        <is>
          <t>2 g Lecitina de girasol o polisorbato 80 (emulsionante micelar)</t>
        </is>
      </c>
      <c r="E738" s="6" t="inlineStr">
        <is>
          <t>Lecitina de girasol o soja pura</t>
        </is>
      </c>
      <c r="F738" s="16" t="n">
        <v>2</v>
      </c>
      <c r="G738" t="inlineStr">
        <is>
          <t>g</t>
        </is>
      </c>
      <c r="H738" s="12">
        <f>IFERROR(VLOOKUP(E738,Insumos!$C$5:$G$100,5,FALSE),0)</f>
        <v/>
      </c>
      <c r="I738" s="17">
        <f>F738*H738/IF(C738="molde",MAX(1,'Mi negocio'!$C$34),1)</f>
        <v/>
      </c>
    </row>
    <row r="739">
      <c r="A739" t="n">
        <v>49</v>
      </c>
      <c r="B739" s="21" t="inlineStr">
        <is>
          <t>Goma Funcional de Cúrcuma, Jengibre y Pimienta Negra con Curcumina Biodisponible (Anti-Inflammatory Golden Turmeric &amp; Ginger Functional Gummy)</t>
        </is>
      </c>
      <c r="C739" t="inlineStr">
        <is>
          <t>sabor</t>
        </is>
      </c>
      <c r="D739" s="22" t="inlineStr">
        <is>
          <t>8 ml Solución de ácido cítrico al 50% p/v</t>
        </is>
      </c>
      <c r="E739" s="6" t="inlineStr">
        <is>
          <t>Solución de ácido cítrico al 50% p/v (elaborada)</t>
        </is>
      </c>
      <c r="F739" s="16" t="n">
        <v>8</v>
      </c>
      <c r="G739" t="inlineStr">
        <is>
          <t>ml</t>
        </is>
      </c>
      <c r="H739" s="12">
        <f>IFERROR(VLOOKUP(E739,Insumos!$C$5:$G$100,5,FALSE),0)</f>
        <v/>
      </c>
      <c r="I739" s="17">
        <f>F739*H739/IF(C739="molde",MAX(1,'Mi negocio'!$C$34),1)</f>
        <v/>
      </c>
    </row>
    <row r="740">
      <c r="A740" t="n">
        <v>49</v>
      </c>
      <c r="B740" s="21" t="inlineStr">
        <is>
          <t>Goma Funcional de Cúrcuma, Jengibre y Pimienta Negra con Curcumina Biodisponible (Anti-Inflammatory Golden Turmeric &amp; Ginger Functional Gummy)</t>
        </is>
      </c>
      <c r="C740" t="inlineStr">
        <is>
          <t>sabor</t>
        </is>
      </c>
      <c r="D740" s="22" t="inlineStr">
        <is>
          <t>2.5 ml Aceite esencial puro destilado de naranja valencia (enmascara el sabor terroso de la curcumina)</t>
        </is>
      </c>
      <c r="E740" s="6" t="inlineStr">
        <is>
          <t>Aceite esencial puro destilado de cítrico</t>
        </is>
      </c>
      <c r="F740" s="16" t="n">
        <v>2.5</v>
      </c>
      <c r="G740" t="inlineStr">
        <is>
          <t>ml</t>
        </is>
      </c>
      <c r="H740" s="12">
        <f>IFERROR(VLOOKUP(E740,Insumos!$C$5:$G$100,5,FALSE),0)</f>
        <v/>
      </c>
      <c r="I740" s="17">
        <f>F740*H740/IF(C740="molde",MAX(1,'Mi negocio'!$C$34),1)</f>
        <v/>
      </c>
    </row>
    <row r="741">
      <c r="A741" t="n">
        <v>49</v>
      </c>
      <c r="B741" s="21" t="inlineStr">
        <is>
          <t>Goma Funcional de Cúrcuma, Jengibre y Pimienta Negra con Curcumina Biodisponible (Anti-Inflammatory Golden Turmeric &amp; Ginger Functional Gummy)</t>
        </is>
      </c>
      <c r="C741" t="inlineStr">
        <is>
          <t>sabor</t>
        </is>
      </c>
      <c r="D741" s="22" t="inlineStr">
        <is>
          <t>1 ml Aroma natural de jengibre fresco</t>
        </is>
      </c>
      <c r="E741" s="6" t="inlineStr">
        <is>
          <t>Aroma natural hidrosoluble concentrado</t>
        </is>
      </c>
      <c r="F741" s="16" t="n">
        <v>1</v>
      </c>
      <c r="G741" t="inlineStr">
        <is>
          <t>ml</t>
        </is>
      </c>
      <c r="H741" s="12">
        <f>IFERROR(VLOOKUP(E741,Insumos!$C$5:$G$100,5,FALSE),0)</f>
        <v/>
      </c>
      <c r="I741" s="17">
        <f>F741*H741/IF(C741="molde",MAX(1,'Mi negocio'!$C$34),1)</f>
        <v/>
      </c>
    </row>
    <row r="742">
      <c r="A742" t="n">
        <v>49</v>
      </c>
      <c r="B742" s="21" t="inlineStr">
        <is>
          <t>Goma Funcional de Cúrcuma, Jengibre y Pimienta Negra con Curcumina Biodisponible (Anti-Inflammatory Golden Turmeric &amp; Ginger Functional Gummy)</t>
        </is>
      </c>
      <c r="C742" t="inlineStr">
        <is>
          <t>acabado</t>
        </is>
      </c>
      <c r="D742" s="22" t="inlineStr">
        <is>
          <t>2 g Aceite MCT con cera de carnauba refinada</t>
        </is>
      </c>
      <c r="E742" s="6" t="inlineStr">
        <is>
          <t>Agente de brillo de carnauba en MCT (elaborado)</t>
        </is>
      </c>
      <c r="F742" s="16" t="n">
        <v>2</v>
      </c>
      <c r="G742" t="inlineStr">
        <is>
          <t>g</t>
        </is>
      </c>
      <c r="H742" s="12">
        <f>IFERROR(VLOOKUP(E742,Insumos!$C$5:$G$100,5,FALSE),0)</f>
        <v/>
      </c>
      <c r="I742" s="17">
        <f>F742*H742/IF(C742="molde",MAX(1,'Mi negocio'!$C$34),1)</f>
        <v/>
      </c>
    </row>
    <row r="743">
      <c r="A743" t="n">
        <v>50</v>
      </c>
      <c r="B743" s="21" t="inlineStr">
        <is>
          <t>Pastilla de Saúco Negro, Vitamina C y Zinc con Propóleo (Black Elderberry Immune Defense &amp; Zinc Shield)</t>
        </is>
      </c>
      <c r="C743" t="inlineStr">
        <is>
          <t>gelificante</t>
        </is>
      </c>
      <c r="D743" s="22" t="inlineStr">
        <is>
          <t>38 g Gelatina en polvo de 250 Bloom</t>
        </is>
      </c>
      <c r="E743" s="6" t="inlineStr">
        <is>
          <t>Gelatina en polvo de 240-260 Bloom</t>
        </is>
      </c>
      <c r="F743" s="16" t="n">
        <v>38</v>
      </c>
      <c r="G743" t="inlineStr">
        <is>
          <t>g</t>
        </is>
      </c>
      <c r="H743" s="12">
        <f>IFERROR(VLOOKUP(E743,Insumos!$C$5:$G$100,5,FALSE),0)</f>
        <v/>
      </c>
      <c r="I743" s="17">
        <f>F743*H743/IF(C743="molde",MAX(1,'Mi negocio'!$C$34),1)</f>
        <v/>
      </c>
    </row>
    <row r="744">
      <c r="A744" t="n">
        <v>50</v>
      </c>
      <c r="B744" s="21" t="inlineStr">
        <is>
          <t>Pastilla de Saúco Negro, Vitamina C y Zinc con Propóleo (Black Elderberry Immune Defense &amp; Zinc Shield)</t>
        </is>
      </c>
      <c r="C744" t="inlineStr">
        <is>
          <t>gelificante</t>
        </is>
      </c>
      <c r="D744" s="22" t="inlineStr">
        <is>
          <t>7.5 g Pectina de Alto Metoxilo lenta (HM Slow-Set)</t>
        </is>
      </c>
      <c r="E744" s="6" t="inlineStr">
        <is>
          <t>Pectina de alto metoxilo lenta (HM slow-set)</t>
        </is>
      </c>
      <c r="F744" s="16" t="n">
        <v>7.5</v>
      </c>
      <c r="G744" t="inlineStr">
        <is>
          <t>g</t>
        </is>
      </c>
      <c r="H744" s="12">
        <f>IFERROR(VLOOKUP(E744,Insumos!$C$5:$G$100,5,FALSE),0)</f>
        <v/>
      </c>
      <c r="I744" s="17">
        <f>F744*H744/IF(C744="molde",MAX(1,'Mi negocio'!$C$34),1)</f>
        <v/>
      </c>
    </row>
    <row r="745">
      <c r="A745" t="n">
        <v>50</v>
      </c>
      <c r="B745" s="21" t="inlineStr">
        <is>
          <t>Pastilla de Saúco Negro, Vitamina C y Zinc con Propóleo (Black Elderberry Immune Defense &amp; Zinc Shield)</t>
        </is>
      </c>
      <c r="C745" t="inlineStr">
        <is>
          <t>azucar</t>
        </is>
      </c>
      <c r="D745" s="22" t="inlineStr">
        <is>
          <t>25 g Azúcar blanca refinada pura (para dispersar la pectina)</t>
        </is>
      </c>
      <c r="E745" s="6" t="inlineStr">
        <is>
          <t>Azúcar blanca refinada</t>
        </is>
      </c>
      <c r="F745" s="16" t="n">
        <v>25</v>
      </c>
      <c r="G745" t="inlineStr">
        <is>
          <t>g</t>
        </is>
      </c>
      <c r="H745" s="12">
        <f>IFERROR(VLOOKUP(E745,Insumos!$C$5:$G$100,5,FALSE),0)</f>
        <v/>
      </c>
      <c r="I745" s="17">
        <f>F745*H745/IF(C745="molde",MAX(1,'Mi negocio'!$C$34),1)</f>
        <v/>
      </c>
    </row>
    <row r="746">
      <c r="A746" t="n">
        <v>50</v>
      </c>
      <c r="B746" s="21" t="inlineStr">
        <is>
          <t>Pastilla de Saúco Negro, Vitamina C y Zinc con Propóleo (Black Elderberry Immune Defense &amp; Zinc Shield)</t>
        </is>
      </c>
      <c r="C746" t="inlineStr">
        <is>
          <t>sabor</t>
        </is>
      </c>
      <c r="D746" s="22" t="inlineStr">
        <is>
          <t>85 ml Agua desmineralizada a 15 °C (para la gelatina)</t>
        </is>
      </c>
      <c r="E746" s="6" t="inlineStr">
        <is>
          <t>Agua desmineralizada o purificada</t>
        </is>
      </c>
      <c r="F746" s="16" t="n">
        <v>85</v>
      </c>
      <c r="G746" t="inlineStr">
        <is>
          <t>ml</t>
        </is>
      </c>
      <c r="H746" s="12">
        <f>IFERROR(VLOOKUP(E746,Insumos!$C$5:$G$100,5,FALSE),0)</f>
        <v/>
      </c>
      <c r="I746" s="17">
        <f>F746*H746/IF(C746="molde",MAX(1,'Mi negocio'!$C$34),1)</f>
        <v/>
      </c>
    </row>
    <row r="747">
      <c r="A747" t="n">
        <v>50</v>
      </c>
      <c r="B747" s="21" t="inlineStr">
        <is>
          <t>Pastilla de Saúco Negro, Vitamina C y Zinc con Propóleo (Black Elderberry Immune Defense &amp; Zinc Shield)</t>
        </is>
      </c>
      <c r="C747" t="inlineStr">
        <is>
          <t>sabor</t>
        </is>
      </c>
      <c r="D747" s="22" t="inlineStr">
        <is>
          <t>45 ml Jugo clarificado concentrado de saúco / arándano (para la pectina)</t>
        </is>
      </c>
      <c r="E747" s="6" t="inlineStr">
        <is>
          <t>Puré concentrado de zarzamora, mora azul o grosella</t>
        </is>
      </c>
      <c r="F747" s="16" t="n">
        <v>45</v>
      </c>
      <c r="G747" t="inlineStr">
        <is>
          <t>g</t>
        </is>
      </c>
      <c r="H747" s="12">
        <f>IFERROR(VLOOKUP(E747,Insumos!$C$5:$G$100,5,FALSE),0)</f>
        <v/>
      </c>
      <c r="I747" s="17">
        <f>F747*H747/IF(C747="molde",MAX(1,'Mi negocio'!$C$34),1)</f>
        <v/>
      </c>
    </row>
    <row r="748">
      <c r="A748" t="n">
        <v>50</v>
      </c>
      <c r="B748" s="21" t="inlineStr">
        <is>
          <t>Pastilla de Saúco Negro, Vitamina C y Zinc con Propóleo (Black Elderberry Immune Defense &amp; Zinc Shield)</t>
        </is>
      </c>
      <c r="C748" t="inlineStr">
        <is>
          <t>azucar</t>
        </is>
      </c>
      <c r="D748" s="22" t="inlineStr">
        <is>
          <t>180 g Azúcar blanca refinada pura</t>
        </is>
      </c>
      <c r="E748" s="6" t="inlineStr">
        <is>
          <t>Azúcar blanca refinada</t>
        </is>
      </c>
      <c r="F748" s="16" t="n">
        <v>180</v>
      </c>
      <c r="G748" t="inlineStr">
        <is>
          <t>g</t>
        </is>
      </c>
      <c r="H748" s="12">
        <f>IFERROR(VLOOKUP(E748,Insumos!$C$5:$G$100,5,FALSE),0)</f>
        <v/>
      </c>
      <c r="I748" s="17">
        <f>F748*H748/IF(C748="molde",MAX(1,'Mi negocio'!$C$34),1)</f>
        <v/>
      </c>
    </row>
    <row r="749">
      <c r="A749" t="n">
        <v>50</v>
      </c>
      <c r="B749" s="21" t="inlineStr">
        <is>
          <t>Pastilla de Saúco Negro, Vitamina C y Zinc con Propóleo (Black Elderberry Immune Defense &amp; Zinc Shield)</t>
        </is>
      </c>
      <c r="C749" t="inlineStr">
        <is>
          <t>azucar</t>
        </is>
      </c>
      <c r="D749" s="22" t="inlineStr">
        <is>
          <t>145 g Jarabe de glucosa estándar 42DE</t>
        </is>
      </c>
      <c r="E749" s="6" t="inlineStr">
        <is>
          <t>Jarabe de glucosa 42 DE</t>
        </is>
      </c>
      <c r="F749" s="16" t="n">
        <v>145</v>
      </c>
      <c r="G749" t="inlineStr">
        <is>
          <t>g</t>
        </is>
      </c>
      <c r="H749" s="12">
        <f>IFERROR(VLOOKUP(E749,Insumos!$C$5:$G$100,5,FALSE),0)</f>
        <v/>
      </c>
      <c r="I749" s="17">
        <f>F749*H749/IF(C749="molde",MAX(1,'Mi negocio'!$C$34),1)</f>
        <v/>
      </c>
    </row>
    <row r="750">
      <c r="A750" t="n">
        <v>50</v>
      </c>
      <c r="B750" s="21" t="inlineStr">
        <is>
          <t>Pastilla de Saúco Negro, Vitamina C y Zinc con Propóleo (Black Elderberry Immune Defense &amp; Zinc Shield)</t>
        </is>
      </c>
      <c r="C750" t="inlineStr">
        <is>
          <t>azucar</t>
        </is>
      </c>
      <c r="D750" s="22" t="inlineStr">
        <is>
          <t>15 g Sorbitol líquido al 70%</t>
        </is>
      </c>
      <c r="E750" s="6" t="inlineStr">
        <is>
          <t>Sorbitol líquido al 70%</t>
        </is>
      </c>
      <c r="F750" s="16" t="n">
        <v>15</v>
      </c>
      <c r="G750" t="inlineStr">
        <is>
          <t>g</t>
        </is>
      </c>
      <c r="H750" s="12">
        <f>IFERROR(VLOOKUP(E750,Insumos!$C$5:$G$100,5,FALSE),0)</f>
        <v/>
      </c>
      <c r="I750" s="17">
        <f>F750*H750/IF(C750="molde",MAX(1,'Mi negocio'!$C$34),1)</f>
        <v/>
      </c>
    </row>
    <row r="751">
      <c r="A751" t="n">
        <v>50</v>
      </c>
      <c r="B751" s="21" t="inlineStr">
        <is>
          <t>Pastilla de Saúco Negro, Vitamina C y Zinc con Propóleo (Black Elderberry Immune Defense &amp; Zinc Shield)</t>
        </is>
      </c>
      <c r="C751" t="inlineStr">
        <is>
          <t>sabor</t>
        </is>
      </c>
      <c r="D751" s="22" t="inlineStr">
        <is>
          <t>2 g Citrato de sodio</t>
        </is>
      </c>
      <c r="E751" s="6" t="inlineStr">
        <is>
          <t>Citrato de sodio dihidratado</t>
        </is>
      </c>
      <c r="F751" s="16" t="n">
        <v>2</v>
      </c>
      <c r="G751" t="inlineStr">
        <is>
          <t>g</t>
        </is>
      </c>
      <c r="H751" s="12">
        <f>IFERROR(VLOOKUP(E751,Insumos!$C$5:$G$100,5,FALSE),0)</f>
        <v/>
      </c>
      <c r="I751" s="17">
        <f>F751*H751/IF(C751="molde",MAX(1,'Mi negocio'!$C$34),1)</f>
        <v/>
      </c>
    </row>
    <row r="752">
      <c r="A752" t="n">
        <v>50</v>
      </c>
      <c r="B752" s="21" t="inlineStr">
        <is>
          <t>Pastilla de Saúco Negro, Vitamina C y Zinc con Propóleo (Black Elderberry Immune Defense &amp; Zinc Shield)</t>
        </is>
      </c>
      <c r="C752" t="inlineStr">
        <is>
          <t>acabado</t>
        </is>
      </c>
      <c r="D752" s="22" t="inlineStr">
        <is>
          <t>12.5 g Extracto seco estandarizado de saúco negro (Sambucus nigra 10:1, rico en antocianinas)</t>
        </is>
      </c>
      <c r="E752" s="6" t="inlineStr">
        <is>
          <t>Extracto seco estandarizado funcional</t>
        </is>
      </c>
      <c r="F752" s="16" t="n">
        <v>12.5</v>
      </c>
      <c r="G752" t="inlineStr">
        <is>
          <t>g</t>
        </is>
      </c>
      <c r="H752" s="12">
        <f>IFERROR(VLOOKUP(E752,Insumos!$C$5:$G$100,5,FALSE),0)</f>
        <v/>
      </c>
      <c r="I752" s="17">
        <f>F752*H752/IF(C752="molde",MAX(1,'Mi negocio'!$C$34),1)</f>
        <v/>
      </c>
    </row>
    <row r="753">
      <c r="A753" t="n">
        <v>50</v>
      </c>
      <c r="B753" s="21" t="inlineStr">
        <is>
          <t>Pastilla de Saúco Negro, Vitamina C y Zinc con Propóleo (Black Elderberry Immune Defense &amp; Zinc Shield)</t>
        </is>
      </c>
      <c r="C753" t="inlineStr">
        <is>
          <t>sabor</t>
        </is>
      </c>
      <c r="D753" s="22" t="inlineStr">
        <is>
          <t>7.8 g Ácido L-ascórbico puro en polvo (Vitamina C grado USP, incluye 5% de sobre-dosificación para estabilidad)</t>
        </is>
      </c>
      <c r="E753" s="6" t="inlineStr">
        <is>
          <t>Ácido L-ascórbico puro (vitamina C)</t>
        </is>
      </c>
      <c r="F753" s="16" t="n">
        <v>7.8</v>
      </c>
      <c r="G753" t="inlineStr">
        <is>
          <t>g</t>
        </is>
      </c>
      <c r="H753" s="12">
        <f>IFERROR(VLOOKUP(E753,Insumos!$C$5:$G$100,5,FALSE),0)</f>
        <v/>
      </c>
      <c r="I753" s="17">
        <f>F753*H753/IF(C753="molde",MAX(1,'Mi negocio'!$C$34),1)</f>
        <v/>
      </c>
    </row>
    <row r="754">
      <c r="A754" t="n">
        <v>50</v>
      </c>
      <c r="B754" s="21" t="inlineStr">
        <is>
          <t>Pastilla de Saúco Negro, Vitamina C y Zinc con Propóleo (Black Elderberry Immune Defense &amp; Zinc Shield)</t>
        </is>
      </c>
      <c r="C754" t="inlineStr">
        <is>
          <t>acabado</t>
        </is>
      </c>
      <c r="D754" s="22" t="inlineStr">
        <is>
          <t>2.7 g Gluconato de zinc puro (equivalente a 375mg de zinc elemental total)</t>
        </is>
      </c>
      <c r="E754" s="6" t="inlineStr">
        <is>
          <t>Gluconato de zinc puro</t>
        </is>
      </c>
      <c r="F754" s="16" t="n">
        <v>2.7</v>
      </c>
      <c r="G754" t="inlineStr">
        <is>
          <t>g</t>
        </is>
      </c>
      <c r="H754" s="12">
        <f>IFERROR(VLOOKUP(E754,Insumos!$C$5:$G$100,5,FALSE),0)</f>
        <v/>
      </c>
      <c r="I754" s="17">
        <f>F754*H754/IF(C754="molde",MAX(1,'Mi negocio'!$C$34),1)</f>
        <v/>
      </c>
    </row>
    <row r="755">
      <c r="A755" t="n">
        <v>50</v>
      </c>
      <c r="B755" s="21" t="inlineStr">
        <is>
          <t>Pastilla de Saúco Negro, Vitamina C y Zinc con Propóleo (Black Elderberry Immune Defense &amp; Zinc Shield)</t>
        </is>
      </c>
      <c r="C755" t="inlineStr">
        <is>
          <t>acabado</t>
        </is>
      </c>
      <c r="D755" s="22" t="inlineStr">
        <is>
          <t>1.88 g Extracto seco hidrosoluble de propóleo de abeja purificado y desparafinado</t>
        </is>
      </c>
      <c r="E755" s="6" t="inlineStr">
        <is>
          <t>Extracto seco de propóleo de abeja</t>
        </is>
      </c>
      <c r="F755" s="16" t="n">
        <v>1.88</v>
      </c>
      <c r="G755" t="inlineStr">
        <is>
          <t>g</t>
        </is>
      </c>
      <c r="H755" s="12">
        <f>IFERROR(VLOOKUP(E755,Insumos!$C$5:$G$100,5,FALSE),0)</f>
        <v/>
      </c>
      <c r="I755" s="17">
        <f>F755*H755/IF(C755="molde",MAX(1,'Mi negocio'!$C$34),1)</f>
        <v/>
      </c>
    </row>
    <row r="756">
      <c r="A756" t="n">
        <v>50</v>
      </c>
      <c r="B756" s="21" t="inlineStr">
        <is>
          <t>Pastilla de Saúco Negro, Vitamina C y Zinc con Propóleo (Black Elderberry Immune Defense &amp; Zinc Shield)</t>
        </is>
      </c>
      <c r="C756" t="inlineStr">
        <is>
          <t>sabor</t>
        </is>
      </c>
      <c r="D756" s="22" t="inlineStr">
        <is>
          <t>30 ml Agua desmineralizada tibia (para disolver el complejo activo a 40 °C)</t>
        </is>
      </c>
      <c r="E756" s="6" t="inlineStr">
        <is>
          <t>Agua desmineralizada o purificada</t>
        </is>
      </c>
      <c r="F756" s="16" t="n">
        <v>30</v>
      </c>
      <c r="G756" t="inlineStr">
        <is>
          <t>ml</t>
        </is>
      </c>
      <c r="H756" s="12">
        <f>IFERROR(VLOOKUP(E756,Insumos!$C$5:$G$100,5,FALSE),0)</f>
        <v/>
      </c>
      <c r="I756" s="17">
        <f>F756*H756/IF(C756="molde",MAX(1,'Mi negocio'!$C$34),1)</f>
        <v/>
      </c>
    </row>
    <row r="757">
      <c r="A757" t="n">
        <v>50</v>
      </c>
      <c r="B757" s="21" t="inlineStr">
        <is>
          <t>Pastilla de Saúco Negro, Vitamina C y Zinc con Propóleo (Black Elderberry Immune Defense &amp; Zinc Shield)</t>
        </is>
      </c>
      <c r="C757" t="inlineStr">
        <is>
          <t>sabor</t>
        </is>
      </c>
      <c r="D757" s="22" t="inlineStr">
        <is>
          <t>6 ml Solución de ácido cítrico al 50% p/v</t>
        </is>
      </c>
      <c r="E757" s="6" t="inlineStr">
        <is>
          <t>Solución de ácido cítrico al 50% p/v (elaborada)</t>
        </is>
      </c>
      <c r="F757" s="16" t="n">
        <v>6</v>
      </c>
      <c r="G757" t="inlineStr">
        <is>
          <t>ml</t>
        </is>
      </c>
      <c r="H757" s="12">
        <f>IFERROR(VLOOKUP(E757,Insumos!$C$5:$G$100,5,FALSE),0)</f>
        <v/>
      </c>
      <c r="I757" s="17">
        <f>F757*H757/IF(C757="molde",MAX(1,'Mi negocio'!$C$34),1)</f>
        <v/>
      </c>
    </row>
    <row r="758">
      <c r="A758" t="n">
        <v>50</v>
      </c>
      <c r="B758" s="21" t="inlineStr">
        <is>
          <t>Pastilla de Saúco Negro, Vitamina C y Zinc con Propóleo (Black Elderberry Immune Defense &amp; Zinc Shield)</t>
        </is>
      </c>
      <c r="C758" t="inlineStr">
        <is>
          <t>sabor</t>
        </is>
      </c>
      <c r="D758" s="22" t="inlineStr">
        <is>
          <t>2 ml Aroma natural concentrado de frutos del bosque / mora silvestre</t>
        </is>
      </c>
      <c r="E758" s="6" t="inlineStr">
        <is>
          <t>Aroma natural hidrosoluble concentrado</t>
        </is>
      </c>
      <c r="F758" s="16" t="n">
        <v>2</v>
      </c>
      <c r="G758" t="inlineStr">
        <is>
          <t>ml</t>
        </is>
      </c>
      <c r="H758" s="12">
        <f>IFERROR(VLOOKUP(E758,Insumos!$C$5:$G$100,5,FALSE),0)</f>
        <v/>
      </c>
      <c r="I758" s="17">
        <f>F758*H758/IF(C758="molde",MAX(1,'Mi negocio'!$C$34),1)</f>
        <v/>
      </c>
    </row>
    <row r="759">
      <c r="A759" t="n">
        <v>50</v>
      </c>
      <c r="B759" s="21" t="inlineStr">
        <is>
          <t>Pastilla de Saúco Negro, Vitamina C y Zinc con Propóleo (Black Elderberry Immune Defense &amp; Zinc Shield)</t>
        </is>
      </c>
      <c r="C759" t="inlineStr">
        <is>
          <t>acabado</t>
        </is>
      </c>
      <c r="D759" s="22" t="inlineStr">
        <is>
          <t>2 g Aceite MCT con cera de carnauba refinada</t>
        </is>
      </c>
      <c r="E759" s="6" t="inlineStr">
        <is>
          <t>Agente de brillo de carnauba en MCT (elaborado)</t>
        </is>
      </c>
      <c r="F759" s="16" t="n">
        <v>2</v>
      </c>
      <c r="G759" t="inlineStr">
        <is>
          <t>g</t>
        </is>
      </c>
      <c r="H759" s="12">
        <f>IFERROR(VLOOKUP(E759,Insumos!$C$5:$G$100,5,FALSE),0)</f>
        <v/>
      </c>
      <c r="I759" s="17">
        <f>F759*H759/IF(C759="molde",MAX(1,'Mi negocio'!$C$34),1)</f>
        <v/>
      </c>
    </row>
    <row r="760">
      <c r="A760" t="n">
        <v>1</v>
      </c>
      <c r="B760" s="21" t="inlineStr">
        <is>
          <t>Gomita Clásica de Oso de Fresa Silvestre (Classic High-Bloom Strawberry Bear)</t>
        </is>
      </c>
      <c r="C760" t="inlineStr">
        <is>
          <t>molde</t>
        </is>
      </c>
      <c r="D760" s="22" t="inlineStr">
        <is>
          <t>1 Molde de silicona platinada para la colada completa · amortizado entre sus coladas</t>
        </is>
      </c>
      <c r="E760" s="6" t="inlineStr">
        <is>
          <t>Molde de silicona platinada de cavidad fina</t>
        </is>
      </c>
      <c r="F760" s="16" t="n">
        <v>1</v>
      </c>
      <c r="G760" t="inlineStr">
        <is>
          <t>pz</t>
        </is>
      </c>
      <c r="H760" s="12">
        <f>IFERROR(VLOOKUP(E760,Insumos!$C$5:$G$100,5,FALSE),0)</f>
        <v/>
      </c>
      <c r="I760" s="17">
        <f>F760*H760/IF(C760="molde",MAX(1,'Mi negocio'!$C$34),1)</f>
        <v/>
      </c>
    </row>
    <row r="761">
      <c r="A761" t="n">
        <v>1</v>
      </c>
      <c r="B761" s="21" t="inlineStr">
        <is>
          <t>Gomita Clásica de Oso de Fresa Silvestre (Classic High-Bloom Strawberry Bear)</t>
        </is>
      </c>
      <c r="C761" t="inlineStr">
        <is>
          <t>molde</t>
        </is>
      </c>
      <c r="D761" s="22" t="inlineStr">
        <is>
          <t>1 Bandeja de estufado para las 24 a 48 h de curado · amortizada entre sus usos</t>
        </is>
      </c>
      <c r="E761" s="6" t="inlineStr">
        <is>
          <t>Bandeja de estufado y rejilla de curado</t>
        </is>
      </c>
      <c r="F761" s="16" t="n">
        <v>1</v>
      </c>
      <c r="G761" t="inlineStr">
        <is>
          <t>pz</t>
        </is>
      </c>
      <c r="H761" s="12">
        <f>IFERROR(VLOOKUP(E761,Insumos!$C$5:$G$100,5,FALSE),0)</f>
        <v/>
      </c>
      <c r="I761" s="17">
        <f>F761*H761/IF(C761="molde",MAX(1,'Mi negocio'!$C$34),1)</f>
        <v/>
      </c>
    </row>
    <row r="762">
      <c r="A762" t="n">
        <v>1</v>
      </c>
      <c r="B762" s="21" t="inlineStr">
        <is>
          <t>Gomita Clásica de Oso de Fresa Silvestre (Classic High-Bloom Strawberry Bear)</t>
        </is>
      </c>
      <c r="C762" t="inlineStr">
        <is>
          <t>empaque</t>
        </is>
      </c>
      <c r="D762" s="22" t="inlineStr">
        <is>
          <t>2 Guantes y consumibles de la colada</t>
        </is>
      </c>
      <c r="E762" s="6" t="inlineStr">
        <is>
          <t>Guantes, manga y consumibles de colada</t>
        </is>
      </c>
      <c r="F762" s="16" t="n">
        <v>2</v>
      </c>
      <c r="G762" t="inlineStr">
        <is>
          <t>pz</t>
        </is>
      </c>
      <c r="H762" s="12">
        <f>IFERROR(VLOOKUP(E762,Insumos!$C$5:$G$100,5,FALSE),0)</f>
        <v/>
      </c>
      <c r="I762" s="17">
        <f>F762*H762/IF(C762="molde",MAX(1,'Mi negocio'!$C$34),1)</f>
        <v/>
      </c>
    </row>
    <row r="763">
      <c r="A763" t="n">
        <v>2</v>
      </c>
      <c r="B763" s="21" t="inlineStr">
        <is>
          <t>Gota Francesa de Naranja y Mandarina en Pectina de Alto Metoxilo (Pâte de Fruits Gélifiée en Pectine Jaune)</t>
        </is>
      </c>
      <c r="C763" t="inlineStr">
        <is>
          <t>molde</t>
        </is>
      </c>
      <c r="D763" s="22" t="inlineStr">
        <is>
          <t>1 Molde de silicona platinada para la colada completa · amortizado entre sus coladas</t>
        </is>
      </c>
      <c r="E763" s="6" t="inlineStr">
        <is>
          <t>Molde de silicona platinada de cavidad fina</t>
        </is>
      </c>
      <c r="F763" s="16" t="n">
        <v>1</v>
      </c>
      <c r="G763" t="inlineStr">
        <is>
          <t>pz</t>
        </is>
      </c>
      <c r="H763" s="12">
        <f>IFERROR(VLOOKUP(E763,Insumos!$C$5:$G$100,5,FALSE),0)</f>
        <v/>
      </c>
      <c r="I763" s="17">
        <f>F763*H763/IF(C763="molde",MAX(1,'Mi negocio'!$C$34),1)</f>
        <v/>
      </c>
    </row>
    <row r="764">
      <c r="A764" t="n">
        <v>2</v>
      </c>
      <c r="B764" s="21" t="inlineStr">
        <is>
          <t>Gota Francesa de Naranja y Mandarina en Pectina de Alto Metoxilo (Pâte de Fruits Gélifiée en Pectine Jaune)</t>
        </is>
      </c>
      <c r="C764" t="inlineStr">
        <is>
          <t>molde</t>
        </is>
      </c>
      <c r="D764" s="22" t="inlineStr">
        <is>
          <t>1 Bandeja de estufado para las 24 a 48 h de curado · amortizada entre sus usos</t>
        </is>
      </c>
      <c r="E764" s="6" t="inlineStr">
        <is>
          <t>Bandeja de estufado y rejilla de curado</t>
        </is>
      </c>
      <c r="F764" s="16" t="n">
        <v>1</v>
      </c>
      <c r="G764" t="inlineStr">
        <is>
          <t>pz</t>
        </is>
      </c>
      <c r="H764" s="12">
        <f>IFERROR(VLOOKUP(E764,Insumos!$C$5:$G$100,5,FALSE),0)</f>
        <v/>
      </c>
      <c r="I764" s="17">
        <f>F764*H764/IF(C764="molde",MAX(1,'Mi negocio'!$C$34),1)</f>
        <v/>
      </c>
    </row>
    <row r="765">
      <c r="A765" t="n">
        <v>2</v>
      </c>
      <c r="B765" s="21" t="inlineStr">
        <is>
          <t>Gota Francesa de Naranja y Mandarina en Pectina de Alto Metoxilo (Pâte de Fruits Gélifiée en Pectine Jaune)</t>
        </is>
      </c>
      <c r="C765" t="inlineStr">
        <is>
          <t>empaque</t>
        </is>
      </c>
      <c r="D765" s="22" t="inlineStr">
        <is>
          <t>2 Guantes y consumibles de la colada</t>
        </is>
      </c>
      <c r="E765" s="6" t="inlineStr">
        <is>
          <t>Guantes, manga y consumibles de colada</t>
        </is>
      </c>
      <c r="F765" s="16" t="n">
        <v>2</v>
      </c>
      <c r="G765" t="inlineStr">
        <is>
          <t>pz</t>
        </is>
      </c>
      <c r="H765" s="12">
        <f>IFERROR(VLOOKUP(E765,Insumos!$C$5:$G$100,5,FALSE),0)</f>
        <v/>
      </c>
      <c r="I765" s="17">
        <f>F765*H765/IF(C765="molde",MAX(1,'Mi negocio'!$C$34),1)</f>
        <v/>
      </c>
    </row>
    <row r="766">
      <c r="A766" t="n">
        <v>3</v>
      </c>
      <c r="B766" s="21" t="inlineStr">
        <is>
          <t>Gomita Tropical de Piña Colada en Sistema Híbrido (Gelatin-Pectin Hybrid Texture)</t>
        </is>
      </c>
      <c r="C766" t="inlineStr">
        <is>
          <t>molde</t>
        </is>
      </c>
      <c r="D766" s="22" t="inlineStr">
        <is>
          <t>1 Molde de silicona platinada para la colada completa · amortizado entre sus coladas</t>
        </is>
      </c>
      <c r="E766" s="6" t="inlineStr">
        <is>
          <t>Molde de silicona platinada de cavidad fina</t>
        </is>
      </c>
      <c r="F766" s="16" t="n">
        <v>1</v>
      </c>
      <c r="G766" t="inlineStr">
        <is>
          <t>pz</t>
        </is>
      </c>
      <c r="H766" s="12">
        <f>IFERROR(VLOOKUP(E766,Insumos!$C$5:$G$100,5,FALSE),0)</f>
        <v/>
      </c>
      <c r="I766" s="17">
        <f>F766*H766/IF(C766="molde",MAX(1,'Mi negocio'!$C$34),1)</f>
        <v/>
      </c>
    </row>
    <row r="767">
      <c r="A767" t="n">
        <v>3</v>
      </c>
      <c r="B767" s="21" t="inlineStr">
        <is>
          <t>Gomita Tropical de Piña Colada en Sistema Híbrido (Gelatin-Pectin Hybrid Texture)</t>
        </is>
      </c>
      <c r="C767" t="inlineStr">
        <is>
          <t>molde</t>
        </is>
      </c>
      <c r="D767" s="22" t="inlineStr">
        <is>
          <t>1 Bandeja de estufado para las 24 a 48 h de curado · amortizada entre sus usos</t>
        </is>
      </c>
      <c r="E767" s="6" t="inlineStr">
        <is>
          <t>Bandeja de estufado y rejilla de curado</t>
        </is>
      </c>
      <c r="F767" s="16" t="n">
        <v>1</v>
      </c>
      <c r="G767" t="inlineStr">
        <is>
          <t>pz</t>
        </is>
      </c>
      <c r="H767" s="12">
        <f>IFERROR(VLOOKUP(E767,Insumos!$C$5:$G$100,5,FALSE),0)</f>
        <v/>
      </c>
      <c r="I767" s="17">
        <f>F767*H767/IF(C767="molde",MAX(1,'Mi negocio'!$C$34),1)</f>
        <v/>
      </c>
    </row>
    <row r="768">
      <c r="A768" t="n">
        <v>3</v>
      </c>
      <c r="B768" s="21" t="inlineStr">
        <is>
          <t>Gomita Tropical de Piña Colada en Sistema Híbrido (Gelatin-Pectin Hybrid Texture)</t>
        </is>
      </c>
      <c r="C768" t="inlineStr">
        <is>
          <t>empaque</t>
        </is>
      </c>
      <c r="D768" s="22" t="inlineStr">
        <is>
          <t>2 Guantes y consumibles de la colada</t>
        </is>
      </c>
      <c r="E768" s="6" t="inlineStr">
        <is>
          <t>Guantes, manga y consumibles de colada</t>
        </is>
      </c>
      <c r="F768" s="16" t="n">
        <v>2</v>
      </c>
      <c r="G768" t="inlineStr">
        <is>
          <t>pz</t>
        </is>
      </c>
      <c r="H768" s="12">
        <f>IFERROR(VLOOKUP(E768,Insumos!$C$5:$G$100,5,FALSE),0)</f>
        <v/>
      </c>
      <c r="I768" s="17">
        <f>F768*H768/IF(C768="molde",MAX(1,'Mi negocio'!$C$34),1)</f>
        <v/>
      </c>
    </row>
    <row r="769">
      <c r="A769" t="n">
        <v>4</v>
      </c>
      <c r="B769" s="21" t="inlineStr">
        <is>
          <t>Gomita Vegana de Mango y Maracuyá en Agar-Agar Puro (Plant-Based Agar-Agar Tropical Jelly)</t>
        </is>
      </c>
      <c r="C769" t="inlineStr">
        <is>
          <t>molde</t>
        </is>
      </c>
      <c r="D769" s="22" t="inlineStr">
        <is>
          <t>1 Molde de silicona platinada para la colada completa · amortizado entre sus coladas</t>
        </is>
      </c>
      <c r="E769" s="6" t="inlineStr">
        <is>
          <t>Molde de silicona platinada de cavidad fina</t>
        </is>
      </c>
      <c r="F769" s="16" t="n">
        <v>1</v>
      </c>
      <c r="G769" t="inlineStr">
        <is>
          <t>pz</t>
        </is>
      </c>
      <c r="H769" s="12">
        <f>IFERROR(VLOOKUP(E769,Insumos!$C$5:$G$100,5,FALSE),0)</f>
        <v/>
      </c>
      <c r="I769" s="17">
        <f>F769*H769/IF(C769="molde",MAX(1,'Mi negocio'!$C$34),1)</f>
        <v/>
      </c>
    </row>
    <row r="770">
      <c r="A770" t="n">
        <v>4</v>
      </c>
      <c r="B770" s="21" t="inlineStr">
        <is>
          <t>Gomita Vegana de Mango y Maracuyá en Agar-Agar Puro (Plant-Based Agar-Agar Tropical Jelly)</t>
        </is>
      </c>
      <c r="C770" t="inlineStr">
        <is>
          <t>molde</t>
        </is>
      </c>
      <c r="D770" s="22" t="inlineStr">
        <is>
          <t>1 Bandeja de estufado para las 24 a 48 h de curado · amortizada entre sus usos</t>
        </is>
      </c>
      <c r="E770" s="6" t="inlineStr">
        <is>
          <t>Bandeja de estufado y rejilla de curado</t>
        </is>
      </c>
      <c r="F770" s="16" t="n">
        <v>1</v>
      </c>
      <c r="G770" t="inlineStr">
        <is>
          <t>pz</t>
        </is>
      </c>
      <c r="H770" s="12">
        <f>IFERROR(VLOOKUP(E770,Insumos!$C$5:$G$100,5,FALSE),0)</f>
        <v/>
      </c>
      <c r="I770" s="17">
        <f>F770*H770/IF(C770="molde",MAX(1,'Mi negocio'!$C$34),1)</f>
        <v/>
      </c>
    </row>
    <row r="771">
      <c r="A771" t="n">
        <v>4</v>
      </c>
      <c r="B771" s="21" t="inlineStr">
        <is>
          <t>Gomita Vegana de Mango y Maracuyá en Agar-Agar Puro (Plant-Based Agar-Agar Tropical Jelly)</t>
        </is>
      </c>
      <c r="C771" t="inlineStr">
        <is>
          <t>empaque</t>
        </is>
      </c>
      <c r="D771" s="22" t="inlineStr">
        <is>
          <t>2 Guantes y consumibles de la colada</t>
        </is>
      </c>
      <c r="E771" s="6" t="inlineStr">
        <is>
          <t>Guantes, manga y consumibles de colada</t>
        </is>
      </c>
      <c r="F771" s="16" t="n">
        <v>2</v>
      </c>
      <c r="G771" t="inlineStr">
        <is>
          <t>pz</t>
        </is>
      </c>
      <c r="H771" s="12">
        <f>IFERROR(VLOOKUP(E771,Insumos!$C$5:$G$100,5,FALSE),0)</f>
        <v/>
      </c>
      <c r="I771" s="17">
        <f>F771*H771/IF(C771="molde",MAX(1,'Mi negocio'!$C$34),1)</f>
        <v/>
      </c>
    </row>
    <row r="772">
      <c r="A772" t="n">
        <v>5</v>
      </c>
      <c r="B772" s="21" t="inlineStr">
        <is>
          <t>Gomita Cristaliana de Moras Silvestres con Corazón Elástico (High-Elasticity Blackberry Drop)</t>
        </is>
      </c>
      <c r="C772" t="inlineStr">
        <is>
          <t>molde</t>
        </is>
      </c>
      <c r="D772" s="22" t="inlineStr">
        <is>
          <t>1 Molde de silicona platinada para la colada completa · amortizado entre sus coladas</t>
        </is>
      </c>
      <c r="E772" s="6" t="inlineStr">
        <is>
          <t>Molde de silicona platinada de cavidad fina</t>
        </is>
      </c>
      <c r="F772" s="16" t="n">
        <v>1</v>
      </c>
      <c r="G772" t="inlineStr">
        <is>
          <t>pz</t>
        </is>
      </c>
      <c r="H772" s="12">
        <f>IFERROR(VLOOKUP(E772,Insumos!$C$5:$G$100,5,FALSE),0)</f>
        <v/>
      </c>
      <c r="I772" s="17">
        <f>F772*H772/IF(C772="molde",MAX(1,'Mi negocio'!$C$34),1)</f>
        <v/>
      </c>
    </row>
    <row r="773">
      <c r="A773" t="n">
        <v>5</v>
      </c>
      <c r="B773" s="21" t="inlineStr">
        <is>
          <t>Gomita Cristaliana de Moras Silvestres con Corazón Elástico (High-Elasticity Blackberry Drop)</t>
        </is>
      </c>
      <c r="C773" t="inlineStr">
        <is>
          <t>molde</t>
        </is>
      </c>
      <c r="D773" s="22" t="inlineStr">
        <is>
          <t>1 Bandeja de estufado para las 24 a 48 h de curado · amortizada entre sus usos</t>
        </is>
      </c>
      <c r="E773" s="6" t="inlineStr">
        <is>
          <t>Bandeja de estufado y rejilla de curado</t>
        </is>
      </c>
      <c r="F773" s="16" t="n">
        <v>1</v>
      </c>
      <c r="G773" t="inlineStr">
        <is>
          <t>pz</t>
        </is>
      </c>
      <c r="H773" s="12">
        <f>IFERROR(VLOOKUP(E773,Insumos!$C$5:$G$100,5,FALSE),0)</f>
        <v/>
      </c>
      <c r="I773" s="17">
        <f>F773*H773/IF(C773="molde",MAX(1,'Mi negocio'!$C$34),1)</f>
        <v/>
      </c>
    </row>
    <row r="774">
      <c r="A774" t="n">
        <v>5</v>
      </c>
      <c r="B774" s="21" t="inlineStr">
        <is>
          <t>Gomita Cristaliana de Moras Silvestres con Corazón Elástico (High-Elasticity Blackberry Drop)</t>
        </is>
      </c>
      <c r="C774" t="inlineStr">
        <is>
          <t>empaque</t>
        </is>
      </c>
      <c r="D774" s="22" t="inlineStr">
        <is>
          <t>2 Guantes y consumibles de la colada</t>
        </is>
      </c>
      <c r="E774" s="6" t="inlineStr">
        <is>
          <t>Guantes, manga y consumibles de colada</t>
        </is>
      </c>
      <c r="F774" s="16" t="n">
        <v>2</v>
      </c>
      <c r="G774" t="inlineStr">
        <is>
          <t>pz</t>
        </is>
      </c>
      <c r="H774" s="12">
        <f>IFERROR(VLOOKUP(E774,Insumos!$C$5:$G$100,5,FALSE),0)</f>
        <v/>
      </c>
      <c r="I774" s="17">
        <f>F774*H774/IF(C774="molde",MAX(1,'Mi negocio'!$C$34),1)</f>
        <v/>
      </c>
    </row>
    <row r="775">
      <c r="A775" t="n">
        <v>6</v>
      </c>
      <c r="B775" s="21" t="inlineStr">
        <is>
          <t>Gomita Traslúcida de Manzana Verde Granny Smith (Acidic Green Apple Translucent Drop)</t>
        </is>
      </c>
      <c r="C775" t="inlineStr">
        <is>
          <t>molde</t>
        </is>
      </c>
      <c r="D775" s="22" t="inlineStr">
        <is>
          <t>1 Molde de silicona platinada para la colada completa · amortizado entre sus coladas</t>
        </is>
      </c>
      <c r="E775" s="6" t="inlineStr">
        <is>
          <t>Molde de silicona platinada de cavidad fina</t>
        </is>
      </c>
      <c r="F775" s="16" t="n">
        <v>1</v>
      </c>
      <c r="G775" t="inlineStr">
        <is>
          <t>pz</t>
        </is>
      </c>
      <c r="H775" s="12">
        <f>IFERROR(VLOOKUP(E775,Insumos!$C$5:$G$100,5,FALSE),0)</f>
        <v/>
      </c>
      <c r="I775" s="17">
        <f>F775*H775/IF(C775="molde",MAX(1,'Mi negocio'!$C$34),1)</f>
        <v/>
      </c>
    </row>
    <row r="776">
      <c r="A776" t="n">
        <v>6</v>
      </c>
      <c r="B776" s="21" t="inlineStr">
        <is>
          <t>Gomita Traslúcida de Manzana Verde Granny Smith (Acidic Green Apple Translucent Drop)</t>
        </is>
      </c>
      <c r="C776" t="inlineStr">
        <is>
          <t>molde</t>
        </is>
      </c>
      <c r="D776" s="22" t="inlineStr">
        <is>
          <t>1 Bandeja de estufado para las 24 a 48 h de curado · amortizada entre sus usos</t>
        </is>
      </c>
      <c r="E776" s="6" t="inlineStr">
        <is>
          <t>Bandeja de estufado y rejilla de curado</t>
        </is>
      </c>
      <c r="F776" s="16" t="n">
        <v>1</v>
      </c>
      <c r="G776" t="inlineStr">
        <is>
          <t>pz</t>
        </is>
      </c>
      <c r="H776" s="12">
        <f>IFERROR(VLOOKUP(E776,Insumos!$C$5:$G$100,5,FALSE),0)</f>
        <v/>
      </c>
      <c r="I776" s="17">
        <f>F776*H776/IF(C776="molde",MAX(1,'Mi negocio'!$C$34),1)</f>
        <v/>
      </c>
    </row>
    <row r="777">
      <c r="A777" t="n">
        <v>6</v>
      </c>
      <c r="B777" s="21" t="inlineStr">
        <is>
          <t>Gomita Traslúcida de Manzana Verde Granny Smith (Acidic Green Apple Translucent Drop)</t>
        </is>
      </c>
      <c r="C777" t="inlineStr">
        <is>
          <t>empaque</t>
        </is>
      </c>
      <c r="D777" s="22" t="inlineStr">
        <is>
          <t>2 Guantes y consumibles de la colada</t>
        </is>
      </c>
      <c r="E777" s="6" t="inlineStr">
        <is>
          <t>Guantes, manga y consumibles de colada</t>
        </is>
      </c>
      <c r="F777" s="16" t="n">
        <v>2</v>
      </c>
      <c r="G777" t="inlineStr">
        <is>
          <t>pz</t>
        </is>
      </c>
      <c r="H777" s="12">
        <f>IFERROR(VLOOKUP(E777,Insumos!$C$5:$G$100,5,FALSE),0)</f>
        <v/>
      </c>
      <c r="I777" s="17">
        <f>F777*H777/IF(C777="molde",MAX(1,'Mi negocio'!$C$34),1)</f>
        <v/>
      </c>
    </row>
    <row r="778">
      <c r="A778" t="n">
        <v>7</v>
      </c>
      <c r="B778" s="21" t="inlineStr">
        <is>
          <t>Domo de Uva Moscatel en Carragenato Kappa-Iota (Vegan Grape Jelly in Kappa-Iota Carrageenan Matrix)</t>
        </is>
      </c>
      <c r="C778" t="inlineStr">
        <is>
          <t>molde</t>
        </is>
      </c>
      <c r="D778" s="22" t="inlineStr">
        <is>
          <t>1 Molde de silicona platinada para la colada completa · amortizado entre sus coladas</t>
        </is>
      </c>
      <c r="E778" s="6" t="inlineStr">
        <is>
          <t>Molde de silicona platinada de cavidad fina</t>
        </is>
      </c>
      <c r="F778" s="16" t="n">
        <v>1</v>
      </c>
      <c r="G778" t="inlineStr">
        <is>
          <t>pz</t>
        </is>
      </c>
      <c r="H778" s="12">
        <f>IFERROR(VLOOKUP(E778,Insumos!$C$5:$G$100,5,FALSE),0)</f>
        <v/>
      </c>
      <c r="I778" s="17">
        <f>F778*H778/IF(C778="molde",MAX(1,'Mi negocio'!$C$34),1)</f>
        <v/>
      </c>
    </row>
    <row r="779">
      <c r="A779" t="n">
        <v>7</v>
      </c>
      <c r="B779" s="21" t="inlineStr">
        <is>
          <t>Domo de Uva Moscatel en Carragenato Kappa-Iota (Vegan Grape Jelly in Kappa-Iota Carrageenan Matrix)</t>
        </is>
      </c>
      <c r="C779" t="inlineStr">
        <is>
          <t>molde</t>
        </is>
      </c>
      <c r="D779" s="22" t="inlineStr">
        <is>
          <t>1 Bandeja de estufado para las 24 a 48 h de curado · amortizada entre sus usos</t>
        </is>
      </c>
      <c r="E779" s="6" t="inlineStr">
        <is>
          <t>Bandeja de estufado y rejilla de curado</t>
        </is>
      </c>
      <c r="F779" s="16" t="n">
        <v>1</v>
      </c>
      <c r="G779" t="inlineStr">
        <is>
          <t>pz</t>
        </is>
      </c>
      <c r="H779" s="12">
        <f>IFERROR(VLOOKUP(E779,Insumos!$C$5:$G$100,5,FALSE),0)</f>
        <v/>
      </c>
      <c r="I779" s="17">
        <f>F779*H779/IF(C779="molde",MAX(1,'Mi negocio'!$C$34),1)</f>
        <v/>
      </c>
    </row>
    <row r="780">
      <c r="A780" t="n">
        <v>7</v>
      </c>
      <c r="B780" s="21" t="inlineStr">
        <is>
          <t>Domo de Uva Moscatel en Carragenato Kappa-Iota (Vegan Grape Jelly in Kappa-Iota Carrageenan Matrix)</t>
        </is>
      </c>
      <c r="C780" t="inlineStr">
        <is>
          <t>empaque</t>
        </is>
      </c>
      <c r="D780" s="22" t="inlineStr">
        <is>
          <t>2 Guantes y consumibles de la colada</t>
        </is>
      </c>
      <c r="E780" s="6" t="inlineStr">
        <is>
          <t>Guantes, manga y consumibles de colada</t>
        </is>
      </c>
      <c r="F780" s="16" t="n">
        <v>2</v>
      </c>
      <c r="G780" t="inlineStr">
        <is>
          <t>pz</t>
        </is>
      </c>
      <c r="H780" s="12">
        <f>IFERROR(VLOOKUP(E780,Insumos!$C$5:$G$100,5,FALSE),0)</f>
        <v/>
      </c>
      <c r="I780" s="17">
        <f>F780*H780/IF(C780="molde",MAX(1,'Mi negocio'!$C$34),1)</f>
        <v/>
      </c>
    </row>
    <row r="781">
      <c r="A781" t="n">
        <v>8</v>
      </c>
      <c r="B781" s="21" t="inlineStr">
        <is>
          <t>Gomita Reducida en Azúcar de Melocotón y Durazno en Pectina LMA (Low Methoxyl Amidated Pectin Peach Gummy)</t>
        </is>
      </c>
      <c r="C781" t="inlineStr">
        <is>
          <t>molde</t>
        </is>
      </c>
      <c r="D781" s="22" t="inlineStr">
        <is>
          <t>1 Molde de silicona platinada para la colada completa · amortizado entre sus coladas</t>
        </is>
      </c>
      <c r="E781" s="6" t="inlineStr">
        <is>
          <t>Molde de silicona platinada de cavidad fina</t>
        </is>
      </c>
      <c r="F781" s="16" t="n">
        <v>1</v>
      </c>
      <c r="G781" t="inlineStr">
        <is>
          <t>pz</t>
        </is>
      </c>
      <c r="H781" s="12">
        <f>IFERROR(VLOOKUP(E781,Insumos!$C$5:$G$100,5,FALSE),0)</f>
        <v/>
      </c>
      <c r="I781" s="17">
        <f>F781*H781/IF(C781="molde",MAX(1,'Mi negocio'!$C$34),1)</f>
        <v/>
      </c>
    </row>
    <row r="782">
      <c r="A782" t="n">
        <v>8</v>
      </c>
      <c r="B782" s="21" t="inlineStr">
        <is>
          <t>Gomita Reducida en Azúcar de Melocotón y Durazno en Pectina LMA (Low Methoxyl Amidated Pectin Peach Gummy)</t>
        </is>
      </c>
      <c r="C782" t="inlineStr">
        <is>
          <t>molde</t>
        </is>
      </c>
      <c r="D782" s="22" t="inlineStr">
        <is>
          <t>1 Bandeja de estufado para las 24 a 48 h de curado · amortizada entre sus usos</t>
        </is>
      </c>
      <c r="E782" s="6" t="inlineStr">
        <is>
          <t>Bandeja de estufado y rejilla de curado</t>
        </is>
      </c>
      <c r="F782" s="16" t="n">
        <v>1</v>
      </c>
      <c r="G782" t="inlineStr">
        <is>
          <t>pz</t>
        </is>
      </c>
      <c r="H782" s="12">
        <f>IFERROR(VLOOKUP(E782,Insumos!$C$5:$G$100,5,FALSE),0)</f>
        <v/>
      </c>
      <c r="I782" s="17">
        <f>F782*H782/IF(C782="molde",MAX(1,'Mi negocio'!$C$34),1)</f>
        <v/>
      </c>
    </row>
    <row r="783">
      <c r="A783" t="n">
        <v>8</v>
      </c>
      <c r="B783" s="21" t="inlineStr">
        <is>
          <t>Gomita Reducida en Azúcar de Melocotón y Durazno en Pectina LMA (Low Methoxyl Amidated Pectin Peach Gummy)</t>
        </is>
      </c>
      <c r="C783" t="inlineStr">
        <is>
          <t>empaque</t>
        </is>
      </c>
      <c r="D783" s="22" t="inlineStr">
        <is>
          <t>2 Guantes y consumibles de la colada</t>
        </is>
      </c>
      <c r="E783" s="6" t="inlineStr">
        <is>
          <t>Guantes, manga y consumibles de colada</t>
        </is>
      </c>
      <c r="F783" s="16" t="n">
        <v>2</v>
      </c>
      <c r="G783" t="inlineStr">
        <is>
          <t>pz</t>
        </is>
      </c>
      <c r="H783" s="12">
        <f>IFERROR(VLOOKUP(E783,Insumos!$C$5:$G$100,5,FALSE),0)</f>
        <v/>
      </c>
      <c r="I783" s="17">
        <f>F783*H783/IF(C783="molde",MAX(1,'Mi negocio'!$C$34),1)</f>
        <v/>
      </c>
    </row>
    <row r="784">
      <c r="A784" t="n">
        <v>9</v>
      </c>
      <c r="B784" s="21" t="inlineStr">
        <is>
          <t>Perla de Frutos Rojos en Pectina Lenta (Slow-Set HM Pectin Red Berry Gem)</t>
        </is>
      </c>
      <c r="C784" t="inlineStr">
        <is>
          <t>molde</t>
        </is>
      </c>
      <c r="D784" s="22" t="inlineStr">
        <is>
          <t>1 Molde de silicona platinada para la colada completa · amortizado entre sus coladas</t>
        </is>
      </c>
      <c r="E784" s="6" t="inlineStr">
        <is>
          <t>Molde de silicona platinada de cavidad fina</t>
        </is>
      </c>
      <c r="F784" s="16" t="n">
        <v>1</v>
      </c>
      <c r="G784" t="inlineStr">
        <is>
          <t>pz</t>
        </is>
      </c>
      <c r="H784" s="12">
        <f>IFERROR(VLOOKUP(E784,Insumos!$C$5:$G$100,5,FALSE),0)</f>
        <v/>
      </c>
      <c r="I784" s="17">
        <f>F784*H784/IF(C784="molde",MAX(1,'Mi negocio'!$C$34),1)</f>
        <v/>
      </c>
    </row>
    <row r="785">
      <c r="A785" t="n">
        <v>9</v>
      </c>
      <c r="B785" s="21" t="inlineStr">
        <is>
          <t>Perla de Frutos Rojos en Pectina Lenta (Slow-Set HM Pectin Red Berry Gem)</t>
        </is>
      </c>
      <c r="C785" t="inlineStr">
        <is>
          <t>molde</t>
        </is>
      </c>
      <c r="D785" s="22" t="inlineStr">
        <is>
          <t>1 Bandeja de estufado para las 24 a 48 h de curado · amortizada entre sus usos</t>
        </is>
      </c>
      <c r="E785" s="6" t="inlineStr">
        <is>
          <t>Bandeja de estufado y rejilla de curado</t>
        </is>
      </c>
      <c r="F785" s="16" t="n">
        <v>1</v>
      </c>
      <c r="G785" t="inlineStr">
        <is>
          <t>pz</t>
        </is>
      </c>
      <c r="H785" s="12">
        <f>IFERROR(VLOOKUP(E785,Insumos!$C$5:$G$100,5,FALSE),0)</f>
        <v/>
      </c>
      <c r="I785" s="17">
        <f>F785*H785/IF(C785="molde",MAX(1,'Mi negocio'!$C$34),1)</f>
        <v/>
      </c>
    </row>
    <row r="786">
      <c r="A786" t="n">
        <v>9</v>
      </c>
      <c r="B786" s="21" t="inlineStr">
        <is>
          <t>Perla de Frutos Rojos en Pectina Lenta (Slow-Set HM Pectin Red Berry Gem)</t>
        </is>
      </c>
      <c r="C786" t="inlineStr">
        <is>
          <t>empaque</t>
        </is>
      </c>
      <c r="D786" s="22" t="inlineStr">
        <is>
          <t>2 Guantes y consumibles de la colada</t>
        </is>
      </c>
      <c r="E786" s="6" t="inlineStr">
        <is>
          <t>Guantes, manga y consumibles de colada</t>
        </is>
      </c>
      <c r="F786" s="16" t="n">
        <v>2</v>
      </c>
      <c r="G786" t="inlineStr">
        <is>
          <t>pz</t>
        </is>
      </c>
      <c r="H786" s="12">
        <f>IFERROR(VLOOKUP(E786,Insumos!$C$5:$G$100,5,FALSE),0)</f>
        <v/>
      </c>
      <c r="I786" s="17">
        <f>F786*H786/IF(C786="molde",MAX(1,'Mi negocio'!$C$34),1)</f>
        <v/>
      </c>
    </row>
    <row r="787">
      <c r="A787" t="n">
        <v>10</v>
      </c>
      <c r="B787" s="21" t="inlineStr">
        <is>
          <t>Pastilla de Goma Balsámica de Limón Criollo y Eucalipto (Balsamic Eucalyptus &amp; Key Lime Pastille)</t>
        </is>
      </c>
      <c r="C787" t="inlineStr">
        <is>
          <t>molde</t>
        </is>
      </c>
      <c r="D787" s="22" t="inlineStr">
        <is>
          <t>1 Molde de silicona platinada para la colada completa · amortizado entre sus coladas</t>
        </is>
      </c>
      <c r="E787" s="6" t="inlineStr">
        <is>
          <t>Molde de silicona platinada de cavidad fina</t>
        </is>
      </c>
      <c r="F787" s="16" t="n">
        <v>1</v>
      </c>
      <c r="G787" t="inlineStr">
        <is>
          <t>pz</t>
        </is>
      </c>
      <c r="H787" s="12">
        <f>IFERROR(VLOOKUP(E787,Insumos!$C$5:$G$100,5,FALSE),0)</f>
        <v/>
      </c>
      <c r="I787" s="17">
        <f>F787*H787/IF(C787="molde",MAX(1,'Mi negocio'!$C$34),1)</f>
        <v/>
      </c>
    </row>
    <row r="788">
      <c r="A788" t="n">
        <v>10</v>
      </c>
      <c r="B788" s="21" t="inlineStr">
        <is>
          <t>Pastilla de Goma Balsámica de Limón Criollo y Eucalipto (Balsamic Eucalyptus &amp; Key Lime Pastille)</t>
        </is>
      </c>
      <c r="C788" t="inlineStr">
        <is>
          <t>molde</t>
        </is>
      </c>
      <c r="D788" s="22" t="inlineStr">
        <is>
          <t>1 Bandeja de estufado para las 24 a 48 h de curado · amortizada entre sus usos</t>
        </is>
      </c>
      <c r="E788" s="6" t="inlineStr">
        <is>
          <t>Bandeja de estufado y rejilla de curado</t>
        </is>
      </c>
      <c r="F788" s="16" t="n">
        <v>1</v>
      </c>
      <c r="G788" t="inlineStr">
        <is>
          <t>pz</t>
        </is>
      </c>
      <c r="H788" s="12">
        <f>IFERROR(VLOOKUP(E788,Insumos!$C$5:$G$100,5,FALSE),0)</f>
        <v/>
      </c>
      <c r="I788" s="17">
        <f>F788*H788/IF(C788="molde",MAX(1,'Mi negocio'!$C$34),1)</f>
        <v/>
      </c>
    </row>
    <row r="789">
      <c r="A789" t="n">
        <v>10</v>
      </c>
      <c r="B789" s="21" t="inlineStr">
        <is>
          <t>Pastilla de Goma Balsámica de Limón Criollo y Eucalipto (Balsamic Eucalyptus &amp; Key Lime Pastille)</t>
        </is>
      </c>
      <c r="C789" t="inlineStr">
        <is>
          <t>empaque</t>
        </is>
      </c>
      <c r="D789" s="22" t="inlineStr">
        <is>
          <t>2 Guantes y consumibles de la colada</t>
        </is>
      </c>
      <c r="E789" s="6" t="inlineStr">
        <is>
          <t>Guantes, manga y consumibles de colada</t>
        </is>
      </c>
      <c r="F789" s="16" t="n">
        <v>2</v>
      </c>
      <c r="G789" t="inlineStr">
        <is>
          <t>pz</t>
        </is>
      </c>
      <c r="H789" s="12">
        <f>IFERROR(VLOOKUP(E789,Insumos!$C$5:$G$100,5,FALSE),0)</f>
        <v/>
      </c>
      <c r="I789" s="17">
        <f>F789*H789/IF(C789="molde",MAX(1,'Mi negocio'!$C$34),1)</f>
        <v/>
      </c>
    </row>
    <row r="790">
      <c r="A790" t="n">
        <v>11</v>
      </c>
      <c r="B790" s="21" t="inlineStr">
        <is>
          <t>Lengua / Tira Ácida de Fresa Salvaje (Ultra-Sour Strawberry Sanded Ribbon)</t>
        </is>
      </c>
      <c r="C790" t="inlineStr">
        <is>
          <t>molde</t>
        </is>
      </c>
      <c r="D790" s="22" t="inlineStr">
        <is>
          <t>1 Molde de silicona platinada para la colada completa · amortizado entre sus coladas</t>
        </is>
      </c>
      <c r="E790" s="6" t="inlineStr">
        <is>
          <t>Molde de silicona platinada de cavidad fina</t>
        </is>
      </c>
      <c r="F790" s="16" t="n">
        <v>1</v>
      </c>
      <c r="G790" t="inlineStr">
        <is>
          <t>pz</t>
        </is>
      </c>
      <c r="H790" s="12">
        <f>IFERROR(VLOOKUP(E790,Insumos!$C$5:$G$100,5,FALSE),0)</f>
        <v/>
      </c>
      <c r="I790" s="17">
        <f>F790*H790/IF(C790="molde",MAX(1,'Mi negocio'!$C$34),1)</f>
        <v/>
      </c>
    </row>
    <row r="791">
      <c r="A791" t="n">
        <v>11</v>
      </c>
      <c r="B791" s="21" t="inlineStr">
        <is>
          <t>Lengua / Tira Ácida de Fresa Salvaje (Ultra-Sour Strawberry Sanded Ribbon)</t>
        </is>
      </c>
      <c r="C791" t="inlineStr">
        <is>
          <t>molde</t>
        </is>
      </c>
      <c r="D791" s="22" t="inlineStr">
        <is>
          <t>1 Bandeja de estufado para las 24 a 48 h de curado · amortizada entre sus usos</t>
        </is>
      </c>
      <c r="E791" s="6" t="inlineStr">
        <is>
          <t>Bandeja de estufado y rejilla de curado</t>
        </is>
      </c>
      <c r="F791" s="16" t="n">
        <v>1</v>
      </c>
      <c r="G791" t="inlineStr">
        <is>
          <t>pz</t>
        </is>
      </c>
      <c r="H791" s="12">
        <f>IFERROR(VLOOKUP(E791,Insumos!$C$5:$G$100,5,FALSE),0)</f>
        <v/>
      </c>
      <c r="I791" s="17">
        <f>F791*H791/IF(C791="molde",MAX(1,'Mi negocio'!$C$34),1)</f>
        <v/>
      </c>
    </row>
    <row r="792">
      <c r="A792" t="n">
        <v>11</v>
      </c>
      <c r="B792" s="21" t="inlineStr">
        <is>
          <t>Lengua / Tira Ácida de Fresa Salvaje (Ultra-Sour Strawberry Sanded Ribbon)</t>
        </is>
      </c>
      <c r="C792" t="inlineStr">
        <is>
          <t>empaque</t>
        </is>
      </c>
      <c r="D792" s="22" t="inlineStr">
        <is>
          <t>2 Guantes y consumibles de la colada</t>
        </is>
      </c>
      <c r="E792" s="6" t="inlineStr">
        <is>
          <t>Guantes, manga y consumibles de colada</t>
        </is>
      </c>
      <c r="F792" s="16" t="n">
        <v>2</v>
      </c>
      <c r="G792" t="inlineStr">
        <is>
          <t>pz</t>
        </is>
      </c>
      <c r="H792" s="12">
        <f>IFERROR(VLOOKUP(E792,Insumos!$C$5:$G$100,5,FALSE),0)</f>
        <v/>
      </c>
      <c r="I792" s="17">
        <f>F792*H792/IF(C792="molde",MAX(1,'Mi negocio'!$C$34),1)</f>
        <v/>
      </c>
    </row>
    <row r="793">
      <c r="A793" t="n">
        <v>12</v>
      </c>
      <c r="B793" s="21" t="inlineStr">
        <is>
          <t>Gajo Super-Ácido de Limón Eureka y Yuzu (Extreme Citrus Yuzu-Lemon Wedge)</t>
        </is>
      </c>
      <c r="C793" t="inlineStr">
        <is>
          <t>molde</t>
        </is>
      </c>
      <c r="D793" s="22" t="inlineStr">
        <is>
          <t>1 Molde de silicona platinada para la colada completa · amortizado entre sus coladas</t>
        </is>
      </c>
      <c r="E793" s="6" t="inlineStr">
        <is>
          <t>Molde de silicona platinada de cavidad fina</t>
        </is>
      </c>
      <c r="F793" s="16" t="n">
        <v>1</v>
      </c>
      <c r="G793" t="inlineStr">
        <is>
          <t>pz</t>
        </is>
      </c>
      <c r="H793" s="12">
        <f>IFERROR(VLOOKUP(E793,Insumos!$C$5:$G$100,5,FALSE),0)</f>
        <v/>
      </c>
      <c r="I793" s="17">
        <f>F793*H793/IF(C793="molde",MAX(1,'Mi negocio'!$C$34),1)</f>
        <v/>
      </c>
    </row>
    <row r="794">
      <c r="A794" t="n">
        <v>12</v>
      </c>
      <c r="B794" s="21" t="inlineStr">
        <is>
          <t>Gajo Super-Ácido de Limón Eureka y Yuzu (Extreme Citrus Yuzu-Lemon Wedge)</t>
        </is>
      </c>
      <c r="C794" t="inlineStr">
        <is>
          <t>molde</t>
        </is>
      </c>
      <c r="D794" s="22" t="inlineStr">
        <is>
          <t>1 Bandeja de estufado para las 24 a 48 h de curado · amortizada entre sus usos</t>
        </is>
      </c>
      <c r="E794" s="6" t="inlineStr">
        <is>
          <t>Bandeja de estufado y rejilla de curado</t>
        </is>
      </c>
      <c r="F794" s="16" t="n">
        <v>1</v>
      </c>
      <c r="G794" t="inlineStr">
        <is>
          <t>pz</t>
        </is>
      </c>
      <c r="H794" s="12">
        <f>IFERROR(VLOOKUP(E794,Insumos!$C$5:$G$100,5,FALSE),0)</f>
        <v/>
      </c>
      <c r="I794" s="17">
        <f>F794*H794/IF(C794="molde",MAX(1,'Mi negocio'!$C$34),1)</f>
        <v/>
      </c>
    </row>
    <row r="795">
      <c r="A795" t="n">
        <v>12</v>
      </c>
      <c r="B795" s="21" t="inlineStr">
        <is>
          <t>Gajo Super-Ácido de Limón Eureka y Yuzu (Extreme Citrus Yuzu-Lemon Wedge)</t>
        </is>
      </c>
      <c r="C795" t="inlineStr">
        <is>
          <t>empaque</t>
        </is>
      </c>
      <c r="D795" s="22" t="inlineStr">
        <is>
          <t>2 Guantes y consumibles de la colada</t>
        </is>
      </c>
      <c r="E795" s="6" t="inlineStr">
        <is>
          <t>Guantes, manga y consumibles de colada</t>
        </is>
      </c>
      <c r="F795" s="16" t="n">
        <v>2</v>
      </c>
      <c r="G795" t="inlineStr">
        <is>
          <t>pz</t>
        </is>
      </c>
      <c r="H795" s="12">
        <f>IFERROR(VLOOKUP(E795,Insumos!$C$5:$G$100,5,FALSE),0)</f>
        <v/>
      </c>
      <c r="I795" s="17">
        <f>F795*H795/IF(C795="molde",MAX(1,'Mi negocio'!$C$34),1)</f>
        <v/>
      </c>
    </row>
    <row r="796">
      <c r="A796" t="n">
        <v>13</v>
      </c>
      <c r="B796" s="21" t="inlineStr">
        <is>
          <t>Cubo Ácido de Maracuyá y Granada en Pectina Lenta (Sour Passion Fruit &amp; Pomegranate HM Jelly)</t>
        </is>
      </c>
      <c r="C796" t="inlineStr">
        <is>
          <t>molde</t>
        </is>
      </c>
      <c r="D796" s="22" t="inlineStr">
        <is>
          <t>1 Molde de silicona platinada para la colada completa · amortizado entre sus coladas</t>
        </is>
      </c>
      <c r="E796" s="6" t="inlineStr">
        <is>
          <t>Molde de silicona platinada de cavidad fina</t>
        </is>
      </c>
      <c r="F796" s="16" t="n">
        <v>1</v>
      </c>
      <c r="G796" t="inlineStr">
        <is>
          <t>pz</t>
        </is>
      </c>
      <c r="H796" s="12">
        <f>IFERROR(VLOOKUP(E796,Insumos!$C$5:$G$100,5,FALSE),0)</f>
        <v/>
      </c>
      <c r="I796" s="17">
        <f>F796*H796/IF(C796="molde",MAX(1,'Mi negocio'!$C$34),1)</f>
        <v/>
      </c>
    </row>
    <row r="797">
      <c r="A797" t="n">
        <v>13</v>
      </c>
      <c r="B797" s="21" t="inlineStr">
        <is>
          <t>Cubo Ácido de Maracuyá y Granada en Pectina Lenta (Sour Passion Fruit &amp; Pomegranate HM Jelly)</t>
        </is>
      </c>
      <c r="C797" t="inlineStr">
        <is>
          <t>molde</t>
        </is>
      </c>
      <c r="D797" s="22" t="inlineStr">
        <is>
          <t>1 Bandeja de estufado para las 24 a 48 h de curado · amortizada entre sus usos</t>
        </is>
      </c>
      <c r="E797" s="6" t="inlineStr">
        <is>
          <t>Bandeja de estufado y rejilla de curado</t>
        </is>
      </c>
      <c r="F797" s="16" t="n">
        <v>1</v>
      </c>
      <c r="G797" t="inlineStr">
        <is>
          <t>pz</t>
        </is>
      </c>
      <c r="H797" s="12">
        <f>IFERROR(VLOOKUP(E797,Insumos!$C$5:$G$100,5,FALSE),0)</f>
        <v/>
      </c>
      <c r="I797" s="17">
        <f>F797*H797/IF(C797="molde",MAX(1,'Mi negocio'!$C$34),1)</f>
        <v/>
      </c>
    </row>
    <row r="798">
      <c r="A798" t="n">
        <v>13</v>
      </c>
      <c r="B798" s="21" t="inlineStr">
        <is>
          <t>Cubo Ácido de Maracuyá y Granada en Pectina Lenta (Sour Passion Fruit &amp; Pomegranate HM Jelly)</t>
        </is>
      </c>
      <c r="C798" t="inlineStr">
        <is>
          <t>empaque</t>
        </is>
      </c>
      <c r="D798" s="22" t="inlineStr">
        <is>
          <t>2 Guantes y consumibles de la colada</t>
        </is>
      </c>
      <c r="E798" s="6" t="inlineStr">
        <is>
          <t>Guantes, manga y consumibles de colada</t>
        </is>
      </c>
      <c r="F798" s="16" t="n">
        <v>2</v>
      </c>
      <c r="G798" t="inlineStr">
        <is>
          <t>pz</t>
        </is>
      </c>
      <c r="H798" s="12">
        <f>IFERROR(VLOOKUP(E798,Insumos!$C$5:$G$100,5,FALSE),0)</f>
        <v/>
      </c>
      <c r="I798" s="17">
        <f>F798*H798/IF(C798="molde",MAX(1,'Mi negocio'!$C$34),1)</f>
        <v/>
      </c>
    </row>
    <row r="799">
      <c r="A799" t="n">
        <v>14</v>
      </c>
      <c r="B799" s="21" t="inlineStr">
        <is>
          <t>Lágrima de Toronja Rosa y Flor de Saúco con Búfer de Lactato (Buffered Ruby Grapefruit &amp; Elderflower Sour Tear)</t>
        </is>
      </c>
      <c r="C799" t="inlineStr">
        <is>
          <t>molde</t>
        </is>
      </c>
      <c r="D799" s="22" t="inlineStr">
        <is>
          <t>1 Molde de silicona platinada para la colada completa · amortizado entre sus coladas</t>
        </is>
      </c>
      <c r="E799" s="6" t="inlineStr">
        <is>
          <t>Molde de silicona platinada de cavidad fina</t>
        </is>
      </c>
      <c r="F799" s="16" t="n">
        <v>1</v>
      </c>
      <c r="G799" t="inlineStr">
        <is>
          <t>pz</t>
        </is>
      </c>
      <c r="H799" s="12">
        <f>IFERROR(VLOOKUP(E799,Insumos!$C$5:$G$100,5,FALSE),0)</f>
        <v/>
      </c>
      <c r="I799" s="17">
        <f>F799*H799/IF(C799="molde",MAX(1,'Mi negocio'!$C$34),1)</f>
        <v/>
      </c>
    </row>
    <row r="800">
      <c r="A800" t="n">
        <v>14</v>
      </c>
      <c r="B800" s="21" t="inlineStr">
        <is>
          <t>Lágrima de Toronja Rosa y Flor de Saúco con Búfer de Lactato (Buffered Ruby Grapefruit &amp; Elderflower Sour Tear)</t>
        </is>
      </c>
      <c r="C800" t="inlineStr">
        <is>
          <t>molde</t>
        </is>
      </c>
      <c r="D800" s="22" t="inlineStr">
        <is>
          <t>1 Bandeja de estufado para las 24 a 48 h de curado · amortizada entre sus usos</t>
        </is>
      </c>
      <c r="E800" s="6" t="inlineStr">
        <is>
          <t>Bandeja de estufado y rejilla de curado</t>
        </is>
      </c>
      <c r="F800" s="16" t="n">
        <v>1</v>
      </c>
      <c r="G800" t="inlineStr">
        <is>
          <t>pz</t>
        </is>
      </c>
      <c r="H800" s="12">
        <f>IFERROR(VLOOKUP(E800,Insumos!$C$5:$G$100,5,FALSE),0)</f>
        <v/>
      </c>
      <c r="I800" s="17">
        <f>F800*H800/IF(C800="molde",MAX(1,'Mi negocio'!$C$34),1)</f>
        <v/>
      </c>
    </row>
    <row r="801">
      <c r="A801" t="n">
        <v>14</v>
      </c>
      <c r="B801" s="21" t="inlineStr">
        <is>
          <t>Lágrima de Toronja Rosa y Flor de Saúco con Búfer de Lactato (Buffered Ruby Grapefruit &amp; Elderflower Sour Tear)</t>
        </is>
      </c>
      <c r="C801" t="inlineStr">
        <is>
          <t>empaque</t>
        </is>
      </c>
      <c r="D801" s="22" t="inlineStr">
        <is>
          <t>2 Guantes y consumibles de la colada</t>
        </is>
      </c>
      <c r="E801" s="6" t="inlineStr">
        <is>
          <t>Guantes, manga y consumibles de colada</t>
        </is>
      </c>
      <c r="F801" s="16" t="n">
        <v>2</v>
      </c>
      <c r="G801" t="inlineStr">
        <is>
          <t>pz</t>
        </is>
      </c>
      <c r="H801" s="12">
        <f>IFERROR(VLOOKUP(E801,Insumos!$C$5:$G$100,5,FALSE),0)</f>
        <v/>
      </c>
      <c r="I801" s="17">
        <f>F801*H801/IF(C801="molde",MAX(1,'Mi negocio'!$C$34),1)</f>
        <v/>
      </c>
    </row>
    <row r="802">
      <c r="A802" t="n">
        <v>15</v>
      </c>
      <c r="B802" s="21" t="inlineStr">
        <is>
          <t>Botón Ácido de Fruta de la Pasión y Lima Kaffir (Kaffir Lime &amp; Passion Fruit Sour Button)</t>
        </is>
      </c>
      <c r="C802" t="inlineStr">
        <is>
          <t>molde</t>
        </is>
      </c>
      <c r="D802" s="22" t="inlineStr">
        <is>
          <t>1 Molde de silicona platinada para la colada completa · amortizado entre sus coladas</t>
        </is>
      </c>
      <c r="E802" s="6" t="inlineStr">
        <is>
          <t>Molde de silicona platinada de cavidad fina</t>
        </is>
      </c>
      <c r="F802" s="16" t="n">
        <v>1</v>
      </c>
      <c r="G802" t="inlineStr">
        <is>
          <t>pz</t>
        </is>
      </c>
      <c r="H802" s="12">
        <f>IFERROR(VLOOKUP(E802,Insumos!$C$5:$G$100,5,FALSE),0)</f>
        <v/>
      </c>
      <c r="I802" s="17">
        <f>F802*H802/IF(C802="molde",MAX(1,'Mi negocio'!$C$34),1)</f>
        <v/>
      </c>
    </row>
    <row r="803">
      <c r="A803" t="n">
        <v>15</v>
      </c>
      <c r="B803" s="21" t="inlineStr">
        <is>
          <t>Botón Ácido de Fruta de la Pasión y Lima Kaffir (Kaffir Lime &amp; Passion Fruit Sour Button)</t>
        </is>
      </c>
      <c r="C803" t="inlineStr">
        <is>
          <t>molde</t>
        </is>
      </c>
      <c r="D803" s="22" t="inlineStr">
        <is>
          <t>1 Bandeja de estufado para las 24 a 48 h de curado · amortizada entre sus usos</t>
        </is>
      </c>
      <c r="E803" s="6" t="inlineStr">
        <is>
          <t>Bandeja de estufado y rejilla de curado</t>
        </is>
      </c>
      <c r="F803" s="16" t="n">
        <v>1</v>
      </c>
      <c r="G803" t="inlineStr">
        <is>
          <t>pz</t>
        </is>
      </c>
      <c r="H803" s="12">
        <f>IFERROR(VLOOKUP(E803,Insumos!$C$5:$G$100,5,FALSE),0)</f>
        <v/>
      </c>
      <c r="I803" s="17">
        <f>F803*H803/IF(C803="molde",MAX(1,'Mi negocio'!$C$34),1)</f>
        <v/>
      </c>
    </row>
    <row r="804">
      <c r="A804" t="n">
        <v>15</v>
      </c>
      <c r="B804" s="21" t="inlineStr">
        <is>
          <t>Botón Ácido de Fruta de la Pasión y Lima Kaffir (Kaffir Lime &amp; Passion Fruit Sour Button)</t>
        </is>
      </c>
      <c r="C804" t="inlineStr">
        <is>
          <t>empaque</t>
        </is>
      </c>
      <c r="D804" s="22" t="inlineStr">
        <is>
          <t>2 Guantes y consumibles de la colada</t>
        </is>
      </c>
      <c r="E804" s="6" t="inlineStr">
        <is>
          <t>Guantes, manga y consumibles de colada</t>
        </is>
      </c>
      <c r="F804" s="16" t="n">
        <v>2</v>
      </c>
      <c r="G804" t="inlineStr">
        <is>
          <t>pz</t>
        </is>
      </c>
      <c r="H804" s="12">
        <f>IFERROR(VLOOKUP(E804,Insumos!$C$5:$G$100,5,FALSE),0)</f>
        <v/>
      </c>
      <c r="I804" s="17">
        <f>F804*H804/IF(C804="molde",MAX(1,'Mi negocio'!$C$34),1)</f>
        <v/>
      </c>
    </row>
    <row r="805">
      <c r="A805" t="n">
        <v>16</v>
      </c>
      <c r="B805" s="21" t="inlineStr">
        <is>
          <t>Botella Efervescente de Cola Ácida (Fizzy Sour Cola Bottle)</t>
        </is>
      </c>
      <c r="C805" t="inlineStr">
        <is>
          <t>molde</t>
        </is>
      </c>
      <c r="D805" s="22" t="inlineStr">
        <is>
          <t>1 Molde de silicona platinada para la colada completa · amortizado entre sus coladas</t>
        </is>
      </c>
      <c r="E805" s="6" t="inlineStr">
        <is>
          <t>Molde de silicona platinada de cavidad fina</t>
        </is>
      </c>
      <c r="F805" s="16" t="n">
        <v>1</v>
      </c>
      <c r="G805" t="inlineStr">
        <is>
          <t>pz</t>
        </is>
      </c>
      <c r="H805" s="12">
        <f>IFERROR(VLOOKUP(E805,Insumos!$C$5:$G$100,5,FALSE),0)</f>
        <v/>
      </c>
      <c r="I805" s="17">
        <f>F805*H805/IF(C805="molde",MAX(1,'Mi negocio'!$C$34),1)</f>
        <v/>
      </c>
    </row>
    <row r="806">
      <c r="A806" t="n">
        <v>16</v>
      </c>
      <c r="B806" s="21" t="inlineStr">
        <is>
          <t>Botella Efervescente de Cola Ácida (Fizzy Sour Cola Bottle)</t>
        </is>
      </c>
      <c r="C806" t="inlineStr">
        <is>
          <t>molde</t>
        </is>
      </c>
      <c r="D806" s="22" t="inlineStr">
        <is>
          <t>1 Bandeja de estufado para las 24 a 48 h de curado · amortizada entre sus usos</t>
        </is>
      </c>
      <c r="E806" s="6" t="inlineStr">
        <is>
          <t>Bandeja de estufado y rejilla de curado</t>
        </is>
      </c>
      <c r="F806" s="16" t="n">
        <v>1</v>
      </c>
      <c r="G806" t="inlineStr">
        <is>
          <t>pz</t>
        </is>
      </c>
      <c r="H806" s="12">
        <f>IFERROR(VLOOKUP(E806,Insumos!$C$5:$G$100,5,FALSE),0)</f>
        <v/>
      </c>
      <c r="I806" s="17">
        <f>F806*H806/IF(C806="molde",MAX(1,'Mi negocio'!$C$34),1)</f>
        <v/>
      </c>
    </row>
    <row r="807">
      <c r="A807" t="n">
        <v>16</v>
      </c>
      <c r="B807" s="21" t="inlineStr">
        <is>
          <t>Botella Efervescente de Cola Ácida (Fizzy Sour Cola Bottle)</t>
        </is>
      </c>
      <c r="C807" t="inlineStr">
        <is>
          <t>empaque</t>
        </is>
      </c>
      <c r="D807" s="22" t="inlineStr">
        <is>
          <t>2 Guantes y consumibles de la colada</t>
        </is>
      </c>
      <c r="E807" s="6" t="inlineStr">
        <is>
          <t>Guantes, manga y consumibles de colada</t>
        </is>
      </c>
      <c r="F807" s="16" t="n">
        <v>2</v>
      </c>
      <c r="G807" t="inlineStr">
        <is>
          <t>pz</t>
        </is>
      </c>
      <c r="H807" s="12">
        <f>IFERROR(VLOOKUP(E807,Insumos!$C$5:$G$100,5,FALSE),0)</f>
        <v/>
      </c>
      <c r="I807" s="17">
        <f>F807*H807/IF(C807="molde",MAX(1,'Mi negocio'!$C$34),1)</f>
        <v/>
      </c>
    </row>
    <row r="808">
      <c r="A808" t="n">
        <v>17</v>
      </c>
      <c r="B808" s="21" t="inlineStr">
        <is>
          <t>Cinta Ácida de Naranja Sangrienta y Granada (Sour Blood Orange &amp; Pomegranate Belt)</t>
        </is>
      </c>
      <c r="C808" t="inlineStr">
        <is>
          <t>molde</t>
        </is>
      </c>
      <c r="D808" s="22" t="inlineStr">
        <is>
          <t>1 Molde de silicona platinada para la colada completa · amortizado entre sus coladas</t>
        </is>
      </c>
      <c r="E808" s="6" t="inlineStr">
        <is>
          <t>Molde de silicona platinada de cavidad fina</t>
        </is>
      </c>
      <c r="F808" s="16" t="n">
        <v>1</v>
      </c>
      <c r="G808" t="inlineStr">
        <is>
          <t>pz</t>
        </is>
      </c>
      <c r="H808" s="12">
        <f>IFERROR(VLOOKUP(E808,Insumos!$C$5:$G$100,5,FALSE),0)</f>
        <v/>
      </c>
      <c r="I808" s="17">
        <f>F808*H808/IF(C808="molde",MAX(1,'Mi negocio'!$C$34),1)</f>
        <v/>
      </c>
    </row>
    <row r="809">
      <c r="A809" t="n">
        <v>17</v>
      </c>
      <c r="B809" s="21" t="inlineStr">
        <is>
          <t>Cinta Ácida de Naranja Sangrienta y Granada (Sour Blood Orange &amp; Pomegranate Belt)</t>
        </is>
      </c>
      <c r="C809" t="inlineStr">
        <is>
          <t>molde</t>
        </is>
      </c>
      <c r="D809" s="22" t="inlineStr">
        <is>
          <t>1 Bandeja de estufado para las 24 a 48 h de curado · amortizada entre sus usos</t>
        </is>
      </c>
      <c r="E809" s="6" t="inlineStr">
        <is>
          <t>Bandeja de estufado y rejilla de curado</t>
        </is>
      </c>
      <c r="F809" s="16" t="n">
        <v>1</v>
      </c>
      <c r="G809" t="inlineStr">
        <is>
          <t>pz</t>
        </is>
      </c>
      <c r="H809" s="12">
        <f>IFERROR(VLOOKUP(E809,Insumos!$C$5:$G$100,5,FALSE),0)</f>
        <v/>
      </c>
      <c r="I809" s="17">
        <f>F809*H809/IF(C809="molde",MAX(1,'Mi negocio'!$C$34),1)</f>
        <v/>
      </c>
    </row>
    <row r="810">
      <c r="A810" t="n">
        <v>17</v>
      </c>
      <c r="B810" s="21" t="inlineStr">
        <is>
          <t>Cinta Ácida de Naranja Sangrienta y Granada (Sour Blood Orange &amp; Pomegranate Belt)</t>
        </is>
      </c>
      <c r="C810" t="inlineStr">
        <is>
          <t>empaque</t>
        </is>
      </c>
      <c r="D810" s="22" t="inlineStr">
        <is>
          <t>2 Guantes y consumibles de la colada</t>
        </is>
      </c>
      <c r="E810" s="6" t="inlineStr">
        <is>
          <t>Guantes, manga y consumibles de colada</t>
        </is>
      </c>
      <c r="F810" s="16" t="n">
        <v>2</v>
      </c>
      <c r="G810" t="inlineStr">
        <is>
          <t>pz</t>
        </is>
      </c>
      <c r="H810" s="12">
        <f>IFERROR(VLOOKUP(E810,Insumos!$C$5:$G$100,5,FALSE),0)</f>
        <v/>
      </c>
      <c r="I810" s="17">
        <f>F810*H810/IF(C810="molde",MAX(1,'Mi negocio'!$C$34),1)</f>
        <v/>
      </c>
    </row>
    <row r="811">
      <c r="A811" t="n">
        <v>18</v>
      </c>
      <c r="B811" s="21" t="inlineStr">
        <is>
          <t>Esfera de Mandarina Verde y Lima-Limón en Pectina Rápida (Quick-Gel Green Mandarin Sour Orb)</t>
        </is>
      </c>
      <c r="C811" t="inlineStr">
        <is>
          <t>molde</t>
        </is>
      </c>
      <c r="D811" s="22" t="inlineStr">
        <is>
          <t>1 Molde de silicona platinada para la colada completa · amortizado entre sus coladas</t>
        </is>
      </c>
      <c r="E811" s="6" t="inlineStr">
        <is>
          <t>Molde de silicona platinada de cavidad fina</t>
        </is>
      </c>
      <c r="F811" s="16" t="n">
        <v>1</v>
      </c>
      <c r="G811" t="inlineStr">
        <is>
          <t>pz</t>
        </is>
      </c>
      <c r="H811" s="12">
        <f>IFERROR(VLOOKUP(E811,Insumos!$C$5:$G$100,5,FALSE),0)</f>
        <v/>
      </c>
      <c r="I811" s="17">
        <f>F811*H811/IF(C811="molde",MAX(1,'Mi negocio'!$C$34),1)</f>
        <v/>
      </c>
    </row>
    <row r="812">
      <c r="A812" t="n">
        <v>18</v>
      </c>
      <c r="B812" s="21" t="inlineStr">
        <is>
          <t>Esfera de Mandarina Verde y Lima-Limón en Pectina Rápida (Quick-Gel Green Mandarin Sour Orb)</t>
        </is>
      </c>
      <c r="C812" t="inlineStr">
        <is>
          <t>molde</t>
        </is>
      </c>
      <c r="D812" s="22" t="inlineStr">
        <is>
          <t>1 Bandeja de estufado para las 24 a 48 h de curado · amortizada entre sus usos</t>
        </is>
      </c>
      <c r="E812" s="6" t="inlineStr">
        <is>
          <t>Bandeja de estufado y rejilla de curado</t>
        </is>
      </c>
      <c r="F812" s="16" t="n">
        <v>1</v>
      </c>
      <c r="G812" t="inlineStr">
        <is>
          <t>pz</t>
        </is>
      </c>
      <c r="H812" s="12">
        <f>IFERROR(VLOOKUP(E812,Insumos!$C$5:$G$100,5,FALSE),0)</f>
        <v/>
      </c>
      <c r="I812" s="17">
        <f>F812*H812/IF(C812="molde",MAX(1,'Mi negocio'!$C$34),1)</f>
        <v/>
      </c>
    </row>
    <row r="813">
      <c r="A813" t="n">
        <v>18</v>
      </c>
      <c r="B813" s="21" t="inlineStr">
        <is>
          <t>Esfera de Mandarina Verde y Lima-Limón en Pectina Rápida (Quick-Gel Green Mandarin Sour Orb)</t>
        </is>
      </c>
      <c r="C813" t="inlineStr">
        <is>
          <t>empaque</t>
        </is>
      </c>
      <c r="D813" s="22" t="inlineStr">
        <is>
          <t>2 Guantes y consumibles de la colada</t>
        </is>
      </c>
      <c r="E813" s="6" t="inlineStr">
        <is>
          <t>Guantes, manga y consumibles de colada</t>
        </is>
      </c>
      <c r="F813" s="16" t="n">
        <v>2</v>
      </c>
      <c r="G813" t="inlineStr">
        <is>
          <t>pz</t>
        </is>
      </c>
      <c r="H813" s="12">
        <f>IFERROR(VLOOKUP(E813,Insumos!$C$5:$G$100,5,FALSE),0)</f>
        <v/>
      </c>
      <c r="I813" s="17">
        <f>F813*H813/IF(C813="molde",MAX(1,'Mi negocio'!$C$34),1)</f>
        <v/>
      </c>
    </row>
    <row r="814">
      <c r="A814" t="n">
        <v>19</v>
      </c>
      <c r="B814" s="21" t="inlineStr">
        <is>
          <t>Aro Ácido de Manzana y Grosella Negra (Sour Blackcurrant &amp; Green Apple Ring)</t>
        </is>
      </c>
      <c r="C814" t="inlineStr">
        <is>
          <t>molde</t>
        </is>
      </c>
      <c r="D814" s="22" t="inlineStr">
        <is>
          <t>1 Molde de silicona platinada para la colada completa · amortizado entre sus coladas</t>
        </is>
      </c>
      <c r="E814" s="6" t="inlineStr">
        <is>
          <t>Molde de silicona platinada de cavidad fina</t>
        </is>
      </c>
      <c r="F814" s="16" t="n">
        <v>1</v>
      </c>
      <c r="G814" t="inlineStr">
        <is>
          <t>pz</t>
        </is>
      </c>
      <c r="H814" s="12">
        <f>IFERROR(VLOOKUP(E814,Insumos!$C$5:$G$100,5,FALSE),0)</f>
        <v/>
      </c>
      <c r="I814" s="17">
        <f>F814*H814/IF(C814="molde",MAX(1,'Mi negocio'!$C$34),1)</f>
        <v/>
      </c>
    </row>
    <row r="815">
      <c r="A815" t="n">
        <v>19</v>
      </c>
      <c r="B815" s="21" t="inlineStr">
        <is>
          <t>Aro Ácido de Manzana y Grosella Negra (Sour Blackcurrant &amp; Green Apple Ring)</t>
        </is>
      </c>
      <c r="C815" t="inlineStr">
        <is>
          <t>molde</t>
        </is>
      </c>
      <c r="D815" s="22" t="inlineStr">
        <is>
          <t>1 Bandeja de estufado para las 24 a 48 h de curado · amortizada entre sus usos</t>
        </is>
      </c>
      <c r="E815" s="6" t="inlineStr">
        <is>
          <t>Bandeja de estufado y rejilla de curado</t>
        </is>
      </c>
      <c r="F815" s="16" t="n">
        <v>1</v>
      </c>
      <c r="G815" t="inlineStr">
        <is>
          <t>pz</t>
        </is>
      </c>
      <c r="H815" s="12">
        <f>IFERROR(VLOOKUP(E815,Insumos!$C$5:$G$100,5,FALSE),0)</f>
        <v/>
      </c>
      <c r="I815" s="17">
        <f>F815*H815/IF(C815="molde",MAX(1,'Mi negocio'!$C$34),1)</f>
        <v/>
      </c>
    </row>
    <row r="816">
      <c r="A816" t="n">
        <v>19</v>
      </c>
      <c r="B816" s="21" t="inlineStr">
        <is>
          <t>Aro Ácido de Manzana y Grosella Negra (Sour Blackcurrant &amp; Green Apple Ring)</t>
        </is>
      </c>
      <c r="C816" t="inlineStr">
        <is>
          <t>empaque</t>
        </is>
      </c>
      <c r="D816" s="22" t="inlineStr">
        <is>
          <t>2 Guantes y consumibles de la colada</t>
        </is>
      </c>
      <c r="E816" s="6" t="inlineStr">
        <is>
          <t>Guantes, manga y consumibles de colada</t>
        </is>
      </c>
      <c r="F816" s="16" t="n">
        <v>2</v>
      </c>
      <c r="G816" t="inlineStr">
        <is>
          <t>pz</t>
        </is>
      </c>
      <c r="H816" s="12">
        <f>IFERROR(VLOOKUP(E816,Insumos!$C$5:$G$100,5,FALSE),0)</f>
        <v/>
      </c>
      <c r="I816" s="17">
        <f>F816*H816/IF(C816="molde",MAX(1,'Mi negocio'!$C$34),1)</f>
        <v/>
      </c>
    </row>
    <row r="817">
      <c r="A817" t="n">
        <v>20</v>
      </c>
      <c r="B817" s="21" t="inlineStr">
        <is>
          <t>Lengüeta Ácida de Piña Asada y Jengibre Picante (Sour Charred Pineapple &amp; Ginger Tongue)</t>
        </is>
      </c>
      <c r="C817" t="inlineStr">
        <is>
          <t>molde</t>
        </is>
      </c>
      <c r="D817" s="22" t="inlineStr">
        <is>
          <t>1 Molde de silicona platinada para la colada completa · amortizado entre sus coladas</t>
        </is>
      </c>
      <c r="E817" s="6" t="inlineStr">
        <is>
          <t>Molde de silicona platinada de cavidad fina</t>
        </is>
      </c>
      <c r="F817" s="16" t="n">
        <v>1</v>
      </c>
      <c r="G817" t="inlineStr">
        <is>
          <t>pz</t>
        </is>
      </c>
      <c r="H817" s="12">
        <f>IFERROR(VLOOKUP(E817,Insumos!$C$5:$G$100,5,FALSE),0)</f>
        <v/>
      </c>
      <c r="I817" s="17">
        <f>F817*H817/IF(C817="molde",MAX(1,'Mi negocio'!$C$34),1)</f>
        <v/>
      </c>
    </row>
    <row r="818">
      <c r="A818" t="n">
        <v>20</v>
      </c>
      <c r="B818" s="21" t="inlineStr">
        <is>
          <t>Lengüeta Ácida de Piña Asada y Jengibre Picante (Sour Charred Pineapple &amp; Ginger Tongue)</t>
        </is>
      </c>
      <c r="C818" t="inlineStr">
        <is>
          <t>molde</t>
        </is>
      </c>
      <c r="D818" s="22" t="inlineStr">
        <is>
          <t>1 Bandeja de estufado para las 24 a 48 h de curado · amortizada entre sus usos</t>
        </is>
      </c>
      <c r="E818" s="6" t="inlineStr">
        <is>
          <t>Bandeja de estufado y rejilla de curado</t>
        </is>
      </c>
      <c r="F818" s="16" t="n">
        <v>1</v>
      </c>
      <c r="G818" t="inlineStr">
        <is>
          <t>pz</t>
        </is>
      </c>
      <c r="H818" s="12">
        <f>IFERROR(VLOOKUP(E818,Insumos!$C$5:$G$100,5,FALSE),0)</f>
        <v/>
      </c>
      <c r="I818" s="17">
        <f>F818*H818/IF(C818="molde",MAX(1,'Mi negocio'!$C$34),1)</f>
        <v/>
      </c>
    </row>
    <row r="819">
      <c r="A819" t="n">
        <v>20</v>
      </c>
      <c r="B819" s="21" t="inlineStr">
        <is>
          <t>Lengüeta Ácida de Piña Asada y Jengibre Picante (Sour Charred Pineapple &amp; Ginger Tongue)</t>
        </is>
      </c>
      <c r="C819" t="inlineStr">
        <is>
          <t>empaque</t>
        </is>
      </c>
      <c r="D819" s="22" t="inlineStr">
        <is>
          <t>2 Guantes y consumibles de la colada</t>
        </is>
      </c>
      <c r="E819" s="6" t="inlineStr">
        <is>
          <t>Guantes, manga y consumibles de colada</t>
        </is>
      </c>
      <c r="F819" s="16" t="n">
        <v>2</v>
      </c>
      <c r="G819" t="inlineStr">
        <is>
          <t>pz</t>
        </is>
      </c>
      <c r="H819" s="12">
        <f>IFERROR(VLOOKUP(E819,Insumos!$C$5:$G$100,5,FALSE),0)</f>
        <v/>
      </c>
      <c r="I819" s="17">
        <f>F819*H819/IF(C819="molde",MAX(1,'Mi negocio'!$C$34),1)</f>
        <v/>
      </c>
    </row>
    <row r="820">
      <c r="A820" t="n">
        <v>21</v>
      </c>
      <c r="B820" s="21" t="inlineStr">
        <is>
          <t>Gomita de Tamarindo Concentrado al Chile Guajillo y Piquín (Spiced Tamarind &amp; Guajillo-Piquín Drop)</t>
        </is>
      </c>
      <c r="C820" t="inlineStr">
        <is>
          <t>molde</t>
        </is>
      </c>
      <c r="D820" s="22" t="inlineStr">
        <is>
          <t>1 Molde de silicona platinada para la colada completa · amortizado entre sus coladas</t>
        </is>
      </c>
      <c r="E820" s="6" t="inlineStr">
        <is>
          <t>Molde de silicona platinada de cavidad fina</t>
        </is>
      </c>
      <c r="F820" s="16" t="n">
        <v>1</v>
      </c>
      <c r="G820" t="inlineStr">
        <is>
          <t>pz</t>
        </is>
      </c>
      <c r="H820" s="12">
        <f>IFERROR(VLOOKUP(E820,Insumos!$C$5:$G$100,5,FALSE),0)</f>
        <v/>
      </c>
      <c r="I820" s="17">
        <f>F820*H820/IF(C820="molde",MAX(1,'Mi negocio'!$C$34),1)</f>
        <v/>
      </c>
    </row>
    <row r="821">
      <c r="A821" t="n">
        <v>21</v>
      </c>
      <c r="B821" s="21" t="inlineStr">
        <is>
          <t>Gomita de Tamarindo Concentrado al Chile Guajillo y Piquín (Spiced Tamarind &amp; Guajillo-Piquín Drop)</t>
        </is>
      </c>
      <c r="C821" t="inlineStr">
        <is>
          <t>molde</t>
        </is>
      </c>
      <c r="D821" s="22" t="inlineStr">
        <is>
          <t>1 Bandeja de estufado para las 24 a 48 h de curado · amortizada entre sus usos</t>
        </is>
      </c>
      <c r="E821" s="6" t="inlineStr">
        <is>
          <t>Bandeja de estufado y rejilla de curado</t>
        </is>
      </c>
      <c r="F821" s="16" t="n">
        <v>1</v>
      </c>
      <c r="G821" t="inlineStr">
        <is>
          <t>pz</t>
        </is>
      </c>
      <c r="H821" s="12">
        <f>IFERROR(VLOOKUP(E821,Insumos!$C$5:$G$100,5,FALSE),0)</f>
        <v/>
      </c>
      <c r="I821" s="17">
        <f>F821*H821/IF(C821="molde",MAX(1,'Mi negocio'!$C$34),1)</f>
        <v/>
      </c>
    </row>
    <row r="822">
      <c r="A822" t="n">
        <v>21</v>
      </c>
      <c r="B822" s="21" t="inlineStr">
        <is>
          <t>Gomita de Tamarindo Concentrado al Chile Guajillo y Piquín (Spiced Tamarind &amp; Guajillo-Piquín Drop)</t>
        </is>
      </c>
      <c r="C822" t="inlineStr">
        <is>
          <t>empaque</t>
        </is>
      </c>
      <c r="D822" s="22" t="inlineStr">
        <is>
          <t>2 Guantes y consumibles de la colada</t>
        </is>
      </c>
      <c r="E822" s="6" t="inlineStr">
        <is>
          <t>Guantes, manga y consumibles de colada</t>
        </is>
      </c>
      <c r="F822" s="16" t="n">
        <v>2</v>
      </c>
      <c r="G822" t="inlineStr">
        <is>
          <t>pz</t>
        </is>
      </c>
      <c r="H822" s="12">
        <f>IFERROR(VLOOKUP(E822,Insumos!$C$5:$G$100,5,FALSE),0)</f>
        <v/>
      </c>
      <c r="I822" s="17">
        <f>F822*H822/IF(C822="molde",MAX(1,'Mi negocio'!$C$34),1)</f>
        <v/>
      </c>
    </row>
    <row r="823">
      <c r="A823" t="n">
        <v>22</v>
      </c>
      <c r="B823" s="21" t="inlineStr">
        <is>
          <t>Gota de Mango Verde con Chamoy Glaseado y Chile Morita (Glazed Mango-Chamoy &amp; Smoked Morita Pepper)</t>
        </is>
      </c>
      <c r="C823" t="inlineStr">
        <is>
          <t>molde</t>
        </is>
      </c>
      <c r="D823" s="22" t="inlineStr">
        <is>
          <t>1 Molde de silicona platinada para la colada completa · amortizado entre sus coladas</t>
        </is>
      </c>
      <c r="E823" s="6" t="inlineStr">
        <is>
          <t>Molde de silicona platinada de cavidad fina</t>
        </is>
      </c>
      <c r="F823" s="16" t="n">
        <v>1</v>
      </c>
      <c r="G823" t="inlineStr">
        <is>
          <t>pz</t>
        </is>
      </c>
      <c r="H823" s="12">
        <f>IFERROR(VLOOKUP(E823,Insumos!$C$5:$G$100,5,FALSE),0)</f>
        <v/>
      </c>
      <c r="I823" s="17">
        <f>F823*H823/IF(C823="molde",MAX(1,'Mi negocio'!$C$34),1)</f>
        <v/>
      </c>
    </row>
    <row r="824">
      <c r="A824" t="n">
        <v>22</v>
      </c>
      <c r="B824" s="21" t="inlineStr">
        <is>
          <t>Gota de Mango Verde con Chamoy Glaseado y Chile Morita (Glazed Mango-Chamoy &amp; Smoked Morita Pepper)</t>
        </is>
      </c>
      <c r="C824" t="inlineStr">
        <is>
          <t>molde</t>
        </is>
      </c>
      <c r="D824" s="22" t="inlineStr">
        <is>
          <t>1 Bandeja de estufado para las 24 a 48 h de curado · amortizada entre sus usos</t>
        </is>
      </c>
      <c r="E824" s="6" t="inlineStr">
        <is>
          <t>Bandeja de estufado y rejilla de curado</t>
        </is>
      </c>
      <c r="F824" s="16" t="n">
        <v>1</v>
      </c>
      <c r="G824" t="inlineStr">
        <is>
          <t>pz</t>
        </is>
      </c>
      <c r="H824" s="12">
        <f>IFERROR(VLOOKUP(E824,Insumos!$C$5:$G$100,5,FALSE),0)</f>
        <v/>
      </c>
      <c r="I824" s="17">
        <f>F824*H824/IF(C824="molde",MAX(1,'Mi negocio'!$C$34),1)</f>
        <v/>
      </c>
    </row>
    <row r="825">
      <c r="A825" t="n">
        <v>22</v>
      </c>
      <c r="B825" s="21" t="inlineStr">
        <is>
          <t>Gota de Mango Verde con Chamoy Glaseado y Chile Morita (Glazed Mango-Chamoy &amp; Smoked Morita Pepper)</t>
        </is>
      </c>
      <c r="C825" t="inlineStr">
        <is>
          <t>empaque</t>
        </is>
      </c>
      <c r="D825" s="22" t="inlineStr">
        <is>
          <t>2 Guantes y consumibles de la colada</t>
        </is>
      </c>
      <c r="E825" s="6" t="inlineStr">
        <is>
          <t>Guantes, manga y consumibles de colada</t>
        </is>
      </c>
      <c r="F825" s="16" t="n">
        <v>2</v>
      </c>
      <c r="G825" t="inlineStr">
        <is>
          <t>pz</t>
        </is>
      </c>
      <c r="H825" s="12">
        <f>IFERROR(VLOOKUP(E825,Insumos!$C$5:$G$100,5,FALSE),0)</f>
        <v/>
      </c>
      <c r="I825" s="17">
        <f>F825*H825/IF(C825="molde",MAX(1,'Mi negocio'!$C$34),1)</f>
        <v/>
      </c>
    </row>
    <row r="826">
      <c r="A826" t="n">
        <v>23</v>
      </c>
      <c r="B826" s="21" t="inlineStr">
        <is>
          <t>Confitura de Piña Asada con Chile Habanero y Sal de Gusano (Charred Pineapple, Habanero &amp; Agave Worm Salt)</t>
        </is>
      </c>
      <c r="C826" t="inlineStr">
        <is>
          <t>molde</t>
        </is>
      </c>
      <c r="D826" s="22" t="inlineStr">
        <is>
          <t>1 Molde de silicona platinada para la colada completa · amortizado entre sus coladas</t>
        </is>
      </c>
      <c r="E826" s="6" t="inlineStr">
        <is>
          <t>Molde de silicona platinada de cavidad fina</t>
        </is>
      </c>
      <c r="F826" s="16" t="n">
        <v>1</v>
      </c>
      <c r="G826" t="inlineStr">
        <is>
          <t>pz</t>
        </is>
      </c>
      <c r="H826" s="12">
        <f>IFERROR(VLOOKUP(E826,Insumos!$C$5:$G$100,5,FALSE),0)</f>
        <v/>
      </c>
      <c r="I826" s="17">
        <f>F826*H826/IF(C826="molde",MAX(1,'Mi negocio'!$C$34),1)</f>
        <v/>
      </c>
    </row>
    <row r="827">
      <c r="A827" t="n">
        <v>23</v>
      </c>
      <c r="B827" s="21" t="inlineStr">
        <is>
          <t>Confitura de Piña Asada con Chile Habanero y Sal de Gusano (Charred Pineapple, Habanero &amp; Agave Worm Salt)</t>
        </is>
      </c>
      <c r="C827" t="inlineStr">
        <is>
          <t>molde</t>
        </is>
      </c>
      <c r="D827" s="22" t="inlineStr">
        <is>
          <t>1 Bandeja de estufado para las 24 a 48 h de curado · amortizada entre sus usos</t>
        </is>
      </c>
      <c r="E827" s="6" t="inlineStr">
        <is>
          <t>Bandeja de estufado y rejilla de curado</t>
        </is>
      </c>
      <c r="F827" s="16" t="n">
        <v>1</v>
      </c>
      <c r="G827" t="inlineStr">
        <is>
          <t>pz</t>
        </is>
      </c>
      <c r="H827" s="12">
        <f>IFERROR(VLOOKUP(E827,Insumos!$C$5:$G$100,5,FALSE),0)</f>
        <v/>
      </c>
      <c r="I827" s="17">
        <f>F827*H827/IF(C827="molde",MAX(1,'Mi negocio'!$C$34),1)</f>
        <v/>
      </c>
    </row>
    <row r="828">
      <c r="A828" t="n">
        <v>23</v>
      </c>
      <c r="B828" s="21" t="inlineStr">
        <is>
          <t>Confitura de Piña Asada con Chile Habanero y Sal de Gusano (Charred Pineapple, Habanero &amp; Agave Worm Salt)</t>
        </is>
      </c>
      <c r="C828" t="inlineStr">
        <is>
          <t>empaque</t>
        </is>
      </c>
      <c r="D828" s="22" t="inlineStr">
        <is>
          <t>2 Guantes y consumibles de la colada</t>
        </is>
      </c>
      <c r="E828" s="6" t="inlineStr">
        <is>
          <t>Guantes, manga y consumibles de colada</t>
        </is>
      </c>
      <c r="F828" s="16" t="n">
        <v>2</v>
      </c>
      <c r="G828" t="inlineStr">
        <is>
          <t>pz</t>
        </is>
      </c>
      <c r="H828" s="12">
        <f>IFERROR(VLOOKUP(E828,Insumos!$C$5:$G$100,5,FALSE),0)</f>
        <v/>
      </c>
      <c r="I828" s="17">
        <f>F828*H828/IF(C828="molde",MAX(1,'Mi negocio'!$C$34),1)</f>
        <v/>
      </c>
    </row>
    <row r="829">
      <c r="A829" t="n">
        <v>24</v>
      </c>
      <c r="B829" s="21" t="inlineStr">
        <is>
          <t>Gomita Botánica de Pepino, Limón Verde y Salitre con Chile Jalapeño (Cucumber-Lime, Sal de Grano &amp; Jalapeño Crisp)</t>
        </is>
      </c>
      <c r="C829" t="inlineStr">
        <is>
          <t>molde</t>
        </is>
      </c>
      <c r="D829" s="22" t="inlineStr">
        <is>
          <t>1 Molde de silicona platinada para la colada completa · amortizado entre sus coladas</t>
        </is>
      </c>
      <c r="E829" s="6" t="inlineStr">
        <is>
          <t>Molde de silicona platinada de cavidad fina</t>
        </is>
      </c>
      <c r="F829" s="16" t="n">
        <v>1</v>
      </c>
      <c r="G829" t="inlineStr">
        <is>
          <t>pz</t>
        </is>
      </c>
      <c r="H829" s="12">
        <f>IFERROR(VLOOKUP(E829,Insumos!$C$5:$G$100,5,FALSE),0)</f>
        <v/>
      </c>
      <c r="I829" s="17">
        <f>F829*H829/IF(C829="molde",MAX(1,'Mi negocio'!$C$34),1)</f>
        <v/>
      </c>
    </row>
    <row r="830">
      <c r="A830" t="n">
        <v>24</v>
      </c>
      <c r="B830" s="21" t="inlineStr">
        <is>
          <t>Gomita Botánica de Pepino, Limón Verde y Salitre con Chile Jalapeño (Cucumber-Lime, Sal de Grano &amp; Jalapeño Crisp)</t>
        </is>
      </c>
      <c r="C830" t="inlineStr">
        <is>
          <t>molde</t>
        </is>
      </c>
      <c r="D830" s="22" t="inlineStr">
        <is>
          <t>1 Bandeja de estufado para las 24 a 48 h de curado · amortizada entre sus usos</t>
        </is>
      </c>
      <c r="E830" s="6" t="inlineStr">
        <is>
          <t>Bandeja de estufado y rejilla de curado</t>
        </is>
      </c>
      <c r="F830" s="16" t="n">
        <v>1</v>
      </c>
      <c r="G830" t="inlineStr">
        <is>
          <t>pz</t>
        </is>
      </c>
      <c r="H830" s="12">
        <f>IFERROR(VLOOKUP(E830,Insumos!$C$5:$G$100,5,FALSE),0)</f>
        <v/>
      </c>
      <c r="I830" s="17">
        <f>F830*H830/IF(C830="molde",MAX(1,'Mi negocio'!$C$34),1)</f>
        <v/>
      </c>
    </row>
    <row r="831">
      <c r="A831" t="n">
        <v>24</v>
      </c>
      <c r="B831" s="21" t="inlineStr">
        <is>
          <t>Gomita Botánica de Pepino, Limón Verde y Salitre con Chile Jalapeño (Cucumber-Lime, Sal de Grano &amp; Jalapeño Crisp)</t>
        </is>
      </c>
      <c r="C831" t="inlineStr">
        <is>
          <t>empaque</t>
        </is>
      </c>
      <c r="D831" s="22" t="inlineStr">
        <is>
          <t>2 Guantes y consumibles de la colada</t>
        </is>
      </c>
      <c r="E831" s="6" t="inlineStr">
        <is>
          <t>Guantes, manga y consumibles de colada</t>
        </is>
      </c>
      <c r="F831" s="16" t="n">
        <v>2</v>
      </c>
      <c r="G831" t="inlineStr">
        <is>
          <t>pz</t>
        </is>
      </c>
      <c r="H831" s="12">
        <f>IFERROR(VLOOKUP(E831,Insumos!$C$5:$G$100,5,FALSE),0)</f>
        <v/>
      </c>
      <c r="I831" s="17">
        <f>F831*H831/IF(C831="molde",MAX(1,'Mi negocio'!$C$34),1)</f>
        <v/>
      </c>
    </row>
    <row r="832">
      <c r="A832" t="n">
        <v>25</v>
      </c>
      <c r="B832" s="21" t="inlineStr">
        <is>
          <t>Perla de Sandía y Mezcal Espadín con Chamoy y Chile Pasilla (Smoked Mezcal, Watermelon &amp; Pasilla Chili Pearl)</t>
        </is>
      </c>
      <c r="C832" t="inlineStr">
        <is>
          <t>molde</t>
        </is>
      </c>
      <c r="D832" s="22" t="inlineStr">
        <is>
          <t>1 Molde de silicona platinada para la colada completa · amortizado entre sus coladas</t>
        </is>
      </c>
      <c r="E832" s="6" t="inlineStr">
        <is>
          <t>Molde de silicona platinada de cavidad fina</t>
        </is>
      </c>
      <c r="F832" s="16" t="n">
        <v>1</v>
      </c>
      <c r="G832" t="inlineStr">
        <is>
          <t>pz</t>
        </is>
      </c>
      <c r="H832" s="12">
        <f>IFERROR(VLOOKUP(E832,Insumos!$C$5:$G$100,5,FALSE),0)</f>
        <v/>
      </c>
      <c r="I832" s="17">
        <f>F832*H832/IF(C832="molde",MAX(1,'Mi negocio'!$C$34),1)</f>
        <v/>
      </c>
    </row>
    <row r="833">
      <c r="A833" t="n">
        <v>25</v>
      </c>
      <c r="B833" s="21" t="inlineStr">
        <is>
          <t>Perla de Sandía y Mezcal Espadín con Chamoy y Chile Pasilla (Smoked Mezcal, Watermelon &amp; Pasilla Chili Pearl)</t>
        </is>
      </c>
      <c r="C833" t="inlineStr">
        <is>
          <t>molde</t>
        </is>
      </c>
      <c r="D833" s="22" t="inlineStr">
        <is>
          <t>1 Bandeja de estufado para las 24 a 48 h de curado · amortizada entre sus usos</t>
        </is>
      </c>
      <c r="E833" s="6" t="inlineStr">
        <is>
          <t>Bandeja de estufado y rejilla de curado</t>
        </is>
      </c>
      <c r="F833" s="16" t="n">
        <v>1</v>
      </c>
      <c r="G833" t="inlineStr">
        <is>
          <t>pz</t>
        </is>
      </c>
      <c r="H833" s="12">
        <f>IFERROR(VLOOKUP(E833,Insumos!$C$5:$G$100,5,FALSE),0)</f>
        <v/>
      </c>
      <c r="I833" s="17">
        <f>F833*H833/IF(C833="molde",MAX(1,'Mi negocio'!$C$34),1)</f>
        <v/>
      </c>
    </row>
    <row r="834">
      <c r="A834" t="n">
        <v>25</v>
      </c>
      <c r="B834" s="21" t="inlineStr">
        <is>
          <t>Perla de Sandía y Mezcal Espadín con Chamoy y Chile Pasilla (Smoked Mezcal, Watermelon &amp; Pasilla Chili Pearl)</t>
        </is>
      </c>
      <c r="C834" t="inlineStr">
        <is>
          <t>empaque</t>
        </is>
      </c>
      <c r="D834" s="22" t="inlineStr">
        <is>
          <t>2 Guantes y consumibles de la colada</t>
        </is>
      </c>
      <c r="E834" s="6" t="inlineStr">
        <is>
          <t>Guantes, manga y consumibles de colada</t>
        </is>
      </c>
      <c r="F834" s="16" t="n">
        <v>2</v>
      </c>
      <c r="G834" t="inlineStr">
        <is>
          <t>pz</t>
        </is>
      </c>
      <c r="H834" s="12">
        <f>IFERROR(VLOOKUP(E834,Insumos!$C$5:$G$100,5,FALSE),0)</f>
        <v/>
      </c>
      <c r="I834" s="17">
        <f>F834*H834/IF(C834="molde",MAX(1,'Mi negocio'!$C$34),1)</f>
        <v/>
      </c>
    </row>
    <row r="835">
      <c r="A835" t="n">
        <v>26</v>
      </c>
      <c r="B835" s="21" t="inlineStr">
        <is>
          <t>Gema Cristalina de Mango y Chile Habanero (Mango-Habanero Translucent Gem)</t>
        </is>
      </c>
      <c r="C835" t="inlineStr">
        <is>
          <t>molde</t>
        </is>
      </c>
      <c r="D835" s="22" t="inlineStr">
        <is>
          <t>1 Molde de silicona platinada para la colada completa · amortizado entre sus coladas</t>
        </is>
      </c>
      <c r="E835" s="6" t="inlineStr">
        <is>
          <t>Molde de silicona platinada de cavidad fina</t>
        </is>
      </c>
      <c r="F835" s="16" t="n">
        <v>1</v>
      </c>
      <c r="G835" t="inlineStr">
        <is>
          <t>pz</t>
        </is>
      </c>
      <c r="H835" s="12">
        <f>IFERROR(VLOOKUP(E835,Insumos!$C$5:$G$100,5,FALSE),0)</f>
        <v/>
      </c>
      <c r="I835" s="17">
        <f>F835*H835/IF(C835="molde",MAX(1,'Mi negocio'!$C$34),1)</f>
        <v/>
      </c>
    </row>
    <row r="836">
      <c r="A836" t="n">
        <v>26</v>
      </c>
      <c r="B836" s="21" t="inlineStr">
        <is>
          <t>Gema Cristalina de Mango y Chile Habanero (Mango-Habanero Translucent Gem)</t>
        </is>
      </c>
      <c r="C836" t="inlineStr">
        <is>
          <t>molde</t>
        </is>
      </c>
      <c r="D836" s="22" t="inlineStr">
        <is>
          <t>1 Bandeja de estufado para las 24 a 48 h de curado · amortizada entre sus usos</t>
        </is>
      </c>
      <c r="E836" s="6" t="inlineStr">
        <is>
          <t>Bandeja de estufado y rejilla de curado</t>
        </is>
      </c>
      <c r="F836" s="16" t="n">
        <v>1</v>
      </c>
      <c r="G836" t="inlineStr">
        <is>
          <t>pz</t>
        </is>
      </c>
      <c r="H836" s="12">
        <f>IFERROR(VLOOKUP(E836,Insumos!$C$5:$G$100,5,FALSE),0)</f>
        <v/>
      </c>
      <c r="I836" s="17">
        <f>F836*H836/IF(C836="molde",MAX(1,'Mi negocio'!$C$34),1)</f>
        <v/>
      </c>
    </row>
    <row r="837">
      <c r="A837" t="n">
        <v>26</v>
      </c>
      <c r="B837" s="21" t="inlineStr">
        <is>
          <t>Gema Cristalina de Mango y Chile Habanero (Mango-Habanero Translucent Gem)</t>
        </is>
      </c>
      <c r="C837" t="inlineStr">
        <is>
          <t>empaque</t>
        </is>
      </c>
      <c r="D837" s="22" t="inlineStr">
        <is>
          <t>2 Guantes y consumibles de la colada</t>
        </is>
      </c>
      <c r="E837" s="6" t="inlineStr">
        <is>
          <t>Guantes, manga y consumibles de colada</t>
        </is>
      </c>
      <c r="F837" s="16" t="n">
        <v>2</v>
      </c>
      <c r="G837" t="inlineStr">
        <is>
          <t>pz</t>
        </is>
      </c>
      <c r="H837" s="12">
        <f>IFERROR(VLOOKUP(E837,Insumos!$C$5:$G$100,5,FALSE),0)</f>
        <v/>
      </c>
      <c r="I837" s="17">
        <f>F837*H837/IF(C837="molde",MAX(1,'Mi negocio'!$C$34),1)</f>
        <v/>
      </c>
    </row>
    <row r="838">
      <c r="A838" t="n">
        <v>27</v>
      </c>
      <c r="B838" s="21" t="inlineStr">
        <is>
          <t>Confitura de Chabacano al Chamoy Seco en Pectina Lenta (Apricot &amp; Dry Chamoy Pectin Pâte de Fruits)</t>
        </is>
      </c>
      <c r="C838" t="inlineStr">
        <is>
          <t>molde</t>
        </is>
      </c>
      <c r="D838" s="22" t="inlineStr">
        <is>
          <t>1 Molde de silicona platinada para la colada completa · amortizado entre sus coladas</t>
        </is>
      </c>
      <c r="E838" s="6" t="inlineStr">
        <is>
          <t>Molde de silicona platinada de cavidad fina</t>
        </is>
      </c>
      <c r="F838" s="16" t="n">
        <v>1</v>
      </c>
      <c r="G838" t="inlineStr">
        <is>
          <t>pz</t>
        </is>
      </c>
      <c r="H838" s="12">
        <f>IFERROR(VLOOKUP(E838,Insumos!$C$5:$G$100,5,FALSE),0)</f>
        <v/>
      </c>
      <c r="I838" s="17">
        <f>F838*H838/IF(C838="molde",MAX(1,'Mi negocio'!$C$34),1)</f>
        <v/>
      </c>
    </row>
    <row r="839">
      <c r="A839" t="n">
        <v>27</v>
      </c>
      <c r="B839" s="21" t="inlineStr">
        <is>
          <t>Confitura de Chabacano al Chamoy Seco en Pectina Lenta (Apricot &amp; Dry Chamoy Pectin Pâte de Fruits)</t>
        </is>
      </c>
      <c r="C839" t="inlineStr">
        <is>
          <t>molde</t>
        </is>
      </c>
      <c r="D839" s="22" t="inlineStr">
        <is>
          <t>1 Bandeja de estufado para las 24 a 48 h de curado · amortizada entre sus usos</t>
        </is>
      </c>
      <c r="E839" s="6" t="inlineStr">
        <is>
          <t>Bandeja de estufado y rejilla de curado</t>
        </is>
      </c>
      <c r="F839" s="16" t="n">
        <v>1</v>
      </c>
      <c r="G839" t="inlineStr">
        <is>
          <t>pz</t>
        </is>
      </c>
      <c r="H839" s="12">
        <f>IFERROR(VLOOKUP(E839,Insumos!$C$5:$G$100,5,FALSE),0)</f>
        <v/>
      </c>
      <c r="I839" s="17">
        <f>F839*H839/IF(C839="molde",MAX(1,'Mi negocio'!$C$34),1)</f>
        <v/>
      </c>
    </row>
    <row r="840">
      <c r="A840" t="n">
        <v>27</v>
      </c>
      <c r="B840" s="21" t="inlineStr">
        <is>
          <t>Confitura de Chabacano al Chamoy Seco en Pectina Lenta (Apricot &amp; Dry Chamoy Pectin Pâte de Fruits)</t>
        </is>
      </c>
      <c r="C840" t="inlineStr">
        <is>
          <t>empaque</t>
        </is>
      </c>
      <c r="D840" s="22" t="inlineStr">
        <is>
          <t>2 Guantes y consumibles de la colada</t>
        </is>
      </c>
      <c r="E840" s="6" t="inlineStr">
        <is>
          <t>Guantes, manga y consumibles de colada</t>
        </is>
      </c>
      <c r="F840" s="16" t="n">
        <v>2</v>
      </c>
      <c r="G840" t="inlineStr">
        <is>
          <t>pz</t>
        </is>
      </c>
      <c r="H840" s="12">
        <f>IFERROR(VLOOKUP(E840,Insumos!$C$5:$G$100,5,FALSE),0)</f>
        <v/>
      </c>
      <c r="I840" s="17">
        <f>F840*H840/IF(C840="molde",MAX(1,'Mi negocio'!$C$34),1)</f>
        <v/>
      </c>
    </row>
    <row r="841">
      <c r="A841" t="n">
        <v>28</v>
      </c>
      <c r="B841" s="21" t="inlineStr">
        <is>
          <t>Gomita de Sandía al Limón y Escamas de Tajín Artesanal (Watermelon-Lime with Handcrafted Chile-Lime Sanding)</t>
        </is>
      </c>
      <c r="C841" t="inlineStr">
        <is>
          <t>molde</t>
        </is>
      </c>
      <c r="D841" s="22" t="inlineStr">
        <is>
          <t>1 Molde de silicona platinada para la colada completa · amortizado entre sus coladas</t>
        </is>
      </c>
      <c r="E841" s="6" t="inlineStr">
        <is>
          <t>Molde de silicona platinada de cavidad fina</t>
        </is>
      </c>
      <c r="F841" s="16" t="n">
        <v>1</v>
      </c>
      <c r="G841" t="inlineStr">
        <is>
          <t>pz</t>
        </is>
      </c>
      <c r="H841" s="12">
        <f>IFERROR(VLOOKUP(E841,Insumos!$C$5:$G$100,5,FALSE),0)</f>
        <v/>
      </c>
      <c r="I841" s="17">
        <f>F841*H841/IF(C841="molde",MAX(1,'Mi negocio'!$C$34),1)</f>
        <v/>
      </c>
    </row>
    <row r="842">
      <c r="A842" t="n">
        <v>28</v>
      </c>
      <c r="B842" s="21" t="inlineStr">
        <is>
          <t>Gomita de Sandía al Limón y Escamas de Tajín Artesanal (Watermelon-Lime with Handcrafted Chile-Lime Sanding)</t>
        </is>
      </c>
      <c r="C842" t="inlineStr">
        <is>
          <t>molde</t>
        </is>
      </c>
      <c r="D842" s="22" t="inlineStr">
        <is>
          <t>1 Bandeja de estufado para las 24 a 48 h de curado · amortizada entre sus usos</t>
        </is>
      </c>
      <c r="E842" s="6" t="inlineStr">
        <is>
          <t>Bandeja de estufado y rejilla de curado</t>
        </is>
      </c>
      <c r="F842" s="16" t="n">
        <v>1</v>
      </c>
      <c r="G842" t="inlineStr">
        <is>
          <t>pz</t>
        </is>
      </c>
      <c r="H842" s="12">
        <f>IFERROR(VLOOKUP(E842,Insumos!$C$5:$G$100,5,FALSE),0)</f>
        <v/>
      </c>
      <c r="I842" s="17">
        <f>F842*H842/IF(C842="molde",MAX(1,'Mi negocio'!$C$34),1)</f>
        <v/>
      </c>
    </row>
    <row r="843">
      <c r="A843" t="n">
        <v>28</v>
      </c>
      <c r="B843" s="21" t="inlineStr">
        <is>
          <t>Gomita de Sandía al Limón y Escamas de Tajín Artesanal (Watermelon-Lime with Handcrafted Chile-Lime Sanding)</t>
        </is>
      </c>
      <c r="C843" t="inlineStr">
        <is>
          <t>empaque</t>
        </is>
      </c>
      <c r="D843" s="22" t="inlineStr">
        <is>
          <t>2 Guantes y consumibles de la colada</t>
        </is>
      </c>
      <c r="E843" s="6" t="inlineStr">
        <is>
          <t>Guantes, manga y consumibles de colada</t>
        </is>
      </c>
      <c r="F843" s="16" t="n">
        <v>2</v>
      </c>
      <c r="G843" t="inlineStr">
        <is>
          <t>pz</t>
        </is>
      </c>
      <c r="H843" s="12">
        <f>IFERROR(VLOOKUP(E843,Insumos!$C$5:$G$100,5,FALSE),0)</f>
        <v/>
      </c>
      <c r="I843" s="17">
        <f>F843*H843/IF(C843="molde",MAX(1,'Mi negocio'!$C$34),1)</f>
        <v/>
      </c>
    </row>
    <row r="844">
      <c r="A844" t="n">
        <v>29</v>
      </c>
      <c r="B844" s="21" t="inlineStr">
        <is>
          <t>Pastilla Salina de Limón Criollo al Chile de Árbol Tostado (Key Lime, Sea Salt &amp; Charred Chile de Árbol Pastille)</t>
        </is>
      </c>
      <c r="C844" t="inlineStr">
        <is>
          <t>molde</t>
        </is>
      </c>
      <c r="D844" s="22" t="inlineStr">
        <is>
          <t>1 Molde de silicona platinada para la colada completa · amortizado entre sus coladas</t>
        </is>
      </c>
      <c r="E844" s="6" t="inlineStr">
        <is>
          <t>Molde de silicona platinada de cavidad fina</t>
        </is>
      </c>
      <c r="F844" s="16" t="n">
        <v>1</v>
      </c>
      <c r="G844" t="inlineStr">
        <is>
          <t>pz</t>
        </is>
      </c>
      <c r="H844" s="12">
        <f>IFERROR(VLOOKUP(E844,Insumos!$C$5:$G$100,5,FALSE),0)</f>
        <v/>
      </c>
      <c r="I844" s="17">
        <f>F844*H844/IF(C844="molde",MAX(1,'Mi negocio'!$C$34),1)</f>
        <v/>
      </c>
    </row>
    <row r="845">
      <c r="A845" t="n">
        <v>29</v>
      </c>
      <c r="B845" s="21" t="inlineStr">
        <is>
          <t>Pastilla Salina de Limón Criollo al Chile de Árbol Tostado (Key Lime, Sea Salt &amp; Charred Chile de Árbol Pastille)</t>
        </is>
      </c>
      <c r="C845" t="inlineStr">
        <is>
          <t>molde</t>
        </is>
      </c>
      <c r="D845" s="22" t="inlineStr">
        <is>
          <t>1 Bandeja de estufado para las 24 a 48 h de curado · amortizada entre sus usos</t>
        </is>
      </c>
      <c r="E845" s="6" t="inlineStr">
        <is>
          <t>Bandeja de estufado y rejilla de curado</t>
        </is>
      </c>
      <c r="F845" s="16" t="n">
        <v>1</v>
      </c>
      <c r="G845" t="inlineStr">
        <is>
          <t>pz</t>
        </is>
      </c>
      <c r="H845" s="12">
        <f>IFERROR(VLOOKUP(E845,Insumos!$C$5:$G$100,5,FALSE),0)</f>
        <v/>
      </c>
      <c r="I845" s="17">
        <f>F845*H845/IF(C845="molde",MAX(1,'Mi negocio'!$C$34),1)</f>
        <v/>
      </c>
    </row>
    <row r="846">
      <c r="A846" t="n">
        <v>29</v>
      </c>
      <c r="B846" s="21" t="inlineStr">
        <is>
          <t>Pastilla Salina de Limón Criollo al Chile de Árbol Tostado (Key Lime, Sea Salt &amp; Charred Chile de Árbol Pastille)</t>
        </is>
      </c>
      <c r="C846" t="inlineStr">
        <is>
          <t>empaque</t>
        </is>
      </c>
      <c r="D846" s="22" t="inlineStr">
        <is>
          <t>2 Guantes y consumibles de la colada</t>
        </is>
      </c>
      <c r="E846" s="6" t="inlineStr">
        <is>
          <t>Guantes, manga y consumibles de colada</t>
        </is>
      </c>
      <c r="F846" s="16" t="n">
        <v>2</v>
      </c>
      <c r="G846" t="inlineStr">
        <is>
          <t>pz</t>
        </is>
      </c>
      <c r="H846" s="12">
        <f>IFERROR(VLOOKUP(E846,Insumos!$C$5:$G$100,5,FALSE),0)</f>
        <v/>
      </c>
      <c r="I846" s="17">
        <f>F846*H846/IF(C846="molde",MAX(1,'Mi negocio'!$C$34),1)</f>
        <v/>
      </c>
    </row>
    <row r="847">
      <c r="A847" t="n">
        <v>30</v>
      </c>
      <c r="B847" s="21" t="inlineStr">
        <is>
          <t>Manzana Verde con Canela de Ceilán, Chipotle y Piquín (Green Apple, Ceylon Cinnamon &amp; Sweet Chipotle Drop)</t>
        </is>
      </c>
      <c r="C847" t="inlineStr">
        <is>
          <t>molde</t>
        </is>
      </c>
      <c r="D847" s="22" t="inlineStr">
        <is>
          <t>1 Molde de silicona platinada para la colada completa · amortizado entre sus coladas</t>
        </is>
      </c>
      <c r="E847" s="6" t="inlineStr">
        <is>
          <t>Molde de silicona platinada de cavidad fina</t>
        </is>
      </c>
      <c r="F847" s="16" t="n">
        <v>1</v>
      </c>
      <c r="G847" t="inlineStr">
        <is>
          <t>pz</t>
        </is>
      </c>
      <c r="H847" s="12">
        <f>IFERROR(VLOOKUP(E847,Insumos!$C$5:$G$100,5,FALSE),0)</f>
        <v/>
      </c>
      <c r="I847" s="17">
        <f>F847*H847/IF(C847="molde",MAX(1,'Mi negocio'!$C$34),1)</f>
        <v/>
      </c>
    </row>
    <row r="848">
      <c r="A848" t="n">
        <v>30</v>
      </c>
      <c r="B848" s="21" t="inlineStr">
        <is>
          <t>Manzana Verde con Canela de Ceilán, Chipotle y Piquín (Green Apple, Ceylon Cinnamon &amp; Sweet Chipotle Drop)</t>
        </is>
      </c>
      <c r="C848" t="inlineStr">
        <is>
          <t>molde</t>
        </is>
      </c>
      <c r="D848" s="22" t="inlineStr">
        <is>
          <t>1 Bandeja de estufado para las 24 a 48 h de curado · amortizada entre sus usos</t>
        </is>
      </c>
      <c r="E848" s="6" t="inlineStr">
        <is>
          <t>Bandeja de estufado y rejilla de curado</t>
        </is>
      </c>
      <c r="F848" s="16" t="n">
        <v>1</v>
      </c>
      <c r="G848" t="inlineStr">
        <is>
          <t>pz</t>
        </is>
      </c>
      <c r="H848" s="12">
        <f>IFERROR(VLOOKUP(E848,Insumos!$C$5:$G$100,5,FALSE),0)</f>
        <v/>
      </c>
      <c r="I848" s="17">
        <f>F848*H848/IF(C848="molde",MAX(1,'Mi negocio'!$C$34),1)</f>
        <v/>
      </c>
    </row>
    <row r="849">
      <c r="A849" t="n">
        <v>30</v>
      </c>
      <c r="B849" s="21" t="inlineStr">
        <is>
          <t>Manzana Verde con Canela de Ceilán, Chipotle y Piquín (Green Apple, Ceylon Cinnamon &amp; Sweet Chipotle Drop)</t>
        </is>
      </c>
      <c r="C849" t="inlineStr">
        <is>
          <t>empaque</t>
        </is>
      </c>
      <c r="D849" s="22" t="inlineStr">
        <is>
          <t>2 Guantes y consumibles de la colada</t>
        </is>
      </c>
      <c r="E849" s="6" t="inlineStr">
        <is>
          <t>Guantes, manga y consumibles de colada</t>
        </is>
      </c>
      <c r="F849" s="16" t="n">
        <v>2</v>
      </c>
      <c r="G849" t="inlineStr">
        <is>
          <t>pz</t>
        </is>
      </c>
      <c r="H849" s="12">
        <f>IFERROR(VLOOKUP(E849,Insumos!$C$5:$G$100,5,FALSE),0)</f>
        <v/>
      </c>
      <c r="I849" s="17">
        <f>F849*H849/IF(C849="molde",MAX(1,'Mi negocio'!$C$34),1)</f>
        <v/>
      </c>
    </row>
    <row r="850">
      <c r="A850" t="n">
        <v>31</v>
      </c>
      <c r="B850" s="21" t="inlineStr">
        <is>
          <t>Tiburón / Delfín Bicolor de Frambuesa Azul y Espuma Marshmallow (Two-Tone Blue Raspberry &amp; Marshmallow Foam Sea-Jelly)</t>
        </is>
      </c>
      <c r="C850" t="inlineStr">
        <is>
          <t>molde</t>
        </is>
      </c>
      <c r="D850" s="22" t="inlineStr">
        <is>
          <t>1 Molde de silicona platinada para la colada completa · amortizado entre sus coladas</t>
        </is>
      </c>
      <c r="E850" s="6" t="inlineStr">
        <is>
          <t>Molde de silicona platinada de cavidad fina</t>
        </is>
      </c>
      <c r="F850" s="16" t="n">
        <v>1</v>
      </c>
      <c r="G850" t="inlineStr">
        <is>
          <t>pz</t>
        </is>
      </c>
      <c r="H850" s="12">
        <f>IFERROR(VLOOKUP(E850,Insumos!$C$5:$G$100,5,FALSE),0)</f>
        <v/>
      </c>
      <c r="I850" s="17">
        <f>F850*H850/IF(C850="molde",MAX(1,'Mi negocio'!$C$34),1)</f>
        <v/>
      </c>
    </row>
    <row r="851">
      <c r="A851" t="n">
        <v>31</v>
      </c>
      <c r="B851" s="21" t="inlineStr">
        <is>
          <t>Tiburón / Delfín Bicolor de Frambuesa Azul y Espuma Marshmallow (Two-Tone Blue Raspberry &amp; Marshmallow Foam Sea-Jelly)</t>
        </is>
      </c>
      <c r="C851" t="inlineStr">
        <is>
          <t>molde</t>
        </is>
      </c>
      <c r="D851" s="22" t="inlineStr">
        <is>
          <t>1 Bandeja de estufado para las 24 a 48 h de curado · amortizada entre sus usos</t>
        </is>
      </c>
      <c r="E851" s="6" t="inlineStr">
        <is>
          <t>Bandeja de estufado y rejilla de curado</t>
        </is>
      </c>
      <c r="F851" s="16" t="n">
        <v>1</v>
      </c>
      <c r="G851" t="inlineStr">
        <is>
          <t>pz</t>
        </is>
      </c>
      <c r="H851" s="12">
        <f>IFERROR(VLOOKUP(E851,Insumos!$C$5:$G$100,5,FALSE),0)</f>
        <v/>
      </c>
      <c r="I851" s="17">
        <f>F851*H851/IF(C851="molde",MAX(1,'Mi negocio'!$C$34),1)</f>
        <v/>
      </c>
    </row>
    <row r="852">
      <c r="A852" t="n">
        <v>31</v>
      </c>
      <c r="B852" s="21" t="inlineStr">
        <is>
          <t>Tiburón / Delfín Bicolor de Frambuesa Azul y Espuma Marshmallow (Two-Tone Blue Raspberry &amp; Marshmallow Foam Sea-Jelly)</t>
        </is>
      </c>
      <c r="C852" t="inlineStr">
        <is>
          <t>empaque</t>
        </is>
      </c>
      <c r="D852" s="22" t="inlineStr">
        <is>
          <t>2 Guantes y consumibles de la colada</t>
        </is>
      </c>
      <c r="E852" s="6" t="inlineStr">
        <is>
          <t>Guantes, manga y consumibles de colada</t>
        </is>
      </c>
      <c r="F852" s="16" t="n">
        <v>2</v>
      </c>
      <c r="G852" t="inlineStr">
        <is>
          <t>pz</t>
        </is>
      </c>
      <c r="H852" s="12">
        <f>IFERROR(VLOOKUP(E852,Insumos!$C$5:$G$100,5,FALSE),0)</f>
        <v/>
      </c>
      <c r="I852" s="17">
        <f>F852*H852/IF(C852="molde",MAX(1,'Mi negocio'!$C$34),1)</f>
        <v/>
      </c>
    </row>
    <row r="853">
      <c r="A853" t="n">
        <v>32</v>
      </c>
      <c r="B853" s="21" t="inlineStr">
        <is>
          <t>Domo con Núcleo Líquido Inyectado de Fresa (Liquid-Center Co-Deposited Strawberry Lava Dome)</t>
        </is>
      </c>
      <c r="C853" t="inlineStr">
        <is>
          <t>molde</t>
        </is>
      </c>
      <c r="D853" s="22" t="inlineStr">
        <is>
          <t>1 Molde de silicona platinada para la colada completa · amortizado entre sus coladas</t>
        </is>
      </c>
      <c r="E853" s="6" t="inlineStr">
        <is>
          <t>Molde de silicona platinada de cavidad fina</t>
        </is>
      </c>
      <c r="F853" s="16" t="n">
        <v>1</v>
      </c>
      <c r="G853" t="inlineStr">
        <is>
          <t>pz</t>
        </is>
      </c>
      <c r="H853" s="12">
        <f>IFERROR(VLOOKUP(E853,Insumos!$C$5:$G$100,5,FALSE),0)</f>
        <v/>
      </c>
      <c r="I853" s="17">
        <f>F853*H853/IF(C853="molde",MAX(1,'Mi negocio'!$C$34),1)</f>
        <v/>
      </c>
    </row>
    <row r="854">
      <c r="A854" t="n">
        <v>32</v>
      </c>
      <c r="B854" s="21" t="inlineStr">
        <is>
          <t>Domo con Núcleo Líquido Inyectado de Fresa (Liquid-Center Co-Deposited Strawberry Lava Dome)</t>
        </is>
      </c>
      <c r="C854" t="inlineStr">
        <is>
          <t>molde</t>
        </is>
      </c>
      <c r="D854" s="22" t="inlineStr">
        <is>
          <t>1 Bandeja de estufado para las 24 a 48 h de curado · amortizada entre sus usos</t>
        </is>
      </c>
      <c r="E854" s="6" t="inlineStr">
        <is>
          <t>Bandeja de estufado y rejilla de curado</t>
        </is>
      </c>
      <c r="F854" s="16" t="n">
        <v>1</v>
      </c>
      <c r="G854" t="inlineStr">
        <is>
          <t>pz</t>
        </is>
      </c>
      <c r="H854" s="12">
        <f>IFERROR(VLOOKUP(E854,Insumos!$C$5:$G$100,5,FALSE),0)</f>
        <v/>
      </c>
      <c r="I854" s="17">
        <f>F854*H854/IF(C854="molde",MAX(1,'Mi negocio'!$C$34),1)</f>
        <v/>
      </c>
    </row>
    <row r="855">
      <c r="A855" t="n">
        <v>32</v>
      </c>
      <c r="B855" s="21" t="inlineStr">
        <is>
          <t>Domo con Núcleo Líquido Inyectado de Fresa (Liquid-Center Co-Deposited Strawberry Lava Dome)</t>
        </is>
      </c>
      <c r="C855" t="inlineStr">
        <is>
          <t>empaque</t>
        </is>
      </c>
      <c r="D855" s="22" t="inlineStr">
        <is>
          <t>2 Guantes y consumibles de la colada</t>
        </is>
      </c>
      <c r="E855" s="6" t="inlineStr">
        <is>
          <t>Guantes, manga y consumibles de colada</t>
        </is>
      </c>
      <c r="F855" s="16" t="n">
        <v>2</v>
      </c>
      <c r="G855" t="inlineStr">
        <is>
          <t>pz</t>
        </is>
      </c>
      <c r="H855" s="12">
        <f>IFERROR(VLOOKUP(E855,Insumos!$C$5:$G$100,5,FALSE),0)</f>
        <v/>
      </c>
      <c r="I855" s="17">
        <f>F855*H855/IF(C855="molde",MAX(1,'Mi negocio'!$C$34),1)</f>
        <v/>
      </c>
    </row>
    <row r="856">
      <c r="A856" t="n">
        <v>33</v>
      </c>
      <c r="B856" s="21" t="inlineStr">
        <is>
          <t>Sándwich Tricapa Napolitano de Fresa, Vainilla y Chocolate (Neapolitan Tri-Layer Marshmallow &amp; Gummy Sandwich)</t>
        </is>
      </c>
      <c r="C856" t="inlineStr">
        <is>
          <t>molde</t>
        </is>
      </c>
      <c r="D856" s="22" t="inlineStr">
        <is>
          <t>1 Molde de silicona platinada para la colada completa · amortizado entre sus coladas</t>
        </is>
      </c>
      <c r="E856" s="6" t="inlineStr">
        <is>
          <t>Molde de silicona platinada de cavidad fina</t>
        </is>
      </c>
      <c r="F856" s="16" t="n">
        <v>1</v>
      </c>
      <c r="G856" t="inlineStr">
        <is>
          <t>pz</t>
        </is>
      </c>
      <c r="H856" s="12">
        <f>IFERROR(VLOOKUP(E856,Insumos!$C$5:$G$100,5,FALSE),0)</f>
        <v/>
      </c>
      <c r="I856" s="17">
        <f>F856*H856/IF(C856="molde",MAX(1,'Mi negocio'!$C$34),1)</f>
        <v/>
      </c>
    </row>
    <row r="857">
      <c r="A857" t="n">
        <v>33</v>
      </c>
      <c r="B857" s="21" t="inlineStr">
        <is>
          <t>Sándwich Tricapa Napolitano de Fresa, Vainilla y Chocolate (Neapolitan Tri-Layer Marshmallow &amp; Gummy Sandwich)</t>
        </is>
      </c>
      <c r="C857" t="inlineStr">
        <is>
          <t>molde</t>
        </is>
      </c>
      <c r="D857" s="22" t="inlineStr">
        <is>
          <t>1 Bandeja de estufado para las 24 a 48 h de curado · amortizada entre sus usos</t>
        </is>
      </c>
      <c r="E857" s="6" t="inlineStr">
        <is>
          <t>Bandeja de estufado y rejilla de curado</t>
        </is>
      </c>
      <c r="F857" s="16" t="n">
        <v>1</v>
      </c>
      <c r="G857" t="inlineStr">
        <is>
          <t>pz</t>
        </is>
      </c>
      <c r="H857" s="12">
        <f>IFERROR(VLOOKUP(E857,Insumos!$C$5:$G$100,5,FALSE),0)</f>
        <v/>
      </c>
      <c r="I857" s="17">
        <f>F857*H857/IF(C857="molde",MAX(1,'Mi negocio'!$C$34),1)</f>
        <v/>
      </c>
    </row>
    <row r="858">
      <c r="A858" t="n">
        <v>33</v>
      </c>
      <c r="B858" s="21" t="inlineStr">
        <is>
          <t>Sándwich Tricapa Napolitano de Fresa, Vainilla y Chocolate (Neapolitan Tri-Layer Marshmallow &amp; Gummy Sandwich)</t>
        </is>
      </c>
      <c r="C858" t="inlineStr">
        <is>
          <t>empaque</t>
        </is>
      </c>
      <c r="D858" s="22" t="inlineStr">
        <is>
          <t>2 Guantes y consumibles de la colada</t>
        </is>
      </c>
      <c r="E858" s="6" t="inlineStr">
        <is>
          <t>Guantes, manga y consumibles de colada</t>
        </is>
      </c>
      <c r="F858" s="16" t="n">
        <v>2</v>
      </c>
      <c r="G858" t="inlineStr">
        <is>
          <t>pz</t>
        </is>
      </c>
      <c r="H858" s="12">
        <f>IFERROR(VLOOKUP(E858,Insumos!$C$5:$G$100,5,FALSE),0)</f>
        <v/>
      </c>
      <c r="I858" s="17">
        <f>F858*H858/IF(C858="molde",MAX(1,'Mi negocio'!$C$34),1)</f>
        <v/>
      </c>
    </row>
    <row r="859">
      <c r="A859" t="n">
        <v>34</v>
      </c>
      <c r="B859" s="21" t="inlineStr">
        <is>
          <t>Perla Encapsulada con Esfera de Isomalt y Núcleo Semilíquido (Suspended Geode Pearl with Semi-Liquid Core)</t>
        </is>
      </c>
      <c r="C859" t="inlineStr">
        <is>
          <t>molde</t>
        </is>
      </c>
      <c r="D859" s="22" t="inlineStr">
        <is>
          <t>1 Molde de silicona platinada para la colada completa · amortizado entre sus coladas</t>
        </is>
      </c>
      <c r="E859" s="6" t="inlineStr">
        <is>
          <t>Molde de silicona platinada de cavidad fina</t>
        </is>
      </c>
      <c r="F859" s="16" t="n">
        <v>1</v>
      </c>
      <c r="G859" t="inlineStr">
        <is>
          <t>pz</t>
        </is>
      </c>
      <c r="H859" s="12">
        <f>IFERROR(VLOOKUP(E859,Insumos!$C$5:$G$100,5,FALSE),0)</f>
        <v/>
      </c>
      <c r="I859" s="17">
        <f>F859*H859/IF(C859="molde",MAX(1,'Mi negocio'!$C$34),1)</f>
        <v/>
      </c>
    </row>
    <row r="860">
      <c r="A860" t="n">
        <v>34</v>
      </c>
      <c r="B860" s="21" t="inlineStr">
        <is>
          <t>Perla Encapsulada con Esfera de Isomalt y Núcleo Semilíquido (Suspended Geode Pearl with Semi-Liquid Core)</t>
        </is>
      </c>
      <c r="C860" t="inlineStr">
        <is>
          <t>molde</t>
        </is>
      </c>
      <c r="D860" s="22" t="inlineStr">
        <is>
          <t>1 Bandeja de estufado para las 24 a 48 h de curado · amortizada entre sus usos</t>
        </is>
      </c>
      <c r="E860" s="6" t="inlineStr">
        <is>
          <t>Bandeja de estufado y rejilla de curado</t>
        </is>
      </c>
      <c r="F860" s="16" t="n">
        <v>1</v>
      </c>
      <c r="G860" t="inlineStr">
        <is>
          <t>pz</t>
        </is>
      </c>
      <c r="H860" s="12">
        <f>IFERROR(VLOOKUP(E860,Insumos!$C$5:$G$100,5,FALSE),0)</f>
        <v/>
      </c>
      <c r="I860" s="17">
        <f>F860*H860/IF(C860="molde",MAX(1,'Mi negocio'!$C$34),1)</f>
        <v/>
      </c>
    </row>
    <row r="861">
      <c r="A861" t="n">
        <v>34</v>
      </c>
      <c r="B861" s="21" t="inlineStr">
        <is>
          <t>Perla Encapsulada con Esfera de Isomalt y Núcleo Semilíquido (Suspended Geode Pearl with Semi-Liquid Core)</t>
        </is>
      </c>
      <c r="C861" t="inlineStr">
        <is>
          <t>empaque</t>
        </is>
      </c>
      <c r="D861" s="22" t="inlineStr">
        <is>
          <t>2 Guantes y consumibles de la colada</t>
        </is>
      </c>
      <c r="E861" s="6" t="inlineStr">
        <is>
          <t>Guantes, manga y consumibles de colada</t>
        </is>
      </c>
      <c r="F861" s="16" t="n">
        <v>2</v>
      </c>
      <c r="G861" t="inlineStr">
        <is>
          <t>pz</t>
        </is>
      </c>
      <c r="H861" s="12">
        <f>IFERROR(VLOOKUP(E861,Insumos!$C$5:$G$100,5,FALSE),0)</f>
        <v/>
      </c>
      <c r="I861" s="17">
        <f>F861*H861/IF(C861="molde",MAX(1,'Mi negocio'!$C$34),1)</f>
        <v/>
      </c>
    </row>
    <row r="862">
      <c r="A862" t="n">
        <v>35</v>
      </c>
      <c r="B862" s="21" t="inlineStr">
        <is>
          <t>Trenza Helicoidal Bicolor de Mango y Frambuesa en Extrusión Doble (Double-Helix Extruded Mango &amp; Raspberry Twist)</t>
        </is>
      </c>
      <c r="C862" t="inlineStr">
        <is>
          <t>molde</t>
        </is>
      </c>
      <c r="D862" s="22" t="inlineStr">
        <is>
          <t>1 Molde de silicona platinada para la colada completa · amortizado entre sus coladas</t>
        </is>
      </c>
      <c r="E862" s="6" t="inlineStr">
        <is>
          <t>Molde de silicona platinada de cavidad fina</t>
        </is>
      </c>
      <c r="F862" s="16" t="n">
        <v>1</v>
      </c>
      <c r="G862" t="inlineStr">
        <is>
          <t>pz</t>
        </is>
      </c>
      <c r="H862" s="12">
        <f>IFERROR(VLOOKUP(E862,Insumos!$C$5:$G$100,5,FALSE),0)</f>
        <v/>
      </c>
      <c r="I862" s="17">
        <f>F862*H862/IF(C862="molde",MAX(1,'Mi negocio'!$C$34),1)</f>
        <v/>
      </c>
    </row>
    <row r="863">
      <c r="A863" t="n">
        <v>35</v>
      </c>
      <c r="B863" s="21" t="inlineStr">
        <is>
          <t>Trenza Helicoidal Bicolor de Mango y Frambuesa en Extrusión Doble (Double-Helix Extruded Mango &amp; Raspberry Twist)</t>
        </is>
      </c>
      <c r="C863" t="inlineStr">
        <is>
          <t>molde</t>
        </is>
      </c>
      <c r="D863" s="22" t="inlineStr">
        <is>
          <t>1 Bandeja de estufado para las 24 a 48 h de curado · amortizada entre sus usos</t>
        </is>
      </c>
      <c r="E863" s="6" t="inlineStr">
        <is>
          <t>Bandeja de estufado y rejilla de curado</t>
        </is>
      </c>
      <c r="F863" s="16" t="n">
        <v>1</v>
      </c>
      <c r="G863" t="inlineStr">
        <is>
          <t>pz</t>
        </is>
      </c>
      <c r="H863" s="12">
        <f>IFERROR(VLOOKUP(E863,Insumos!$C$5:$G$100,5,FALSE),0)</f>
        <v/>
      </c>
      <c r="I863" s="17">
        <f>F863*H863/IF(C863="molde",MAX(1,'Mi negocio'!$C$34),1)</f>
        <v/>
      </c>
    </row>
    <row r="864">
      <c r="A864" t="n">
        <v>35</v>
      </c>
      <c r="B864" s="21" t="inlineStr">
        <is>
          <t>Trenza Helicoidal Bicolor de Mango y Frambuesa en Extrusión Doble (Double-Helix Extruded Mango &amp; Raspberry Twist)</t>
        </is>
      </c>
      <c r="C864" t="inlineStr">
        <is>
          <t>empaque</t>
        </is>
      </c>
      <c r="D864" s="22" t="inlineStr">
        <is>
          <t>2 Guantes y consumibles de la colada</t>
        </is>
      </c>
      <c r="E864" s="6" t="inlineStr">
        <is>
          <t>Guantes, manga y consumibles de colada</t>
        </is>
      </c>
      <c r="F864" s="16" t="n">
        <v>2</v>
      </c>
      <c r="G864" t="inlineStr">
        <is>
          <t>pz</t>
        </is>
      </c>
      <c r="H864" s="12">
        <f>IFERROR(VLOOKUP(E864,Insumos!$C$5:$G$100,5,FALSE),0)</f>
        <v/>
      </c>
      <c r="I864" s="17">
        <f>F864*H864/IF(C864="molde",MAX(1,'Mi negocio'!$C$34),1)</f>
        <v/>
      </c>
    </row>
    <row r="865">
      <c r="A865" t="n">
        <v>36</v>
      </c>
      <c r="B865" s="21" t="inlineStr">
        <is>
          <t>Huevo Frito Clásico de Yema Cítrica y Clara Marshmallow (Sunny-Side Up Egg: Citrus Gel &amp; Vanilla Foam)</t>
        </is>
      </c>
      <c r="C865" t="inlineStr">
        <is>
          <t>molde</t>
        </is>
      </c>
      <c r="D865" s="22" t="inlineStr">
        <is>
          <t>1 Molde de silicona platinada para la colada completa · amortizado entre sus coladas</t>
        </is>
      </c>
      <c r="E865" s="6" t="inlineStr">
        <is>
          <t>Molde de silicona platinada de cavidad fina</t>
        </is>
      </c>
      <c r="F865" s="16" t="n">
        <v>1</v>
      </c>
      <c r="G865" t="inlineStr">
        <is>
          <t>pz</t>
        </is>
      </c>
      <c r="H865" s="12">
        <f>IFERROR(VLOOKUP(E865,Insumos!$C$5:$G$100,5,FALSE),0)</f>
        <v/>
      </c>
      <c r="I865" s="17">
        <f>F865*H865/IF(C865="molde",MAX(1,'Mi negocio'!$C$34),1)</f>
        <v/>
      </c>
    </row>
    <row r="866">
      <c r="A866" t="n">
        <v>36</v>
      </c>
      <c r="B866" s="21" t="inlineStr">
        <is>
          <t>Huevo Frito Clásico de Yema Cítrica y Clara Marshmallow (Sunny-Side Up Egg: Citrus Gel &amp; Vanilla Foam)</t>
        </is>
      </c>
      <c r="C866" t="inlineStr">
        <is>
          <t>molde</t>
        </is>
      </c>
      <c r="D866" s="22" t="inlineStr">
        <is>
          <t>1 Bandeja de estufado para las 24 a 48 h de curado · amortizada entre sus usos</t>
        </is>
      </c>
      <c r="E866" s="6" t="inlineStr">
        <is>
          <t>Bandeja de estufado y rejilla de curado</t>
        </is>
      </c>
      <c r="F866" s="16" t="n">
        <v>1</v>
      </c>
      <c r="G866" t="inlineStr">
        <is>
          <t>pz</t>
        </is>
      </c>
      <c r="H866" s="12">
        <f>IFERROR(VLOOKUP(E866,Insumos!$C$5:$G$100,5,FALSE),0)</f>
        <v/>
      </c>
      <c r="I866" s="17">
        <f>F866*H866/IF(C866="molde",MAX(1,'Mi negocio'!$C$34),1)</f>
        <v/>
      </c>
    </row>
    <row r="867">
      <c r="A867" t="n">
        <v>36</v>
      </c>
      <c r="B867" s="21" t="inlineStr">
        <is>
          <t>Huevo Frito Clásico de Yema Cítrica y Clara Marshmallow (Sunny-Side Up Egg: Citrus Gel &amp; Vanilla Foam)</t>
        </is>
      </c>
      <c r="C867" t="inlineStr">
        <is>
          <t>empaque</t>
        </is>
      </c>
      <c r="D867" s="22" t="inlineStr">
        <is>
          <t>2 Guantes y consumibles de la colada</t>
        </is>
      </c>
      <c r="E867" s="6" t="inlineStr">
        <is>
          <t>Guantes, manga y consumibles de colada</t>
        </is>
      </c>
      <c r="F867" s="16" t="n">
        <v>2</v>
      </c>
      <c r="G867" t="inlineStr">
        <is>
          <t>pz</t>
        </is>
      </c>
      <c r="H867" s="12">
        <f>IFERROR(VLOOKUP(E867,Insumos!$C$5:$G$100,5,FALSE),0)</f>
        <v/>
      </c>
      <c r="I867" s="17">
        <f>F867*H867/IF(C867="molde",MAX(1,'Mi negocio'!$C$34),1)</f>
        <v/>
      </c>
    </row>
    <row r="868">
      <c r="A868" t="n">
        <v>37</v>
      </c>
      <c r="B868" s="21" t="inlineStr">
        <is>
          <t>Ojo Eyeball Sangriento con Núcleo Líquido de Cereza Ácida (Spooky Eyeball with Sour Cherry Lava Core)</t>
        </is>
      </c>
      <c r="C868" t="inlineStr">
        <is>
          <t>molde</t>
        </is>
      </c>
      <c r="D868" s="22" t="inlineStr">
        <is>
          <t>1 Molde de silicona platinada para la colada completa · amortizado entre sus coladas</t>
        </is>
      </c>
      <c r="E868" s="6" t="inlineStr">
        <is>
          <t>Molde de silicona platinada de cavidad fina</t>
        </is>
      </c>
      <c r="F868" s="16" t="n">
        <v>1</v>
      </c>
      <c r="G868" t="inlineStr">
        <is>
          <t>pz</t>
        </is>
      </c>
      <c r="H868" s="12">
        <f>IFERROR(VLOOKUP(E868,Insumos!$C$5:$G$100,5,FALSE),0)</f>
        <v/>
      </c>
      <c r="I868" s="17">
        <f>F868*H868/IF(C868="molde",MAX(1,'Mi negocio'!$C$34),1)</f>
        <v/>
      </c>
    </row>
    <row r="869">
      <c r="A869" t="n">
        <v>37</v>
      </c>
      <c r="B869" s="21" t="inlineStr">
        <is>
          <t>Ojo Eyeball Sangriento con Núcleo Líquido de Cereza Ácida (Spooky Eyeball with Sour Cherry Lava Core)</t>
        </is>
      </c>
      <c r="C869" t="inlineStr">
        <is>
          <t>molde</t>
        </is>
      </c>
      <c r="D869" s="22" t="inlineStr">
        <is>
          <t>1 Bandeja de estufado para las 24 a 48 h de curado · amortizada entre sus usos</t>
        </is>
      </c>
      <c r="E869" s="6" t="inlineStr">
        <is>
          <t>Bandeja de estufado y rejilla de curado</t>
        </is>
      </c>
      <c r="F869" s="16" t="n">
        <v>1</v>
      </c>
      <c r="G869" t="inlineStr">
        <is>
          <t>pz</t>
        </is>
      </c>
      <c r="H869" s="12">
        <f>IFERROR(VLOOKUP(E869,Insumos!$C$5:$G$100,5,FALSE),0)</f>
        <v/>
      </c>
      <c r="I869" s="17">
        <f>F869*H869/IF(C869="molde",MAX(1,'Mi negocio'!$C$34),1)</f>
        <v/>
      </c>
    </row>
    <row r="870">
      <c r="A870" t="n">
        <v>37</v>
      </c>
      <c r="B870" s="21" t="inlineStr">
        <is>
          <t>Ojo Eyeball Sangriento con Núcleo Líquido de Cereza Ácida (Spooky Eyeball with Sour Cherry Lava Core)</t>
        </is>
      </c>
      <c r="C870" t="inlineStr">
        <is>
          <t>empaque</t>
        </is>
      </c>
      <c r="D870" s="22" t="inlineStr">
        <is>
          <t>2 Guantes y consumibles de la colada</t>
        </is>
      </c>
      <c r="E870" s="6" t="inlineStr">
        <is>
          <t>Guantes, manga y consumibles de colada</t>
        </is>
      </c>
      <c r="F870" s="16" t="n">
        <v>2</v>
      </c>
      <c r="G870" t="inlineStr">
        <is>
          <t>pz</t>
        </is>
      </c>
      <c r="H870" s="12">
        <f>IFERROR(VLOOKUP(E870,Insumos!$C$5:$G$100,5,FALSE),0)</f>
        <v/>
      </c>
      <c r="I870" s="17">
        <f>F870*H870/IF(C870="molde",MAX(1,'Mi negocio'!$C$34),1)</f>
        <v/>
      </c>
    </row>
    <row r="871">
      <c r="A871" t="n">
        <v>38</v>
      </c>
      <c r="B871" s="21" t="inlineStr">
        <is>
          <t>Gota Francesa Rellena de Confit Frutal en Pectina Pura (Pâte de Fruits Framboise Fourrée au Confit de Maracuyá)</t>
        </is>
      </c>
      <c r="C871" t="inlineStr">
        <is>
          <t>molde</t>
        </is>
      </c>
      <c r="D871" s="22" t="inlineStr">
        <is>
          <t>1 Molde de silicona platinada para la colada completa · amortizado entre sus coladas</t>
        </is>
      </c>
      <c r="E871" s="6" t="inlineStr">
        <is>
          <t>Molde de silicona platinada de cavidad fina</t>
        </is>
      </c>
      <c r="F871" s="16" t="n">
        <v>1</v>
      </c>
      <c r="G871" t="inlineStr">
        <is>
          <t>pz</t>
        </is>
      </c>
      <c r="H871" s="12">
        <f>IFERROR(VLOOKUP(E871,Insumos!$C$5:$G$100,5,FALSE),0)</f>
        <v/>
      </c>
      <c r="I871" s="17">
        <f>F871*H871/IF(C871="molde",MAX(1,'Mi negocio'!$C$34),1)</f>
        <v/>
      </c>
    </row>
    <row r="872">
      <c r="A872" t="n">
        <v>38</v>
      </c>
      <c r="B872" s="21" t="inlineStr">
        <is>
          <t>Gota Francesa Rellena de Confit Frutal en Pectina Pura (Pâte de Fruits Framboise Fourrée au Confit de Maracuyá)</t>
        </is>
      </c>
      <c r="C872" t="inlineStr">
        <is>
          <t>molde</t>
        </is>
      </c>
      <c r="D872" s="22" t="inlineStr">
        <is>
          <t>1 Bandeja de estufado para las 24 a 48 h de curado · amortizada entre sus usos</t>
        </is>
      </c>
      <c r="E872" s="6" t="inlineStr">
        <is>
          <t>Bandeja de estufado y rejilla de curado</t>
        </is>
      </c>
      <c r="F872" s="16" t="n">
        <v>1</v>
      </c>
      <c r="G872" t="inlineStr">
        <is>
          <t>pz</t>
        </is>
      </c>
      <c r="H872" s="12">
        <f>IFERROR(VLOOKUP(E872,Insumos!$C$5:$G$100,5,FALSE),0)</f>
        <v/>
      </c>
      <c r="I872" s="17">
        <f>F872*H872/IF(C872="molde",MAX(1,'Mi negocio'!$C$34),1)</f>
        <v/>
      </c>
    </row>
    <row r="873">
      <c r="A873" t="n">
        <v>38</v>
      </c>
      <c r="B873" s="21" t="inlineStr">
        <is>
          <t>Gota Francesa Rellena de Confit Frutal en Pectina Pura (Pâte de Fruits Framboise Fourrée au Confit de Maracuyá)</t>
        </is>
      </c>
      <c r="C873" t="inlineStr">
        <is>
          <t>empaque</t>
        </is>
      </c>
      <c r="D873" s="22" t="inlineStr">
        <is>
          <t>2 Guantes y consumibles de la colada</t>
        </is>
      </c>
      <c r="E873" s="6" t="inlineStr">
        <is>
          <t>Guantes, manga y consumibles de colada</t>
        </is>
      </c>
      <c r="F873" s="16" t="n">
        <v>2</v>
      </c>
      <c r="G873" t="inlineStr">
        <is>
          <t>pz</t>
        </is>
      </c>
      <c r="H873" s="12">
        <f>IFERROR(VLOOKUP(E873,Insumos!$C$5:$G$100,5,FALSE),0)</f>
        <v/>
      </c>
      <c r="I873" s="17">
        <f>F873*H873/IF(C873="molde",MAX(1,'Mi negocio'!$C$34),1)</f>
        <v/>
      </c>
    </row>
    <row r="874">
      <c r="A874" t="n">
        <v>39</v>
      </c>
      <c r="B874" s="21" t="inlineStr">
        <is>
          <t>Bloque Bicolor de Melocotón y Mora con Doble Viscosidad (Dual-Viscosity Peach &amp; Blackberry Layered Brick)</t>
        </is>
      </c>
      <c r="C874" t="inlineStr">
        <is>
          <t>molde</t>
        </is>
      </c>
      <c r="D874" s="22" t="inlineStr">
        <is>
          <t>1 Molde de silicona platinada para la colada completa · amortizado entre sus coladas</t>
        </is>
      </c>
      <c r="E874" s="6" t="inlineStr">
        <is>
          <t>Molde de silicona platinada de cavidad fina</t>
        </is>
      </c>
      <c r="F874" s="16" t="n">
        <v>1</v>
      </c>
      <c r="G874" t="inlineStr">
        <is>
          <t>pz</t>
        </is>
      </c>
      <c r="H874" s="12">
        <f>IFERROR(VLOOKUP(E874,Insumos!$C$5:$G$100,5,FALSE),0)</f>
        <v/>
      </c>
      <c r="I874" s="17">
        <f>F874*H874/IF(C874="molde",MAX(1,'Mi negocio'!$C$34),1)</f>
        <v/>
      </c>
    </row>
    <row r="875">
      <c r="A875" t="n">
        <v>39</v>
      </c>
      <c r="B875" s="21" t="inlineStr">
        <is>
          <t>Bloque Bicolor de Melocotón y Mora con Doble Viscosidad (Dual-Viscosity Peach &amp; Blackberry Layered Brick)</t>
        </is>
      </c>
      <c r="C875" t="inlineStr">
        <is>
          <t>molde</t>
        </is>
      </c>
      <c r="D875" s="22" t="inlineStr">
        <is>
          <t>1 Bandeja de estufado para las 24 a 48 h de curado · amortizada entre sus usos</t>
        </is>
      </c>
      <c r="E875" s="6" t="inlineStr">
        <is>
          <t>Bandeja de estufado y rejilla de curado</t>
        </is>
      </c>
      <c r="F875" s="16" t="n">
        <v>1</v>
      </c>
      <c r="G875" t="inlineStr">
        <is>
          <t>pz</t>
        </is>
      </c>
      <c r="H875" s="12">
        <f>IFERROR(VLOOKUP(E875,Insumos!$C$5:$G$100,5,FALSE),0)</f>
        <v/>
      </c>
      <c r="I875" s="17">
        <f>F875*H875/IF(C875="molde",MAX(1,'Mi negocio'!$C$34),1)</f>
        <v/>
      </c>
    </row>
    <row r="876">
      <c r="A876" t="n">
        <v>39</v>
      </c>
      <c r="B876" s="21" t="inlineStr">
        <is>
          <t>Bloque Bicolor de Melocotón y Mora con Doble Viscosidad (Dual-Viscosity Peach &amp; Blackberry Layered Brick)</t>
        </is>
      </c>
      <c r="C876" t="inlineStr">
        <is>
          <t>empaque</t>
        </is>
      </c>
      <c r="D876" s="22" t="inlineStr">
        <is>
          <t>2 Guantes y consumibles de la colada</t>
        </is>
      </c>
      <c r="E876" s="6" t="inlineStr">
        <is>
          <t>Guantes, manga y consumibles de colada</t>
        </is>
      </c>
      <c r="F876" s="16" t="n">
        <v>2</v>
      </c>
      <c r="G876" t="inlineStr">
        <is>
          <t>pz</t>
        </is>
      </c>
      <c r="H876" s="12">
        <f>IFERROR(VLOOKUP(E876,Insumos!$C$5:$G$100,5,FALSE),0)</f>
        <v/>
      </c>
      <c r="I876" s="17">
        <f>F876*H876/IF(C876="molde",MAX(1,'Mi negocio'!$C$34),1)</f>
        <v/>
      </c>
    </row>
    <row r="877">
      <c r="A877" t="n">
        <v>40</v>
      </c>
      <c r="B877" s="21" t="inlineStr">
        <is>
          <t>Nube Cítrica de Lima-Limón en Espuma Suave con Base Elástica (Marshmallow Cloud &amp; Citrus Jelly Base)</t>
        </is>
      </c>
      <c r="C877" t="inlineStr">
        <is>
          <t>molde</t>
        </is>
      </c>
      <c r="D877" s="22" t="inlineStr">
        <is>
          <t>1 Molde de silicona platinada para la colada completa · amortizado entre sus coladas</t>
        </is>
      </c>
      <c r="E877" s="6" t="inlineStr">
        <is>
          <t>Molde de silicona platinada de cavidad fina</t>
        </is>
      </c>
      <c r="F877" s="16" t="n">
        <v>1</v>
      </c>
      <c r="G877" t="inlineStr">
        <is>
          <t>pz</t>
        </is>
      </c>
      <c r="H877" s="12">
        <f>IFERROR(VLOOKUP(E877,Insumos!$C$5:$G$100,5,FALSE),0)</f>
        <v/>
      </c>
      <c r="I877" s="17">
        <f>F877*H877/IF(C877="molde",MAX(1,'Mi negocio'!$C$34),1)</f>
        <v/>
      </c>
    </row>
    <row r="878">
      <c r="A878" t="n">
        <v>40</v>
      </c>
      <c r="B878" s="21" t="inlineStr">
        <is>
          <t>Nube Cítrica de Lima-Limón en Espuma Suave con Base Elástica (Marshmallow Cloud &amp; Citrus Jelly Base)</t>
        </is>
      </c>
      <c r="C878" t="inlineStr">
        <is>
          <t>molde</t>
        </is>
      </c>
      <c r="D878" s="22" t="inlineStr">
        <is>
          <t>1 Bandeja de estufado para las 24 a 48 h de curado · amortizada entre sus usos</t>
        </is>
      </c>
      <c r="E878" s="6" t="inlineStr">
        <is>
          <t>Bandeja de estufado y rejilla de curado</t>
        </is>
      </c>
      <c r="F878" s="16" t="n">
        <v>1</v>
      </c>
      <c r="G878" t="inlineStr">
        <is>
          <t>pz</t>
        </is>
      </c>
      <c r="H878" s="12">
        <f>IFERROR(VLOOKUP(E878,Insumos!$C$5:$G$100,5,FALSE),0)</f>
        <v/>
      </c>
      <c r="I878" s="17">
        <f>F878*H878/IF(C878="molde",MAX(1,'Mi negocio'!$C$34),1)</f>
        <v/>
      </c>
    </row>
    <row r="879">
      <c r="A879" t="n">
        <v>40</v>
      </c>
      <c r="B879" s="21" t="inlineStr">
        <is>
          <t>Nube Cítrica de Lima-Limón en Espuma Suave con Base Elástica (Marshmallow Cloud &amp; Citrus Jelly Base)</t>
        </is>
      </c>
      <c r="C879" t="inlineStr">
        <is>
          <t>empaque</t>
        </is>
      </c>
      <c r="D879" s="22" t="inlineStr">
        <is>
          <t>2 Guantes y consumibles de la colada</t>
        </is>
      </c>
      <c r="E879" s="6" t="inlineStr">
        <is>
          <t>Guantes, manga y consumibles de colada</t>
        </is>
      </c>
      <c r="F879" s="16" t="n">
        <v>2</v>
      </c>
      <c r="G879" t="inlineStr">
        <is>
          <t>pz</t>
        </is>
      </c>
      <c r="H879" s="12">
        <f>IFERROR(VLOOKUP(E879,Insumos!$C$5:$G$100,5,FALSE),0)</f>
        <v/>
      </c>
      <c r="I879" s="17">
        <f>F879*H879/IF(C879="molde",MAX(1,'Mi negocio'!$C$34),1)</f>
        <v/>
      </c>
    </row>
    <row r="880">
      <c r="A880" t="n">
        <v>41</v>
      </c>
      <c r="B880" s="21" t="inlineStr">
        <is>
          <t>Perla de Gin Tonic con Enebro, Cardamomo y Pepino (Gin &amp; Tonic Botanical Jewel)</t>
        </is>
      </c>
      <c r="C880" t="inlineStr">
        <is>
          <t>molde</t>
        </is>
      </c>
      <c r="D880" s="22" t="inlineStr">
        <is>
          <t>1 Molde de silicona platinada para la colada completa · amortizado entre sus coladas</t>
        </is>
      </c>
      <c r="E880" s="6" t="inlineStr">
        <is>
          <t>Molde de silicona platinada de cavidad fina</t>
        </is>
      </c>
      <c r="F880" s="16" t="n">
        <v>1</v>
      </c>
      <c r="G880" t="inlineStr">
        <is>
          <t>pz</t>
        </is>
      </c>
      <c r="H880" s="12">
        <f>IFERROR(VLOOKUP(E880,Insumos!$C$5:$G$100,5,FALSE),0)</f>
        <v/>
      </c>
      <c r="I880" s="17">
        <f>F880*H880/IF(C880="molde",MAX(1,'Mi negocio'!$C$34),1)</f>
        <v/>
      </c>
    </row>
    <row r="881">
      <c r="A881" t="n">
        <v>41</v>
      </c>
      <c r="B881" s="21" t="inlineStr">
        <is>
          <t>Perla de Gin Tonic con Enebro, Cardamomo y Pepino (Gin &amp; Tonic Botanical Jewel)</t>
        </is>
      </c>
      <c r="C881" t="inlineStr">
        <is>
          <t>molde</t>
        </is>
      </c>
      <c r="D881" s="22" t="inlineStr">
        <is>
          <t>1 Bandeja de estufado para las 24 a 48 h de curado · amortizada entre sus usos</t>
        </is>
      </c>
      <c r="E881" s="6" t="inlineStr">
        <is>
          <t>Bandeja de estufado y rejilla de curado</t>
        </is>
      </c>
      <c r="F881" s="16" t="n">
        <v>1</v>
      </c>
      <c r="G881" t="inlineStr">
        <is>
          <t>pz</t>
        </is>
      </c>
      <c r="H881" s="12">
        <f>IFERROR(VLOOKUP(E881,Insumos!$C$5:$G$100,5,FALSE),0)</f>
        <v/>
      </c>
      <c r="I881" s="17">
        <f>F881*H881/IF(C881="molde",MAX(1,'Mi negocio'!$C$34),1)</f>
        <v/>
      </c>
    </row>
    <row r="882">
      <c r="A882" t="n">
        <v>41</v>
      </c>
      <c r="B882" s="21" t="inlineStr">
        <is>
          <t>Perla de Gin Tonic con Enebro, Cardamomo y Pepino (Gin &amp; Tonic Botanical Jewel)</t>
        </is>
      </c>
      <c r="C882" t="inlineStr">
        <is>
          <t>empaque</t>
        </is>
      </c>
      <c r="D882" s="22" t="inlineStr">
        <is>
          <t>2 Guantes y consumibles de la colada</t>
        </is>
      </c>
      <c r="E882" s="6" t="inlineStr">
        <is>
          <t>Guantes, manga y consumibles de colada</t>
        </is>
      </c>
      <c r="F882" s="16" t="n">
        <v>2</v>
      </c>
      <c r="G882" t="inlineStr">
        <is>
          <t>pz</t>
        </is>
      </c>
      <c r="H882" s="12">
        <f>IFERROR(VLOOKUP(E882,Insumos!$C$5:$G$100,5,FALSE),0)</f>
        <v/>
      </c>
      <c r="I882" s="17">
        <f>F882*H882/IF(C882="molde",MAX(1,'Mi negocio'!$C$34),1)</f>
        <v/>
      </c>
    </row>
    <row r="883">
      <c r="A883" t="n">
        <v>42</v>
      </c>
      <c r="B883" s="21" t="inlineStr">
        <is>
          <t>Confitura de Frambuesa al Vinagre Balsámico Tradicional de Módena DOP (Balsamic Raspberry &amp; Aceto di Modena DOP Pâte de Fruits)</t>
        </is>
      </c>
      <c r="C883" t="inlineStr">
        <is>
          <t>molde</t>
        </is>
      </c>
      <c r="D883" s="22" t="inlineStr">
        <is>
          <t>1 Molde de silicona platinada para la colada completa · amortizado entre sus coladas</t>
        </is>
      </c>
      <c r="E883" s="6" t="inlineStr">
        <is>
          <t>Molde de silicona platinada de cavidad fina</t>
        </is>
      </c>
      <c r="F883" s="16" t="n">
        <v>1</v>
      </c>
      <c r="G883" t="inlineStr">
        <is>
          <t>pz</t>
        </is>
      </c>
      <c r="H883" s="12">
        <f>IFERROR(VLOOKUP(E883,Insumos!$C$5:$G$100,5,FALSE),0)</f>
        <v/>
      </c>
      <c r="I883" s="17">
        <f>F883*H883/IF(C883="molde",MAX(1,'Mi negocio'!$C$34),1)</f>
        <v/>
      </c>
    </row>
    <row r="884">
      <c r="A884" t="n">
        <v>42</v>
      </c>
      <c r="B884" s="21" t="inlineStr">
        <is>
          <t>Confitura de Frambuesa al Vinagre Balsámico Tradicional de Módena DOP (Balsamic Raspberry &amp; Aceto di Modena DOP Pâte de Fruits)</t>
        </is>
      </c>
      <c r="C884" t="inlineStr">
        <is>
          <t>molde</t>
        </is>
      </c>
      <c r="D884" s="22" t="inlineStr">
        <is>
          <t>1 Bandeja de estufado para las 24 a 48 h de curado · amortizada entre sus usos</t>
        </is>
      </c>
      <c r="E884" s="6" t="inlineStr">
        <is>
          <t>Bandeja de estufado y rejilla de curado</t>
        </is>
      </c>
      <c r="F884" s="16" t="n">
        <v>1</v>
      </c>
      <c r="G884" t="inlineStr">
        <is>
          <t>pz</t>
        </is>
      </c>
      <c r="H884" s="12">
        <f>IFERROR(VLOOKUP(E884,Insumos!$C$5:$G$100,5,FALSE),0)</f>
        <v/>
      </c>
      <c r="I884" s="17">
        <f>F884*H884/IF(C884="molde",MAX(1,'Mi negocio'!$C$34),1)</f>
        <v/>
      </c>
    </row>
    <row r="885">
      <c r="A885" t="n">
        <v>42</v>
      </c>
      <c r="B885" s="21" t="inlineStr">
        <is>
          <t>Confitura de Frambuesa al Vinagre Balsámico Tradicional de Módena DOP (Balsamic Raspberry &amp; Aceto di Modena DOP Pâte de Fruits)</t>
        </is>
      </c>
      <c r="C885" t="inlineStr">
        <is>
          <t>empaque</t>
        </is>
      </c>
      <c r="D885" s="22" t="inlineStr">
        <is>
          <t>2 Guantes y consumibles de la colada</t>
        </is>
      </c>
      <c r="E885" s="6" t="inlineStr">
        <is>
          <t>Guantes, manga y consumibles de colada</t>
        </is>
      </c>
      <c r="F885" s="16" t="n">
        <v>2</v>
      </c>
      <c r="G885" t="inlineStr">
        <is>
          <t>pz</t>
        </is>
      </c>
      <c r="H885" s="12">
        <f>IFERROR(VLOOKUP(E885,Insumos!$C$5:$G$100,5,FALSE),0)</f>
        <v/>
      </c>
      <c r="I885" s="17">
        <f>F885*H885/IF(C885="molde",MAX(1,'Mi negocio'!$C$34),1)</f>
        <v/>
      </c>
    </row>
    <row r="886">
      <c r="A886" t="n">
        <v>43</v>
      </c>
      <c r="B886" s="21" t="inlineStr">
        <is>
          <t>Gomita de Cacao Grand Cru y Flor de Sal de Guérande (Pure Dark Chocolate 70% &amp; Fleur de Sel Jelly)</t>
        </is>
      </c>
      <c r="C886" t="inlineStr">
        <is>
          <t>molde</t>
        </is>
      </c>
      <c r="D886" s="22" t="inlineStr">
        <is>
          <t>1 Molde de silicona platinada para la colada completa · amortizado entre sus coladas</t>
        </is>
      </c>
      <c r="E886" s="6" t="inlineStr">
        <is>
          <t>Molde de silicona platinada de cavidad fina</t>
        </is>
      </c>
      <c r="F886" s="16" t="n">
        <v>1</v>
      </c>
      <c r="G886" t="inlineStr">
        <is>
          <t>pz</t>
        </is>
      </c>
      <c r="H886" s="12">
        <f>IFERROR(VLOOKUP(E886,Insumos!$C$5:$G$100,5,FALSE),0)</f>
        <v/>
      </c>
      <c r="I886" s="17">
        <f>F886*H886/IF(C886="molde",MAX(1,'Mi negocio'!$C$34),1)</f>
        <v/>
      </c>
    </row>
    <row r="887">
      <c r="A887" t="n">
        <v>43</v>
      </c>
      <c r="B887" s="21" t="inlineStr">
        <is>
          <t>Gomita de Cacao Grand Cru y Flor de Sal de Guérande (Pure Dark Chocolate 70% &amp; Fleur de Sel Jelly)</t>
        </is>
      </c>
      <c r="C887" t="inlineStr">
        <is>
          <t>molde</t>
        </is>
      </c>
      <c r="D887" s="22" t="inlineStr">
        <is>
          <t>1 Bandeja de estufado para las 24 a 48 h de curado · amortizada entre sus usos</t>
        </is>
      </c>
      <c r="E887" s="6" t="inlineStr">
        <is>
          <t>Bandeja de estufado y rejilla de curado</t>
        </is>
      </c>
      <c r="F887" s="16" t="n">
        <v>1</v>
      </c>
      <c r="G887" t="inlineStr">
        <is>
          <t>pz</t>
        </is>
      </c>
      <c r="H887" s="12">
        <f>IFERROR(VLOOKUP(E887,Insumos!$C$5:$G$100,5,FALSE),0)</f>
        <v/>
      </c>
      <c r="I887" s="17">
        <f>F887*H887/IF(C887="molde",MAX(1,'Mi negocio'!$C$34),1)</f>
        <v/>
      </c>
    </row>
    <row r="888">
      <c r="A888" t="n">
        <v>43</v>
      </c>
      <c r="B888" s="21" t="inlineStr">
        <is>
          <t>Gomita de Cacao Grand Cru y Flor de Sal de Guérande (Pure Dark Chocolate 70% &amp; Fleur de Sel Jelly)</t>
        </is>
      </c>
      <c r="C888" t="inlineStr">
        <is>
          <t>empaque</t>
        </is>
      </c>
      <c r="D888" s="22" t="inlineStr">
        <is>
          <t>2 Guantes y consumibles de la colada</t>
        </is>
      </c>
      <c r="E888" s="6" t="inlineStr">
        <is>
          <t>Guantes, manga y consumibles de colada</t>
        </is>
      </c>
      <c r="F888" s="16" t="n">
        <v>2</v>
      </c>
      <c r="G888" t="inlineStr">
        <is>
          <t>pz</t>
        </is>
      </c>
      <c r="H888" s="12">
        <f>IFERROR(VLOOKUP(E888,Insumos!$C$5:$G$100,5,FALSE),0)</f>
        <v/>
      </c>
      <c r="I888" s="17">
        <f>F888*H888/IF(C888="molde",MAX(1,'Mi negocio'!$C$34),1)</f>
        <v/>
      </c>
    </row>
    <row r="889">
      <c r="A889" t="n">
        <v>44</v>
      </c>
      <c r="B889" s="21" t="inlineStr">
        <is>
          <t>Domo de Té Verde Matcha Ceremonial y Limón Yuzu (Uji Matcha &amp; Yuzu Citrus Dome)</t>
        </is>
      </c>
      <c r="C889" t="inlineStr">
        <is>
          <t>molde</t>
        </is>
      </c>
      <c r="D889" s="22" t="inlineStr">
        <is>
          <t>1 Molde de silicona platinada para la colada completa · amortizado entre sus coladas</t>
        </is>
      </c>
      <c r="E889" s="6" t="inlineStr">
        <is>
          <t>Molde de silicona platinada de cavidad fina</t>
        </is>
      </c>
      <c r="F889" s="16" t="n">
        <v>1</v>
      </c>
      <c r="G889" t="inlineStr">
        <is>
          <t>pz</t>
        </is>
      </c>
      <c r="H889" s="12">
        <f>IFERROR(VLOOKUP(E889,Insumos!$C$5:$G$100,5,FALSE),0)</f>
        <v/>
      </c>
      <c r="I889" s="17">
        <f>F889*H889/IF(C889="molde",MAX(1,'Mi negocio'!$C$34),1)</f>
        <v/>
      </c>
    </row>
    <row r="890">
      <c r="A890" t="n">
        <v>44</v>
      </c>
      <c r="B890" s="21" t="inlineStr">
        <is>
          <t>Domo de Té Verde Matcha Ceremonial y Limón Yuzu (Uji Matcha &amp; Yuzu Citrus Dome)</t>
        </is>
      </c>
      <c r="C890" t="inlineStr">
        <is>
          <t>molde</t>
        </is>
      </c>
      <c r="D890" s="22" t="inlineStr">
        <is>
          <t>1 Bandeja de estufado para las 24 a 48 h de curado · amortizada entre sus usos</t>
        </is>
      </c>
      <c r="E890" s="6" t="inlineStr">
        <is>
          <t>Bandeja de estufado y rejilla de curado</t>
        </is>
      </c>
      <c r="F890" s="16" t="n">
        <v>1</v>
      </c>
      <c r="G890" t="inlineStr">
        <is>
          <t>pz</t>
        </is>
      </c>
      <c r="H890" s="12">
        <f>IFERROR(VLOOKUP(E890,Insumos!$C$5:$G$100,5,FALSE),0)</f>
        <v/>
      </c>
      <c r="I890" s="17">
        <f>F890*H890/IF(C890="molde",MAX(1,'Mi negocio'!$C$34),1)</f>
        <v/>
      </c>
    </row>
    <row r="891">
      <c r="A891" t="n">
        <v>44</v>
      </c>
      <c r="B891" s="21" t="inlineStr">
        <is>
          <t>Domo de Té Verde Matcha Ceremonial y Limón Yuzu (Uji Matcha &amp; Yuzu Citrus Dome)</t>
        </is>
      </c>
      <c r="C891" t="inlineStr">
        <is>
          <t>empaque</t>
        </is>
      </c>
      <c r="D891" s="22" t="inlineStr">
        <is>
          <t>2 Guantes y consumibles de la colada</t>
        </is>
      </c>
      <c r="E891" s="6" t="inlineStr">
        <is>
          <t>Guantes, manga y consumibles de colada</t>
        </is>
      </c>
      <c r="F891" s="16" t="n">
        <v>2</v>
      </c>
      <c r="G891" t="inlineStr">
        <is>
          <t>pz</t>
        </is>
      </c>
      <c r="H891" s="12">
        <f>IFERROR(VLOOKUP(E891,Insumos!$C$5:$G$100,5,FALSE),0)</f>
        <v/>
      </c>
      <c r="I891" s="17">
        <f>F891*H891/IF(C891="molde",MAX(1,'Mi negocio'!$C$34),1)</f>
        <v/>
      </c>
    </row>
    <row r="892">
      <c r="A892" t="n">
        <v>45</v>
      </c>
      <c r="B892" s="21" t="inlineStr">
        <is>
          <t>Joya de Maracuyá, Lavanda Francesa y Miel de Abeja Cruda (Passion Fruit, Lavender &amp; Raw Honey Botanical Gem)</t>
        </is>
      </c>
      <c r="C892" t="inlineStr">
        <is>
          <t>molde</t>
        </is>
      </c>
      <c r="D892" s="22" t="inlineStr">
        <is>
          <t>1 Molde de silicona platinada para la colada completa · amortizado entre sus coladas</t>
        </is>
      </c>
      <c r="E892" s="6" t="inlineStr">
        <is>
          <t>Molde de silicona platinada de cavidad fina</t>
        </is>
      </c>
      <c r="F892" s="16" t="n">
        <v>1</v>
      </c>
      <c r="G892" t="inlineStr">
        <is>
          <t>pz</t>
        </is>
      </c>
      <c r="H892" s="12">
        <f>IFERROR(VLOOKUP(E892,Insumos!$C$5:$G$100,5,FALSE),0)</f>
        <v/>
      </c>
      <c r="I892" s="17">
        <f>F892*H892/IF(C892="molde",MAX(1,'Mi negocio'!$C$34),1)</f>
        <v/>
      </c>
    </row>
    <row r="893">
      <c r="A893" t="n">
        <v>45</v>
      </c>
      <c r="B893" s="21" t="inlineStr">
        <is>
          <t>Joya de Maracuyá, Lavanda Francesa y Miel de Abeja Cruda (Passion Fruit, Lavender &amp; Raw Honey Botanical Gem)</t>
        </is>
      </c>
      <c r="C893" t="inlineStr">
        <is>
          <t>molde</t>
        </is>
      </c>
      <c r="D893" s="22" t="inlineStr">
        <is>
          <t>1 Bandeja de estufado para las 24 a 48 h de curado · amortizada entre sus usos</t>
        </is>
      </c>
      <c r="E893" s="6" t="inlineStr">
        <is>
          <t>Bandeja de estufado y rejilla de curado</t>
        </is>
      </c>
      <c r="F893" s="16" t="n">
        <v>1</v>
      </c>
      <c r="G893" t="inlineStr">
        <is>
          <t>pz</t>
        </is>
      </c>
      <c r="H893" s="12">
        <f>IFERROR(VLOOKUP(E893,Insumos!$C$5:$G$100,5,FALSE),0)</f>
        <v/>
      </c>
      <c r="I893" s="17">
        <f>F893*H893/IF(C893="molde",MAX(1,'Mi negocio'!$C$34),1)</f>
        <v/>
      </c>
    </row>
    <row r="894">
      <c r="A894" t="n">
        <v>45</v>
      </c>
      <c r="B894" s="21" t="inlineStr">
        <is>
          <t>Joya de Maracuyá, Lavanda Francesa y Miel de Abeja Cruda (Passion Fruit, Lavender &amp; Raw Honey Botanical Gem)</t>
        </is>
      </c>
      <c r="C894" t="inlineStr">
        <is>
          <t>empaque</t>
        </is>
      </c>
      <c r="D894" s="22" t="inlineStr">
        <is>
          <t>2 Guantes y consumibles de la colada</t>
        </is>
      </c>
      <c r="E894" s="6" t="inlineStr">
        <is>
          <t>Guantes, manga y consumibles de colada</t>
        </is>
      </c>
      <c r="F894" s="16" t="n">
        <v>2</v>
      </c>
      <c r="G894" t="inlineStr">
        <is>
          <t>pz</t>
        </is>
      </c>
      <c r="H894" s="12">
        <f>IFERROR(VLOOKUP(E894,Insumos!$C$5:$G$100,5,FALSE),0)</f>
        <v/>
      </c>
      <c r="I894" s="17">
        <f>F894*H894/IF(C894="molde",MAX(1,'Mi negocio'!$C$34),1)</f>
        <v/>
      </c>
    </row>
    <row r="895">
      <c r="A895" t="n">
        <v>46</v>
      </c>
      <c r="B895" s="21" t="inlineStr">
        <is>
          <t>Cubo de Cóctel Negroni de Autor con Naranja Amarga (Smoked Negroni &amp; Bitter Orange Cocktail Jelly)</t>
        </is>
      </c>
      <c r="C895" t="inlineStr">
        <is>
          <t>molde</t>
        </is>
      </c>
      <c r="D895" s="22" t="inlineStr">
        <is>
          <t>1 Molde de silicona platinada para la colada completa · amortizado entre sus coladas</t>
        </is>
      </c>
      <c r="E895" s="6" t="inlineStr">
        <is>
          <t>Molde de silicona platinada de cavidad fina</t>
        </is>
      </c>
      <c r="F895" s="16" t="n">
        <v>1</v>
      </c>
      <c r="G895" t="inlineStr">
        <is>
          <t>pz</t>
        </is>
      </c>
      <c r="H895" s="12">
        <f>IFERROR(VLOOKUP(E895,Insumos!$C$5:$G$100,5,FALSE),0)</f>
        <v/>
      </c>
      <c r="I895" s="17">
        <f>F895*H895/IF(C895="molde",MAX(1,'Mi negocio'!$C$34),1)</f>
        <v/>
      </c>
    </row>
    <row r="896">
      <c r="A896" t="n">
        <v>46</v>
      </c>
      <c r="B896" s="21" t="inlineStr">
        <is>
          <t>Cubo de Cóctel Negroni de Autor con Naranja Amarga (Smoked Negroni &amp; Bitter Orange Cocktail Jelly)</t>
        </is>
      </c>
      <c r="C896" t="inlineStr">
        <is>
          <t>molde</t>
        </is>
      </c>
      <c r="D896" s="22" t="inlineStr">
        <is>
          <t>1 Bandeja de estufado para las 24 a 48 h de curado · amortizada entre sus usos</t>
        </is>
      </c>
      <c r="E896" s="6" t="inlineStr">
        <is>
          <t>Bandeja de estufado y rejilla de curado</t>
        </is>
      </c>
      <c r="F896" s="16" t="n">
        <v>1</v>
      </c>
      <c r="G896" t="inlineStr">
        <is>
          <t>pz</t>
        </is>
      </c>
      <c r="H896" s="12">
        <f>IFERROR(VLOOKUP(E896,Insumos!$C$5:$G$100,5,FALSE),0)</f>
        <v/>
      </c>
      <c r="I896" s="17">
        <f>F896*H896/IF(C896="molde",MAX(1,'Mi negocio'!$C$34),1)</f>
        <v/>
      </c>
    </row>
    <row r="897">
      <c r="A897" t="n">
        <v>46</v>
      </c>
      <c r="B897" s="21" t="inlineStr">
        <is>
          <t>Cubo de Cóctel Negroni de Autor con Naranja Amarga (Smoked Negroni &amp; Bitter Orange Cocktail Jelly)</t>
        </is>
      </c>
      <c r="C897" t="inlineStr">
        <is>
          <t>empaque</t>
        </is>
      </c>
      <c r="D897" s="22" t="inlineStr">
        <is>
          <t>2 Guantes y consumibles de la colada</t>
        </is>
      </c>
      <c r="E897" s="6" t="inlineStr">
        <is>
          <t>Guantes, manga y consumibles de colada</t>
        </is>
      </c>
      <c r="F897" s="16" t="n">
        <v>2</v>
      </c>
      <c r="G897" t="inlineStr">
        <is>
          <t>pz</t>
        </is>
      </c>
      <c r="H897" s="12">
        <f>IFERROR(VLOOKUP(E897,Insumos!$C$5:$G$100,5,FALSE),0)</f>
        <v/>
      </c>
      <c r="I897" s="17">
        <f>F897*H897/IF(C897="molde",MAX(1,'Mi negocio'!$C$34),1)</f>
        <v/>
      </c>
    </row>
    <row r="898">
      <c r="A898" t="n">
        <v>47</v>
      </c>
      <c r="B898" s="21" t="inlineStr">
        <is>
          <t>Botella de Cerveza Doble IPA con Lúpulo Citra y Miel de Malta (Double IPA Hoppy Craft Beer Gummy)</t>
        </is>
      </c>
      <c r="C898" t="inlineStr">
        <is>
          <t>molde</t>
        </is>
      </c>
      <c r="D898" s="22" t="inlineStr">
        <is>
          <t>1 Molde de silicona platinada para la colada completa · amortizado entre sus coladas</t>
        </is>
      </c>
      <c r="E898" s="6" t="inlineStr">
        <is>
          <t>Molde de silicona platinada de cavidad fina</t>
        </is>
      </c>
      <c r="F898" s="16" t="n">
        <v>1</v>
      </c>
      <c r="G898" t="inlineStr">
        <is>
          <t>pz</t>
        </is>
      </c>
      <c r="H898" s="12">
        <f>IFERROR(VLOOKUP(E898,Insumos!$C$5:$G$100,5,FALSE),0)</f>
        <v/>
      </c>
      <c r="I898" s="17">
        <f>F898*H898/IF(C898="molde",MAX(1,'Mi negocio'!$C$34),1)</f>
        <v/>
      </c>
    </row>
    <row r="899">
      <c r="A899" t="n">
        <v>47</v>
      </c>
      <c r="B899" s="21" t="inlineStr">
        <is>
          <t>Botella de Cerveza Doble IPA con Lúpulo Citra y Miel de Malta (Double IPA Hoppy Craft Beer Gummy)</t>
        </is>
      </c>
      <c r="C899" t="inlineStr">
        <is>
          <t>molde</t>
        </is>
      </c>
      <c r="D899" s="22" t="inlineStr">
        <is>
          <t>1 Bandeja de estufado para las 24 a 48 h de curado · amortizada entre sus usos</t>
        </is>
      </c>
      <c r="E899" s="6" t="inlineStr">
        <is>
          <t>Bandeja de estufado y rejilla de curado</t>
        </is>
      </c>
      <c r="F899" s="16" t="n">
        <v>1</v>
      </c>
      <c r="G899" t="inlineStr">
        <is>
          <t>pz</t>
        </is>
      </c>
      <c r="H899" s="12">
        <f>IFERROR(VLOOKUP(E899,Insumos!$C$5:$G$100,5,FALSE),0)</f>
        <v/>
      </c>
      <c r="I899" s="17">
        <f>F899*H899/IF(C899="molde",MAX(1,'Mi negocio'!$C$34),1)</f>
        <v/>
      </c>
    </row>
    <row r="900">
      <c r="A900" t="n">
        <v>47</v>
      </c>
      <c r="B900" s="21" t="inlineStr">
        <is>
          <t>Botella de Cerveza Doble IPA con Lúpulo Citra y Miel de Malta (Double IPA Hoppy Craft Beer Gummy)</t>
        </is>
      </c>
      <c r="C900" t="inlineStr">
        <is>
          <t>empaque</t>
        </is>
      </c>
      <c r="D900" s="22" t="inlineStr">
        <is>
          <t>2 Guantes y consumibles de la colada</t>
        </is>
      </c>
      <c r="E900" s="6" t="inlineStr">
        <is>
          <t>Guantes, manga y consumibles de colada</t>
        </is>
      </c>
      <c r="F900" s="16" t="n">
        <v>2</v>
      </c>
      <c r="G900" t="inlineStr">
        <is>
          <t>pz</t>
        </is>
      </c>
      <c r="H900" s="12">
        <f>IFERROR(VLOOKUP(E900,Insumos!$C$5:$G$100,5,FALSE),0)</f>
        <v/>
      </c>
      <c r="I900" s="17">
        <f>F900*H900/IF(C900="molde",MAX(1,'Mi negocio'!$C$34),1)</f>
        <v/>
      </c>
    </row>
    <row r="901">
      <c r="A901" t="n">
        <v>48</v>
      </c>
      <c r="B901" s="21" t="inlineStr">
        <is>
          <t>Toffee Masticable de Caramelo Salado con Mantequilla de Bretaña (Salted Butter Caramel Chewy Toffee-Jelly)</t>
        </is>
      </c>
      <c r="C901" t="inlineStr">
        <is>
          <t>molde</t>
        </is>
      </c>
      <c r="D901" s="22" t="inlineStr">
        <is>
          <t>1 Molde de silicona platinada para la colada completa · amortizado entre sus coladas</t>
        </is>
      </c>
      <c r="E901" s="6" t="inlineStr">
        <is>
          <t>Molde de silicona platinada de cavidad fina</t>
        </is>
      </c>
      <c r="F901" s="16" t="n">
        <v>1</v>
      </c>
      <c r="G901" t="inlineStr">
        <is>
          <t>pz</t>
        </is>
      </c>
      <c r="H901" s="12">
        <f>IFERROR(VLOOKUP(E901,Insumos!$C$5:$G$100,5,FALSE),0)</f>
        <v/>
      </c>
      <c r="I901" s="17">
        <f>F901*H901/IF(C901="molde",MAX(1,'Mi negocio'!$C$34),1)</f>
        <v/>
      </c>
    </row>
    <row r="902">
      <c r="A902" t="n">
        <v>48</v>
      </c>
      <c r="B902" s="21" t="inlineStr">
        <is>
          <t>Toffee Masticable de Caramelo Salado con Mantequilla de Bretaña (Salted Butter Caramel Chewy Toffee-Jelly)</t>
        </is>
      </c>
      <c r="C902" t="inlineStr">
        <is>
          <t>molde</t>
        </is>
      </c>
      <c r="D902" s="22" t="inlineStr">
        <is>
          <t>1 Bandeja de estufado para las 24 a 48 h de curado · amortizada entre sus usos</t>
        </is>
      </c>
      <c r="E902" s="6" t="inlineStr">
        <is>
          <t>Bandeja de estufado y rejilla de curado</t>
        </is>
      </c>
      <c r="F902" s="16" t="n">
        <v>1</v>
      </c>
      <c r="G902" t="inlineStr">
        <is>
          <t>pz</t>
        </is>
      </c>
      <c r="H902" s="12">
        <f>IFERROR(VLOOKUP(E902,Insumos!$C$5:$G$100,5,FALSE),0)</f>
        <v/>
      </c>
      <c r="I902" s="17">
        <f>F902*H902/IF(C902="molde",MAX(1,'Mi negocio'!$C$34),1)</f>
        <v/>
      </c>
    </row>
    <row r="903">
      <c r="A903" t="n">
        <v>48</v>
      </c>
      <c r="B903" s="21" t="inlineStr">
        <is>
          <t>Toffee Masticable de Caramelo Salado con Mantequilla de Bretaña (Salted Butter Caramel Chewy Toffee-Jelly)</t>
        </is>
      </c>
      <c r="C903" t="inlineStr">
        <is>
          <t>empaque</t>
        </is>
      </c>
      <c r="D903" s="22" t="inlineStr">
        <is>
          <t>2 Guantes y consumibles de la colada</t>
        </is>
      </c>
      <c r="E903" s="6" t="inlineStr">
        <is>
          <t>Guantes, manga y consumibles de colada</t>
        </is>
      </c>
      <c r="F903" s="16" t="n">
        <v>2</v>
      </c>
      <c r="G903" t="inlineStr">
        <is>
          <t>pz</t>
        </is>
      </c>
      <c r="H903" s="12">
        <f>IFERROR(VLOOKUP(E903,Insumos!$C$5:$G$100,5,FALSE),0)</f>
        <v/>
      </c>
      <c r="I903" s="17">
        <f>F903*H903/IF(C903="molde",MAX(1,'Mi negocio'!$C$34),1)</f>
        <v/>
      </c>
    </row>
    <row r="904">
      <c r="A904" t="n">
        <v>49</v>
      </c>
      <c r="B904" s="21" t="inlineStr">
        <is>
          <t>Goma Funcional de Cúrcuma, Jengibre y Pimienta Negra con Curcumina Biodisponible (Anti-Inflammatory Golden Turmeric &amp; Ginger Functional Gummy)</t>
        </is>
      </c>
      <c r="C904" t="inlineStr">
        <is>
          <t>molde</t>
        </is>
      </c>
      <c r="D904" s="22" t="inlineStr">
        <is>
          <t>1 Molde de silicona platinada para la colada completa · amortizado entre sus coladas</t>
        </is>
      </c>
      <c r="E904" s="6" t="inlineStr">
        <is>
          <t>Molde de silicona platinada de cavidad fina</t>
        </is>
      </c>
      <c r="F904" s="16" t="n">
        <v>1</v>
      </c>
      <c r="G904" t="inlineStr">
        <is>
          <t>pz</t>
        </is>
      </c>
      <c r="H904" s="12">
        <f>IFERROR(VLOOKUP(E904,Insumos!$C$5:$G$100,5,FALSE),0)</f>
        <v/>
      </c>
      <c r="I904" s="17">
        <f>F904*H904/IF(C904="molde",MAX(1,'Mi negocio'!$C$34),1)</f>
        <v/>
      </c>
    </row>
    <row r="905">
      <c r="A905" t="n">
        <v>49</v>
      </c>
      <c r="B905" s="21" t="inlineStr">
        <is>
          <t>Goma Funcional de Cúrcuma, Jengibre y Pimienta Negra con Curcumina Biodisponible (Anti-Inflammatory Golden Turmeric &amp; Ginger Functional Gummy)</t>
        </is>
      </c>
      <c r="C905" t="inlineStr">
        <is>
          <t>molde</t>
        </is>
      </c>
      <c r="D905" s="22" t="inlineStr">
        <is>
          <t>1 Bandeja de estufado para las 24 a 48 h de curado · amortizada entre sus usos</t>
        </is>
      </c>
      <c r="E905" s="6" t="inlineStr">
        <is>
          <t>Bandeja de estufado y rejilla de curado</t>
        </is>
      </c>
      <c r="F905" s="16" t="n">
        <v>1</v>
      </c>
      <c r="G905" t="inlineStr">
        <is>
          <t>pz</t>
        </is>
      </c>
      <c r="H905" s="12">
        <f>IFERROR(VLOOKUP(E905,Insumos!$C$5:$G$100,5,FALSE),0)</f>
        <v/>
      </c>
      <c r="I905" s="17">
        <f>F905*H905/IF(C905="molde",MAX(1,'Mi negocio'!$C$34),1)</f>
        <v/>
      </c>
    </row>
    <row r="906">
      <c r="A906" t="n">
        <v>49</v>
      </c>
      <c r="B906" s="21" t="inlineStr">
        <is>
          <t>Goma Funcional de Cúrcuma, Jengibre y Pimienta Negra con Curcumina Biodisponible (Anti-Inflammatory Golden Turmeric &amp; Ginger Functional Gummy)</t>
        </is>
      </c>
      <c r="C906" t="inlineStr">
        <is>
          <t>empaque</t>
        </is>
      </c>
      <c r="D906" s="22" t="inlineStr">
        <is>
          <t>2 Guantes y consumibles de la colada</t>
        </is>
      </c>
      <c r="E906" s="6" t="inlineStr">
        <is>
          <t>Guantes, manga y consumibles de colada</t>
        </is>
      </c>
      <c r="F906" s="16" t="n">
        <v>2</v>
      </c>
      <c r="G906" t="inlineStr">
        <is>
          <t>pz</t>
        </is>
      </c>
      <c r="H906" s="12">
        <f>IFERROR(VLOOKUP(E906,Insumos!$C$5:$G$100,5,FALSE),0)</f>
        <v/>
      </c>
      <c r="I906" s="17">
        <f>F906*H906/IF(C906="molde",MAX(1,'Mi negocio'!$C$34),1)</f>
        <v/>
      </c>
    </row>
    <row r="907">
      <c r="A907" t="n">
        <v>50</v>
      </c>
      <c r="B907" s="21" t="inlineStr">
        <is>
          <t>Pastilla de Saúco Negro, Vitamina C y Zinc con Propóleo (Black Elderberry Immune Defense &amp; Zinc Shield)</t>
        </is>
      </c>
      <c r="C907" t="inlineStr">
        <is>
          <t>molde</t>
        </is>
      </c>
      <c r="D907" s="22" t="inlineStr">
        <is>
          <t>1 Molde de silicona platinada para la colada completa · amortizado entre sus coladas</t>
        </is>
      </c>
      <c r="E907" s="6" t="inlineStr">
        <is>
          <t>Molde de silicona platinada de cavidad fina</t>
        </is>
      </c>
      <c r="F907" s="16" t="n">
        <v>1</v>
      </c>
      <c r="G907" t="inlineStr">
        <is>
          <t>pz</t>
        </is>
      </c>
      <c r="H907" s="12">
        <f>IFERROR(VLOOKUP(E907,Insumos!$C$5:$G$100,5,FALSE),0)</f>
        <v/>
      </c>
      <c r="I907" s="17">
        <f>F907*H907/IF(C907="molde",MAX(1,'Mi negocio'!$C$34),1)</f>
        <v/>
      </c>
    </row>
    <row r="908">
      <c r="A908" t="n">
        <v>50</v>
      </c>
      <c r="B908" s="21" t="inlineStr">
        <is>
          <t>Pastilla de Saúco Negro, Vitamina C y Zinc con Propóleo (Black Elderberry Immune Defense &amp; Zinc Shield)</t>
        </is>
      </c>
      <c r="C908" t="inlineStr">
        <is>
          <t>molde</t>
        </is>
      </c>
      <c r="D908" s="22" t="inlineStr">
        <is>
          <t>1 Bandeja de estufado para las 24 a 48 h de curado · amortizada entre sus usos</t>
        </is>
      </c>
      <c r="E908" s="6" t="inlineStr">
        <is>
          <t>Bandeja de estufado y rejilla de curado</t>
        </is>
      </c>
      <c r="F908" s="16" t="n">
        <v>1</v>
      </c>
      <c r="G908" t="inlineStr">
        <is>
          <t>pz</t>
        </is>
      </c>
      <c r="H908" s="12">
        <f>IFERROR(VLOOKUP(E908,Insumos!$C$5:$G$100,5,FALSE),0)</f>
        <v/>
      </c>
      <c r="I908" s="17">
        <f>F908*H908/IF(C908="molde",MAX(1,'Mi negocio'!$C$34),1)</f>
        <v/>
      </c>
    </row>
    <row r="909">
      <c r="A909" t="n">
        <v>50</v>
      </c>
      <c r="B909" s="21" t="inlineStr">
        <is>
          <t>Pastilla de Saúco Negro, Vitamina C y Zinc con Propóleo (Black Elderberry Immune Defense &amp; Zinc Shield)</t>
        </is>
      </c>
      <c r="C909" t="inlineStr">
        <is>
          <t>empaque</t>
        </is>
      </c>
      <c r="D909" s="22" t="inlineStr">
        <is>
          <t>2 Guantes y consumibles de la colada</t>
        </is>
      </c>
      <c r="E909" s="6" t="inlineStr">
        <is>
          <t>Guantes, manga y consumibles de colada</t>
        </is>
      </c>
      <c r="F909" s="16" t="n">
        <v>2</v>
      </c>
      <c r="G909" t="inlineStr">
        <is>
          <t>pz</t>
        </is>
      </c>
      <c r="H909" s="12">
        <f>IFERROR(VLOOKUP(E909,Insumos!$C$5:$G$100,5,FALSE),0)</f>
        <v/>
      </c>
      <c r="I909" s="17">
        <f>F909*H909/IF(C909="molde",MAX(1,'Mi negocio'!$C$34),1)</f>
        <v/>
      </c>
    </row>
    <row r="910">
      <c r="A910" t="n">
        <v>1</v>
      </c>
      <c r="B910" s="21" t="inlineStr">
        <is>
          <t>Gomita Clásica de Oso de Fresa Silvestre (Classic High-Bloom Strawberry Bear)</t>
        </is>
      </c>
      <c r="C910" t="inlineStr">
        <is>
          <t>empaque</t>
        </is>
      </c>
      <c r="D910" s="22" t="inlineStr">
        <is>
          <t>5 Bolsa doypack con zipper para 100 g · 500 g de colada en bolsas de 100 g</t>
        </is>
      </c>
      <c r="E910" s="6" t="inlineStr">
        <is>
          <t>Bolsa doypack con zipper para 100 g</t>
        </is>
      </c>
      <c r="F910" s="16" t="n">
        <v>5</v>
      </c>
      <c r="G910" t="inlineStr">
        <is>
          <t>pz</t>
        </is>
      </c>
      <c r="H910" s="12">
        <f>IFERROR(VLOOKUP(E910,Insumos!$C$5:$G$100,5,FALSE),0)</f>
        <v/>
      </c>
      <c r="I910" s="17">
        <f>F910*H910/IF(C910="molde",MAX(1,'Mi negocio'!$C$34),1)</f>
        <v/>
      </c>
    </row>
    <row r="911">
      <c r="A911" t="n">
        <v>1</v>
      </c>
      <c r="B911" s="21" t="inlineStr">
        <is>
          <t>Gomita Clásica de Oso de Fresa Silvestre (Classic High-Bloom Strawberry Bear)</t>
        </is>
      </c>
      <c r="C911" t="inlineStr">
        <is>
          <t>empaque</t>
        </is>
      </c>
      <c r="D911" s="22" t="inlineStr">
        <is>
          <t>5 Etiqueta impresa con tabla nutrimental · 500 g de colada en bolsas de 100 g</t>
        </is>
      </c>
      <c r="E911" s="6" t="inlineStr">
        <is>
          <t>Etiqueta impresa con tabla nutrimental</t>
        </is>
      </c>
      <c r="F911" s="16" t="n">
        <v>5</v>
      </c>
      <c r="G911" t="inlineStr">
        <is>
          <t>pz</t>
        </is>
      </c>
      <c r="H911" s="12">
        <f>IFERROR(VLOOKUP(E911,Insumos!$C$5:$G$100,5,FALSE),0)</f>
        <v/>
      </c>
      <c r="I911" s="17">
        <f>F911*H911/IF(C911="molde",MAX(1,'Mi negocio'!$C$34),1)</f>
        <v/>
      </c>
    </row>
    <row r="912">
      <c r="A912" t="n">
        <v>1</v>
      </c>
      <c r="B912" s="21" t="inlineStr">
        <is>
          <t>Gomita Clásica de Oso de Fresa Silvestre (Classic High-Bloom Strawberry Bear)</t>
        </is>
      </c>
      <c r="C912" t="inlineStr">
        <is>
          <t>empaque</t>
        </is>
      </c>
      <c r="D912" s="22" t="inlineStr">
        <is>
          <t>5 Bolsita desecante y sello de inviolabilidad · 500 g de colada en bolsas de 100 g</t>
        </is>
      </c>
      <c r="E912" s="6" t="inlineStr">
        <is>
          <t>Bolsita desecante y sello de inviolabilidad</t>
        </is>
      </c>
      <c r="F912" s="16" t="n">
        <v>5</v>
      </c>
      <c r="G912" t="inlineStr">
        <is>
          <t>pz</t>
        </is>
      </c>
      <c r="H912" s="12">
        <f>IFERROR(VLOOKUP(E912,Insumos!$C$5:$G$100,5,FALSE),0)</f>
        <v/>
      </c>
      <c r="I912" s="17">
        <f>F912*H912/IF(C912="molde",MAX(1,'Mi negocio'!$C$34),1)</f>
        <v/>
      </c>
    </row>
    <row r="913">
      <c r="A913" t="n">
        <v>2</v>
      </c>
      <c r="B913" s="21" t="inlineStr">
        <is>
          <t>Gota Francesa de Naranja y Mandarina en Pectina de Alto Metoxilo (Pâte de Fruits Gélifiée en Pectine Jaune)</t>
        </is>
      </c>
      <c r="C913" t="inlineStr">
        <is>
          <t>empaque</t>
        </is>
      </c>
      <c r="D913" s="22" t="inlineStr">
        <is>
          <t>5 Bolsa doypack con zipper para 100 g · 480 g de colada en bolsas de 100 g</t>
        </is>
      </c>
      <c r="E913" s="6" t="inlineStr">
        <is>
          <t>Bolsa doypack con zipper para 100 g</t>
        </is>
      </c>
      <c r="F913" s="16" t="n">
        <v>5</v>
      </c>
      <c r="G913" t="inlineStr">
        <is>
          <t>pz</t>
        </is>
      </c>
      <c r="H913" s="12">
        <f>IFERROR(VLOOKUP(E913,Insumos!$C$5:$G$100,5,FALSE),0)</f>
        <v/>
      </c>
      <c r="I913" s="17">
        <f>F913*H913/IF(C913="molde",MAX(1,'Mi negocio'!$C$34),1)</f>
        <v/>
      </c>
    </row>
    <row r="914">
      <c r="A914" t="n">
        <v>2</v>
      </c>
      <c r="B914" s="21" t="inlineStr">
        <is>
          <t>Gota Francesa de Naranja y Mandarina en Pectina de Alto Metoxilo (Pâte de Fruits Gélifiée en Pectine Jaune)</t>
        </is>
      </c>
      <c r="C914" t="inlineStr">
        <is>
          <t>empaque</t>
        </is>
      </c>
      <c r="D914" s="22" t="inlineStr">
        <is>
          <t>5 Etiqueta impresa con tabla nutrimental · 480 g de colada en bolsas de 100 g</t>
        </is>
      </c>
      <c r="E914" s="6" t="inlineStr">
        <is>
          <t>Etiqueta impresa con tabla nutrimental</t>
        </is>
      </c>
      <c r="F914" s="16" t="n">
        <v>5</v>
      </c>
      <c r="G914" t="inlineStr">
        <is>
          <t>pz</t>
        </is>
      </c>
      <c r="H914" s="12">
        <f>IFERROR(VLOOKUP(E914,Insumos!$C$5:$G$100,5,FALSE),0)</f>
        <v/>
      </c>
      <c r="I914" s="17">
        <f>F914*H914/IF(C914="molde",MAX(1,'Mi negocio'!$C$34),1)</f>
        <v/>
      </c>
    </row>
    <row r="915">
      <c r="A915" t="n">
        <v>2</v>
      </c>
      <c r="B915" s="21" t="inlineStr">
        <is>
          <t>Gota Francesa de Naranja y Mandarina en Pectina de Alto Metoxilo (Pâte de Fruits Gélifiée en Pectine Jaune)</t>
        </is>
      </c>
      <c r="C915" t="inlineStr">
        <is>
          <t>empaque</t>
        </is>
      </c>
      <c r="D915" s="22" t="inlineStr">
        <is>
          <t>5 Bolsita desecante y sello de inviolabilidad · 480 g de colada en bolsas de 100 g</t>
        </is>
      </c>
      <c r="E915" s="6" t="inlineStr">
        <is>
          <t>Bolsita desecante y sello de inviolabilidad</t>
        </is>
      </c>
      <c r="F915" s="16" t="n">
        <v>5</v>
      </c>
      <c r="G915" t="inlineStr">
        <is>
          <t>pz</t>
        </is>
      </c>
      <c r="H915" s="12">
        <f>IFERROR(VLOOKUP(E915,Insumos!$C$5:$G$100,5,FALSE),0)</f>
        <v/>
      </c>
      <c r="I915" s="17">
        <f>F915*H915/IF(C915="molde",MAX(1,'Mi negocio'!$C$34),1)</f>
        <v/>
      </c>
    </row>
    <row r="916">
      <c r="A916" t="n">
        <v>3</v>
      </c>
      <c r="B916" s="21" t="inlineStr">
        <is>
          <t>Gomita Tropical de Piña Colada en Sistema Híbrido (Gelatin-Pectin Hybrid Texture)</t>
        </is>
      </c>
      <c r="C916" t="inlineStr">
        <is>
          <t>empaque</t>
        </is>
      </c>
      <c r="D916" s="22" t="inlineStr">
        <is>
          <t>5 Bolsa doypack con zipper para 100 g · 495 g de colada en bolsas de 100 g</t>
        </is>
      </c>
      <c r="E916" s="6" t="inlineStr">
        <is>
          <t>Bolsa doypack con zipper para 100 g</t>
        </is>
      </c>
      <c r="F916" s="16" t="n">
        <v>5</v>
      </c>
      <c r="G916" t="inlineStr">
        <is>
          <t>pz</t>
        </is>
      </c>
      <c r="H916" s="12">
        <f>IFERROR(VLOOKUP(E916,Insumos!$C$5:$G$100,5,FALSE),0)</f>
        <v/>
      </c>
      <c r="I916" s="17">
        <f>F916*H916/IF(C916="molde",MAX(1,'Mi negocio'!$C$34),1)</f>
        <v/>
      </c>
    </row>
    <row r="917">
      <c r="A917" t="n">
        <v>3</v>
      </c>
      <c r="B917" s="21" t="inlineStr">
        <is>
          <t>Gomita Tropical de Piña Colada en Sistema Híbrido (Gelatin-Pectin Hybrid Texture)</t>
        </is>
      </c>
      <c r="C917" t="inlineStr">
        <is>
          <t>empaque</t>
        </is>
      </c>
      <c r="D917" s="22" t="inlineStr">
        <is>
          <t>5 Etiqueta impresa con tabla nutrimental · 495 g de colada en bolsas de 100 g</t>
        </is>
      </c>
      <c r="E917" s="6" t="inlineStr">
        <is>
          <t>Etiqueta impresa con tabla nutrimental</t>
        </is>
      </c>
      <c r="F917" s="16" t="n">
        <v>5</v>
      </c>
      <c r="G917" t="inlineStr">
        <is>
          <t>pz</t>
        </is>
      </c>
      <c r="H917" s="12">
        <f>IFERROR(VLOOKUP(E917,Insumos!$C$5:$G$100,5,FALSE),0)</f>
        <v/>
      </c>
      <c r="I917" s="17">
        <f>F917*H917/IF(C917="molde",MAX(1,'Mi negocio'!$C$34),1)</f>
        <v/>
      </c>
    </row>
    <row r="918">
      <c r="A918" t="n">
        <v>3</v>
      </c>
      <c r="B918" s="21" t="inlineStr">
        <is>
          <t>Gomita Tropical de Piña Colada en Sistema Híbrido (Gelatin-Pectin Hybrid Texture)</t>
        </is>
      </c>
      <c r="C918" t="inlineStr">
        <is>
          <t>empaque</t>
        </is>
      </c>
      <c r="D918" s="22" t="inlineStr">
        <is>
          <t>5 Bolsita desecante y sello de inviolabilidad · 495 g de colada en bolsas de 100 g</t>
        </is>
      </c>
      <c r="E918" s="6" t="inlineStr">
        <is>
          <t>Bolsita desecante y sello de inviolabilidad</t>
        </is>
      </c>
      <c r="F918" s="16" t="n">
        <v>5</v>
      </c>
      <c r="G918" t="inlineStr">
        <is>
          <t>pz</t>
        </is>
      </c>
      <c r="H918" s="12">
        <f>IFERROR(VLOOKUP(E918,Insumos!$C$5:$G$100,5,FALSE),0)</f>
        <v/>
      </c>
      <c r="I918" s="17">
        <f>F918*H918/IF(C918="molde",MAX(1,'Mi negocio'!$C$34),1)</f>
        <v/>
      </c>
    </row>
    <row r="919">
      <c r="A919" t="n">
        <v>4</v>
      </c>
      <c r="B919" s="21" t="inlineStr">
        <is>
          <t>Gomita Vegana de Mango y Maracuyá en Agar-Agar Puro (Plant-Based Agar-Agar Tropical Jelly)</t>
        </is>
      </c>
      <c r="C919" t="inlineStr">
        <is>
          <t>empaque</t>
        </is>
      </c>
      <c r="D919" s="22" t="inlineStr">
        <is>
          <t>5 Bolsa doypack con zipper para 100 g · 495 g de colada en bolsas de 100 g</t>
        </is>
      </c>
      <c r="E919" s="6" t="inlineStr">
        <is>
          <t>Bolsa doypack con zipper para 100 g</t>
        </is>
      </c>
      <c r="F919" s="16" t="n">
        <v>5</v>
      </c>
      <c r="G919" t="inlineStr">
        <is>
          <t>pz</t>
        </is>
      </c>
      <c r="H919" s="12">
        <f>IFERROR(VLOOKUP(E919,Insumos!$C$5:$G$100,5,FALSE),0)</f>
        <v/>
      </c>
      <c r="I919" s="17">
        <f>F919*H919/IF(C919="molde",MAX(1,'Mi negocio'!$C$34),1)</f>
        <v/>
      </c>
    </row>
    <row r="920">
      <c r="A920" t="n">
        <v>4</v>
      </c>
      <c r="B920" s="21" t="inlineStr">
        <is>
          <t>Gomita Vegana de Mango y Maracuyá en Agar-Agar Puro (Plant-Based Agar-Agar Tropical Jelly)</t>
        </is>
      </c>
      <c r="C920" t="inlineStr">
        <is>
          <t>empaque</t>
        </is>
      </c>
      <c r="D920" s="22" t="inlineStr">
        <is>
          <t>5 Etiqueta impresa con tabla nutrimental · 495 g de colada en bolsas de 100 g</t>
        </is>
      </c>
      <c r="E920" s="6" t="inlineStr">
        <is>
          <t>Etiqueta impresa con tabla nutrimental</t>
        </is>
      </c>
      <c r="F920" s="16" t="n">
        <v>5</v>
      </c>
      <c r="G920" t="inlineStr">
        <is>
          <t>pz</t>
        </is>
      </c>
      <c r="H920" s="12">
        <f>IFERROR(VLOOKUP(E920,Insumos!$C$5:$G$100,5,FALSE),0)</f>
        <v/>
      </c>
      <c r="I920" s="17">
        <f>F920*H920/IF(C920="molde",MAX(1,'Mi negocio'!$C$34),1)</f>
        <v/>
      </c>
    </row>
    <row r="921">
      <c r="A921" t="n">
        <v>4</v>
      </c>
      <c r="B921" s="21" t="inlineStr">
        <is>
          <t>Gomita Vegana de Mango y Maracuyá en Agar-Agar Puro (Plant-Based Agar-Agar Tropical Jelly)</t>
        </is>
      </c>
      <c r="C921" t="inlineStr">
        <is>
          <t>empaque</t>
        </is>
      </c>
      <c r="D921" s="22" t="inlineStr">
        <is>
          <t>5 Bolsita desecante y sello de inviolabilidad · 495 g de colada en bolsas de 100 g</t>
        </is>
      </c>
      <c r="E921" s="6" t="inlineStr">
        <is>
          <t>Bolsita desecante y sello de inviolabilidad</t>
        </is>
      </c>
      <c r="F921" s="16" t="n">
        <v>5</v>
      </c>
      <c r="G921" t="inlineStr">
        <is>
          <t>pz</t>
        </is>
      </c>
      <c r="H921" s="12">
        <f>IFERROR(VLOOKUP(E921,Insumos!$C$5:$G$100,5,FALSE),0)</f>
        <v/>
      </c>
      <c r="I921" s="17">
        <f>F921*H921/IF(C921="molde",MAX(1,'Mi negocio'!$C$34),1)</f>
        <v/>
      </c>
    </row>
    <row r="922">
      <c r="A922" t="n">
        <v>5</v>
      </c>
      <c r="B922" s="21" t="inlineStr">
        <is>
          <t>Gomita Cristaliana de Moras Silvestres con Corazón Elástico (High-Elasticity Blackberry Drop)</t>
        </is>
      </c>
      <c r="C922" t="inlineStr">
        <is>
          <t>empaque</t>
        </is>
      </c>
      <c r="D922" s="22" t="inlineStr">
        <is>
          <t>5 Bolsa doypack con zipper para 100 g · 495 g de colada en bolsas de 100 g</t>
        </is>
      </c>
      <c r="E922" s="6" t="inlineStr">
        <is>
          <t>Bolsa doypack con zipper para 100 g</t>
        </is>
      </c>
      <c r="F922" s="16" t="n">
        <v>5</v>
      </c>
      <c r="G922" t="inlineStr">
        <is>
          <t>pz</t>
        </is>
      </c>
      <c r="H922" s="12">
        <f>IFERROR(VLOOKUP(E922,Insumos!$C$5:$G$100,5,FALSE),0)</f>
        <v/>
      </c>
      <c r="I922" s="17">
        <f>F922*H922/IF(C922="molde",MAX(1,'Mi negocio'!$C$34),1)</f>
        <v/>
      </c>
    </row>
    <row r="923">
      <c r="A923" t="n">
        <v>5</v>
      </c>
      <c r="B923" s="21" t="inlineStr">
        <is>
          <t>Gomita Cristaliana de Moras Silvestres con Corazón Elástico (High-Elasticity Blackberry Drop)</t>
        </is>
      </c>
      <c r="C923" t="inlineStr">
        <is>
          <t>empaque</t>
        </is>
      </c>
      <c r="D923" s="22" t="inlineStr">
        <is>
          <t>5 Etiqueta impresa con tabla nutrimental · 495 g de colada en bolsas de 100 g</t>
        </is>
      </c>
      <c r="E923" s="6" t="inlineStr">
        <is>
          <t>Etiqueta impresa con tabla nutrimental</t>
        </is>
      </c>
      <c r="F923" s="16" t="n">
        <v>5</v>
      </c>
      <c r="G923" t="inlineStr">
        <is>
          <t>pz</t>
        </is>
      </c>
      <c r="H923" s="12">
        <f>IFERROR(VLOOKUP(E923,Insumos!$C$5:$G$100,5,FALSE),0)</f>
        <v/>
      </c>
      <c r="I923" s="17">
        <f>F923*H923/IF(C923="molde",MAX(1,'Mi negocio'!$C$34),1)</f>
        <v/>
      </c>
    </row>
    <row r="924">
      <c r="A924" t="n">
        <v>5</v>
      </c>
      <c r="B924" s="21" t="inlineStr">
        <is>
          <t>Gomita Cristaliana de Moras Silvestres con Corazón Elástico (High-Elasticity Blackberry Drop)</t>
        </is>
      </c>
      <c r="C924" t="inlineStr">
        <is>
          <t>empaque</t>
        </is>
      </c>
      <c r="D924" s="22" t="inlineStr">
        <is>
          <t>5 Bolsita desecante y sello de inviolabilidad · 495 g de colada en bolsas de 100 g</t>
        </is>
      </c>
      <c r="E924" s="6" t="inlineStr">
        <is>
          <t>Bolsita desecante y sello de inviolabilidad</t>
        </is>
      </c>
      <c r="F924" s="16" t="n">
        <v>5</v>
      </c>
      <c r="G924" t="inlineStr">
        <is>
          <t>pz</t>
        </is>
      </c>
      <c r="H924" s="12">
        <f>IFERROR(VLOOKUP(E924,Insumos!$C$5:$G$100,5,FALSE),0)</f>
        <v/>
      </c>
      <c r="I924" s="17">
        <f>F924*H924/IF(C924="molde",MAX(1,'Mi negocio'!$C$34),1)</f>
        <v/>
      </c>
    </row>
    <row r="925">
      <c r="A925" t="n">
        <v>6</v>
      </c>
      <c r="B925" s="21" t="inlineStr">
        <is>
          <t>Gomita Traslúcida de Manzana Verde Granny Smith (Acidic Green Apple Translucent Drop)</t>
        </is>
      </c>
      <c r="C925" t="inlineStr">
        <is>
          <t>empaque</t>
        </is>
      </c>
      <c r="D925" s="22" t="inlineStr">
        <is>
          <t>5 Bolsa doypack con zipper para 100 g · 495 g de colada en bolsas de 100 g</t>
        </is>
      </c>
      <c r="E925" s="6" t="inlineStr">
        <is>
          <t>Bolsa doypack con zipper para 100 g</t>
        </is>
      </c>
      <c r="F925" s="16" t="n">
        <v>5</v>
      </c>
      <c r="G925" t="inlineStr">
        <is>
          <t>pz</t>
        </is>
      </c>
      <c r="H925" s="12">
        <f>IFERROR(VLOOKUP(E925,Insumos!$C$5:$G$100,5,FALSE),0)</f>
        <v/>
      </c>
      <c r="I925" s="17">
        <f>F925*H925/IF(C925="molde",MAX(1,'Mi negocio'!$C$34),1)</f>
        <v/>
      </c>
    </row>
    <row r="926">
      <c r="A926" t="n">
        <v>6</v>
      </c>
      <c r="B926" s="21" t="inlineStr">
        <is>
          <t>Gomita Traslúcida de Manzana Verde Granny Smith (Acidic Green Apple Translucent Drop)</t>
        </is>
      </c>
      <c r="C926" t="inlineStr">
        <is>
          <t>empaque</t>
        </is>
      </c>
      <c r="D926" s="22" t="inlineStr">
        <is>
          <t>5 Etiqueta impresa con tabla nutrimental · 495 g de colada en bolsas de 100 g</t>
        </is>
      </c>
      <c r="E926" s="6" t="inlineStr">
        <is>
          <t>Etiqueta impresa con tabla nutrimental</t>
        </is>
      </c>
      <c r="F926" s="16" t="n">
        <v>5</v>
      </c>
      <c r="G926" t="inlineStr">
        <is>
          <t>pz</t>
        </is>
      </c>
      <c r="H926" s="12">
        <f>IFERROR(VLOOKUP(E926,Insumos!$C$5:$G$100,5,FALSE),0)</f>
        <v/>
      </c>
      <c r="I926" s="17">
        <f>F926*H926/IF(C926="molde",MAX(1,'Mi negocio'!$C$34),1)</f>
        <v/>
      </c>
    </row>
    <row r="927">
      <c r="A927" t="n">
        <v>6</v>
      </c>
      <c r="B927" s="21" t="inlineStr">
        <is>
          <t>Gomita Traslúcida de Manzana Verde Granny Smith (Acidic Green Apple Translucent Drop)</t>
        </is>
      </c>
      <c r="C927" t="inlineStr">
        <is>
          <t>empaque</t>
        </is>
      </c>
      <c r="D927" s="22" t="inlineStr">
        <is>
          <t>5 Bolsita desecante y sello de inviolabilidad · 495 g de colada en bolsas de 100 g</t>
        </is>
      </c>
      <c r="E927" s="6" t="inlineStr">
        <is>
          <t>Bolsita desecante y sello de inviolabilidad</t>
        </is>
      </c>
      <c r="F927" s="16" t="n">
        <v>5</v>
      </c>
      <c r="G927" t="inlineStr">
        <is>
          <t>pz</t>
        </is>
      </c>
      <c r="H927" s="12">
        <f>IFERROR(VLOOKUP(E927,Insumos!$C$5:$G$100,5,FALSE),0)</f>
        <v/>
      </c>
      <c r="I927" s="17">
        <f>F927*H927/IF(C927="molde",MAX(1,'Mi negocio'!$C$34),1)</f>
        <v/>
      </c>
    </row>
    <row r="928">
      <c r="A928" t="n">
        <v>7</v>
      </c>
      <c r="B928" s="21" t="inlineStr">
        <is>
          <t>Domo de Uva Moscatel en Carragenato Kappa-Iota (Vegan Grape Jelly in Kappa-Iota Carrageenan Matrix)</t>
        </is>
      </c>
      <c r="C928" t="inlineStr">
        <is>
          <t>empaque</t>
        </is>
      </c>
      <c r="D928" s="22" t="inlineStr">
        <is>
          <t>5 Bolsa doypack con zipper para 100 g · 490 g de colada en bolsas de 100 g</t>
        </is>
      </c>
      <c r="E928" s="6" t="inlineStr">
        <is>
          <t>Bolsa doypack con zipper para 100 g</t>
        </is>
      </c>
      <c r="F928" s="16" t="n">
        <v>5</v>
      </c>
      <c r="G928" t="inlineStr">
        <is>
          <t>pz</t>
        </is>
      </c>
      <c r="H928" s="12">
        <f>IFERROR(VLOOKUP(E928,Insumos!$C$5:$G$100,5,FALSE),0)</f>
        <v/>
      </c>
      <c r="I928" s="17">
        <f>F928*H928/IF(C928="molde",MAX(1,'Mi negocio'!$C$34),1)</f>
        <v/>
      </c>
    </row>
    <row r="929">
      <c r="A929" t="n">
        <v>7</v>
      </c>
      <c r="B929" s="21" t="inlineStr">
        <is>
          <t>Domo de Uva Moscatel en Carragenato Kappa-Iota (Vegan Grape Jelly in Kappa-Iota Carrageenan Matrix)</t>
        </is>
      </c>
      <c r="C929" t="inlineStr">
        <is>
          <t>empaque</t>
        </is>
      </c>
      <c r="D929" s="22" t="inlineStr">
        <is>
          <t>5 Etiqueta impresa con tabla nutrimental · 490 g de colada en bolsas de 100 g</t>
        </is>
      </c>
      <c r="E929" s="6" t="inlineStr">
        <is>
          <t>Etiqueta impresa con tabla nutrimental</t>
        </is>
      </c>
      <c r="F929" s="16" t="n">
        <v>5</v>
      </c>
      <c r="G929" t="inlineStr">
        <is>
          <t>pz</t>
        </is>
      </c>
      <c r="H929" s="12">
        <f>IFERROR(VLOOKUP(E929,Insumos!$C$5:$G$100,5,FALSE),0)</f>
        <v/>
      </c>
      <c r="I929" s="17">
        <f>F929*H929/IF(C929="molde",MAX(1,'Mi negocio'!$C$34),1)</f>
        <v/>
      </c>
    </row>
    <row r="930">
      <c r="A930" t="n">
        <v>7</v>
      </c>
      <c r="B930" s="21" t="inlineStr">
        <is>
          <t>Domo de Uva Moscatel en Carragenato Kappa-Iota (Vegan Grape Jelly in Kappa-Iota Carrageenan Matrix)</t>
        </is>
      </c>
      <c r="C930" t="inlineStr">
        <is>
          <t>empaque</t>
        </is>
      </c>
      <c r="D930" s="22" t="inlineStr">
        <is>
          <t>5 Bolsita desecante y sello de inviolabilidad · 490 g de colada en bolsas de 100 g</t>
        </is>
      </c>
      <c r="E930" s="6" t="inlineStr">
        <is>
          <t>Bolsita desecante y sello de inviolabilidad</t>
        </is>
      </c>
      <c r="F930" s="16" t="n">
        <v>5</v>
      </c>
      <c r="G930" t="inlineStr">
        <is>
          <t>pz</t>
        </is>
      </c>
      <c r="H930" s="12">
        <f>IFERROR(VLOOKUP(E930,Insumos!$C$5:$G$100,5,FALSE),0)</f>
        <v/>
      </c>
      <c r="I930" s="17">
        <f>F930*H930/IF(C930="molde",MAX(1,'Mi negocio'!$C$34),1)</f>
        <v/>
      </c>
    </row>
    <row r="931">
      <c r="A931" t="n">
        <v>8</v>
      </c>
      <c r="B931" s="21" t="inlineStr">
        <is>
          <t>Gomita Reducida en Azúcar de Melocotón y Durazno en Pectina LMA (Low Methoxyl Amidated Pectin Peach Gummy)</t>
        </is>
      </c>
      <c r="C931" t="inlineStr">
        <is>
          <t>empaque</t>
        </is>
      </c>
      <c r="D931" s="22" t="inlineStr">
        <is>
          <t>5 Bolsa doypack con zipper para 100 g · 495 g de colada en bolsas de 100 g</t>
        </is>
      </c>
      <c r="E931" s="6" t="inlineStr">
        <is>
          <t>Bolsa doypack con zipper para 100 g</t>
        </is>
      </c>
      <c r="F931" s="16" t="n">
        <v>5</v>
      </c>
      <c r="G931" t="inlineStr">
        <is>
          <t>pz</t>
        </is>
      </c>
      <c r="H931" s="12">
        <f>IFERROR(VLOOKUP(E931,Insumos!$C$5:$G$100,5,FALSE),0)</f>
        <v/>
      </c>
      <c r="I931" s="17">
        <f>F931*H931/IF(C931="molde",MAX(1,'Mi negocio'!$C$34),1)</f>
        <v/>
      </c>
    </row>
    <row r="932">
      <c r="A932" t="n">
        <v>8</v>
      </c>
      <c r="B932" s="21" t="inlineStr">
        <is>
          <t>Gomita Reducida en Azúcar de Melocotón y Durazno en Pectina LMA (Low Methoxyl Amidated Pectin Peach Gummy)</t>
        </is>
      </c>
      <c r="C932" t="inlineStr">
        <is>
          <t>empaque</t>
        </is>
      </c>
      <c r="D932" s="22" t="inlineStr">
        <is>
          <t>5 Etiqueta impresa con tabla nutrimental · 495 g de colada en bolsas de 100 g</t>
        </is>
      </c>
      <c r="E932" s="6" t="inlineStr">
        <is>
          <t>Etiqueta impresa con tabla nutrimental</t>
        </is>
      </c>
      <c r="F932" s="16" t="n">
        <v>5</v>
      </c>
      <c r="G932" t="inlineStr">
        <is>
          <t>pz</t>
        </is>
      </c>
      <c r="H932" s="12">
        <f>IFERROR(VLOOKUP(E932,Insumos!$C$5:$G$100,5,FALSE),0)</f>
        <v/>
      </c>
      <c r="I932" s="17">
        <f>F932*H932/IF(C932="molde",MAX(1,'Mi negocio'!$C$34),1)</f>
        <v/>
      </c>
    </row>
    <row r="933">
      <c r="A933" t="n">
        <v>8</v>
      </c>
      <c r="B933" s="21" t="inlineStr">
        <is>
          <t>Gomita Reducida en Azúcar de Melocotón y Durazno en Pectina LMA (Low Methoxyl Amidated Pectin Peach Gummy)</t>
        </is>
      </c>
      <c r="C933" t="inlineStr">
        <is>
          <t>empaque</t>
        </is>
      </c>
      <c r="D933" s="22" t="inlineStr">
        <is>
          <t>5 Bolsita desecante y sello de inviolabilidad · 495 g de colada en bolsas de 100 g</t>
        </is>
      </c>
      <c r="E933" s="6" t="inlineStr">
        <is>
          <t>Bolsita desecante y sello de inviolabilidad</t>
        </is>
      </c>
      <c r="F933" s="16" t="n">
        <v>5</v>
      </c>
      <c r="G933" t="inlineStr">
        <is>
          <t>pz</t>
        </is>
      </c>
      <c r="H933" s="12">
        <f>IFERROR(VLOOKUP(E933,Insumos!$C$5:$G$100,5,FALSE),0)</f>
        <v/>
      </c>
      <c r="I933" s="17">
        <f>F933*H933/IF(C933="molde",MAX(1,'Mi negocio'!$C$34),1)</f>
        <v/>
      </c>
    </row>
    <row r="934">
      <c r="A934" t="n">
        <v>9</v>
      </c>
      <c r="B934" s="21" t="inlineStr">
        <is>
          <t>Perla de Frutos Rojos en Pectina Lenta (Slow-Set HM Pectin Red Berry Gem)</t>
        </is>
      </c>
      <c r="C934" t="inlineStr">
        <is>
          <t>empaque</t>
        </is>
      </c>
      <c r="D934" s="22" t="inlineStr">
        <is>
          <t>5 Bolsa doypack con zipper para 100 g · 500 g de colada en bolsas de 100 g</t>
        </is>
      </c>
      <c r="E934" s="6" t="inlineStr">
        <is>
          <t>Bolsa doypack con zipper para 100 g</t>
        </is>
      </c>
      <c r="F934" s="16" t="n">
        <v>5</v>
      </c>
      <c r="G934" t="inlineStr">
        <is>
          <t>pz</t>
        </is>
      </c>
      <c r="H934" s="12">
        <f>IFERROR(VLOOKUP(E934,Insumos!$C$5:$G$100,5,FALSE),0)</f>
        <v/>
      </c>
      <c r="I934" s="17">
        <f>F934*H934/IF(C934="molde",MAX(1,'Mi negocio'!$C$34),1)</f>
        <v/>
      </c>
    </row>
    <row r="935">
      <c r="A935" t="n">
        <v>9</v>
      </c>
      <c r="B935" s="21" t="inlineStr">
        <is>
          <t>Perla de Frutos Rojos en Pectina Lenta (Slow-Set HM Pectin Red Berry Gem)</t>
        </is>
      </c>
      <c r="C935" t="inlineStr">
        <is>
          <t>empaque</t>
        </is>
      </c>
      <c r="D935" s="22" t="inlineStr">
        <is>
          <t>5 Etiqueta impresa con tabla nutrimental · 500 g de colada en bolsas de 100 g</t>
        </is>
      </c>
      <c r="E935" s="6" t="inlineStr">
        <is>
          <t>Etiqueta impresa con tabla nutrimental</t>
        </is>
      </c>
      <c r="F935" s="16" t="n">
        <v>5</v>
      </c>
      <c r="G935" t="inlineStr">
        <is>
          <t>pz</t>
        </is>
      </c>
      <c r="H935" s="12">
        <f>IFERROR(VLOOKUP(E935,Insumos!$C$5:$G$100,5,FALSE),0)</f>
        <v/>
      </c>
      <c r="I935" s="17">
        <f>F935*H935/IF(C935="molde",MAX(1,'Mi negocio'!$C$34),1)</f>
        <v/>
      </c>
    </row>
    <row r="936">
      <c r="A936" t="n">
        <v>9</v>
      </c>
      <c r="B936" s="21" t="inlineStr">
        <is>
          <t>Perla de Frutos Rojos en Pectina Lenta (Slow-Set HM Pectin Red Berry Gem)</t>
        </is>
      </c>
      <c r="C936" t="inlineStr">
        <is>
          <t>empaque</t>
        </is>
      </c>
      <c r="D936" s="22" t="inlineStr">
        <is>
          <t>5 Bolsita desecante y sello de inviolabilidad · 500 g de colada en bolsas de 100 g</t>
        </is>
      </c>
      <c r="E936" s="6" t="inlineStr">
        <is>
          <t>Bolsita desecante y sello de inviolabilidad</t>
        </is>
      </c>
      <c r="F936" s="16" t="n">
        <v>5</v>
      </c>
      <c r="G936" t="inlineStr">
        <is>
          <t>pz</t>
        </is>
      </c>
      <c r="H936" s="12">
        <f>IFERROR(VLOOKUP(E936,Insumos!$C$5:$G$100,5,FALSE),0)</f>
        <v/>
      </c>
      <c r="I936" s="17">
        <f>F936*H936/IF(C936="molde",MAX(1,'Mi negocio'!$C$34),1)</f>
        <v/>
      </c>
    </row>
    <row r="937">
      <c r="A937" t="n">
        <v>10</v>
      </c>
      <c r="B937" s="21" t="inlineStr">
        <is>
          <t>Pastilla de Goma Balsámica de Limón Criollo y Eucalipto (Balsamic Eucalyptus &amp; Key Lime Pastille)</t>
        </is>
      </c>
      <c r="C937" t="inlineStr">
        <is>
          <t>empaque</t>
        </is>
      </c>
      <c r="D937" s="22" t="inlineStr">
        <is>
          <t>5 Bolsa doypack con zipper para 100 g · 500 g de colada en bolsas de 100 g</t>
        </is>
      </c>
      <c r="E937" s="6" t="inlineStr">
        <is>
          <t>Bolsa doypack con zipper para 100 g</t>
        </is>
      </c>
      <c r="F937" s="16" t="n">
        <v>5</v>
      </c>
      <c r="G937" t="inlineStr">
        <is>
          <t>pz</t>
        </is>
      </c>
      <c r="H937" s="12">
        <f>IFERROR(VLOOKUP(E937,Insumos!$C$5:$G$100,5,FALSE),0)</f>
        <v/>
      </c>
      <c r="I937" s="17">
        <f>F937*H937/IF(C937="molde",MAX(1,'Mi negocio'!$C$34),1)</f>
        <v/>
      </c>
    </row>
    <row r="938">
      <c r="A938" t="n">
        <v>10</v>
      </c>
      <c r="B938" s="21" t="inlineStr">
        <is>
          <t>Pastilla de Goma Balsámica de Limón Criollo y Eucalipto (Balsamic Eucalyptus &amp; Key Lime Pastille)</t>
        </is>
      </c>
      <c r="C938" t="inlineStr">
        <is>
          <t>empaque</t>
        </is>
      </c>
      <c r="D938" s="22" t="inlineStr">
        <is>
          <t>5 Etiqueta impresa con tabla nutrimental · 500 g de colada en bolsas de 100 g</t>
        </is>
      </c>
      <c r="E938" s="6" t="inlineStr">
        <is>
          <t>Etiqueta impresa con tabla nutrimental</t>
        </is>
      </c>
      <c r="F938" s="16" t="n">
        <v>5</v>
      </c>
      <c r="G938" t="inlineStr">
        <is>
          <t>pz</t>
        </is>
      </c>
      <c r="H938" s="12">
        <f>IFERROR(VLOOKUP(E938,Insumos!$C$5:$G$100,5,FALSE),0)</f>
        <v/>
      </c>
      <c r="I938" s="17">
        <f>F938*H938/IF(C938="molde",MAX(1,'Mi negocio'!$C$34),1)</f>
        <v/>
      </c>
    </row>
    <row r="939">
      <c r="A939" t="n">
        <v>10</v>
      </c>
      <c r="B939" s="21" t="inlineStr">
        <is>
          <t>Pastilla de Goma Balsámica de Limón Criollo y Eucalipto (Balsamic Eucalyptus &amp; Key Lime Pastille)</t>
        </is>
      </c>
      <c r="C939" t="inlineStr">
        <is>
          <t>empaque</t>
        </is>
      </c>
      <c r="D939" s="22" t="inlineStr">
        <is>
          <t>5 Bolsita desecante y sello de inviolabilidad · 500 g de colada en bolsas de 100 g</t>
        </is>
      </c>
      <c r="E939" s="6" t="inlineStr">
        <is>
          <t>Bolsita desecante y sello de inviolabilidad</t>
        </is>
      </c>
      <c r="F939" s="16" t="n">
        <v>5</v>
      </c>
      <c r="G939" t="inlineStr">
        <is>
          <t>pz</t>
        </is>
      </c>
      <c r="H939" s="12">
        <f>IFERROR(VLOOKUP(E939,Insumos!$C$5:$G$100,5,FALSE),0)</f>
        <v/>
      </c>
      <c r="I939" s="17">
        <f>F939*H939/IF(C939="molde",MAX(1,'Mi negocio'!$C$34),1)</f>
        <v/>
      </c>
    </row>
    <row r="940">
      <c r="A940" t="n">
        <v>11</v>
      </c>
      <c r="B940" s="21" t="inlineStr">
        <is>
          <t>Lengua / Tira Ácida de Fresa Salvaje (Ultra-Sour Strawberry Sanded Ribbon)</t>
        </is>
      </c>
      <c r="C940" t="inlineStr">
        <is>
          <t>empaque</t>
        </is>
      </c>
      <c r="D940" s="22" t="inlineStr">
        <is>
          <t>5 Bolsa doypack con zipper para 100 g · 500 g de colada en bolsas de 100 g</t>
        </is>
      </c>
      <c r="E940" s="6" t="inlineStr">
        <is>
          <t>Bolsa doypack con zipper para 100 g</t>
        </is>
      </c>
      <c r="F940" s="16" t="n">
        <v>5</v>
      </c>
      <c r="G940" t="inlineStr">
        <is>
          <t>pz</t>
        </is>
      </c>
      <c r="H940" s="12">
        <f>IFERROR(VLOOKUP(E940,Insumos!$C$5:$G$100,5,FALSE),0)</f>
        <v/>
      </c>
      <c r="I940" s="17">
        <f>F940*H940/IF(C940="molde",MAX(1,'Mi negocio'!$C$34),1)</f>
        <v/>
      </c>
    </row>
    <row r="941">
      <c r="A941" t="n">
        <v>11</v>
      </c>
      <c r="B941" s="21" t="inlineStr">
        <is>
          <t>Lengua / Tira Ácida de Fresa Salvaje (Ultra-Sour Strawberry Sanded Ribbon)</t>
        </is>
      </c>
      <c r="C941" t="inlineStr">
        <is>
          <t>empaque</t>
        </is>
      </c>
      <c r="D941" s="22" t="inlineStr">
        <is>
          <t>5 Etiqueta impresa con tabla nutrimental · 500 g de colada en bolsas de 100 g</t>
        </is>
      </c>
      <c r="E941" s="6" t="inlineStr">
        <is>
          <t>Etiqueta impresa con tabla nutrimental</t>
        </is>
      </c>
      <c r="F941" s="16" t="n">
        <v>5</v>
      </c>
      <c r="G941" t="inlineStr">
        <is>
          <t>pz</t>
        </is>
      </c>
      <c r="H941" s="12">
        <f>IFERROR(VLOOKUP(E941,Insumos!$C$5:$G$100,5,FALSE),0)</f>
        <v/>
      </c>
      <c r="I941" s="17">
        <f>F941*H941/IF(C941="molde",MAX(1,'Mi negocio'!$C$34),1)</f>
        <v/>
      </c>
    </row>
    <row r="942">
      <c r="A942" t="n">
        <v>11</v>
      </c>
      <c r="B942" s="21" t="inlineStr">
        <is>
          <t>Lengua / Tira Ácida de Fresa Salvaje (Ultra-Sour Strawberry Sanded Ribbon)</t>
        </is>
      </c>
      <c r="C942" t="inlineStr">
        <is>
          <t>empaque</t>
        </is>
      </c>
      <c r="D942" s="22" t="inlineStr">
        <is>
          <t>5 Bolsita desecante y sello de inviolabilidad · 500 g de colada en bolsas de 100 g</t>
        </is>
      </c>
      <c r="E942" s="6" t="inlineStr">
        <is>
          <t>Bolsita desecante y sello de inviolabilidad</t>
        </is>
      </c>
      <c r="F942" s="16" t="n">
        <v>5</v>
      </c>
      <c r="G942" t="inlineStr">
        <is>
          <t>pz</t>
        </is>
      </c>
      <c r="H942" s="12">
        <f>IFERROR(VLOOKUP(E942,Insumos!$C$5:$G$100,5,FALSE),0)</f>
        <v/>
      </c>
      <c r="I942" s="17">
        <f>F942*H942/IF(C942="molde",MAX(1,'Mi negocio'!$C$34),1)</f>
        <v/>
      </c>
    </row>
    <row r="943">
      <c r="A943" t="n">
        <v>12</v>
      </c>
      <c r="B943" s="21" t="inlineStr">
        <is>
          <t>Gajo Super-Ácido de Limón Eureka y Yuzu (Extreme Citrus Yuzu-Lemon Wedge)</t>
        </is>
      </c>
      <c r="C943" t="inlineStr">
        <is>
          <t>empaque</t>
        </is>
      </c>
      <c r="D943" s="22" t="inlineStr">
        <is>
          <t>5 Bolsa doypack con zipper para 100 g · 500 g de colada en bolsas de 100 g</t>
        </is>
      </c>
      <c r="E943" s="6" t="inlineStr">
        <is>
          <t>Bolsa doypack con zipper para 100 g</t>
        </is>
      </c>
      <c r="F943" s="16" t="n">
        <v>5</v>
      </c>
      <c r="G943" t="inlineStr">
        <is>
          <t>pz</t>
        </is>
      </c>
      <c r="H943" s="12">
        <f>IFERROR(VLOOKUP(E943,Insumos!$C$5:$G$100,5,FALSE),0)</f>
        <v/>
      </c>
      <c r="I943" s="17">
        <f>F943*H943/IF(C943="molde",MAX(1,'Mi negocio'!$C$34),1)</f>
        <v/>
      </c>
    </row>
    <row r="944">
      <c r="A944" t="n">
        <v>12</v>
      </c>
      <c r="B944" s="21" t="inlineStr">
        <is>
          <t>Gajo Super-Ácido de Limón Eureka y Yuzu (Extreme Citrus Yuzu-Lemon Wedge)</t>
        </is>
      </c>
      <c r="C944" t="inlineStr">
        <is>
          <t>empaque</t>
        </is>
      </c>
      <c r="D944" s="22" t="inlineStr">
        <is>
          <t>5 Etiqueta impresa con tabla nutrimental · 500 g de colada en bolsas de 100 g</t>
        </is>
      </c>
      <c r="E944" s="6" t="inlineStr">
        <is>
          <t>Etiqueta impresa con tabla nutrimental</t>
        </is>
      </c>
      <c r="F944" s="16" t="n">
        <v>5</v>
      </c>
      <c r="G944" t="inlineStr">
        <is>
          <t>pz</t>
        </is>
      </c>
      <c r="H944" s="12">
        <f>IFERROR(VLOOKUP(E944,Insumos!$C$5:$G$100,5,FALSE),0)</f>
        <v/>
      </c>
      <c r="I944" s="17">
        <f>F944*H944/IF(C944="molde",MAX(1,'Mi negocio'!$C$34),1)</f>
        <v/>
      </c>
    </row>
    <row r="945">
      <c r="A945" t="n">
        <v>12</v>
      </c>
      <c r="B945" s="21" t="inlineStr">
        <is>
          <t>Gajo Super-Ácido de Limón Eureka y Yuzu (Extreme Citrus Yuzu-Lemon Wedge)</t>
        </is>
      </c>
      <c r="C945" t="inlineStr">
        <is>
          <t>empaque</t>
        </is>
      </c>
      <c r="D945" s="22" t="inlineStr">
        <is>
          <t>5 Bolsita desecante y sello de inviolabilidad · 500 g de colada en bolsas de 100 g</t>
        </is>
      </c>
      <c r="E945" s="6" t="inlineStr">
        <is>
          <t>Bolsita desecante y sello de inviolabilidad</t>
        </is>
      </c>
      <c r="F945" s="16" t="n">
        <v>5</v>
      </c>
      <c r="G945" t="inlineStr">
        <is>
          <t>pz</t>
        </is>
      </c>
      <c r="H945" s="12">
        <f>IFERROR(VLOOKUP(E945,Insumos!$C$5:$G$100,5,FALSE),0)</f>
        <v/>
      </c>
      <c r="I945" s="17">
        <f>F945*H945/IF(C945="molde",MAX(1,'Mi negocio'!$C$34),1)</f>
        <v/>
      </c>
    </row>
    <row r="946">
      <c r="A946" t="n">
        <v>13</v>
      </c>
      <c r="B946" s="21" t="inlineStr">
        <is>
          <t>Cubo Ácido de Maracuyá y Granada en Pectina Lenta (Sour Passion Fruit &amp; Pomegranate HM Jelly)</t>
        </is>
      </c>
      <c r="C946" t="inlineStr">
        <is>
          <t>empaque</t>
        </is>
      </c>
      <c r="D946" s="22" t="inlineStr">
        <is>
          <t>5 Bolsa doypack con zipper para 100 g · 495 g de colada en bolsas de 100 g</t>
        </is>
      </c>
      <c r="E946" s="6" t="inlineStr">
        <is>
          <t>Bolsa doypack con zipper para 100 g</t>
        </is>
      </c>
      <c r="F946" s="16" t="n">
        <v>5</v>
      </c>
      <c r="G946" t="inlineStr">
        <is>
          <t>pz</t>
        </is>
      </c>
      <c r="H946" s="12">
        <f>IFERROR(VLOOKUP(E946,Insumos!$C$5:$G$100,5,FALSE),0)</f>
        <v/>
      </c>
      <c r="I946" s="17">
        <f>F946*H946/IF(C946="molde",MAX(1,'Mi negocio'!$C$34),1)</f>
        <v/>
      </c>
    </row>
    <row r="947">
      <c r="A947" t="n">
        <v>13</v>
      </c>
      <c r="B947" s="21" t="inlineStr">
        <is>
          <t>Cubo Ácido de Maracuyá y Granada en Pectina Lenta (Sour Passion Fruit &amp; Pomegranate HM Jelly)</t>
        </is>
      </c>
      <c r="C947" t="inlineStr">
        <is>
          <t>empaque</t>
        </is>
      </c>
      <c r="D947" s="22" t="inlineStr">
        <is>
          <t>5 Etiqueta impresa con tabla nutrimental · 495 g de colada en bolsas de 100 g</t>
        </is>
      </c>
      <c r="E947" s="6" t="inlineStr">
        <is>
          <t>Etiqueta impresa con tabla nutrimental</t>
        </is>
      </c>
      <c r="F947" s="16" t="n">
        <v>5</v>
      </c>
      <c r="G947" t="inlineStr">
        <is>
          <t>pz</t>
        </is>
      </c>
      <c r="H947" s="12">
        <f>IFERROR(VLOOKUP(E947,Insumos!$C$5:$G$100,5,FALSE),0)</f>
        <v/>
      </c>
      <c r="I947" s="17">
        <f>F947*H947/IF(C947="molde",MAX(1,'Mi negocio'!$C$34),1)</f>
        <v/>
      </c>
    </row>
    <row r="948">
      <c r="A948" t="n">
        <v>13</v>
      </c>
      <c r="B948" s="21" t="inlineStr">
        <is>
          <t>Cubo Ácido de Maracuyá y Granada en Pectina Lenta (Sour Passion Fruit &amp; Pomegranate HM Jelly)</t>
        </is>
      </c>
      <c r="C948" t="inlineStr">
        <is>
          <t>empaque</t>
        </is>
      </c>
      <c r="D948" s="22" t="inlineStr">
        <is>
          <t>5 Bolsita desecante y sello de inviolabilidad · 495 g de colada en bolsas de 100 g</t>
        </is>
      </c>
      <c r="E948" s="6" t="inlineStr">
        <is>
          <t>Bolsita desecante y sello de inviolabilidad</t>
        </is>
      </c>
      <c r="F948" s="16" t="n">
        <v>5</v>
      </c>
      <c r="G948" t="inlineStr">
        <is>
          <t>pz</t>
        </is>
      </c>
      <c r="H948" s="12">
        <f>IFERROR(VLOOKUP(E948,Insumos!$C$5:$G$100,5,FALSE),0)</f>
        <v/>
      </c>
      <c r="I948" s="17">
        <f>F948*H948/IF(C948="molde",MAX(1,'Mi negocio'!$C$34),1)</f>
        <v/>
      </c>
    </row>
    <row r="949">
      <c r="A949" t="n">
        <v>14</v>
      </c>
      <c r="B949" s="21" t="inlineStr">
        <is>
          <t>Lágrima de Toronja Rosa y Flor de Saúco con Búfer de Lactato (Buffered Ruby Grapefruit &amp; Elderflower Sour Tear)</t>
        </is>
      </c>
      <c r="C949" t="inlineStr">
        <is>
          <t>empaque</t>
        </is>
      </c>
      <c r="D949" s="22" t="inlineStr">
        <is>
          <t>5 Bolsa doypack con zipper para 100 g · 490 g de colada en bolsas de 100 g</t>
        </is>
      </c>
      <c r="E949" s="6" t="inlineStr">
        <is>
          <t>Bolsa doypack con zipper para 100 g</t>
        </is>
      </c>
      <c r="F949" s="16" t="n">
        <v>5</v>
      </c>
      <c r="G949" t="inlineStr">
        <is>
          <t>pz</t>
        </is>
      </c>
      <c r="H949" s="12">
        <f>IFERROR(VLOOKUP(E949,Insumos!$C$5:$G$100,5,FALSE),0)</f>
        <v/>
      </c>
      <c r="I949" s="17">
        <f>F949*H949/IF(C949="molde",MAX(1,'Mi negocio'!$C$34),1)</f>
        <v/>
      </c>
    </row>
    <row r="950">
      <c r="A950" t="n">
        <v>14</v>
      </c>
      <c r="B950" s="21" t="inlineStr">
        <is>
          <t>Lágrima de Toronja Rosa y Flor de Saúco con Búfer de Lactato (Buffered Ruby Grapefruit &amp; Elderflower Sour Tear)</t>
        </is>
      </c>
      <c r="C950" t="inlineStr">
        <is>
          <t>empaque</t>
        </is>
      </c>
      <c r="D950" s="22" t="inlineStr">
        <is>
          <t>5 Etiqueta impresa con tabla nutrimental · 490 g de colada en bolsas de 100 g</t>
        </is>
      </c>
      <c r="E950" s="6" t="inlineStr">
        <is>
          <t>Etiqueta impresa con tabla nutrimental</t>
        </is>
      </c>
      <c r="F950" s="16" t="n">
        <v>5</v>
      </c>
      <c r="G950" t="inlineStr">
        <is>
          <t>pz</t>
        </is>
      </c>
      <c r="H950" s="12">
        <f>IFERROR(VLOOKUP(E950,Insumos!$C$5:$G$100,5,FALSE),0)</f>
        <v/>
      </c>
      <c r="I950" s="17">
        <f>F950*H950/IF(C950="molde",MAX(1,'Mi negocio'!$C$34),1)</f>
        <v/>
      </c>
    </row>
    <row r="951">
      <c r="A951" t="n">
        <v>14</v>
      </c>
      <c r="B951" s="21" t="inlineStr">
        <is>
          <t>Lágrima de Toronja Rosa y Flor de Saúco con Búfer de Lactato (Buffered Ruby Grapefruit &amp; Elderflower Sour Tear)</t>
        </is>
      </c>
      <c r="C951" t="inlineStr">
        <is>
          <t>empaque</t>
        </is>
      </c>
      <c r="D951" s="22" t="inlineStr">
        <is>
          <t>5 Bolsita desecante y sello de inviolabilidad · 490 g de colada en bolsas de 100 g</t>
        </is>
      </c>
      <c r="E951" s="6" t="inlineStr">
        <is>
          <t>Bolsita desecante y sello de inviolabilidad</t>
        </is>
      </c>
      <c r="F951" s="16" t="n">
        <v>5</v>
      </c>
      <c r="G951" t="inlineStr">
        <is>
          <t>pz</t>
        </is>
      </c>
      <c r="H951" s="12">
        <f>IFERROR(VLOOKUP(E951,Insumos!$C$5:$G$100,5,FALSE),0)</f>
        <v/>
      </c>
      <c r="I951" s="17">
        <f>F951*H951/IF(C951="molde",MAX(1,'Mi negocio'!$C$34),1)</f>
        <v/>
      </c>
    </row>
    <row r="952">
      <c r="A952" t="n">
        <v>15</v>
      </c>
      <c r="B952" s="21" t="inlineStr">
        <is>
          <t>Botón Ácido de Fruta de la Pasión y Lima Kaffir (Kaffir Lime &amp; Passion Fruit Sour Button)</t>
        </is>
      </c>
      <c r="C952" t="inlineStr">
        <is>
          <t>empaque</t>
        </is>
      </c>
      <c r="D952" s="22" t="inlineStr">
        <is>
          <t>5 Bolsa doypack con zipper para 100 g · 495 g de colada en bolsas de 100 g</t>
        </is>
      </c>
      <c r="E952" s="6" t="inlineStr">
        <is>
          <t>Bolsa doypack con zipper para 100 g</t>
        </is>
      </c>
      <c r="F952" s="16" t="n">
        <v>5</v>
      </c>
      <c r="G952" t="inlineStr">
        <is>
          <t>pz</t>
        </is>
      </c>
      <c r="H952" s="12">
        <f>IFERROR(VLOOKUP(E952,Insumos!$C$5:$G$100,5,FALSE),0)</f>
        <v/>
      </c>
      <c r="I952" s="17">
        <f>F952*H952/IF(C952="molde",MAX(1,'Mi negocio'!$C$34),1)</f>
        <v/>
      </c>
    </row>
    <row r="953">
      <c r="A953" t="n">
        <v>15</v>
      </c>
      <c r="B953" s="21" t="inlineStr">
        <is>
          <t>Botón Ácido de Fruta de la Pasión y Lima Kaffir (Kaffir Lime &amp; Passion Fruit Sour Button)</t>
        </is>
      </c>
      <c r="C953" t="inlineStr">
        <is>
          <t>empaque</t>
        </is>
      </c>
      <c r="D953" s="22" t="inlineStr">
        <is>
          <t>5 Etiqueta impresa con tabla nutrimental · 495 g de colada en bolsas de 100 g</t>
        </is>
      </c>
      <c r="E953" s="6" t="inlineStr">
        <is>
          <t>Etiqueta impresa con tabla nutrimental</t>
        </is>
      </c>
      <c r="F953" s="16" t="n">
        <v>5</v>
      </c>
      <c r="G953" t="inlineStr">
        <is>
          <t>pz</t>
        </is>
      </c>
      <c r="H953" s="12">
        <f>IFERROR(VLOOKUP(E953,Insumos!$C$5:$G$100,5,FALSE),0)</f>
        <v/>
      </c>
      <c r="I953" s="17">
        <f>F953*H953/IF(C953="molde",MAX(1,'Mi negocio'!$C$34),1)</f>
        <v/>
      </c>
    </row>
    <row r="954">
      <c r="A954" t="n">
        <v>15</v>
      </c>
      <c r="B954" s="21" t="inlineStr">
        <is>
          <t>Botón Ácido de Fruta de la Pasión y Lima Kaffir (Kaffir Lime &amp; Passion Fruit Sour Button)</t>
        </is>
      </c>
      <c r="C954" t="inlineStr">
        <is>
          <t>empaque</t>
        </is>
      </c>
      <c r="D954" s="22" t="inlineStr">
        <is>
          <t>5 Bolsita desecante y sello de inviolabilidad · 495 g de colada en bolsas de 100 g</t>
        </is>
      </c>
      <c r="E954" s="6" t="inlineStr">
        <is>
          <t>Bolsita desecante y sello de inviolabilidad</t>
        </is>
      </c>
      <c r="F954" s="16" t="n">
        <v>5</v>
      </c>
      <c r="G954" t="inlineStr">
        <is>
          <t>pz</t>
        </is>
      </c>
      <c r="H954" s="12">
        <f>IFERROR(VLOOKUP(E954,Insumos!$C$5:$G$100,5,FALSE),0)</f>
        <v/>
      </c>
      <c r="I954" s="17">
        <f>F954*H954/IF(C954="molde",MAX(1,'Mi negocio'!$C$34),1)</f>
        <v/>
      </c>
    </row>
    <row r="955">
      <c r="A955" t="n">
        <v>16</v>
      </c>
      <c r="B955" s="21" t="inlineStr">
        <is>
          <t>Botella Efervescente de Cola Ácida (Fizzy Sour Cola Bottle)</t>
        </is>
      </c>
      <c r="C955" t="inlineStr">
        <is>
          <t>empaque</t>
        </is>
      </c>
      <c r="D955" s="22" t="inlineStr">
        <is>
          <t>5 Bolsa doypack con zipper para 100 g · 500 g de colada en bolsas de 100 g</t>
        </is>
      </c>
      <c r="E955" s="6" t="inlineStr">
        <is>
          <t>Bolsa doypack con zipper para 100 g</t>
        </is>
      </c>
      <c r="F955" s="16" t="n">
        <v>5</v>
      </c>
      <c r="G955" t="inlineStr">
        <is>
          <t>pz</t>
        </is>
      </c>
      <c r="H955" s="12">
        <f>IFERROR(VLOOKUP(E955,Insumos!$C$5:$G$100,5,FALSE),0)</f>
        <v/>
      </c>
      <c r="I955" s="17">
        <f>F955*H955/IF(C955="molde",MAX(1,'Mi negocio'!$C$34),1)</f>
        <v/>
      </c>
    </row>
    <row r="956">
      <c r="A956" t="n">
        <v>16</v>
      </c>
      <c r="B956" s="21" t="inlineStr">
        <is>
          <t>Botella Efervescente de Cola Ácida (Fizzy Sour Cola Bottle)</t>
        </is>
      </c>
      <c r="C956" t="inlineStr">
        <is>
          <t>empaque</t>
        </is>
      </c>
      <c r="D956" s="22" t="inlineStr">
        <is>
          <t>5 Etiqueta impresa con tabla nutrimental · 500 g de colada en bolsas de 100 g</t>
        </is>
      </c>
      <c r="E956" s="6" t="inlineStr">
        <is>
          <t>Etiqueta impresa con tabla nutrimental</t>
        </is>
      </c>
      <c r="F956" s="16" t="n">
        <v>5</v>
      </c>
      <c r="G956" t="inlineStr">
        <is>
          <t>pz</t>
        </is>
      </c>
      <c r="H956" s="12">
        <f>IFERROR(VLOOKUP(E956,Insumos!$C$5:$G$100,5,FALSE),0)</f>
        <v/>
      </c>
      <c r="I956" s="17">
        <f>F956*H956/IF(C956="molde",MAX(1,'Mi negocio'!$C$34),1)</f>
        <v/>
      </c>
    </row>
    <row r="957">
      <c r="A957" t="n">
        <v>16</v>
      </c>
      <c r="B957" s="21" t="inlineStr">
        <is>
          <t>Botella Efervescente de Cola Ácida (Fizzy Sour Cola Bottle)</t>
        </is>
      </c>
      <c r="C957" t="inlineStr">
        <is>
          <t>empaque</t>
        </is>
      </c>
      <c r="D957" s="22" t="inlineStr">
        <is>
          <t>5 Bolsita desecante y sello de inviolabilidad · 500 g de colada en bolsas de 100 g</t>
        </is>
      </c>
      <c r="E957" s="6" t="inlineStr">
        <is>
          <t>Bolsita desecante y sello de inviolabilidad</t>
        </is>
      </c>
      <c r="F957" s="16" t="n">
        <v>5</v>
      </c>
      <c r="G957" t="inlineStr">
        <is>
          <t>pz</t>
        </is>
      </c>
      <c r="H957" s="12">
        <f>IFERROR(VLOOKUP(E957,Insumos!$C$5:$G$100,5,FALSE),0)</f>
        <v/>
      </c>
      <c r="I957" s="17">
        <f>F957*H957/IF(C957="molde",MAX(1,'Mi negocio'!$C$34),1)</f>
        <v/>
      </c>
    </row>
    <row r="958">
      <c r="A958" t="n">
        <v>17</v>
      </c>
      <c r="B958" s="21" t="inlineStr">
        <is>
          <t>Cinta Ácida de Naranja Sangrienta y Granada (Sour Blood Orange &amp; Pomegranate Belt)</t>
        </is>
      </c>
      <c r="C958" t="inlineStr">
        <is>
          <t>empaque</t>
        </is>
      </c>
      <c r="D958" s="22" t="inlineStr">
        <is>
          <t>19 Bolsa doypack con zipper para 100 g · 1875 g de colada en bolsas de 100 g</t>
        </is>
      </c>
      <c r="E958" s="6" t="inlineStr">
        <is>
          <t>Bolsa doypack con zipper para 100 g</t>
        </is>
      </c>
      <c r="F958" s="16" t="n">
        <v>19</v>
      </c>
      <c r="G958" t="inlineStr">
        <is>
          <t>pz</t>
        </is>
      </c>
      <c r="H958" s="12">
        <f>IFERROR(VLOOKUP(E958,Insumos!$C$5:$G$100,5,FALSE),0)</f>
        <v/>
      </c>
      <c r="I958" s="17">
        <f>F958*H958/IF(C958="molde",MAX(1,'Mi negocio'!$C$34),1)</f>
        <v/>
      </c>
    </row>
    <row r="959">
      <c r="A959" t="n">
        <v>17</v>
      </c>
      <c r="B959" s="21" t="inlineStr">
        <is>
          <t>Cinta Ácida de Naranja Sangrienta y Granada (Sour Blood Orange &amp; Pomegranate Belt)</t>
        </is>
      </c>
      <c r="C959" t="inlineStr">
        <is>
          <t>empaque</t>
        </is>
      </c>
      <c r="D959" s="22" t="inlineStr">
        <is>
          <t>19 Etiqueta impresa con tabla nutrimental · 1875 g de colada en bolsas de 100 g</t>
        </is>
      </c>
      <c r="E959" s="6" t="inlineStr">
        <is>
          <t>Etiqueta impresa con tabla nutrimental</t>
        </is>
      </c>
      <c r="F959" s="16" t="n">
        <v>19</v>
      </c>
      <c r="G959" t="inlineStr">
        <is>
          <t>pz</t>
        </is>
      </c>
      <c r="H959" s="12">
        <f>IFERROR(VLOOKUP(E959,Insumos!$C$5:$G$100,5,FALSE),0)</f>
        <v/>
      </c>
      <c r="I959" s="17">
        <f>F959*H959/IF(C959="molde",MAX(1,'Mi negocio'!$C$34),1)</f>
        <v/>
      </c>
    </row>
    <row r="960">
      <c r="A960" t="n">
        <v>17</v>
      </c>
      <c r="B960" s="21" t="inlineStr">
        <is>
          <t>Cinta Ácida de Naranja Sangrienta y Granada (Sour Blood Orange &amp; Pomegranate Belt)</t>
        </is>
      </c>
      <c r="C960" t="inlineStr">
        <is>
          <t>empaque</t>
        </is>
      </c>
      <c r="D960" s="22" t="inlineStr">
        <is>
          <t>19 Bolsita desecante y sello de inviolabilidad · 1875 g de colada en bolsas de 100 g</t>
        </is>
      </c>
      <c r="E960" s="6" t="inlineStr">
        <is>
          <t>Bolsita desecante y sello de inviolabilidad</t>
        </is>
      </c>
      <c r="F960" s="16" t="n">
        <v>19</v>
      </c>
      <c r="G960" t="inlineStr">
        <is>
          <t>pz</t>
        </is>
      </c>
      <c r="H960" s="12">
        <f>IFERROR(VLOOKUP(E960,Insumos!$C$5:$G$100,5,FALSE),0)</f>
        <v/>
      </c>
      <c r="I960" s="17">
        <f>F960*H960/IF(C960="molde",MAX(1,'Mi negocio'!$C$34),1)</f>
        <v/>
      </c>
    </row>
    <row r="961">
      <c r="A961" t="n">
        <v>18</v>
      </c>
      <c r="B961" s="21" t="inlineStr">
        <is>
          <t>Esfera de Mandarina Verde y Lima-Limón en Pectina Rápida (Quick-Gel Green Mandarin Sour Orb)</t>
        </is>
      </c>
      <c r="C961" t="inlineStr">
        <is>
          <t>empaque</t>
        </is>
      </c>
      <c r="D961" s="22" t="inlineStr">
        <is>
          <t>5 Bolsa doypack con zipper para 100 g · 495 g de colada en bolsas de 100 g</t>
        </is>
      </c>
      <c r="E961" s="6" t="inlineStr">
        <is>
          <t>Bolsa doypack con zipper para 100 g</t>
        </is>
      </c>
      <c r="F961" s="16" t="n">
        <v>5</v>
      </c>
      <c r="G961" t="inlineStr">
        <is>
          <t>pz</t>
        </is>
      </c>
      <c r="H961" s="12">
        <f>IFERROR(VLOOKUP(E961,Insumos!$C$5:$G$100,5,FALSE),0)</f>
        <v/>
      </c>
      <c r="I961" s="17">
        <f>F961*H961/IF(C961="molde",MAX(1,'Mi negocio'!$C$34),1)</f>
        <v/>
      </c>
    </row>
    <row r="962">
      <c r="A962" t="n">
        <v>18</v>
      </c>
      <c r="B962" s="21" t="inlineStr">
        <is>
          <t>Esfera de Mandarina Verde y Lima-Limón en Pectina Rápida (Quick-Gel Green Mandarin Sour Orb)</t>
        </is>
      </c>
      <c r="C962" t="inlineStr">
        <is>
          <t>empaque</t>
        </is>
      </c>
      <c r="D962" s="22" t="inlineStr">
        <is>
          <t>5 Etiqueta impresa con tabla nutrimental · 495 g de colada en bolsas de 100 g</t>
        </is>
      </c>
      <c r="E962" s="6" t="inlineStr">
        <is>
          <t>Etiqueta impresa con tabla nutrimental</t>
        </is>
      </c>
      <c r="F962" s="16" t="n">
        <v>5</v>
      </c>
      <c r="G962" t="inlineStr">
        <is>
          <t>pz</t>
        </is>
      </c>
      <c r="H962" s="12">
        <f>IFERROR(VLOOKUP(E962,Insumos!$C$5:$G$100,5,FALSE),0)</f>
        <v/>
      </c>
      <c r="I962" s="17">
        <f>F962*H962/IF(C962="molde",MAX(1,'Mi negocio'!$C$34),1)</f>
        <v/>
      </c>
    </row>
    <row r="963">
      <c r="A963" t="n">
        <v>18</v>
      </c>
      <c r="B963" s="21" t="inlineStr">
        <is>
          <t>Esfera de Mandarina Verde y Lima-Limón en Pectina Rápida (Quick-Gel Green Mandarin Sour Orb)</t>
        </is>
      </c>
      <c r="C963" t="inlineStr">
        <is>
          <t>empaque</t>
        </is>
      </c>
      <c r="D963" s="22" t="inlineStr">
        <is>
          <t>5 Bolsita desecante y sello de inviolabilidad · 495 g de colada en bolsas de 100 g</t>
        </is>
      </c>
      <c r="E963" s="6" t="inlineStr">
        <is>
          <t>Bolsita desecante y sello de inviolabilidad</t>
        </is>
      </c>
      <c r="F963" s="16" t="n">
        <v>5</v>
      </c>
      <c r="G963" t="inlineStr">
        <is>
          <t>pz</t>
        </is>
      </c>
      <c r="H963" s="12">
        <f>IFERROR(VLOOKUP(E963,Insumos!$C$5:$G$100,5,FALSE),0)</f>
        <v/>
      </c>
      <c r="I963" s="17">
        <f>F963*H963/IF(C963="molde",MAX(1,'Mi negocio'!$C$34),1)</f>
        <v/>
      </c>
    </row>
    <row r="964">
      <c r="A964" t="n">
        <v>19</v>
      </c>
      <c r="B964" s="21" t="inlineStr">
        <is>
          <t>Aro Ácido de Manzana y Grosella Negra (Sour Blackcurrant &amp; Green Apple Ring)</t>
        </is>
      </c>
      <c r="C964" t="inlineStr">
        <is>
          <t>empaque</t>
        </is>
      </c>
      <c r="D964" s="22" t="inlineStr">
        <is>
          <t>5 Bolsa doypack con zipper para 100 g · 495 g de colada en bolsas de 100 g</t>
        </is>
      </c>
      <c r="E964" s="6" t="inlineStr">
        <is>
          <t>Bolsa doypack con zipper para 100 g</t>
        </is>
      </c>
      <c r="F964" s="16" t="n">
        <v>5</v>
      </c>
      <c r="G964" t="inlineStr">
        <is>
          <t>pz</t>
        </is>
      </c>
      <c r="H964" s="12">
        <f>IFERROR(VLOOKUP(E964,Insumos!$C$5:$G$100,5,FALSE),0)</f>
        <v/>
      </c>
      <c r="I964" s="17">
        <f>F964*H964/IF(C964="molde",MAX(1,'Mi negocio'!$C$34),1)</f>
        <v/>
      </c>
    </row>
    <row r="965">
      <c r="A965" t="n">
        <v>19</v>
      </c>
      <c r="B965" s="21" t="inlineStr">
        <is>
          <t>Aro Ácido de Manzana y Grosella Negra (Sour Blackcurrant &amp; Green Apple Ring)</t>
        </is>
      </c>
      <c r="C965" t="inlineStr">
        <is>
          <t>empaque</t>
        </is>
      </c>
      <c r="D965" s="22" t="inlineStr">
        <is>
          <t>5 Etiqueta impresa con tabla nutrimental · 495 g de colada en bolsas de 100 g</t>
        </is>
      </c>
      <c r="E965" s="6" t="inlineStr">
        <is>
          <t>Etiqueta impresa con tabla nutrimental</t>
        </is>
      </c>
      <c r="F965" s="16" t="n">
        <v>5</v>
      </c>
      <c r="G965" t="inlineStr">
        <is>
          <t>pz</t>
        </is>
      </c>
      <c r="H965" s="12">
        <f>IFERROR(VLOOKUP(E965,Insumos!$C$5:$G$100,5,FALSE),0)</f>
        <v/>
      </c>
      <c r="I965" s="17">
        <f>F965*H965/IF(C965="molde",MAX(1,'Mi negocio'!$C$34),1)</f>
        <v/>
      </c>
    </row>
    <row r="966">
      <c r="A966" t="n">
        <v>19</v>
      </c>
      <c r="B966" s="21" t="inlineStr">
        <is>
          <t>Aro Ácido de Manzana y Grosella Negra (Sour Blackcurrant &amp; Green Apple Ring)</t>
        </is>
      </c>
      <c r="C966" t="inlineStr">
        <is>
          <t>empaque</t>
        </is>
      </c>
      <c r="D966" s="22" t="inlineStr">
        <is>
          <t>5 Bolsita desecante y sello de inviolabilidad · 495 g de colada en bolsas de 100 g</t>
        </is>
      </c>
      <c r="E966" s="6" t="inlineStr">
        <is>
          <t>Bolsita desecante y sello de inviolabilidad</t>
        </is>
      </c>
      <c r="F966" s="16" t="n">
        <v>5</v>
      </c>
      <c r="G966" t="inlineStr">
        <is>
          <t>pz</t>
        </is>
      </c>
      <c r="H966" s="12">
        <f>IFERROR(VLOOKUP(E966,Insumos!$C$5:$G$100,5,FALSE),0)</f>
        <v/>
      </c>
      <c r="I966" s="17">
        <f>F966*H966/IF(C966="molde",MAX(1,'Mi negocio'!$C$34),1)</f>
        <v/>
      </c>
    </row>
    <row r="967">
      <c r="A967" t="n">
        <v>20</v>
      </c>
      <c r="B967" s="21" t="inlineStr">
        <is>
          <t>Lengüeta Ácida de Piña Asada y Jengibre Picante (Sour Charred Pineapple &amp; Ginger Tongue)</t>
        </is>
      </c>
      <c r="C967" t="inlineStr">
        <is>
          <t>empaque</t>
        </is>
      </c>
      <c r="D967" s="22" t="inlineStr">
        <is>
          <t>14 Bolsa doypack con zipper para 100 g · 1350 g de colada en bolsas de 100 g</t>
        </is>
      </c>
      <c r="E967" s="6" t="inlineStr">
        <is>
          <t>Bolsa doypack con zipper para 100 g</t>
        </is>
      </c>
      <c r="F967" s="16" t="n">
        <v>14</v>
      </c>
      <c r="G967" t="inlineStr">
        <is>
          <t>pz</t>
        </is>
      </c>
      <c r="H967" s="12">
        <f>IFERROR(VLOOKUP(E967,Insumos!$C$5:$G$100,5,FALSE),0)</f>
        <v/>
      </c>
      <c r="I967" s="17">
        <f>F967*H967/IF(C967="molde",MAX(1,'Mi negocio'!$C$34),1)</f>
        <v/>
      </c>
    </row>
    <row r="968">
      <c r="A968" t="n">
        <v>20</v>
      </c>
      <c r="B968" s="21" t="inlineStr">
        <is>
          <t>Lengüeta Ácida de Piña Asada y Jengibre Picante (Sour Charred Pineapple &amp; Ginger Tongue)</t>
        </is>
      </c>
      <c r="C968" t="inlineStr">
        <is>
          <t>empaque</t>
        </is>
      </c>
      <c r="D968" s="22" t="inlineStr">
        <is>
          <t>14 Etiqueta impresa con tabla nutrimental · 1350 g de colada en bolsas de 100 g</t>
        </is>
      </c>
      <c r="E968" s="6" t="inlineStr">
        <is>
          <t>Etiqueta impresa con tabla nutrimental</t>
        </is>
      </c>
      <c r="F968" s="16" t="n">
        <v>14</v>
      </c>
      <c r="G968" t="inlineStr">
        <is>
          <t>pz</t>
        </is>
      </c>
      <c r="H968" s="12">
        <f>IFERROR(VLOOKUP(E968,Insumos!$C$5:$G$100,5,FALSE),0)</f>
        <v/>
      </c>
      <c r="I968" s="17">
        <f>F968*H968/IF(C968="molde",MAX(1,'Mi negocio'!$C$34),1)</f>
        <v/>
      </c>
    </row>
    <row r="969">
      <c r="A969" t="n">
        <v>20</v>
      </c>
      <c r="B969" s="21" t="inlineStr">
        <is>
          <t>Lengüeta Ácida de Piña Asada y Jengibre Picante (Sour Charred Pineapple &amp; Ginger Tongue)</t>
        </is>
      </c>
      <c r="C969" t="inlineStr">
        <is>
          <t>empaque</t>
        </is>
      </c>
      <c r="D969" s="22" t="inlineStr">
        <is>
          <t>14 Bolsita desecante y sello de inviolabilidad · 1350 g de colada en bolsas de 100 g</t>
        </is>
      </c>
      <c r="E969" s="6" t="inlineStr">
        <is>
          <t>Bolsita desecante y sello de inviolabilidad</t>
        </is>
      </c>
      <c r="F969" s="16" t="n">
        <v>14</v>
      </c>
      <c r="G969" t="inlineStr">
        <is>
          <t>pz</t>
        </is>
      </c>
      <c r="H969" s="12">
        <f>IFERROR(VLOOKUP(E969,Insumos!$C$5:$G$100,5,FALSE),0)</f>
        <v/>
      </c>
      <c r="I969" s="17">
        <f>F969*H969/IF(C969="molde",MAX(1,'Mi negocio'!$C$34),1)</f>
        <v/>
      </c>
    </row>
    <row r="970">
      <c r="A970" t="n">
        <v>21</v>
      </c>
      <c r="B970" s="21" t="inlineStr">
        <is>
          <t>Gomita de Tamarindo Concentrado al Chile Guajillo y Piquín (Spiced Tamarind &amp; Guajillo-Piquín Drop)</t>
        </is>
      </c>
      <c r="C970" t="inlineStr">
        <is>
          <t>empaque</t>
        </is>
      </c>
      <c r="D970" s="22" t="inlineStr">
        <is>
          <t>5 Bolsa doypack con zipper para 100 g · 500 g de colada en bolsas de 100 g</t>
        </is>
      </c>
      <c r="E970" s="6" t="inlineStr">
        <is>
          <t>Bolsa doypack con zipper para 100 g</t>
        </is>
      </c>
      <c r="F970" s="16" t="n">
        <v>5</v>
      </c>
      <c r="G970" t="inlineStr">
        <is>
          <t>pz</t>
        </is>
      </c>
      <c r="H970" s="12">
        <f>IFERROR(VLOOKUP(E970,Insumos!$C$5:$G$100,5,FALSE),0)</f>
        <v/>
      </c>
      <c r="I970" s="17">
        <f>F970*H970/IF(C970="molde",MAX(1,'Mi negocio'!$C$34),1)</f>
        <v/>
      </c>
    </row>
    <row r="971">
      <c r="A971" t="n">
        <v>21</v>
      </c>
      <c r="B971" s="21" t="inlineStr">
        <is>
          <t>Gomita de Tamarindo Concentrado al Chile Guajillo y Piquín (Spiced Tamarind &amp; Guajillo-Piquín Drop)</t>
        </is>
      </c>
      <c r="C971" t="inlineStr">
        <is>
          <t>empaque</t>
        </is>
      </c>
      <c r="D971" s="22" t="inlineStr">
        <is>
          <t>5 Etiqueta impresa con tabla nutrimental · 500 g de colada en bolsas de 100 g</t>
        </is>
      </c>
      <c r="E971" s="6" t="inlineStr">
        <is>
          <t>Etiqueta impresa con tabla nutrimental</t>
        </is>
      </c>
      <c r="F971" s="16" t="n">
        <v>5</v>
      </c>
      <c r="G971" t="inlineStr">
        <is>
          <t>pz</t>
        </is>
      </c>
      <c r="H971" s="12">
        <f>IFERROR(VLOOKUP(E971,Insumos!$C$5:$G$100,5,FALSE),0)</f>
        <v/>
      </c>
      <c r="I971" s="17">
        <f>F971*H971/IF(C971="molde",MAX(1,'Mi negocio'!$C$34),1)</f>
        <v/>
      </c>
    </row>
    <row r="972">
      <c r="A972" t="n">
        <v>21</v>
      </c>
      <c r="B972" s="21" t="inlineStr">
        <is>
          <t>Gomita de Tamarindo Concentrado al Chile Guajillo y Piquín (Spiced Tamarind &amp; Guajillo-Piquín Drop)</t>
        </is>
      </c>
      <c r="C972" t="inlineStr">
        <is>
          <t>empaque</t>
        </is>
      </c>
      <c r="D972" s="22" t="inlineStr">
        <is>
          <t>5 Bolsita desecante y sello de inviolabilidad · 500 g de colada en bolsas de 100 g</t>
        </is>
      </c>
      <c r="E972" s="6" t="inlineStr">
        <is>
          <t>Bolsita desecante y sello de inviolabilidad</t>
        </is>
      </c>
      <c r="F972" s="16" t="n">
        <v>5</v>
      </c>
      <c r="G972" t="inlineStr">
        <is>
          <t>pz</t>
        </is>
      </c>
      <c r="H972" s="12">
        <f>IFERROR(VLOOKUP(E972,Insumos!$C$5:$G$100,5,FALSE),0)</f>
        <v/>
      </c>
      <c r="I972" s="17">
        <f>F972*H972/IF(C972="molde",MAX(1,'Mi negocio'!$C$34),1)</f>
        <v/>
      </c>
    </row>
    <row r="973">
      <c r="A973" t="n">
        <v>22</v>
      </c>
      <c r="B973" s="21" t="inlineStr">
        <is>
          <t>Gota de Mango Verde con Chamoy Glaseado y Chile Morita (Glazed Mango-Chamoy &amp; Smoked Morita Pepper)</t>
        </is>
      </c>
      <c r="C973" t="inlineStr">
        <is>
          <t>empaque</t>
        </is>
      </c>
      <c r="D973" s="22" t="inlineStr">
        <is>
          <t>5 Bolsa doypack con zipper para 100 g · 500 g de colada en bolsas de 100 g</t>
        </is>
      </c>
      <c r="E973" s="6" t="inlineStr">
        <is>
          <t>Bolsa doypack con zipper para 100 g</t>
        </is>
      </c>
      <c r="F973" s="16" t="n">
        <v>5</v>
      </c>
      <c r="G973" t="inlineStr">
        <is>
          <t>pz</t>
        </is>
      </c>
      <c r="H973" s="12">
        <f>IFERROR(VLOOKUP(E973,Insumos!$C$5:$G$100,5,FALSE),0)</f>
        <v/>
      </c>
      <c r="I973" s="17">
        <f>F973*H973/IF(C973="molde",MAX(1,'Mi negocio'!$C$34),1)</f>
        <v/>
      </c>
    </row>
    <row r="974">
      <c r="A974" t="n">
        <v>22</v>
      </c>
      <c r="B974" s="21" t="inlineStr">
        <is>
          <t>Gota de Mango Verde con Chamoy Glaseado y Chile Morita (Glazed Mango-Chamoy &amp; Smoked Morita Pepper)</t>
        </is>
      </c>
      <c r="C974" t="inlineStr">
        <is>
          <t>empaque</t>
        </is>
      </c>
      <c r="D974" s="22" t="inlineStr">
        <is>
          <t>5 Etiqueta impresa con tabla nutrimental · 500 g de colada en bolsas de 100 g</t>
        </is>
      </c>
      <c r="E974" s="6" t="inlineStr">
        <is>
          <t>Etiqueta impresa con tabla nutrimental</t>
        </is>
      </c>
      <c r="F974" s="16" t="n">
        <v>5</v>
      </c>
      <c r="G974" t="inlineStr">
        <is>
          <t>pz</t>
        </is>
      </c>
      <c r="H974" s="12">
        <f>IFERROR(VLOOKUP(E974,Insumos!$C$5:$G$100,5,FALSE),0)</f>
        <v/>
      </c>
      <c r="I974" s="17">
        <f>F974*H974/IF(C974="molde",MAX(1,'Mi negocio'!$C$34),1)</f>
        <v/>
      </c>
    </row>
    <row r="975">
      <c r="A975" t="n">
        <v>22</v>
      </c>
      <c r="B975" s="21" t="inlineStr">
        <is>
          <t>Gota de Mango Verde con Chamoy Glaseado y Chile Morita (Glazed Mango-Chamoy &amp; Smoked Morita Pepper)</t>
        </is>
      </c>
      <c r="C975" t="inlineStr">
        <is>
          <t>empaque</t>
        </is>
      </c>
      <c r="D975" s="22" t="inlineStr">
        <is>
          <t>5 Bolsita desecante y sello de inviolabilidad · 500 g de colada en bolsas de 100 g</t>
        </is>
      </c>
      <c r="E975" s="6" t="inlineStr">
        <is>
          <t>Bolsita desecante y sello de inviolabilidad</t>
        </is>
      </c>
      <c r="F975" s="16" t="n">
        <v>5</v>
      </c>
      <c r="G975" t="inlineStr">
        <is>
          <t>pz</t>
        </is>
      </c>
      <c r="H975" s="12">
        <f>IFERROR(VLOOKUP(E975,Insumos!$C$5:$G$100,5,FALSE),0)</f>
        <v/>
      </c>
      <c r="I975" s="17">
        <f>F975*H975/IF(C975="molde",MAX(1,'Mi negocio'!$C$34),1)</f>
        <v/>
      </c>
    </row>
    <row r="976">
      <c r="A976" t="n">
        <v>23</v>
      </c>
      <c r="B976" s="21" t="inlineStr">
        <is>
          <t>Confitura de Piña Asada con Chile Habanero y Sal de Gusano (Charred Pineapple, Habanero &amp; Agave Worm Salt)</t>
        </is>
      </c>
      <c r="C976" t="inlineStr">
        <is>
          <t>empaque</t>
        </is>
      </c>
      <c r="D976" s="22" t="inlineStr">
        <is>
          <t>5 Bolsa doypack con zipper para 100 g · 490 g de colada en bolsas de 100 g</t>
        </is>
      </c>
      <c r="E976" s="6" t="inlineStr">
        <is>
          <t>Bolsa doypack con zipper para 100 g</t>
        </is>
      </c>
      <c r="F976" s="16" t="n">
        <v>5</v>
      </c>
      <c r="G976" t="inlineStr">
        <is>
          <t>pz</t>
        </is>
      </c>
      <c r="H976" s="12">
        <f>IFERROR(VLOOKUP(E976,Insumos!$C$5:$G$100,5,FALSE),0)</f>
        <v/>
      </c>
      <c r="I976" s="17">
        <f>F976*H976/IF(C976="molde",MAX(1,'Mi negocio'!$C$34),1)</f>
        <v/>
      </c>
    </row>
    <row r="977">
      <c r="A977" t="n">
        <v>23</v>
      </c>
      <c r="B977" s="21" t="inlineStr">
        <is>
          <t>Confitura de Piña Asada con Chile Habanero y Sal de Gusano (Charred Pineapple, Habanero &amp; Agave Worm Salt)</t>
        </is>
      </c>
      <c r="C977" t="inlineStr">
        <is>
          <t>empaque</t>
        </is>
      </c>
      <c r="D977" s="22" t="inlineStr">
        <is>
          <t>5 Etiqueta impresa con tabla nutrimental · 490 g de colada en bolsas de 100 g</t>
        </is>
      </c>
      <c r="E977" s="6" t="inlineStr">
        <is>
          <t>Etiqueta impresa con tabla nutrimental</t>
        </is>
      </c>
      <c r="F977" s="16" t="n">
        <v>5</v>
      </c>
      <c r="G977" t="inlineStr">
        <is>
          <t>pz</t>
        </is>
      </c>
      <c r="H977" s="12">
        <f>IFERROR(VLOOKUP(E977,Insumos!$C$5:$G$100,5,FALSE),0)</f>
        <v/>
      </c>
      <c r="I977" s="17">
        <f>F977*H977/IF(C977="molde",MAX(1,'Mi negocio'!$C$34),1)</f>
        <v/>
      </c>
    </row>
    <row r="978">
      <c r="A978" t="n">
        <v>23</v>
      </c>
      <c r="B978" s="21" t="inlineStr">
        <is>
          <t>Confitura de Piña Asada con Chile Habanero y Sal de Gusano (Charred Pineapple, Habanero &amp; Agave Worm Salt)</t>
        </is>
      </c>
      <c r="C978" t="inlineStr">
        <is>
          <t>empaque</t>
        </is>
      </c>
      <c r="D978" s="22" t="inlineStr">
        <is>
          <t>5 Bolsita desecante y sello de inviolabilidad · 490 g de colada en bolsas de 100 g</t>
        </is>
      </c>
      <c r="E978" s="6" t="inlineStr">
        <is>
          <t>Bolsita desecante y sello de inviolabilidad</t>
        </is>
      </c>
      <c r="F978" s="16" t="n">
        <v>5</v>
      </c>
      <c r="G978" t="inlineStr">
        <is>
          <t>pz</t>
        </is>
      </c>
      <c r="H978" s="12">
        <f>IFERROR(VLOOKUP(E978,Insumos!$C$5:$G$100,5,FALSE),0)</f>
        <v/>
      </c>
      <c r="I978" s="17">
        <f>F978*H978/IF(C978="molde",MAX(1,'Mi negocio'!$C$34),1)</f>
        <v/>
      </c>
    </row>
    <row r="979">
      <c r="A979" t="n">
        <v>24</v>
      </c>
      <c r="B979" s="21" t="inlineStr">
        <is>
          <t>Gomita Botánica de Pepino, Limón Verde y Salitre con Chile Jalapeño (Cucumber-Lime, Sal de Grano &amp; Jalapeño Crisp)</t>
        </is>
      </c>
      <c r="C979" t="inlineStr">
        <is>
          <t>empaque</t>
        </is>
      </c>
      <c r="D979" s="22" t="inlineStr">
        <is>
          <t>5 Bolsa doypack con zipper para 100 g · 490 g de colada en bolsas de 100 g</t>
        </is>
      </c>
      <c r="E979" s="6" t="inlineStr">
        <is>
          <t>Bolsa doypack con zipper para 100 g</t>
        </is>
      </c>
      <c r="F979" s="16" t="n">
        <v>5</v>
      </c>
      <c r="G979" t="inlineStr">
        <is>
          <t>pz</t>
        </is>
      </c>
      <c r="H979" s="12">
        <f>IFERROR(VLOOKUP(E979,Insumos!$C$5:$G$100,5,FALSE),0)</f>
        <v/>
      </c>
      <c r="I979" s="17">
        <f>F979*H979/IF(C979="molde",MAX(1,'Mi negocio'!$C$34),1)</f>
        <v/>
      </c>
    </row>
    <row r="980">
      <c r="A980" t="n">
        <v>24</v>
      </c>
      <c r="B980" s="21" t="inlineStr">
        <is>
          <t>Gomita Botánica de Pepino, Limón Verde y Salitre con Chile Jalapeño (Cucumber-Lime, Sal de Grano &amp; Jalapeño Crisp)</t>
        </is>
      </c>
      <c r="C980" t="inlineStr">
        <is>
          <t>empaque</t>
        </is>
      </c>
      <c r="D980" s="22" t="inlineStr">
        <is>
          <t>5 Etiqueta impresa con tabla nutrimental · 490 g de colada en bolsas de 100 g</t>
        </is>
      </c>
      <c r="E980" s="6" t="inlineStr">
        <is>
          <t>Etiqueta impresa con tabla nutrimental</t>
        </is>
      </c>
      <c r="F980" s="16" t="n">
        <v>5</v>
      </c>
      <c r="G980" t="inlineStr">
        <is>
          <t>pz</t>
        </is>
      </c>
      <c r="H980" s="12">
        <f>IFERROR(VLOOKUP(E980,Insumos!$C$5:$G$100,5,FALSE),0)</f>
        <v/>
      </c>
      <c r="I980" s="17">
        <f>F980*H980/IF(C980="molde",MAX(1,'Mi negocio'!$C$34),1)</f>
        <v/>
      </c>
    </row>
    <row r="981">
      <c r="A981" t="n">
        <v>24</v>
      </c>
      <c r="B981" s="21" t="inlineStr">
        <is>
          <t>Gomita Botánica de Pepino, Limón Verde y Salitre con Chile Jalapeño (Cucumber-Lime, Sal de Grano &amp; Jalapeño Crisp)</t>
        </is>
      </c>
      <c r="C981" t="inlineStr">
        <is>
          <t>empaque</t>
        </is>
      </c>
      <c r="D981" s="22" t="inlineStr">
        <is>
          <t>5 Bolsita desecante y sello de inviolabilidad · 490 g de colada en bolsas de 100 g</t>
        </is>
      </c>
      <c r="E981" s="6" t="inlineStr">
        <is>
          <t>Bolsita desecante y sello de inviolabilidad</t>
        </is>
      </c>
      <c r="F981" s="16" t="n">
        <v>5</v>
      </c>
      <c r="G981" t="inlineStr">
        <is>
          <t>pz</t>
        </is>
      </c>
      <c r="H981" s="12">
        <f>IFERROR(VLOOKUP(E981,Insumos!$C$5:$G$100,5,FALSE),0)</f>
        <v/>
      </c>
      <c r="I981" s="17">
        <f>F981*H981/IF(C981="molde",MAX(1,'Mi negocio'!$C$34),1)</f>
        <v/>
      </c>
    </row>
    <row r="982">
      <c r="A982" t="n">
        <v>25</v>
      </c>
      <c r="B982" s="21" t="inlineStr">
        <is>
          <t>Perla de Sandía y Mezcal Espadín con Chamoy y Chile Pasilla (Smoked Mezcal, Watermelon &amp; Pasilla Chili Pearl)</t>
        </is>
      </c>
      <c r="C982" t="inlineStr">
        <is>
          <t>empaque</t>
        </is>
      </c>
      <c r="D982" s="22" t="inlineStr">
        <is>
          <t>5 Bolsa doypack con zipper para 100 g · 495 g de colada en bolsas de 100 g</t>
        </is>
      </c>
      <c r="E982" s="6" t="inlineStr">
        <is>
          <t>Bolsa doypack con zipper para 100 g</t>
        </is>
      </c>
      <c r="F982" s="16" t="n">
        <v>5</v>
      </c>
      <c r="G982" t="inlineStr">
        <is>
          <t>pz</t>
        </is>
      </c>
      <c r="H982" s="12">
        <f>IFERROR(VLOOKUP(E982,Insumos!$C$5:$G$100,5,FALSE),0)</f>
        <v/>
      </c>
      <c r="I982" s="17">
        <f>F982*H982/IF(C982="molde",MAX(1,'Mi negocio'!$C$34),1)</f>
        <v/>
      </c>
    </row>
    <row r="983">
      <c r="A983" t="n">
        <v>25</v>
      </c>
      <c r="B983" s="21" t="inlineStr">
        <is>
          <t>Perla de Sandía y Mezcal Espadín con Chamoy y Chile Pasilla (Smoked Mezcal, Watermelon &amp; Pasilla Chili Pearl)</t>
        </is>
      </c>
      <c r="C983" t="inlineStr">
        <is>
          <t>empaque</t>
        </is>
      </c>
      <c r="D983" s="22" t="inlineStr">
        <is>
          <t>5 Etiqueta impresa con tabla nutrimental · 495 g de colada en bolsas de 100 g</t>
        </is>
      </c>
      <c r="E983" s="6" t="inlineStr">
        <is>
          <t>Etiqueta impresa con tabla nutrimental</t>
        </is>
      </c>
      <c r="F983" s="16" t="n">
        <v>5</v>
      </c>
      <c r="G983" t="inlineStr">
        <is>
          <t>pz</t>
        </is>
      </c>
      <c r="H983" s="12">
        <f>IFERROR(VLOOKUP(E983,Insumos!$C$5:$G$100,5,FALSE),0)</f>
        <v/>
      </c>
      <c r="I983" s="17">
        <f>F983*H983/IF(C983="molde",MAX(1,'Mi negocio'!$C$34),1)</f>
        <v/>
      </c>
    </row>
    <row r="984">
      <c r="A984" t="n">
        <v>25</v>
      </c>
      <c r="B984" s="21" t="inlineStr">
        <is>
          <t>Perla de Sandía y Mezcal Espadín con Chamoy y Chile Pasilla (Smoked Mezcal, Watermelon &amp; Pasilla Chili Pearl)</t>
        </is>
      </c>
      <c r="C984" t="inlineStr">
        <is>
          <t>empaque</t>
        </is>
      </c>
      <c r="D984" s="22" t="inlineStr">
        <is>
          <t>5 Bolsita desecante y sello de inviolabilidad · 495 g de colada en bolsas de 100 g</t>
        </is>
      </c>
      <c r="E984" s="6" t="inlineStr">
        <is>
          <t>Bolsita desecante y sello de inviolabilidad</t>
        </is>
      </c>
      <c r="F984" s="16" t="n">
        <v>5</v>
      </c>
      <c r="G984" t="inlineStr">
        <is>
          <t>pz</t>
        </is>
      </c>
      <c r="H984" s="12">
        <f>IFERROR(VLOOKUP(E984,Insumos!$C$5:$G$100,5,FALSE),0)</f>
        <v/>
      </c>
      <c r="I984" s="17">
        <f>F984*H984/IF(C984="molde",MAX(1,'Mi negocio'!$C$34),1)</f>
        <v/>
      </c>
    </row>
    <row r="985">
      <c r="A985" t="n">
        <v>26</v>
      </c>
      <c r="B985" s="21" t="inlineStr">
        <is>
          <t>Gema Cristalina de Mango y Chile Habanero (Mango-Habanero Translucent Gem)</t>
        </is>
      </c>
      <c r="C985" t="inlineStr">
        <is>
          <t>empaque</t>
        </is>
      </c>
      <c r="D985" s="22" t="inlineStr">
        <is>
          <t>5 Bolsa doypack con zipper para 100 g · 490 g de colada en bolsas de 100 g</t>
        </is>
      </c>
      <c r="E985" s="6" t="inlineStr">
        <is>
          <t>Bolsa doypack con zipper para 100 g</t>
        </is>
      </c>
      <c r="F985" s="16" t="n">
        <v>5</v>
      </c>
      <c r="G985" t="inlineStr">
        <is>
          <t>pz</t>
        </is>
      </c>
      <c r="H985" s="12">
        <f>IFERROR(VLOOKUP(E985,Insumos!$C$5:$G$100,5,FALSE),0)</f>
        <v/>
      </c>
      <c r="I985" s="17">
        <f>F985*H985/IF(C985="molde",MAX(1,'Mi negocio'!$C$34),1)</f>
        <v/>
      </c>
    </row>
    <row r="986">
      <c r="A986" t="n">
        <v>26</v>
      </c>
      <c r="B986" s="21" t="inlineStr">
        <is>
          <t>Gema Cristalina de Mango y Chile Habanero (Mango-Habanero Translucent Gem)</t>
        </is>
      </c>
      <c r="C986" t="inlineStr">
        <is>
          <t>empaque</t>
        </is>
      </c>
      <c r="D986" s="22" t="inlineStr">
        <is>
          <t>5 Etiqueta impresa con tabla nutrimental · 490 g de colada en bolsas de 100 g</t>
        </is>
      </c>
      <c r="E986" s="6" t="inlineStr">
        <is>
          <t>Etiqueta impresa con tabla nutrimental</t>
        </is>
      </c>
      <c r="F986" s="16" t="n">
        <v>5</v>
      </c>
      <c r="G986" t="inlineStr">
        <is>
          <t>pz</t>
        </is>
      </c>
      <c r="H986" s="12">
        <f>IFERROR(VLOOKUP(E986,Insumos!$C$5:$G$100,5,FALSE),0)</f>
        <v/>
      </c>
      <c r="I986" s="17">
        <f>F986*H986/IF(C986="molde",MAX(1,'Mi negocio'!$C$34),1)</f>
        <v/>
      </c>
    </row>
    <row r="987">
      <c r="A987" t="n">
        <v>26</v>
      </c>
      <c r="B987" s="21" t="inlineStr">
        <is>
          <t>Gema Cristalina de Mango y Chile Habanero (Mango-Habanero Translucent Gem)</t>
        </is>
      </c>
      <c r="C987" t="inlineStr">
        <is>
          <t>empaque</t>
        </is>
      </c>
      <c r="D987" s="22" t="inlineStr">
        <is>
          <t>5 Bolsita desecante y sello de inviolabilidad · 490 g de colada en bolsas de 100 g</t>
        </is>
      </c>
      <c r="E987" s="6" t="inlineStr">
        <is>
          <t>Bolsita desecante y sello de inviolabilidad</t>
        </is>
      </c>
      <c r="F987" s="16" t="n">
        <v>5</v>
      </c>
      <c r="G987" t="inlineStr">
        <is>
          <t>pz</t>
        </is>
      </c>
      <c r="H987" s="12">
        <f>IFERROR(VLOOKUP(E987,Insumos!$C$5:$G$100,5,FALSE),0)</f>
        <v/>
      </c>
      <c r="I987" s="17">
        <f>F987*H987/IF(C987="molde",MAX(1,'Mi negocio'!$C$34),1)</f>
        <v/>
      </c>
    </row>
    <row r="988">
      <c r="A988" t="n">
        <v>27</v>
      </c>
      <c r="B988" s="21" t="inlineStr">
        <is>
          <t>Confitura de Chabacano al Chamoy Seco en Pectina Lenta (Apricot &amp; Dry Chamoy Pectin Pâte de Fruits)</t>
        </is>
      </c>
      <c r="C988" t="inlineStr">
        <is>
          <t>empaque</t>
        </is>
      </c>
      <c r="D988" s="22" t="inlineStr">
        <is>
          <t>5 Bolsa doypack con zipper para 100 g · 490 g de colada en bolsas de 100 g</t>
        </is>
      </c>
      <c r="E988" s="6" t="inlineStr">
        <is>
          <t>Bolsa doypack con zipper para 100 g</t>
        </is>
      </c>
      <c r="F988" s="16" t="n">
        <v>5</v>
      </c>
      <c r="G988" t="inlineStr">
        <is>
          <t>pz</t>
        </is>
      </c>
      <c r="H988" s="12">
        <f>IFERROR(VLOOKUP(E988,Insumos!$C$5:$G$100,5,FALSE),0)</f>
        <v/>
      </c>
      <c r="I988" s="17">
        <f>F988*H988/IF(C988="molde",MAX(1,'Mi negocio'!$C$34),1)</f>
        <v/>
      </c>
    </row>
    <row r="989">
      <c r="A989" t="n">
        <v>27</v>
      </c>
      <c r="B989" s="21" t="inlineStr">
        <is>
          <t>Confitura de Chabacano al Chamoy Seco en Pectina Lenta (Apricot &amp; Dry Chamoy Pectin Pâte de Fruits)</t>
        </is>
      </c>
      <c r="C989" t="inlineStr">
        <is>
          <t>empaque</t>
        </is>
      </c>
      <c r="D989" s="22" t="inlineStr">
        <is>
          <t>5 Etiqueta impresa con tabla nutrimental · 490 g de colada en bolsas de 100 g</t>
        </is>
      </c>
      <c r="E989" s="6" t="inlineStr">
        <is>
          <t>Etiqueta impresa con tabla nutrimental</t>
        </is>
      </c>
      <c r="F989" s="16" t="n">
        <v>5</v>
      </c>
      <c r="G989" t="inlineStr">
        <is>
          <t>pz</t>
        </is>
      </c>
      <c r="H989" s="12">
        <f>IFERROR(VLOOKUP(E989,Insumos!$C$5:$G$100,5,FALSE),0)</f>
        <v/>
      </c>
      <c r="I989" s="17">
        <f>F989*H989/IF(C989="molde",MAX(1,'Mi negocio'!$C$34),1)</f>
        <v/>
      </c>
    </row>
    <row r="990">
      <c r="A990" t="n">
        <v>27</v>
      </c>
      <c r="B990" s="21" t="inlineStr">
        <is>
          <t>Confitura de Chabacano al Chamoy Seco en Pectina Lenta (Apricot &amp; Dry Chamoy Pectin Pâte de Fruits)</t>
        </is>
      </c>
      <c r="C990" t="inlineStr">
        <is>
          <t>empaque</t>
        </is>
      </c>
      <c r="D990" s="22" t="inlineStr">
        <is>
          <t>5 Bolsita desecante y sello de inviolabilidad · 490 g de colada en bolsas de 100 g</t>
        </is>
      </c>
      <c r="E990" s="6" t="inlineStr">
        <is>
          <t>Bolsita desecante y sello de inviolabilidad</t>
        </is>
      </c>
      <c r="F990" s="16" t="n">
        <v>5</v>
      </c>
      <c r="G990" t="inlineStr">
        <is>
          <t>pz</t>
        </is>
      </c>
      <c r="H990" s="12">
        <f>IFERROR(VLOOKUP(E990,Insumos!$C$5:$G$100,5,FALSE),0)</f>
        <v/>
      </c>
      <c r="I990" s="17">
        <f>F990*H990/IF(C990="molde",MAX(1,'Mi negocio'!$C$34),1)</f>
        <v/>
      </c>
    </row>
    <row r="991">
      <c r="A991" t="n">
        <v>28</v>
      </c>
      <c r="B991" s="21" t="inlineStr">
        <is>
          <t>Gomita de Sandía al Limón y Escamas de Tajín Artesanal (Watermelon-Lime with Handcrafted Chile-Lime Sanding)</t>
        </is>
      </c>
      <c r="C991" t="inlineStr">
        <is>
          <t>empaque</t>
        </is>
      </c>
      <c r="D991" s="22" t="inlineStr">
        <is>
          <t>5 Bolsa doypack con zipper para 100 g · 500 g de colada en bolsas de 100 g</t>
        </is>
      </c>
      <c r="E991" s="6" t="inlineStr">
        <is>
          <t>Bolsa doypack con zipper para 100 g</t>
        </is>
      </c>
      <c r="F991" s="16" t="n">
        <v>5</v>
      </c>
      <c r="G991" t="inlineStr">
        <is>
          <t>pz</t>
        </is>
      </c>
      <c r="H991" s="12">
        <f>IFERROR(VLOOKUP(E991,Insumos!$C$5:$G$100,5,FALSE),0)</f>
        <v/>
      </c>
      <c r="I991" s="17">
        <f>F991*H991/IF(C991="molde",MAX(1,'Mi negocio'!$C$34),1)</f>
        <v/>
      </c>
    </row>
    <row r="992">
      <c r="A992" t="n">
        <v>28</v>
      </c>
      <c r="B992" s="21" t="inlineStr">
        <is>
          <t>Gomita de Sandía al Limón y Escamas de Tajín Artesanal (Watermelon-Lime with Handcrafted Chile-Lime Sanding)</t>
        </is>
      </c>
      <c r="C992" t="inlineStr">
        <is>
          <t>empaque</t>
        </is>
      </c>
      <c r="D992" s="22" t="inlineStr">
        <is>
          <t>5 Etiqueta impresa con tabla nutrimental · 500 g de colada en bolsas de 100 g</t>
        </is>
      </c>
      <c r="E992" s="6" t="inlineStr">
        <is>
          <t>Etiqueta impresa con tabla nutrimental</t>
        </is>
      </c>
      <c r="F992" s="16" t="n">
        <v>5</v>
      </c>
      <c r="G992" t="inlineStr">
        <is>
          <t>pz</t>
        </is>
      </c>
      <c r="H992" s="12">
        <f>IFERROR(VLOOKUP(E992,Insumos!$C$5:$G$100,5,FALSE),0)</f>
        <v/>
      </c>
      <c r="I992" s="17">
        <f>F992*H992/IF(C992="molde",MAX(1,'Mi negocio'!$C$34),1)</f>
        <v/>
      </c>
    </row>
    <row r="993">
      <c r="A993" t="n">
        <v>28</v>
      </c>
      <c r="B993" s="21" t="inlineStr">
        <is>
          <t>Gomita de Sandía al Limón y Escamas de Tajín Artesanal (Watermelon-Lime with Handcrafted Chile-Lime Sanding)</t>
        </is>
      </c>
      <c r="C993" t="inlineStr">
        <is>
          <t>empaque</t>
        </is>
      </c>
      <c r="D993" s="22" t="inlineStr">
        <is>
          <t>5 Bolsita desecante y sello de inviolabilidad · 500 g de colada en bolsas de 100 g</t>
        </is>
      </c>
      <c r="E993" s="6" t="inlineStr">
        <is>
          <t>Bolsita desecante y sello de inviolabilidad</t>
        </is>
      </c>
      <c r="F993" s="16" t="n">
        <v>5</v>
      </c>
      <c r="G993" t="inlineStr">
        <is>
          <t>pz</t>
        </is>
      </c>
      <c r="H993" s="12">
        <f>IFERROR(VLOOKUP(E993,Insumos!$C$5:$G$100,5,FALSE),0)</f>
        <v/>
      </c>
      <c r="I993" s="17">
        <f>F993*H993/IF(C993="molde",MAX(1,'Mi negocio'!$C$34),1)</f>
        <v/>
      </c>
    </row>
    <row r="994">
      <c r="A994" t="n">
        <v>29</v>
      </c>
      <c r="B994" s="21" t="inlineStr">
        <is>
          <t>Pastilla Salina de Limón Criollo al Chile de Árbol Tostado (Key Lime, Sea Salt &amp; Charred Chile de Árbol Pastille)</t>
        </is>
      </c>
      <c r="C994" t="inlineStr">
        <is>
          <t>empaque</t>
        </is>
      </c>
      <c r="D994" s="22" t="inlineStr">
        <is>
          <t>5 Bolsa doypack con zipper para 100 g · 495 g de colada en bolsas de 100 g</t>
        </is>
      </c>
      <c r="E994" s="6" t="inlineStr">
        <is>
          <t>Bolsa doypack con zipper para 100 g</t>
        </is>
      </c>
      <c r="F994" s="16" t="n">
        <v>5</v>
      </c>
      <c r="G994" t="inlineStr">
        <is>
          <t>pz</t>
        </is>
      </c>
      <c r="H994" s="12">
        <f>IFERROR(VLOOKUP(E994,Insumos!$C$5:$G$100,5,FALSE),0)</f>
        <v/>
      </c>
      <c r="I994" s="17">
        <f>F994*H994/IF(C994="molde",MAX(1,'Mi negocio'!$C$34),1)</f>
        <v/>
      </c>
    </row>
    <row r="995">
      <c r="A995" t="n">
        <v>29</v>
      </c>
      <c r="B995" s="21" t="inlineStr">
        <is>
          <t>Pastilla Salina de Limón Criollo al Chile de Árbol Tostado (Key Lime, Sea Salt &amp; Charred Chile de Árbol Pastille)</t>
        </is>
      </c>
      <c r="C995" t="inlineStr">
        <is>
          <t>empaque</t>
        </is>
      </c>
      <c r="D995" s="22" t="inlineStr">
        <is>
          <t>5 Etiqueta impresa con tabla nutrimental · 495 g de colada en bolsas de 100 g</t>
        </is>
      </c>
      <c r="E995" s="6" t="inlineStr">
        <is>
          <t>Etiqueta impresa con tabla nutrimental</t>
        </is>
      </c>
      <c r="F995" s="16" t="n">
        <v>5</v>
      </c>
      <c r="G995" t="inlineStr">
        <is>
          <t>pz</t>
        </is>
      </c>
      <c r="H995" s="12">
        <f>IFERROR(VLOOKUP(E995,Insumos!$C$5:$G$100,5,FALSE),0)</f>
        <v/>
      </c>
      <c r="I995" s="17">
        <f>F995*H995/IF(C995="molde",MAX(1,'Mi negocio'!$C$34),1)</f>
        <v/>
      </c>
    </row>
    <row r="996">
      <c r="A996" t="n">
        <v>29</v>
      </c>
      <c r="B996" s="21" t="inlineStr">
        <is>
          <t>Pastilla Salina de Limón Criollo al Chile de Árbol Tostado (Key Lime, Sea Salt &amp; Charred Chile de Árbol Pastille)</t>
        </is>
      </c>
      <c r="C996" t="inlineStr">
        <is>
          <t>empaque</t>
        </is>
      </c>
      <c r="D996" s="22" t="inlineStr">
        <is>
          <t>5 Bolsita desecante y sello de inviolabilidad · 495 g de colada en bolsas de 100 g</t>
        </is>
      </c>
      <c r="E996" s="6" t="inlineStr">
        <is>
          <t>Bolsita desecante y sello de inviolabilidad</t>
        </is>
      </c>
      <c r="F996" s="16" t="n">
        <v>5</v>
      </c>
      <c r="G996" t="inlineStr">
        <is>
          <t>pz</t>
        </is>
      </c>
      <c r="H996" s="12">
        <f>IFERROR(VLOOKUP(E996,Insumos!$C$5:$G$100,5,FALSE),0)</f>
        <v/>
      </c>
      <c r="I996" s="17">
        <f>F996*H996/IF(C996="molde",MAX(1,'Mi negocio'!$C$34),1)</f>
        <v/>
      </c>
    </row>
    <row r="997">
      <c r="A997" t="n">
        <v>30</v>
      </c>
      <c r="B997" s="21" t="inlineStr">
        <is>
          <t>Manzana Verde con Canela de Ceilán, Chipotle y Piquín (Green Apple, Ceylon Cinnamon &amp; Sweet Chipotle Drop)</t>
        </is>
      </c>
      <c r="C997" t="inlineStr">
        <is>
          <t>empaque</t>
        </is>
      </c>
      <c r="D997" s="22" t="inlineStr">
        <is>
          <t>5 Bolsa doypack con zipper para 100 g · 490 g de colada en bolsas de 100 g</t>
        </is>
      </c>
      <c r="E997" s="6" t="inlineStr">
        <is>
          <t>Bolsa doypack con zipper para 100 g</t>
        </is>
      </c>
      <c r="F997" s="16" t="n">
        <v>5</v>
      </c>
      <c r="G997" t="inlineStr">
        <is>
          <t>pz</t>
        </is>
      </c>
      <c r="H997" s="12">
        <f>IFERROR(VLOOKUP(E997,Insumos!$C$5:$G$100,5,FALSE),0)</f>
        <v/>
      </c>
      <c r="I997" s="17">
        <f>F997*H997/IF(C997="molde",MAX(1,'Mi negocio'!$C$34),1)</f>
        <v/>
      </c>
    </row>
    <row r="998">
      <c r="A998" t="n">
        <v>30</v>
      </c>
      <c r="B998" s="21" t="inlineStr">
        <is>
          <t>Manzana Verde con Canela de Ceilán, Chipotle y Piquín (Green Apple, Ceylon Cinnamon &amp; Sweet Chipotle Drop)</t>
        </is>
      </c>
      <c r="C998" t="inlineStr">
        <is>
          <t>empaque</t>
        </is>
      </c>
      <c r="D998" s="22" t="inlineStr">
        <is>
          <t>5 Etiqueta impresa con tabla nutrimental · 490 g de colada en bolsas de 100 g</t>
        </is>
      </c>
      <c r="E998" s="6" t="inlineStr">
        <is>
          <t>Etiqueta impresa con tabla nutrimental</t>
        </is>
      </c>
      <c r="F998" s="16" t="n">
        <v>5</v>
      </c>
      <c r="G998" t="inlineStr">
        <is>
          <t>pz</t>
        </is>
      </c>
      <c r="H998" s="12">
        <f>IFERROR(VLOOKUP(E998,Insumos!$C$5:$G$100,5,FALSE),0)</f>
        <v/>
      </c>
      <c r="I998" s="17">
        <f>F998*H998/IF(C998="molde",MAX(1,'Mi negocio'!$C$34),1)</f>
        <v/>
      </c>
    </row>
    <row r="999">
      <c r="A999" t="n">
        <v>30</v>
      </c>
      <c r="B999" s="21" t="inlineStr">
        <is>
          <t>Manzana Verde con Canela de Ceilán, Chipotle y Piquín (Green Apple, Ceylon Cinnamon &amp; Sweet Chipotle Drop)</t>
        </is>
      </c>
      <c r="C999" t="inlineStr">
        <is>
          <t>empaque</t>
        </is>
      </c>
      <c r="D999" s="22" t="inlineStr">
        <is>
          <t>5 Bolsita desecante y sello de inviolabilidad · 490 g de colada en bolsas de 100 g</t>
        </is>
      </c>
      <c r="E999" s="6" t="inlineStr">
        <is>
          <t>Bolsita desecante y sello de inviolabilidad</t>
        </is>
      </c>
      <c r="F999" s="16" t="n">
        <v>5</v>
      </c>
      <c r="G999" t="inlineStr">
        <is>
          <t>pz</t>
        </is>
      </c>
      <c r="H999" s="12">
        <f>IFERROR(VLOOKUP(E999,Insumos!$C$5:$G$100,5,FALSE),0)</f>
        <v/>
      </c>
      <c r="I999" s="17">
        <f>F999*H999/IF(C999="molde",MAX(1,'Mi negocio'!$C$34),1)</f>
        <v/>
      </c>
    </row>
    <row r="1000">
      <c r="A1000" t="n">
        <v>31</v>
      </c>
      <c r="B1000" s="21" t="inlineStr">
        <is>
          <t>Tiburón / Delfín Bicolor de Frambuesa Azul y Espuma Marshmallow (Two-Tone Blue Raspberry &amp; Marshmallow Foam Sea-Jelly)</t>
        </is>
      </c>
      <c r="C1000" t="inlineStr">
        <is>
          <t>empaque</t>
        </is>
      </c>
      <c r="D1000" s="22" t="inlineStr">
        <is>
          <t>5 Bolsa doypack con zipper para 100 g · 500 g de colada en bolsas de 100 g</t>
        </is>
      </c>
      <c r="E1000" s="6" t="inlineStr">
        <is>
          <t>Bolsa doypack con zipper para 100 g</t>
        </is>
      </c>
      <c r="F1000" s="16" t="n">
        <v>5</v>
      </c>
      <c r="G1000" t="inlineStr">
        <is>
          <t>pz</t>
        </is>
      </c>
      <c r="H1000" s="12">
        <f>IFERROR(VLOOKUP(E1000,Insumos!$C$5:$G$100,5,FALSE),0)</f>
        <v/>
      </c>
      <c r="I1000" s="17">
        <f>F1000*H1000/IF(C1000="molde",MAX(1,'Mi negocio'!$C$34),1)</f>
        <v/>
      </c>
    </row>
    <row r="1001">
      <c r="A1001" t="n">
        <v>31</v>
      </c>
      <c r="B1001" s="21" t="inlineStr">
        <is>
          <t>Tiburón / Delfín Bicolor de Frambuesa Azul y Espuma Marshmallow (Two-Tone Blue Raspberry &amp; Marshmallow Foam Sea-Jelly)</t>
        </is>
      </c>
      <c r="C1001" t="inlineStr">
        <is>
          <t>empaque</t>
        </is>
      </c>
      <c r="D1001" s="22" t="inlineStr">
        <is>
          <t>5 Etiqueta impresa con tabla nutrimental · 500 g de colada en bolsas de 100 g</t>
        </is>
      </c>
      <c r="E1001" s="6" t="inlineStr">
        <is>
          <t>Etiqueta impresa con tabla nutrimental</t>
        </is>
      </c>
      <c r="F1001" s="16" t="n">
        <v>5</v>
      </c>
      <c r="G1001" t="inlineStr">
        <is>
          <t>pz</t>
        </is>
      </c>
      <c r="H1001" s="12">
        <f>IFERROR(VLOOKUP(E1001,Insumos!$C$5:$G$100,5,FALSE),0)</f>
        <v/>
      </c>
      <c r="I1001" s="17">
        <f>F1001*H1001/IF(C1001="molde",MAX(1,'Mi negocio'!$C$34),1)</f>
        <v/>
      </c>
    </row>
    <row r="1002">
      <c r="A1002" t="n">
        <v>31</v>
      </c>
      <c r="B1002" s="21" t="inlineStr">
        <is>
          <t>Tiburón / Delfín Bicolor de Frambuesa Azul y Espuma Marshmallow (Two-Tone Blue Raspberry &amp; Marshmallow Foam Sea-Jelly)</t>
        </is>
      </c>
      <c r="C1002" t="inlineStr">
        <is>
          <t>empaque</t>
        </is>
      </c>
      <c r="D1002" s="22" t="inlineStr">
        <is>
          <t>5 Bolsita desecante y sello de inviolabilidad · 500 g de colada en bolsas de 100 g</t>
        </is>
      </c>
      <c r="E1002" s="6" t="inlineStr">
        <is>
          <t>Bolsita desecante y sello de inviolabilidad</t>
        </is>
      </c>
      <c r="F1002" s="16" t="n">
        <v>5</v>
      </c>
      <c r="G1002" t="inlineStr">
        <is>
          <t>pz</t>
        </is>
      </c>
      <c r="H1002" s="12">
        <f>IFERROR(VLOOKUP(E1002,Insumos!$C$5:$G$100,5,FALSE),0)</f>
        <v/>
      </c>
      <c r="I1002" s="17">
        <f>F1002*H1002/IF(C1002="molde",MAX(1,'Mi negocio'!$C$34),1)</f>
        <v/>
      </c>
    </row>
    <row r="1003">
      <c r="A1003" t="n">
        <v>32</v>
      </c>
      <c r="B1003" s="21" t="inlineStr">
        <is>
          <t>Domo con Núcleo Líquido Inyectado de Fresa (Liquid-Center Co-Deposited Strawberry Lava Dome)</t>
        </is>
      </c>
      <c r="C1003" t="inlineStr">
        <is>
          <t>empaque</t>
        </is>
      </c>
      <c r="D1003" s="22" t="inlineStr">
        <is>
          <t>5 Bolsa doypack con zipper para 100 g · 480 g de colada en bolsas de 100 g</t>
        </is>
      </c>
      <c r="E1003" s="6" t="inlineStr">
        <is>
          <t>Bolsa doypack con zipper para 100 g</t>
        </is>
      </c>
      <c r="F1003" s="16" t="n">
        <v>5</v>
      </c>
      <c r="G1003" t="inlineStr">
        <is>
          <t>pz</t>
        </is>
      </c>
      <c r="H1003" s="12">
        <f>IFERROR(VLOOKUP(E1003,Insumos!$C$5:$G$100,5,FALSE),0)</f>
        <v/>
      </c>
      <c r="I1003" s="17">
        <f>F1003*H1003/IF(C1003="molde",MAX(1,'Mi negocio'!$C$34),1)</f>
        <v/>
      </c>
    </row>
    <row r="1004">
      <c r="A1004" t="n">
        <v>32</v>
      </c>
      <c r="B1004" s="21" t="inlineStr">
        <is>
          <t>Domo con Núcleo Líquido Inyectado de Fresa (Liquid-Center Co-Deposited Strawberry Lava Dome)</t>
        </is>
      </c>
      <c r="C1004" t="inlineStr">
        <is>
          <t>empaque</t>
        </is>
      </c>
      <c r="D1004" s="22" t="inlineStr">
        <is>
          <t>5 Etiqueta impresa con tabla nutrimental · 480 g de colada en bolsas de 100 g</t>
        </is>
      </c>
      <c r="E1004" s="6" t="inlineStr">
        <is>
          <t>Etiqueta impresa con tabla nutrimental</t>
        </is>
      </c>
      <c r="F1004" s="16" t="n">
        <v>5</v>
      </c>
      <c r="G1004" t="inlineStr">
        <is>
          <t>pz</t>
        </is>
      </c>
      <c r="H1004" s="12">
        <f>IFERROR(VLOOKUP(E1004,Insumos!$C$5:$G$100,5,FALSE),0)</f>
        <v/>
      </c>
      <c r="I1004" s="17">
        <f>F1004*H1004/IF(C1004="molde",MAX(1,'Mi negocio'!$C$34),1)</f>
        <v/>
      </c>
    </row>
    <row r="1005">
      <c r="A1005" t="n">
        <v>32</v>
      </c>
      <c r="B1005" s="21" t="inlineStr">
        <is>
          <t>Domo con Núcleo Líquido Inyectado de Fresa (Liquid-Center Co-Deposited Strawberry Lava Dome)</t>
        </is>
      </c>
      <c r="C1005" t="inlineStr">
        <is>
          <t>empaque</t>
        </is>
      </c>
      <c r="D1005" s="22" t="inlineStr">
        <is>
          <t>5 Bolsita desecante y sello de inviolabilidad · 480 g de colada en bolsas de 100 g</t>
        </is>
      </c>
      <c r="E1005" s="6" t="inlineStr">
        <is>
          <t>Bolsita desecante y sello de inviolabilidad</t>
        </is>
      </c>
      <c r="F1005" s="16" t="n">
        <v>5</v>
      </c>
      <c r="G1005" t="inlineStr">
        <is>
          <t>pz</t>
        </is>
      </c>
      <c r="H1005" s="12">
        <f>IFERROR(VLOOKUP(E1005,Insumos!$C$5:$G$100,5,FALSE),0)</f>
        <v/>
      </c>
      <c r="I1005" s="17">
        <f>F1005*H1005/IF(C1005="molde",MAX(1,'Mi negocio'!$C$34),1)</f>
        <v/>
      </c>
    </row>
    <row r="1006">
      <c r="A1006" t="n">
        <v>33</v>
      </c>
      <c r="B1006" s="21" t="inlineStr">
        <is>
          <t>Sándwich Tricapa Napolitano de Fresa, Vainilla y Chocolate (Neapolitan Tri-Layer Marshmallow &amp; Gummy Sandwich)</t>
        </is>
      </c>
      <c r="C1006" t="inlineStr">
        <is>
          <t>empaque</t>
        </is>
      </c>
      <c r="D1006" s="22" t="inlineStr">
        <is>
          <t>9 Bolsa doypack con zipper para 100 g · 900 g de colada en bolsas de 100 g</t>
        </is>
      </c>
      <c r="E1006" s="6" t="inlineStr">
        <is>
          <t>Bolsa doypack con zipper para 100 g</t>
        </is>
      </c>
      <c r="F1006" s="16" t="n">
        <v>9</v>
      </c>
      <c r="G1006" t="inlineStr">
        <is>
          <t>pz</t>
        </is>
      </c>
      <c r="H1006" s="12">
        <f>IFERROR(VLOOKUP(E1006,Insumos!$C$5:$G$100,5,FALSE),0)</f>
        <v/>
      </c>
      <c r="I1006" s="17">
        <f>F1006*H1006/IF(C1006="molde",MAX(1,'Mi negocio'!$C$34),1)</f>
        <v/>
      </c>
    </row>
    <row r="1007">
      <c r="A1007" t="n">
        <v>33</v>
      </c>
      <c r="B1007" s="21" t="inlineStr">
        <is>
          <t>Sándwich Tricapa Napolitano de Fresa, Vainilla y Chocolate (Neapolitan Tri-Layer Marshmallow &amp; Gummy Sandwich)</t>
        </is>
      </c>
      <c r="C1007" t="inlineStr">
        <is>
          <t>empaque</t>
        </is>
      </c>
      <c r="D1007" s="22" t="inlineStr">
        <is>
          <t>9 Etiqueta impresa con tabla nutrimental · 900 g de colada en bolsas de 100 g</t>
        </is>
      </c>
      <c r="E1007" s="6" t="inlineStr">
        <is>
          <t>Etiqueta impresa con tabla nutrimental</t>
        </is>
      </c>
      <c r="F1007" s="16" t="n">
        <v>9</v>
      </c>
      <c r="G1007" t="inlineStr">
        <is>
          <t>pz</t>
        </is>
      </c>
      <c r="H1007" s="12">
        <f>IFERROR(VLOOKUP(E1007,Insumos!$C$5:$G$100,5,FALSE),0)</f>
        <v/>
      </c>
      <c r="I1007" s="17">
        <f>F1007*H1007/IF(C1007="molde",MAX(1,'Mi negocio'!$C$34),1)</f>
        <v/>
      </c>
    </row>
    <row r="1008">
      <c r="A1008" t="n">
        <v>33</v>
      </c>
      <c r="B1008" s="21" t="inlineStr">
        <is>
          <t>Sándwich Tricapa Napolitano de Fresa, Vainilla y Chocolate (Neapolitan Tri-Layer Marshmallow &amp; Gummy Sandwich)</t>
        </is>
      </c>
      <c r="C1008" t="inlineStr">
        <is>
          <t>empaque</t>
        </is>
      </c>
      <c r="D1008" s="22" t="inlineStr">
        <is>
          <t>9 Bolsita desecante y sello de inviolabilidad · 900 g de colada en bolsas de 100 g</t>
        </is>
      </c>
      <c r="E1008" s="6" t="inlineStr">
        <is>
          <t>Bolsita desecante y sello de inviolabilidad</t>
        </is>
      </c>
      <c r="F1008" s="16" t="n">
        <v>9</v>
      </c>
      <c r="G1008" t="inlineStr">
        <is>
          <t>pz</t>
        </is>
      </c>
      <c r="H1008" s="12">
        <f>IFERROR(VLOOKUP(E1008,Insumos!$C$5:$G$100,5,FALSE),0)</f>
        <v/>
      </c>
      <c r="I1008" s="17">
        <f>F1008*H1008/IF(C1008="molde",MAX(1,'Mi negocio'!$C$34),1)</f>
        <v/>
      </c>
    </row>
    <row r="1009">
      <c r="A1009" t="n">
        <v>34</v>
      </c>
      <c r="B1009" s="21" t="inlineStr">
        <is>
          <t>Perla Encapsulada con Esfera de Isomalt y Núcleo Semilíquido (Suspended Geode Pearl with Semi-Liquid Core)</t>
        </is>
      </c>
      <c r="C1009" t="inlineStr">
        <is>
          <t>empaque</t>
        </is>
      </c>
      <c r="D1009" s="22" t="inlineStr">
        <is>
          <t>5 Bolsa doypack con zipper para 100 g · 500 g de colada en bolsas de 100 g</t>
        </is>
      </c>
      <c r="E1009" s="6" t="inlineStr">
        <is>
          <t>Bolsa doypack con zipper para 100 g</t>
        </is>
      </c>
      <c r="F1009" s="16" t="n">
        <v>5</v>
      </c>
      <c r="G1009" t="inlineStr">
        <is>
          <t>pz</t>
        </is>
      </c>
      <c r="H1009" s="12">
        <f>IFERROR(VLOOKUP(E1009,Insumos!$C$5:$G$100,5,FALSE),0)</f>
        <v/>
      </c>
      <c r="I1009" s="17">
        <f>F1009*H1009/IF(C1009="molde",MAX(1,'Mi negocio'!$C$34),1)</f>
        <v/>
      </c>
    </row>
    <row r="1010">
      <c r="A1010" t="n">
        <v>34</v>
      </c>
      <c r="B1010" s="21" t="inlineStr">
        <is>
          <t>Perla Encapsulada con Esfera de Isomalt y Núcleo Semilíquido (Suspended Geode Pearl with Semi-Liquid Core)</t>
        </is>
      </c>
      <c r="C1010" t="inlineStr">
        <is>
          <t>empaque</t>
        </is>
      </c>
      <c r="D1010" s="22" t="inlineStr">
        <is>
          <t>5 Etiqueta impresa con tabla nutrimental · 500 g de colada en bolsas de 100 g</t>
        </is>
      </c>
      <c r="E1010" s="6" t="inlineStr">
        <is>
          <t>Etiqueta impresa con tabla nutrimental</t>
        </is>
      </c>
      <c r="F1010" s="16" t="n">
        <v>5</v>
      </c>
      <c r="G1010" t="inlineStr">
        <is>
          <t>pz</t>
        </is>
      </c>
      <c r="H1010" s="12">
        <f>IFERROR(VLOOKUP(E1010,Insumos!$C$5:$G$100,5,FALSE),0)</f>
        <v/>
      </c>
      <c r="I1010" s="17">
        <f>F1010*H1010/IF(C1010="molde",MAX(1,'Mi negocio'!$C$34),1)</f>
        <v/>
      </c>
    </row>
    <row r="1011">
      <c r="A1011" t="n">
        <v>34</v>
      </c>
      <c r="B1011" s="21" t="inlineStr">
        <is>
          <t>Perla Encapsulada con Esfera de Isomalt y Núcleo Semilíquido (Suspended Geode Pearl with Semi-Liquid Core)</t>
        </is>
      </c>
      <c r="C1011" t="inlineStr">
        <is>
          <t>empaque</t>
        </is>
      </c>
      <c r="D1011" s="22" t="inlineStr">
        <is>
          <t>5 Bolsita desecante y sello de inviolabilidad · 500 g de colada en bolsas de 100 g</t>
        </is>
      </c>
      <c r="E1011" s="6" t="inlineStr">
        <is>
          <t>Bolsita desecante y sello de inviolabilidad</t>
        </is>
      </c>
      <c r="F1011" s="16" t="n">
        <v>5</v>
      </c>
      <c r="G1011" t="inlineStr">
        <is>
          <t>pz</t>
        </is>
      </c>
      <c r="H1011" s="12">
        <f>IFERROR(VLOOKUP(E1011,Insumos!$C$5:$G$100,5,FALSE),0)</f>
        <v/>
      </c>
      <c r="I1011" s="17">
        <f>F1011*H1011/IF(C1011="molde",MAX(1,'Mi negocio'!$C$34),1)</f>
        <v/>
      </c>
    </row>
    <row r="1012">
      <c r="A1012" t="n">
        <v>35</v>
      </c>
      <c r="B1012" s="21" t="inlineStr">
        <is>
          <t>Trenza Helicoidal Bicolor de Mango y Frambuesa en Extrusión Doble (Double-Helix Extruded Mango &amp; Raspberry Twist)</t>
        </is>
      </c>
      <c r="C1012" t="inlineStr">
        <is>
          <t>empaque</t>
        </is>
      </c>
      <c r="D1012" s="22" t="inlineStr">
        <is>
          <t>5 Bolsa doypack con zipper para 100 g · 480 g de colada en bolsas de 100 g</t>
        </is>
      </c>
      <c r="E1012" s="6" t="inlineStr">
        <is>
          <t>Bolsa doypack con zipper para 100 g</t>
        </is>
      </c>
      <c r="F1012" s="16" t="n">
        <v>5</v>
      </c>
      <c r="G1012" t="inlineStr">
        <is>
          <t>pz</t>
        </is>
      </c>
      <c r="H1012" s="12">
        <f>IFERROR(VLOOKUP(E1012,Insumos!$C$5:$G$100,5,FALSE),0)</f>
        <v/>
      </c>
      <c r="I1012" s="17">
        <f>F1012*H1012/IF(C1012="molde",MAX(1,'Mi negocio'!$C$34),1)</f>
        <v/>
      </c>
    </row>
    <row r="1013">
      <c r="A1013" t="n">
        <v>35</v>
      </c>
      <c r="B1013" s="21" t="inlineStr">
        <is>
          <t>Trenza Helicoidal Bicolor de Mango y Frambuesa en Extrusión Doble (Double-Helix Extruded Mango &amp; Raspberry Twist)</t>
        </is>
      </c>
      <c r="C1013" t="inlineStr">
        <is>
          <t>empaque</t>
        </is>
      </c>
      <c r="D1013" s="22" t="inlineStr">
        <is>
          <t>5 Etiqueta impresa con tabla nutrimental · 480 g de colada en bolsas de 100 g</t>
        </is>
      </c>
      <c r="E1013" s="6" t="inlineStr">
        <is>
          <t>Etiqueta impresa con tabla nutrimental</t>
        </is>
      </c>
      <c r="F1013" s="16" t="n">
        <v>5</v>
      </c>
      <c r="G1013" t="inlineStr">
        <is>
          <t>pz</t>
        </is>
      </c>
      <c r="H1013" s="12">
        <f>IFERROR(VLOOKUP(E1013,Insumos!$C$5:$G$100,5,FALSE),0)</f>
        <v/>
      </c>
      <c r="I1013" s="17">
        <f>F1013*H1013/IF(C1013="molde",MAX(1,'Mi negocio'!$C$34),1)</f>
        <v/>
      </c>
    </row>
    <row r="1014">
      <c r="A1014" t="n">
        <v>35</v>
      </c>
      <c r="B1014" s="21" t="inlineStr">
        <is>
          <t>Trenza Helicoidal Bicolor de Mango y Frambuesa en Extrusión Doble (Double-Helix Extruded Mango &amp; Raspberry Twist)</t>
        </is>
      </c>
      <c r="C1014" t="inlineStr">
        <is>
          <t>empaque</t>
        </is>
      </c>
      <c r="D1014" s="22" t="inlineStr">
        <is>
          <t>5 Bolsita desecante y sello de inviolabilidad · 480 g de colada en bolsas de 100 g</t>
        </is>
      </c>
      <c r="E1014" s="6" t="inlineStr">
        <is>
          <t>Bolsita desecante y sello de inviolabilidad</t>
        </is>
      </c>
      <c r="F1014" s="16" t="n">
        <v>5</v>
      </c>
      <c r="G1014" t="inlineStr">
        <is>
          <t>pz</t>
        </is>
      </c>
      <c r="H1014" s="12">
        <f>IFERROR(VLOOKUP(E1014,Insumos!$C$5:$G$100,5,FALSE),0)</f>
        <v/>
      </c>
      <c r="I1014" s="17">
        <f>F1014*H1014/IF(C1014="molde",MAX(1,'Mi negocio'!$C$34),1)</f>
        <v/>
      </c>
    </row>
    <row r="1015">
      <c r="A1015" t="n">
        <v>36</v>
      </c>
      <c r="B1015" s="21" t="inlineStr">
        <is>
          <t>Huevo Frito Clásico de Yema Cítrica y Clara Marshmallow (Sunny-Side Up Egg: Citrus Gel &amp; Vanilla Foam)</t>
        </is>
      </c>
      <c r="C1015" t="inlineStr">
        <is>
          <t>empaque</t>
        </is>
      </c>
      <c r="D1015" s="22" t="inlineStr">
        <is>
          <t>5 Bolsa doypack con zipper para 100 g · 495 g de colada en bolsas de 100 g</t>
        </is>
      </c>
      <c r="E1015" s="6" t="inlineStr">
        <is>
          <t>Bolsa doypack con zipper para 100 g</t>
        </is>
      </c>
      <c r="F1015" s="16" t="n">
        <v>5</v>
      </c>
      <c r="G1015" t="inlineStr">
        <is>
          <t>pz</t>
        </is>
      </c>
      <c r="H1015" s="12">
        <f>IFERROR(VLOOKUP(E1015,Insumos!$C$5:$G$100,5,FALSE),0)</f>
        <v/>
      </c>
      <c r="I1015" s="17">
        <f>F1015*H1015/IF(C1015="molde",MAX(1,'Mi negocio'!$C$34),1)</f>
        <v/>
      </c>
    </row>
    <row r="1016">
      <c r="A1016" t="n">
        <v>36</v>
      </c>
      <c r="B1016" s="21" t="inlineStr">
        <is>
          <t>Huevo Frito Clásico de Yema Cítrica y Clara Marshmallow (Sunny-Side Up Egg: Citrus Gel &amp; Vanilla Foam)</t>
        </is>
      </c>
      <c r="C1016" t="inlineStr">
        <is>
          <t>empaque</t>
        </is>
      </c>
      <c r="D1016" s="22" t="inlineStr">
        <is>
          <t>5 Etiqueta impresa con tabla nutrimental · 495 g de colada en bolsas de 100 g</t>
        </is>
      </c>
      <c r="E1016" s="6" t="inlineStr">
        <is>
          <t>Etiqueta impresa con tabla nutrimental</t>
        </is>
      </c>
      <c r="F1016" s="16" t="n">
        <v>5</v>
      </c>
      <c r="G1016" t="inlineStr">
        <is>
          <t>pz</t>
        </is>
      </c>
      <c r="H1016" s="12">
        <f>IFERROR(VLOOKUP(E1016,Insumos!$C$5:$G$100,5,FALSE),0)</f>
        <v/>
      </c>
      <c r="I1016" s="17">
        <f>F1016*H1016/IF(C1016="molde",MAX(1,'Mi negocio'!$C$34),1)</f>
        <v/>
      </c>
    </row>
    <row r="1017">
      <c r="A1017" t="n">
        <v>36</v>
      </c>
      <c r="B1017" s="21" t="inlineStr">
        <is>
          <t>Huevo Frito Clásico de Yema Cítrica y Clara Marshmallow (Sunny-Side Up Egg: Citrus Gel &amp; Vanilla Foam)</t>
        </is>
      </c>
      <c r="C1017" t="inlineStr">
        <is>
          <t>empaque</t>
        </is>
      </c>
      <c r="D1017" s="22" t="inlineStr">
        <is>
          <t>5 Bolsita desecante y sello de inviolabilidad · 495 g de colada en bolsas de 100 g</t>
        </is>
      </c>
      <c r="E1017" s="6" t="inlineStr">
        <is>
          <t>Bolsita desecante y sello de inviolabilidad</t>
        </is>
      </c>
      <c r="F1017" s="16" t="n">
        <v>5</v>
      </c>
      <c r="G1017" t="inlineStr">
        <is>
          <t>pz</t>
        </is>
      </c>
      <c r="H1017" s="12">
        <f>IFERROR(VLOOKUP(E1017,Insumos!$C$5:$G$100,5,FALSE),0)</f>
        <v/>
      </c>
      <c r="I1017" s="17">
        <f>F1017*H1017/IF(C1017="molde",MAX(1,'Mi negocio'!$C$34),1)</f>
        <v/>
      </c>
    </row>
    <row r="1018">
      <c r="A1018" t="n">
        <v>37</v>
      </c>
      <c r="B1018" s="21" t="inlineStr">
        <is>
          <t>Ojo Eyeball Sangriento con Núcleo Líquido de Cereza Ácida (Spooky Eyeball with Sour Cherry Lava Core)</t>
        </is>
      </c>
      <c r="C1018" t="inlineStr">
        <is>
          <t>empaque</t>
        </is>
      </c>
      <c r="D1018" s="22" t="inlineStr">
        <is>
          <t>5 Bolsa doypack con zipper para 100 g · 490 g de colada en bolsas de 100 g</t>
        </is>
      </c>
      <c r="E1018" s="6" t="inlineStr">
        <is>
          <t>Bolsa doypack con zipper para 100 g</t>
        </is>
      </c>
      <c r="F1018" s="16" t="n">
        <v>5</v>
      </c>
      <c r="G1018" t="inlineStr">
        <is>
          <t>pz</t>
        </is>
      </c>
      <c r="H1018" s="12">
        <f>IFERROR(VLOOKUP(E1018,Insumos!$C$5:$G$100,5,FALSE),0)</f>
        <v/>
      </c>
      <c r="I1018" s="17">
        <f>F1018*H1018/IF(C1018="molde",MAX(1,'Mi negocio'!$C$34),1)</f>
        <v/>
      </c>
    </row>
    <row r="1019">
      <c r="A1019" t="n">
        <v>37</v>
      </c>
      <c r="B1019" s="21" t="inlineStr">
        <is>
          <t>Ojo Eyeball Sangriento con Núcleo Líquido de Cereza Ácida (Spooky Eyeball with Sour Cherry Lava Core)</t>
        </is>
      </c>
      <c r="C1019" t="inlineStr">
        <is>
          <t>empaque</t>
        </is>
      </c>
      <c r="D1019" s="22" t="inlineStr">
        <is>
          <t>5 Etiqueta impresa con tabla nutrimental · 490 g de colada en bolsas de 100 g</t>
        </is>
      </c>
      <c r="E1019" s="6" t="inlineStr">
        <is>
          <t>Etiqueta impresa con tabla nutrimental</t>
        </is>
      </c>
      <c r="F1019" s="16" t="n">
        <v>5</v>
      </c>
      <c r="G1019" t="inlineStr">
        <is>
          <t>pz</t>
        </is>
      </c>
      <c r="H1019" s="12">
        <f>IFERROR(VLOOKUP(E1019,Insumos!$C$5:$G$100,5,FALSE),0)</f>
        <v/>
      </c>
      <c r="I1019" s="17">
        <f>F1019*H1019/IF(C1019="molde",MAX(1,'Mi negocio'!$C$34),1)</f>
        <v/>
      </c>
    </row>
    <row r="1020">
      <c r="A1020" t="n">
        <v>37</v>
      </c>
      <c r="B1020" s="21" t="inlineStr">
        <is>
          <t>Ojo Eyeball Sangriento con Núcleo Líquido de Cereza Ácida (Spooky Eyeball with Sour Cherry Lava Core)</t>
        </is>
      </c>
      <c r="C1020" t="inlineStr">
        <is>
          <t>empaque</t>
        </is>
      </c>
      <c r="D1020" s="22" t="inlineStr">
        <is>
          <t>5 Bolsita desecante y sello de inviolabilidad · 490 g de colada en bolsas de 100 g</t>
        </is>
      </c>
      <c r="E1020" s="6" t="inlineStr">
        <is>
          <t>Bolsita desecante y sello de inviolabilidad</t>
        </is>
      </c>
      <c r="F1020" s="16" t="n">
        <v>5</v>
      </c>
      <c r="G1020" t="inlineStr">
        <is>
          <t>pz</t>
        </is>
      </c>
      <c r="H1020" s="12">
        <f>IFERROR(VLOOKUP(E1020,Insumos!$C$5:$G$100,5,FALSE),0)</f>
        <v/>
      </c>
      <c r="I1020" s="17">
        <f>F1020*H1020/IF(C1020="molde",MAX(1,'Mi negocio'!$C$34),1)</f>
        <v/>
      </c>
    </row>
    <row r="1021">
      <c r="A1021" t="n">
        <v>38</v>
      </c>
      <c r="B1021" s="21" t="inlineStr">
        <is>
          <t>Gota Francesa Rellena de Confit Frutal en Pectina Pura (Pâte de Fruits Framboise Fourrée au Confit de Maracuyá)</t>
        </is>
      </c>
      <c r="C1021" t="inlineStr">
        <is>
          <t>empaque</t>
        </is>
      </c>
      <c r="D1021" s="22" t="inlineStr">
        <is>
          <t>5 Bolsa doypack con zipper para 100 g · 500 g de colada en bolsas de 100 g</t>
        </is>
      </c>
      <c r="E1021" s="6" t="inlineStr">
        <is>
          <t>Bolsa doypack con zipper para 100 g</t>
        </is>
      </c>
      <c r="F1021" s="16" t="n">
        <v>5</v>
      </c>
      <c r="G1021" t="inlineStr">
        <is>
          <t>pz</t>
        </is>
      </c>
      <c r="H1021" s="12">
        <f>IFERROR(VLOOKUP(E1021,Insumos!$C$5:$G$100,5,FALSE),0)</f>
        <v/>
      </c>
      <c r="I1021" s="17">
        <f>F1021*H1021/IF(C1021="molde",MAX(1,'Mi negocio'!$C$34),1)</f>
        <v/>
      </c>
    </row>
    <row r="1022">
      <c r="A1022" t="n">
        <v>38</v>
      </c>
      <c r="B1022" s="21" t="inlineStr">
        <is>
          <t>Gota Francesa Rellena de Confit Frutal en Pectina Pura (Pâte de Fruits Framboise Fourrée au Confit de Maracuyá)</t>
        </is>
      </c>
      <c r="C1022" t="inlineStr">
        <is>
          <t>empaque</t>
        </is>
      </c>
      <c r="D1022" s="22" t="inlineStr">
        <is>
          <t>5 Etiqueta impresa con tabla nutrimental · 500 g de colada en bolsas de 100 g</t>
        </is>
      </c>
      <c r="E1022" s="6" t="inlineStr">
        <is>
          <t>Etiqueta impresa con tabla nutrimental</t>
        </is>
      </c>
      <c r="F1022" s="16" t="n">
        <v>5</v>
      </c>
      <c r="G1022" t="inlineStr">
        <is>
          <t>pz</t>
        </is>
      </c>
      <c r="H1022" s="12">
        <f>IFERROR(VLOOKUP(E1022,Insumos!$C$5:$G$100,5,FALSE),0)</f>
        <v/>
      </c>
      <c r="I1022" s="17">
        <f>F1022*H1022/IF(C1022="molde",MAX(1,'Mi negocio'!$C$34),1)</f>
        <v/>
      </c>
    </row>
    <row r="1023">
      <c r="A1023" t="n">
        <v>38</v>
      </c>
      <c r="B1023" s="21" t="inlineStr">
        <is>
          <t>Gota Francesa Rellena de Confit Frutal en Pectina Pura (Pâte de Fruits Framboise Fourrée au Confit de Maracuyá)</t>
        </is>
      </c>
      <c r="C1023" t="inlineStr">
        <is>
          <t>empaque</t>
        </is>
      </c>
      <c r="D1023" s="22" t="inlineStr">
        <is>
          <t>5 Bolsita desecante y sello de inviolabilidad · 500 g de colada en bolsas de 100 g</t>
        </is>
      </c>
      <c r="E1023" s="6" t="inlineStr">
        <is>
          <t>Bolsita desecante y sello de inviolabilidad</t>
        </is>
      </c>
      <c r="F1023" s="16" t="n">
        <v>5</v>
      </c>
      <c r="G1023" t="inlineStr">
        <is>
          <t>pz</t>
        </is>
      </c>
      <c r="H1023" s="12">
        <f>IFERROR(VLOOKUP(E1023,Insumos!$C$5:$G$100,5,FALSE),0)</f>
        <v/>
      </c>
      <c r="I1023" s="17">
        <f>F1023*H1023/IF(C1023="molde",MAX(1,'Mi negocio'!$C$34),1)</f>
        <v/>
      </c>
    </row>
    <row r="1024">
      <c r="A1024" t="n">
        <v>39</v>
      </c>
      <c r="B1024" s="21" t="inlineStr">
        <is>
          <t>Bloque Bicolor de Melocotón y Mora con Doble Viscosidad (Dual-Viscosity Peach &amp; Blackberry Layered Brick)</t>
        </is>
      </c>
      <c r="C1024" t="inlineStr">
        <is>
          <t>empaque</t>
        </is>
      </c>
      <c r="D1024" s="22" t="inlineStr">
        <is>
          <t>5 Bolsa doypack con zipper para 100 g · 500 g de colada en bolsas de 100 g</t>
        </is>
      </c>
      <c r="E1024" s="6" t="inlineStr">
        <is>
          <t>Bolsa doypack con zipper para 100 g</t>
        </is>
      </c>
      <c r="F1024" s="16" t="n">
        <v>5</v>
      </c>
      <c r="G1024" t="inlineStr">
        <is>
          <t>pz</t>
        </is>
      </c>
      <c r="H1024" s="12">
        <f>IFERROR(VLOOKUP(E1024,Insumos!$C$5:$G$100,5,FALSE),0)</f>
        <v/>
      </c>
      <c r="I1024" s="17">
        <f>F1024*H1024/IF(C1024="molde",MAX(1,'Mi negocio'!$C$34),1)</f>
        <v/>
      </c>
    </row>
    <row r="1025">
      <c r="A1025" t="n">
        <v>39</v>
      </c>
      <c r="B1025" s="21" t="inlineStr">
        <is>
          <t>Bloque Bicolor de Melocotón y Mora con Doble Viscosidad (Dual-Viscosity Peach &amp; Blackberry Layered Brick)</t>
        </is>
      </c>
      <c r="C1025" t="inlineStr">
        <is>
          <t>empaque</t>
        </is>
      </c>
      <c r="D1025" s="22" t="inlineStr">
        <is>
          <t>5 Etiqueta impresa con tabla nutrimental · 500 g de colada en bolsas de 100 g</t>
        </is>
      </c>
      <c r="E1025" s="6" t="inlineStr">
        <is>
          <t>Etiqueta impresa con tabla nutrimental</t>
        </is>
      </c>
      <c r="F1025" s="16" t="n">
        <v>5</v>
      </c>
      <c r="G1025" t="inlineStr">
        <is>
          <t>pz</t>
        </is>
      </c>
      <c r="H1025" s="12">
        <f>IFERROR(VLOOKUP(E1025,Insumos!$C$5:$G$100,5,FALSE),0)</f>
        <v/>
      </c>
      <c r="I1025" s="17">
        <f>F1025*H1025/IF(C1025="molde",MAX(1,'Mi negocio'!$C$34),1)</f>
        <v/>
      </c>
    </row>
    <row r="1026">
      <c r="A1026" t="n">
        <v>39</v>
      </c>
      <c r="B1026" s="21" t="inlineStr">
        <is>
          <t>Bloque Bicolor de Melocotón y Mora con Doble Viscosidad (Dual-Viscosity Peach &amp; Blackberry Layered Brick)</t>
        </is>
      </c>
      <c r="C1026" t="inlineStr">
        <is>
          <t>empaque</t>
        </is>
      </c>
      <c r="D1026" s="22" t="inlineStr">
        <is>
          <t>5 Bolsita desecante y sello de inviolabilidad · 500 g de colada en bolsas de 100 g</t>
        </is>
      </c>
      <c r="E1026" s="6" t="inlineStr">
        <is>
          <t>Bolsita desecante y sello de inviolabilidad</t>
        </is>
      </c>
      <c r="F1026" s="16" t="n">
        <v>5</v>
      </c>
      <c r="G1026" t="inlineStr">
        <is>
          <t>pz</t>
        </is>
      </c>
      <c r="H1026" s="12">
        <f>IFERROR(VLOOKUP(E1026,Insumos!$C$5:$G$100,5,FALSE),0)</f>
        <v/>
      </c>
      <c r="I1026" s="17">
        <f>F1026*H1026/IF(C1026="molde",MAX(1,'Mi negocio'!$C$34),1)</f>
        <v/>
      </c>
    </row>
    <row r="1027">
      <c r="A1027" t="n">
        <v>40</v>
      </c>
      <c r="B1027" s="21" t="inlineStr">
        <is>
          <t>Nube Cítrica de Lima-Limón en Espuma Suave con Base Elástica (Marshmallow Cloud &amp; Citrus Jelly Base)</t>
        </is>
      </c>
      <c r="C1027" t="inlineStr">
        <is>
          <t>empaque</t>
        </is>
      </c>
      <c r="D1027" s="22" t="inlineStr">
        <is>
          <t>5 Bolsa doypack con zipper para 100 g · 500 g de colada en bolsas de 100 g</t>
        </is>
      </c>
      <c r="E1027" s="6" t="inlineStr">
        <is>
          <t>Bolsa doypack con zipper para 100 g</t>
        </is>
      </c>
      <c r="F1027" s="16" t="n">
        <v>5</v>
      </c>
      <c r="G1027" t="inlineStr">
        <is>
          <t>pz</t>
        </is>
      </c>
      <c r="H1027" s="12">
        <f>IFERROR(VLOOKUP(E1027,Insumos!$C$5:$G$100,5,FALSE),0)</f>
        <v/>
      </c>
      <c r="I1027" s="17">
        <f>F1027*H1027/IF(C1027="molde",MAX(1,'Mi negocio'!$C$34),1)</f>
        <v/>
      </c>
    </row>
    <row r="1028">
      <c r="A1028" t="n">
        <v>40</v>
      </c>
      <c r="B1028" s="21" t="inlineStr">
        <is>
          <t>Nube Cítrica de Lima-Limón en Espuma Suave con Base Elástica (Marshmallow Cloud &amp; Citrus Jelly Base)</t>
        </is>
      </c>
      <c r="C1028" t="inlineStr">
        <is>
          <t>empaque</t>
        </is>
      </c>
      <c r="D1028" s="22" t="inlineStr">
        <is>
          <t>5 Etiqueta impresa con tabla nutrimental · 500 g de colada en bolsas de 100 g</t>
        </is>
      </c>
      <c r="E1028" s="6" t="inlineStr">
        <is>
          <t>Etiqueta impresa con tabla nutrimental</t>
        </is>
      </c>
      <c r="F1028" s="16" t="n">
        <v>5</v>
      </c>
      <c r="G1028" t="inlineStr">
        <is>
          <t>pz</t>
        </is>
      </c>
      <c r="H1028" s="12">
        <f>IFERROR(VLOOKUP(E1028,Insumos!$C$5:$G$100,5,FALSE),0)</f>
        <v/>
      </c>
      <c r="I1028" s="17">
        <f>F1028*H1028/IF(C1028="molde",MAX(1,'Mi negocio'!$C$34),1)</f>
        <v/>
      </c>
    </row>
    <row r="1029">
      <c r="A1029" t="n">
        <v>40</v>
      </c>
      <c r="B1029" s="21" t="inlineStr">
        <is>
          <t>Nube Cítrica de Lima-Limón en Espuma Suave con Base Elástica (Marshmallow Cloud &amp; Citrus Jelly Base)</t>
        </is>
      </c>
      <c r="C1029" t="inlineStr">
        <is>
          <t>empaque</t>
        </is>
      </c>
      <c r="D1029" s="22" t="inlineStr">
        <is>
          <t>5 Bolsita desecante y sello de inviolabilidad · 500 g de colada en bolsas de 100 g</t>
        </is>
      </c>
      <c r="E1029" s="6" t="inlineStr">
        <is>
          <t>Bolsita desecante y sello de inviolabilidad</t>
        </is>
      </c>
      <c r="F1029" s="16" t="n">
        <v>5</v>
      </c>
      <c r="G1029" t="inlineStr">
        <is>
          <t>pz</t>
        </is>
      </c>
      <c r="H1029" s="12">
        <f>IFERROR(VLOOKUP(E1029,Insumos!$C$5:$G$100,5,FALSE),0)</f>
        <v/>
      </c>
      <c r="I1029" s="17">
        <f>F1029*H1029/IF(C1029="molde",MAX(1,'Mi negocio'!$C$34),1)</f>
        <v/>
      </c>
    </row>
    <row r="1030">
      <c r="A1030" t="n">
        <v>41</v>
      </c>
      <c r="B1030" s="21" t="inlineStr">
        <is>
          <t>Perla de Gin Tonic con Enebro, Cardamomo y Pepino (Gin &amp; Tonic Botanical Jewel)</t>
        </is>
      </c>
      <c r="C1030" t="inlineStr">
        <is>
          <t>empaque</t>
        </is>
      </c>
      <c r="D1030" s="22" t="inlineStr">
        <is>
          <t>5 Frasco de vidrio o lata de 180 g · 500 g de colada en bolsas de 100 g</t>
        </is>
      </c>
      <c r="E1030" s="6" t="inlineStr">
        <is>
          <t>Frasco de vidrio o lata de 180 g</t>
        </is>
      </c>
      <c r="F1030" s="16" t="n">
        <v>5</v>
      </c>
      <c r="G1030" t="inlineStr">
        <is>
          <t>pz</t>
        </is>
      </c>
      <c r="H1030" s="12">
        <f>IFERROR(VLOOKUP(E1030,Insumos!$C$5:$G$100,5,FALSE),0)</f>
        <v/>
      </c>
      <c r="I1030" s="17">
        <f>F1030*H1030/IF(C1030="molde",MAX(1,'Mi negocio'!$C$34),1)</f>
        <v/>
      </c>
    </row>
    <row r="1031">
      <c r="A1031" t="n">
        <v>41</v>
      </c>
      <c r="B1031" s="21" t="inlineStr">
        <is>
          <t>Perla de Gin Tonic con Enebro, Cardamomo y Pepino (Gin &amp; Tonic Botanical Jewel)</t>
        </is>
      </c>
      <c r="C1031" t="inlineStr">
        <is>
          <t>empaque</t>
        </is>
      </c>
      <c r="D1031" s="22" t="inlineStr">
        <is>
          <t>5 Etiqueta impresa con tabla nutrimental · 500 g de colada en bolsas de 100 g</t>
        </is>
      </c>
      <c r="E1031" s="6" t="inlineStr">
        <is>
          <t>Etiqueta impresa con tabla nutrimental</t>
        </is>
      </c>
      <c r="F1031" s="16" t="n">
        <v>5</v>
      </c>
      <c r="G1031" t="inlineStr">
        <is>
          <t>pz</t>
        </is>
      </c>
      <c r="H1031" s="12">
        <f>IFERROR(VLOOKUP(E1031,Insumos!$C$5:$G$100,5,FALSE),0)</f>
        <v/>
      </c>
      <c r="I1031" s="17">
        <f>F1031*H1031/IF(C1031="molde",MAX(1,'Mi negocio'!$C$34),1)</f>
        <v/>
      </c>
    </row>
    <row r="1032">
      <c r="A1032" t="n">
        <v>41</v>
      </c>
      <c r="B1032" s="21" t="inlineStr">
        <is>
          <t>Perla de Gin Tonic con Enebro, Cardamomo y Pepino (Gin &amp; Tonic Botanical Jewel)</t>
        </is>
      </c>
      <c r="C1032" t="inlineStr">
        <is>
          <t>empaque</t>
        </is>
      </c>
      <c r="D1032" s="22" t="inlineStr">
        <is>
          <t>5 Bolsita desecante y sello de inviolabilidad · 500 g de colada en bolsas de 100 g</t>
        </is>
      </c>
      <c r="E1032" s="6" t="inlineStr">
        <is>
          <t>Bolsita desecante y sello de inviolabilidad</t>
        </is>
      </c>
      <c r="F1032" s="16" t="n">
        <v>5</v>
      </c>
      <c r="G1032" t="inlineStr">
        <is>
          <t>pz</t>
        </is>
      </c>
      <c r="H1032" s="12">
        <f>IFERROR(VLOOKUP(E1032,Insumos!$C$5:$G$100,5,FALSE),0)</f>
        <v/>
      </c>
      <c r="I1032" s="17">
        <f>F1032*H1032/IF(C1032="molde",MAX(1,'Mi negocio'!$C$34),1)</f>
        <v/>
      </c>
    </row>
    <row r="1033">
      <c r="A1033" t="n">
        <v>42</v>
      </c>
      <c r="B1033" s="21" t="inlineStr">
        <is>
          <t>Confitura de Frambuesa al Vinagre Balsámico Tradicional de Módena DOP (Balsamic Raspberry &amp; Aceto di Modena DOP Pâte de Fruits)</t>
        </is>
      </c>
      <c r="C1033" t="inlineStr">
        <is>
          <t>empaque</t>
        </is>
      </c>
      <c r="D1033" s="22" t="inlineStr">
        <is>
          <t>5 Frasco de vidrio o lata de 180 g · 500 g de colada en bolsas de 100 g</t>
        </is>
      </c>
      <c r="E1033" s="6" t="inlineStr">
        <is>
          <t>Frasco de vidrio o lata de 180 g</t>
        </is>
      </c>
      <c r="F1033" s="16" t="n">
        <v>5</v>
      </c>
      <c r="G1033" t="inlineStr">
        <is>
          <t>pz</t>
        </is>
      </c>
      <c r="H1033" s="12">
        <f>IFERROR(VLOOKUP(E1033,Insumos!$C$5:$G$100,5,FALSE),0)</f>
        <v/>
      </c>
      <c r="I1033" s="17">
        <f>F1033*H1033/IF(C1033="molde",MAX(1,'Mi negocio'!$C$34),1)</f>
        <v/>
      </c>
    </row>
    <row r="1034">
      <c r="A1034" t="n">
        <v>42</v>
      </c>
      <c r="B1034" s="21" t="inlineStr">
        <is>
          <t>Confitura de Frambuesa al Vinagre Balsámico Tradicional de Módena DOP (Balsamic Raspberry &amp; Aceto di Modena DOP Pâte de Fruits)</t>
        </is>
      </c>
      <c r="C1034" t="inlineStr">
        <is>
          <t>empaque</t>
        </is>
      </c>
      <c r="D1034" s="22" t="inlineStr">
        <is>
          <t>5 Etiqueta impresa con tabla nutrimental · 500 g de colada en bolsas de 100 g</t>
        </is>
      </c>
      <c r="E1034" s="6" t="inlineStr">
        <is>
          <t>Etiqueta impresa con tabla nutrimental</t>
        </is>
      </c>
      <c r="F1034" s="16" t="n">
        <v>5</v>
      </c>
      <c r="G1034" t="inlineStr">
        <is>
          <t>pz</t>
        </is>
      </c>
      <c r="H1034" s="12">
        <f>IFERROR(VLOOKUP(E1034,Insumos!$C$5:$G$100,5,FALSE),0)</f>
        <v/>
      </c>
      <c r="I1034" s="17">
        <f>F1034*H1034/IF(C1034="molde",MAX(1,'Mi negocio'!$C$34),1)</f>
        <v/>
      </c>
    </row>
    <row r="1035">
      <c r="A1035" t="n">
        <v>42</v>
      </c>
      <c r="B1035" s="21" t="inlineStr">
        <is>
          <t>Confitura de Frambuesa al Vinagre Balsámico Tradicional de Módena DOP (Balsamic Raspberry &amp; Aceto di Modena DOP Pâte de Fruits)</t>
        </is>
      </c>
      <c r="C1035" t="inlineStr">
        <is>
          <t>empaque</t>
        </is>
      </c>
      <c r="D1035" s="22" t="inlineStr">
        <is>
          <t>5 Bolsita desecante y sello de inviolabilidad · 500 g de colada en bolsas de 100 g</t>
        </is>
      </c>
      <c r="E1035" s="6" t="inlineStr">
        <is>
          <t>Bolsita desecante y sello de inviolabilidad</t>
        </is>
      </c>
      <c r="F1035" s="16" t="n">
        <v>5</v>
      </c>
      <c r="G1035" t="inlineStr">
        <is>
          <t>pz</t>
        </is>
      </c>
      <c r="H1035" s="12">
        <f>IFERROR(VLOOKUP(E1035,Insumos!$C$5:$G$100,5,FALSE),0)</f>
        <v/>
      </c>
      <c r="I1035" s="17">
        <f>F1035*H1035/IF(C1035="molde",MAX(1,'Mi negocio'!$C$34),1)</f>
        <v/>
      </c>
    </row>
    <row r="1036">
      <c r="A1036" t="n">
        <v>43</v>
      </c>
      <c r="B1036" s="21" t="inlineStr">
        <is>
          <t>Gomita de Cacao Grand Cru y Flor de Sal de Guérande (Pure Dark Chocolate 70% &amp; Fleur de Sel Jelly)</t>
        </is>
      </c>
      <c r="C1036" t="inlineStr">
        <is>
          <t>empaque</t>
        </is>
      </c>
      <c r="D1036" s="22" t="inlineStr">
        <is>
          <t>5 Frasco de vidrio o lata de 180 g · 500 g de colada en bolsas de 100 g</t>
        </is>
      </c>
      <c r="E1036" s="6" t="inlineStr">
        <is>
          <t>Frasco de vidrio o lata de 180 g</t>
        </is>
      </c>
      <c r="F1036" s="16" t="n">
        <v>5</v>
      </c>
      <c r="G1036" t="inlineStr">
        <is>
          <t>pz</t>
        </is>
      </c>
      <c r="H1036" s="12">
        <f>IFERROR(VLOOKUP(E1036,Insumos!$C$5:$G$100,5,FALSE),0)</f>
        <v/>
      </c>
      <c r="I1036" s="17">
        <f>F1036*H1036/IF(C1036="molde",MAX(1,'Mi negocio'!$C$34),1)</f>
        <v/>
      </c>
    </row>
    <row r="1037">
      <c r="A1037" t="n">
        <v>43</v>
      </c>
      <c r="B1037" s="21" t="inlineStr">
        <is>
          <t>Gomita de Cacao Grand Cru y Flor de Sal de Guérande (Pure Dark Chocolate 70% &amp; Fleur de Sel Jelly)</t>
        </is>
      </c>
      <c r="C1037" t="inlineStr">
        <is>
          <t>empaque</t>
        </is>
      </c>
      <c r="D1037" s="22" t="inlineStr">
        <is>
          <t>5 Etiqueta impresa con tabla nutrimental · 500 g de colada en bolsas de 100 g</t>
        </is>
      </c>
      <c r="E1037" s="6" t="inlineStr">
        <is>
          <t>Etiqueta impresa con tabla nutrimental</t>
        </is>
      </c>
      <c r="F1037" s="16" t="n">
        <v>5</v>
      </c>
      <c r="G1037" t="inlineStr">
        <is>
          <t>pz</t>
        </is>
      </c>
      <c r="H1037" s="12">
        <f>IFERROR(VLOOKUP(E1037,Insumos!$C$5:$G$100,5,FALSE),0)</f>
        <v/>
      </c>
      <c r="I1037" s="17">
        <f>F1037*H1037/IF(C1037="molde",MAX(1,'Mi negocio'!$C$34),1)</f>
        <v/>
      </c>
    </row>
    <row r="1038">
      <c r="A1038" t="n">
        <v>43</v>
      </c>
      <c r="B1038" s="21" t="inlineStr">
        <is>
          <t>Gomita de Cacao Grand Cru y Flor de Sal de Guérande (Pure Dark Chocolate 70% &amp; Fleur de Sel Jelly)</t>
        </is>
      </c>
      <c r="C1038" t="inlineStr">
        <is>
          <t>empaque</t>
        </is>
      </c>
      <c r="D1038" s="22" t="inlineStr">
        <is>
          <t>5 Bolsita desecante y sello de inviolabilidad · 500 g de colada en bolsas de 100 g</t>
        </is>
      </c>
      <c r="E1038" s="6" t="inlineStr">
        <is>
          <t>Bolsita desecante y sello de inviolabilidad</t>
        </is>
      </c>
      <c r="F1038" s="16" t="n">
        <v>5</v>
      </c>
      <c r="G1038" t="inlineStr">
        <is>
          <t>pz</t>
        </is>
      </c>
      <c r="H1038" s="12">
        <f>IFERROR(VLOOKUP(E1038,Insumos!$C$5:$G$100,5,FALSE),0)</f>
        <v/>
      </c>
      <c r="I1038" s="17">
        <f>F1038*H1038/IF(C1038="molde",MAX(1,'Mi negocio'!$C$34),1)</f>
        <v/>
      </c>
    </row>
    <row r="1039">
      <c r="A1039" t="n">
        <v>44</v>
      </c>
      <c r="B1039" s="21" t="inlineStr">
        <is>
          <t>Domo de Té Verde Matcha Ceremonial y Limón Yuzu (Uji Matcha &amp; Yuzu Citrus Dome)</t>
        </is>
      </c>
      <c r="C1039" t="inlineStr">
        <is>
          <t>empaque</t>
        </is>
      </c>
      <c r="D1039" s="22" t="inlineStr">
        <is>
          <t>5 Frasco de vidrio o lata de 180 g · 490 g de colada en bolsas de 100 g</t>
        </is>
      </c>
      <c r="E1039" s="6" t="inlineStr">
        <is>
          <t>Frasco de vidrio o lata de 180 g</t>
        </is>
      </c>
      <c r="F1039" s="16" t="n">
        <v>5</v>
      </c>
      <c r="G1039" t="inlineStr">
        <is>
          <t>pz</t>
        </is>
      </c>
      <c r="H1039" s="12">
        <f>IFERROR(VLOOKUP(E1039,Insumos!$C$5:$G$100,5,FALSE),0)</f>
        <v/>
      </c>
      <c r="I1039" s="17">
        <f>F1039*H1039/IF(C1039="molde",MAX(1,'Mi negocio'!$C$34),1)</f>
        <v/>
      </c>
    </row>
    <row r="1040">
      <c r="A1040" t="n">
        <v>44</v>
      </c>
      <c r="B1040" s="21" t="inlineStr">
        <is>
          <t>Domo de Té Verde Matcha Ceremonial y Limón Yuzu (Uji Matcha &amp; Yuzu Citrus Dome)</t>
        </is>
      </c>
      <c r="C1040" t="inlineStr">
        <is>
          <t>empaque</t>
        </is>
      </c>
      <c r="D1040" s="22" t="inlineStr">
        <is>
          <t>5 Etiqueta impresa con tabla nutrimental · 490 g de colada en bolsas de 100 g</t>
        </is>
      </c>
      <c r="E1040" s="6" t="inlineStr">
        <is>
          <t>Etiqueta impresa con tabla nutrimental</t>
        </is>
      </c>
      <c r="F1040" s="16" t="n">
        <v>5</v>
      </c>
      <c r="G1040" t="inlineStr">
        <is>
          <t>pz</t>
        </is>
      </c>
      <c r="H1040" s="12">
        <f>IFERROR(VLOOKUP(E1040,Insumos!$C$5:$G$100,5,FALSE),0)</f>
        <v/>
      </c>
      <c r="I1040" s="17">
        <f>F1040*H1040/IF(C1040="molde",MAX(1,'Mi negocio'!$C$34),1)</f>
        <v/>
      </c>
    </row>
    <row r="1041">
      <c r="A1041" t="n">
        <v>44</v>
      </c>
      <c r="B1041" s="21" t="inlineStr">
        <is>
          <t>Domo de Té Verde Matcha Ceremonial y Limón Yuzu (Uji Matcha &amp; Yuzu Citrus Dome)</t>
        </is>
      </c>
      <c r="C1041" t="inlineStr">
        <is>
          <t>empaque</t>
        </is>
      </c>
      <c r="D1041" s="22" t="inlineStr">
        <is>
          <t>5 Bolsita desecante y sello de inviolabilidad · 490 g de colada en bolsas de 100 g</t>
        </is>
      </c>
      <c r="E1041" s="6" t="inlineStr">
        <is>
          <t>Bolsita desecante y sello de inviolabilidad</t>
        </is>
      </c>
      <c r="F1041" s="16" t="n">
        <v>5</v>
      </c>
      <c r="G1041" t="inlineStr">
        <is>
          <t>pz</t>
        </is>
      </c>
      <c r="H1041" s="12">
        <f>IFERROR(VLOOKUP(E1041,Insumos!$C$5:$G$100,5,FALSE),0)</f>
        <v/>
      </c>
      <c r="I1041" s="17">
        <f>F1041*H1041/IF(C1041="molde",MAX(1,'Mi negocio'!$C$34),1)</f>
        <v/>
      </c>
    </row>
    <row r="1042">
      <c r="A1042" t="n">
        <v>45</v>
      </c>
      <c r="B1042" s="21" t="inlineStr">
        <is>
          <t>Joya de Maracuyá, Lavanda Francesa y Miel de Abeja Cruda (Passion Fruit, Lavender &amp; Raw Honey Botanical Gem)</t>
        </is>
      </c>
      <c r="C1042" t="inlineStr">
        <is>
          <t>empaque</t>
        </is>
      </c>
      <c r="D1042" s="22" t="inlineStr">
        <is>
          <t>5 Frasco de vidrio o lata de 180 g · 500 g de colada en bolsas de 100 g</t>
        </is>
      </c>
      <c r="E1042" s="6" t="inlineStr">
        <is>
          <t>Frasco de vidrio o lata de 180 g</t>
        </is>
      </c>
      <c r="F1042" s="16" t="n">
        <v>5</v>
      </c>
      <c r="G1042" t="inlineStr">
        <is>
          <t>pz</t>
        </is>
      </c>
      <c r="H1042" s="12">
        <f>IFERROR(VLOOKUP(E1042,Insumos!$C$5:$G$100,5,FALSE),0)</f>
        <v/>
      </c>
      <c r="I1042" s="17">
        <f>F1042*H1042/IF(C1042="molde",MAX(1,'Mi negocio'!$C$34),1)</f>
        <v/>
      </c>
    </row>
    <row r="1043">
      <c r="A1043" t="n">
        <v>45</v>
      </c>
      <c r="B1043" s="21" t="inlineStr">
        <is>
          <t>Joya de Maracuyá, Lavanda Francesa y Miel de Abeja Cruda (Passion Fruit, Lavender &amp; Raw Honey Botanical Gem)</t>
        </is>
      </c>
      <c r="C1043" t="inlineStr">
        <is>
          <t>empaque</t>
        </is>
      </c>
      <c r="D1043" s="22" t="inlineStr">
        <is>
          <t>5 Etiqueta impresa con tabla nutrimental · 500 g de colada en bolsas de 100 g</t>
        </is>
      </c>
      <c r="E1043" s="6" t="inlineStr">
        <is>
          <t>Etiqueta impresa con tabla nutrimental</t>
        </is>
      </c>
      <c r="F1043" s="16" t="n">
        <v>5</v>
      </c>
      <c r="G1043" t="inlineStr">
        <is>
          <t>pz</t>
        </is>
      </c>
      <c r="H1043" s="12">
        <f>IFERROR(VLOOKUP(E1043,Insumos!$C$5:$G$100,5,FALSE),0)</f>
        <v/>
      </c>
      <c r="I1043" s="17">
        <f>F1043*H1043/IF(C1043="molde",MAX(1,'Mi negocio'!$C$34),1)</f>
        <v/>
      </c>
    </row>
    <row r="1044">
      <c r="A1044" t="n">
        <v>45</v>
      </c>
      <c r="B1044" s="21" t="inlineStr">
        <is>
          <t>Joya de Maracuyá, Lavanda Francesa y Miel de Abeja Cruda (Passion Fruit, Lavender &amp; Raw Honey Botanical Gem)</t>
        </is>
      </c>
      <c r="C1044" t="inlineStr">
        <is>
          <t>empaque</t>
        </is>
      </c>
      <c r="D1044" s="22" t="inlineStr">
        <is>
          <t>5 Bolsita desecante y sello de inviolabilidad · 500 g de colada en bolsas de 100 g</t>
        </is>
      </c>
      <c r="E1044" s="6" t="inlineStr">
        <is>
          <t>Bolsita desecante y sello de inviolabilidad</t>
        </is>
      </c>
      <c r="F1044" s="16" t="n">
        <v>5</v>
      </c>
      <c r="G1044" t="inlineStr">
        <is>
          <t>pz</t>
        </is>
      </c>
      <c r="H1044" s="12">
        <f>IFERROR(VLOOKUP(E1044,Insumos!$C$5:$G$100,5,FALSE),0)</f>
        <v/>
      </c>
      <c r="I1044" s="17">
        <f>F1044*H1044/IF(C1044="molde",MAX(1,'Mi negocio'!$C$34),1)</f>
        <v/>
      </c>
    </row>
    <row r="1045">
      <c r="A1045" t="n">
        <v>46</v>
      </c>
      <c r="B1045" s="21" t="inlineStr">
        <is>
          <t>Cubo de Cóctel Negroni de Autor con Naranja Amarga (Smoked Negroni &amp; Bitter Orange Cocktail Jelly)</t>
        </is>
      </c>
      <c r="C1045" t="inlineStr">
        <is>
          <t>empaque</t>
        </is>
      </c>
      <c r="D1045" s="22" t="inlineStr">
        <is>
          <t>5 Frasco de vidrio o lata de 180 g · 500 g de colada en bolsas de 100 g</t>
        </is>
      </c>
      <c r="E1045" s="6" t="inlineStr">
        <is>
          <t>Frasco de vidrio o lata de 180 g</t>
        </is>
      </c>
      <c r="F1045" s="16" t="n">
        <v>5</v>
      </c>
      <c r="G1045" t="inlineStr">
        <is>
          <t>pz</t>
        </is>
      </c>
      <c r="H1045" s="12">
        <f>IFERROR(VLOOKUP(E1045,Insumos!$C$5:$G$100,5,FALSE),0)</f>
        <v/>
      </c>
      <c r="I1045" s="17">
        <f>F1045*H1045/IF(C1045="molde",MAX(1,'Mi negocio'!$C$34),1)</f>
        <v/>
      </c>
    </row>
    <row r="1046">
      <c r="A1046" t="n">
        <v>46</v>
      </c>
      <c r="B1046" s="21" t="inlineStr">
        <is>
          <t>Cubo de Cóctel Negroni de Autor con Naranja Amarga (Smoked Negroni &amp; Bitter Orange Cocktail Jelly)</t>
        </is>
      </c>
      <c r="C1046" t="inlineStr">
        <is>
          <t>empaque</t>
        </is>
      </c>
      <c r="D1046" s="22" t="inlineStr">
        <is>
          <t>5 Etiqueta impresa con tabla nutrimental · 500 g de colada en bolsas de 100 g</t>
        </is>
      </c>
      <c r="E1046" s="6" t="inlineStr">
        <is>
          <t>Etiqueta impresa con tabla nutrimental</t>
        </is>
      </c>
      <c r="F1046" s="16" t="n">
        <v>5</v>
      </c>
      <c r="G1046" t="inlineStr">
        <is>
          <t>pz</t>
        </is>
      </c>
      <c r="H1046" s="12">
        <f>IFERROR(VLOOKUP(E1046,Insumos!$C$5:$G$100,5,FALSE),0)</f>
        <v/>
      </c>
      <c r="I1046" s="17">
        <f>F1046*H1046/IF(C1046="molde",MAX(1,'Mi negocio'!$C$34),1)</f>
        <v/>
      </c>
    </row>
    <row r="1047">
      <c r="A1047" t="n">
        <v>46</v>
      </c>
      <c r="B1047" s="21" t="inlineStr">
        <is>
          <t>Cubo de Cóctel Negroni de Autor con Naranja Amarga (Smoked Negroni &amp; Bitter Orange Cocktail Jelly)</t>
        </is>
      </c>
      <c r="C1047" t="inlineStr">
        <is>
          <t>empaque</t>
        </is>
      </c>
      <c r="D1047" s="22" t="inlineStr">
        <is>
          <t>5 Bolsita desecante y sello de inviolabilidad · 500 g de colada en bolsas de 100 g</t>
        </is>
      </c>
      <c r="E1047" s="6" t="inlineStr">
        <is>
          <t>Bolsita desecante y sello de inviolabilidad</t>
        </is>
      </c>
      <c r="F1047" s="16" t="n">
        <v>5</v>
      </c>
      <c r="G1047" t="inlineStr">
        <is>
          <t>pz</t>
        </is>
      </c>
      <c r="H1047" s="12">
        <f>IFERROR(VLOOKUP(E1047,Insumos!$C$5:$G$100,5,FALSE),0)</f>
        <v/>
      </c>
      <c r="I1047" s="17">
        <f>F1047*H1047/IF(C1047="molde",MAX(1,'Mi negocio'!$C$34),1)</f>
        <v/>
      </c>
    </row>
    <row r="1048">
      <c r="A1048" t="n">
        <v>47</v>
      </c>
      <c r="B1048" s="21" t="inlineStr">
        <is>
          <t>Botella de Cerveza Doble IPA con Lúpulo Citra y Miel de Malta (Double IPA Hoppy Craft Beer Gummy)</t>
        </is>
      </c>
      <c r="C1048" t="inlineStr">
        <is>
          <t>empaque</t>
        </is>
      </c>
      <c r="D1048" s="22" t="inlineStr">
        <is>
          <t>5 Frasco de vidrio o lata de 180 g · 500 g de colada en bolsas de 100 g</t>
        </is>
      </c>
      <c r="E1048" s="6" t="inlineStr">
        <is>
          <t>Frasco de vidrio o lata de 180 g</t>
        </is>
      </c>
      <c r="F1048" s="16" t="n">
        <v>5</v>
      </c>
      <c r="G1048" t="inlineStr">
        <is>
          <t>pz</t>
        </is>
      </c>
      <c r="H1048" s="12">
        <f>IFERROR(VLOOKUP(E1048,Insumos!$C$5:$G$100,5,FALSE),0)</f>
        <v/>
      </c>
      <c r="I1048" s="17">
        <f>F1048*H1048/IF(C1048="molde",MAX(1,'Mi negocio'!$C$34),1)</f>
        <v/>
      </c>
    </row>
    <row r="1049">
      <c r="A1049" t="n">
        <v>47</v>
      </c>
      <c r="B1049" s="21" t="inlineStr">
        <is>
          <t>Botella de Cerveza Doble IPA con Lúpulo Citra y Miel de Malta (Double IPA Hoppy Craft Beer Gummy)</t>
        </is>
      </c>
      <c r="C1049" t="inlineStr">
        <is>
          <t>empaque</t>
        </is>
      </c>
      <c r="D1049" s="22" t="inlineStr">
        <is>
          <t>5 Etiqueta impresa con tabla nutrimental · 500 g de colada en bolsas de 100 g</t>
        </is>
      </c>
      <c r="E1049" s="6" t="inlineStr">
        <is>
          <t>Etiqueta impresa con tabla nutrimental</t>
        </is>
      </c>
      <c r="F1049" s="16" t="n">
        <v>5</v>
      </c>
      <c r="G1049" t="inlineStr">
        <is>
          <t>pz</t>
        </is>
      </c>
      <c r="H1049" s="12">
        <f>IFERROR(VLOOKUP(E1049,Insumos!$C$5:$G$100,5,FALSE),0)</f>
        <v/>
      </c>
      <c r="I1049" s="17">
        <f>F1049*H1049/IF(C1049="molde",MAX(1,'Mi negocio'!$C$34),1)</f>
        <v/>
      </c>
    </row>
    <row r="1050">
      <c r="A1050" t="n">
        <v>47</v>
      </c>
      <c r="B1050" s="21" t="inlineStr">
        <is>
          <t>Botella de Cerveza Doble IPA con Lúpulo Citra y Miel de Malta (Double IPA Hoppy Craft Beer Gummy)</t>
        </is>
      </c>
      <c r="C1050" t="inlineStr">
        <is>
          <t>empaque</t>
        </is>
      </c>
      <c r="D1050" s="22" t="inlineStr">
        <is>
          <t>5 Bolsita desecante y sello de inviolabilidad · 500 g de colada en bolsas de 100 g</t>
        </is>
      </c>
      <c r="E1050" s="6" t="inlineStr">
        <is>
          <t>Bolsita desecante y sello de inviolabilidad</t>
        </is>
      </c>
      <c r="F1050" s="16" t="n">
        <v>5</v>
      </c>
      <c r="G1050" t="inlineStr">
        <is>
          <t>pz</t>
        </is>
      </c>
      <c r="H1050" s="12">
        <f>IFERROR(VLOOKUP(E1050,Insumos!$C$5:$G$100,5,FALSE),0)</f>
        <v/>
      </c>
      <c r="I1050" s="17">
        <f>F1050*H1050/IF(C1050="molde",MAX(1,'Mi negocio'!$C$34),1)</f>
        <v/>
      </c>
    </row>
    <row r="1051">
      <c r="A1051" t="n">
        <v>48</v>
      </c>
      <c r="B1051" s="21" t="inlineStr">
        <is>
          <t>Toffee Masticable de Caramelo Salado con Mantequilla de Bretaña (Salted Butter Caramel Chewy Toffee-Jelly)</t>
        </is>
      </c>
      <c r="C1051" t="inlineStr">
        <is>
          <t>empaque</t>
        </is>
      </c>
      <c r="D1051" s="22" t="inlineStr">
        <is>
          <t>5 Frasco de vidrio o lata de 180 g · 500 g de colada en bolsas de 100 g</t>
        </is>
      </c>
      <c r="E1051" s="6" t="inlineStr">
        <is>
          <t>Frasco de vidrio o lata de 180 g</t>
        </is>
      </c>
      <c r="F1051" s="16" t="n">
        <v>5</v>
      </c>
      <c r="G1051" t="inlineStr">
        <is>
          <t>pz</t>
        </is>
      </c>
      <c r="H1051" s="12">
        <f>IFERROR(VLOOKUP(E1051,Insumos!$C$5:$G$100,5,FALSE),0)</f>
        <v/>
      </c>
      <c r="I1051" s="17">
        <f>F1051*H1051/IF(C1051="molde",MAX(1,'Mi negocio'!$C$34),1)</f>
        <v/>
      </c>
    </row>
    <row r="1052">
      <c r="A1052" t="n">
        <v>48</v>
      </c>
      <c r="B1052" s="21" t="inlineStr">
        <is>
          <t>Toffee Masticable de Caramelo Salado con Mantequilla de Bretaña (Salted Butter Caramel Chewy Toffee-Jelly)</t>
        </is>
      </c>
      <c r="C1052" t="inlineStr">
        <is>
          <t>empaque</t>
        </is>
      </c>
      <c r="D1052" s="22" t="inlineStr">
        <is>
          <t>5 Etiqueta impresa con tabla nutrimental · 500 g de colada en bolsas de 100 g</t>
        </is>
      </c>
      <c r="E1052" s="6" t="inlineStr">
        <is>
          <t>Etiqueta impresa con tabla nutrimental</t>
        </is>
      </c>
      <c r="F1052" s="16" t="n">
        <v>5</v>
      </c>
      <c r="G1052" t="inlineStr">
        <is>
          <t>pz</t>
        </is>
      </c>
      <c r="H1052" s="12">
        <f>IFERROR(VLOOKUP(E1052,Insumos!$C$5:$G$100,5,FALSE),0)</f>
        <v/>
      </c>
      <c r="I1052" s="17">
        <f>F1052*H1052/IF(C1052="molde",MAX(1,'Mi negocio'!$C$34),1)</f>
        <v/>
      </c>
    </row>
    <row r="1053">
      <c r="A1053" t="n">
        <v>48</v>
      </c>
      <c r="B1053" s="21" t="inlineStr">
        <is>
          <t>Toffee Masticable de Caramelo Salado con Mantequilla de Bretaña (Salted Butter Caramel Chewy Toffee-Jelly)</t>
        </is>
      </c>
      <c r="C1053" t="inlineStr">
        <is>
          <t>empaque</t>
        </is>
      </c>
      <c r="D1053" s="22" t="inlineStr">
        <is>
          <t>5 Bolsita desecante y sello de inviolabilidad · 500 g de colada en bolsas de 100 g</t>
        </is>
      </c>
      <c r="E1053" s="6" t="inlineStr">
        <is>
          <t>Bolsita desecante y sello de inviolabilidad</t>
        </is>
      </c>
      <c r="F1053" s="16" t="n">
        <v>5</v>
      </c>
      <c r="G1053" t="inlineStr">
        <is>
          <t>pz</t>
        </is>
      </c>
      <c r="H1053" s="12">
        <f>IFERROR(VLOOKUP(E1053,Insumos!$C$5:$G$100,5,FALSE),0)</f>
        <v/>
      </c>
      <c r="I1053" s="17">
        <f>F1053*H1053/IF(C1053="molde",MAX(1,'Mi negocio'!$C$34),1)</f>
        <v/>
      </c>
    </row>
    <row r="1054">
      <c r="A1054" t="n">
        <v>49</v>
      </c>
      <c r="B1054" s="21" t="inlineStr">
        <is>
          <t>Goma Funcional de Cúrcuma, Jengibre y Pimienta Negra con Curcumina Biodisponible (Anti-Inflammatory Golden Turmeric &amp; Ginger Functional Gummy)</t>
        </is>
      </c>
      <c r="C1054" t="inlineStr">
        <is>
          <t>empaque</t>
        </is>
      </c>
      <c r="D1054" s="22" t="inlineStr">
        <is>
          <t>5 Frasco de vidrio o lata de 180 g · 500 g de colada en bolsas de 100 g</t>
        </is>
      </c>
      <c r="E1054" s="6" t="inlineStr">
        <is>
          <t>Frasco de vidrio o lata de 180 g</t>
        </is>
      </c>
      <c r="F1054" s="16" t="n">
        <v>5</v>
      </c>
      <c r="G1054" t="inlineStr">
        <is>
          <t>pz</t>
        </is>
      </c>
      <c r="H1054" s="12">
        <f>IFERROR(VLOOKUP(E1054,Insumos!$C$5:$G$100,5,FALSE),0)</f>
        <v/>
      </c>
      <c r="I1054" s="17">
        <f>F1054*H1054/IF(C1054="molde",MAX(1,'Mi negocio'!$C$34),1)</f>
        <v/>
      </c>
    </row>
    <row r="1055">
      <c r="A1055" t="n">
        <v>49</v>
      </c>
      <c r="B1055" s="21" t="inlineStr">
        <is>
          <t>Goma Funcional de Cúrcuma, Jengibre y Pimienta Negra con Curcumina Biodisponible (Anti-Inflammatory Golden Turmeric &amp; Ginger Functional Gummy)</t>
        </is>
      </c>
      <c r="C1055" t="inlineStr">
        <is>
          <t>empaque</t>
        </is>
      </c>
      <c r="D1055" s="22" t="inlineStr">
        <is>
          <t>5 Etiqueta impresa con tabla nutrimental · 500 g de colada en bolsas de 100 g</t>
        </is>
      </c>
      <c r="E1055" s="6" t="inlineStr">
        <is>
          <t>Etiqueta impresa con tabla nutrimental</t>
        </is>
      </c>
      <c r="F1055" s="16" t="n">
        <v>5</v>
      </c>
      <c r="G1055" t="inlineStr">
        <is>
          <t>pz</t>
        </is>
      </c>
      <c r="H1055" s="12">
        <f>IFERROR(VLOOKUP(E1055,Insumos!$C$5:$G$100,5,FALSE),0)</f>
        <v/>
      </c>
      <c r="I1055" s="17">
        <f>F1055*H1055/IF(C1055="molde",MAX(1,'Mi negocio'!$C$34),1)</f>
        <v/>
      </c>
    </row>
    <row r="1056">
      <c r="A1056" t="n">
        <v>49</v>
      </c>
      <c r="B1056" s="21" t="inlineStr">
        <is>
          <t>Goma Funcional de Cúrcuma, Jengibre y Pimienta Negra con Curcumina Biodisponible (Anti-Inflammatory Golden Turmeric &amp; Ginger Functional Gummy)</t>
        </is>
      </c>
      <c r="C1056" t="inlineStr">
        <is>
          <t>empaque</t>
        </is>
      </c>
      <c r="D1056" s="22" t="inlineStr">
        <is>
          <t>5 Bolsita desecante y sello de inviolabilidad · 500 g de colada en bolsas de 100 g</t>
        </is>
      </c>
      <c r="E1056" s="6" t="inlineStr">
        <is>
          <t>Bolsita desecante y sello de inviolabilidad</t>
        </is>
      </c>
      <c r="F1056" s="16" t="n">
        <v>5</v>
      </c>
      <c r="G1056" t="inlineStr">
        <is>
          <t>pz</t>
        </is>
      </c>
      <c r="H1056" s="12">
        <f>IFERROR(VLOOKUP(E1056,Insumos!$C$5:$G$100,5,FALSE),0)</f>
        <v/>
      </c>
      <c r="I1056" s="17">
        <f>F1056*H1056/IF(C1056="molde",MAX(1,'Mi negocio'!$C$34),1)</f>
        <v/>
      </c>
    </row>
    <row r="1057">
      <c r="A1057" t="n">
        <v>50</v>
      </c>
      <c r="B1057" s="21" t="inlineStr">
        <is>
          <t>Pastilla de Saúco Negro, Vitamina C y Zinc con Propóleo (Black Elderberry Immune Defense &amp; Zinc Shield)</t>
        </is>
      </c>
      <c r="C1057" t="inlineStr">
        <is>
          <t>empaque</t>
        </is>
      </c>
      <c r="D1057" s="22" t="inlineStr">
        <is>
          <t>5 Frasco de vidrio o lata de 180 g · 500 g de colada en bolsas de 100 g</t>
        </is>
      </c>
      <c r="E1057" s="6" t="inlineStr">
        <is>
          <t>Frasco de vidrio o lata de 180 g</t>
        </is>
      </c>
      <c r="F1057" s="16" t="n">
        <v>5</v>
      </c>
      <c r="G1057" t="inlineStr">
        <is>
          <t>pz</t>
        </is>
      </c>
      <c r="H1057" s="12">
        <f>IFERROR(VLOOKUP(E1057,Insumos!$C$5:$G$100,5,FALSE),0)</f>
        <v/>
      </c>
      <c r="I1057" s="17">
        <f>F1057*H1057/IF(C1057="molde",MAX(1,'Mi negocio'!$C$34),1)</f>
        <v/>
      </c>
    </row>
    <row r="1058">
      <c r="A1058" t="n">
        <v>50</v>
      </c>
      <c r="B1058" s="21" t="inlineStr">
        <is>
          <t>Pastilla de Saúco Negro, Vitamina C y Zinc con Propóleo (Black Elderberry Immune Defense &amp; Zinc Shield)</t>
        </is>
      </c>
      <c r="C1058" t="inlineStr">
        <is>
          <t>empaque</t>
        </is>
      </c>
      <c r="D1058" s="22" t="inlineStr">
        <is>
          <t>5 Etiqueta impresa con tabla nutrimental · 500 g de colada en bolsas de 100 g</t>
        </is>
      </c>
      <c r="E1058" s="6" t="inlineStr">
        <is>
          <t>Etiqueta impresa con tabla nutrimental</t>
        </is>
      </c>
      <c r="F1058" s="16" t="n">
        <v>5</v>
      </c>
      <c r="G1058" t="inlineStr">
        <is>
          <t>pz</t>
        </is>
      </c>
      <c r="H1058" s="12">
        <f>IFERROR(VLOOKUP(E1058,Insumos!$C$5:$G$100,5,FALSE),0)</f>
        <v/>
      </c>
      <c r="I1058" s="17">
        <f>F1058*H1058/IF(C1058="molde",MAX(1,'Mi negocio'!$C$34),1)</f>
        <v/>
      </c>
    </row>
    <row r="1059">
      <c r="A1059" t="n">
        <v>50</v>
      </c>
      <c r="B1059" s="21" t="inlineStr">
        <is>
          <t>Pastilla de Saúco Negro, Vitamina C y Zinc con Propóleo (Black Elderberry Immune Defense &amp; Zinc Shield)</t>
        </is>
      </c>
      <c r="C1059" t="inlineStr">
        <is>
          <t>empaque</t>
        </is>
      </c>
      <c r="D1059" s="22" t="inlineStr">
        <is>
          <t>5 Bolsita desecante y sello de inviolabilidad · 500 g de colada en bolsas de 100 g</t>
        </is>
      </c>
      <c r="E1059" s="6" t="inlineStr">
        <is>
          <t>Bolsita desecante y sello de inviolabilidad</t>
        </is>
      </c>
      <c r="F1059" s="16" t="n">
        <v>5</v>
      </c>
      <c r="G1059" t="inlineStr">
        <is>
          <t>pz</t>
        </is>
      </c>
      <c r="H1059" s="12">
        <f>IFERROR(VLOOKUP(E1059,Insumos!$C$5:$G$100,5,FALSE),0)</f>
        <v/>
      </c>
      <c r="I1059" s="17">
        <f>F1059*H1059/IF(C1059="molde",MAX(1,'Mi negocio'!$C$34),1)</f>
        <v/>
      </c>
    </row>
    <row r="1060">
      <c r="A1060" t="n">
        <v>102</v>
      </c>
      <c r="B1060" s="21" t="inlineStr">
        <is>
          <t>B-1 · Solución de ácido cítrico al 50% p/v</t>
        </is>
      </c>
      <c r="C1060" t="inlineStr">
        <is>
          <t>sabor</t>
        </is>
      </c>
      <c r="D1060" s="22" t="inlineStr">
        <is>
          <t>50 g Ácido cítrico anhidro fino · lote de B-1</t>
        </is>
      </c>
      <c r="E1060" s="6" t="inlineStr">
        <is>
          <t>Ácido cítrico anhidro fino</t>
        </is>
      </c>
      <c r="F1060" s="16" t="n">
        <v>50</v>
      </c>
      <c r="G1060" t="inlineStr">
        <is>
          <t>g</t>
        </is>
      </c>
      <c r="H1060" s="12">
        <f>IFERROR(VLOOKUP(E1060,Insumos!$C$5:$G$100,5,FALSE),0)</f>
        <v/>
      </c>
      <c r="I1060" s="17">
        <f>F1060*H1060/IF(C1060="molde",MAX(1,'Mi negocio'!$C$34),1)</f>
        <v/>
      </c>
    </row>
    <row r="1061">
      <c r="A1061" t="n">
        <v>102</v>
      </c>
      <c r="B1061" s="21" t="inlineStr">
        <is>
          <t>B-1 · Solución de ácido cítrico al 50% p/v</t>
        </is>
      </c>
      <c r="C1061" t="inlineStr">
        <is>
          <t>sabor</t>
        </is>
      </c>
      <c r="D1061" s="22" t="inlineStr">
        <is>
          <t>50 ml Agua desmineralizada o purificada · lote de B-1</t>
        </is>
      </c>
      <c r="E1061" s="6" t="inlineStr">
        <is>
          <t>Agua desmineralizada o purificada</t>
        </is>
      </c>
      <c r="F1061" s="16" t="n">
        <v>50</v>
      </c>
      <c r="G1061" t="inlineStr">
        <is>
          <t>ml</t>
        </is>
      </c>
      <c r="H1061" s="12">
        <f>IFERROR(VLOOKUP(E1061,Insumos!$C$5:$G$100,5,FALSE),0)</f>
        <v/>
      </c>
      <c r="I1061" s="17">
        <f>F1061*H1061/IF(C1061="molde",MAX(1,'Mi negocio'!$C$34),1)</f>
        <v/>
      </c>
    </row>
    <row r="1062">
      <c r="A1062" t="n">
        <v>103</v>
      </c>
      <c r="B1062" s="21" t="inlineStr">
        <is>
          <t>B-2 · Agente de brillo de carnauba en MCT</t>
        </is>
      </c>
      <c r="C1062" t="inlineStr">
        <is>
          <t>acabado</t>
        </is>
      </c>
      <c r="D1062" s="22" t="inlineStr">
        <is>
          <t>248 ml Aceite de coco fraccionado (MCT) · lote de B-2</t>
        </is>
      </c>
      <c r="E1062" s="6" t="inlineStr">
        <is>
          <t>Aceite de coco fraccionado (MCT)</t>
        </is>
      </c>
      <c r="F1062" s="16" t="n">
        <v>248</v>
      </c>
      <c r="G1062" t="inlineStr">
        <is>
          <t>ml</t>
        </is>
      </c>
      <c r="H1062" s="12">
        <f>IFERROR(VLOOKUP(E1062,Insumos!$C$5:$G$100,5,FALSE),0)</f>
        <v/>
      </c>
      <c r="I1062" s="17">
        <f>F1062*H1062/IF(C1062="molde",MAX(1,'Mi negocio'!$C$34),1)</f>
        <v/>
      </c>
    </row>
    <row r="1063">
      <c r="A1063" t="n">
        <v>103</v>
      </c>
      <c r="B1063" s="21" t="inlineStr">
        <is>
          <t>B-2 · Agente de brillo de carnauba en MCT</t>
        </is>
      </c>
      <c r="C1063" t="inlineStr">
        <is>
          <t>acabado</t>
        </is>
      </c>
      <c r="D1063" s="22" t="inlineStr">
        <is>
          <t>2.5 g Cera de carnauba refinada · lote de B-2</t>
        </is>
      </c>
      <c r="E1063" s="6" t="inlineStr">
        <is>
          <t>Cera de carnauba refinada</t>
        </is>
      </c>
      <c r="F1063" s="16" t="n">
        <v>2.5</v>
      </c>
      <c r="G1063" t="inlineStr">
        <is>
          <t>g</t>
        </is>
      </c>
      <c r="H1063" s="12">
        <f>IFERROR(VLOOKUP(E1063,Insumos!$C$5:$G$100,5,FALSE),0)</f>
        <v/>
      </c>
      <c r="I1063" s="17">
        <f>F1063*H1063/IF(C1063="molde",MAX(1,'Mi negocio'!$C$34),1)</f>
        <v/>
      </c>
    </row>
  </sheetData>
  <autoFilter ref="A4:I1063"/>
  <conditionalFormatting sqref="H5:H1063">
    <cfRule type="cellIs" priority="1" operator="equal" dxfId="0">
      <formula>0</formula>
    </cfRule>
  </conditionalFormatting>
  <dataValidations count="1">
    <dataValidation sqref="E5:E1063" showDropDown="0" showInputMessage="0" showErrorMessage="0" allowBlank="0" type="list">
      <formula1>=Insumos!$C$5:$C$100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obrador y del área de estufado</t>
        </is>
      </c>
      <c r="C5" s="23" t="n">
        <v>11500</v>
      </c>
    </row>
    <row r="6">
      <c r="B6" s="6" t="inlineStr">
        <is>
          <t>Luz, gas y cocción de jarabes</t>
        </is>
      </c>
      <c r="C6" s="23" t="n">
        <v>3200</v>
      </c>
    </row>
    <row r="7">
      <c r="B7" s="6" t="inlineStr">
        <is>
          <t>Control de temperatura y humedad de la cámara de curado</t>
        </is>
      </c>
      <c r="C7" s="23" t="n">
        <v>2800</v>
      </c>
    </row>
    <row r="8">
      <c r="B8" s="6" t="inlineStr">
        <is>
          <t>Agua, limpieza y sanitización</t>
        </is>
      </c>
      <c r="C8" s="23" t="n">
        <v>1100</v>
      </c>
    </row>
    <row r="9">
      <c r="B9" s="6" t="inlineStr">
        <is>
          <t>Internet, telefonía y punto de venta</t>
        </is>
      </c>
      <c r="C9" s="23" t="n">
        <v>800</v>
      </c>
    </row>
    <row r="10">
      <c r="B10" s="6" t="inlineStr">
        <is>
          <t>Publicidad, redes y contenido</t>
        </is>
      </c>
      <c r="C10" s="23" t="n">
        <v>2400</v>
      </c>
    </row>
    <row r="11">
      <c r="B11" s="6" t="inlineStr">
        <is>
          <t>Permisos, licencias sanitarias y comisiones de plataforma</t>
        </is>
      </c>
      <c r="C11" s="23" t="n">
        <v>1900</v>
      </c>
    </row>
    <row r="12">
      <c r="B12" s="6" t="inlineStr">
        <is>
          <t>Mantenimiento de cazo, bomba dosificadora y deshumidificador</t>
        </is>
      </c>
      <c r="C12" s="23" t="n">
        <v>1200</v>
      </c>
    </row>
    <row r="13">
      <c r="B13" s="6" t="inlineStr">
        <is>
          <t>Depreciación de equipo (cazo, refractómetro, pH-metro, estufa)</t>
        </is>
      </c>
      <c r="C13" s="23" t="n">
        <v>2400</v>
      </c>
    </row>
    <row r="14">
      <c r="B14" s="6" t="inlineStr">
        <is>
          <t>Otros gastos fijos</t>
        </is>
      </c>
      <c r="C14" s="23" t="n">
        <v>700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Piezas producidos al mes</t>
        </is>
      </c>
      <c r="C19" s="25" t="n">
        <v>120000</v>
      </c>
      <c r="D19" s="7" t="inlineStr">
        <is>
          <t>Piezas que esperas producir al mes. Es el divisor de tus gastos fijos. En gomitas el volumen manda: la misma cocción da 200 piezas o 2 000.</t>
        </is>
      </c>
    </row>
    <row r="20">
      <c r="B20" t="inlineStr">
        <is>
          <t>Gastos fijos por pieza (overhead)</t>
        </is>
      </c>
      <c r="C20" s="26">
        <f>IFERROR(C17/C19,0)</f>
        <v/>
      </c>
      <c r="D20" s="7" t="inlineStr">
        <is>
          <t>Se suma al costo de cada pieza.</t>
        </is>
      </c>
    </row>
    <row r="21">
      <c r="B21" t="inlineStr">
        <is>
          <t>Sueldo mensual que te pagas</t>
        </is>
      </c>
      <c r="C21" s="23" t="n">
        <v>20000</v>
      </c>
      <c r="D21" s="7" t="inlineStr"/>
    </row>
    <row r="22">
      <c r="B22" t="inlineStr">
        <is>
          <t>Horas de trabajo al mes</t>
        </is>
      </c>
      <c r="C22" s="25" t="n">
        <v>180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0.1</v>
      </c>
      <c r="D24" s="7" t="inlineStr">
        <is>
          <t>Colada que no cuajó, piezas pegadas por exudación, sinéresis en la bolsa, desmolde roto y pieza cristalizada. En gomitas la merma se decide en el pH y en el Brix, no en las manos.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1200</v>
      </c>
      <c r="D26" s="7" t="inlineStr">
        <is>
          <t>La ficha del chef está escrita para una colada de 500 g. Una planta real cuela varios kilos de una vez: los minutos de cocción y de jarabe se reparten entre todas las piezas.</t>
        </is>
      </c>
    </row>
    <row r="27">
      <c r="B27" t="inlineStr">
        <is>
          <t>Margen · Mostrador y venta directa</t>
        </is>
      </c>
      <c r="C27" s="27" t="n">
        <v>0.58</v>
      </c>
      <c r="D27" s="7" t="inlineStr">
        <is>
          <t>Rango sugerido 54 – 62 %.</t>
        </is>
      </c>
    </row>
    <row r="28">
      <c r="B28" t="inlineStr">
        <is>
          <t>Margen · Evento, regalo y corporativo</t>
        </is>
      </c>
      <c r="C28" s="27" t="n">
        <v>0.52</v>
      </c>
      <c r="D28" s="7" t="inlineStr">
        <is>
          <t>Rango sugerido 48 – 56 %.</t>
        </is>
      </c>
    </row>
    <row r="29">
      <c r="B29" t="inlineStr">
        <is>
          <t>Margen · Marca propia y tienda en línea</t>
        </is>
      </c>
      <c r="C29" s="27" t="n">
        <v>0.46</v>
      </c>
      <c r="D29" s="7" t="inlineStr">
        <is>
          <t>Rango sugerido 42 – 50 %.</t>
        </is>
      </c>
    </row>
    <row r="30">
      <c r="B30" t="inlineStr">
        <is>
          <t>Margen · Mayoreo a tiendas y distribución</t>
        </is>
      </c>
      <c r="C30" s="27" t="n">
        <v>0.36</v>
      </c>
      <c r="D30" s="7" t="inlineStr">
        <is>
          <t>Rango sugerido 32 – 40 %.</t>
        </is>
      </c>
    </row>
    <row r="34">
      <c r="B34" t="inlineStr">
        <is>
          <t>Coladas de vida útil del molde y la bandeja</t>
        </is>
      </c>
      <c r="C34" s="25" t="n">
        <v>450</v>
      </c>
      <c r="D34" s="7" t="inlineStr">
        <is>
          <t>El molde de silicona platinada y la bandeja de estufado no se consumen: se reutilizan. Su costo se divide entre las coladas que aguantan antes de perder definición. Por debajo de 300 coladas conviene revisar la calidad del molde.</t>
        </is>
      </c>
    </row>
    <row r="37">
      <c r="B37" t="inlineStr">
        <is>
          <t>Lugares de bandeja en la cámara de estufado</t>
        </is>
      </c>
      <c r="C37" s="25" t="n">
        <v>7200</v>
      </c>
      <c r="D37" s="7" t="inlineStr">
        <is>
          <t>El estufado es el cuello de botella real de la confitería de gomas: una pieza que pide cuarenta y ocho horas de curado ocupa un lugar de bandeja dos días enteros. Con los lugares que tengas y las horas que pida cada fórmula sale tu techo de piezas al día.</t>
        </is>
      </c>
    </row>
    <row r="38">
      <c r="B38" t="inlineStr">
        <is>
          <t>Costo mensual de la cámara de estufado</t>
        </is>
      </c>
      <c r="C38" s="23" t="n">
        <v>2800</v>
      </c>
      <c r="D38" s="7" t="inlineStr">
        <is>
          <t>Renta de la superficie de secado, deshidratador, rejillas y su depreciación.</t>
        </is>
      </c>
    </row>
    <row r="39">
      <c r="B39" t="inlineStr">
        <is>
          <t>Costo de la pieza-hora de estufado</t>
        </is>
      </c>
      <c r="C39" s="29">
        <f>IFERROR(C38/MAX(1,C37*24*30),0)</f>
        <v/>
      </c>
      <c r="D39" s="7" t="inlineStr">
        <is>
          <t>Cuesta poco dinero y mucha capacidad: lo que de verdad limita tu producción son los lugares de secado, no los pesos.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AC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2" customWidth="1" min="19" max="19"/>
    <col width="9" customWidth="1" min="20" max="20"/>
    <col width="10" customWidth="1" min="21" max="21"/>
    <col width="12" customWidth="1" min="22" max="22"/>
    <col width="11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Sistema</t>
        </is>
      </c>
      <c r="F4" s="8" t="inlineStr">
        <is>
          <t>Vida útil (meses)</t>
        </is>
      </c>
      <c r="G4" s="8" t="inlineStr">
        <is>
          <t>Unidad de venta</t>
        </is>
      </c>
      <c r="H4" s="8" t="inlineStr">
        <is>
          <t>Piezas que rinde</t>
        </is>
      </c>
      <c r="I4" s="8" t="inlineStr">
        <is>
          <t>Insumos de la colada</t>
        </is>
      </c>
      <c r="J4" s="8" t="inlineStr">
        <is>
          <t>Insumos por pieza</t>
        </is>
      </c>
      <c r="K4" s="8" t="inlineStr">
        <is>
          <t>Empaque extra</t>
        </is>
      </c>
      <c r="L4" s="8" t="inlineStr">
        <is>
          <t>Cocción y luz por pieza</t>
        </is>
      </c>
      <c r="M4" s="8" t="inlineStr">
        <is>
          <t>Min. de colada (jarabe, cocción, vaciado)</t>
        </is>
      </c>
      <c r="N4" s="8" t="inlineStr">
        <is>
          <t>Min. de pieza (desmolde, rebozado, acabado)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Estufado (h)</t>
        </is>
      </c>
      <c r="R4" s="8" t="inlineStr">
        <is>
          <t>Estufado</t>
        </is>
      </c>
      <c r="S4" s="8" t="inlineStr">
        <is>
          <t>Piezas al día que permite tu estufa</t>
        </is>
      </c>
      <c r="T4" s="8" t="inlineStr">
        <is>
          <t>Costo base</t>
        </is>
      </c>
      <c r="U4" s="8" t="inlineStr">
        <is>
          <t>Merma propia</t>
        </is>
      </c>
      <c r="V4" s="8" t="inlineStr">
        <is>
          <t>Merma aplicada</t>
        </is>
      </c>
      <c r="W4" s="8" t="inlineStr">
        <is>
          <t>COSTO TOTAL</t>
        </is>
      </c>
      <c r="X4" s="8" t="inlineStr">
        <is>
          <t>Piezas por bolsa de 100 g</t>
        </is>
      </c>
      <c r="Y4" s="8" t="inlineStr">
        <is>
          <t>Costo de la bolsa</t>
        </is>
      </c>
      <c r="Z4" s="8" t="inlineStr">
        <is>
          <t>PVP Mostrador y venta directa</t>
        </is>
      </c>
      <c r="AA4" s="8" t="inlineStr">
        <is>
          <t>PVP Evento, regalo y corporativo</t>
        </is>
      </c>
      <c r="AB4" s="8" t="inlineStr">
        <is>
          <t>PVP Marca propia y tienda en línea</t>
        </is>
      </c>
      <c r="AC4" s="8" t="inlineStr">
        <is>
          <t>PVP Mayoreo a tiendas y distribución</t>
        </is>
      </c>
    </row>
    <row r="5">
      <c r="A5" t="n">
        <v>1</v>
      </c>
      <c r="B5" s="21" t="inlineStr">
        <is>
          <t>Gomita Clásica de Oso de Fresa Silvestre (Classic High-Bloom Strawberry Bear)</t>
        </is>
      </c>
      <c r="C5" s="22" t="inlineStr">
        <is>
          <t>Bloque 1 · Tradicionales, frutales y gelificantes clásicos</t>
        </is>
      </c>
      <c r="D5" t="inlineStr">
        <is>
          <t>1</t>
        </is>
      </c>
      <c r="E5" t="inlineStr">
        <is>
          <t>G</t>
        </is>
      </c>
      <c r="F5" t="n">
        <v>6</v>
      </c>
      <c r="G5" t="inlineStr">
        <is>
          <t>pieza</t>
        </is>
      </c>
      <c r="H5" s="16" t="n">
        <v>200</v>
      </c>
      <c r="I5" s="17">
        <f>SUMIF(Ingredientes!$A$5:$A$1063,A5,Ingredientes!$I$5:$I$1063)</f>
        <v/>
      </c>
      <c r="J5" s="17">
        <f>IFERROR(I5/H5,0)</f>
        <v/>
      </c>
      <c r="K5" s="11" t="n">
        <v>0</v>
      </c>
      <c r="L5" s="11" t="n">
        <v>0.012</v>
      </c>
      <c r="M5" s="16" t="n">
        <v>85</v>
      </c>
      <c r="N5" s="16" t="n">
        <v>0.09</v>
      </c>
      <c r="O5" s="17">
        <f>IFERROR((M5/MAX(1,'Mi negocio'!$C$26)+N5)/60*'Mi negocio'!$C$23,0)</f>
        <v/>
      </c>
      <c r="P5" s="17">
        <f>'Mi negocio'!$C$20</f>
        <v/>
      </c>
      <c r="Q5" s="30" t="n">
        <v>24</v>
      </c>
      <c r="R5" s="17">
        <f>Q5*'Mi negocio'!$C$39</f>
        <v/>
      </c>
      <c r="S5" s="31">
        <f>IFERROR(ROUNDDOWN('Mi negocio'!$C$37*24/MAX(1,Q5),0),0)</f>
        <v/>
      </c>
      <c r="T5" s="17">
        <f>J5+K5+L5+O5+P5+R5</f>
        <v/>
      </c>
      <c r="U5" s="27" t="n"/>
      <c r="V5" s="32">
        <f>IF(U5="",'Mi negocio'!$C$24,U5)</f>
        <v/>
      </c>
      <c r="W5" s="33">
        <f>IFERROR(T5/(1-V5),0)</f>
        <v/>
      </c>
      <c r="X5" s="6" t="n">
        <v>40</v>
      </c>
      <c r="Y5" s="17">
        <f>W5*MAX(1,X5)</f>
        <v/>
      </c>
      <c r="Z5" s="17">
        <f>IFERROR(CEILING(ROUND(W5*MAX(1,X5)/(1-'Mi negocio'!$C$27),6),'Mi negocio'!$C$25)/MAX(1,X5),0)</f>
        <v/>
      </c>
      <c r="AA5" s="17">
        <f>IFERROR(CEILING(ROUND(W5*MAX(1,X5)/(1-'Mi negocio'!$C$28),6),'Mi negocio'!$C$25)/MAX(1,X5),0)</f>
        <v/>
      </c>
      <c r="AB5" s="17">
        <f>IFERROR(CEILING(ROUND(W5*MAX(1,X5)/(1-'Mi negocio'!$C$29),6),'Mi negocio'!$C$25)/MAX(1,X5),0)</f>
        <v/>
      </c>
      <c r="AC5" s="17">
        <f>IFERROR(CEILING(ROUND(W5*MAX(1,X5)/(1-'Mi negocio'!$C$30),6),'Mi negocio'!$C$25)/MAX(1,X5),0)</f>
        <v/>
      </c>
    </row>
    <row r="6">
      <c r="A6" t="n">
        <v>2</v>
      </c>
      <c r="B6" s="21" t="inlineStr">
        <is>
          <t>Gota Francesa de Naranja y Mandarina en Pectina de Alto Metoxilo (Pâte de Fruits Gélifiée en Pectine Jaune)</t>
        </is>
      </c>
      <c r="C6" s="22" t="inlineStr">
        <is>
          <t>Bloque 1 · Tradicionales, frutales y gelificantes clásicos</t>
        </is>
      </c>
      <c r="D6" t="inlineStr">
        <is>
          <t>1</t>
        </is>
      </c>
      <c r="E6" t="inlineStr">
        <is>
          <t>P</t>
        </is>
      </c>
      <c r="F6" t="n">
        <v>4</v>
      </c>
      <c r="G6" t="inlineStr">
        <is>
          <t>pieza</t>
        </is>
      </c>
      <c r="H6" s="16" t="n">
        <v>160</v>
      </c>
      <c r="I6" s="17">
        <f>SUMIF(Ingredientes!$A$5:$A$1063,A6,Ingredientes!$I$5:$I$1063)</f>
        <v/>
      </c>
      <c r="J6" s="17">
        <f>IFERROR(I6/H6,0)</f>
        <v/>
      </c>
      <c r="K6" s="11" t="n">
        <v>0</v>
      </c>
      <c r="L6" s="11" t="n">
        <v>0.012</v>
      </c>
      <c r="M6" s="16" t="n">
        <v>85</v>
      </c>
      <c r="N6" s="16" t="n">
        <v>0.09</v>
      </c>
      <c r="O6" s="17">
        <f>IFERROR((M6/MAX(1,'Mi negocio'!$C$26)+N6)/60*'Mi negocio'!$C$23,0)</f>
        <v/>
      </c>
      <c r="P6" s="17">
        <f>'Mi negocio'!$C$20</f>
        <v/>
      </c>
      <c r="Q6" s="30" t="n">
        <v>36</v>
      </c>
      <c r="R6" s="17">
        <f>Q6*'Mi negocio'!$C$39</f>
        <v/>
      </c>
      <c r="S6" s="31">
        <f>IFERROR(ROUNDDOWN('Mi negocio'!$C$37*24/MAX(1,Q6),0),0)</f>
        <v/>
      </c>
      <c r="T6" s="17">
        <f>J6+K6+L6+O6+P6+R6</f>
        <v/>
      </c>
      <c r="U6" s="27" t="n"/>
      <c r="V6" s="32">
        <f>IF(U6="",'Mi negocio'!$C$24,U6)</f>
        <v/>
      </c>
      <c r="W6" s="33">
        <f>IFERROR(T6/(1-V6),0)</f>
        <v/>
      </c>
      <c r="X6" s="6" t="n">
        <v>33</v>
      </c>
      <c r="Y6" s="17">
        <f>W6*MAX(1,X6)</f>
        <v/>
      </c>
      <c r="Z6" s="17">
        <f>IFERROR(CEILING(ROUND(W6*MAX(1,X6)/(1-'Mi negocio'!$C$27),6),'Mi negocio'!$C$25)/MAX(1,X6),0)</f>
        <v/>
      </c>
      <c r="AA6" s="17">
        <f>IFERROR(CEILING(ROUND(W6*MAX(1,X6)/(1-'Mi negocio'!$C$28),6),'Mi negocio'!$C$25)/MAX(1,X6),0)</f>
        <v/>
      </c>
      <c r="AB6" s="17">
        <f>IFERROR(CEILING(ROUND(W6*MAX(1,X6)/(1-'Mi negocio'!$C$29),6),'Mi negocio'!$C$25)/MAX(1,X6),0)</f>
        <v/>
      </c>
      <c r="AC6" s="17">
        <f>IFERROR(CEILING(ROUND(W6*MAX(1,X6)/(1-'Mi negocio'!$C$30),6),'Mi negocio'!$C$25)/MAX(1,X6),0)</f>
        <v/>
      </c>
    </row>
    <row r="7">
      <c r="A7" t="n">
        <v>3</v>
      </c>
      <c r="B7" s="21" t="inlineStr">
        <is>
          <t>Gomita Tropical de Piña Colada en Sistema Híbrido (Gelatin-Pectin Hybrid Texture)</t>
        </is>
      </c>
      <c r="C7" s="22" t="inlineStr">
        <is>
          <t>Bloque 1 · Tradicionales, frutales y gelificantes clásicos</t>
        </is>
      </c>
      <c r="D7" t="inlineStr">
        <is>
          <t>1</t>
        </is>
      </c>
      <c r="E7" t="inlineStr">
        <is>
          <t>H</t>
        </is>
      </c>
      <c r="F7" t="n">
        <v>5</v>
      </c>
      <c r="G7" t="inlineStr">
        <is>
          <t>pieza</t>
        </is>
      </c>
      <c r="H7" s="16" t="n">
        <v>165</v>
      </c>
      <c r="I7" s="17">
        <f>SUMIF(Ingredientes!$A$5:$A$1063,A7,Ingredientes!$I$5:$I$1063)</f>
        <v/>
      </c>
      <c r="J7" s="17">
        <f>IFERROR(I7/H7,0)</f>
        <v/>
      </c>
      <c r="K7" s="11" t="n">
        <v>0</v>
      </c>
      <c r="L7" s="11" t="n">
        <v>0.012</v>
      </c>
      <c r="M7" s="16" t="n">
        <v>85</v>
      </c>
      <c r="N7" s="16" t="n">
        <v>0.09</v>
      </c>
      <c r="O7" s="17">
        <f>IFERROR((M7/MAX(1,'Mi negocio'!$C$26)+N7)/60*'Mi negocio'!$C$23,0)</f>
        <v/>
      </c>
      <c r="P7" s="17">
        <f>'Mi negocio'!$C$20</f>
        <v/>
      </c>
      <c r="Q7" s="30" t="n">
        <v>36</v>
      </c>
      <c r="R7" s="17">
        <f>Q7*'Mi negocio'!$C$39</f>
        <v/>
      </c>
      <c r="S7" s="31">
        <f>IFERROR(ROUNDDOWN('Mi negocio'!$C$37*24/MAX(1,Q7),0),0)</f>
        <v/>
      </c>
      <c r="T7" s="17">
        <f>J7+K7+L7+O7+P7+R7</f>
        <v/>
      </c>
      <c r="U7" s="27" t="n"/>
      <c r="V7" s="32">
        <f>IF(U7="",'Mi negocio'!$C$24,U7)</f>
        <v/>
      </c>
      <c r="W7" s="33">
        <f>IFERROR(T7/(1-V7),0)</f>
        <v/>
      </c>
      <c r="X7" s="6" t="n">
        <v>33</v>
      </c>
      <c r="Y7" s="17">
        <f>W7*MAX(1,X7)</f>
        <v/>
      </c>
      <c r="Z7" s="17">
        <f>IFERROR(CEILING(ROUND(W7*MAX(1,X7)/(1-'Mi negocio'!$C$27),6),'Mi negocio'!$C$25)/MAX(1,X7),0)</f>
        <v/>
      </c>
      <c r="AA7" s="17">
        <f>IFERROR(CEILING(ROUND(W7*MAX(1,X7)/(1-'Mi negocio'!$C$28),6),'Mi negocio'!$C$25)/MAX(1,X7),0)</f>
        <v/>
      </c>
      <c r="AB7" s="17">
        <f>IFERROR(CEILING(ROUND(W7*MAX(1,X7)/(1-'Mi negocio'!$C$29),6),'Mi negocio'!$C$25)/MAX(1,X7),0)</f>
        <v/>
      </c>
      <c r="AC7" s="17">
        <f>IFERROR(CEILING(ROUND(W7*MAX(1,X7)/(1-'Mi negocio'!$C$30),6),'Mi negocio'!$C$25)/MAX(1,X7),0)</f>
        <v/>
      </c>
    </row>
    <row r="8">
      <c r="A8" t="n">
        <v>4</v>
      </c>
      <c r="B8" s="21" t="inlineStr">
        <is>
          <t>Gomita Vegana de Mango y Maracuyá en Agar-Agar Puro (Plant-Based Agar-Agar Tropical Jelly)</t>
        </is>
      </c>
      <c r="C8" s="22" t="inlineStr">
        <is>
          <t>Bloque 1 · Tradicionales, frutales y gelificantes clásicos</t>
        </is>
      </c>
      <c r="D8" t="inlineStr">
        <is>
          <t>1</t>
        </is>
      </c>
      <c r="E8" t="inlineStr">
        <is>
          <t>K</t>
        </is>
      </c>
      <c r="F8" t="n">
        <v>3</v>
      </c>
      <c r="G8" t="inlineStr">
        <is>
          <t>pieza</t>
        </is>
      </c>
      <c r="H8" s="16" t="n">
        <v>165</v>
      </c>
      <c r="I8" s="17">
        <f>SUMIF(Ingredientes!$A$5:$A$1063,A8,Ingredientes!$I$5:$I$1063)</f>
        <v/>
      </c>
      <c r="J8" s="17">
        <f>IFERROR(I8/H8,0)</f>
        <v/>
      </c>
      <c r="K8" s="11" t="n">
        <v>0</v>
      </c>
      <c r="L8" s="11" t="n">
        <v>0.012</v>
      </c>
      <c r="M8" s="16" t="n">
        <v>85</v>
      </c>
      <c r="N8" s="16" t="n">
        <v>0.09</v>
      </c>
      <c r="O8" s="17">
        <f>IFERROR((M8/MAX(1,'Mi negocio'!$C$26)+N8)/60*'Mi negocio'!$C$23,0)</f>
        <v/>
      </c>
      <c r="P8" s="17">
        <f>'Mi negocio'!$C$20</f>
        <v/>
      </c>
      <c r="Q8" s="30" t="n">
        <v>18</v>
      </c>
      <c r="R8" s="17">
        <f>Q8*'Mi negocio'!$C$39</f>
        <v/>
      </c>
      <c r="S8" s="31">
        <f>IFERROR(ROUNDDOWN('Mi negocio'!$C$37*24/MAX(1,Q8),0),0)</f>
        <v/>
      </c>
      <c r="T8" s="17">
        <f>J8+K8+L8+O8+P8+R8</f>
        <v/>
      </c>
      <c r="U8" s="27" t="n">
        <v>0.13</v>
      </c>
      <c r="V8" s="32">
        <f>IF(U8="",'Mi negocio'!$C$24,U8)</f>
        <v/>
      </c>
      <c r="W8" s="33">
        <f>IFERROR(T8/(1-V8),0)</f>
        <v/>
      </c>
      <c r="X8" s="6" t="n">
        <v>33</v>
      </c>
      <c r="Y8" s="17">
        <f>W8*MAX(1,X8)</f>
        <v/>
      </c>
      <c r="Z8" s="17">
        <f>IFERROR(CEILING(ROUND(W8*MAX(1,X8)/(1-'Mi negocio'!$C$27),6),'Mi negocio'!$C$25)/MAX(1,X8),0)</f>
        <v/>
      </c>
      <c r="AA8" s="17">
        <f>IFERROR(CEILING(ROUND(W8*MAX(1,X8)/(1-'Mi negocio'!$C$28),6),'Mi negocio'!$C$25)/MAX(1,X8),0)</f>
        <v/>
      </c>
      <c r="AB8" s="17">
        <f>IFERROR(CEILING(ROUND(W8*MAX(1,X8)/(1-'Mi negocio'!$C$29),6),'Mi negocio'!$C$25)/MAX(1,X8),0)</f>
        <v/>
      </c>
      <c r="AC8" s="17">
        <f>IFERROR(CEILING(ROUND(W8*MAX(1,X8)/(1-'Mi negocio'!$C$30),6),'Mi negocio'!$C$25)/MAX(1,X8),0)</f>
        <v/>
      </c>
    </row>
    <row r="9">
      <c r="A9" t="n">
        <v>5</v>
      </c>
      <c r="B9" s="21" t="inlineStr">
        <is>
          <t>Gomita Cristaliana de Moras Silvestres con Corazón Elástico (High-Elasticity Blackberry Drop)</t>
        </is>
      </c>
      <c r="C9" s="22" t="inlineStr">
        <is>
          <t>Bloque 1 · Tradicionales, frutales y gelificantes clásicos</t>
        </is>
      </c>
      <c r="D9" t="inlineStr">
        <is>
          <t>1</t>
        </is>
      </c>
      <c r="E9" t="inlineStr">
        <is>
          <t>A</t>
        </is>
      </c>
      <c r="F9" t="n">
        <v>6</v>
      </c>
      <c r="G9" t="inlineStr">
        <is>
          <t>pieza</t>
        </is>
      </c>
      <c r="H9" s="16" t="n">
        <v>165</v>
      </c>
      <c r="I9" s="17">
        <f>SUMIF(Ingredientes!$A$5:$A$1063,A9,Ingredientes!$I$5:$I$1063)</f>
        <v/>
      </c>
      <c r="J9" s="17">
        <f>IFERROR(I9/H9,0)</f>
        <v/>
      </c>
      <c r="K9" s="11" t="n">
        <v>0</v>
      </c>
      <c r="L9" s="11" t="n">
        <v>0.012</v>
      </c>
      <c r="M9" s="16" t="n">
        <v>85</v>
      </c>
      <c r="N9" s="16" t="n">
        <v>0.09</v>
      </c>
      <c r="O9" s="17">
        <f>IFERROR((M9/MAX(1,'Mi negocio'!$C$26)+N9)/60*'Mi negocio'!$C$23,0)</f>
        <v/>
      </c>
      <c r="P9" s="17">
        <f>'Mi negocio'!$C$20</f>
        <v/>
      </c>
      <c r="Q9" s="30" t="n">
        <v>30</v>
      </c>
      <c r="R9" s="17">
        <f>Q9*'Mi negocio'!$C$39</f>
        <v/>
      </c>
      <c r="S9" s="31">
        <f>IFERROR(ROUNDDOWN('Mi negocio'!$C$37*24/MAX(1,Q9),0),0)</f>
        <v/>
      </c>
      <c r="T9" s="17">
        <f>J9+K9+L9+O9+P9+R9</f>
        <v/>
      </c>
      <c r="U9" s="27" t="n"/>
      <c r="V9" s="32">
        <f>IF(U9="",'Mi negocio'!$C$24,U9)</f>
        <v/>
      </c>
      <c r="W9" s="33">
        <f>IFERROR(T9/(1-V9),0)</f>
        <v/>
      </c>
      <c r="X9" s="6" t="n">
        <v>33</v>
      </c>
      <c r="Y9" s="17">
        <f>W9*MAX(1,X9)</f>
        <v/>
      </c>
      <c r="Z9" s="17">
        <f>IFERROR(CEILING(ROUND(W9*MAX(1,X9)/(1-'Mi negocio'!$C$27),6),'Mi negocio'!$C$25)/MAX(1,X9),0)</f>
        <v/>
      </c>
      <c r="AA9" s="17">
        <f>IFERROR(CEILING(ROUND(W9*MAX(1,X9)/(1-'Mi negocio'!$C$28),6),'Mi negocio'!$C$25)/MAX(1,X9),0)</f>
        <v/>
      </c>
      <c r="AB9" s="17">
        <f>IFERROR(CEILING(ROUND(W9*MAX(1,X9)/(1-'Mi negocio'!$C$29),6),'Mi negocio'!$C$25)/MAX(1,X9),0)</f>
        <v/>
      </c>
      <c r="AC9" s="17">
        <f>IFERROR(CEILING(ROUND(W9*MAX(1,X9)/(1-'Mi negocio'!$C$30),6),'Mi negocio'!$C$25)/MAX(1,X9),0)</f>
        <v/>
      </c>
    </row>
    <row r="10">
      <c r="A10" t="n">
        <v>6</v>
      </c>
      <c r="B10" s="21" t="inlineStr">
        <is>
          <t>Gomita Traslúcida de Manzana Verde Granny Smith (Acidic Green Apple Translucent Drop)</t>
        </is>
      </c>
      <c r="C10" s="22" t="inlineStr">
        <is>
          <t>Bloque 1 · Tradicionales, frutales y gelificantes clásicos</t>
        </is>
      </c>
      <c r="D10" t="inlineStr">
        <is>
          <t>1</t>
        </is>
      </c>
      <c r="E10" t="inlineStr">
        <is>
          <t>G</t>
        </is>
      </c>
      <c r="F10" t="n">
        <v>6</v>
      </c>
      <c r="G10" t="inlineStr">
        <is>
          <t>pieza</t>
        </is>
      </c>
      <c r="H10" s="16" t="n">
        <v>165</v>
      </c>
      <c r="I10" s="17">
        <f>SUMIF(Ingredientes!$A$5:$A$1063,A10,Ingredientes!$I$5:$I$1063)</f>
        <v/>
      </c>
      <c r="J10" s="17">
        <f>IFERROR(I10/H10,0)</f>
        <v/>
      </c>
      <c r="K10" s="11" t="n">
        <v>0</v>
      </c>
      <c r="L10" s="11" t="n">
        <v>0.012</v>
      </c>
      <c r="M10" s="16" t="n">
        <v>85</v>
      </c>
      <c r="N10" s="16" t="n">
        <v>0.09</v>
      </c>
      <c r="O10" s="17">
        <f>IFERROR((M10/MAX(1,'Mi negocio'!$C$26)+N10)/60*'Mi negocio'!$C$23,0)</f>
        <v/>
      </c>
      <c r="P10" s="17">
        <f>'Mi negocio'!$C$20</f>
        <v/>
      </c>
      <c r="Q10" s="30" t="n">
        <v>24</v>
      </c>
      <c r="R10" s="17">
        <f>Q10*'Mi negocio'!$C$39</f>
        <v/>
      </c>
      <c r="S10" s="31">
        <f>IFERROR(ROUNDDOWN('Mi negocio'!$C$37*24/MAX(1,Q10),0),0)</f>
        <v/>
      </c>
      <c r="T10" s="17">
        <f>J10+K10+L10+O10+P10+R10</f>
        <v/>
      </c>
      <c r="U10" s="27" t="n"/>
      <c r="V10" s="32">
        <f>IF(U10="",'Mi negocio'!$C$24,U10)</f>
        <v/>
      </c>
      <c r="W10" s="33">
        <f>IFERROR(T10/(1-V10),0)</f>
        <v/>
      </c>
      <c r="X10" s="6" t="n">
        <v>33</v>
      </c>
      <c r="Y10" s="17">
        <f>W10*MAX(1,X10)</f>
        <v/>
      </c>
      <c r="Z10" s="17">
        <f>IFERROR(CEILING(ROUND(W10*MAX(1,X10)/(1-'Mi negocio'!$C$27),6),'Mi negocio'!$C$25)/MAX(1,X10),0)</f>
        <v/>
      </c>
      <c r="AA10" s="17">
        <f>IFERROR(CEILING(ROUND(W10*MAX(1,X10)/(1-'Mi negocio'!$C$28),6),'Mi negocio'!$C$25)/MAX(1,X10),0)</f>
        <v/>
      </c>
      <c r="AB10" s="17">
        <f>IFERROR(CEILING(ROUND(W10*MAX(1,X10)/(1-'Mi negocio'!$C$29),6),'Mi negocio'!$C$25)/MAX(1,X10),0)</f>
        <v/>
      </c>
      <c r="AC10" s="17">
        <f>IFERROR(CEILING(ROUND(W10*MAX(1,X10)/(1-'Mi negocio'!$C$30),6),'Mi negocio'!$C$25)/MAX(1,X10),0)</f>
        <v/>
      </c>
    </row>
    <row r="11">
      <c r="A11" t="n">
        <v>7</v>
      </c>
      <c r="B11" s="21" t="inlineStr">
        <is>
          <t>Domo de Uva Moscatel en Carragenato Kappa-Iota (Vegan Grape Jelly in Kappa-Iota Carrageenan Matrix)</t>
        </is>
      </c>
      <c r="C11" s="22" t="inlineStr">
        <is>
          <t>Bloque 1 · Tradicionales, frutales y gelificantes clásicos</t>
        </is>
      </c>
      <c r="D11" t="inlineStr">
        <is>
          <t>1</t>
        </is>
      </c>
      <c r="E11" t="inlineStr">
        <is>
          <t>K</t>
        </is>
      </c>
      <c r="F11" t="n">
        <v>4</v>
      </c>
      <c r="G11" t="inlineStr">
        <is>
          <t>pieza</t>
        </is>
      </c>
      <c r="H11" s="16" t="n">
        <v>140</v>
      </c>
      <c r="I11" s="17">
        <f>SUMIF(Ingredientes!$A$5:$A$1063,A11,Ingredientes!$I$5:$I$1063)</f>
        <v/>
      </c>
      <c r="J11" s="17">
        <f>IFERROR(I11/H11,0)</f>
        <v/>
      </c>
      <c r="K11" s="11" t="n">
        <v>0</v>
      </c>
      <c r="L11" s="11" t="n">
        <v>0.012</v>
      </c>
      <c r="M11" s="16" t="n">
        <v>85</v>
      </c>
      <c r="N11" s="16" t="n">
        <v>0.09</v>
      </c>
      <c r="O11" s="17">
        <f>IFERROR((M11/MAX(1,'Mi negocio'!$C$26)+N11)/60*'Mi negocio'!$C$23,0)</f>
        <v/>
      </c>
      <c r="P11" s="17">
        <f>'Mi negocio'!$C$20</f>
        <v/>
      </c>
      <c r="Q11" s="30" t="n">
        <v>18</v>
      </c>
      <c r="R11" s="17">
        <f>Q11*'Mi negocio'!$C$39</f>
        <v/>
      </c>
      <c r="S11" s="31">
        <f>IFERROR(ROUNDDOWN('Mi negocio'!$C$37*24/MAX(1,Q11),0),0)</f>
        <v/>
      </c>
      <c r="T11" s="17">
        <f>J11+K11+L11+O11+P11+R11</f>
        <v/>
      </c>
      <c r="U11" s="27" t="n"/>
      <c r="V11" s="32">
        <f>IF(U11="",'Mi negocio'!$C$24,U11)</f>
        <v/>
      </c>
      <c r="W11" s="33">
        <f>IFERROR(T11/(1-V11),0)</f>
        <v/>
      </c>
      <c r="X11" s="6" t="n">
        <v>29</v>
      </c>
      <c r="Y11" s="17">
        <f>W11*MAX(1,X11)</f>
        <v/>
      </c>
      <c r="Z11" s="17">
        <f>IFERROR(CEILING(ROUND(W11*MAX(1,X11)/(1-'Mi negocio'!$C$27),6),'Mi negocio'!$C$25)/MAX(1,X11),0)</f>
        <v/>
      </c>
      <c r="AA11" s="17">
        <f>IFERROR(CEILING(ROUND(W11*MAX(1,X11)/(1-'Mi negocio'!$C$28),6),'Mi negocio'!$C$25)/MAX(1,X11),0)</f>
        <v/>
      </c>
      <c r="AB11" s="17">
        <f>IFERROR(CEILING(ROUND(W11*MAX(1,X11)/(1-'Mi negocio'!$C$29),6),'Mi negocio'!$C$25)/MAX(1,X11),0)</f>
        <v/>
      </c>
      <c r="AC11" s="17">
        <f>IFERROR(CEILING(ROUND(W11*MAX(1,X11)/(1-'Mi negocio'!$C$30),6),'Mi negocio'!$C$25)/MAX(1,X11),0)</f>
        <v/>
      </c>
    </row>
    <row r="12">
      <c r="A12" t="n">
        <v>8</v>
      </c>
      <c r="B12" s="21" t="inlineStr">
        <is>
          <t>Gomita Reducida en Azúcar de Melocotón y Durazno en Pectina LMA (Low Methoxyl Amidated Pectin Peach Gummy)</t>
        </is>
      </c>
      <c r="C12" s="22" t="inlineStr">
        <is>
          <t>Bloque 1 · Tradicionales, frutales y gelificantes clásicos</t>
        </is>
      </c>
      <c r="D12" t="inlineStr">
        <is>
          <t>1</t>
        </is>
      </c>
      <c r="E12" t="inlineStr">
        <is>
          <t>L</t>
        </is>
      </c>
      <c r="F12" t="n">
        <v>3</v>
      </c>
      <c r="G12" t="inlineStr">
        <is>
          <t>pieza</t>
        </is>
      </c>
      <c r="H12" s="16" t="n">
        <v>165</v>
      </c>
      <c r="I12" s="17">
        <f>SUMIF(Ingredientes!$A$5:$A$1063,A12,Ingredientes!$I$5:$I$1063)</f>
        <v/>
      </c>
      <c r="J12" s="17">
        <f>IFERROR(I12/H12,0)</f>
        <v/>
      </c>
      <c r="K12" s="11" t="n">
        <v>0</v>
      </c>
      <c r="L12" s="11" t="n">
        <v>0.012</v>
      </c>
      <c r="M12" s="16" t="n">
        <v>85</v>
      </c>
      <c r="N12" s="16" t="n">
        <v>0.09</v>
      </c>
      <c r="O12" s="17">
        <f>IFERROR((M12/MAX(1,'Mi negocio'!$C$26)+N12)/60*'Mi negocio'!$C$23,0)</f>
        <v/>
      </c>
      <c r="P12" s="17">
        <f>'Mi negocio'!$C$20</f>
        <v/>
      </c>
      <c r="Q12" s="30" t="n">
        <v>30</v>
      </c>
      <c r="R12" s="17">
        <f>Q12*'Mi negocio'!$C$39</f>
        <v/>
      </c>
      <c r="S12" s="31">
        <f>IFERROR(ROUNDDOWN('Mi negocio'!$C$37*24/MAX(1,Q12),0),0)</f>
        <v/>
      </c>
      <c r="T12" s="17">
        <f>J12+K12+L12+O12+P12+R12</f>
        <v/>
      </c>
      <c r="U12" s="27" t="n">
        <v>0.14</v>
      </c>
      <c r="V12" s="32">
        <f>IF(U12="",'Mi negocio'!$C$24,U12)</f>
        <v/>
      </c>
      <c r="W12" s="33">
        <f>IFERROR(T12/(1-V12),0)</f>
        <v/>
      </c>
      <c r="X12" s="6" t="n">
        <v>33</v>
      </c>
      <c r="Y12" s="17">
        <f>W12*MAX(1,X12)</f>
        <v/>
      </c>
      <c r="Z12" s="17">
        <f>IFERROR(CEILING(ROUND(W12*MAX(1,X12)/(1-'Mi negocio'!$C$27),6),'Mi negocio'!$C$25)/MAX(1,X12),0)</f>
        <v/>
      </c>
      <c r="AA12" s="17">
        <f>IFERROR(CEILING(ROUND(W12*MAX(1,X12)/(1-'Mi negocio'!$C$28),6),'Mi negocio'!$C$25)/MAX(1,X12),0)</f>
        <v/>
      </c>
      <c r="AB12" s="17">
        <f>IFERROR(CEILING(ROUND(W12*MAX(1,X12)/(1-'Mi negocio'!$C$29),6),'Mi negocio'!$C$25)/MAX(1,X12),0)</f>
        <v/>
      </c>
      <c r="AC12" s="17">
        <f>IFERROR(CEILING(ROUND(W12*MAX(1,X12)/(1-'Mi negocio'!$C$30),6),'Mi negocio'!$C$25)/MAX(1,X12),0)</f>
        <v/>
      </c>
    </row>
    <row r="13">
      <c r="A13" t="n">
        <v>9</v>
      </c>
      <c r="B13" s="21" t="inlineStr">
        <is>
          <t>Perla de Frutos Rojos en Pectina Lenta (Slow-Set HM Pectin Red Berry Gem)</t>
        </is>
      </c>
      <c r="C13" s="22" t="inlineStr">
        <is>
          <t>Bloque 1 · Tradicionales, frutales y gelificantes clásicos</t>
        </is>
      </c>
      <c r="D13" t="inlineStr">
        <is>
          <t>1</t>
        </is>
      </c>
      <c r="E13" t="inlineStr">
        <is>
          <t>P</t>
        </is>
      </c>
      <c r="F13" t="n">
        <v>5</v>
      </c>
      <c r="G13" t="inlineStr">
        <is>
          <t>pieza</t>
        </is>
      </c>
      <c r="H13" s="16" t="n">
        <v>200</v>
      </c>
      <c r="I13" s="17">
        <f>SUMIF(Ingredientes!$A$5:$A$1063,A13,Ingredientes!$I$5:$I$1063)</f>
        <v/>
      </c>
      <c r="J13" s="17">
        <f>IFERROR(I13/H13,0)</f>
        <v/>
      </c>
      <c r="K13" s="11" t="n">
        <v>0</v>
      </c>
      <c r="L13" s="11" t="n">
        <v>0.012</v>
      </c>
      <c r="M13" s="16" t="n">
        <v>85</v>
      </c>
      <c r="N13" s="16" t="n">
        <v>0.09</v>
      </c>
      <c r="O13" s="17">
        <f>IFERROR((M13/MAX(1,'Mi negocio'!$C$26)+N13)/60*'Mi negocio'!$C$23,0)</f>
        <v/>
      </c>
      <c r="P13" s="17">
        <f>'Mi negocio'!$C$20</f>
        <v/>
      </c>
      <c r="Q13" s="30" t="n">
        <v>36</v>
      </c>
      <c r="R13" s="17">
        <f>Q13*'Mi negocio'!$C$39</f>
        <v/>
      </c>
      <c r="S13" s="31">
        <f>IFERROR(ROUNDDOWN('Mi negocio'!$C$37*24/MAX(1,Q13),0),0)</f>
        <v/>
      </c>
      <c r="T13" s="17">
        <f>J13+K13+L13+O13+P13+R13</f>
        <v/>
      </c>
      <c r="U13" s="27" t="n"/>
      <c r="V13" s="32">
        <f>IF(U13="",'Mi negocio'!$C$24,U13)</f>
        <v/>
      </c>
      <c r="W13" s="33">
        <f>IFERROR(T13/(1-V13),0)</f>
        <v/>
      </c>
      <c r="X13" s="6" t="n">
        <v>40</v>
      </c>
      <c r="Y13" s="17">
        <f>W13*MAX(1,X13)</f>
        <v/>
      </c>
      <c r="Z13" s="17">
        <f>IFERROR(CEILING(ROUND(W13*MAX(1,X13)/(1-'Mi negocio'!$C$27),6),'Mi negocio'!$C$25)/MAX(1,X13),0)</f>
        <v/>
      </c>
      <c r="AA13" s="17">
        <f>IFERROR(CEILING(ROUND(W13*MAX(1,X13)/(1-'Mi negocio'!$C$28),6),'Mi negocio'!$C$25)/MAX(1,X13),0)</f>
        <v/>
      </c>
      <c r="AB13" s="17">
        <f>IFERROR(CEILING(ROUND(W13*MAX(1,X13)/(1-'Mi negocio'!$C$29),6),'Mi negocio'!$C$25)/MAX(1,X13),0)</f>
        <v/>
      </c>
      <c r="AC13" s="17">
        <f>IFERROR(CEILING(ROUND(W13*MAX(1,X13)/(1-'Mi negocio'!$C$30),6),'Mi negocio'!$C$25)/MAX(1,X13),0)</f>
        <v/>
      </c>
    </row>
    <row r="14">
      <c r="A14" t="n">
        <v>10</v>
      </c>
      <c r="B14" s="21" t="inlineStr">
        <is>
          <t>Pastilla de Goma Balsámica de Limón Criollo y Eucalipto (Balsamic Eucalyptus &amp; Key Lime Pastille)</t>
        </is>
      </c>
      <c r="C14" s="22" t="inlineStr">
        <is>
          <t>Bloque 1 · Tradicionales, frutales y gelificantes clásicos</t>
        </is>
      </c>
      <c r="D14" t="inlineStr">
        <is>
          <t>1</t>
        </is>
      </c>
      <c r="E14" t="inlineStr">
        <is>
          <t>A</t>
        </is>
      </c>
      <c r="F14" t="n">
        <v>8</v>
      </c>
      <c r="G14" t="inlineStr">
        <is>
          <t>pieza</t>
        </is>
      </c>
      <c r="H14" s="16" t="n">
        <v>200</v>
      </c>
      <c r="I14" s="17">
        <f>SUMIF(Ingredientes!$A$5:$A$1063,A14,Ingredientes!$I$5:$I$1063)</f>
        <v/>
      </c>
      <c r="J14" s="17">
        <f>IFERROR(I14/H14,0)</f>
        <v/>
      </c>
      <c r="K14" s="11" t="n">
        <v>0</v>
      </c>
      <c r="L14" s="11" t="n">
        <v>0.012</v>
      </c>
      <c r="M14" s="16" t="n">
        <v>85</v>
      </c>
      <c r="N14" s="16" t="n">
        <v>0.09</v>
      </c>
      <c r="O14" s="17">
        <f>IFERROR((M14/MAX(1,'Mi negocio'!$C$26)+N14)/60*'Mi negocio'!$C$23,0)</f>
        <v/>
      </c>
      <c r="P14" s="17">
        <f>'Mi negocio'!$C$20</f>
        <v/>
      </c>
      <c r="Q14" s="30" t="n">
        <v>36</v>
      </c>
      <c r="R14" s="17">
        <f>Q14*'Mi negocio'!$C$39</f>
        <v/>
      </c>
      <c r="S14" s="31">
        <f>IFERROR(ROUNDDOWN('Mi negocio'!$C$37*24/MAX(1,Q14),0),0)</f>
        <v/>
      </c>
      <c r="T14" s="17">
        <f>J14+K14+L14+O14+P14+R14</f>
        <v/>
      </c>
      <c r="U14" s="27" t="n"/>
      <c r="V14" s="32">
        <f>IF(U14="",'Mi negocio'!$C$24,U14)</f>
        <v/>
      </c>
      <c r="W14" s="33">
        <f>IFERROR(T14/(1-V14),0)</f>
        <v/>
      </c>
      <c r="X14" s="6" t="n">
        <v>40</v>
      </c>
      <c r="Y14" s="17">
        <f>W14*MAX(1,X14)</f>
        <v/>
      </c>
      <c r="Z14" s="17">
        <f>IFERROR(CEILING(ROUND(W14*MAX(1,X14)/(1-'Mi negocio'!$C$27),6),'Mi negocio'!$C$25)/MAX(1,X14),0)</f>
        <v/>
      </c>
      <c r="AA14" s="17">
        <f>IFERROR(CEILING(ROUND(W14*MAX(1,X14)/(1-'Mi negocio'!$C$28),6),'Mi negocio'!$C$25)/MAX(1,X14),0)</f>
        <v/>
      </c>
      <c r="AB14" s="17">
        <f>IFERROR(CEILING(ROUND(W14*MAX(1,X14)/(1-'Mi negocio'!$C$29),6),'Mi negocio'!$C$25)/MAX(1,X14),0)</f>
        <v/>
      </c>
      <c r="AC14" s="17">
        <f>IFERROR(CEILING(ROUND(W14*MAX(1,X14)/(1-'Mi negocio'!$C$30),6),'Mi negocio'!$C$25)/MAX(1,X14),0)</f>
        <v/>
      </c>
    </row>
    <row r="15">
      <c r="A15" t="n">
        <v>11</v>
      </c>
      <c r="B15" s="21" t="inlineStr">
        <is>
          <t>Lengua / Tira Ácida de Fresa Salvaje (Ultra-Sour Strawberry Sanded Ribbon)</t>
        </is>
      </c>
      <c r="C15" s="22" t="inlineStr">
        <is>
          <t>Bloque 2 · Ácidas, cítricas y rebozados cristalinos</t>
        </is>
      </c>
      <c r="D15" t="inlineStr">
        <is>
          <t>2</t>
        </is>
      </c>
      <c r="E15" t="inlineStr">
        <is>
          <t>G</t>
        </is>
      </c>
      <c r="F15" t="n">
        <v>6</v>
      </c>
      <c r="G15" t="inlineStr">
        <is>
          <t>pieza</t>
        </is>
      </c>
      <c r="H15" s="16" t="n">
        <v>50</v>
      </c>
      <c r="I15" s="17">
        <f>SUMIF(Ingredientes!$A$5:$A$1063,A15,Ingredientes!$I$5:$I$1063)</f>
        <v/>
      </c>
      <c r="J15" s="17">
        <f>IFERROR(I15/H15,0)</f>
        <v/>
      </c>
      <c r="K15" s="11" t="n">
        <v>0</v>
      </c>
      <c r="L15" s="11" t="n">
        <v>0.012</v>
      </c>
      <c r="M15" s="16" t="n">
        <v>95</v>
      </c>
      <c r="N15" s="16" t="n">
        <v>0.2</v>
      </c>
      <c r="O15" s="17">
        <f>IFERROR((M15/MAX(1,'Mi negocio'!$C$26)+N15)/60*'Mi negocio'!$C$23,0)</f>
        <v/>
      </c>
      <c r="P15" s="17">
        <f>'Mi negocio'!$C$20</f>
        <v/>
      </c>
      <c r="Q15" s="30" t="n">
        <v>24</v>
      </c>
      <c r="R15" s="17">
        <f>Q15*'Mi negocio'!$C$39</f>
        <v/>
      </c>
      <c r="S15" s="31">
        <f>IFERROR(ROUNDDOWN('Mi negocio'!$C$37*24/MAX(1,Q15),0),0)</f>
        <v/>
      </c>
      <c r="T15" s="17">
        <f>J15+K15+L15+O15+P15+R15</f>
        <v/>
      </c>
      <c r="U15" s="27" t="n"/>
      <c r="V15" s="32">
        <f>IF(U15="",'Mi negocio'!$C$24,U15)</f>
        <v/>
      </c>
      <c r="W15" s="33">
        <f>IFERROR(T15/(1-V15),0)</f>
        <v/>
      </c>
      <c r="X15" s="6" t="n">
        <v>10</v>
      </c>
      <c r="Y15" s="17">
        <f>W15*MAX(1,X15)</f>
        <v/>
      </c>
      <c r="Z15" s="17">
        <f>IFERROR(CEILING(ROUND(W15*MAX(1,X15)/(1-'Mi negocio'!$C$27),6),'Mi negocio'!$C$25)/MAX(1,X15),0)</f>
        <v/>
      </c>
      <c r="AA15" s="17">
        <f>IFERROR(CEILING(ROUND(W15*MAX(1,X15)/(1-'Mi negocio'!$C$28),6),'Mi negocio'!$C$25)/MAX(1,X15),0)</f>
        <v/>
      </c>
      <c r="AB15" s="17">
        <f>IFERROR(CEILING(ROUND(W15*MAX(1,X15)/(1-'Mi negocio'!$C$29),6),'Mi negocio'!$C$25)/MAX(1,X15),0)</f>
        <v/>
      </c>
      <c r="AC15" s="17">
        <f>IFERROR(CEILING(ROUND(W15*MAX(1,X15)/(1-'Mi negocio'!$C$30),6),'Mi negocio'!$C$25)/MAX(1,X15),0)</f>
        <v/>
      </c>
    </row>
    <row r="16">
      <c r="A16" t="n">
        <v>12</v>
      </c>
      <c r="B16" s="21" t="inlineStr">
        <is>
          <t>Gajo Super-Ácido de Limón Eureka y Yuzu (Extreme Citrus Yuzu-Lemon Wedge)</t>
        </is>
      </c>
      <c r="C16" s="22" t="inlineStr">
        <is>
          <t>Bloque 2 · Ácidas, cítricas y rebozados cristalinos</t>
        </is>
      </c>
      <c r="D16" t="inlineStr">
        <is>
          <t>2</t>
        </is>
      </c>
      <c r="E16" t="inlineStr">
        <is>
          <t>G</t>
        </is>
      </c>
      <c r="F16" t="n">
        <v>5</v>
      </c>
      <c r="G16" t="inlineStr">
        <is>
          <t>pieza</t>
        </is>
      </c>
      <c r="H16" s="16" t="n">
        <v>125</v>
      </c>
      <c r="I16" s="17">
        <f>SUMIF(Ingredientes!$A$5:$A$1063,A16,Ingredientes!$I$5:$I$1063)</f>
        <v/>
      </c>
      <c r="J16" s="17">
        <f>IFERROR(I16/H16,0)</f>
        <v/>
      </c>
      <c r="K16" s="11" t="n">
        <v>0</v>
      </c>
      <c r="L16" s="11" t="n">
        <v>0.012</v>
      </c>
      <c r="M16" s="16" t="n">
        <v>95</v>
      </c>
      <c r="N16" s="16" t="n">
        <v>0.14</v>
      </c>
      <c r="O16" s="17">
        <f>IFERROR((M16/MAX(1,'Mi negocio'!$C$26)+N16)/60*'Mi negocio'!$C$23,0)</f>
        <v/>
      </c>
      <c r="P16" s="17">
        <f>'Mi negocio'!$C$20</f>
        <v/>
      </c>
      <c r="Q16" s="30" t="n">
        <v>24</v>
      </c>
      <c r="R16" s="17">
        <f>Q16*'Mi negocio'!$C$39</f>
        <v/>
      </c>
      <c r="S16" s="31">
        <f>IFERROR(ROUNDDOWN('Mi negocio'!$C$37*24/MAX(1,Q16),0),0)</f>
        <v/>
      </c>
      <c r="T16" s="17">
        <f>J16+K16+L16+O16+P16+R16</f>
        <v/>
      </c>
      <c r="U16" s="27" t="n"/>
      <c r="V16" s="32">
        <f>IF(U16="",'Mi negocio'!$C$24,U16)</f>
        <v/>
      </c>
      <c r="W16" s="33">
        <f>IFERROR(T16/(1-V16),0)</f>
        <v/>
      </c>
      <c r="X16" s="6" t="n">
        <v>25</v>
      </c>
      <c r="Y16" s="17">
        <f>W16*MAX(1,X16)</f>
        <v/>
      </c>
      <c r="Z16" s="17">
        <f>IFERROR(CEILING(ROUND(W16*MAX(1,X16)/(1-'Mi negocio'!$C$27),6),'Mi negocio'!$C$25)/MAX(1,X16),0)</f>
        <v/>
      </c>
      <c r="AA16" s="17">
        <f>IFERROR(CEILING(ROUND(W16*MAX(1,X16)/(1-'Mi negocio'!$C$28),6),'Mi negocio'!$C$25)/MAX(1,X16),0)</f>
        <v/>
      </c>
      <c r="AB16" s="17">
        <f>IFERROR(CEILING(ROUND(W16*MAX(1,X16)/(1-'Mi negocio'!$C$29),6),'Mi negocio'!$C$25)/MAX(1,X16),0)</f>
        <v/>
      </c>
      <c r="AC16" s="17">
        <f>IFERROR(CEILING(ROUND(W16*MAX(1,X16)/(1-'Mi negocio'!$C$30),6),'Mi negocio'!$C$25)/MAX(1,X16),0)</f>
        <v/>
      </c>
    </row>
    <row r="17">
      <c r="A17" t="n">
        <v>13</v>
      </c>
      <c r="B17" s="21" t="inlineStr">
        <is>
          <t>Cubo Ácido de Maracuyá y Granada en Pectina Lenta (Sour Passion Fruit &amp; Pomegranate HM Jelly)</t>
        </is>
      </c>
      <c r="C17" s="22" t="inlineStr">
        <is>
          <t>Bloque 2 · Ácidas, cítricas y rebozados cristalinos</t>
        </is>
      </c>
      <c r="D17" t="inlineStr">
        <is>
          <t>2</t>
        </is>
      </c>
      <c r="E17" t="inlineStr">
        <is>
          <t>P</t>
        </is>
      </c>
      <c r="F17" t="n">
        <v>5</v>
      </c>
      <c r="G17" t="inlineStr">
        <is>
          <t>pieza</t>
        </is>
      </c>
      <c r="H17" s="16" t="n">
        <v>165</v>
      </c>
      <c r="I17" s="17">
        <f>SUMIF(Ingredientes!$A$5:$A$1063,A17,Ingredientes!$I$5:$I$1063)</f>
        <v/>
      </c>
      <c r="J17" s="17">
        <f>IFERROR(I17/H17,0)</f>
        <v/>
      </c>
      <c r="K17" s="11" t="n">
        <v>0</v>
      </c>
      <c r="L17" s="11" t="n">
        <v>0.012</v>
      </c>
      <c r="M17" s="16" t="n">
        <v>95</v>
      </c>
      <c r="N17" s="16" t="n">
        <v>0.14</v>
      </c>
      <c r="O17" s="17">
        <f>IFERROR((M17/MAX(1,'Mi negocio'!$C$26)+N17)/60*'Mi negocio'!$C$23,0)</f>
        <v/>
      </c>
      <c r="P17" s="17">
        <f>'Mi negocio'!$C$20</f>
        <v/>
      </c>
      <c r="Q17" s="30" t="n">
        <v>36</v>
      </c>
      <c r="R17" s="17">
        <f>Q17*'Mi negocio'!$C$39</f>
        <v/>
      </c>
      <c r="S17" s="31">
        <f>IFERROR(ROUNDDOWN('Mi negocio'!$C$37*24/MAX(1,Q17),0),0)</f>
        <v/>
      </c>
      <c r="T17" s="17">
        <f>J17+K17+L17+O17+P17+R17</f>
        <v/>
      </c>
      <c r="U17" s="27" t="n"/>
      <c r="V17" s="32">
        <f>IF(U17="",'Mi negocio'!$C$24,U17)</f>
        <v/>
      </c>
      <c r="W17" s="33">
        <f>IFERROR(T17/(1-V17),0)</f>
        <v/>
      </c>
      <c r="X17" s="6" t="n">
        <v>33</v>
      </c>
      <c r="Y17" s="17">
        <f>W17*MAX(1,X17)</f>
        <v/>
      </c>
      <c r="Z17" s="17">
        <f>IFERROR(CEILING(ROUND(W17*MAX(1,X17)/(1-'Mi negocio'!$C$27),6),'Mi negocio'!$C$25)/MAX(1,X17),0)</f>
        <v/>
      </c>
      <c r="AA17" s="17">
        <f>IFERROR(CEILING(ROUND(W17*MAX(1,X17)/(1-'Mi negocio'!$C$28),6),'Mi negocio'!$C$25)/MAX(1,X17),0)</f>
        <v/>
      </c>
      <c r="AB17" s="17">
        <f>IFERROR(CEILING(ROUND(W17*MAX(1,X17)/(1-'Mi negocio'!$C$29),6),'Mi negocio'!$C$25)/MAX(1,X17),0)</f>
        <v/>
      </c>
      <c r="AC17" s="17">
        <f>IFERROR(CEILING(ROUND(W17*MAX(1,X17)/(1-'Mi negocio'!$C$30),6),'Mi negocio'!$C$25)/MAX(1,X17),0)</f>
        <v/>
      </c>
    </row>
    <row r="18">
      <c r="A18" t="n">
        <v>14</v>
      </c>
      <c r="B18" s="21" t="inlineStr">
        <is>
          <t>Lágrima de Toronja Rosa y Flor de Saúco con Búfer de Lactato (Buffered Ruby Grapefruit &amp; Elderflower Sour Tear)</t>
        </is>
      </c>
      <c r="C18" s="22" t="inlineStr">
        <is>
          <t>Bloque 2 · Ácidas, cítricas y rebozados cristalinos</t>
        </is>
      </c>
      <c r="D18" t="inlineStr">
        <is>
          <t>2</t>
        </is>
      </c>
      <c r="E18" t="inlineStr">
        <is>
          <t>H</t>
        </is>
      </c>
      <c r="F18" t="n">
        <v>6</v>
      </c>
      <c r="G18" t="inlineStr">
        <is>
          <t>pieza</t>
        </is>
      </c>
      <c r="H18" s="16" t="n">
        <v>140</v>
      </c>
      <c r="I18" s="17">
        <f>SUMIF(Ingredientes!$A$5:$A$1063,A18,Ingredientes!$I$5:$I$1063)</f>
        <v/>
      </c>
      <c r="J18" s="17">
        <f>IFERROR(I18/H18,0)</f>
        <v/>
      </c>
      <c r="K18" s="11" t="n">
        <v>0</v>
      </c>
      <c r="L18" s="11" t="n">
        <v>0.012</v>
      </c>
      <c r="M18" s="16" t="n">
        <v>95</v>
      </c>
      <c r="N18" s="16" t="n">
        <v>0.14</v>
      </c>
      <c r="O18" s="17">
        <f>IFERROR((M18/MAX(1,'Mi negocio'!$C$26)+N18)/60*'Mi negocio'!$C$23,0)</f>
        <v/>
      </c>
      <c r="P18" s="17">
        <f>'Mi negocio'!$C$20</f>
        <v/>
      </c>
      <c r="Q18" s="30" t="n">
        <v>36</v>
      </c>
      <c r="R18" s="17">
        <f>Q18*'Mi negocio'!$C$39</f>
        <v/>
      </c>
      <c r="S18" s="31">
        <f>IFERROR(ROUNDDOWN('Mi negocio'!$C$37*24/MAX(1,Q18),0),0)</f>
        <v/>
      </c>
      <c r="T18" s="17">
        <f>J18+K18+L18+O18+P18+R18</f>
        <v/>
      </c>
      <c r="U18" s="27" t="n"/>
      <c r="V18" s="32">
        <f>IF(U18="",'Mi negocio'!$C$24,U18)</f>
        <v/>
      </c>
      <c r="W18" s="33">
        <f>IFERROR(T18/(1-V18),0)</f>
        <v/>
      </c>
      <c r="X18" s="6" t="n">
        <v>29</v>
      </c>
      <c r="Y18" s="17">
        <f>W18*MAX(1,X18)</f>
        <v/>
      </c>
      <c r="Z18" s="17">
        <f>IFERROR(CEILING(ROUND(W18*MAX(1,X18)/(1-'Mi negocio'!$C$27),6),'Mi negocio'!$C$25)/MAX(1,X18),0)</f>
        <v/>
      </c>
      <c r="AA18" s="17">
        <f>IFERROR(CEILING(ROUND(W18*MAX(1,X18)/(1-'Mi negocio'!$C$28),6),'Mi negocio'!$C$25)/MAX(1,X18),0)</f>
        <v/>
      </c>
      <c r="AB18" s="17">
        <f>IFERROR(CEILING(ROUND(W18*MAX(1,X18)/(1-'Mi negocio'!$C$29),6),'Mi negocio'!$C$25)/MAX(1,X18),0)</f>
        <v/>
      </c>
      <c r="AC18" s="17">
        <f>IFERROR(CEILING(ROUND(W18*MAX(1,X18)/(1-'Mi negocio'!$C$30),6),'Mi negocio'!$C$25)/MAX(1,X18),0)</f>
        <v/>
      </c>
    </row>
    <row r="19">
      <c r="A19" t="n">
        <v>15</v>
      </c>
      <c r="B19" s="21" t="inlineStr">
        <is>
          <t>Botón Ácido de Fruta de la Pasión y Lima Kaffir (Kaffir Lime &amp; Passion Fruit Sour Button)</t>
        </is>
      </c>
      <c r="C19" s="22" t="inlineStr">
        <is>
          <t>Bloque 2 · Ácidas, cítricas y rebozados cristalinos</t>
        </is>
      </c>
      <c r="D19" t="inlineStr">
        <is>
          <t>2</t>
        </is>
      </c>
      <c r="E19" t="inlineStr">
        <is>
          <t>G</t>
        </is>
      </c>
      <c r="F19" t="n">
        <v>6</v>
      </c>
      <c r="G19" t="inlineStr">
        <is>
          <t>pieza</t>
        </is>
      </c>
      <c r="H19" s="16" t="n">
        <v>165</v>
      </c>
      <c r="I19" s="17">
        <f>SUMIF(Ingredientes!$A$5:$A$1063,A19,Ingredientes!$I$5:$I$1063)</f>
        <v/>
      </c>
      <c r="J19" s="17">
        <f>IFERROR(I19/H19,0)</f>
        <v/>
      </c>
      <c r="K19" s="11" t="n">
        <v>0</v>
      </c>
      <c r="L19" s="11" t="n">
        <v>0.012</v>
      </c>
      <c r="M19" s="16" t="n">
        <v>95</v>
      </c>
      <c r="N19" s="16" t="n">
        <v>0.14</v>
      </c>
      <c r="O19" s="17">
        <f>IFERROR((M19/MAX(1,'Mi negocio'!$C$26)+N19)/60*'Mi negocio'!$C$23,0)</f>
        <v/>
      </c>
      <c r="P19" s="17">
        <f>'Mi negocio'!$C$20</f>
        <v/>
      </c>
      <c r="Q19" s="30" t="n">
        <v>24</v>
      </c>
      <c r="R19" s="17">
        <f>Q19*'Mi negocio'!$C$39</f>
        <v/>
      </c>
      <c r="S19" s="31">
        <f>IFERROR(ROUNDDOWN('Mi negocio'!$C$37*24/MAX(1,Q19),0),0)</f>
        <v/>
      </c>
      <c r="T19" s="17">
        <f>J19+K19+L19+O19+P19+R19</f>
        <v/>
      </c>
      <c r="U19" s="27" t="n"/>
      <c r="V19" s="32">
        <f>IF(U19="",'Mi negocio'!$C$24,U19)</f>
        <v/>
      </c>
      <c r="W19" s="33">
        <f>IFERROR(T19/(1-V19),0)</f>
        <v/>
      </c>
      <c r="X19" s="6" t="n">
        <v>33</v>
      </c>
      <c r="Y19" s="17">
        <f>W19*MAX(1,X19)</f>
        <v/>
      </c>
      <c r="Z19" s="17">
        <f>IFERROR(CEILING(ROUND(W19*MAX(1,X19)/(1-'Mi negocio'!$C$27),6),'Mi negocio'!$C$25)/MAX(1,X19),0)</f>
        <v/>
      </c>
      <c r="AA19" s="17">
        <f>IFERROR(CEILING(ROUND(W19*MAX(1,X19)/(1-'Mi negocio'!$C$28),6),'Mi negocio'!$C$25)/MAX(1,X19),0)</f>
        <v/>
      </c>
      <c r="AB19" s="17">
        <f>IFERROR(CEILING(ROUND(W19*MAX(1,X19)/(1-'Mi negocio'!$C$29),6),'Mi negocio'!$C$25)/MAX(1,X19),0)</f>
        <v/>
      </c>
      <c r="AC19" s="17">
        <f>IFERROR(CEILING(ROUND(W19*MAX(1,X19)/(1-'Mi negocio'!$C$30),6),'Mi negocio'!$C$25)/MAX(1,X19),0)</f>
        <v/>
      </c>
    </row>
    <row r="20">
      <c r="A20" t="n">
        <v>16</v>
      </c>
      <c r="B20" s="21" t="inlineStr">
        <is>
          <t>Botella Efervescente de Cola Ácida (Fizzy Sour Cola Bottle)</t>
        </is>
      </c>
      <c r="C20" s="22" t="inlineStr">
        <is>
          <t>Bloque 2 · Ácidas, cítricas y rebozados cristalinos</t>
        </is>
      </c>
      <c r="D20" t="inlineStr">
        <is>
          <t>2</t>
        </is>
      </c>
      <c r="E20" t="inlineStr">
        <is>
          <t>G</t>
        </is>
      </c>
      <c r="F20" t="n">
        <v>5</v>
      </c>
      <c r="G20" t="inlineStr">
        <is>
          <t>pieza</t>
        </is>
      </c>
      <c r="H20" s="16" t="n">
        <v>125</v>
      </c>
      <c r="I20" s="17">
        <f>SUMIF(Ingredientes!$A$5:$A$1063,A20,Ingredientes!$I$5:$I$1063)</f>
        <v/>
      </c>
      <c r="J20" s="17">
        <f>IFERROR(I20/H20,0)</f>
        <v/>
      </c>
      <c r="K20" s="11" t="n">
        <v>0</v>
      </c>
      <c r="L20" s="11" t="n">
        <v>0.012</v>
      </c>
      <c r="M20" s="16" t="n">
        <v>95</v>
      </c>
      <c r="N20" s="16" t="n">
        <v>0.14</v>
      </c>
      <c r="O20" s="17">
        <f>IFERROR((M20/MAX(1,'Mi negocio'!$C$26)+N20)/60*'Mi negocio'!$C$23,0)</f>
        <v/>
      </c>
      <c r="P20" s="17">
        <f>'Mi negocio'!$C$20</f>
        <v/>
      </c>
      <c r="Q20" s="30" t="n">
        <v>24</v>
      </c>
      <c r="R20" s="17">
        <f>Q20*'Mi negocio'!$C$39</f>
        <v/>
      </c>
      <c r="S20" s="31">
        <f>IFERROR(ROUNDDOWN('Mi negocio'!$C$37*24/MAX(1,Q20),0),0)</f>
        <v/>
      </c>
      <c r="T20" s="17">
        <f>J20+K20+L20+O20+P20+R20</f>
        <v/>
      </c>
      <c r="U20" s="27" t="n"/>
      <c r="V20" s="32">
        <f>IF(U20="",'Mi negocio'!$C$24,U20)</f>
        <v/>
      </c>
      <c r="W20" s="33">
        <f>IFERROR(T20/(1-V20),0)</f>
        <v/>
      </c>
      <c r="X20" s="6" t="n">
        <v>25</v>
      </c>
      <c r="Y20" s="17">
        <f>W20*MAX(1,X20)</f>
        <v/>
      </c>
      <c r="Z20" s="17">
        <f>IFERROR(CEILING(ROUND(W20*MAX(1,X20)/(1-'Mi negocio'!$C$27),6),'Mi negocio'!$C$25)/MAX(1,X20),0)</f>
        <v/>
      </c>
      <c r="AA20" s="17">
        <f>IFERROR(CEILING(ROUND(W20*MAX(1,X20)/(1-'Mi negocio'!$C$28),6),'Mi negocio'!$C$25)/MAX(1,X20),0)</f>
        <v/>
      </c>
      <c r="AB20" s="17">
        <f>IFERROR(CEILING(ROUND(W20*MAX(1,X20)/(1-'Mi negocio'!$C$29),6),'Mi negocio'!$C$25)/MAX(1,X20),0)</f>
        <v/>
      </c>
      <c r="AC20" s="17">
        <f>IFERROR(CEILING(ROUND(W20*MAX(1,X20)/(1-'Mi negocio'!$C$30),6),'Mi negocio'!$C$25)/MAX(1,X20),0)</f>
        <v/>
      </c>
    </row>
    <row r="21">
      <c r="A21" t="n">
        <v>17</v>
      </c>
      <c r="B21" s="21" t="inlineStr">
        <is>
          <t>Cinta Ácida de Naranja Sangrienta y Granada (Sour Blood Orange &amp; Pomegranate Belt)</t>
        </is>
      </c>
      <c r="C21" s="22" t="inlineStr">
        <is>
          <t>Bloque 2 · Ácidas, cítricas y rebozados cristalinos</t>
        </is>
      </c>
      <c r="D21" t="inlineStr">
        <is>
          <t>2</t>
        </is>
      </c>
      <c r="E21" t="inlineStr">
        <is>
          <t>H</t>
        </is>
      </c>
      <c r="F21" t="n">
        <v>6</v>
      </c>
      <c r="G21" t="inlineStr">
        <is>
          <t>pieza</t>
        </is>
      </c>
      <c r="H21" s="16" t="n">
        <v>150</v>
      </c>
      <c r="I21" s="17">
        <f>SUMIF(Ingredientes!$A$5:$A$1063,A21,Ingredientes!$I$5:$I$1063)</f>
        <v/>
      </c>
      <c r="J21" s="17">
        <f>IFERROR(I21/H21,0)</f>
        <v/>
      </c>
      <c r="K21" s="11" t="n">
        <v>0</v>
      </c>
      <c r="L21" s="11" t="n">
        <v>0.012</v>
      </c>
      <c r="M21" s="16" t="n">
        <v>95</v>
      </c>
      <c r="N21" s="16" t="n">
        <v>0.14</v>
      </c>
      <c r="O21" s="17">
        <f>IFERROR((M21/MAX(1,'Mi negocio'!$C$26)+N21)/60*'Mi negocio'!$C$23,0)</f>
        <v/>
      </c>
      <c r="P21" s="17">
        <f>'Mi negocio'!$C$20</f>
        <v/>
      </c>
      <c r="Q21" s="30" t="n">
        <v>36</v>
      </c>
      <c r="R21" s="17">
        <f>Q21*'Mi negocio'!$C$39</f>
        <v/>
      </c>
      <c r="S21" s="31">
        <f>IFERROR(ROUNDDOWN('Mi negocio'!$C$37*24/MAX(1,Q21),0),0)</f>
        <v/>
      </c>
      <c r="T21" s="17">
        <f>J21+K21+L21+O21+P21+R21</f>
        <v/>
      </c>
      <c r="U21" s="27" t="n"/>
      <c r="V21" s="32">
        <f>IF(U21="",'Mi negocio'!$C$24,U21)</f>
        <v/>
      </c>
      <c r="W21" s="33">
        <f>IFERROR(T21/(1-V21),0)</f>
        <v/>
      </c>
      <c r="X21" s="6" t="n">
        <v>8</v>
      </c>
      <c r="Y21" s="17">
        <f>W21*MAX(1,X21)</f>
        <v/>
      </c>
      <c r="Z21" s="17">
        <f>IFERROR(CEILING(ROUND(W21*MAX(1,X21)/(1-'Mi negocio'!$C$27),6),'Mi negocio'!$C$25)/MAX(1,X21),0)</f>
        <v/>
      </c>
      <c r="AA21" s="17">
        <f>IFERROR(CEILING(ROUND(W21*MAX(1,X21)/(1-'Mi negocio'!$C$28),6),'Mi negocio'!$C$25)/MAX(1,X21),0)</f>
        <v/>
      </c>
      <c r="AB21" s="17">
        <f>IFERROR(CEILING(ROUND(W21*MAX(1,X21)/(1-'Mi negocio'!$C$29),6),'Mi negocio'!$C$25)/MAX(1,X21),0)</f>
        <v/>
      </c>
      <c r="AC21" s="17">
        <f>IFERROR(CEILING(ROUND(W21*MAX(1,X21)/(1-'Mi negocio'!$C$30),6),'Mi negocio'!$C$25)/MAX(1,X21),0)</f>
        <v/>
      </c>
    </row>
    <row r="22">
      <c r="A22" t="n">
        <v>18</v>
      </c>
      <c r="B22" s="21" t="inlineStr">
        <is>
          <t>Esfera de Mandarina Verde y Lima-Limón en Pectina Rápida (Quick-Gel Green Mandarin Sour Orb)</t>
        </is>
      </c>
      <c r="C22" s="22" t="inlineStr">
        <is>
          <t>Bloque 2 · Ácidas, cítricas y rebozados cristalinos</t>
        </is>
      </c>
      <c r="D22" t="inlineStr">
        <is>
          <t>2</t>
        </is>
      </c>
      <c r="E22" t="inlineStr">
        <is>
          <t>P</t>
        </is>
      </c>
      <c r="F22" t="n">
        <v>5</v>
      </c>
      <c r="G22" t="inlineStr">
        <is>
          <t>pieza</t>
        </is>
      </c>
      <c r="H22" s="16" t="n">
        <v>165</v>
      </c>
      <c r="I22" s="17">
        <f>SUMIF(Ingredientes!$A$5:$A$1063,A22,Ingredientes!$I$5:$I$1063)</f>
        <v/>
      </c>
      <c r="J22" s="17">
        <f>IFERROR(I22/H22,0)</f>
        <v/>
      </c>
      <c r="K22" s="11" t="n">
        <v>0</v>
      </c>
      <c r="L22" s="11" t="n">
        <v>0.012</v>
      </c>
      <c r="M22" s="16" t="n">
        <v>95</v>
      </c>
      <c r="N22" s="16" t="n">
        <v>0.14</v>
      </c>
      <c r="O22" s="17">
        <f>IFERROR((M22/MAX(1,'Mi negocio'!$C$26)+N22)/60*'Mi negocio'!$C$23,0)</f>
        <v/>
      </c>
      <c r="P22" s="17">
        <f>'Mi negocio'!$C$20</f>
        <v/>
      </c>
      <c r="Q22" s="30" t="n">
        <v>36</v>
      </c>
      <c r="R22" s="17">
        <f>Q22*'Mi negocio'!$C$39</f>
        <v/>
      </c>
      <c r="S22" s="31">
        <f>IFERROR(ROUNDDOWN('Mi negocio'!$C$37*24/MAX(1,Q22),0),0)</f>
        <v/>
      </c>
      <c r="T22" s="17">
        <f>J22+K22+L22+O22+P22+R22</f>
        <v/>
      </c>
      <c r="U22" s="27" t="n"/>
      <c r="V22" s="32">
        <f>IF(U22="",'Mi negocio'!$C$24,U22)</f>
        <v/>
      </c>
      <c r="W22" s="33">
        <f>IFERROR(T22/(1-V22),0)</f>
        <v/>
      </c>
      <c r="X22" s="6" t="n">
        <v>33</v>
      </c>
      <c r="Y22" s="17">
        <f>W22*MAX(1,X22)</f>
        <v/>
      </c>
      <c r="Z22" s="17">
        <f>IFERROR(CEILING(ROUND(W22*MAX(1,X22)/(1-'Mi negocio'!$C$27),6),'Mi negocio'!$C$25)/MAX(1,X22),0)</f>
        <v/>
      </c>
      <c r="AA22" s="17">
        <f>IFERROR(CEILING(ROUND(W22*MAX(1,X22)/(1-'Mi negocio'!$C$28),6),'Mi negocio'!$C$25)/MAX(1,X22),0)</f>
        <v/>
      </c>
      <c r="AB22" s="17">
        <f>IFERROR(CEILING(ROUND(W22*MAX(1,X22)/(1-'Mi negocio'!$C$29),6),'Mi negocio'!$C$25)/MAX(1,X22),0)</f>
        <v/>
      </c>
      <c r="AC22" s="17">
        <f>IFERROR(CEILING(ROUND(W22*MAX(1,X22)/(1-'Mi negocio'!$C$30),6),'Mi negocio'!$C$25)/MAX(1,X22),0)</f>
        <v/>
      </c>
    </row>
    <row r="23">
      <c r="A23" t="n">
        <v>19</v>
      </c>
      <c r="B23" s="21" t="inlineStr">
        <is>
          <t>Aro Ácido de Manzana y Grosella Negra (Sour Blackcurrant &amp; Green Apple Ring)</t>
        </is>
      </c>
      <c r="C23" s="22" t="inlineStr">
        <is>
          <t>Bloque 2 · Ácidas, cítricas y rebozados cristalinos</t>
        </is>
      </c>
      <c r="D23" t="inlineStr">
        <is>
          <t>2</t>
        </is>
      </c>
      <c r="E23" t="inlineStr">
        <is>
          <t>G</t>
        </is>
      </c>
      <c r="F23" t="n">
        <v>6</v>
      </c>
      <c r="G23" t="inlineStr">
        <is>
          <t>pieza</t>
        </is>
      </c>
      <c r="H23" s="16" t="n">
        <v>110</v>
      </c>
      <c r="I23" s="17">
        <f>SUMIF(Ingredientes!$A$5:$A$1063,A23,Ingredientes!$I$5:$I$1063)</f>
        <v/>
      </c>
      <c r="J23" s="17">
        <f>IFERROR(I23/H23,0)</f>
        <v/>
      </c>
      <c r="K23" s="11" t="n">
        <v>0</v>
      </c>
      <c r="L23" s="11" t="n">
        <v>0.012</v>
      </c>
      <c r="M23" s="16" t="n">
        <v>95</v>
      </c>
      <c r="N23" s="16" t="n">
        <v>0.14</v>
      </c>
      <c r="O23" s="17">
        <f>IFERROR((M23/MAX(1,'Mi negocio'!$C$26)+N23)/60*'Mi negocio'!$C$23,0)</f>
        <v/>
      </c>
      <c r="P23" s="17">
        <f>'Mi negocio'!$C$20</f>
        <v/>
      </c>
      <c r="Q23" s="30" t="n">
        <v>24</v>
      </c>
      <c r="R23" s="17">
        <f>Q23*'Mi negocio'!$C$39</f>
        <v/>
      </c>
      <c r="S23" s="31">
        <f>IFERROR(ROUNDDOWN('Mi negocio'!$C$37*24/MAX(1,Q23),0),0)</f>
        <v/>
      </c>
      <c r="T23" s="17">
        <f>J23+K23+L23+O23+P23+R23</f>
        <v/>
      </c>
      <c r="U23" s="27" t="n"/>
      <c r="V23" s="32">
        <f>IF(U23="",'Mi negocio'!$C$24,U23)</f>
        <v/>
      </c>
      <c r="W23" s="33">
        <f>IFERROR(T23/(1-V23),0)</f>
        <v/>
      </c>
      <c r="X23" s="6" t="n">
        <v>22</v>
      </c>
      <c r="Y23" s="17">
        <f>W23*MAX(1,X23)</f>
        <v/>
      </c>
      <c r="Z23" s="17">
        <f>IFERROR(CEILING(ROUND(W23*MAX(1,X23)/(1-'Mi negocio'!$C$27),6),'Mi negocio'!$C$25)/MAX(1,X23),0)</f>
        <v/>
      </c>
      <c r="AA23" s="17">
        <f>IFERROR(CEILING(ROUND(W23*MAX(1,X23)/(1-'Mi negocio'!$C$28),6),'Mi negocio'!$C$25)/MAX(1,X23),0)</f>
        <v/>
      </c>
      <c r="AB23" s="17">
        <f>IFERROR(CEILING(ROUND(W23*MAX(1,X23)/(1-'Mi negocio'!$C$29),6),'Mi negocio'!$C$25)/MAX(1,X23),0)</f>
        <v/>
      </c>
      <c r="AC23" s="17">
        <f>IFERROR(CEILING(ROUND(W23*MAX(1,X23)/(1-'Mi negocio'!$C$30),6),'Mi negocio'!$C$25)/MAX(1,X23),0)</f>
        <v/>
      </c>
    </row>
    <row r="24">
      <c r="A24" t="n">
        <v>20</v>
      </c>
      <c r="B24" s="21" t="inlineStr">
        <is>
          <t>Lengüeta Ácida de Piña Asada y Jengibre Picante (Sour Charred Pineapple &amp; Ginger Tongue)</t>
        </is>
      </c>
      <c r="C24" s="22" t="inlineStr">
        <is>
          <t>Bloque 2 · Ácidas, cítricas y rebozados cristalinos</t>
        </is>
      </c>
      <c r="D24" t="inlineStr">
        <is>
          <t>2</t>
        </is>
      </c>
      <c r="E24" t="inlineStr">
        <is>
          <t>G</t>
        </is>
      </c>
      <c r="F24" t="n">
        <v>6</v>
      </c>
      <c r="G24" t="inlineStr">
        <is>
          <t>pieza</t>
        </is>
      </c>
      <c r="H24" s="16" t="n">
        <v>150</v>
      </c>
      <c r="I24" s="17">
        <f>SUMIF(Ingredientes!$A$5:$A$1063,A24,Ingredientes!$I$5:$I$1063)</f>
        <v/>
      </c>
      <c r="J24" s="17">
        <f>IFERROR(I24/H24,0)</f>
        <v/>
      </c>
      <c r="K24" s="11" t="n">
        <v>0</v>
      </c>
      <c r="L24" s="11" t="n">
        <v>0.012</v>
      </c>
      <c r="M24" s="16" t="n">
        <v>95</v>
      </c>
      <c r="N24" s="16" t="n">
        <v>0.14</v>
      </c>
      <c r="O24" s="17">
        <f>IFERROR((M24/MAX(1,'Mi negocio'!$C$26)+N24)/60*'Mi negocio'!$C$23,0)</f>
        <v/>
      </c>
      <c r="P24" s="17">
        <f>'Mi negocio'!$C$20</f>
        <v/>
      </c>
      <c r="Q24" s="30" t="n">
        <v>24</v>
      </c>
      <c r="R24" s="17">
        <f>Q24*'Mi negocio'!$C$39</f>
        <v/>
      </c>
      <c r="S24" s="31">
        <f>IFERROR(ROUNDDOWN('Mi negocio'!$C$37*24/MAX(1,Q24),0),0)</f>
        <v/>
      </c>
      <c r="T24" s="17">
        <f>J24+K24+L24+O24+P24+R24</f>
        <v/>
      </c>
      <c r="U24" s="27" t="n"/>
      <c r="V24" s="32">
        <f>IF(U24="",'Mi negocio'!$C$24,U24)</f>
        <v/>
      </c>
      <c r="W24" s="33">
        <f>IFERROR(T24/(1-V24),0)</f>
        <v/>
      </c>
      <c r="X24" s="6" t="n">
        <v>11</v>
      </c>
      <c r="Y24" s="17">
        <f>W24*MAX(1,X24)</f>
        <v/>
      </c>
      <c r="Z24" s="17">
        <f>IFERROR(CEILING(ROUND(W24*MAX(1,X24)/(1-'Mi negocio'!$C$27),6),'Mi negocio'!$C$25)/MAX(1,X24),0)</f>
        <v/>
      </c>
      <c r="AA24" s="17">
        <f>IFERROR(CEILING(ROUND(W24*MAX(1,X24)/(1-'Mi negocio'!$C$28),6),'Mi negocio'!$C$25)/MAX(1,X24),0)</f>
        <v/>
      </c>
      <c r="AB24" s="17">
        <f>IFERROR(CEILING(ROUND(W24*MAX(1,X24)/(1-'Mi negocio'!$C$29),6),'Mi negocio'!$C$25)/MAX(1,X24),0)</f>
        <v/>
      </c>
      <c r="AC24" s="17">
        <f>IFERROR(CEILING(ROUND(W24*MAX(1,X24)/(1-'Mi negocio'!$C$30),6),'Mi negocio'!$C$25)/MAX(1,X24),0)</f>
        <v/>
      </c>
    </row>
    <row r="25">
      <c r="A25" t="n">
        <v>21</v>
      </c>
      <c r="B25" s="21" t="inlineStr">
        <is>
          <t>Gomita de Tamarindo Concentrado al Chile Guajillo y Piquín (Spiced Tamarind &amp; Guajillo-Piquín Drop)</t>
        </is>
      </c>
      <c r="C25" s="22" t="inlineStr">
        <is>
          <t>Bloque 3 · Enchiladas, botánicas y confituras con chamoy</t>
        </is>
      </c>
      <c r="D25" t="inlineStr">
        <is>
          <t>3</t>
        </is>
      </c>
      <c r="E25" t="inlineStr">
        <is>
          <t>H</t>
        </is>
      </c>
      <c r="F25" t="n">
        <v>5</v>
      </c>
      <c r="G25" t="inlineStr">
        <is>
          <t>pieza</t>
        </is>
      </c>
      <c r="H25" s="16" t="n">
        <v>125</v>
      </c>
      <c r="I25" s="17">
        <f>SUMIF(Ingredientes!$A$5:$A$1063,A25,Ingredientes!$I$5:$I$1063)</f>
        <v/>
      </c>
      <c r="J25" s="17">
        <f>IFERROR(I25/H25,0)</f>
        <v/>
      </c>
      <c r="K25" s="11" t="n">
        <v>0</v>
      </c>
      <c r="L25" s="11" t="n">
        <v>0.012</v>
      </c>
      <c r="M25" s="16" t="n">
        <v>95</v>
      </c>
      <c r="N25" s="16" t="n">
        <v>0.14</v>
      </c>
      <c r="O25" s="17">
        <f>IFERROR((M25/MAX(1,'Mi negocio'!$C$26)+N25)/60*'Mi negocio'!$C$23,0)</f>
        <v/>
      </c>
      <c r="P25" s="17">
        <f>'Mi negocio'!$C$20</f>
        <v/>
      </c>
      <c r="Q25" s="30" t="n">
        <v>36</v>
      </c>
      <c r="R25" s="17">
        <f>Q25*'Mi negocio'!$C$39</f>
        <v/>
      </c>
      <c r="S25" s="31">
        <f>IFERROR(ROUNDDOWN('Mi negocio'!$C$37*24/MAX(1,Q25),0),0)</f>
        <v/>
      </c>
      <c r="T25" s="17">
        <f>J25+K25+L25+O25+P25+R25</f>
        <v/>
      </c>
      <c r="U25" s="27" t="n"/>
      <c r="V25" s="32">
        <f>IF(U25="",'Mi negocio'!$C$24,U25)</f>
        <v/>
      </c>
      <c r="W25" s="33">
        <f>IFERROR(T25/(1-V25),0)</f>
        <v/>
      </c>
      <c r="X25" s="6" t="n">
        <v>25</v>
      </c>
      <c r="Y25" s="17">
        <f>W25*MAX(1,X25)</f>
        <v/>
      </c>
      <c r="Z25" s="17">
        <f>IFERROR(CEILING(ROUND(W25*MAX(1,X25)/(1-'Mi negocio'!$C$27),6),'Mi negocio'!$C$25)/MAX(1,X25),0)</f>
        <v/>
      </c>
      <c r="AA25" s="17">
        <f>IFERROR(CEILING(ROUND(W25*MAX(1,X25)/(1-'Mi negocio'!$C$28),6),'Mi negocio'!$C$25)/MAX(1,X25),0)</f>
        <v/>
      </c>
      <c r="AB25" s="17">
        <f>IFERROR(CEILING(ROUND(W25*MAX(1,X25)/(1-'Mi negocio'!$C$29),6),'Mi negocio'!$C$25)/MAX(1,X25),0)</f>
        <v/>
      </c>
      <c r="AC25" s="17">
        <f>IFERROR(CEILING(ROUND(W25*MAX(1,X25)/(1-'Mi negocio'!$C$30),6),'Mi negocio'!$C$25)/MAX(1,X25),0)</f>
        <v/>
      </c>
    </row>
    <row r="26">
      <c r="A26" t="n">
        <v>22</v>
      </c>
      <c r="B26" s="21" t="inlineStr">
        <is>
          <t>Gota de Mango Verde con Chamoy Glaseado y Chile Morita (Glazed Mango-Chamoy &amp; Smoked Morita Pepper)</t>
        </is>
      </c>
      <c r="C26" s="22" t="inlineStr">
        <is>
          <t>Bloque 3 · Enchiladas, botánicas y confituras con chamoy</t>
        </is>
      </c>
      <c r="D26" t="inlineStr">
        <is>
          <t>3</t>
        </is>
      </c>
      <c r="E26" t="inlineStr">
        <is>
          <t>G</t>
        </is>
      </c>
      <c r="F26" t="n">
        <v>4</v>
      </c>
      <c r="G26" t="inlineStr">
        <is>
          <t>pieza</t>
        </is>
      </c>
      <c r="H26" s="16" t="n">
        <v>125</v>
      </c>
      <c r="I26" s="17">
        <f>SUMIF(Ingredientes!$A$5:$A$1063,A26,Ingredientes!$I$5:$I$1063)</f>
        <v/>
      </c>
      <c r="J26" s="17">
        <f>IFERROR(I26/H26,0)</f>
        <v/>
      </c>
      <c r="K26" s="11" t="n">
        <v>0</v>
      </c>
      <c r="L26" s="11" t="n">
        <v>0.012</v>
      </c>
      <c r="M26" s="16" t="n">
        <v>95</v>
      </c>
      <c r="N26" s="16" t="n">
        <v>0.22</v>
      </c>
      <c r="O26" s="17">
        <f>IFERROR((M26/MAX(1,'Mi negocio'!$C$26)+N26)/60*'Mi negocio'!$C$23,0)</f>
        <v/>
      </c>
      <c r="P26" s="17">
        <f>'Mi negocio'!$C$20</f>
        <v/>
      </c>
      <c r="Q26" s="30" t="n">
        <v>24</v>
      </c>
      <c r="R26" s="17">
        <f>Q26*'Mi negocio'!$C$39</f>
        <v/>
      </c>
      <c r="S26" s="31">
        <f>IFERROR(ROUNDDOWN('Mi negocio'!$C$37*24/MAX(1,Q26),0),0)</f>
        <v/>
      </c>
      <c r="T26" s="17">
        <f>J26+K26+L26+O26+P26+R26</f>
        <v/>
      </c>
      <c r="U26" s="27" t="n"/>
      <c r="V26" s="32">
        <f>IF(U26="",'Mi negocio'!$C$24,U26)</f>
        <v/>
      </c>
      <c r="W26" s="33">
        <f>IFERROR(T26/(1-V26),0)</f>
        <v/>
      </c>
      <c r="X26" s="6" t="n">
        <v>25</v>
      </c>
      <c r="Y26" s="17">
        <f>W26*MAX(1,X26)</f>
        <v/>
      </c>
      <c r="Z26" s="17">
        <f>IFERROR(CEILING(ROUND(W26*MAX(1,X26)/(1-'Mi negocio'!$C$27),6),'Mi negocio'!$C$25)/MAX(1,X26),0)</f>
        <v/>
      </c>
      <c r="AA26" s="17">
        <f>IFERROR(CEILING(ROUND(W26*MAX(1,X26)/(1-'Mi negocio'!$C$28),6),'Mi negocio'!$C$25)/MAX(1,X26),0)</f>
        <v/>
      </c>
      <c r="AB26" s="17">
        <f>IFERROR(CEILING(ROUND(W26*MAX(1,X26)/(1-'Mi negocio'!$C$29),6),'Mi negocio'!$C$25)/MAX(1,X26),0)</f>
        <v/>
      </c>
      <c r="AC26" s="17">
        <f>IFERROR(CEILING(ROUND(W26*MAX(1,X26)/(1-'Mi negocio'!$C$30),6),'Mi negocio'!$C$25)/MAX(1,X26),0)</f>
        <v/>
      </c>
    </row>
    <row r="27">
      <c r="A27" t="n">
        <v>23</v>
      </c>
      <c r="B27" s="21" t="inlineStr">
        <is>
          <t>Confitura de Piña Asada con Chile Habanero y Sal de Gusano (Charred Pineapple, Habanero &amp; Agave Worm Salt)</t>
        </is>
      </c>
      <c r="C27" s="22" t="inlineStr">
        <is>
          <t>Bloque 3 · Enchiladas, botánicas y confituras con chamoy</t>
        </is>
      </c>
      <c r="D27" t="inlineStr">
        <is>
          <t>3</t>
        </is>
      </c>
      <c r="E27" t="inlineStr">
        <is>
          <t>H</t>
        </is>
      </c>
      <c r="F27" t="n">
        <v>5</v>
      </c>
      <c r="G27" t="inlineStr">
        <is>
          <t>pieza</t>
        </is>
      </c>
      <c r="H27" s="16" t="n">
        <v>140</v>
      </c>
      <c r="I27" s="17">
        <f>SUMIF(Ingredientes!$A$5:$A$1063,A27,Ingredientes!$I$5:$I$1063)</f>
        <v/>
      </c>
      <c r="J27" s="17">
        <f>IFERROR(I27/H27,0)</f>
        <v/>
      </c>
      <c r="K27" s="11" t="n">
        <v>0</v>
      </c>
      <c r="L27" s="11" t="n">
        <v>0.012</v>
      </c>
      <c r="M27" s="16" t="n">
        <v>95</v>
      </c>
      <c r="N27" s="16" t="n">
        <v>0.14</v>
      </c>
      <c r="O27" s="17">
        <f>IFERROR((M27/MAX(1,'Mi negocio'!$C$26)+N27)/60*'Mi negocio'!$C$23,0)</f>
        <v/>
      </c>
      <c r="P27" s="17">
        <f>'Mi negocio'!$C$20</f>
        <v/>
      </c>
      <c r="Q27" s="30" t="n">
        <v>36</v>
      </c>
      <c r="R27" s="17">
        <f>Q27*'Mi negocio'!$C$39</f>
        <v/>
      </c>
      <c r="S27" s="31">
        <f>IFERROR(ROUNDDOWN('Mi negocio'!$C$37*24/MAX(1,Q27),0),0)</f>
        <v/>
      </c>
      <c r="T27" s="17">
        <f>J27+K27+L27+O27+P27+R27</f>
        <v/>
      </c>
      <c r="U27" s="27" t="n"/>
      <c r="V27" s="32">
        <f>IF(U27="",'Mi negocio'!$C$24,U27)</f>
        <v/>
      </c>
      <c r="W27" s="33">
        <f>IFERROR(T27/(1-V27),0)</f>
        <v/>
      </c>
      <c r="X27" s="6" t="n">
        <v>29</v>
      </c>
      <c r="Y27" s="17">
        <f>W27*MAX(1,X27)</f>
        <v/>
      </c>
      <c r="Z27" s="17">
        <f>IFERROR(CEILING(ROUND(W27*MAX(1,X27)/(1-'Mi negocio'!$C$27),6),'Mi negocio'!$C$25)/MAX(1,X27),0)</f>
        <v/>
      </c>
      <c r="AA27" s="17">
        <f>IFERROR(CEILING(ROUND(W27*MAX(1,X27)/(1-'Mi negocio'!$C$28),6),'Mi negocio'!$C$25)/MAX(1,X27),0)</f>
        <v/>
      </c>
      <c r="AB27" s="17">
        <f>IFERROR(CEILING(ROUND(W27*MAX(1,X27)/(1-'Mi negocio'!$C$29),6),'Mi negocio'!$C$25)/MAX(1,X27),0)</f>
        <v/>
      </c>
      <c r="AC27" s="17">
        <f>IFERROR(CEILING(ROUND(W27*MAX(1,X27)/(1-'Mi negocio'!$C$30),6),'Mi negocio'!$C$25)/MAX(1,X27),0)</f>
        <v/>
      </c>
    </row>
    <row r="28">
      <c r="A28" t="n">
        <v>24</v>
      </c>
      <c r="B28" s="21" t="inlineStr">
        <is>
          <t>Gomita Botánica de Pepino, Limón Verde y Salitre con Chile Jalapeño (Cucumber-Lime, Sal de Grano &amp; Jalapeño Crisp)</t>
        </is>
      </c>
      <c r="C28" s="22" t="inlineStr">
        <is>
          <t>Bloque 3 · Enchiladas, botánicas y confituras con chamoy</t>
        </is>
      </c>
      <c r="D28" t="inlineStr">
        <is>
          <t>3</t>
        </is>
      </c>
      <c r="E28" t="inlineStr">
        <is>
          <t>G</t>
        </is>
      </c>
      <c r="F28" t="n">
        <v>5</v>
      </c>
      <c r="G28" t="inlineStr">
        <is>
          <t>pieza</t>
        </is>
      </c>
      <c r="H28" s="16" t="n">
        <v>140</v>
      </c>
      <c r="I28" s="17">
        <f>SUMIF(Ingredientes!$A$5:$A$1063,A28,Ingredientes!$I$5:$I$1063)</f>
        <v/>
      </c>
      <c r="J28" s="17">
        <f>IFERROR(I28/H28,0)</f>
        <v/>
      </c>
      <c r="K28" s="11" t="n">
        <v>0</v>
      </c>
      <c r="L28" s="11" t="n">
        <v>0.012</v>
      </c>
      <c r="M28" s="16" t="n">
        <v>95</v>
      </c>
      <c r="N28" s="16" t="n">
        <v>0.14</v>
      </c>
      <c r="O28" s="17">
        <f>IFERROR((M28/MAX(1,'Mi negocio'!$C$26)+N28)/60*'Mi negocio'!$C$23,0)</f>
        <v/>
      </c>
      <c r="P28" s="17">
        <f>'Mi negocio'!$C$20</f>
        <v/>
      </c>
      <c r="Q28" s="30" t="n">
        <v>24</v>
      </c>
      <c r="R28" s="17">
        <f>Q28*'Mi negocio'!$C$39</f>
        <v/>
      </c>
      <c r="S28" s="31">
        <f>IFERROR(ROUNDDOWN('Mi negocio'!$C$37*24/MAX(1,Q28),0),0)</f>
        <v/>
      </c>
      <c r="T28" s="17">
        <f>J28+K28+L28+O28+P28+R28</f>
        <v/>
      </c>
      <c r="U28" s="27" t="n"/>
      <c r="V28" s="32">
        <f>IF(U28="",'Mi negocio'!$C$24,U28)</f>
        <v/>
      </c>
      <c r="W28" s="33">
        <f>IFERROR(T28/(1-V28),0)</f>
        <v/>
      </c>
      <c r="X28" s="6" t="n">
        <v>29</v>
      </c>
      <c r="Y28" s="17">
        <f>W28*MAX(1,X28)</f>
        <v/>
      </c>
      <c r="Z28" s="17">
        <f>IFERROR(CEILING(ROUND(W28*MAX(1,X28)/(1-'Mi negocio'!$C$27),6),'Mi negocio'!$C$25)/MAX(1,X28),0)</f>
        <v/>
      </c>
      <c r="AA28" s="17">
        <f>IFERROR(CEILING(ROUND(W28*MAX(1,X28)/(1-'Mi negocio'!$C$28),6),'Mi negocio'!$C$25)/MAX(1,X28),0)</f>
        <v/>
      </c>
      <c r="AB28" s="17">
        <f>IFERROR(CEILING(ROUND(W28*MAX(1,X28)/(1-'Mi negocio'!$C$29),6),'Mi negocio'!$C$25)/MAX(1,X28),0)</f>
        <v/>
      </c>
      <c r="AC28" s="17">
        <f>IFERROR(CEILING(ROUND(W28*MAX(1,X28)/(1-'Mi negocio'!$C$30),6),'Mi negocio'!$C$25)/MAX(1,X28),0)</f>
        <v/>
      </c>
    </row>
    <row r="29">
      <c r="A29" t="n">
        <v>25</v>
      </c>
      <c r="B29" s="21" t="inlineStr">
        <is>
          <t>Perla de Sandía y Mezcal Espadín con Chamoy y Chile Pasilla (Smoked Mezcal, Watermelon &amp; Pasilla Chili Pearl)</t>
        </is>
      </c>
      <c r="C29" s="22" t="inlineStr">
        <is>
          <t>Bloque 3 · Enchiladas, botánicas y confituras con chamoy</t>
        </is>
      </c>
      <c r="D29" t="inlineStr">
        <is>
          <t>3</t>
        </is>
      </c>
      <c r="E29" t="inlineStr">
        <is>
          <t>A</t>
        </is>
      </c>
      <c r="F29" t="n">
        <v>5</v>
      </c>
      <c r="G29" t="inlineStr">
        <is>
          <t>pieza</t>
        </is>
      </c>
      <c r="H29" s="16" t="n">
        <v>165</v>
      </c>
      <c r="I29" s="17">
        <f>SUMIF(Ingredientes!$A$5:$A$1063,A29,Ingredientes!$I$5:$I$1063)</f>
        <v/>
      </c>
      <c r="J29" s="17">
        <f>IFERROR(I29/H29,0)</f>
        <v/>
      </c>
      <c r="K29" s="11" t="n">
        <v>0</v>
      </c>
      <c r="L29" s="11" t="n">
        <v>0.012</v>
      </c>
      <c r="M29" s="16" t="n">
        <v>95</v>
      </c>
      <c r="N29" s="16" t="n">
        <v>0.14</v>
      </c>
      <c r="O29" s="17">
        <f>IFERROR((M29/MAX(1,'Mi negocio'!$C$26)+N29)/60*'Mi negocio'!$C$23,0)</f>
        <v/>
      </c>
      <c r="P29" s="17">
        <f>'Mi negocio'!$C$20</f>
        <v/>
      </c>
      <c r="Q29" s="30" t="n">
        <v>30</v>
      </c>
      <c r="R29" s="17">
        <f>Q29*'Mi negocio'!$C$39</f>
        <v/>
      </c>
      <c r="S29" s="31">
        <f>IFERROR(ROUNDDOWN('Mi negocio'!$C$37*24/MAX(1,Q29),0),0)</f>
        <v/>
      </c>
      <c r="T29" s="17">
        <f>J29+K29+L29+O29+P29+R29</f>
        <v/>
      </c>
      <c r="U29" s="27" t="n"/>
      <c r="V29" s="32">
        <f>IF(U29="",'Mi negocio'!$C$24,U29)</f>
        <v/>
      </c>
      <c r="W29" s="33">
        <f>IFERROR(T29/(1-V29),0)</f>
        <v/>
      </c>
      <c r="X29" s="6" t="n">
        <v>33</v>
      </c>
      <c r="Y29" s="17">
        <f>W29*MAX(1,X29)</f>
        <v/>
      </c>
      <c r="Z29" s="17">
        <f>IFERROR(CEILING(ROUND(W29*MAX(1,X29)/(1-'Mi negocio'!$C$27),6),'Mi negocio'!$C$25)/MAX(1,X29),0)</f>
        <v/>
      </c>
      <c r="AA29" s="17">
        <f>IFERROR(CEILING(ROUND(W29*MAX(1,X29)/(1-'Mi negocio'!$C$28),6),'Mi negocio'!$C$25)/MAX(1,X29),0)</f>
        <v/>
      </c>
      <c r="AB29" s="17">
        <f>IFERROR(CEILING(ROUND(W29*MAX(1,X29)/(1-'Mi negocio'!$C$29),6),'Mi negocio'!$C$25)/MAX(1,X29),0)</f>
        <v/>
      </c>
      <c r="AC29" s="17">
        <f>IFERROR(CEILING(ROUND(W29*MAX(1,X29)/(1-'Mi negocio'!$C$30),6),'Mi negocio'!$C$25)/MAX(1,X29),0)</f>
        <v/>
      </c>
    </row>
    <row r="30">
      <c r="A30" t="n">
        <v>26</v>
      </c>
      <c r="B30" s="21" t="inlineStr">
        <is>
          <t>Gema Cristalina de Mango y Chile Habanero (Mango-Habanero Translucent Gem)</t>
        </is>
      </c>
      <c r="C30" s="22" t="inlineStr">
        <is>
          <t>Bloque 3 · Enchiladas, botánicas y confituras con chamoy</t>
        </is>
      </c>
      <c r="D30" t="inlineStr">
        <is>
          <t>3</t>
        </is>
      </c>
      <c r="E30" t="inlineStr">
        <is>
          <t>G</t>
        </is>
      </c>
      <c r="F30" t="n">
        <v>6</v>
      </c>
      <c r="G30" t="inlineStr">
        <is>
          <t>pieza</t>
        </is>
      </c>
      <c r="H30" s="16" t="n">
        <v>140</v>
      </c>
      <c r="I30" s="17">
        <f>SUMIF(Ingredientes!$A$5:$A$1063,A30,Ingredientes!$I$5:$I$1063)</f>
        <v/>
      </c>
      <c r="J30" s="17">
        <f>IFERROR(I30/H30,0)</f>
        <v/>
      </c>
      <c r="K30" s="11" t="n">
        <v>0</v>
      </c>
      <c r="L30" s="11" t="n">
        <v>0.012</v>
      </c>
      <c r="M30" s="16" t="n">
        <v>95</v>
      </c>
      <c r="N30" s="16" t="n">
        <v>0.14</v>
      </c>
      <c r="O30" s="17">
        <f>IFERROR((M30/MAX(1,'Mi negocio'!$C$26)+N30)/60*'Mi negocio'!$C$23,0)</f>
        <v/>
      </c>
      <c r="P30" s="17">
        <f>'Mi negocio'!$C$20</f>
        <v/>
      </c>
      <c r="Q30" s="30" t="n">
        <v>24</v>
      </c>
      <c r="R30" s="17">
        <f>Q30*'Mi negocio'!$C$39</f>
        <v/>
      </c>
      <c r="S30" s="31">
        <f>IFERROR(ROUNDDOWN('Mi negocio'!$C$37*24/MAX(1,Q30),0),0)</f>
        <v/>
      </c>
      <c r="T30" s="17">
        <f>J30+K30+L30+O30+P30+R30</f>
        <v/>
      </c>
      <c r="U30" s="27" t="n"/>
      <c r="V30" s="32">
        <f>IF(U30="",'Mi negocio'!$C$24,U30)</f>
        <v/>
      </c>
      <c r="W30" s="33">
        <f>IFERROR(T30/(1-V30),0)</f>
        <v/>
      </c>
      <c r="X30" s="6" t="n">
        <v>29</v>
      </c>
      <c r="Y30" s="17">
        <f>W30*MAX(1,X30)</f>
        <v/>
      </c>
      <c r="Z30" s="17">
        <f>IFERROR(CEILING(ROUND(W30*MAX(1,X30)/(1-'Mi negocio'!$C$27),6),'Mi negocio'!$C$25)/MAX(1,X30),0)</f>
        <v/>
      </c>
      <c r="AA30" s="17">
        <f>IFERROR(CEILING(ROUND(W30*MAX(1,X30)/(1-'Mi negocio'!$C$28),6),'Mi negocio'!$C$25)/MAX(1,X30),0)</f>
        <v/>
      </c>
      <c r="AB30" s="17">
        <f>IFERROR(CEILING(ROUND(W30*MAX(1,X30)/(1-'Mi negocio'!$C$29),6),'Mi negocio'!$C$25)/MAX(1,X30),0)</f>
        <v/>
      </c>
      <c r="AC30" s="17">
        <f>IFERROR(CEILING(ROUND(W30*MAX(1,X30)/(1-'Mi negocio'!$C$30),6),'Mi negocio'!$C$25)/MAX(1,X30),0)</f>
        <v/>
      </c>
    </row>
    <row r="31">
      <c r="A31" t="n">
        <v>27</v>
      </c>
      <c r="B31" s="21" t="inlineStr">
        <is>
          <t>Confitura de Chabacano al Chamoy Seco en Pectina Lenta (Apricot &amp; Dry Chamoy Pectin Pâte de Fruits)</t>
        </is>
      </c>
      <c r="C31" s="22" t="inlineStr">
        <is>
          <t>Bloque 3 · Enchiladas, botánicas y confituras con chamoy</t>
        </is>
      </c>
      <c r="D31" t="inlineStr">
        <is>
          <t>3</t>
        </is>
      </c>
      <c r="E31" t="inlineStr">
        <is>
          <t>P</t>
        </is>
      </c>
      <c r="F31" t="n">
        <v>5</v>
      </c>
      <c r="G31" t="inlineStr">
        <is>
          <t>pieza</t>
        </is>
      </c>
      <c r="H31" s="16" t="n">
        <v>140</v>
      </c>
      <c r="I31" s="17">
        <f>SUMIF(Ingredientes!$A$5:$A$1063,A31,Ingredientes!$I$5:$I$1063)</f>
        <v/>
      </c>
      <c r="J31" s="17">
        <f>IFERROR(I31/H31,0)</f>
        <v/>
      </c>
      <c r="K31" s="11" t="n">
        <v>0</v>
      </c>
      <c r="L31" s="11" t="n">
        <v>0.012</v>
      </c>
      <c r="M31" s="16" t="n">
        <v>95</v>
      </c>
      <c r="N31" s="16" t="n">
        <v>0.14</v>
      </c>
      <c r="O31" s="17">
        <f>IFERROR((M31/MAX(1,'Mi negocio'!$C$26)+N31)/60*'Mi negocio'!$C$23,0)</f>
        <v/>
      </c>
      <c r="P31" s="17">
        <f>'Mi negocio'!$C$20</f>
        <v/>
      </c>
      <c r="Q31" s="30" t="n">
        <v>36</v>
      </c>
      <c r="R31" s="17">
        <f>Q31*'Mi negocio'!$C$39</f>
        <v/>
      </c>
      <c r="S31" s="31">
        <f>IFERROR(ROUNDDOWN('Mi negocio'!$C$37*24/MAX(1,Q31),0),0)</f>
        <v/>
      </c>
      <c r="T31" s="17">
        <f>J31+K31+L31+O31+P31+R31</f>
        <v/>
      </c>
      <c r="U31" s="27" t="n"/>
      <c r="V31" s="32">
        <f>IF(U31="",'Mi negocio'!$C$24,U31)</f>
        <v/>
      </c>
      <c r="W31" s="33">
        <f>IFERROR(T31/(1-V31),0)</f>
        <v/>
      </c>
      <c r="X31" s="6" t="n">
        <v>29</v>
      </c>
      <c r="Y31" s="17">
        <f>W31*MAX(1,X31)</f>
        <v/>
      </c>
      <c r="Z31" s="17">
        <f>IFERROR(CEILING(ROUND(W31*MAX(1,X31)/(1-'Mi negocio'!$C$27),6),'Mi negocio'!$C$25)/MAX(1,X31),0)</f>
        <v/>
      </c>
      <c r="AA31" s="17">
        <f>IFERROR(CEILING(ROUND(W31*MAX(1,X31)/(1-'Mi negocio'!$C$28),6),'Mi negocio'!$C$25)/MAX(1,X31),0)</f>
        <v/>
      </c>
      <c r="AB31" s="17">
        <f>IFERROR(CEILING(ROUND(W31*MAX(1,X31)/(1-'Mi negocio'!$C$29),6),'Mi negocio'!$C$25)/MAX(1,X31),0)</f>
        <v/>
      </c>
      <c r="AC31" s="17">
        <f>IFERROR(CEILING(ROUND(W31*MAX(1,X31)/(1-'Mi negocio'!$C$30),6),'Mi negocio'!$C$25)/MAX(1,X31),0)</f>
        <v/>
      </c>
    </row>
    <row r="32">
      <c r="A32" t="n">
        <v>28</v>
      </c>
      <c r="B32" s="21" t="inlineStr">
        <is>
          <t>Gomita de Sandía al Limón y Escamas de Tajín Artesanal (Watermelon-Lime with Handcrafted Chile-Lime Sanding)</t>
        </is>
      </c>
      <c r="C32" s="22" t="inlineStr">
        <is>
          <t>Bloque 3 · Enchiladas, botánicas y confituras con chamoy</t>
        </is>
      </c>
      <c r="D32" t="inlineStr">
        <is>
          <t>3</t>
        </is>
      </c>
      <c r="E32" t="inlineStr">
        <is>
          <t>G</t>
        </is>
      </c>
      <c r="F32" t="n">
        <v>5</v>
      </c>
      <c r="G32" t="inlineStr">
        <is>
          <t>pieza</t>
        </is>
      </c>
      <c r="H32" s="16" t="n">
        <v>125</v>
      </c>
      <c r="I32" s="17">
        <f>SUMIF(Ingredientes!$A$5:$A$1063,A32,Ingredientes!$I$5:$I$1063)</f>
        <v/>
      </c>
      <c r="J32" s="17">
        <f>IFERROR(I32/H32,0)</f>
        <v/>
      </c>
      <c r="K32" s="11" t="n">
        <v>0</v>
      </c>
      <c r="L32" s="11" t="n">
        <v>0.012</v>
      </c>
      <c r="M32" s="16" t="n">
        <v>95</v>
      </c>
      <c r="N32" s="16" t="n">
        <v>0.14</v>
      </c>
      <c r="O32" s="17">
        <f>IFERROR((M32/MAX(1,'Mi negocio'!$C$26)+N32)/60*'Mi negocio'!$C$23,0)</f>
        <v/>
      </c>
      <c r="P32" s="17">
        <f>'Mi negocio'!$C$20</f>
        <v/>
      </c>
      <c r="Q32" s="30" t="n">
        <v>24</v>
      </c>
      <c r="R32" s="17">
        <f>Q32*'Mi negocio'!$C$39</f>
        <v/>
      </c>
      <c r="S32" s="31">
        <f>IFERROR(ROUNDDOWN('Mi negocio'!$C$37*24/MAX(1,Q32),0),0)</f>
        <v/>
      </c>
      <c r="T32" s="17">
        <f>J32+K32+L32+O32+P32+R32</f>
        <v/>
      </c>
      <c r="U32" s="27" t="n"/>
      <c r="V32" s="32">
        <f>IF(U32="",'Mi negocio'!$C$24,U32)</f>
        <v/>
      </c>
      <c r="W32" s="33">
        <f>IFERROR(T32/(1-V32),0)</f>
        <v/>
      </c>
      <c r="X32" s="6" t="n">
        <v>25</v>
      </c>
      <c r="Y32" s="17">
        <f>W32*MAX(1,X32)</f>
        <v/>
      </c>
      <c r="Z32" s="17">
        <f>IFERROR(CEILING(ROUND(W32*MAX(1,X32)/(1-'Mi negocio'!$C$27),6),'Mi negocio'!$C$25)/MAX(1,X32),0)</f>
        <v/>
      </c>
      <c r="AA32" s="17">
        <f>IFERROR(CEILING(ROUND(W32*MAX(1,X32)/(1-'Mi negocio'!$C$28),6),'Mi negocio'!$C$25)/MAX(1,X32),0)</f>
        <v/>
      </c>
      <c r="AB32" s="17">
        <f>IFERROR(CEILING(ROUND(W32*MAX(1,X32)/(1-'Mi negocio'!$C$29),6),'Mi negocio'!$C$25)/MAX(1,X32),0)</f>
        <v/>
      </c>
      <c r="AC32" s="17">
        <f>IFERROR(CEILING(ROUND(W32*MAX(1,X32)/(1-'Mi negocio'!$C$30),6),'Mi negocio'!$C$25)/MAX(1,X32),0)</f>
        <v/>
      </c>
    </row>
    <row r="33">
      <c r="A33" t="n">
        <v>29</v>
      </c>
      <c r="B33" s="21" t="inlineStr">
        <is>
          <t>Pastilla Salina de Limón Criollo al Chile de Árbol Tostado (Key Lime, Sea Salt &amp; Charred Chile de Árbol Pastille)</t>
        </is>
      </c>
      <c r="C33" s="22" t="inlineStr">
        <is>
          <t>Bloque 3 · Enchiladas, botánicas y confituras con chamoy</t>
        </is>
      </c>
      <c r="D33" t="inlineStr">
        <is>
          <t>3</t>
        </is>
      </c>
      <c r="E33" t="inlineStr">
        <is>
          <t>A</t>
        </is>
      </c>
      <c r="F33" t="n">
        <v>8</v>
      </c>
      <c r="G33" t="inlineStr">
        <is>
          <t>pieza</t>
        </is>
      </c>
      <c r="H33" s="16" t="n">
        <v>165</v>
      </c>
      <c r="I33" s="17">
        <f>SUMIF(Ingredientes!$A$5:$A$1063,A33,Ingredientes!$I$5:$I$1063)</f>
        <v/>
      </c>
      <c r="J33" s="17">
        <f>IFERROR(I33/H33,0)</f>
        <v/>
      </c>
      <c r="K33" s="11" t="n">
        <v>0</v>
      </c>
      <c r="L33" s="11" t="n">
        <v>0.012</v>
      </c>
      <c r="M33" s="16" t="n">
        <v>95</v>
      </c>
      <c r="N33" s="16" t="n">
        <v>0.14</v>
      </c>
      <c r="O33" s="17">
        <f>IFERROR((M33/MAX(1,'Mi negocio'!$C$26)+N33)/60*'Mi negocio'!$C$23,0)</f>
        <v/>
      </c>
      <c r="P33" s="17">
        <f>'Mi negocio'!$C$20</f>
        <v/>
      </c>
      <c r="Q33" s="30" t="n">
        <v>36</v>
      </c>
      <c r="R33" s="17">
        <f>Q33*'Mi negocio'!$C$39</f>
        <v/>
      </c>
      <c r="S33" s="31">
        <f>IFERROR(ROUNDDOWN('Mi negocio'!$C$37*24/MAX(1,Q33),0),0)</f>
        <v/>
      </c>
      <c r="T33" s="17">
        <f>J33+K33+L33+O33+P33+R33</f>
        <v/>
      </c>
      <c r="U33" s="27" t="n"/>
      <c r="V33" s="32">
        <f>IF(U33="",'Mi negocio'!$C$24,U33)</f>
        <v/>
      </c>
      <c r="W33" s="33">
        <f>IFERROR(T33/(1-V33),0)</f>
        <v/>
      </c>
      <c r="X33" s="6" t="n">
        <v>33</v>
      </c>
      <c r="Y33" s="17">
        <f>W33*MAX(1,X33)</f>
        <v/>
      </c>
      <c r="Z33" s="17">
        <f>IFERROR(CEILING(ROUND(W33*MAX(1,X33)/(1-'Mi negocio'!$C$27),6),'Mi negocio'!$C$25)/MAX(1,X33),0)</f>
        <v/>
      </c>
      <c r="AA33" s="17">
        <f>IFERROR(CEILING(ROUND(W33*MAX(1,X33)/(1-'Mi negocio'!$C$28),6),'Mi negocio'!$C$25)/MAX(1,X33),0)</f>
        <v/>
      </c>
      <c r="AB33" s="17">
        <f>IFERROR(CEILING(ROUND(W33*MAX(1,X33)/(1-'Mi negocio'!$C$29),6),'Mi negocio'!$C$25)/MAX(1,X33),0)</f>
        <v/>
      </c>
      <c r="AC33" s="17">
        <f>IFERROR(CEILING(ROUND(W33*MAX(1,X33)/(1-'Mi negocio'!$C$30),6),'Mi negocio'!$C$25)/MAX(1,X33),0)</f>
        <v/>
      </c>
    </row>
    <row r="34">
      <c r="A34" t="n">
        <v>30</v>
      </c>
      <c r="B34" s="21" t="inlineStr">
        <is>
          <t>Manzana Verde con Canela de Ceilán, Chipotle y Piquín (Green Apple, Ceylon Cinnamon &amp; Sweet Chipotle Drop)</t>
        </is>
      </c>
      <c r="C34" s="22" t="inlineStr">
        <is>
          <t>Bloque 3 · Enchiladas, botánicas y confituras con chamoy</t>
        </is>
      </c>
      <c r="D34" t="inlineStr">
        <is>
          <t>3</t>
        </is>
      </c>
      <c r="E34" t="inlineStr">
        <is>
          <t>H</t>
        </is>
      </c>
      <c r="F34" t="n">
        <v>5</v>
      </c>
      <c r="G34" t="inlineStr">
        <is>
          <t>pieza</t>
        </is>
      </c>
      <c r="H34" s="16" t="n">
        <v>140</v>
      </c>
      <c r="I34" s="17">
        <f>SUMIF(Ingredientes!$A$5:$A$1063,A34,Ingredientes!$I$5:$I$1063)</f>
        <v/>
      </c>
      <c r="J34" s="17">
        <f>IFERROR(I34/H34,0)</f>
        <v/>
      </c>
      <c r="K34" s="11" t="n">
        <v>0</v>
      </c>
      <c r="L34" s="11" t="n">
        <v>0.012</v>
      </c>
      <c r="M34" s="16" t="n">
        <v>95</v>
      </c>
      <c r="N34" s="16" t="n">
        <v>0.14</v>
      </c>
      <c r="O34" s="17">
        <f>IFERROR((M34/MAX(1,'Mi negocio'!$C$26)+N34)/60*'Mi negocio'!$C$23,0)</f>
        <v/>
      </c>
      <c r="P34" s="17">
        <f>'Mi negocio'!$C$20</f>
        <v/>
      </c>
      <c r="Q34" s="30" t="n">
        <v>36</v>
      </c>
      <c r="R34" s="17">
        <f>Q34*'Mi negocio'!$C$39</f>
        <v/>
      </c>
      <c r="S34" s="31">
        <f>IFERROR(ROUNDDOWN('Mi negocio'!$C$37*24/MAX(1,Q34),0),0)</f>
        <v/>
      </c>
      <c r="T34" s="17">
        <f>J34+K34+L34+O34+P34+R34</f>
        <v/>
      </c>
      <c r="U34" s="27" t="n"/>
      <c r="V34" s="32">
        <f>IF(U34="",'Mi negocio'!$C$24,U34)</f>
        <v/>
      </c>
      <c r="W34" s="33">
        <f>IFERROR(T34/(1-V34),0)</f>
        <v/>
      </c>
      <c r="X34" s="6" t="n">
        <v>29</v>
      </c>
      <c r="Y34" s="17">
        <f>W34*MAX(1,X34)</f>
        <v/>
      </c>
      <c r="Z34" s="17">
        <f>IFERROR(CEILING(ROUND(W34*MAX(1,X34)/(1-'Mi negocio'!$C$27),6),'Mi negocio'!$C$25)/MAX(1,X34),0)</f>
        <v/>
      </c>
      <c r="AA34" s="17">
        <f>IFERROR(CEILING(ROUND(W34*MAX(1,X34)/(1-'Mi negocio'!$C$28),6),'Mi negocio'!$C$25)/MAX(1,X34),0)</f>
        <v/>
      </c>
      <c r="AB34" s="17">
        <f>IFERROR(CEILING(ROUND(W34*MAX(1,X34)/(1-'Mi negocio'!$C$29),6),'Mi negocio'!$C$25)/MAX(1,X34),0)</f>
        <v/>
      </c>
      <c r="AC34" s="17">
        <f>IFERROR(CEILING(ROUND(W34*MAX(1,X34)/(1-'Mi negocio'!$C$30),6),'Mi negocio'!$C$25)/MAX(1,X34),0)</f>
        <v/>
      </c>
    </row>
    <row r="35">
      <c r="A35" t="n">
        <v>31</v>
      </c>
      <c r="B35" s="21" t="inlineStr">
        <is>
          <t>Tiburón / Delfín Bicolor de Frambuesa Azul y Espuma Marshmallow (Two-Tone Blue Raspberry &amp; Marshmallow Foam Sea-Jelly)</t>
        </is>
      </c>
      <c r="C35" s="22" t="inlineStr">
        <is>
          <t>Bloque 4 · Multicapa, bicolor, espumadas y núcleos líquidos</t>
        </is>
      </c>
      <c r="D35" t="inlineStr">
        <is>
          <t>4</t>
        </is>
      </c>
      <c r="E35" t="inlineStr">
        <is>
          <t>G</t>
        </is>
      </c>
      <c r="F35" t="n">
        <v>6</v>
      </c>
      <c r="G35" t="inlineStr">
        <is>
          <t>pieza</t>
        </is>
      </c>
      <c r="H35" s="16" t="n">
        <v>100</v>
      </c>
      <c r="I35" s="17">
        <f>SUMIF(Ingredientes!$A$5:$A$1063,A35,Ingredientes!$I$5:$I$1063)</f>
        <v/>
      </c>
      <c r="J35" s="17">
        <f>IFERROR(I35/H35,0)</f>
        <v/>
      </c>
      <c r="K35" s="11" t="n">
        <v>0</v>
      </c>
      <c r="L35" s="11" t="n">
        <v>0.02</v>
      </c>
      <c r="M35" s="16" t="n">
        <v>165</v>
      </c>
      <c r="N35" s="16" t="n">
        <v>0.26</v>
      </c>
      <c r="O35" s="17">
        <f>IFERROR((M35/MAX(1,'Mi negocio'!$C$26)+N35)/60*'Mi negocio'!$C$23,0)</f>
        <v/>
      </c>
      <c r="P35" s="17">
        <f>'Mi negocio'!$C$20</f>
        <v/>
      </c>
      <c r="Q35" s="30" t="n">
        <v>42</v>
      </c>
      <c r="R35" s="17">
        <f>Q35*'Mi negocio'!$C$39</f>
        <v/>
      </c>
      <c r="S35" s="31">
        <f>IFERROR(ROUNDDOWN('Mi negocio'!$C$37*24/MAX(1,Q35),0),0)</f>
        <v/>
      </c>
      <c r="T35" s="17">
        <f>J35+K35+L35+O35+P35+R35</f>
        <v/>
      </c>
      <c r="U35" s="27" t="n">
        <v>0.14</v>
      </c>
      <c r="V35" s="32">
        <f>IF(U35="",'Mi negocio'!$C$24,U35)</f>
        <v/>
      </c>
      <c r="W35" s="33">
        <f>IFERROR(T35/(1-V35),0)</f>
        <v/>
      </c>
      <c r="X35" s="6" t="n">
        <v>20</v>
      </c>
      <c r="Y35" s="17">
        <f>W35*MAX(1,X35)</f>
        <v/>
      </c>
      <c r="Z35" s="17">
        <f>IFERROR(CEILING(ROUND(W35*MAX(1,X35)/(1-'Mi negocio'!$C$27),6),'Mi negocio'!$C$25)/MAX(1,X35),0)</f>
        <v/>
      </c>
      <c r="AA35" s="17">
        <f>IFERROR(CEILING(ROUND(W35*MAX(1,X35)/(1-'Mi negocio'!$C$28),6),'Mi negocio'!$C$25)/MAX(1,X35),0)</f>
        <v/>
      </c>
      <c r="AB35" s="17">
        <f>IFERROR(CEILING(ROUND(W35*MAX(1,X35)/(1-'Mi negocio'!$C$29),6),'Mi negocio'!$C$25)/MAX(1,X35),0)</f>
        <v/>
      </c>
      <c r="AC35" s="17">
        <f>IFERROR(CEILING(ROUND(W35*MAX(1,X35)/(1-'Mi negocio'!$C$30),6),'Mi negocio'!$C$25)/MAX(1,X35),0)</f>
        <v/>
      </c>
    </row>
    <row r="36">
      <c r="A36" t="n">
        <v>32</v>
      </c>
      <c r="B36" s="21" t="inlineStr">
        <is>
          <t>Domo con Núcleo Líquido Inyectado de Fresa (Liquid-Center Co-Deposited Strawberry Lava Dome)</t>
        </is>
      </c>
      <c r="C36" s="22" t="inlineStr">
        <is>
          <t>Bloque 4 · Multicapa, bicolor, espumadas y núcleos líquidos</t>
        </is>
      </c>
      <c r="D36" t="inlineStr">
        <is>
          <t>4</t>
        </is>
      </c>
      <c r="E36" t="inlineStr">
        <is>
          <t>H</t>
        </is>
      </c>
      <c r="F36" t="n">
        <v>4</v>
      </c>
      <c r="G36" t="inlineStr">
        <is>
          <t>pieza</t>
        </is>
      </c>
      <c r="H36" s="16" t="n">
        <v>80</v>
      </c>
      <c r="I36" s="17">
        <f>SUMIF(Ingredientes!$A$5:$A$1063,A36,Ingredientes!$I$5:$I$1063)</f>
        <v/>
      </c>
      <c r="J36" s="17">
        <f>IFERROR(I36/H36,0)</f>
        <v/>
      </c>
      <c r="K36" s="11" t="n">
        <v>0</v>
      </c>
      <c r="L36" s="11" t="n">
        <v>0.02</v>
      </c>
      <c r="M36" s="16" t="n">
        <v>150</v>
      </c>
      <c r="N36" s="16" t="n">
        <v>0.2</v>
      </c>
      <c r="O36" s="17">
        <f>IFERROR((M36/MAX(1,'Mi negocio'!$C$26)+N36)/60*'Mi negocio'!$C$23,0)</f>
        <v/>
      </c>
      <c r="P36" s="17">
        <f>'Mi negocio'!$C$20</f>
        <v/>
      </c>
      <c r="Q36" s="30" t="n">
        <v>42</v>
      </c>
      <c r="R36" s="17">
        <f>Q36*'Mi negocio'!$C$39</f>
        <v/>
      </c>
      <c r="S36" s="31">
        <f>IFERROR(ROUNDDOWN('Mi negocio'!$C$37*24/MAX(1,Q36),0),0)</f>
        <v/>
      </c>
      <c r="T36" s="17">
        <f>J36+K36+L36+O36+P36+R36</f>
        <v/>
      </c>
      <c r="U36" s="27" t="n"/>
      <c r="V36" s="32">
        <f>IF(U36="",'Mi negocio'!$C$24,U36)</f>
        <v/>
      </c>
      <c r="W36" s="33">
        <f>IFERROR(T36/(1-V36),0)</f>
        <v/>
      </c>
      <c r="X36" s="6" t="n">
        <v>17</v>
      </c>
      <c r="Y36" s="17">
        <f>W36*MAX(1,X36)</f>
        <v/>
      </c>
      <c r="Z36" s="17">
        <f>IFERROR(CEILING(ROUND(W36*MAX(1,X36)/(1-'Mi negocio'!$C$27),6),'Mi negocio'!$C$25)/MAX(1,X36),0)</f>
        <v/>
      </c>
      <c r="AA36" s="17">
        <f>IFERROR(CEILING(ROUND(W36*MAX(1,X36)/(1-'Mi negocio'!$C$28),6),'Mi negocio'!$C$25)/MAX(1,X36),0)</f>
        <v/>
      </c>
      <c r="AB36" s="17">
        <f>IFERROR(CEILING(ROUND(W36*MAX(1,X36)/(1-'Mi negocio'!$C$29),6),'Mi negocio'!$C$25)/MAX(1,X36),0)</f>
        <v/>
      </c>
      <c r="AC36" s="17">
        <f>IFERROR(CEILING(ROUND(W36*MAX(1,X36)/(1-'Mi negocio'!$C$30),6),'Mi negocio'!$C$25)/MAX(1,X36),0)</f>
        <v/>
      </c>
    </row>
    <row r="37">
      <c r="A37" t="n">
        <v>33</v>
      </c>
      <c r="B37" s="21" t="inlineStr">
        <is>
          <t>Sándwich Tricapa Napolitano de Fresa, Vainilla y Chocolate (Neapolitan Tri-Layer Marshmallow &amp; Gummy Sandwich)</t>
        </is>
      </c>
      <c r="C37" s="22" t="inlineStr">
        <is>
          <t>Bloque 4 · Multicapa, bicolor, espumadas y núcleos líquidos</t>
        </is>
      </c>
      <c r="D37" t="inlineStr">
        <is>
          <t>4</t>
        </is>
      </c>
      <c r="E37" t="inlineStr">
        <is>
          <t>G</t>
        </is>
      </c>
      <c r="F37" t="n">
        <v>5</v>
      </c>
      <c r="G37" t="inlineStr">
        <is>
          <t>pieza</t>
        </is>
      </c>
      <c r="H37" s="16" t="n">
        <v>150</v>
      </c>
      <c r="I37" s="17">
        <f>SUMIF(Ingredientes!$A$5:$A$1063,A37,Ingredientes!$I$5:$I$1063)</f>
        <v/>
      </c>
      <c r="J37" s="17">
        <f>IFERROR(I37/H37,0)</f>
        <v/>
      </c>
      <c r="K37" s="11" t="n">
        <v>0</v>
      </c>
      <c r="L37" s="11" t="n">
        <v>0.02</v>
      </c>
      <c r="M37" s="16" t="n">
        <v>150</v>
      </c>
      <c r="N37" s="16" t="n">
        <v>0.2</v>
      </c>
      <c r="O37" s="17">
        <f>IFERROR((M37/MAX(1,'Mi negocio'!$C$26)+N37)/60*'Mi negocio'!$C$23,0)</f>
        <v/>
      </c>
      <c r="P37" s="17">
        <f>'Mi negocio'!$C$20</f>
        <v/>
      </c>
      <c r="Q37" s="30" t="n">
        <v>40</v>
      </c>
      <c r="R37" s="17">
        <f>Q37*'Mi negocio'!$C$39</f>
        <v/>
      </c>
      <c r="S37" s="31">
        <f>IFERROR(ROUNDDOWN('Mi negocio'!$C$37*24/MAX(1,Q37),0),0)</f>
        <v/>
      </c>
      <c r="T37" s="17">
        <f>J37+K37+L37+O37+P37+R37</f>
        <v/>
      </c>
      <c r="U37" s="27" t="n"/>
      <c r="V37" s="32">
        <f>IF(U37="",'Mi negocio'!$C$24,U37)</f>
        <v/>
      </c>
      <c r="W37" s="33">
        <f>IFERROR(T37/(1-V37),0)</f>
        <v/>
      </c>
      <c r="X37" s="6" t="n">
        <v>17</v>
      </c>
      <c r="Y37" s="17">
        <f>W37*MAX(1,X37)</f>
        <v/>
      </c>
      <c r="Z37" s="17">
        <f>IFERROR(CEILING(ROUND(W37*MAX(1,X37)/(1-'Mi negocio'!$C$27),6),'Mi negocio'!$C$25)/MAX(1,X37),0)</f>
        <v/>
      </c>
      <c r="AA37" s="17">
        <f>IFERROR(CEILING(ROUND(W37*MAX(1,X37)/(1-'Mi negocio'!$C$28),6),'Mi negocio'!$C$25)/MAX(1,X37),0)</f>
        <v/>
      </c>
      <c r="AB37" s="17">
        <f>IFERROR(CEILING(ROUND(W37*MAX(1,X37)/(1-'Mi negocio'!$C$29),6),'Mi negocio'!$C$25)/MAX(1,X37),0)</f>
        <v/>
      </c>
      <c r="AC37" s="17">
        <f>IFERROR(CEILING(ROUND(W37*MAX(1,X37)/(1-'Mi negocio'!$C$30),6),'Mi negocio'!$C$25)/MAX(1,X37),0)</f>
        <v/>
      </c>
    </row>
    <row r="38">
      <c r="A38" t="n">
        <v>34</v>
      </c>
      <c r="B38" s="21" t="inlineStr">
        <is>
          <t>Perla Encapsulada con Esfera de Isomalt y Núcleo Semilíquido (Suspended Geode Pearl with Semi-Liquid Core)</t>
        </is>
      </c>
      <c r="C38" s="22" t="inlineStr">
        <is>
          <t>Bloque 4 · Multicapa, bicolor, espumadas y núcleos líquidos</t>
        </is>
      </c>
      <c r="D38" t="inlineStr">
        <is>
          <t>4</t>
        </is>
      </c>
      <c r="E38" t="inlineStr">
        <is>
          <t>G</t>
        </is>
      </c>
      <c r="F38" t="n">
        <v>4</v>
      </c>
      <c r="G38" t="inlineStr">
        <is>
          <t>pieza</t>
        </is>
      </c>
      <c r="H38" s="16" t="n">
        <v>100</v>
      </c>
      <c r="I38" s="17">
        <f>SUMIF(Ingredientes!$A$5:$A$1063,A38,Ingredientes!$I$5:$I$1063)</f>
        <v/>
      </c>
      <c r="J38" s="17">
        <f>IFERROR(I38/H38,0)</f>
        <v/>
      </c>
      <c r="K38" s="11" t="n">
        <v>0</v>
      </c>
      <c r="L38" s="11" t="n">
        <v>0.02</v>
      </c>
      <c r="M38" s="16" t="n">
        <v>185</v>
      </c>
      <c r="N38" s="16" t="n">
        <v>0.45</v>
      </c>
      <c r="O38" s="17">
        <f>IFERROR((M38/MAX(1,'Mi negocio'!$C$26)+N38)/60*'Mi negocio'!$C$23,0)</f>
        <v/>
      </c>
      <c r="P38" s="17">
        <f>'Mi negocio'!$C$20</f>
        <v/>
      </c>
      <c r="Q38" s="30" t="n">
        <v>48</v>
      </c>
      <c r="R38" s="17">
        <f>Q38*'Mi negocio'!$C$39</f>
        <v/>
      </c>
      <c r="S38" s="31">
        <f>IFERROR(ROUNDDOWN('Mi negocio'!$C$37*24/MAX(1,Q38),0),0)</f>
        <v/>
      </c>
      <c r="T38" s="17">
        <f>J38+K38+L38+O38+P38+R38</f>
        <v/>
      </c>
      <c r="U38" s="27" t="n">
        <v>0.18</v>
      </c>
      <c r="V38" s="32">
        <f>IF(U38="",'Mi negocio'!$C$24,U38)</f>
        <v/>
      </c>
      <c r="W38" s="33">
        <f>IFERROR(T38/(1-V38),0)</f>
        <v/>
      </c>
      <c r="X38" s="6" t="n">
        <v>20</v>
      </c>
      <c r="Y38" s="17">
        <f>W38*MAX(1,X38)</f>
        <v/>
      </c>
      <c r="Z38" s="17">
        <f>IFERROR(CEILING(ROUND(W38*MAX(1,X38)/(1-'Mi negocio'!$C$27),6),'Mi negocio'!$C$25)/MAX(1,X38),0)</f>
        <v/>
      </c>
      <c r="AA38" s="17">
        <f>IFERROR(CEILING(ROUND(W38*MAX(1,X38)/(1-'Mi negocio'!$C$28),6),'Mi negocio'!$C$25)/MAX(1,X38),0)</f>
        <v/>
      </c>
      <c r="AB38" s="17">
        <f>IFERROR(CEILING(ROUND(W38*MAX(1,X38)/(1-'Mi negocio'!$C$29),6),'Mi negocio'!$C$25)/MAX(1,X38),0)</f>
        <v/>
      </c>
      <c r="AC38" s="17">
        <f>IFERROR(CEILING(ROUND(W38*MAX(1,X38)/(1-'Mi negocio'!$C$30),6),'Mi negocio'!$C$25)/MAX(1,X38),0)</f>
        <v/>
      </c>
    </row>
    <row r="39">
      <c r="A39" t="n">
        <v>35</v>
      </c>
      <c r="B39" s="21" t="inlineStr">
        <is>
          <t>Trenza Helicoidal Bicolor de Mango y Frambuesa en Extrusión Doble (Double-Helix Extruded Mango &amp; Raspberry Twist)</t>
        </is>
      </c>
      <c r="C39" s="22" t="inlineStr">
        <is>
          <t>Bloque 4 · Multicapa, bicolor, espumadas y núcleos líquidos</t>
        </is>
      </c>
      <c r="D39" t="inlineStr">
        <is>
          <t>4</t>
        </is>
      </c>
      <c r="E39" t="inlineStr">
        <is>
          <t>G</t>
        </is>
      </c>
      <c r="F39" t="n">
        <v>6</v>
      </c>
      <c r="G39" t="inlineStr">
        <is>
          <t>pieza</t>
        </is>
      </c>
      <c r="H39" s="16" t="n">
        <v>80</v>
      </c>
      <c r="I39" s="17">
        <f>SUMIF(Ingredientes!$A$5:$A$1063,A39,Ingredientes!$I$5:$I$1063)</f>
        <v/>
      </c>
      <c r="J39" s="17">
        <f>IFERROR(I39/H39,0)</f>
        <v/>
      </c>
      <c r="K39" s="11" t="n">
        <v>0</v>
      </c>
      <c r="L39" s="11" t="n">
        <v>0.02</v>
      </c>
      <c r="M39" s="16" t="n">
        <v>150</v>
      </c>
      <c r="N39" s="16" t="n">
        <v>0.2</v>
      </c>
      <c r="O39" s="17">
        <f>IFERROR((M39/MAX(1,'Mi negocio'!$C$26)+N39)/60*'Mi negocio'!$C$23,0)</f>
        <v/>
      </c>
      <c r="P39" s="17">
        <f>'Mi negocio'!$C$20</f>
        <v/>
      </c>
      <c r="Q39" s="30" t="n">
        <v>42</v>
      </c>
      <c r="R39" s="17">
        <f>Q39*'Mi negocio'!$C$39</f>
        <v/>
      </c>
      <c r="S39" s="31">
        <f>IFERROR(ROUNDDOWN('Mi negocio'!$C$37*24/MAX(1,Q39),0),0)</f>
        <v/>
      </c>
      <c r="T39" s="17">
        <f>J39+K39+L39+O39+P39+R39</f>
        <v/>
      </c>
      <c r="U39" s="27" t="n">
        <v>0.15</v>
      </c>
      <c r="V39" s="32">
        <f>IF(U39="",'Mi negocio'!$C$24,U39)</f>
        <v/>
      </c>
      <c r="W39" s="33">
        <f>IFERROR(T39/(1-V39),0)</f>
        <v/>
      </c>
      <c r="X39" s="6" t="n">
        <v>17</v>
      </c>
      <c r="Y39" s="17">
        <f>W39*MAX(1,X39)</f>
        <v/>
      </c>
      <c r="Z39" s="17">
        <f>IFERROR(CEILING(ROUND(W39*MAX(1,X39)/(1-'Mi negocio'!$C$27),6),'Mi negocio'!$C$25)/MAX(1,X39),0)</f>
        <v/>
      </c>
      <c r="AA39" s="17">
        <f>IFERROR(CEILING(ROUND(W39*MAX(1,X39)/(1-'Mi negocio'!$C$28),6),'Mi negocio'!$C$25)/MAX(1,X39),0)</f>
        <v/>
      </c>
      <c r="AB39" s="17">
        <f>IFERROR(CEILING(ROUND(W39*MAX(1,X39)/(1-'Mi negocio'!$C$29),6),'Mi negocio'!$C$25)/MAX(1,X39),0)</f>
        <v/>
      </c>
      <c r="AC39" s="17">
        <f>IFERROR(CEILING(ROUND(W39*MAX(1,X39)/(1-'Mi negocio'!$C$30),6),'Mi negocio'!$C$25)/MAX(1,X39),0)</f>
        <v/>
      </c>
    </row>
    <row r="40">
      <c r="A40" t="n">
        <v>36</v>
      </c>
      <c r="B40" s="21" t="inlineStr">
        <is>
          <t>Huevo Frito Clásico de Yema Cítrica y Clara Marshmallow (Sunny-Side Up Egg: Citrus Gel &amp; Vanilla Foam)</t>
        </is>
      </c>
      <c r="C40" s="22" t="inlineStr">
        <is>
          <t>Bloque 4 · Multicapa, bicolor, espumadas y núcleos líquidos</t>
        </is>
      </c>
      <c r="D40" t="inlineStr">
        <is>
          <t>4</t>
        </is>
      </c>
      <c r="E40" t="inlineStr">
        <is>
          <t>G</t>
        </is>
      </c>
      <c r="F40" t="n">
        <v>6</v>
      </c>
      <c r="G40" t="inlineStr">
        <is>
          <t>pieza</t>
        </is>
      </c>
      <c r="H40" s="16" t="n">
        <v>90</v>
      </c>
      <c r="I40" s="17">
        <f>SUMIF(Ingredientes!$A$5:$A$1063,A40,Ingredientes!$I$5:$I$1063)</f>
        <v/>
      </c>
      <c r="J40" s="17">
        <f>IFERROR(I40/H40,0)</f>
        <v/>
      </c>
      <c r="K40" s="11" t="n">
        <v>0</v>
      </c>
      <c r="L40" s="11" t="n">
        <v>0.02</v>
      </c>
      <c r="M40" s="16" t="n">
        <v>170</v>
      </c>
      <c r="N40" s="16" t="n">
        <v>0.34</v>
      </c>
      <c r="O40" s="17">
        <f>IFERROR((M40/MAX(1,'Mi negocio'!$C$26)+N40)/60*'Mi negocio'!$C$23,0)</f>
        <v/>
      </c>
      <c r="P40" s="17">
        <f>'Mi negocio'!$C$20</f>
        <v/>
      </c>
      <c r="Q40" s="30" t="n">
        <v>44</v>
      </c>
      <c r="R40" s="17">
        <f>Q40*'Mi negocio'!$C$39</f>
        <v/>
      </c>
      <c r="S40" s="31">
        <f>IFERROR(ROUNDDOWN('Mi negocio'!$C$37*24/MAX(1,Q40),0),0)</f>
        <v/>
      </c>
      <c r="T40" s="17">
        <f>J40+K40+L40+O40+P40+R40</f>
        <v/>
      </c>
      <c r="U40" s="27" t="n">
        <v>0.16</v>
      </c>
      <c r="V40" s="32">
        <f>IF(U40="",'Mi negocio'!$C$24,U40)</f>
        <v/>
      </c>
      <c r="W40" s="33">
        <f>IFERROR(T40/(1-V40),0)</f>
        <v/>
      </c>
      <c r="X40" s="6" t="n">
        <v>18</v>
      </c>
      <c r="Y40" s="17">
        <f>W40*MAX(1,X40)</f>
        <v/>
      </c>
      <c r="Z40" s="17">
        <f>IFERROR(CEILING(ROUND(W40*MAX(1,X40)/(1-'Mi negocio'!$C$27),6),'Mi negocio'!$C$25)/MAX(1,X40),0)</f>
        <v/>
      </c>
      <c r="AA40" s="17">
        <f>IFERROR(CEILING(ROUND(W40*MAX(1,X40)/(1-'Mi negocio'!$C$28),6),'Mi negocio'!$C$25)/MAX(1,X40),0)</f>
        <v/>
      </c>
      <c r="AB40" s="17">
        <f>IFERROR(CEILING(ROUND(W40*MAX(1,X40)/(1-'Mi negocio'!$C$29),6),'Mi negocio'!$C$25)/MAX(1,X40),0)</f>
        <v/>
      </c>
      <c r="AC40" s="17">
        <f>IFERROR(CEILING(ROUND(W40*MAX(1,X40)/(1-'Mi negocio'!$C$30),6),'Mi negocio'!$C$25)/MAX(1,X40),0)</f>
        <v/>
      </c>
    </row>
    <row r="41">
      <c r="A41" t="n">
        <v>37</v>
      </c>
      <c r="B41" s="21" t="inlineStr">
        <is>
          <t>Ojo Eyeball Sangriento con Núcleo Líquido de Cereza Ácida (Spooky Eyeball with Sour Cherry Lava Core)</t>
        </is>
      </c>
      <c r="C41" s="22" t="inlineStr">
        <is>
          <t>Bloque 4 · Multicapa, bicolor, espumadas y núcleos líquidos</t>
        </is>
      </c>
      <c r="D41" t="inlineStr">
        <is>
          <t>4</t>
        </is>
      </c>
      <c r="E41" t="inlineStr">
        <is>
          <t>H</t>
        </is>
      </c>
      <c r="F41" t="n">
        <v>4</v>
      </c>
      <c r="G41" t="inlineStr">
        <is>
          <t>pieza</t>
        </is>
      </c>
      <c r="H41" s="16" t="n">
        <v>70</v>
      </c>
      <c r="I41" s="17">
        <f>SUMIF(Ingredientes!$A$5:$A$1063,A41,Ingredientes!$I$5:$I$1063)</f>
        <v/>
      </c>
      <c r="J41" s="17">
        <f>IFERROR(I41/H41,0)</f>
        <v/>
      </c>
      <c r="K41" s="11" t="n">
        <v>0</v>
      </c>
      <c r="L41" s="11" t="n">
        <v>0.02</v>
      </c>
      <c r="M41" s="16" t="n">
        <v>160</v>
      </c>
      <c r="N41" s="16" t="n">
        <v>0.38</v>
      </c>
      <c r="O41" s="17">
        <f>IFERROR((M41/MAX(1,'Mi negocio'!$C$26)+N41)/60*'Mi negocio'!$C$23,0)</f>
        <v/>
      </c>
      <c r="P41" s="17">
        <f>'Mi negocio'!$C$20</f>
        <v/>
      </c>
      <c r="Q41" s="30" t="n">
        <v>40</v>
      </c>
      <c r="R41" s="17">
        <f>Q41*'Mi negocio'!$C$39</f>
        <v/>
      </c>
      <c r="S41" s="31">
        <f>IFERROR(ROUNDDOWN('Mi negocio'!$C$37*24/MAX(1,Q41),0),0)</f>
        <v/>
      </c>
      <c r="T41" s="17">
        <f>J41+K41+L41+O41+P41+R41</f>
        <v/>
      </c>
      <c r="U41" s="27" t="n">
        <v>0.16</v>
      </c>
      <c r="V41" s="32">
        <f>IF(U41="",'Mi negocio'!$C$24,U41)</f>
        <v/>
      </c>
      <c r="W41" s="33">
        <f>IFERROR(T41/(1-V41),0)</f>
        <v/>
      </c>
      <c r="X41" s="6" t="n">
        <v>14</v>
      </c>
      <c r="Y41" s="17">
        <f>W41*MAX(1,X41)</f>
        <v/>
      </c>
      <c r="Z41" s="17">
        <f>IFERROR(CEILING(ROUND(W41*MAX(1,X41)/(1-'Mi negocio'!$C$27),6),'Mi negocio'!$C$25)/MAX(1,X41),0)</f>
        <v/>
      </c>
      <c r="AA41" s="17">
        <f>IFERROR(CEILING(ROUND(W41*MAX(1,X41)/(1-'Mi negocio'!$C$28),6),'Mi negocio'!$C$25)/MAX(1,X41),0)</f>
        <v/>
      </c>
      <c r="AB41" s="17">
        <f>IFERROR(CEILING(ROUND(W41*MAX(1,X41)/(1-'Mi negocio'!$C$29),6),'Mi negocio'!$C$25)/MAX(1,X41),0)</f>
        <v/>
      </c>
      <c r="AC41" s="17">
        <f>IFERROR(CEILING(ROUND(W41*MAX(1,X41)/(1-'Mi negocio'!$C$30),6),'Mi negocio'!$C$25)/MAX(1,X41),0)</f>
        <v/>
      </c>
    </row>
    <row r="42">
      <c r="A42" t="n">
        <v>38</v>
      </c>
      <c r="B42" s="21" t="inlineStr">
        <is>
          <t>Gota Francesa Rellena de Confit Frutal en Pectina Pura (Pâte de Fruits Framboise Fourrée au Confit de Maracuyá)</t>
        </is>
      </c>
      <c r="C42" s="22" t="inlineStr">
        <is>
          <t>Bloque 4 · Multicapa, bicolor, espumadas y núcleos líquidos</t>
        </is>
      </c>
      <c r="D42" t="inlineStr">
        <is>
          <t>4</t>
        </is>
      </c>
      <c r="E42" t="inlineStr">
        <is>
          <t>P</t>
        </is>
      </c>
      <c r="F42" t="n">
        <v>5</v>
      </c>
      <c r="G42" t="inlineStr">
        <is>
          <t>pieza</t>
        </is>
      </c>
      <c r="H42" s="16" t="n">
        <v>100</v>
      </c>
      <c r="I42" s="17">
        <f>SUMIF(Ingredientes!$A$5:$A$1063,A42,Ingredientes!$I$5:$I$1063)</f>
        <v/>
      </c>
      <c r="J42" s="17">
        <f>IFERROR(I42/H42,0)</f>
        <v/>
      </c>
      <c r="K42" s="11" t="n">
        <v>0</v>
      </c>
      <c r="L42" s="11" t="n">
        <v>0.02</v>
      </c>
      <c r="M42" s="16" t="n">
        <v>150</v>
      </c>
      <c r="N42" s="16" t="n">
        <v>0.2</v>
      </c>
      <c r="O42" s="17">
        <f>IFERROR((M42/MAX(1,'Mi negocio'!$C$26)+N42)/60*'Mi negocio'!$C$23,0)</f>
        <v/>
      </c>
      <c r="P42" s="17">
        <f>'Mi negocio'!$C$20</f>
        <v/>
      </c>
      <c r="Q42" s="30" t="n">
        <v>40</v>
      </c>
      <c r="R42" s="17">
        <f>Q42*'Mi negocio'!$C$39</f>
        <v/>
      </c>
      <c r="S42" s="31">
        <f>IFERROR(ROUNDDOWN('Mi negocio'!$C$37*24/MAX(1,Q42),0),0)</f>
        <v/>
      </c>
      <c r="T42" s="17">
        <f>J42+K42+L42+O42+P42+R42</f>
        <v/>
      </c>
      <c r="U42" s="27" t="n"/>
      <c r="V42" s="32">
        <f>IF(U42="",'Mi negocio'!$C$24,U42)</f>
        <v/>
      </c>
      <c r="W42" s="33">
        <f>IFERROR(T42/(1-V42),0)</f>
        <v/>
      </c>
      <c r="X42" s="6" t="n">
        <v>20</v>
      </c>
      <c r="Y42" s="17">
        <f>W42*MAX(1,X42)</f>
        <v/>
      </c>
      <c r="Z42" s="17">
        <f>IFERROR(CEILING(ROUND(W42*MAX(1,X42)/(1-'Mi negocio'!$C$27),6),'Mi negocio'!$C$25)/MAX(1,X42),0)</f>
        <v/>
      </c>
      <c r="AA42" s="17">
        <f>IFERROR(CEILING(ROUND(W42*MAX(1,X42)/(1-'Mi negocio'!$C$28),6),'Mi negocio'!$C$25)/MAX(1,X42),0)</f>
        <v/>
      </c>
      <c r="AB42" s="17">
        <f>IFERROR(CEILING(ROUND(W42*MAX(1,X42)/(1-'Mi negocio'!$C$29),6),'Mi negocio'!$C$25)/MAX(1,X42),0)</f>
        <v/>
      </c>
      <c r="AC42" s="17">
        <f>IFERROR(CEILING(ROUND(W42*MAX(1,X42)/(1-'Mi negocio'!$C$30),6),'Mi negocio'!$C$25)/MAX(1,X42),0)</f>
        <v/>
      </c>
    </row>
    <row r="43">
      <c r="A43" t="n">
        <v>39</v>
      </c>
      <c r="B43" s="21" t="inlineStr">
        <is>
          <t>Bloque Bicolor de Melocotón y Mora con Doble Viscosidad (Dual-Viscosity Peach &amp; Blackberry Layered Brick)</t>
        </is>
      </c>
      <c r="C43" s="22" t="inlineStr">
        <is>
          <t>Bloque 4 · Multicapa, bicolor, espumadas y núcleos líquidos</t>
        </is>
      </c>
      <c r="D43" t="inlineStr">
        <is>
          <t>4</t>
        </is>
      </c>
      <c r="E43" t="inlineStr">
        <is>
          <t>G</t>
        </is>
      </c>
      <c r="F43" t="n">
        <v>6</v>
      </c>
      <c r="G43" t="inlineStr">
        <is>
          <t>pieza</t>
        </is>
      </c>
      <c r="H43" s="16" t="n">
        <v>100</v>
      </c>
      <c r="I43" s="17">
        <f>SUMIF(Ingredientes!$A$5:$A$1063,A43,Ingredientes!$I$5:$I$1063)</f>
        <v/>
      </c>
      <c r="J43" s="17">
        <f>IFERROR(I43/H43,0)</f>
        <v/>
      </c>
      <c r="K43" s="11" t="n">
        <v>0</v>
      </c>
      <c r="L43" s="11" t="n">
        <v>0.02</v>
      </c>
      <c r="M43" s="16" t="n">
        <v>175</v>
      </c>
      <c r="N43" s="16" t="n">
        <v>0.3</v>
      </c>
      <c r="O43" s="17">
        <f>IFERROR((M43/MAX(1,'Mi negocio'!$C$26)+N43)/60*'Mi negocio'!$C$23,0)</f>
        <v/>
      </c>
      <c r="P43" s="17">
        <f>'Mi negocio'!$C$20</f>
        <v/>
      </c>
      <c r="Q43" s="30" t="n">
        <v>44</v>
      </c>
      <c r="R43" s="17">
        <f>Q43*'Mi negocio'!$C$39</f>
        <v/>
      </c>
      <c r="S43" s="31">
        <f>IFERROR(ROUNDDOWN('Mi negocio'!$C$37*24/MAX(1,Q43),0),0)</f>
        <v/>
      </c>
      <c r="T43" s="17">
        <f>J43+K43+L43+O43+P43+R43</f>
        <v/>
      </c>
      <c r="U43" s="27" t="n">
        <v>0.15</v>
      </c>
      <c r="V43" s="32">
        <f>IF(U43="",'Mi negocio'!$C$24,U43)</f>
        <v/>
      </c>
      <c r="W43" s="33">
        <f>IFERROR(T43/(1-V43),0)</f>
        <v/>
      </c>
      <c r="X43" s="6" t="n">
        <v>20</v>
      </c>
      <c r="Y43" s="17">
        <f>W43*MAX(1,X43)</f>
        <v/>
      </c>
      <c r="Z43" s="17">
        <f>IFERROR(CEILING(ROUND(W43*MAX(1,X43)/(1-'Mi negocio'!$C$27),6),'Mi negocio'!$C$25)/MAX(1,X43),0)</f>
        <v/>
      </c>
      <c r="AA43" s="17">
        <f>IFERROR(CEILING(ROUND(W43*MAX(1,X43)/(1-'Mi negocio'!$C$28),6),'Mi negocio'!$C$25)/MAX(1,X43),0)</f>
        <v/>
      </c>
      <c r="AB43" s="17">
        <f>IFERROR(CEILING(ROUND(W43*MAX(1,X43)/(1-'Mi negocio'!$C$29),6),'Mi negocio'!$C$25)/MAX(1,X43),0)</f>
        <v/>
      </c>
      <c r="AC43" s="17">
        <f>IFERROR(CEILING(ROUND(W43*MAX(1,X43)/(1-'Mi negocio'!$C$30),6),'Mi negocio'!$C$25)/MAX(1,X43),0)</f>
        <v/>
      </c>
    </row>
    <row r="44">
      <c r="A44" t="n">
        <v>40</v>
      </c>
      <c r="B44" s="21" t="inlineStr">
        <is>
          <t>Nube Cítrica de Lima-Limón en Espuma Suave con Base Elástica (Marshmallow Cloud &amp; Citrus Jelly Base)</t>
        </is>
      </c>
      <c r="C44" s="22" t="inlineStr">
        <is>
          <t>Bloque 4 · Multicapa, bicolor, espumadas y núcleos líquidos</t>
        </is>
      </c>
      <c r="D44" t="inlineStr">
        <is>
          <t>4</t>
        </is>
      </c>
      <c r="E44" t="inlineStr">
        <is>
          <t>G</t>
        </is>
      </c>
      <c r="F44" t="n">
        <v>5</v>
      </c>
      <c r="G44" t="inlineStr">
        <is>
          <t>pieza</t>
        </is>
      </c>
      <c r="H44" s="16" t="n">
        <v>100</v>
      </c>
      <c r="I44" s="17">
        <f>SUMIF(Ingredientes!$A$5:$A$1063,A44,Ingredientes!$I$5:$I$1063)</f>
        <v/>
      </c>
      <c r="J44" s="17">
        <f>IFERROR(I44/H44,0)</f>
        <v/>
      </c>
      <c r="K44" s="11" t="n">
        <v>0</v>
      </c>
      <c r="L44" s="11" t="n">
        <v>0.02</v>
      </c>
      <c r="M44" s="16" t="n">
        <v>165</v>
      </c>
      <c r="N44" s="16" t="n">
        <v>0.2</v>
      </c>
      <c r="O44" s="17">
        <f>IFERROR((M44/MAX(1,'Mi negocio'!$C$26)+N44)/60*'Mi negocio'!$C$23,0)</f>
        <v/>
      </c>
      <c r="P44" s="17">
        <f>'Mi negocio'!$C$20</f>
        <v/>
      </c>
      <c r="Q44" s="30" t="n">
        <v>42</v>
      </c>
      <c r="R44" s="17">
        <f>Q44*'Mi negocio'!$C$39</f>
        <v/>
      </c>
      <c r="S44" s="31">
        <f>IFERROR(ROUNDDOWN('Mi negocio'!$C$37*24/MAX(1,Q44),0),0)</f>
        <v/>
      </c>
      <c r="T44" s="17">
        <f>J44+K44+L44+O44+P44+R44</f>
        <v/>
      </c>
      <c r="U44" s="27" t="n">
        <v>0.14</v>
      </c>
      <c r="V44" s="32">
        <f>IF(U44="",'Mi negocio'!$C$24,U44)</f>
        <v/>
      </c>
      <c r="W44" s="33">
        <f>IFERROR(T44/(1-V44),0)</f>
        <v/>
      </c>
      <c r="X44" s="6" t="n">
        <v>20</v>
      </c>
      <c r="Y44" s="17">
        <f>W44*MAX(1,X44)</f>
        <v/>
      </c>
      <c r="Z44" s="17">
        <f>IFERROR(CEILING(ROUND(W44*MAX(1,X44)/(1-'Mi negocio'!$C$27),6),'Mi negocio'!$C$25)/MAX(1,X44),0)</f>
        <v/>
      </c>
      <c r="AA44" s="17">
        <f>IFERROR(CEILING(ROUND(W44*MAX(1,X44)/(1-'Mi negocio'!$C$28),6),'Mi negocio'!$C$25)/MAX(1,X44),0)</f>
        <v/>
      </c>
      <c r="AB44" s="17">
        <f>IFERROR(CEILING(ROUND(W44*MAX(1,X44)/(1-'Mi negocio'!$C$29),6),'Mi negocio'!$C$25)/MAX(1,X44),0)</f>
        <v/>
      </c>
      <c r="AC44" s="17">
        <f>IFERROR(CEILING(ROUND(W44*MAX(1,X44)/(1-'Mi negocio'!$C$30),6),'Mi negocio'!$C$25)/MAX(1,X44),0)</f>
        <v/>
      </c>
    </row>
    <row r="45">
      <c r="A45" t="n">
        <v>41</v>
      </c>
      <c r="B45" s="21" t="inlineStr">
        <is>
          <t>Perla de Gin Tonic con Enebro, Cardamomo y Pepino (Gin &amp; Tonic Botanical Jewel)</t>
        </is>
      </c>
      <c r="C45" s="22" t="inlineStr">
        <is>
          <t>Bloque 5 · Gourmet de autor, coctelería, infusiones y funcionales</t>
        </is>
      </c>
      <c r="D45" t="inlineStr">
        <is>
          <t>5</t>
        </is>
      </c>
      <c r="E45" t="inlineStr">
        <is>
          <t>A</t>
        </is>
      </c>
      <c r="F45" t="n">
        <v>5</v>
      </c>
      <c r="G45" t="inlineStr">
        <is>
          <t>pieza</t>
        </is>
      </c>
      <c r="H45" s="16" t="n">
        <v>125</v>
      </c>
      <c r="I45" s="17">
        <f>SUMIF(Ingredientes!$A$5:$A$1063,A45,Ingredientes!$I$5:$I$1063)</f>
        <v/>
      </c>
      <c r="J45" s="17">
        <f>IFERROR(I45/H45,0)</f>
        <v/>
      </c>
      <c r="K45" s="11" t="n">
        <v>0</v>
      </c>
      <c r="L45" s="11" t="n">
        <v>0.02</v>
      </c>
      <c r="M45" s="16" t="n">
        <v>140</v>
      </c>
      <c r="N45" s="16" t="n">
        <v>0.17</v>
      </c>
      <c r="O45" s="17">
        <f>IFERROR((M45/MAX(1,'Mi negocio'!$C$26)+N45)/60*'Mi negocio'!$C$23,0)</f>
        <v/>
      </c>
      <c r="P45" s="17">
        <f>'Mi negocio'!$C$20</f>
        <v/>
      </c>
      <c r="Q45" s="30" t="n">
        <v>30</v>
      </c>
      <c r="R45" s="17">
        <f>Q45*'Mi negocio'!$C$39</f>
        <v/>
      </c>
      <c r="S45" s="31">
        <f>IFERROR(ROUNDDOWN('Mi negocio'!$C$37*24/MAX(1,Q45),0),0)</f>
        <v/>
      </c>
      <c r="T45" s="17">
        <f>J45+K45+L45+O45+P45+R45</f>
        <v/>
      </c>
      <c r="U45" s="27" t="n"/>
      <c r="V45" s="32">
        <f>IF(U45="",'Mi negocio'!$C$24,U45)</f>
        <v/>
      </c>
      <c r="W45" s="33">
        <f>IFERROR(T45/(1-V45),0)</f>
        <v/>
      </c>
      <c r="X45" s="6" t="n">
        <v>25</v>
      </c>
      <c r="Y45" s="17">
        <f>W45*MAX(1,X45)</f>
        <v/>
      </c>
      <c r="Z45" s="17">
        <f>IFERROR(CEILING(ROUND(W45*MAX(1,X45)/(1-'Mi negocio'!$C$27),6),'Mi negocio'!$C$25)/MAX(1,X45),0)</f>
        <v/>
      </c>
      <c r="AA45" s="17">
        <f>IFERROR(CEILING(ROUND(W45*MAX(1,X45)/(1-'Mi negocio'!$C$28),6),'Mi negocio'!$C$25)/MAX(1,X45),0)</f>
        <v/>
      </c>
      <c r="AB45" s="17">
        <f>IFERROR(CEILING(ROUND(W45*MAX(1,X45)/(1-'Mi negocio'!$C$29),6),'Mi negocio'!$C$25)/MAX(1,X45),0)</f>
        <v/>
      </c>
      <c r="AC45" s="17">
        <f>IFERROR(CEILING(ROUND(W45*MAX(1,X45)/(1-'Mi negocio'!$C$30),6),'Mi negocio'!$C$25)/MAX(1,X45),0)</f>
        <v/>
      </c>
    </row>
    <row r="46">
      <c r="A46" t="n">
        <v>42</v>
      </c>
      <c r="B46" s="21" t="inlineStr">
        <is>
          <t>Confitura de Frambuesa al Vinagre Balsámico Tradicional de Módena DOP (Balsamic Raspberry &amp; Aceto di Modena DOP Pâte de Fruits)</t>
        </is>
      </c>
      <c r="C46" s="22" t="inlineStr">
        <is>
          <t>Bloque 5 · Gourmet de autor, coctelería, infusiones y funcionales</t>
        </is>
      </c>
      <c r="D46" t="inlineStr">
        <is>
          <t>5</t>
        </is>
      </c>
      <c r="E46" t="inlineStr">
        <is>
          <t>P</t>
        </is>
      </c>
      <c r="F46" t="n">
        <v>5</v>
      </c>
      <c r="G46" t="inlineStr">
        <is>
          <t>pieza</t>
        </is>
      </c>
      <c r="H46" s="16" t="n">
        <v>125</v>
      </c>
      <c r="I46" s="17">
        <f>SUMIF(Ingredientes!$A$5:$A$1063,A46,Ingredientes!$I$5:$I$1063)</f>
        <v/>
      </c>
      <c r="J46" s="17">
        <f>IFERROR(I46/H46,0)</f>
        <v/>
      </c>
      <c r="K46" s="11" t="n">
        <v>0</v>
      </c>
      <c r="L46" s="11" t="n">
        <v>0.02</v>
      </c>
      <c r="M46" s="16" t="n">
        <v>125</v>
      </c>
      <c r="N46" s="16" t="n">
        <v>0.17</v>
      </c>
      <c r="O46" s="17">
        <f>IFERROR((M46/MAX(1,'Mi negocio'!$C$26)+N46)/60*'Mi negocio'!$C$23,0)</f>
        <v/>
      </c>
      <c r="P46" s="17">
        <f>'Mi negocio'!$C$20</f>
        <v/>
      </c>
      <c r="Q46" s="30" t="n">
        <v>36</v>
      </c>
      <c r="R46" s="17">
        <f>Q46*'Mi negocio'!$C$39</f>
        <v/>
      </c>
      <c r="S46" s="31">
        <f>IFERROR(ROUNDDOWN('Mi negocio'!$C$37*24/MAX(1,Q46),0),0)</f>
        <v/>
      </c>
      <c r="T46" s="17">
        <f>J46+K46+L46+O46+P46+R46</f>
        <v/>
      </c>
      <c r="U46" s="27" t="n"/>
      <c r="V46" s="32">
        <f>IF(U46="",'Mi negocio'!$C$24,U46)</f>
        <v/>
      </c>
      <c r="W46" s="33">
        <f>IFERROR(T46/(1-V46),0)</f>
        <v/>
      </c>
      <c r="X46" s="6" t="n">
        <v>25</v>
      </c>
      <c r="Y46" s="17">
        <f>W46*MAX(1,X46)</f>
        <v/>
      </c>
      <c r="Z46" s="17">
        <f>IFERROR(CEILING(ROUND(W46*MAX(1,X46)/(1-'Mi negocio'!$C$27),6),'Mi negocio'!$C$25)/MAX(1,X46),0)</f>
        <v/>
      </c>
      <c r="AA46" s="17">
        <f>IFERROR(CEILING(ROUND(W46*MAX(1,X46)/(1-'Mi negocio'!$C$28),6),'Mi negocio'!$C$25)/MAX(1,X46),0)</f>
        <v/>
      </c>
      <c r="AB46" s="17">
        <f>IFERROR(CEILING(ROUND(W46*MAX(1,X46)/(1-'Mi negocio'!$C$29),6),'Mi negocio'!$C$25)/MAX(1,X46),0)</f>
        <v/>
      </c>
      <c r="AC46" s="17">
        <f>IFERROR(CEILING(ROUND(W46*MAX(1,X46)/(1-'Mi negocio'!$C$30),6),'Mi negocio'!$C$25)/MAX(1,X46),0)</f>
        <v/>
      </c>
    </row>
    <row r="47">
      <c r="A47" t="n">
        <v>43</v>
      </c>
      <c r="B47" s="21" t="inlineStr">
        <is>
          <t>Gomita de Cacao Grand Cru y Flor de Sal de Guérande (Pure Dark Chocolate 70% &amp; Fleur de Sel Jelly)</t>
        </is>
      </c>
      <c r="C47" s="22" t="inlineStr">
        <is>
          <t>Bloque 5 · Gourmet de autor, coctelería, infusiones y funcionales</t>
        </is>
      </c>
      <c r="D47" t="inlineStr">
        <is>
          <t>5</t>
        </is>
      </c>
      <c r="E47" t="inlineStr">
        <is>
          <t>G</t>
        </is>
      </c>
      <c r="F47" t="n">
        <v>5</v>
      </c>
      <c r="G47" t="inlineStr">
        <is>
          <t>pieza</t>
        </is>
      </c>
      <c r="H47" s="16" t="n">
        <v>125</v>
      </c>
      <c r="I47" s="17">
        <f>SUMIF(Ingredientes!$A$5:$A$1063,A47,Ingredientes!$I$5:$I$1063)</f>
        <v/>
      </c>
      <c r="J47" s="17">
        <f>IFERROR(I47/H47,0)</f>
        <v/>
      </c>
      <c r="K47" s="11" t="n">
        <v>0</v>
      </c>
      <c r="L47" s="11" t="n">
        <v>0.02</v>
      </c>
      <c r="M47" s="16" t="n">
        <v>125</v>
      </c>
      <c r="N47" s="16" t="n">
        <v>0.17</v>
      </c>
      <c r="O47" s="17">
        <f>IFERROR((M47/MAX(1,'Mi negocio'!$C$26)+N47)/60*'Mi negocio'!$C$23,0)</f>
        <v/>
      </c>
      <c r="P47" s="17">
        <f>'Mi negocio'!$C$20</f>
        <v/>
      </c>
      <c r="Q47" s="30" t="n">
        <v>24</v>
      </c>
      <c r="R47" s="17">
        <f>Q47*'Mi negocio'!$C$39</f>
        <v/>
      </c>
      <c r="S47" s="31">
        <f>IFERROR(ROUNDDOWN('Mi negocio'!$C$37*24/MAX(1,Q47),0),0)</f>
        <v/>
      </c>
      <c r="T47" s="17">
        <f>J47+K47+L47+O47+P47+R47</f>
        <v/>
      </c>
      <c r="U47" s="27" t="n"/>
      <c r="V47" s="32">
        <f>IF(U47="",'Mi negocio'!$C$24,U47)</f>
        <v/>
      </c>
      <c r="W47" s="33">
        <f>IFERROR(T47/(1-V47),0)</f>
        <v/>
      </c>
      <c r="X47" s="6" t="n">
        <v>25</v>
      </c>
      <c r="Y47" s="17">
        <f>W47*MAX(1,X47)</f>
        <v/>
      </c>
      <c r="Z47" s="17">
        <f>IFERROR(CEILING(ROUND(W47*MAX(1,X47)/(1-'Mi negocio'!$C$27),6),'Mi negocio'!$C$25)/MAX(1,X47),0)</f>
        <v/>
      </c>
      <c r="AA47" s="17">
        <f>IFERROR(CEILING(ROUND(W47*MAX(1,X47)/(1-'Mi negocio'!$C$28),6),'Mi negocio'!$C$25)/MAX(1,X47),0)</f>
        <v/>
      </c>
      <c r="AB47" s="17">
        <f>IFERROR(CEILING(ROUND(W47*MAX(1,X47)/(1-'Mi negocio'!$C$29),6),'Mi negocio'!$C$25)/MAX(1,X47),0)</f>
        <v/>
      </c>
      <c r="AC47" s="17">
        <f>IFERROR(CEILING(ROUND(W47*MAX(1,X47)/(1-'Mi negocio'!$C$30),6),'Mi negocio'!$C$25)/MAX(1,X47),0)</f>
        <v/>
      </c>
    </row>
    <row r="48">
      <c r="A48" t="n">
        <v>44</v>
      </c>
      <c r="B48" s="21" t="inlineStr">
        <is>
          <t>Domo de Té Verde Matcha Ceremonial y Limón Yuzu (Uji Matcha &amp; Yuzu Citrus Dome)</t>
        </is>
      </c>
      <c r="C48" s="22" t="inlineStr">
        <is>
          <t>Bloque 5 · Gourmet de autor, coctelería, infusiones y funcionales</t>
        </is>
      </c>
      <c r="D48" t="inlineStr">
        <is>
          <t>5</t>
        </is>
      </c>
      <c r="E48" t="inlineStr">
        <is>
          <t>H</t>
        </is>
      </c>
      <c r="F48" t="n">
        <v>4</v>
      </c>
      <c r="G48" t="inlineStr">
        <is>
          <t>pieza</t>
        </is>
      </c>
      <c r="H48" s="16" t="n">
        <v>140</v>
      </c>
      <c r="I48" s="17">
        <f>SUMIF(Ingredientes!$A$5:$A$1063,A48,Ingredientes!$I$5:$I$1063)</f>
        <v/>
      </c>
      <c r="J48" s="17">
        <f>IFERROR(I48/H48,0)</f>
        <v/>
      </c>
      <c r="K48" s="11" t="n">
        <v>0</v>
      </c>
      <c r="L48" s="11" t="n">
        <v>0.02</v>
      </c>
      <c r="M48" s="16" t="n">
        <v>135</v>
      </c>
      <c r="N48" s="16" t="n">
        <v>0.17</v>
      </c>
      <c r="O48" s="17">
        <f>IFERROR((M48/MAX(1,'Mi negocio'!$C$26)+N48)/60*'Mi negocio'!$C$23,0)</f>
        <v/>
      </c>
      <c r="P48" s="17">
        <f>'Mi negocio'!$C$20</f>
        <v/>
      </c>
      <c r="Q48" s="30" t="n">
        <v>36</v>
      </c>
      <c r="R48" s="17">
        <f>Q48*'Mi negocio'!$C$39</f>
        <v/>
      </c>
      <c r="S48" s="31">
        <f>IFERROR(ROUNDDOWN('Mi negocio'!$C$37*24/MAX(1,Q48),0),0)</f>
        <v/>
      </c>
      <c r="T48" s="17">
        <f>J48+K48+L48+O48+P48+R48</f>
        <v/>
      </c>
      <c r="U48" s="27" t="n"/>
      <c r="V48" s="32">
        <f>IF(U48="",'Mi negocio'!$C$24,U48)</f>
        <v/>
      </c>
      <c r="W48" s="33">
        <f>IFERROR(T48/(1-V48),0)</f>
        <v/>
      </c>
      <c r="X48" s="6" t="n">
        <v>29</v>
      </c>
      <c r="Y48" s="17">
        <f>W48*MAX(1,X48)</f>
        <v/>
      </c>
      <c r="Z48" s="17">
        <f>IFERROR(CEILING(ROUND(W48*MAX(1,X48)/(1-'Mi negocio'!$C$27),6),'Mi negocio'!$C$25)/MAX(1,X48),0)</f>
        <v/>
      </c>
      <c r="AA48" s="17">
        <f>IFERROR(CEILING(ROUND(W48*MAX(1,X48)/(1-'Mi negocio'!$C$28),6),'Mi negocio'!$C$25)/MAX(1,X48),0)</f>
        <v/>
      </c>
      <c r="AB48" s="17">
        <f>IFERROR(CEILING(ROUND(W48*MAX(1,X48)/(1-'Mi negocio'!$C$29),6),'Mi negocio'!$C$25)/MAX(1,X48),0)</f>
        <v/>
      </c>
      <c r="AC48" s="17">
        <f>IFERROR(CEILING(ROUND(W48*MAX(1,X48)/(1-'Mi negocio'!$C$30),6),'Mi negocio'!$C$25)/MAX(1,X48),0)</f>
        <v/>
      </c>
    </row>
    <row r="49">
      <c r="A49" t="n">
        <v>45</v>
      </c>
      <c r="B49" s="21" t="inlineStr">
        <is>
          <t>Joya de Maracuyá, Lavanda Francesa y Miel de Abeja Cruda (Passion Fruit, Lavender &amp; Raw Honey Botanical Gem)</t>
        </is>
      </c>
      <c r="C49" s="22" t="inlineStr">
        <is>
          <t>Bloque 5 · Gourmet de autor, coctelería, infusiones y funcionales</t>
        </is>
      </c>
      <c r="D49" t="inlineStr">
        <is>
          <t>5</t>
        </is>
      </c>
      <c r="E49" t="inlineStr">
        <is>
          <t>G</t>
        </is>
      </c>
      <c r="F49" t="n">
        <v>5</v>
      </c>
      <c r="G49" t="inlineStr">
        <is>
          <t>pieza</t>
        </is>
      </c>
      <c r="H49" s="16" t="n">
        <v>125</v>
      </c>
      <c r="I49" s="17">
        <f>SUMIF(Ingredientes!$A$5:$A$1063,A49,Ingredientes!$I$5:$I$1063)</f>
        <v/>
      </c>
      <c r="J49" s="17">
        <f>IFERROR(I49/H49,0)</f>
        <v/>
      </c>
      <c r="K49" s="11" t="n">
        <v>0</v>
      </c>
      <c r="L49" s="11" t="n">
        <v>0.02</v>
      </c>
      <c r="M49" s="16" t="n">
        <v>125</v>
      </c>
      <c r="N49" s="16" t="n">
        <v>0.17</v>
      </c>
      <c r="O49" s="17">
        <f>IFERROR((M49/MAX(1,'Mi negocio'!$C$26)+N49)/60*'Mi negocio'!$C$23,0)</f>
        <v/>
      </c>
      <c r="P49" s="17">
        <f>'Mi negocio'!$C$20</f>
        <v/>
      </c>
      <c r="Q49" s="30" t="n">
        <v>24</v>
      </c>
      <c r="R49" s="17">
        <f>Q49*'Mi negocio'!$C$39</f>
        <v/>
      </c>
      <c r="S49" s="31">
        <f>IFERROR(ROUNDDOWN('Mi negocio'!$C$37*24/MAX(1,Q49),0),0)</f>
        <v/>
      </c>
      <c r="T49" s="17">
        <f>J49+K49+L49+O49+P49+R49</f>
        <v/>
      </c>
      <c r="U49" s="27" t="n"/>
      <c r="V49" s="32">
        <f>IF(U49="",'Mi negocio'!$C$24,U49)</f>
        <v/>
      </c>
      <c r="W49" s="33">
        <f>IFERROR(T49/(1-V49),0)</f>
        <v/>
      </c>
      <c r="X49" s="6" t="n">
        <v>25</v>
      </c>
      <c r="Y49" s="17">
        <f>W49*MAX(1,X49)</f>
        <v/>
      </c>
      <c r="Z49" s="17">
        <f>IFERROR(CEILING(ROUND(W49*MAX(1,X49)/(1-'Mi negocio'!$C$27),6),'Mi negocio'!$C$25)/MAX(1,X49),0)</f>
        <v/>
      </c>
      <c r="AA49" s="17">
        <f>IFERROR(CEILING(ROUND(W49*MAX(1,X49)/(1-'Mi negocio'!$C$28),6),'Mi negocio'!$C$25)/MAX(1,X49),0)</f>
        <v/>
      </c>
      <c r="AB49" s="17">
        <f>IFERROR(CEILING(ROUND(W49*MAX(1,X49)/(1-'Mi negocio'!$C$29),6),'Mi negocio'!$C$25)/MAX(1,X49),0)</f>
        <v/>
      </c>
      <c r="AC49" s="17">
        <f>IFERROR(CEILING(ROUND(W49*MAX(1,X49)/(1-'Mi negocio'!$C$30),6),'Mi negocio'!$C$25)/MAX(1,X49),0)</f>
        <v/>
      </c>
    </row>
    <row r="50">
      <c r="A50" t="n">
        <v>46</v>
      </c>
      <c r="B50" s="21" t="inlineStr">
        <is>
          <t>Cubo de Cóctel Negroni de Autor con Naranja Amarga (Smoked Negroni &amp; Bitter Orange Cocktail Jelly)</t>
        </is>
      </c>
      <c r="C50" s="22" t="inlineStr">
        <is>
          <t>Bloque 5 · Gourmet de autor, coctelería, infusiones y funcionales</t>
        </is>
      </c>
      <c r="D50" t="inlineStr">
        <is>
          <t>5</t>
        </is>
      </c>
      <c r="E50" t="inlineStr">
        <is>
          <t>A</t>
        </is>
      </c>
      <c r="F50" t="n">
        <v>5</v>
      </c>
      <c r="G50" t="inlineStr">
        <is>
          <t>pieza</t>
        </is>
      </c>
      <c r="H50" s="16" t="n">
        <v>125</v>
      </c>
      <c r="I50" s="17">
        <f>SUMIF(Ingredientes!$A$5:$A$1063,A50,Ingredientes!$I$5:$I$1063)</f>
        <v/>
      </c>
      <c r="J50" s="17">
        <f>IFERROR(I50/H50,0)</f>
        <v/>
      </c>
      <c r="K50" s="11" t="n">
        <v>0</v>
      </c>
      <c r="L50" s="11" t="n">
        <v>0.02</v>
      </c>
      <c r="M50" s="16" t="n">
        <v>125</v>
      </c>
      <c r="N50" s="16" t="n">
        <v>0.17</v>
      </c>
      <c r="O50" s="17">
        <f>IFERROR((M50/MAX(1,'Mi negocio'!$C$26)+N50)/60*'Mi negocio'!$C$23,0)</f>
        <v/>
      </c>
      <c r="P50" s="17">
        <f>'Mi negocio'!$C$20</f>
        <v/>
      </c>
      <c r="Q50" s="30" t="n">
        <v>30</v>
      </c>
      <c r="R50" s="17">
        <f>Q50*'Mi negocio'!$C$39</f>
        <v/>
      </c>
      <c r="S50" s="31">
        <f>IFERROR(ROUNDDOWN('Mi negocio'!$C$37*24/MAX(1,Q50),0),0)</f>
        <v/>
      </c>
      <c r="T50" s="17">
        <f>J50+K50+L50+O50+P50+R50</f>
        <v/>
      </c>
      <c r="U50" s="27" t="n"/>
      <c r="V50" s="32">
        <f>IF(U50="",'Mi negocio'!$C$24,U50)</f>
        <v/>
      </c>
      <c r="W50" s="33">
        <f>IFERROR(T50/(1-V50),0)</f>
        <v/>
      </c>
      <c r="X50" s="6" t="n">
        <v>25</v>
      </c>
      <c r="Y50" s="17">
        <f>W50*MAX(1,X50)</f>
        <v/>
      </c>
      <c r="Z50" s="17">
        <f>IFERROR(CEILING(ROUND(W50*MAX(1,X50)/(1-'Mi negocio'!$C$27),6),'Mi negocio'!$C$25)/MAX(1,X50),0)</f>
        <v/>
      </c>
      <c r="AA50" s="17">
        <f>IFERROR(CEILING(ROUND(W50*MAX(1,X50)/(1-'Mi negocio'!$C$28),6),'Mi negocio'!$C$25)/MAX(1,X50),0)</f>
        <v/>
      </c>
      <c r="AB50" s="17">
        <f>IFERROR(CEILING(ROUND(W50*MAX(1,X50)/(1-'Mi negocio'!$C$29),6),'Mi negocio'!$C$25)/MAX(1,X50),0)</f>
        <v/>
      </c>
      <c r="AC50" s="17">
        <f>IFERROR(CEILING(ROUND(W50*MAX(1,X50)/(1-'Mi negocio'!$C$30),6),'Mi negocio'!$C$25)/MAX(1,X50),0)</f>
        <v/>
      </c>
    </row>
    <row r="51">
      <c r="A51" t="n">
        <v>47</v>
      </c>
      <c r="B51" s="21" t="inlineStr">
        <is>
          <t>Botella de Cerveza Doble IPA con Lúpulo Citra y Miel de Malta (Double IPA Hoppy Craft Beer Gummy)</t>
        </is>
      </c>
      <c r="C51" s="22" t="inlineStr">
        <is>
          <t>Bloque 5 · Gourmet de autor, coctelería, infusiones y funcionales</t>
        </is>
      </c>
      <c r="D51" t="inlineStr">
        <is>
          <t>5</t>
        </is>
      </c>
      <c r="E51" t="inlineStr">
        <is>
          <t>H</t>
        </is>
      </c>
      <c r="F51" t="n">
        <v>5</v>
      </c>
      <c r="G51" t="inlineStr">
        <is>
          <t>pieza</t>
        </is>
      </c>
      <c r="H51" s="16" t="n">
        <v>125</v>
      </c>
      <c r="I51" s="17">
        <f>SUMIF(Ingredientes!$A$5:$A$1063,A51,Ingredientes!$I$5:$I$1063)</f>
        <v/>
      </c>
      <c r="J51" s="17">
        <f>IFERROR(I51/H51,0)</f>
        <v/>
      </c>
      <c r="K51" s="11" t="n">
        <v>0</v>
      </c>
      <c r="L51" s="11" t="n">
        <v>0.02</v>
      </c>
      <c r="M51" s="16" t="n">
        <v>125</v>
      </c>
      <c r="N51" s="16" t="n">
        <v>0.17</v>
      </c>
      <c r="O51" s="17">
        <f>IFERROR((M51/MAX(1,'Mi negocio'!$C$26)+N51)/60*'Mi negocio'!$C$23,0)</f>
        <v/>
      </c>
      <c r="P51" s="17">
        <f>'Mi negocio'!$C$20</f>
        <v/>
      </c>
      <c r="Q51" s="30" t="n">
        <v>36</v>
      </c>
      <c r="R51" s="17">
        <f>Q51*'Mi negocio'!$C$39</f>
        <v/>
      </c>
      <c r="S51" s="31">
        <f>IFERROR(ROUNDDOWN('Mi negocio'!$C$37*24/MAX(1,Q51),0),0)</f>
        <v/>
      </c>
      <c r="T51" s="17">
        <f>J51+K51+L51+O51+P51+R51</f>
        <v/>
      </c>
      <c r="U51" s="27" t="n"/>
      <c r="V51" s="32">
        <f>IF(U51="",'Mi negocio'!$C$24,U51)</f>
        <v/>
      </c>
      <c r="W51" s="33">
        <f>IFERROR(T51/(1-V51),0)</f>
        <v/>
      </c>
      <c r="X51" s="6" t="n">
        <v>25</v>
      </c>
      <c r="Y51" s="17">
        <f>W51*MAX(1,X51)</f>
        <v/>
      </c>
      <c r="Z51" s="17">
        <f>IFERROR(CEILING(ROUND(W51*MAX(1,X51)/(1-'Mi negocio'!$C$27),6),'Mi negocio'!$C$25)/MAX(1,X51),0)</f>
        <v/>
      </c>
      <c r="AA51" s="17">
        <f>IFERROR(CEILING(ROUND(W51*MAX(1,X51)/(1-'Mi negocio'!$C$28),6),'Mi negocio'!$C$25)/MAX(1,X51),0)</f>
        <v/>
      </c>
      <c r="AB51" s="17">
        <f>IFERROR(CEILING(ROUND(W51*MAX(1,X51)/(1-'Mi negocio'!$C$29),6),'Mi negocio'!$C$25)/MAX(1,X51),0)</f>
        <v/>
      </c>
      <c r="AC51" s="17">
        <f>IFERROR(CEILING(ROUND(W51*MAX(1,X51)/(1-'Mi negocio'!$C$30),6),'Mi negocio'!$C$25)/MAX(1,X51),0)</f>
        <v/>
      </c>
    </row>
    <row r="52">
      <c r="A52" t="n">
        <v>48</v>
      </c>
      <c r="B52" s="21" t="inlineStr">
        <is>
          <t>Toffee Masticable de Caramelo Salado con Mantequilla de Bretaña (Salted Butter Caramel Chewy Toffee-Jelly)</t>
        </is>
      </c>
      <c r="C52" s="22" t="inlineStr">
        <is>
          <t>Bloque 5 · Gourmet de autor, coctelería, infusiones y funcionales</t>
        </is>
      </c>
      <c r="D52" t="inlineStr">
        <is>
          <t>5</t>
        </is>
      </c>
      <c r="E52" t="inlineStr">
        <is>
          <t>G</t>
        </is>
      </c>
      <c r="F52" t="n">
        <v>6</v>
      </c>
      <c r="G52" t="inlineStr">
        <is>
          <t>pieza</t>
        </is>
      </c>
      <c r="H52" s="16" t="n">
        <v>100</v>
      </c>
      <c r="I52" s="17">
        <f>SUMIF(Ingredientes!$A$5:$A$1063,A52,Ingredientes!$I$5:$I$1063)</f>
        <v/>
      </c>
      <c r="J52" s="17">
        <f>IFERROR(I52/H52,0)</f>
        <v/>
      </c>
      <c r="K52" s="11" t="n">
        <v>0</v>
      </c>
      <c r="L52" s="11" t="n">
        <v>0.02</v>
      </c>
      <c r="M52" s="16" t="n">
        <v>125</v>
      </c>
      <c r="N52" s="16" t="n">
        <v>0.26</v>
      </c>
      <c r="O52" s="17">
        <f>IFERROR((M52/MAX(1,'Mi negocio'!$C$26)+N52)/60*'Mi negocio'!$C$23,0)</f>
        <v/>
      </c>
      <c r="P52" s="17">
        <f>'Mi negocio'!$C$20</f>
        <v/>
      </c>
      <c r="Q52" s="30" t="n">
        <v>24</v>
      </c>
      <c r="R52" s="17">
        <f>Q52*'Mi negocio'!$C$39</f>
        <v/>
      </c>
      <c r="S52" s="31">
        <f>IFERROR(ROUNDDOWN('Mi negocio'!$C$37*24/MAX(1,Q52),0),0)</f>
        <v/>
      </c>
      <c r="T52" s="17">
        <f>J52+K52+L52+O52+P52+R52</f>
        <v/>
      </c>
      <c r="U52" s="27" t="n"/>
      <c r="V52" s="32">
        <f>IF(U52="",'Mi negocio'!$C$24,U52)</f>
        <v/>
      </c>
      <c r="W52" s="33">
        <f>IFERROR(T52/(1-V52),0)</f>
        <v/>
      </c>
      <c r="X52" s="6" t="n">
        <v>20</v>
      </c>
      <c r="Y52" s="17">
        <f>W52*MAX(1,X52)</f>
        <v/>
      </c>
      <c r="Z52" s="17">
        <f>IFERROR(CEILING(ROUND(W52*MAX(1,X52)/(1-'Mi negocio'!$C$27),6),'Mi negocio'!$C$25)/MAX(1,X52),0)</f>
        <v/>
      </c>
      <c r="AA52" s="17">
        <f>IFERROR(CEILING(ROUND(W52*MAX(1,X52)/(1-'Mi negocio'!$C$28),6),'Mi negocio'!$C$25)/MAX(1,X52),0)</f>
        <v/>
      </c>
      <c r="AB52" s="17">
        <f>IFERROR(CEILING(ROUND(W52*MAX(1,X52)/(1-'Mi negocio'!$C$29),6),'Mi negocio'!$C$25)/MAX(1,X52),0)</f>
        <v/>
      </c>
      <c r="AC52" s="17">
        <f>IFERROR(CEILING(ROUND(W52*MAX(1,X52)/(1-'Mi negocio'!$C$30),6),'Mi negocio'!$C$25)/MAX(1,X52),0)</f>
        <v/>
      </c>
    </row>
    <row r="53">
      <c r="A53" t="n">
        <v>49</v>
      </c>
      <c r="B53" s="21" t="inlineStr">
        <is>
          <t>Goma Funcional de Cúrcuma, Jengibre y Pimienta Negra con Curcumina Biodisponible (Anti-Inflammatory Golden Turmeric &amp; Ginger Functional Gummy)</t>
        </is>
      </c>
      <c r="C53" s="22" t="inlineStr">
        <is>
          <t>Bloque 5 · Gourmet de autor, coctelería, infusiones y funcionales</t>
        </is>
      </c>
      <c r="D53" t="inlineStr">
        <is>
          <t>5</t>
        </is>
      </c>
      <c r="E53" t="inlineStr">
        <is>
          <t>P</t>
        </is>
      </c>
      <c r="F53" t="n">
        <v>12</v>
      </c>
      <c r="G53" t="inlineStr">
        <is>
          <t>pieza</t>
        </is>
      </c>
      <c r="H53" s="16" t="n">
        <v>125</v>
      </c>
      <c r="I53" s="17">
        <f>SUMIF(Ingredientes!$A$5:$A$1063,A53,Ingredientes!$I$5:$I$1063)</f>
        <v/>
      </c>
      <c r="J53" s="17">
        <f>IFERROR(I53/H53,0)</f>
        <v/>
      </c>
      <c r="K53" s="11" t="n">
        <v>0</v>
      </c>
      <c r="L53" s="11" t="n">
        <v>0.02</v>
      </c>
      <c r="M53" s="16" t="n">
        <v>150</v>
      </c>
      <c r="N53" s="16" t="n">
        <v>0.17</v>
      </c>
      <c r="O53" s="17">
        <f>IFERROR((M53/MAX(1,'Mi negocio'!$C$26)+N53)/60*'Mi negocio'!$C$23,0)</f>
        <v/>
      </c>
      <c r="P53" s="17">
        <f>'Mi negocio'!$C$20</f>
        <v/>
      </c>
      <c r="Q53" s="30" t="n">
        <v>48</v>
      </c>
      <c r="R53" s="17">
        <f>Q53*'Mi negocio'!$C$39</f>
        <v/>
      </c>
      <c r="S53" s="31">
        <f>IFERROR(ROUNDDOWN('Mi negocio'!$C$37*24/MAX(1,Q53),0),0)</f>
        <v/>
      </c>
      <c r="T53" s="17">
        <f>J53+K53+L53+O53+P53+R53</f>
        <v/>
      </c>
      <c r="U53" s="27" t="n"/>
      <c r="V53" s="32">
        <f>IF(U53="",'Mi negocio'!$C$24,U53)</f>
        <v/>
      </c>
      <c r="W53" s="33">
        <f>IFERROR(T53/(1-V53),0)</f>
        <v/>
      </c>
      <c r="X53" s="6" t="n">
        <v>25</v>
      </c>
      <c r="Y53" s="17">
        <f>W53*MAX(1,X53)</f>
        <v/>
      </c>
      <c r="Z53" s="17">
        <f>IFERROR(CEILING(ROUND(W53*MAX(1,X53)/(1-'Mi negocio'!$C$27),6),'Mi negocio'!$C$25)/MAX(1,X53),0)</f>
        <v/>
      </c>
      <c r="AA53" s="17">
        <f>IFERROR(CEILING(ROUND(W53*MAX(1,X53)/(1-'Mi negocio'!$C$28),6),'Mi negocio'!$C$25)/MAX(1,X53),0)</f>
        <v/>
      </c>
      <c r="AB53" s="17">
        <f>IFERROR(CEILING(ROUND(W53*MAX(1,X53)/(1-'Mi negocio'!$C$29),6),'Mi negocio'!$C$25)/MAX(1,X53),0)</f>
        <v/>
      </c>
      <c r="AC53" s="17">
        <f>IFERROR(CEILING(ROUND(W53*MAX(1,X53)/(1-'Mi negocio'!$C$30),6),'Mi negocio'!$C$25)/MAX(1,X53),0)</f>
        <v/>
      </c>
    </row>
    <row r="54">
      <c r="A54" t="n">
        <v>50</v>
      </c>
      <c r="B54" s="21" t="inlineStr">
        <is>
          <t>Pastilla de Saúco Negro, Vitamina C y Zinc con Propóleo (Black Elderberry Immune Defense &amp; Zinc Shield)</t>
        </is>
      </c>
      <c r="C54" s="22" t="inlineStr">
        <is>
          <t>Bloque 5 · Gourmet de autor, coctelería, infusiones y funcionales</t>
        </is>
      </c>
      <c r="D54" t="inlineStr">
        <is>
          <t>5</t>
        </is>
      </c>
      <c r="E54" t="inlineStr">
        <is>
          <t>H</t>
        </is>
      </c>
      <c r="F54" t="n">
        <v>12</v>
      </c>
      <c r="G54" t="inlineStr">
        <is>
          <t>pieza</t>
        </is>
      </c>
      <c r="H54" s="16" t="n">
        <v>125</v>
      </c>
      <c r="I54" s="17">
        <f>SUMIF(Ingredientes!$A$5:$A$1063,A54,Ingredientes!$I$5:$I$1063)</f>
        <v/>
      </c>
      <c r="J54" s="17">
        <f>IFERROR(I54/H54,0)</f>
        <v/>
      </c>
      <c r="K54" s="11" t="n">
        <v>0</v>
      </c>
      <c r="L54" s="11" t="n">
        <v>0.02</v>
      </c>
      <c r="M54" s="16" t="n">
        <v>155</v>
      </c>
      <c r="N54" s="16" t="n">
        <v>0.17</v>
      </c>
      <c r="O54" s="17">
        <f>IFERROR((M54/MAX(1,'Mi negocio'!$C$26)+N54)/60*'Mi negocio'!$C$23,0)</f>
        <v/>
      </c>
      <c r="P54" s="17">
        <f>'Mi negocio'!$C$20</f>
        <v/>
      </c>
      <c r="Q54" s="30" t="n">
        <v>48</v>
      </c>
      <c r="R54" s="17">
        <f>Q54*'Mi negocio'!$C$39</f>
        <v/>
      </c>
      <c r="S54" s="31">
        <f>IFERROR(ROUNDDOWN('Mi negocio'!$C$37*24/MAX(1,Q54),0),0)</f>
        <v/>
      </c>
      <c r="T54" s="17">
        <f>J54+K54+L54+O54+P54+R54</f>
        <v/>
      </c>
      <c r="U54" s="27" t="n"/>
      <c r="V54" s="32">
        <f>IF(U54="",'Mi negocio'!$C$24,U54)</f>
        <v/>
      </c>
      <c r="W54" s="33">
        <f>IFERROR(T54/(1-V54),0)</f>
        <v/>
      </c>
      <c r="X54" s="6" t="n">
        <v>25</v>
      </c>
      <c r="Y54" s="17">
        <f>W54*MAX(1,X54)</f>
        <v/>
      </c>
      <c r="Z54" s="17">
        <f>IFERROR(CEILING(ROUND(W54*MAX(1,X54)/(1-'Mi negocio'!$C$27),6),'Mi negocio'!$C$25)/MAX(1,X54),0)</f>
        <v/>
      </c>
      <c r="AA54" s="17">
        <f>IFERROR(CEILING(ROUND(W54*MAX(1,X54)/(1-'Mi negocio'!$C$28),6),'Mi negocio'!$C$25)/MAX(1,X54),0)</f>
        <v/>
      </c>
      <c r="AB54" s="17">
        <f>IFERROR(CEILING(ROUND(W54*MAX(1,X54)/(1-'Mi negocio'!$C$29),6),'Mi negocio'!$C$25)/MAX(1,X54),0)</f>
        <v/>
      </c>
      <c r="AC54" s="17">
        <f>IFERROR(CEILING(ROUND(W54*MAX(1,X54)/(1-'Mi negocio'!$C$30),6),'Mi negocio'!$C$25)/MAX(1,X54),0)</f>
        <v/>
      </c>
    </row>
    <row r="56">
      <c r="B56" s="7" t="inlineStr">
        <is>
          <t>Los minutos de colada son por tanda completa y se reparten entre las piezas por colada de Mi negocio; los de pieza no bajan con la escala. Las horas de estufado ocupan tu cámara y se cobran aparte. Deja «Merma propia» vacía para usar la merma por defecto. Bloque: 1 clásicas · 2 ácidas · 3 enchiladas · 4 multicapa · 5 gourmet. Sistema: G gelatina · P pectina HM · L pectina LMA · H híbrido · K carragenato o agar · A gelatina con goma arábiga. IMPORTANTE: revisa la columna de empaque antes que ninguna otra. En gomitas la bolsa cuesta más que lo que lleva dentro.</t>
        </is>
      </c>
    </row>
  </sheetData>
  <autoFilter ref="A4:AC54"/>
  <conditionalFormatting sqref="W5:W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4" t="n">
        <v>46298</v>
      </c>
      <c r="B5" s="6" t="inlineStr">
        <is>
          <t>L-2610-01</t>
        </is>
      </c>
      <c r="C5" s="6" t="n">
        <v>1</v>
      </c>
      <c r="D5">
        <f>IF(C5="","",IFERROR(VLOOKUP(C5,'Recetas y precios'!$A$5:$B$54,2,FALSE),""))</f>
        <v/>
      </c>
      <c r="E5" s="6" t="n">
        <v>1200</v>
      </c>
      <c r="F5" s="6" t="n">
        <v>1080</v>
      </c>
      <c r="G5" s="6" t="n">
        <v>120</v>
      </c>
      <c r="H5" s="32">
        <f>IF((F5+G5)&gt;0,G5/(F5+G5),"")</f>
        <v/>
      </c>
      <c r="I5" s="17">
        <f>IF(C5="",0,IFERROR(VLOOKUP(C5,'Recetas y precios'!$A$5:$W$54,23,FALSE),0))</f>
        <v/>
      </c>
      <c r="J5" s="17">
        <f>G5*I5</f>
        <v/>
      </c>
      <c r="K5" s="6" t="inlineStr">
        <is>
          <t>Colada que no cuajó o quedó blanda</t>
        </is>
      </c>
      <c r="L5" s="6" t="inlineStr">
        <is>
          <t>Fila de ejemplo</t>
        </is>
      </c>
    </row>
    <row r="6">
      <c r="A6" s="34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32">
        <f>IF((F6+G6)&gt;0,G6/(F6+G6),"")</f>
        <v/>
      </c>
      <c r="I6" s="17">
        <f>IF(C6="",0,IFERROR(VLOOKUP(C6,'Recetas y precios'!$A$5:$W$54,23,FALSE),0))</f>
        <v/>
      </c>
      <c r="J6" s="17">
        <f>G6*I6</f>
        <v/>
      </c>
      <c r="K6" s="6" t="n"/>
      <c r="L6" s="6" t="n"/>
    </row>
    <row r="7">
      <c r="A7" s="34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32">
        <f>IF((F7+G7)&gt;0,G7/(F7+G7),"")</f>
        <v/>
      </c>
      <c r="I7" s="17">
        <f>IF(C7="",0,IFERROR(VLOOKUP(C7,'Recetas y precios'!$A$5:$W$54,23,FALSE),0))</f>
        <v/>
      </c>
      <c r="J7" s="17">
        <f>G7*I7</f>
        <v/>
      </c>
      <c r="K7" s="6" t="n"/>
      <c r="L7" s="6" t="n"/>
    </row>
    <row r="8">
      <c r="A8" s="34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32">
        <f>IF((F8+G8)&gt;0,G8/(F8+G8),"")</f>
        <v/>
      </c>
      <c r="I8" s="17">
        <f>IF(C8="",0,IFERROR(VLOOKUP(C8,'Recetas y precios'!$A$5:$W$54,23,FALSE),0))</f>
        <v/>
      </c>
      <c r="J8" s="17">
        <f>G8*I8</f>
        <v/>
      </c>
      <c r="K8" s="6" t="n"/>
      <c r="L8" s="6" t="n"/>
    </row>
    <row r="9">
      <c r="A9" s="34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32">
        <f>IF((F9+G9)&gt;0,G9/(F9+G9),"")</f>
        <v/>
      </c>
      <c r="I9" s="17">
        <f>IF(C9="",0,IFERROR(VLOOKUP(C9,'Recetas y precios'!$A$5:$W$54,23,FALSE),0))</f>
        <v/>
      </c>
      <c r="J9" s="17">
        <f>G9*I9</f>
        <v/>
      </c>
      <c r="K9" s="6" t="n"/>
      <c r="L9" s="6" t="n"/>
    </row>
    <row r="10">
      <c r="A10" s="34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32">
        <f>IF((F10+G10)&gt;0,G10/(F10+G10),"")</f>
        <v/>
      </c>
      <c r="I10" s="17">
        <f>IF(C10="",0,IFERROR(VLOOKUP(C10,'Recetas y precios'!$A$5:$W$54,23,FALSE),0))</f>
        <v/>
      </c>
      <c r="J10" s="17">
        <f>G10*I10</f>
        <v/>
      </c>
      <c r="K10" s="6" t="n"/>
      <c r="L10" s="6" t="n"/>
    </row>
    <row r="11">
      <c r="A11" s="34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32">
        <f>IF((F11+G11)&gt;0,G11/(F11+G11),"")</f>
        <v/>
      </c>
      <c r="I11" s="17">
        <f>IF(C11="",0,IFERROR(VLOOKUP(C11,'Recetas y precios'!$A$5:$W$54,23,FALSE),0))</f>
        <v/>
      </c>
      <c r="J11" s="17">
        <f>G11*I11</f>
        <v/>
      </c>
      <c r="K11" s="6" t="n"/>
      <c r="L11" s="6" t="n"/>
    </row>
    <row r="12">
      <c r="A12" s="34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32">
        <f>IF((F12+G12)&gt;0,G12/(F12+G12),"")</f>
        <v/>
      </c>
      <c r="I12" s="17">
        <f>IF(C12="",0,IFERROR(VLOOKUP(C12,'Recetas y precios'!$A$5:$W$54,23,FALSE),0))</f>
        <v/>
      </c>
      <c r="J12" s="17">
        <f>G12*I12</f>
        <v/>
      </c>
      <c r="K12" s="6" t="n"/>
      <c r="L12" s="6" t="n"/>
    </row>
    <row r="13">
      <c r="A13" s="34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32">
        <f>IF((F13+G13)&gt;0,G13/(F13+G13),"")</f>
        <v/>
      </c>
      <c r="I13" s="17">
        <f>IF(C13="",0,IFERROR(VLOOKUP(C13,'Recetas y precios'!$A$5:$W$54,23,FALSE),0))</f>
        <v/>
      </c>
      <c r="J13" s="17">
        <f>G13*I13</f>
        <v/>
      </c>
      <c r="K13" s="6" t="n"/>
      <c r="L13" s="6" t="n"/>
    </row>
    <row r="14">
      <c r="A14" s="34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32">
        <f>IF((F14+G14)&gt;0,G14/(F14+G14),"")</f>
        <v/>
      </c>
      <c r="I14" s="17">
        <f>IF(C14="",0,IFERROR(VLOOKUP(C14,'Recetas y precios'!$A$5:$W$54,23,FALSE),0))</f>
        <v/>
      </c>
      <c r="J14" s="17">
        <f>G14*I14</f>
        <v/>
      </c>
      <c r="K14" s="6" t="n"/>
      <c r="L14" s="6" t="n"/>
    </row>
    <row r="15">
      <c r="A15" s="34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32">
        <f>IF((F15+G15)&gt;0,G15/(F15+G15),"")</f>
        <v/>
      </c>
      <c r="I15" s="17">
        <f>IF(C15="",0,IFERROR(VLOOKUP(C15,'Recetas y precios'!$A$5:$W$54,23,FALSE),0))</f>
        <v/>
      </c>
      <c r="J15" s="17">
        <f>G15*I15</f>
        <v/>
      </c>
      <c r="K15" s="6" t="n"/>
      <c r="L15" s="6" t="n"/>
    </row>
    <row r="16">
      <c r="A16" s="34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32">
        <f>IF((F16+G16)&gt;0,G16/(F16+G16),"")</f>
        <v/>
      </c>
      <c r="I16" s="17">
        <f>IF(C16="",0,IFERROR(VLOOKUP(C16,'Recetas y precios'!$A$5:$W$54,23,FALSE),0))</f>
        <v/>
      </c>
      <c r="J16" s="17">
        <f>G16*I16</f>
        <v/>
      </c>
      <c r="K16" s="6" t="n"/>
      <c r="L16" s="6" t="n"/>
    </row>
    <row r="17">
      <c r="A17" s="34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32">
        <f>IF((F17+G17)&gt;0,G17/(F17+G17),"")</f>
        <v/>
      </c>
      <c r="I17" s="17">
        <f>IF(C17="",0,IFERROR(VLOOKUP(C17,'Recetas y precios'!$A$5:$W$54,23,FALSE),0))</f>
        <v/>
      </c>
      <c r="J17" s="17">
        <f>G17*I17</f>
        <v/>
      </c>
      <c r="K17" s="6" t="n"/>
      <c r="L17" s="6" t="n"/>
    </row>
    <row r="18">
      <c r="A18" s="34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32">
        <f>IF((F18+G18)&gt;0,G18/(F18+G18),"")</f>
        <v/>
      </c>
      <c r="I18" s="17">
        <f>IF(C18="",0,IFERROR(VLOOKUP(C18,'Recetas y precios'!$A$5:$W$54,23,FALSE),0))</f>
        <v/>
      </c>
      <c r="J18" s="17">
        <f>G18*I18</f>
        <v/>
      </c>
      <c r="K18" s="6" t="n"/>
      <c r="L18" s="6" t="n"/>
    </row>
    <row r="19">
      <c r="A19" s="34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32">
        <f>IF((F19+G19)&gt;0,G19/(F19+G19),"")</f>
        <v/>
      </c>
      <c r="I19" s="17">
        <f>IF(C19="",0,IFERROR(VLOOKUP(C19,'Recetas y precios'!$A$5:$W$54,23,FALSE),0))</f>
        <v/>
      </c>
      <c r="J19" s="17">
        <f>G19*I19</f>
        <v/>
      </c>
      <c r="K19" s="6" t="n"/>
      <c r="L19" s="6" t="n"/>
    </row>
    <row r="20">
      <c r="A20" s="34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32">
        <f>IF((F20+G20)&gt;0,G20/(F20+G20),"")</f>
        <v/>
      </c>
      <c r="I20" s="17">
        <f>IF(C20="",0,IFERROR(VLOOKUP(C20,'Recetas y precios'!$A$5:$W$54,23,FALSE),0))</f>
        <v/>
      </c>
      <c r="J20" s="17">
        <f>G20*I20</f>
        <v/>
      </c>
      <c r="K20" s="6" t="n"/>
      <c r="L20" s="6" t="n"/>
    </row>
    <row r="21">
      <c r="A21" s="34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32">
        <f>IF((F21+G21)&gt;0,G21/(F21+G21),"")</f>
        <v/>
      </c>
      <c r="I21" s="17">
        <f>IF(C21="",0,IFERROR(VLOOKUP(C21,'Recetas y precios'!$A$5:$W$54,23,FALSE),0))</f>
        <v/>
      </c>
      <c r="J21" s="17">
        <f>G21*I21</f>
        <v/>
      </c>
      <c r="K21" s="6" t="n"/>
      <c r="L21" s="6" t="n"/>
    </row>
    <row r="22">
      <c r="A22" s="34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32">
        <f>IF((F22+G22)&gt;0,G22/(F22+G22),"")</f>
        <v/>
      </c>
      <c r="I22" s="17">
        <f>IF(C22="",0,IFERROR(VLOOKUP(C22,'Recetas y precios'!$A$5:$W$54,23,FALSE),0))</f>
        <v/>
      </c>
      <c r="J22" s="17">
        <f>G22*I22</f>
        <v/>
      </c>
      <c r="K22" s="6" t="n"/>
      <c r="L22" s="6" t="n"/>
    </row>
    <row r="23">
      <c r="A23" s="34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32">
        <f>IF((F23+G23)&gt;0,G23/(F23+G23),"")</f>
        <v/>
      </c>
      <c r="I23" s="17">
        <f>IF(C23="",0,IFERROR(VLOOKUP(C23,'Recetas y precios'!$A$5:$W$54,23,FALSE),0))</f>
        <v/>
      </c>
      <c r="J23" s="17">
        <f>G23*I23</f>
        <v/>
      </c>
      <c r="K23" s="6" t="n"/>
      <c r="L23" s="6" t="n"/>
    </row>
    <row r="24">
      <c r="A24" s="34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32">
        <f>IF((F24+G24)&gt;0,G24/(F24+G24),"")</f>
        <v/>
      </c>
      <c r="I24" s="17">
        <f>IF(C24="",0,IFERROR(VLOOKUP(C24,'Recetas y precios'!$A$5:$W$54,23,FALSE),0))</f>
        <v/>
      </c>
      <c r="J24" s="17">
        <f>G24*I24</f>
        <v/>
      </c>
      <c r="K24" s="6" t="n"/>
      <c r="L24" s="6" t="n"/>
    </row>
    <row r="25">
      <c r="A25" s="34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32">
        <f>IF((F25+G25)&gt;0,G25/(F25+G25),"")</f>
        <v/>
      </c>
      <c r="I25" s="17">
        <f>IF(C25="",0,IFERROR(VLOOKUP(C25,'Recetas y precios'!$A$5:$W$54,23,FALSE),0))</f>
        <v/>
      </c>
      <c r="J25" s="17">
        <f>G25*I25</f>
        <v/>
      </c>
      <c r="K25" s="6" t="n"/>
      <c r="L25" s="6" t="n"/>
    </row>
    <row r="26">
      <c r="A26" s="34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32">
        <f>IF((F26+G26)&gt;0,G26/(F26+G26),"")</f>
        <v/>
      </c>
      <c r="I26" s="17">
        <f>IF(C26="",0,IFERROR(VLOOKUP(C26,'Recetas y precios'!$A$5:$W$54,23,FALSE),0))</f>
        <v/>
      </c>
      <c r="J26" s="17">
        <f>G26*I26</f>
        <v/>
      </c>
      <c r="K26" s="6" t="n"/>
      <c r="L26" s="6" t="n"/>
    </row>
    <row r="27">
      <c r="A27" s="34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32">
        <f>IF((F27+G27)&gt;0,G27/(F27+G27),"")</f>
        <v/>
      </c>
      <c r="I27" s="17">
        <f>IF(C27="",0,IFERROR(VLOOKUP(C27,'Recetas y precios'!$A$5:$W$54,23,FALSE),0))</f>
        <v/>
      </c>
      <c r="J27" s="17">
        <f>G27*I27</f>
        <v/>
      </c>
      <c r="K27" s="6" t="n"/>
      <c r="L27" s="6" t="n"/>
    </row>
    <row r="28">
      <c r="A28" s="34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32">
        <f>IF((F28+G28)&gt;0,G28/(F28+G28),"")</f>
        <v/>
      </c>
      <c r="I28" s="17">
        <f>IF(C28="",0,IFERROR(VLOOKUP(C28,'Recetas y precios'!$A$5:$W$54,23,FALSE),0))</f>
        <v/>
      </c>
      <c r="J28" s="17">
        <f>G28*I28</f>
        <v/>
      </c>
      <c r="K28" s="6" t="n"/>
      <c r="L28" s="6" t="n"/>
    </row>
    <row r="29">
      <c r="A29" s="34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32">
        <f>IF((F29+G29)&gt;0,G29/(F29+G29),"")</f>
        <v/>
      </c>
      <c r="I29" s="17">
        <f>IF(C29="",0,IFERROR(VLOOKUP(C29,'Recetas y precios'!$A$5:$W$54,23,FALSE),0))</f>
        <v/>
      </c>
      <c r="J29" s="17">
        <f>G29*I29</f>
        <v/>
      </c>
      <c r="K29" s="6" t="n"/>
      <c r="L29" s="6" t="n"/>
    </row>
    <row r="30">
      <c r="A30" s="34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32">
        <f>IF((F30+G30)&gt;0,G30/(F30+G30),"")</f>
        <v/>
      </c>
      <c r="I30" s="17">
        <f>IF(C30="",0,IFERROR(VLOOKUP(C30,'Recetas y precios'!$A$5:$W$54,23,FALSE),0))</f>
        <v/>
      </c>
      <c r="J30" s="17">
        <f>G30*I30</f>
        <v/>
      </c>
      <c r="K30" s="6" t="n"/>
      <c r="L30" s="6" t="n"/>
    </row>
    <row r="31">
      <c r="A31" s="34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32">
        <f>IF((F31+G31)&gt;0,G31/(F31+G31),"")</f>
        <v/>
      </c>
      <c r="I31" s="17">
        <f>IF(C31="",0,IFERROR(VLOOKUP(C31,'Recetas y precios'!$A$5:$W$54,23,FALSE),0))</f>
        <v/>
      </c>
      <c r="J31" s="17">
        <f>G31*I31</f>
        <v/>
      </c>
      <c r="K31" s="6" t="n"/>
      <c r="L31" s="6" t="n"/>
    </row>
    <row r="32">
      <c r="A32" s="34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32">
        <f>IF((F32+G32)&gt;0,G32/(F32+G32),"")</f>
        <v/>
      </c>
      <c r="I32" s="17">
        <f>IF(C32="",0,IFERROR(VLOOKUP(C32,'Recetas y precios'!$A$5:$W$54,23,FALSE),0))</f>
        <v/>
      </c>
      <c r="J32" s="17">
        <f>G32*I32</f>
        <v/>
      </c>
      <c r="K32" s="6" t="n"/>
      <c r="L32" s="6" t="n"/>
    </row>
    <row r="33">
      <c r="A33" s="34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32">
        <f>IF((F33+G33)&gt;0,G33/(F33+G33),"")</f>
        <v/>
      </c>
      <c r="I33" s="17">
        <f>IF(C33="",0,IFERROR(VLOOKUP(C33,'Recetas y precios'!$A$5:$W$54,23,FALSE),0))</f>
        <v/>
      </c>
      <c r="J33" s="17">
        <f>G33*I33</f>
        <v/>
      </c>
      <c r="K33" s="6" t="n"/>
      <c r="L33" s="6" t="n"/>
    </row>
    <row r="34">
      <c r="A34" s="34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32">
        <f>IF((F34+G34)&gt;0,G34/(F34+G34),"")</f>
        <v/>
      </c>
      <c r="I34" s="17">
        <f>IF(C34="",0,IFERROR(VLOOKUP(C34,'Recetas y precios'!$A$5:$W$54,23,FALSE),0))</f>
        <v/>
      </c>
      <c r="J34" s="17">
        <f>G34*I34</f>
        <v/>
      </c>
      <c r="K34" s="6" t="n"/>
      <c r="L34" s="6" t="n"/>
    </row>
    <row r="35">
      <c r="A35" s="34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32">
        <f>IF((F35+G35)&gt;0,G35/(F35+G35),"")</f>
        <v/>
      </c>
      <c r="I35" s="17">
        <f>IF(C35="",0,IFERROR(VLOOKUP(C35,'Recetas y precios'!$A$5:$W$54,23,FALSE),0))</f>
        <v/>
      </c>
      <c r="J35" s="17">
        <f>G35*I35</f>
        <v/>
      </c>
      <c r="K35" s="6" t="n"/>
      <c r="L35" s="6" t="n"/>
    </row>
    <row r="36">
      <c r="A36" s="34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32">
        <f>IF((F36+G36)&gt;0,G36/(F36+G36),"")</f>
        <v/>
      </c>
      <c r="I36" s="17">
        <f>IF(C36="",0,IFERROR(VLOOKUP(C36,'Recetas y precios'!$A$5:$W$54,23,FALSE),0))</f>
        <v/>
      </c>
      <c r="J36" s="17">
        <f>G36*I36</f>
        <v/>
      </c>
      <c r="K36" s="6" t="n"/>
      <c r="L36" s="6" t="n"/>
    </row>
    <row r="37">
      <c r="A37" s="34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32">
        <f>IF((F37+G37)&gt;0,G37/(F37+G37),"")</f>
        <v/>
      </c>
      <c r="I37" s="17">
        <f>IF(C37="",0,IFERROR(VLOOKUP(C37,'Recetas y precios'!$A$5:$W$54,23,FALSE),0))</f>
        <v/>
      </c>
      <c r="J37" s="17">
        <f>G37*I37</f>
        <v/>
      </c>
      <c r="K37" s="6" t="n"/>
      <c r="L37" s="6" t="n"/>
    </row>
    <row r="38">
      <c r="A38" s="34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32">
        <f>IF((F38+G38)&gt;0,G38/(F38+G38),"")</f>
        <v/>
      </c>
      <c r="I38" s="17">
        <f>IF(C38="",0,IFERROR(VLOOKUP(C38,'Recetas y precios'!$A$5:$W$54,23,FALSE),0))</f>
        <v/>
      </c>
      <c r="J38" s="17">
        <f>G38*I38</f>
        <v/>
      </c>
      <c r="K38" s="6" t="n"/>
      <c r="L38" s="6" t="n"/>
    </row>
    <row r="39">
      <c r="A39" s="34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32">
        <f>IF((F39+G39)&gt;0,G39/(F39+G39),"")</f>
        <v/>
      </c>
      <c r="I39" s="17">
        <f>IF(C39="",0,IFERROR(VLOOKUP(C39,'Recetas y precios'!$A$5:$W$54,23,FALSE),0))</f>
        <v/>
      </c>
      <c r="J39" s="17">
        <f>G39*I39</f>
        <v/>
      </c>
      <c r="K39" s="6" t="n"/>
      <c r="L39" s="6" t="n"/>
    </row>
    <row r="40">
      <c r="A40" s="34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32">
        <f>IF((F40+G40)&gt;0,G40/(F40+G40),"")</f>
        <v/>
      </c>
      <c r="I40" s="17">
        <f>IF(C40="",0,IFERROR(VLOOKUP(C40,'Recetas y precios'!$A$5:$W$54,23,FALSE),0))</f>
        <v/>
      </c>
      <c r="J40" s="17">
        <f>G40*I40</f>
        <v/>
      </c>
      <c r="K40" s="6" t="n"/>
      <c r="L40" s="6" t="n"/>
    </row>
    <row r="41">
      <c r="A41" s="34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32">
        <f>IF((F41+G41)&gt;0,G41/(F41+G41),"")</f>
        <v/>
      </c>
      <c r="I41" s="17">
        <f>IF(C41="",0,IFERROR(VLOOKUP(C41,'Recetas y precios'!$A$5:$W$54,23,FALSE),0))</f>
        <v/>
      </c>
      <c r="J41" s="17">
        <f>G41*I41</f>
        <v/>
      </c>
      <c r="K41" s="6" t="n"/>
      <c r="L41" s="6" t="n"/>
    </row>
    <row r="42">
      <c r="A42" s="34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32">
        <f>IF((F42+G42)&gt;0,G42/(F42+G42),"")</f>
        <v/>
      </c>
      <c r="I42" s="17">
        <f>IF(C42="",0,IFERROR(VLOOKUP(C42,'Recetas y precios'!$A$5:$W$54,23,FALSE),0))</f>
        <v/>
      </c>
      <c r="J42" s="17">
        <f>G42*I42</f>
        <v/>
      </c>
      <c r="K42" s="6" t="n"/>
      <c r="L42" s="6" t="n"/>
    </row>
    <row r="43">
      <c r="A43" s="34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32">
        <f>IF((F43+G43)&gt;0,G43/(F43+G43),"")</f>
        <v/>
      </c>
      <c r="I43" s="17">
        <f>IF(C43="",0,IFERROR(VLOOKUP(C43,'Recetas y precios'!$A$5:$W$54,23,FALSE),0))</f>
        <v/>
      </c>
      <c r="J43" s="17">
        <f>G43*I43</f>
        <v/>
      </c>
      <c r="K43" s="6" t="n"/>
      <c r="L43" s="6" t="n"/>
    </row>
    <row r="44">
      <c r="A44" s="34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32">
        <f>IF((F44+G44)&gt;0,G44/(F44+G44),"")</f>
        <v/>
      </c>
      <c r="I44" s="17">
        <f>IF(C44="",0,IFERROR(VLOOKUP(C44,'Recetas y precios'!$A$5:$W$54,23,FALSE),0))</f>
        <v/>
      </c>
      <c r="J44" s="17">
        <f>G44*I44</f>
        <v/>
      </c>
      <c r="K44" s="6" t="n"/>
      <c r="L44" s="6" t="n"/>
    </row>
    <row r="45">
      <c r="A45" s="34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32">
        <f>IF((F45+G45)&gt;0,G45/(F45+G45),"")</f>
        <v/>
      </c>
      <c r="I45" s="17">
        <f>IF(C45="",0,IFERROR(VLOOKUP(C45,'Recetas y precios'!$A$5:$W$54,23,FALSE),0))</f>
        <v/>
      </c>
      <c r="J45" s="17">
        <f>G45*I45</f>
        <v/>
      </c>
      <c r="K45" s="6" t="n"/>
      <c r="L45" s="6" t="n"/>
    </row>
    <row r="46">
      <c r="A46" s="34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32">
        <f>IF((F46+G46)&gt;0,G46/(F46+G46),"")</f>
        <v/>
      </c>
      <c r="I46" s="17">
        <f>IF(C46="",0,IFERROR(VLOOKUP(C46,'Recetas y precios'!$A$5:$W$54,23,FALSE),0))</f>
        <v/>
      </c>
      <c r="J46" s="17">
        <f>G46*I46</f>
        <v/>
      </c>
      <c r="K46" s="6" t="n"/>
      <c r="L46" s="6" t="n"/>
    </row>
    <row r="47">
      <c r="A47" s="34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32">
        <f>IF((F47+G47)&gt;0,G47/(F47+G47),"")</f>
        <v/>
      </c>
      <c r="I47" s="17">
        <f>IF(C47="",0,IFERROR(VLOOKUP(C47,'Recetas y precios'!$A$5:$W$54,23,FALSE),0))</f>
        <v/>
      </c>
      <c r="J47" s="17">
        <f>G47*I47</f>
        <v/>
      </c>
      <c r="K47" s="6" t="n"/>
      <c r="L47" s="6" t="n"/>
    </row>
    <row r="48">
      <c r="A48" s="34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32">
        <f>IF((F48+G48)&gt;0,G48/(F48+G48),"")</f>
        <v/>
      </c>
      <c r="I48" s="17">
        <f>IF(C48="",0,IFERROR(VLOOKUP(C48,'Recetas y precios'!$A$5:$W$54,23,FALSE),0))</f>
        <v/>
      </c>
      <c r="J48" s="17">
        <f>G48*I48</f>
        <v/>
      </c>
      <c r="K48" s="6" t="n"/>
      <c r="L48" s="6" t="n"/>
    </row>
    <row r="49">
      <c r="A49" s="34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32">
        <f>IF((F49+G49)&gt;0,G49/(F49+G49),"")</f>
        <v/>
      </c>
      <c r="I49" s="17">
        <f>IF(C49="",0,IFERROR(VLOOKUP(C49,'Recetas y precios'!$A$5:$W$54,23,FALSE),0))</f>
        <v/>
      </c>
      <c r="J49" s="17">
        <f>G49*I49</f>
        <v/>
      </c>
      <c r="K49" s="6" t="n"/>
      <c r="L49" s="6" t="n"/>
    </row>
    <row r="50">
      <c r="A50" s="34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32">
        <f>IF((F50+G50)&gt;0,G50/(F50+G50),"")</f>
        <v/>
      </c>
      <c r="I50" s="17">
        <f>IF(C50="",0,IFERROR(VLOOKUP(C50,'Recetas y precios'!$A$5:$W$54,23,FALSE),0))</f>
        <v/>
      </c>
      <c r="J50" s="17">
        <f>G50*I50</f>
        <v/>
      </c>
      <c r="K50" s="6" t="n"/>
      <c r="L50" s="6" t="n"/>
    </row>
    <row r="51">
      <c r="A51" s="34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32">
        <f>IF((F51+G51)&gt;0,G51/(F51+G51),"")</f>
        <v/>
      </c>
      <c r="I51" s="17">
        <f>IF(C51="",0,IFERROR(VLOOKUP(C51,'Recetas y precios'!$A$5:$W$54,23,FALSE),0))</f>
        <v/>
      </c>
      <c r="J51" s="17">
        <f>G51*I51</f>
        <v/>
      </c>
      <c r="K51" s="6" t="n"/>
      <c r="L51" s="6" t="n"/>
    </row>
    <row r="52">
      <c r="A52" s="34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32">
        <f>IF((F52+G52)&gt;0,G52/(F52+G52),"")</f>
        <v/>
      </c>
      <c r="I52" s="17">
        <f>IF(C52="",0,IFERROR(VLOOKUP(C52,'Recetas y precios'!$A$5:$W$54,23,FALSE),0))</f>
        <v/>
      </c>
      <c r="J52" s="17">
        <f>G52*I52</f>
        <v/>
      </c>
      <c r="K52" s="6" t="n"/>
      <c r="L52" s="6" t="n"/>
    </row>
    <row r="53">
      <c r="A53" s="34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32">
        <f>IF((F53+G53)&gt;0,G53/(F53+G53),"")</f>
        <v/>
      </c>
      <c r="I53" s="17">
        <f>IF(C53="",0,IFERROR(VLOOKUP(C53,'Recetas y precios'!$A$5:$W$54,23,FALSE),0))</f>
        <v/>
      </c>
      <c r="J53" s="17">
        <f>G53*I53</f>
        <v/>
      </c>
      <c r="K53" s="6" t="n"/>
      <c r="L53" s="6" t="n"/>
    </row>
    <row r="54">
      <c r="A54" s="34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32">
        <f>IF((F54+G54)&gt;0,G54/(F54+G54),"")</f>
        <v/>
      </c>
      <c r="I54" s="17">
        <f>IF(C54="",0,IFERROR(VLOOKUP(C54,'Recetas y precios'!$A$5:$W$54,23,FALSE),0))</f>
        <v/>
      </c>
      <c r="J54" s="17">
        <f>G54*I54</f>
        <v/>
      </c>
      <c r="K54" s="6" t="n"/>
      <c r="L54" s="6" t="n"/>
    </row>
    <row r="55">
      <c r="A55" s="34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32">
        <f>IF((F55+G55)&gt;0,G55/(F55+G55),"")</f>
        <v/>
      </c>
      <c r="I55" s="17">
        <f>IF(C55="",0,IFERROR(VLOOKUP(C55,'Recetas y precios'!$A$5:$W$54,23,FALSE),0))</f>
        <v/>
      </c>
      <c r="J55" s="17">
        <f>G55*I55</f>
        <v/>
      </c>
      <c r="K55" s="6" t="n"/>
      <c r="L55" s="6" t="n"/>
    </row>
    <row r="56">
      <c r="A56" s="34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32">
        <f>IF((F56+G56)&gt;0,G56/(F56+G56),"")</f>
        <v/>
      </c>
      <c r="I56" s="17">
        <f>IF(C56="",0,IFERROR(VLOOKUP(C56,'Recetas y precios'!$A$5:$W$54,23,FALSE),0))</f>
        <v/>
      </c>
      <c r="J56" s="17">
        <f>G56*I56</f>
        <v/>
      </c>
      <c r="K56" s="6" t="n"/>
      <c r="L56" s="6" t="n"/>
    </row>
    <row r="57">
      <c r="A57" s="34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32">
        <f>IF((F57+G57)&gt;0,G57/(F57+G57),"")</f>
        <v/>
      </c>
      <c r="I57" s="17">
        <f>IF(C57="",0,IFERROR(VLOOKUP(C57,'Recetas y precios'!$A$5:$W$54,23,FALSE),0))</f>
        <v/>
      </c>
      <c r="J57" s="17">
        <f>G57*I57</f>
        <v/>
      </c>
      <c r="K57" s="6" t="n"/>
      <c r="L57" s="6" t="n"/>
    </row>
    <row r="58">
      <c r="A58" s="34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32">
        <f>IF((F58+G58)&gt;0,G58/(F58+G58),"")</f>
        <v/>
      </c>
      <c r="I58" s="17">
        <f>IF(C58="",0,IFERROR(VLOOKUP(C58,'Recetas y precios'!$A$5:$W$54,23,FALSE),0))</f>
        <v/>
      </c>
      <c r="J58" s="17">
        <f>G58*I58</f>
        <v/>
      </c>
      <c r="K58" s="6" t="n"/>
      <c r="L58" s="6" t="n"/>
    </row>
    <row r="59">
      <c r="A59" s="34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32">
        <f>IF((F59+G59)&gt;0,G59/(F59+G59),"")</f>
        <v/>
      </c>
      <c r="I59" s="17">
        <f>IF(C59="",0,IFERROR(VLOOKUP(C59,'Recetas y precios'!$A$5:$W$54,23,FALSE),0))</f>
        <v/>
      </c>
      <c r="J59" s="17">
        <f>G59*I59</f>
        <v/>
      </c>
      <c r="K59" s="6" t="n"/>
      <c r="L59" s="6" t="n"/>
    </row>
    <row r="60">
      <c r="A60" s="34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32">
        <f>IF((F60+G60)&gt;0,G60/(F60+G60),"")</f>
        <v/>
      </c>
      <c r="I60" s="17">
        <f>IF(C60="",0,IFERROR(VLOOKUP(C60,'Recetas y precios'!$A$5:$W$54,23,FALSE),0))</f>
        <v/>
      </c>
      <c r="J60" s="17">
        <f>G60*I60</f>
        <v/>
      </c>
      <c r="K60" s="6" t="n"/>
      <c r="L60" s="6" t="n"/>
    </row>
    <row r="61">
      <c r="A61" s="34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32">
        <f>IF((F61+G61)&gt;0,G61/(F61+G61),"")</f>
        <v/>
      </c>
      <c r="I61" s="17">
        <f>IF(C61="",0,IFERROR(VLOOKUP(C61,'Recetas y precios'!$A$5:$W$54,23,FALSE),0))</f>
        <v/>
      </c>
      <c r="J61" s="17">
        <f>G61*I61</f>
        <v/>
      </c>
      <c r="K61" s="6" t="n"/>
      <c r="L61" s="6" t="n"/>
    </row>
    <row r="62">
      <c r="A62" s="34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32">
        <f>IF((F62+G62)&gt;0,G62/(F62+G62),"")</f>
        <v/>
      </c>
      <c r="I62" s="17">
        <f>IF(C62="",0,IFERROR(VLOOKUP(C62,'Recetas y precios'!$A$5:$W$54,23,FALSE),0))</f>
        <v/>
      </c>
      <c r="J62" s="17">
        <f>G62*I62</f>
        <v/>
      </c>
      <c r="K62" s="6" t="n"/>
      <c r="L62" s="6" t="n"/>
    </row>
    <row r="63">
      <c r="A63" s="34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32">
        <f>IF((F63+G63)&gt;0,G63/(F63+G63),"")</f>
        <v/>
      </c>
      <c r="I63" s="17">
        <f>IF(C63="",0,IFERROR(VLOOKUP(C63,'Recetas y precios'!$A$5:$W$54,23,FALSE),0))</f>
        <v/>
      </c>
      <c r="J63" s="17">
        <f>G63*I63</f>
        <v/>
      </c>
      <c r="K63" s="6" t="n"/>
      <c r="L63" s="6" t="n"/>
    </row>
    <row r="64">
      <c r="A64" s="34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32">
        <f>IF((F64+G64)&gt;0,G64/(F64+G64),"")</f>
        <v/>
      </c>
      <c r="I64" s="17">
        <f>IF(C64="",0,IFERROR(VLOOKUP(C64,'Recetas y precios'!$A$5:$W$54,23,FALSE),0))</f>
        <v/>
      </c>
      <c r="J64" s="17">
        <f>G64*I64</f>
        <v/>
      </c>
      <c r="K64" s="6" t="n"/>
      <c r="L64" s="6" t="n"/>
    </row>
    <row r="65">
      <c r="A65" s="34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32">
        <f>IF((F65+G65)&gt;0,G65/(F65+G65),"")</f>
        <v/>
      </c>
      <c r="I65" s="17">
        <f>IF(C65="",0,IFERROR(VLOOKUP(C65,'Recetas y precios'!$A$5:$W$54,23,FALSE),0))</f>
        <v/>
      </c>
      <c r="J65" s="17">
        <f>G65*I65</f>
        <v/>
      </c>
      <c r="K65" s="6" t="n"/>
      <c r="L65" s="6" t="n"/>
    </row>
    <row r="66">
      <c r="A66" s="34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32">
        <f>IF((F66+G66)&gt;0,G66/(F66+G66),"")</f>
        <v/>
      </c>
      <c r="I66" s="17">
        <f>IF(C66="",0,IFERROR(VLOOKUP(C66,'Recetas y precios'!$A$5:$W$54,23,FALSE),0))</f>
        <v/>
      </c>
      <c r="J66" s="17">
        <f>G66*I66</f>
        <v/>
      </c>
      <c r="K66" s="6" t="n"/>
      <c r="L66" s="6" t="n"/>
    </row>
    <row r="67">
      <c r="A67" s="34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32">
        <f>IF((F67+G67)&gt;0,G67/(F67+G67),"")</f>
        <v/>
      </c>
      <c r="I67" s="17">
        <f>IF(C67="",0,IFERROR(VLOOKUP(C67,'Recetas y precios'!$A$5:$W$54,23,FALSE),0))</f>
        <v/>
      </c>
      <c r="J67" s="17">
        <f>G67*I67</f>
        <v/>
      </c>
      <c r="K67" s="6" t="n"/>
      <c r="L67" s="6" t="n"/>
    </row>
    <row r="68">
      <c r="A68" s="34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32">
        <f>IF((F68+G68)&gt;0,G68/(F68+G68),"")</f>
        <v/>
      </c>
      <c r="I68" s="17">
        <f>IF(C68="",0,IFERROR(VLOOKUP(C68,'Recetas y precios'!$A$5:$W$54,23,FALSE),0))</f>
        <v/>
      </c>
      <c r="J68" s="17">
        <f>G68*I68</f>
        <v/>
      </c>
      <c r="K68" s="6" t="n"/>
      <c r="L68" s="6" t="n"/>
    </row>
    <row r="69">
      <c r="A69" s="34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32">
        <f>IF((F69+G69)&gt;0,G69/(F69+G69),"")</f>
        <v/>
      </c>
      <c r="I69" s="17">
        <f>IF(C69="",0,IFERROR(VLOOKUP(C69,'Recetas y precios'!$A$5:$W$54,23,FALSE),0))</f>
        <v/>
      </c>
      <c r="J69" s="17">
        <f>G69*I69</f>
        <v/>
      </c>
      <c r="K69" s="6" t="n"/>
      <c r="L69" s="6" t="n"/>
    </row>
    <row r="70">
      <c r="A70" s="34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32">
        <f>IF((F70+G70)&gt;0,G70/(F70+G70),"")</f>
        <v/>
      </c>
      <c r="I70" s="17">
        <f>IF(C70="",0,IFERROR(VLOOKUP(C70,'Recetas y precios'!$A$5:$W$54,23,FALSE),0))</f>
        <v/>
      </c>
      <c r="J70" s="17">
        <f>G70*I70</f>
        <v/>
      </c>
      <c r="K70" s="6" t="n"/>
      <c r="L70" s="6" t="n"/>
    </row>
    <row r="71">
      <c r="A71" s="34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32">
        <f>IF((F71+G71)&gt;0,G71/(F71+G71),"")</f>
        <v/>
      </c>
      <c r="I71" s="17">
        <f>IF(C71="",0,IFERROR(VLOOKUP(C71,'Recetas y precios'!$A$5:$W$54,23,FALSE),0))</f>
        <v/>
      </c>
      <c r="J71" s="17">
        <f>G71*I71</f>
        <v/>
      </c>
      <c r="K71" s="6" t="n"/>
      <c r="L71" s="6" t="n"/>
    </row>
    <row r="72">
      <c r="A72" s="34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32">
        <f>IF((F72+G72)&gt;0,G72/(F72+G72),"")</f>
        <v/>
      </c>
      <c r="I72" s="17">
        <f>IF(C72="",0,IFERROR(VLOOKUP(C72,'Recetas y precios'!$A$5:$W$54,23,FALSE),0))</f>
        <v/>
      </c>
      <c r="J72" s="17">
        <f>G72*I72</f>
        <v/>
      </c>
      <c r="K72" s="6" t="n"/>
      <c r="L72" s="6" t="n"/>
    </row>
    <row r="73">
      <c r="A73" s="34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32">
        <f>IF((F73+G73)&gt;0,G73/(F73+G73),"")</f>
        <v/>
      </c>
      <c r="I73" s="17">
        <f>IF(C73="",0,IFERROR(VLOOKUP(C73,'Recetas y precios'!$A$5:$W$54,23,FALSE),0))</f>
        <v/>
      </c>
      <c r="J73" s="17">
        <f>G73*I73</f>
        <v/>
      </c>
      <c r="K73" s="6" t="n"/>
      <c r="L73" s="6" t="n"/>
    </row>
    <row r="74">
      <c r="A74" s="34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32">
        <f>IF((F74+G74)&gt;0,G74/(F74+G74),"")</f>
        <v/>
      </c>
      <c r="I74" s="17">
        <f>IF(C74="",0,IFERROR(VLOOKUP(C74,'Recetas y precios'!$A$5:$W$54,23,FALSE),0))</f>
        <v/>
      </c>
      <c r="J74" s="17">
        <f>G74*I74</f>
        <v/>
      </c>
      <c r="K74" s="6" t="n"/>
      <c r="L74" s="6" t="n"/>
    </row>
    <row r="75">
      <c r="A75" s="34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32">
        <f>IF((F75+G75)&gt;0,G75/(F75+G75),"")</f>
        <v/>
      </c>
      <c r="I75" s="17">
        <f>IF(C75="",0,IFERROR(VLOOKUP(C75,'Recetas y precios'!$A$5:$W$54,23,FALSE),0))</f>
        <v/>
      </c>
      <c r="J75" s="17">
        <f>G75*I75</f>
        <v/>
      </c>
      <c r="K75" s="6" t="n"/>
      <c r="L75" s="6" t="n"/>
    </row>
    <row r="76">
      <c r="A76" s="34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32">
        <f>IF((F76+G76)&gt;0,G76/(F76+G76),"")</f>
        <v/>
      </c>
      <c r="I76" s="17">
        <f>IF(C76="",0,IFERROR(VLOOKUP(C76,'Recetas y precios'!$A$5:$W$54,23,FALSE),0))</f>
        <v/>
      </c>
      <c r="J76" s="17">
        <f>G76*I76</f>
        <v/>
      </c>
      <c r="K76" s="6" t="n"/>
      <c r="L76" s="6" t="n"/>
    </row>
    <row r="77">
      <c r="A77" s="34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32">
        <f>IF((F77+G77)&gt;0,G77/(F77+G77),"")</f>
        <v/>
      </c>
      <c r="I77" s="17">
        <f>IF(C77="",0,IFERROR(VLOOKUP(C77,'Recetas y precios'!$A$5:$W$54,23,FALSE),0))</f>
        <v/>
      </c>
      <c r="J77" s="17">
        <f>G77*I77</f>
        <v/>
      </c>
      <c r="K77" s="6" t="n"/>
      <c r="L77" s="6" t="n"/>
    </row>
    <row r="78">
      <c r="A78" s="34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32">
        <f>IF((F78+G78)&gt;0,G78/(F78+G78),"")</f>
        <v/>
      </c>
      <c r="I78" s="17">
        <f>IF(C78="",0,IFERROR(VLOOKUP(C78,'Recetas y precios'!$A$5:$W$54,23,FALSE),0))</f>
        <v/>
      </c>
      <c r="J78" s="17">
        <f>G78*I78</f>
        <v/>
      </c>
      <c r="K78" s="6" t="n"/>
      <c r="L78" s="6" t="n"/>
    </row>
    <row r="79">
      <c r="A79" s="34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32">
        <f>IF((F79+G79)&gt;0,G79/(F79+G79),"")</f>
        <v/>
      </c>
      <c r="I79" s="17">
        <f>IF(C79="",0,IFERROR(VLOOKUP(C79,'Recetas y precios'!$A$5:$W$54,23,FALSE),0))</f>
        <v/>
      </c>
      <c r="J79" s="17">
        <f>G79*I79</f>
        <v/>
      </c>
      <c r="K79" s="6" t="n"/>
      <c r="L79" s="6" t="n"/>
    </row>
    <row r="80">
      <c r="A80" s="34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32">
        <f>IF((F80+G80)&gt;0,G80/(F80+G80),"")</f>
        <v/>
      </c>
      <c r="I80" s="17">
        <f>IF(C80="",0,IFERROR(VLOOKUP(C80,'Recetas y precios'!$A$5:$W$54,23,FALSE),0))</f>
        <v/>
      </c>
      <c r="J80" s="17">
        <f>G80*I80</f>
        <v/>
      </c>
      <c r="K80" s="6" t="n"/>
      <c r="L80" s="6" t="n"/>
    </row>
    <row r="81">
      <c r="A81" s="34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32">
        <f>IF((F81+G81)&gt;0,G81/(F81+G81),"")</f>
        <v/>
      </c>
      <c r="I81" s="17">
        <f>IF(C81="",0,IFERROR(VLOOKUP(C81,'Recetas y precios'!$A$5:$W$54,23,FALSE),0))</f>
        <v/>
      </c>
      <c r="J81" s="17">
        <f>G81*I81</f>
        <v/>
      </c>
      <c r="K81" s="6" t="n"/>
      <c r="L81" s="6" t="n"/>
    </row>
    <row r="82">
      <c r="A82" s="34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32">
        <f>IF((F82+G82)&gt;0,G82/(F82+G82),"")</f>
        <v/>
      </c>
      <c r="I82" s="17">
        <f>IF(C82="",0,IFERROR(VLOOKUP(C82,'Recetas y precios'!$A$5:$W$54,23,FALSE),0))</f>
        <v/>
      </c>
      <c r="J82" s="17">
        <f>G82*I82</f>
        <v/>
      </c>
      <c r="K82" s="6" t="n"/>
      <c r="L82" s="6" t="n"/>
    </row>
    <row r="83">
      <c r="A83" s="34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32">
        <f>IF((F83+G83)&gt;0,G83/(F83+G83),"")</f>
        <v/>
      </c>
      <c r="I83" s="17">
        <f>IF(C83="",0,IFERROR(VLOOKUP(C83,'Recetas y precios'!$A$5:$W$54,23,FALSE),0))</f>
        <v/>
      </c>
      <c r="J83" s="17">
        <f>G83*I83</f>
        <v/>
      </c>
      <c r="K83" s="6" t="n"/>
      <c r="L83" s="6" t="n"/>
    </row>
    <row r="84">
      <c r="A84" s="34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32">
        <f>IF((F84+G84)&gt;0,G84/(F84+G84),"")</f>
        <v/>
      </c>
      <c r="I84" s="17">
        <f>IF(C84="",0,IFERROR(VLOOKUP(C84,'Recetas y precios'!$A$5:$W$54,23,FALSE),0))</f>
        <v/>
      </c>
      <c r="J84" s="17">
        <f>G84*I84</f>
        <v/>
      </c>
      <c r="K84" s="6" t="n"/>
      <c r="L84" s="6" t="n"/>
    </row>
    <row r="85">
      <c r="A85" s="34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32">
        <f>IF((F85+G85)&gt;0,G85/(F85+G85),"")</f>
        <v/>
      </c>
      <c r="I85" s="17">
        <f>IF(C85="",0,IFERROR(VLOOKUP(C85,'Recetas y precios'!$A$5:$W$54,23,FALSE),0))</f>
        <v/>
      </c>
      <c r="J85" s="17">
        <f>G85*I85</f>
        <v/>
      </c>
      <c r="K85" s="6" t="n"/>
      <c r="L85" s="6" t="n"/>
    </row>
    <row r="86">
      <c r="A86" s="34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32">
        <f>IF((F86+G86)&gt;0,G86/(F86+G86),"")</f>
        <v/>
      </c>
      <c r="I86" s="17">
        <f>IF(C86="",0,IFERROR(VLOOKUP(C86,'Recetas y precios'!$A$5:$W$54,23,FALSE),0))</f>
        <v/>
      </c>
      <c r="J86" s="17">
        <f>G86*I86</f>
        <v/>
      </c>
      <c r="K86" s="6" t="n"/>
      <c r="L86" s="6" t="n"/>
    </row>
    <row r="87">
      <c r="A87" s="34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32">
        <f>IF((F87+G87)&gt;0,G87/(F87+G87),"")</f>
        <v/>
      </c>
      <c r="I87" s="17">
        <f>IF(C87="",0,IFERROR(VLOOKUP(C87,'Recetas y precios'!$A$5:$W$54,23,FALSE),0))</f>
        <v/>
      </c>
      <c r="J87" s="17">
        <f>G87*I87</f>
        <v/>
      </c>
      <c r="K87" s="6" t="n"/>
      <c r="L87" s="6" t="n"/>
    </row>
    <row r="88">
      <c r="A88" s="34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32">
        <f>IF((F88+G88)&gt;0,G88/(F88+G88),"")</f>
        <v/>
      </c>
      <c r="I88" s="17">
        <f>IF(C88="",0,IFERROR(VLOOKUP(C88,'Recetas y precios'!$A$5:$W$54,23,FALSE),0))</f>
        <v/>
      </c>
      <c r="J88" s="17">
        <f>G88*I88</f>
        <v/>
      </c>
      <c r="K88" s="6" t="n"/>
      <c r="L88" s="6" t="n"/>
    </row>
    <row r="89">
      <c r="A89" s="34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32">
        <f>IF((F89+G89)&gt;0,G89/(F89+G89),"")</f>
        <v/>
      </c>
      <c r="I89" s="17">
        <f>IF(C89="",0,IFERROR(VLOOKUP(C89,'Recetas y precios'!$A$5:$W$54,23,FALSE),0))</f>
        <v/>
      </c>
      <c r="J89" s="17">
        <f>G89*I89</f>
        <v/>
      </c>
      <c r="K89" s="6" t="n"/>
      <c r="L89" s="6" t="n"/>
    </row>
    <row r="90">
      <c r="A90" s="34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32">
        <f>IF((F90+G90)&gt;0,G90/(F90+G90),"")</f>
        <v/>
      </c>
      <c r="I90" s="17">
        <f>IF(C90="",0,IFERROR(VLOOKUP(C90,'Recetas y precios'!$A$5:$W$54,23,FALSE),0))</f>
        <v/>
      </c>
      <c r="J90" s="17">
        <f>G90*I90</f>
        <v/>
      </c>
      <c r="K90" s="6" t="n"/>
      <c r="L90" s="6" t="n"/>
    </row>
    <row r="91">
      <c r="A91" s="34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32">
        <f>IF((F91+G91)&gt;0,G91/(F91+G91),"")</f>
        <v/>
      </c>
      <c r="I91" s="17">
        <f>IF(C91="",0,IFERROR(VLOOKUP(C91,'Recetas y precios'!$A$5:$W$54,23,FALSE),0))</f>
        <v/>
      </c>
      <c r="J91" s="17">
        <f>G91*I91</f>
        <v/>
      </c>
      <c r="K91" s="6" t="n"/>
      <c r="L91" s="6" t="n"/>
    </row>
    <row r="92">
      <c r="A92" s="34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32">
        <f>IF((F92+G92)&gt;0,G92/(F92+G92),"")</f>
        <v/>
      </c>
      <c r="I92" s="17">
        <f>IF(C92="",0,IFERROR(VLOOKUP(C92,'Recetas y precios'!$A$5:$W$54,23,FALSE),0))</f>
        <v/>
      </c>
      <c r="J92" s="17">
        <f>G92*I92</f>
        <v/>
      </c>
      <c r="K92" s="6" t="n"/>
      <c r="L92" s="6" t="n"/>
    </row>
    <row r="93">
      <c r="A93" s="34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32">
        <f>IF((F93+G93)&gt;0,G93/(F93+G93),"")</f>
        <v/>
      </c>
      <c r="I93" s="17">
        <f>IF(C93="",0,IFERROR(VLOOKUP(C93,'Recetas y precios'!$A$5:$W$54,23,FALSE),0))</f>
        <v/>
      </c>
      <c r="J93" s="17">
        <f>G93*I93</f>
        <v/>
      </c>
      <c r="K93" s="6" t="n"/>
      <c r="L93" s="6" t="n"/>
    </row>
    <row r="94">
      <c r="A94" s="34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32">
        <f>IF((F94+G94)&gt;0,G94/(F94+G94),"")</f>
        <v/>
      </c>
      <c r="I94" s="17">
        <f>IF(C94="",0,IFERROR(VLOOKUP(C94,'Recetas y precios'!$A$5:$W$54,23,FALSE),0))</f>
        <v/>
      </c>
      <c r="J94" s="17">
        <f>G94*I94</f>
        <v/>
      </c>
      <c r="K94" s="6" t="n"/>
      <c r="L94" s="6" t="n"/>
    </row>
    <row r="95">
      <c r="A95" s="34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32">
        <f>IF((F95+G95)&gt;0,G95/(F95+G95),"")</f>
        <v/>
      </c>
      <c r="I95" s="17">
        <f>IF(C95="",0,IFERROR(VLOOKUP(C95,'Recetas y precios'!$A$5:$W$54,23,FALSE),0))</f>
        <v/>
      </c>
      <c r="J95" s="17">
        <f>G95*I95</f>
        <v/>
      </c>
      <c r="K95" s="6" t="n"/>
      <c r="L95" s="6" t="n"/>
    </row>
    <row r="96">
      <c r="A96" s="34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32">
        <f>IF((F96+G96)&gt;0,G96/(F96+G96),"")</f>
        <v/>
      </c>
      <c r="I96" s="17">
        <f>IF(C96="",0,IFERROR(VLOOKUP(C96,'Recetas y precios'!$A$5:$W$54,23,FALSE),0))</f>
        <v/>
      </c>
      <c r="J96" s="17">
        <f>G96*I96</f>
        <v/>
      </c>
      <c r="K96" s="6" t="n"/>
      <c r="L96" s="6" t="n"/>
    </row>
    <row r="97">
      <c r="A97" s="34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32">
        <f>IF((F97+G97)&gt;0,G97/(F97+G97),"")</f>
        <v/>
      </c>
      <c r="I97" s="17">
        <f>IF(C97="",0,IFERROR(VLOOKUP(C97,'Recetas y precios'!$A$5:$W$54,23,FALSE),0))</f>
        <v/>
      </c>
      <c r="J97" s="17">
        <f>G97*I97</f>
        <v/>
      </c>
      <c r="K97" s="6" t="n"/>
      <c r="L97" s="6" t="n"/>
    </row>
    <row r="98">
      <c r="A98" s="34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32">
        <f>IF((F98+G98)&gt;0,G98/(F98+G98),"")</f>
        <v/>
      </c>
      <c r="I98" s="17">
        <f>IF(C98="",0,IFERROR(VLOOKUP(C98,'Recetas y precios'!$A$5:$W$54,23,FALSE),0))</f>
        <v/>
      </c>
      <c r="J98" s="17">
        <f>G98*I98</f>
        <v/>
      </c>
      <c r="K98" s="6" t="n"/>
      <c r="L98" s="6" t="n"/>
    </row>
    <row r="99">
      <c r="A99" s="34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32">
        <f>IF((F99+G99)&gt;0,G99/(F99+G99),"")</f>
        <v/>
      </c>
      <c r="I99" s="17">
        <f>IF(C99="",0,IFERROR(VLOOKUP(C99,'Recetas y precios'!$A$5:$W$54,23,FALSE),0))</f>
        <v/>
      </c>
      <c r="J99" s="17">
        <f>G99*I99</f>
        <v/>
      </c>
      <c r="K99" s="6" t="n"/>
      <c r="L99" s="6" t="n"/>
    </row>
    <row r="100">
      <c r="A100" s="34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32">
        <f>IF((F100+G100)&gt;0,G100/(F100+G100),"")</f>
        <v/>
      </c>
      <c r="I100" s="17">
        <f>IF(C100="",0,IFERROR(VLOOKUP(C100,'Recetas y precios'!$A$5:$W$54,23,FALSE),0))</f>
        <v/>
      </c>
      <c r="J100" s="17">
        <f>G100*I100</f>
        <v/>
      </c>
      <c r="K100" s="6" t="n"/>
      <c r="L100" s="6" t="n"/>
    </row>
    <row r="101">
      <c r="A101" s="34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32">
        <f>IF((F101+G101)&gt;0,G101/(F101+G101),"")</f>
        <v/>
      </c>
      <c r="I101" s="17">
        <f>IF(C101="",0,IFERROR(VLOOKUP(C101,'Recetas y precios'!$A$5:$W$54,23,FALSE),0))</f>
        <v/>
      </c>
      <c r="J101" s="17">
        <f>G101*I101</f>
        <v/>
      </c>
      <c r="K101" s="6" t="n"/>
      <c r="L101" s="6" t="n"/>
    </row>
    <row r="102">
      <c r="A102" s="34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32">
        <f>IF((F102+G102)&gt;0,G102/(F102+G102),"")</f>
        <v/>
      </c>
      <c r="I102" s="17">
        <f>IF(C102="",0,IFERROR(VLOOKUP(C102,'Recetas y precios'!$A$5:$W$54,23,FALSE),0))</f>
        <v/>
      </c>
      <c r="J102" s="17">
        <f>G102*I102</f>
        <v/>
      </c>
      <c r="K102" s="6" t="n"/>
      <c r="L102" s="6" t="n"/>
    </row>
    <row r="103">
      <c r="A103" s="34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32">
        <f>IF((F103+G103)&gt;0,G103/(F103+G103),"")</f>
        <v/>
      </c>
      <c r="I103" s="17">
        <f>IF(C103="",0,IFERROR(VLOOKUP(C103,'Recetas y precios'!$A$5:$W$54,23,FALSE),0))</f>
        <v/>
      </c>
      <c r="J103" s="17">
        <f>G103*I103</f>
        <v/>
      </c>
      <c r="K103" s="6" t="n"/>
      <c r="L103" s="6" t="n"/>
    </row>
    <row r="104">
      <c r="A104" s="34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32">
        <f>IF((F104+G104)&gt;0,G104/(F104+G104),"")</f>
        <v/>
      </c>
      <c r="I104" s="17">
        <f>IF(C104="",0,IFERROR(VLOOKUP(C104,'Recetas y precios'!$A$5:$W$54,23,FALSE),0))</f>
        <v/>
      </c>
      <c r="J104" s="17">
        <f>G104*I104</f>
        <v/>
      </c>
      <c r="K104" s="6" t="n"/>
      <c r="L104" s="6" t="n"/>
    </row>
    <row r="105">
      <c r="A105" s="34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32">
        <f>IF((F105+G105)&gt;0,G105/(F105+G105),"")</f>
        <v/>
      </c>
      <c r="I105" s="17">
        <f>IF(C105="",0,IFERROR(VLOOKUP(C105,'Recetas y precios'!$A$5:$W$54,23,FALSE),0))</f>
        <v/>
      </c>
      <c r="J105" s="17">
        <f>G105*I105</f>
        <v/>
      </c>
      <c r="K105" s="6" t="n"/>
      <c r="L105" s="6" t="n"/>
    </row>
    <row r="106">
      <c r="A106" s="34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32">
        <f>IF((F106+G106)&gt;0,G106/(F106+G106),"")</f>
        <v/>
      </c>
      <c r="I106" s="17">
        <f>IF(C106="",0,IFERROR(VLOOKUP(C106,'Recetas y precios'!$A$5:$W$54,23,FALSE),0))</f>
        <v/>
      </c>
      <c r="J106" s="17">
        <f>G106*I106</f>
        <v/>
      </c>
      <c r="K106" s="6" t="n"/>
      <c r="L106" s="6" t="n"/>
    </row>
    <row r="107">
      <c r="A107" s="34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32">
        <f>IF((F107+G107)&gt;0,G107/(F107+G107),"")</f>
        <v/>
      </c>
      <c r="I107" s="17">
        <f>IF(C107="",0,IFERROR(VLOOKUP(C107,'Recetas y precios'!$A$5:$W$54,23,FALSE),0))</f>
        <v/>
      </c>
      <c r="J107" s="17">
        <f>G107*I107</f>
        <v/>
      </c>
      <c r="K107" s="6" t="n"/>
      <c r="L107" s="6" t="n"/>
    </row>
    <row r="108">
      <c r="A108" s="34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32">
        <f>IF((F108+G108)&gt;0,G108/(F108+G108),"")</f>
        <v/>
      </c>
      <c r="I108" s="17">
        <f>IF(C108="",0,IFERROR(VLOOKUP(C108,'Recetas y precios'!$A$5:$W$54,23,FALSE),0))</f>
        <v/>
      </c>
      <c r="J108" s="17">
        <f>G108*I108</f>
        <v/>
      </c>
      <c r="K108" s="6" t="n"/>
      <c r="L108" s="6" t="n"/>
    </row>
    <row r="109">
      <c r="A109" s="34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32">
        <f>IF((F109+G109)&gt;0,G109/(F109+G109),"")</f>
        <v/>
      </c>
      <c r="I109" s="17">
        <f>IF(C109="",0,IFERROR(VLOOKUP(C109,'Recetas y precios'!$A$5:$W$54,23,FALSE),0))</f>
        <v/>
      </c>
      <c r="J109" s="17">
        <f>G109*I109</f>
        <v/>
      </c>
      <c r="K109" s="6" t="n"/>
      <c r="L109" s="6" t="n"/>
    </row>
    <row r="110">
      <c r="A110" s="34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32">
        <f>IF((F110+G110)&gt;0,G110/(F110+G110),"")</f>
        <v/>
      </c>
      <c r="I110" s="17">
        <f>IF(C110="",0,IFERROR(VLOOKUP(C110,'Recetas y precios'!$A$5:$W$54,23,FALSE),0))</f>
        <v/>
      </c>
      <c r="J110" s="17">
        <f>G110*I110</f>
        <v/>
      </c>
      <c r="K110" s="6" t="n"/>
      <c r="L110" s="6" t="n"/>
    </row>
    <row r="111">
      <c r="A111" s="34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32">
        <f>IF((F111+G111)&gt;0,G111/(F111+G111),"")</f>
        <v/>
      </c>
      <c r="I111" s="17">
        <f>IF(C111="",0,IFERROR(VLOOKUP(C111,'Recetas y precios'!$A$5:$W$54,23,FALSE),0))</f>
        <v/>
      </c>
      <c r="J111" s="17">
        <f>G111*I111</f>
        <v/>
      </c>
      <c r="K111" s="6" t="n"/>
      <c r="L111" s="6" t="n"/>
    </row>
    <row r="112">
      <c r="A112" s="34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32">
        <f>IF((F112+G112)&gt;0,G112/(F112+G112),"")</f>
        <v/>
      </c>
      <c r="I112" s="17">
        <f>IF(C112="",0,IFERROR(VLOOKUP(C112,'Recetas y precios'!$A$5:$W$54,23,FALSE),0))</f>
        <v/>
      </c>
      <c r="J112" s="17">
        <f>G112*I112</f>
        <v/>
      </c>
      <c r="K112" s="6" t="n"/>
      <c r="L112" s="6" t="n"/>
    </row>
    <row r="113">
      <c r="A113" s="34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32">
        <f>IF((F113+G113)&gt;0,G113/(F113+G113),"")</f>
        <v/>
      </c>
      <c r="I113" s="17">
        <f>IF(C113="",0,IFERROR(VLOOKUP(C113,'Recetas y precios'!$A$5:$W$54,23,FALSE),0))</f>
        <v/>
      </c>
      <c r="J113" s="17">
        <f>G113*I113</f>
        <v/>
      </c>
      <c r="K113" s="6" t="n"/>
      <c r="L113" s="6" t="n"/>
    </row>
    <row r="114">
      <c r="A114" s="34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32">
        <f>IF((F114+G114)&gt;0,G114/(F114+G114),"")</f>
        <v/>
      </c>
      <c r="I114" s="17">
        <f>IF(C114="",0,IFERROR(VLOOKUP(C114,'Recetas y precios'!$A$5:$W$54,23,FALSE),0))</f>
        <v/>
      </c>
      <c r="J114" s="17">
        <f>G114*I114</f>
        <v/>
      </c>
      <c r="K114" s="6" t="n"/>
      <c r="L114" s="6" t="n"/>
    </row>
    <row r="115">
      <c r="A115" s="34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32">
        <f>IF((F115+G115)&gt;0,G115/(F115+G115),"")</f>
        <v/>
      </c>
      <c r="I115" s="17">
        <f>IF(C115="",0,IFERROR(VLOOKUP(C115,'Recetas y precios'!$A$5:$W$54,23,FALSE),0))</f>
        <v/>
      </c>
      <c r="J115" s="17">
        <f>G115*I115</f>
        <v/>
      </c>
      <c r="K115" s="6" t="n"/>
      <c r="L115" s="6" t="n"/>
    </row>
    <row r="116">
      <c r="A116" s="34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32">
        <f>IF((F116+G116)&gt;0,G116/(F116+G116),"")</f>
        <v/>
      </c>
      <c r="I116" s="17">
        <f>IF(C116="",0,IFERROR(VLOOKUP(C116,'Recetas y precios'!$A$5:$W$54,23,FALSE),0))</f>
        <v/>
      </c>
      <c r="J116" s="17">
        <f>G116*I116</f>
        <v/>
      </c>
      <c r="K116" s="6" t="n"/>
      <c r="L116" s="6" t="n"/>
    </row>
    <row r="117">
      <c r="A117" s="34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32">
        <f>IF((F117+G117)&gt;0,G117/(F117+G117),"")</f>
        <v/>
      </c>
      <c r="I117" s="17">
        <f>IF(C117="",0,IFERROR(VLOOKUP(C117,'Recetas y precios'!$A$5:$W$54,23,FALSE),0))</f>
        <v/>
      </c>
      <c r="J117" s="17">
        <f>G117*I117</f>
        <v/>
      </c>
      <c r="K117" s="6" t="n"/>
      <c r="L117" s="6" t="n"/>
    </row>
    <row r="118">
      <c r="A118" s="34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32">
        <f>IF((F118+G118)&gt;0,G118/(F118+G118),"")</f>
        <v/>
      </c>
      <c r="I118" s="17">
        <f>IF(C118="",0,IFERROR(VLOOKUP(C118,'Recetas y precios'!$A$5:$W$54,23,FALSE),0))</f>
        <v/>
      </c>
      <c r="J118" s="17">
        <f>G118*I118</f>
        <v/>
      </c>
      <c r="K118" s="6" t="n"/>
      <c r="L118" s="6" t="n"/>
    </row>
    <row r="119">
      <c r="A119" s="34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32">
        <f>IF((F119+G119)&gt;0,G119/(F119+G119),"")</f>
        <v/>
      </c>
      <c r="I119" s="17">
        <f>IF(C119="",0,IFERROR(VLOOKUP(C119,'Recetas y precios'!$A$5:$W$54,23,FALSE),0))</f>
        <v/>
      </c>
      <c r="J119" s="17">
        <f>G119*I119</f>
        <v/>
      </c>
      <c r="K119" s="6" t="n"/>
      <c r="L119" s="6" t="n"/>
    </row>
    <row r="120">
      <c r="A120" s="34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32">
        <f>IF((F120+G120)&gt;0,G120/(F120+G120),"")</f>
        <v/>
      </c>
      <c r="I120" s="17">
        <f>IF(C120="",0,IFERROR(VLOOKUP(C120,'Recetas y precios'!$A$5:$W$54,23,FALSE),0))</f>
        <v/>
      </c>
      <c r="J120" s="17">
        <f>G120*I120</f>
        <v/>
      </c>
      <c r="K120" s="6" t="n"/>
      <c r="L120" s="6" t="n"/>
    </row>
    <row r="121">
      <c r="A121" s="34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32">
        <f>IF((F121+G121)&gt;0,G121/(F121+G121),"")</f>
        <v/>
      </c>
      <c r="I121" s="17">
        <f>IF(C121="",0,IFERROR(VLOOKUP(C121,'Recetas y precios'!$A$5:$W$54,23,FALSE),0))</f>
        <v/>
      </c>
      <c r="J121" s="17">
        <f>G121*I121</f>
        <v/>
      </c>
      <c r="K121" s="6" t="n"/>
      <c r="L121" s="6" t="n"/>
    </row>
    <row r="122">
      <c r="A122" s="34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32">
        <f>IF((F122+G122)&gt;0,G122/(F122+G122),"")</f>
        <v/>
      </c>
      <c r="I122" s="17">
        <f>IF(C122="",0,IFERROR(VLOOKUP(C122,'Recetas y precios'!$A$5:$W$54,23,FALSE),0))</f>
        <v/>
      </c>
      <c r="J122" s="17">
        <f>G122*I122</f>
        <v/>
      </c>
      <c r="K122" s="6" t="n"/>
      <c r="L122" s="6" t="n"/>
    </row>
    <row r="123">
      <c r="A123" s="34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32">
        <f>IF((F123+G123)&gt;0,G123/(F123+G123),"")</f>
        <v/>
      </c>
      <c r="I123" s="17">
        <f>IF(C123="",0,IFERROR(VLOOKUP(C123,'Recetas y precios'!$A$5:$W$54,23,FALSE),0))</f>
        <v/>
      </c>
      <c r="J123" s="17">
        <f>G123*I123</f>
        <v/>
      </c>
      <c r="K123" s="6" t="n"/>
      <c r="L123" s="6" t="n"/>
    </row>
    <row r="124">
      <c r="A124" s="34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32">
        <f>IF((F124+G124)&gt;0,G124/(F124+G124),"")</f>
        <v/>
      </c>
      <c r="I124" s="17">
        <f>IF(C124="",0,IFERROR(VLOOKUP(C124,'Recetas y precios'!$A$5:$W$54,23,FALSE),0))</f>
        <v/>
      </c>
      <c r="J124" s="17">
        <f>G124*I124</f>
        <v/>
      </c>
      <c r="K124" s="6" t="n"/>
      <c r="L124" s="6" t="n"/>
    </row>
    <row r="125">
      <c r="A125" s="34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32">
        <f>IF((F125+G125)&gt;0,G125/(F125+G125),"")</f>
        <v/>
      </c>
      <c r="I125" s="17">
        <f>IF(C125="",0,IFERROR(VLOOKUP(C125,'Recetas y precios'!$A$5:$W$54,23,FALSE),0))</f>
        <v/>
      </c>
      <c r="J125" s="17">
        <f>G125*I125</f>
        <v/>
      </c>
      <c r="K125" s="6" t="n"/>
      <c r="L125" s="6" t="n"/>
    </row>
    <row r="126">
      <c r="A126" s="34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32">
        <f>IF((F126+G126)&gt;0,G126/(F126+G126),"")</f>
        <v/>
      </c>
      <c r="I126" s="17">
        <f>IF(C126="",0,IFERROR(VLOOKUP(C126,'Recetas y precios'!$A$5:$W$54,23,FALSE),0))</f>
        <v/>
      </c>
      <c r="J126" s="17">
        <f>G126*I126</f>
        <v/>
      </c>
      <c r="K126" s="6" t="n"/>
      <c r="L126" s="6" t="n"/>
    </row>
    <row r="127">
      <c r="A127" s="34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32">
        <f>IF((F127+G127)&gt;0,G127/(F127+G127),"")</f>
        <v/>
      </c>
      <c r="I127" s="17">
        <f>IF(C127="",0,IFERROR(VLOOKUP(C127,'Recetas y precios'!$A$5:$W$54,23,FALSE),0))</f>
        <v/>
      </c>
      <c r="J127" s="17">
        <f>G127*I127</f>
        <v/>
      </c>
      <c r="K127" s="6" t="n"/>
      <c r="L127" s="6" t="n"/>
    </row>
    <row r="128">
      <c r="A128" s="34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32">
        <f>IF((F128+G128)&gt;0,G128/(F128+G128),"")</f>
        <v/>
      </c>
      <c r="I128" s="17">
        <f>IF(C128="",0,IFERROR(VLOOKUP(C128,'Recetas y precios'!$A$5:$W$54,23,FALSE),0))</f>
        <v/>
      </c>
      <c r="J128" s="17">
        <f>G128*I128</f>
        <v/>
      </c>
      <c r="K128" s="6" t="n"/>
      <c r="L128" s="6" t="n"/>
    </row>
    <row r="129">
      <c r="A129" s="34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32">
        <f>IF((F129+G129)&gt;0,G129/(F129+G129),"")</f>
        <v/>
      </c>
      <c r="I129" s="17">
        <f>IF(C129="",0,IFERROR(VLOOKUP(C129,'Recetas y precios'!$A$5:$W$54,23,FALSE),0))</f>
        <v/>
      </c>
      <c r="J129" s="17">
        <f>G129*I129</f>
        <v/>
      </c>
      <c r="K129" s="6" t="n"/>
      <c r="L129" s="6" t="n"/>
    </row>
    <row r="130">
      <c r="A130" s="34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32">
        <f>IF((F130+G130)&gt;0,G130/(F130+G130),"")</f>
        <v/>
      </c>
      <c r="I130" s="17">
        <f>IF(C130="",0,IFERROR(VLOOKUP(C130,'Recetas y precios'!$A$5:$W$54,23,FALSE),0))</f>
        <v/>
      </c>
      <c r="J130" s="17">
        <f>G130*I130</f>
        <v/>
      </c>
      <c r="K130" s="6" t="n"/>
      <c r="L130" s="6" t="n"/>
    </row>
    <row r="131">
      <c r="A131" s="34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32">
        <f>IF((F131+G131)&gt;0,G131/(F131+G131),"")</f>
        <v/>
      </c>
      <c r="I131" s="17">
        <f>IF(C131="",0,IFERROR(VLOOKUP(C131,'Recetas y precios'!$A$5:$W$54,23,FALSE),0))</f>
        <v/>
      </c>
      <c r="J131" s="17">
        <f>G131*I131</f>
        <v/>
      </c>
      <c r="K131" s="6" t="n"/>
      <c r="L131" s="6" t="n"/>
    </row>
    <row r="132">
      <c r="A132" s="34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32">
        <f>IF((F132+G132)&gt;0,G132/(F132+G132),"")</f>
        <v/>
      </c>
      <c r="I132" s="17">
        <f>IF(C132="",0,IFERROR(VLOOKUP(C132,'Recetas y precios'!$A$5:$W$54,23,FALSE),0))</f>
        <v/>
      </c>
      <c r="J132" s="17">
        <f>G132*I132</f>
        <v/>
      </c>
      <c r="K132" s="6" t="n"/>
      <c r="L132" s="6" t="n"/>
    </row>
    <row r="133">
      <c r="A133" s="34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32">
        <f>IF((F133+G133)&gt;0,G133/(F133+G133),"")</f>
        <v/>
      </c>
      <c r="I133" s="17">
        <f>IF(C133="",0,IFERROR(VLOOKUP(C133,'Recetas y precios'!$A$5:$W$54,23,FALSE),0))</f>
        <v/>
      </c>
      <c r="J133" s="17">
        <f>G133*I133</f>
        <v/>
      </c>
      <c r="K133" s="6" t="n"/>
      <c r="L133" s="6" t="n"/>
    </row>
    <row r="134">
      <c r="A134" s="34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32">
        <f>IF((F134+G134)&gt;0,G134/(F134+G134),"")</f>
        <v/>
      </c>
      <c r="I134" s="17">
        <f>IF(C134="",0,IFERROR(VLOOKUP(C134,'Recetas y precios'!$A$5:$W$54,23,FALSE),0))</f>
        <v/>
      </c>
      <c r="J134" s="17">
        <f>G134*I134</f>
        <v/>
      </c>
      <c r="K134" s="6" t="n"/>
      <c r="L134" s="6" t="n"/>
    </row>
    <row r="135">
      <c r="A135" s="34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32">
        <f>IF((F135+G135)&gt;0,G135/(F135+G135),"")</f>
        <v/>
      </c>
      <c r="I135" s="17">
        <f>IF(C135="",0,IFERROR(VLOOKUP(C135,'Recetas y precios'!$A$5:$W$54,23,FALSE),0))</f>
        <v/>
      </c>
      <c r="J135" s="17">
        <f>G135*I135</f>
        <v/>
      </c>
      <c r="K135" s="6" t="n"/>
      <c r="L135" s="6" t="n"/>
    </row>
    <row r="136">
      <c r="A136" s="34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32">
        <f>IF((F136+G136)&gt;0,G136/(F136+G136),"")</f>
        <v/>
      </c>
      <c r="I136" s="17">
        <f>IF(C136="",0,IFERROR(VLOOKUP(C136,'Recetas y precios'!$A$5:$W$54,23,FALSE),0))</f>
        <v/>
      </c>
      <c r="J136" s="17">
        <f>G136*I136</f>
        <v/>
      </c>
      <c r="K136" s="6" t="n"/>
      <c r="L136" s="6" t="n"/>
    </row>
    <row r="137">
      <c r="A137" s="34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32">
        <f>IF((F137+G137)&gt;0,G137/(F137+G137),"")</f>
        <v/>
      </c>
      <c r="I137" s="17">
        <f>IF(C137="",0,IFERROR(VLOOKUP(C137,'Recetas y precios'!$A$5:$W$54,23,FALSE),0))</f>
        <v/>
      </c>
      <c r="J137" s="17">
        <f>G137*I137</f>
        <v/>
      </c>
      <c r="K137" s="6" t="n"/>
      <c r="L137" s="6" t="n"/>
    </row>
    <row r="138">
      <c r="A138" s="34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32">
        <f>IF((F138+G138)&gt;0,G138/(F138+G138),"")</f>
        <v/>
      </c>
      <c r="I138" s="17">
        <f>IF(C138="",0,IFERROR(VLOOKUP(C138,'Recetas y precios'!$A$5:$W$54,23,FALSE),0))</f>
        <v/>
      </c>
      <c r="J138" s="17">
        <f>G138*I138</f>
        <v/>
      </c>
      <c r="K138" s="6" t="n"/>
      <c r="L138" s="6" t="n"/>
    </row>
    <row r="139">
      <c r="A139" s="34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32">
        <f>IF((F139+G139)&gt;0,G139/(F139+G139),"")</f>
        <v/>
      </c>
      <c r="I139" s="17">
        <f>IF(C139="",0,IFERROR(VLOOKUP(C139,'Recetas y precios'!$A$5:$W$54,23,FALSE),0))</f>
        <v/>
      </c>
      <c r="J139" s="17">
        <f>G139*I139</f>
        <v/>
      </c>
      <c r="K139" s="6" t="n"/>
      <c r="L139" s="6" t="n"/>
    </row>
    <row r="140">
      <c r="A140" s="34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32">
        <f>IF((F140+G140)&gt;0,G140/(F140+G140),"")</f>
        <v/>
      </c>
      <c r="I140" s="17">
        <f>IF(C140="",0,IFERROR(VLOOKUP(C140,'Recetas y precios'!$A$5:$W$54,23,FALSE),0))</f>
        <v/>
      </c>
      <c r="J140" s="17">
        <f>G140*I140</f>
        <v/>
      </c>
      <c r="K140" s="6" t="n"/>
      <c r="L140" s="6" t="n"/>
    </row>
    <row r="141">
      <c r="A141" s="34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32">
        <f>IF((F141+G141)&gt;0,G141/(F141+G141),"")</f>
        <v/>
      </c>
      <c r="I141" s="17">
        <f>IF(C141="",0,IFERROR(VLOOKUP(C141,'Recetas y precios'!$A$5:$W$54,23,FALSE),0))</f>
        <v/>
      </c>
      <c r="J141" s="17">
        <f>G141*I141</f>
        <v/>
      </c>
      <c r="K141" s="6" t="n"/>
      <c r="L141" s="6" t="n"/>
    </row>
    <row r="142">
      <c r="A142" s="34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32">
        <f>IF((F142+G142)&gt;0,G142/(F142+G142),"")</f>
        <v/>
      </c>
      <c r="I142" s="17">
        <f>IF(C142="",0,IFERROR(VLOOKUP(C142,'Recetas y precios'!$A$5:$W$54,23,FALSE),0))</f>
        <v/>
      </c>
      <c r="J142" s="17">
        <f>G142*I142</f>
        <v/>
      </c>
      <c r="K142" s="6" t="n"/>
      <c r="L142" s="6" t="n"/>
    </row>
    <row r="143">
      <c r="A143" s="34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32">
        <f>IF((F143+G143)&gt;0,G143/(F143+G143),"")</f>
        <v/>
      </c>
      <c r="I143" s="17">
        <f>IF(C143="",0,IFERROR(VLOOKUP(C143,'Recetas y precios'!$A$5:$W$54,23,FALSE),0))</f>
        <v/>
      </c>
      <c r="J143" s="17">
        <f>G143*I143</f>
        <v/>
      </c>
      <c r="K143" s="6" t="n"/>
      <c r="L143" s="6" t="n"/>
    </row>
    <row r="144">
      <c r="A144" s="34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32">
        <f>IF((F144+G144)&gt;0,G144/(F144+G144),"")</f>
        <v/>
      </c>
      <c r="I144" s="17">
        <f>IF(C144="",0,IFERROR(VLOOKUP(C144,'Recetas y precios'!$A$5:$W$54,23,FALSE),0))</f>
        <v/>
      </c>
      <c r="J144" s="17">
        <f>G144*I144</f>
        <v/>
      </c>
      <c r="K144" s="6" t="n"/>
      <c r="L144" s="6" t="n"/>
    </row>
    <row r="145">
      <c r="A145" s="34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32">
        <f>IF((F145+G145)&gt;0,G145/(F145+G145),"")</f>
        <v/>
      </c>
      <c r="I145" s="17">
        <f>IF(C145="",0,IFERROR(VLOOKUP(C145,'Recetas y precios'!$A$5:$W$54,23,FALSE),0))</f>
        <v/>
      </c>
      <c r="J145" s="17">
        <f>G145*I145</f>
        <v/>
      </c>
      <c r="K145" s="6" t="n"/>
      <c r="L145" s="6" t="n"/>
    </row>
    <row r="146">
      <c r="A146" s="34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32">
        <f>IF((F146+G146)&gt;0,G146/(F146+G146),"")</f>
        <v/>
      </c>
      <c r="I146" s="17">
        <f>IF(C146="",0,IFERROR(VLOOKUP(C146,'Recetas y precios'!$A$5:$W$54,23,FALSE),0))</f>
        <v/>
      </c>
      <c r="J146" s="17">
        <f>G146*I146</f>
        <v/>
      </c>
      <c r="K146" s="6" t="n"/>
      <c r="L146" s="6" t="n"/>
    </row>
    <row r="147">
      <c r="A147" s="34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32">
        <f>IF((F147+G147)&gt;0,G147/(F147+G147),"")</f>
        <v/>
      </c>
      <c r="I147" s="17">
        <f>IF(C147="",0,IFERROR(VLOOKUP(C147,'Recetas y precios'!$A$5:$W$54,23,FALSE),0))</f>
        <v/>
      </c>
      <c r="J147" s="17">
        <f>G147*I147</f>
        <v/>
      </c>
      <c r="K147" s="6" t="n"/>
      <c r="L147" s="6" t="n"/>
    </row>
    <row r="148">
      <c r="A148" s="34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32">
        <f>IF((F148+G148)&gt;0,G148/(F148+G148),"")</f>
        <v/>
      </c>
      <c r="I148" s="17">
        <f>IF(C148="",0,IFERROR(VLOOKUP(C148,'Recetas y precios'!$A$5:$W$54,23,FALSE),0))</f>
        <v/>
      </c>
      <c r="J148" s="17">
        <f>G148*I148</f>
        <v/>
      </c>
      <c r="K148" s="6" t="n"/>
      <c r="L148" s="6" t="n"/>
    </row>
    <row r="149">
      <c r="A149" s="34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32">
        <f>IF((F149+G149)&gt;0,G149/(F149+G149),"")</f>
        <v/>
      </c>
      <c r="I149" s="17">
        <f>IF(C149="",0,IFERROR(VLOOKUP(C149,'Recetas y precios'!$A$5:$W$54,23,FALSE),0))</f>
        <v/>
      </c>
      <c r="J149" s="17">
        <f>G149*I149</f>
        <v/>
      </c>
      <c r="K149" s="6" t="n"/>
      <c r="L149" s="6" t="n"/>
    </row>
    <row r="150">
      <c r="A150" s="34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32">
        <f>IF((F150+G150)&gt;0,G150/(F150+G150),"")</f>
        <v/>
      </c>
      <c r="I150" s="17">
        <f>IF(C150="",0,IFERROR(VLOOKUP(C150,'Recetas y precios'!$A$5:$W$54,23,FALSE),0))</f>
        <v/>
      </c>
      <c r="J150" s="17">
        <f>G150*I150</f>
        <v/>
      </c>
      <c r="K150" s="6" t="n"/>
      <c r="L150" s="6" t="n"/>
    </row>
    <row r="151">
      <c r="A151" s="34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32">
        <f>IF((F151+G151)&gt;0,G151/(F151+G151),"")</f>
        <v/>
      </c>
      <c r="I151" s="17">
        <f>IF(C151="",0,IFERROR(VLOOKUP(C151,'Recetas y precios'!$A$5:$W$54,23,FALSE),0))</f>
        <v/>
      </c>
      <c r="J151" s="17">
        <f>G151*I151</f>
        <v/>
      </c>
      <c r="K151" s="6" t="n"/>
      <c r="L151" s="6" t="n"/>
    </row>
    <row r="152">
      <c r="A152" s="34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32">
        <f>IF((F152+G152)&gt;0,G152/(F152+G152),"")</f>
        <v/>
      </c>
      <c r="I152" s="17">
        <f>IF(C152="",0,IFERROR(VLOOKUP(C152,'Recetas y precios'!$A$5:$W$54,23,FALSE),0))</f>
        <v/>
      </c>
      <c r="J152" s="17">
        <f>G152*I152</f>
        <v/>
      </c>
      <c r="K152" s="6" t="n"/>
      <c r="L152" s="6" t="n"/>
    </row>
    <row r="153">
      <c r="A153" s="34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32">
        <f>IF((F153+G153)&gt;0,G153/(F153+G153),"")</f>
        <v/>
      </c>
      <c r="I153" s="17">
        <f>IF(C153="",0,IFERROR(VLOOKUP(C153,'Recetas y precios'!$A$5:$W$54,23,FALSE),0))</f>
        <v/>
      </c>
      <c r="J153" s="17">
        <f>G153*I153</f>
        <v/>
      </c>
      <c r="K153" s="6" t="n"/>
      <c r="L153" s="6" t="n"/>
    </row>
    <row r="154">
      <c r="A154" s="34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32">
        <f>IF((F154+G154)&gt;0,G154/(F154+G154),"")</f>
        <v/>
      </c>
      <c r="I154" s="17">
        <f>IF(C154="",0,IFERROR(VLOOKUP(C154,'Recetas y precios'!$A$5:$W$54,23,FALSE),0))</f>
        <v/>
      </c>
      <c r="J154" s="17">
        <f>G154*I154</f>
        <v/>
      </c>
      <c r="K154" s="6" t="n"/>
      <c r="L154" s="6" t="n"/>
    </row>
    <row r="155">
      <c r="A155" s="34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32">
        <f>IF((F155+G155)&gt;0,G155/(F155+G155),"")</f>
        <v/>
      </c>
      <c r="I155" s="17">
        <f>IF(C155="",0,IFERROR(VLOOKUP(C155,'Recetas y precios'!$A$5:$W$54,23,FALSE),0))</f>
        <v/>
      </c>
      <c r="J155" s="17">
        <f>G155*I155</f>
        <v/>
      </c>
      <c r="K155" s="6" t="n"/>
      <c r="L155" s="6" t="n"/>
    </row>
    <row r="156">
      <c r="A156" s="34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32">
        <f>IF((F156+G156)&gt;0,G156/(F156+G156),"")</f>
        <v/>
      </c>
      <c r="I156" s="17">
        <f>IF(C156="",0,IFERROR(VLOOKUP(C156,'Recetas y precios'!$A$5:$W$54,23,FALSE),0))</f>
        <v/>
      </c>
      <c r="J156" s="17">
        <f>G156*I156</f>
        <v/>
      </c>
      <c r="K156" s="6" t="n"/>
      <c r="L156" s="6" t="n"/>
    </row>
    <row r="157">
      <c r="A157" s="34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32">
        <f>IF((F157+G157)&gt;0,G157/(F157+G157),"")</f>
        <v/>
      </c>
      <c r="I157" s="17">
        <f>IF(C157="",0,IFERROR(VLOOKUP(C157,'Recetas y precios'!$A$5:$W$54,23,FALSE),0))</f>
        <v/>
      </c>
      <c r="J157" s="17">
        <f>G157*I157</f>
        <v/>
      </c>
      <c r="K157" s="6" t="n"/>
      <c r="L157" s="6" t="n"/>
    </row>
    <row r="158">
      <c r="A158" s="34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32">
        <f>IF((F158+G158)&gt;0,G158/(F158+G158),"")</f>
        <v/>
      </c>
      <c r="I158" s="17">
        <f>IF(C158="",0,IFERROR(VLOOKUP(C158,'Recetas y precios'!$A$5:$W$54,23,FALSE),0))</f>
        <v/>
      </c>
      <c r="J158" s="17">
        <f>G158*I158</f>
        <v/>
      </c>
      <c r="K158" s="6" t="n"/>
      <c r="L158" s="6" t="n"/>
    </row>
    <row r="159">
      <c r="A159" s="34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32">
        <f>IF((F159+G159)&gt;0,G159/(F159+G159),"")</f>
        <v/>
      </c>
      <c r="I159" s="17">
        <f>IF(C159="",0,IFERROR(VLOOKUP(C159,'Recetas y precios'!$A$5:$W$54,23,FALSE),0))</f>
        <v/>
      </c>
      <c r="J159" s="17">
        <f>G159*I159</f>
        <v/>
      </c>
      <c r="K159" s="6" t="n"/>
      <c r="L159" s="6" t="n"/>
    </row>
    <row r="160">
      <c r="A160" s="34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32">
        <f>IF((F160+G160)&gt;0,G160/(F160+G160),"")</f>
        <v/>
      </c>
      <c r="I160" s="17">
        <f>IF(C160="",0,IFERROR(VLOOKUP(C160,'Recetas y precios'!$A$5:$W$54,23,FALSE),0))</f>
        <v/>
      </c>
      <c r="J160" s="17">
        <f>G160*I160</f>
        <v/>
      </c>
      <c r="K160" s="6" t="n"/>
      <c r="L160" s="6" t="n"/>
    </row>
    <row r="161">
      <c r="A161" s="34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32">
        <f>IF((F161+G161)&gt;0,G161/(F161+G161),"")</f>
        <v/>
      </c>
      <c r="I161" s="17">
        <f>IF(C161="",0,IFERROR(VLOOKUP(C161,'Recetas y precios'!$A$5:$W$54,23,FALSE),0))</f>
        <v/>
      </c>
      <c r="J161" s="17">
        <f>G161*I161</f>
        <v/>
      </c>
      <c r="K161" s="6" t="n"/>
      <c r="L161" s="6" t="n"/>
    </row>
    <row r="162">
      <c r="A162" s="34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32">
        <f>IF((F162+G162)&gt;0,G162/(F162+G162),"")</f>
        <v/>
      </c>
      <c r="I162" s="17">
        <f>IF(C162="",0,IFERROR(VLOOKUP(C162,'Recetas y precios'!$A$5:$W$54,23,FALSE),0))</f>
        <v/>
      </c>
      <c r="J162" s="17">
        <f>G162*I162</f>
        <v/>
      </c>
      <c r="K162" s="6" t="n"/>
      <c r="L162" s="6" t="n"/>
    </row>
    <row r="163">
      <c r="A163" s="34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32">
        <f>IF((F163+G163)&gt;0,G163/(F163+G163),"")</f>
        <v/>
      </c>
      <c r="I163" s="17">
        <f>IF(C163="",0,IFERROR(VLOOKUP(C163,'Recetas y precios'!$A$5:$W$54,23,FALSE),0))</f>
        <v/>
      </c>
      <c r="J163" s="17">
        <f>G163*I163</f>
        <v/>
      </c>
      <c r="K163" s="6" t="n"/>
      <c r="L163" s="6" t="n"/>
    </row>
    <row r="164">
      <c r="A164" s="34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32">
        <f>IF((F164+G164)&gt;0,G164/(F164+G164),"")</f>
        <v/>
      </c>
      <c r="I164" s="17">
        <f>IF(C164="",0,IFERROR(VLOOKUP(C164,'Recetas y precios'!$A$5:$W$54,23,FALSE),0))</f>
        <v/>
      </c>
      <c r="J164" s="17">
        <f>G164*I164</f>
        <v/>
      </c>
      <c r="K164" s="6" t="n"/>
      <c r="L164" s="6" t="n"/>
    </row>
    <row r="165">
      <c r="A165" s="34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32">
        <f>IF((F165+G165)&gt;0,G165/(F165+G165),"")</f>
        <v/>
      </c>
      <c r="I165" s="17">
        <f>IF(C165="",0,IFERROR(VLOOKUP(C165,'Recetas y precios'!$A$5:$W$54,23,FALSE),0))</f>
        <v/>
      </c>
      <c r="J165" s="17">
        <f>G165*I165</f>
        <v/>
      </c>
      <c r="K165" s="6" t="n"/>
      <c r="L165" s="6" t="n"/>
    </row>
    <row r="166">
      <c r="A166" s="34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32">
        <f>IF((F166+G166)&gt;0,G166/(F166+G166),"")</f>
        <v/>
      </c>
      <c r="I166" s="17">
        <f>IF(C166="",0,IFERROR(VLOOKUP(C166,'Recetas y precios'!$A$5:$W$54,23,FALSE),0))</f>
        <v/>
      </c>
      <c r="J166" s="17">
        <f>G166*I166</f>
        <v/>
      </c>
      <c r="K166" s="6" t="n"/>
      <c r="L166" s="6" t="n"/>
    </row>
    <row r="167">
      <c r="A167" s="34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32">
        <f>IF((F167+G167)&gt;0,G167/(F167+G167),"")</f>
        <v/>
      </c>
      <c r="I167" s="17">
        <f>IF(C167="",0,IFERROR(VLOOKUP(C167,'Recetas y precios'!$A$5:$W$54,23,FALSE),0))</f>
        <v/>
      </c>
      <c r="J167" s="17">
        <f>G167*I167</f>
        <v/>
      </c>
      <c r="K167" s="6" t="n"/>
      <c r="L167" s="6" t="n"/>
    </row>
    <row r="168">
      <c r="A168" s="34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32">
        <f>IF((F168+G168)&gt;0,G168/(F168+G168),"")</f>
        <v/>
      </c>
      <c r="I168" s="17">
        <f>IF(C168="",0,IFERROR(VLOOKUP(C168,'Recetas y precios'!$A$5:$W$54,23,FALSE),0))</f>
        <v/>
      </c>
      <c r="J168" s="17">
        <f>G168*I168</f>
        <v/>
      </c>
      <c r="K168" s="6" t="n"/>
      <c r="L168" s="6" t="n"/>
    </row>
    <row r="169">
      <c r="A169" s="34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32">
        <f>IF((F169+G169)&gt;0,G169/(F169+G169),"")</f>
        <v/>
      </c>
      <c r="I169" s="17">
        <f>IF(C169="",0,IFERROR(VLOOKUP(C169,'Recetas y precios'!$A$5:$W$54,23,FALSE),0))</f>
        <v/>
      </c>
      <c r="J169" s="17">
        <f>G169*I169</f>
        <v/>
      </c>
      <c r="K169" s="6" t="n"/>
      <c r="L169" s="6" t="n"/>
    </row>
    <row r="170">
      <c r="A170" s="34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32">
        <f>IF((F170+G170)&gt;0,G170/(F170+G170),"")</f>
        <v/>
      </c>
      <c r="I170" s="17">
        <f>IF(C170="",0,IFERROR(VLOOKUP(C170,'Recetas y precios'!$A$5:$W$54,23,FALSE),0))</f>
        <v/>
      </c>
      <c r="J170" s="17">
        <f>G170*I170</f>
        <v/>
      </c>
      <c r="K170" s="6" t="n"/>
      <c r="L170" s="6" t="n"/>
    </row>
    <row r="171">
      <c r="A171" s="34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32">
        <f>IF((F171+G171)&gt;0,G171/(F171+G171),"")</f>
        <v/>
      </c>
      <c r="I171" s="17">
        <f>IF(C171="",0,IFERROR(VLOOKUP(C171,'Recetas y precios'!$A$5:$W$54,23,FALSE),0))</f>
        <v/>
      </c>
      <c r="J171" s="17">
        <f>G171*I171</f>
        <v/>
      </c>
      <c r="K171" s="6" t="n"/>
      <c r="L171" s="6" t="n"/>
    </row>
    <row r="172">
      <c r="A172" s="34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32">
        <f>IF((F172+G172)&gt;0,G172/(F172+G172),"")</f>
        <v/>
      </c>
      <c r="I172" s="17">
        <f>IF(C172="",0,IFERROR(VLOOKUP(C172,'Recetas y precios'!$A$5:$W$54,23,FALSE),0))</f>
        <v/>
      </c>
      <c r="J172" s="17">
        <f>G172*I172</f>
        <v/>
      </c>
      <c r="K172" s="6" t="n"/>
      <c r="L172" s="6" t="n"/>
    </row>
    <row r="173">
      <c r="A173" s="34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32">
        <f>IF((F173+G173)&gt;0,G173/(F173+G173),"")</f>
        <v/>
      </c>
      <c r="I173" s="17">
        <f>IF(C173="",0,IFERROR(VLOOKUP(C173,'Recetas y precios'!$A$5:$W$54,23,FALSE),0))</f>
        <v/>
      </c>
      <c r="J173" s="17">
        <f>G173*I173</f>
        <v/>
      </c>
      <c r="K173" s="6" t="n"/>
      <c r="L173" s="6" t="n"/>
    </row>
    <row r="174">
      <c r="A174" s="34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32">
        <f>IF((F174+G174)&gt;0,G174/(F174+G174),"")</f>
        <v/>
      </c>
      <c r="I174" s="17">
        <f>IF(C174="",0,IFERROR(VLOOKUP(C174,'Recetas y precios'!$A$5:$W$54,23,FALSE),0))</f>
        <v/>
      </c>
      <c r="J174" s="17">
        <f>G174*I174</f>
        <v/>
      </c>
      <c r="K174" s="6" t="n"/>
      <c r="L174" s="6" t="n"/>
    </row>
    <row r="175">
      <c r="A175" s="34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32">
        <f>IF((F175+G175)&gt;0,G175/(F175+G175),"")</f>
        <v/>
      </c>
      <c r="I175" s="17">
        <f>IF(C175="",0,IFERROR(VLOOKUP(C175,'Recetas y precios'!$A$5:$W$54,23,FALSE),0))</f>
        <v/>
      </c>
      <c r="J175" s="17">
        <f>G175*I175</f>
        <v/>
      </c>
      <c r="K175" s="6" t="n"/>
      <c r="L175" s="6" t="n"/>
    </row>
    <row r="176">
      <c r="A176" s="34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32">
        <f>IF((F176+G176)&gt;0,G176/(F176+G176),"")</f>
        <v/>
      </c>
      <c r="I176" s="17">
        <f>IF(C176="",0,IFERROR(VLOOKUP(C176,'Recetas y precios'!$A$5:$W$54,23,FALSE),0))</f>
        <v/>
      </c>
      <c r="J176" s="17">
        <f>G176*I176</f>
        <v/>
      </c>
      <c r="K176" s="6" t="n"/>
      <c r="L176" s="6" t="n"/>
    </row>
    <row r="177">
      <c r="A177" s="34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32">
        <f>IF((F177+G177)&gt;0,G177/(F177+G177),"")</f>
        <v/>
      </c>
      <c r="I177" s="17">
        <f>IF(C177="",0,IFERROR(VLOOKUP(C177,'Recetas y precios'!$A$5:$W$54,23,FALSE),0))</f>
        <v/>
      </c>
      <c r="J177" s="17">
        <f>G177*I177</f>
        <v/>
      </c>
      <c r="K177" s="6" t="n"/>
      <c r="L177" s="6" t="n"/>
    </row>
    <row r="178">
      <c r="A178" s="34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32">
        <f>IF((F178+G178)&gt;0,G178/(F178+G178),"")</f>
        <v/>
      </c>
      <c r="I178" s="17">
        <f>IF(C178="",0,IFERROR(VLOOKUP(C178,'Recetas y precios'!$A$5:$W$54,23,FALSE),0))</f>
        <v/>
      </c>
      <c r="J178" s="17">
        <f>G178*I178</f>
        <v/>
      </c>
      <c r="K178" s="6" t="n"/>
      <c r="L178" s="6" t="n"/>
    </row>
    <row r="179">
      <c r="A179" s="34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32">
        <f>IF((F179+G179)&gt;0,G179/(F179+G179),"")</f>
        <v/>
      </c>
      <c r="I179" s="17">
        <f>IF(C179="",0,IFERROR(VLOOKUP(C179,'Recetas y precios'!$A$5:$W$54,23,FALSE),0))</f>
        <v/>
      </c>
      <c r="J179" s="17">
        <f>G179*I179</f>
        <v/>
      </c>
      <c r="K179" s="6" t="n"/>
      <c r="L179" s="6" t="n"/>
    </row>
    <row r="180">
      <c r="A180" s="34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32">
        <f>IF((F180+G180)&gt;0,G180/(F180+G180),"")</f>
        <v/>
      </c>
      <c r="I180" s="17">
        <f>IF(C180="",0,IFERROR(VLOOKUP(C180,'Recetas y precios'!$A$5:$W$54,23,FALSE),0))</f>
        <v/>
      </c>
      <c r="J180" s="17">
        <f>G180*I180</f>
        <v/>
      </c>
      <c r="K180" s="6" t="n"/>
      <c r="L180" s="6" t="n"/>
    </row>
    <row r="181">
      <c r="A181" s="34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32">
        <f>IF((F181+G181)&gt;0,G181/(F181+G181),"")</f>
        <v/>
      </c>
      <c r="I181" s="17">
        <f>IF(C181="",0,IFERROR(VLOOKUP(C181,'Recetas y precios'!$A$5:$W$54,23,FALSE),0))</f>
        <v/>
      </c>
      <c r="J181" s="17">
        <f>G181*I181</f>
        <v/>
      </c>
      <c r="K181" s="6" t="n"/>
      <c r="L181" s="6" t="n"/>
    </row>
    <row r="182">
      <c r="A182" s="34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32">
        <f>IF((F182+G182)&gt;0,G182/(F182+G182),"")</f>
        <v/>
      </c>
      <c r="I182" s="17">
        <f>IF(C182="",0,IFERROR(VLOOKUP(C182,'Recetas y precios'!$A$5:$W$54,23,FALSE),0))</f>
        <v/>
      </c>
      <c r="J182" s="17">
        <f>G182*I182</f>
        <v/>
      </c>
      <c r="K182" s="6" t="n"/>
      <c r="L182" s="6" t="n"/>
    </row>
    <row r="183">
      <c r="A183" s="34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32">
        <f>IF((F183+G183)&gt;0,G183/(F183+G183),"")</f>
        <v/>
      </c>
      <c r="I183" s="17">
        <f>IF(C183="",0,IFERROR(VLOOKUP(C183,'Recetas y precios'!$A$5:$W$54,23,FALSE),0))</f>
        <v/>
      </c>
      <c r="J183" s="17">
        <f>G183*I183</f>
        <v/>
      </c>
      <c r="K183" s="6" t="n"/>
      <c r="L183" s="6" t="n"/>
    </row>
    <row r="184">
      <c r="A184" s="34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32">
        <f>IF((F184+G184)&gt;0,G184/(F184+G184),"")</f>
        <v/>
      </c>
      <c r="I184" s="17">
        <f>IF(C184="",0,IFERROR(VLOOKUP(C184,'Recetas y precios'!$A$5:$W$54,23,FALSE),0))</f>
        <v/>
      </c>
      <c r="J184" s="17">
        <f>G184*I184</f>
        <v/>
      </c>
      <c r="K184" s="6" t="n"/>
      <c r="L184" s="6" t="n"/>
    </row>
    <row r="185">
      <c r="A185" s="34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32">
        <f>IF((F185+G185)&gt;0,G185/(F185+G185),"")</f>
        <v/>
      </c>
      <c r="I185" s="17">
        <f>IF(C185="",0,IFERROR(VLOOKUP(C185,'Recetas y precios'!$A$5:$W$54,23,FALSE),0))</f>
        <v/>
      </c>
      <c r="J185" s="17">
        <f>G185*I185</f>
        <v/>
      </c>
      <c r="K185" s="6" t="n"/>
      <c r="L185" s="6" t="n"/>
    </row>
    <row r="186">
      <c r="A186" s="34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32">
        <f>IF((F186+G186)&gt;0,G186/(F186+G186),"")</f>
        <v/>
      </c>
      <c r="I186" s="17">
        <f>IF(C186="",0,IFERROR(VLOOKUP(C186,'Recetas y precios'!$A$5:$W$54,23,FALSE),0))</f>
        <v/>
      </c>
      <c r="J186" s="17">
        <f>G186*I186</f>
        <v/>
      </c>
      <c r="K186" s="6" t="n"/>
      <c r="L186" s="6" t="n"/>
    </row>
    <row r="187">
      <c r="A187" s="34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32">
        <f>IF((F187+G187)&gt;0,G187/(F187+G187),"")</f>
        <v/>
      </c>
      <c r="I187" s="17">
        <f>IF(C187="",0,IFERROR(VLOOKUP(C187,'Recetas y precios'!$A$5:$W$54,23,FALSE),0))</f>
        <v/>
      </c>
      <c r="J187" s="17">
        <f>G187*I187</f>
        <v/>
      </c>
      <c r="K187" s="6" t="n"/>
      <c r="L187" s="6" t="n"/>
    </row>
    <row r="188">
      <c r="A188" s="34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32">
        <f>IF((F188+G188)&gt;0,G188/(F188+G188),"")</f>
        <v/>
      </c>
      <c r="I188" s="17">
        <f>IF(C188="",0,IFERROR(VLOOKUP(C188,'Recetas y precios'!$A$5:$W$54,23,FALSE),0))</f>
        <v/>
      </c>
      <c r="J188" s="17">
        <f>G188*I188</f>
        <v/>
      </c>
      <c r="K188" s="6" t="n"/>
      <c r="L188" s="6" t="n"/>
    </row>
    <row r="189">
      <c r="A189" s="34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32">
        <f>IF((F189+G189)&gt;0,G189/(F189+G189),"")</f>
        <v/>
      </c>
      <c r="I189" s="17">
        <f>IF(C189="",0,IFERROR(VLOOKUP(C189,'Recetas y precios'!$A$5:$W$54,23,FALSE),0))</f>
        <v/>
      </c>
      <c r="J189" s="17">
        <f>G189*I189</f>
        <v/>
      </c>
      <c r="K189" s="6" t="n"/>
      <c r="L189" s="6" t="n"/>
    </row>
    <row r="190">
      <c r="A190" s="34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32">
        <f>IF((F190+G190)&gt;0,G190/(F190+G190),"")</f>
        <v/>
      </c>
      <c r="I190" s="17">
        <f>IF(C190="",0,IFERROR(VLOOKUP(C190,'Recetas y precios'!$A$5:$W$54,23,FALSE),0))</f>
        <v/>
      </c>
      <c r="J190" s="17">
        <f>G190*I190</f>
        <v/>
      </c>
      <c r="K190" s="6" t="n"/>
      <c r="L190" s="6" t="n"/>
    </row>
    <row r="191">
      <c r="A191" s="34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32">
        <f>IF((F191+G191)&gt;0,G191/(F191+G191),"")</f>
        <v/>
      </c>
      <c r="I191" s="17">
        <f>IF(C191="",0,IFERROR(VLOOKUP(C191,'Recetas y precios'!$A$5:$W$54,23,FALSE),0))</f>
        <v/>
      </c>
      <c r="J191" s="17">
        <f>G191*I191</f>
        <v/>
      </c>
      <c r="K191" s="6" t="n"/>
      <c r="L191" s="6" t="n"/>
    </row>
    <row r="192">
      <c r="A192" s="34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32">
        <f>IF((F192+G192)&gt;0,G192/(F192+G192),"")</f>
        <v/>
      </c>
      <c r="I192" s="17">
        <f>IF(C192="",0,IFERROR(VLOOKUP(C192,'Recetas y precios'!$A$5:$W$54,23,FALSE),0))</f>
        <v/>
      </c>
      <c r="J192" s="17">
        <f>G192*I192</f>
        <v/>
      </c>
      <c r="K192" s="6" t="n"/>
      <c r="L192" s="6" t="n"/>
    </row>
    <row r="193">
      <c r="A193" s="34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32">
        <f>IF((F193+G193)&gt;0,G193/(F193+G193),"")</f>
        <v/>
      </c>
      <c r="I193" s="17">
        <f>IF(C193="",0,IFERROR(VLOOKUP(C193,'Recetas y precios'!$A$5:$W$54,23,FALSE),0))</f>
        <v/>
      </c>
      <c r="J193" s="17">
        <f>G193*I193</f>
        <v/>
      </c>
      <c r="K193" s="6" t="n"/>
      <c r="L193" s="6" t="n"/>
    </row>
    <row r="194">
      <c r="A194" s="34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32">
        <f>IF((F194+G194)&gt;0,G194/(F194+G194),"")</f>
        <v/>
      </c>
      <c r="I194" s="17">
        <f>IF(C194="",0,IFERROR(VLOOKUP(C194,'Recetas y precios'!$A$5:$W$54,23,FALSE),0))</f>
        <v/>
      </c>
      <c r="J194" s="17">
        <f>G194*I194</f>
        <v/>
      </c>
      <c r="K194" s="6" t="n"/>
      <c r="L194" s="6" t="n"/>
    </row>
    <row r="195">
      <c r="A195" s="34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32">
        <f>IF((F195+G195)&gt;0,G195/(F195+G195),"")</f>
        <v/>
      </c>
      <c r="I195" s="17">
        <f>IF(C195="",0,IFERROR(VLOOKUP(C195,'Recetas y precios'!$A$5:$W$54,23,FALSE),0))</f>
        <v/>
      </c>
      <c r="J195" s="17">
        <f>G195*I195</f>
        <v/>
      </c>
      <c r="K195" s="6" t="n"/>
      <c r="L195" s="6" t="n"/>
    </row>
    <row r="196">
      <c r="A196" s="34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32">
        <f>IF((F196+G196)&gt;0,G196/(F196+G196),"")</f>
        <v/>
      </c>
      <c r="I196" s="17">
        <f>IF(C196="",0,IFERROR(VLOOKUP(C196,'Recetas y precios'!$A$5:$W$54,23,FALSE),0))</f>
        <v/>
      </c>
      <c r="J196" s="17">
        <f>G196*I196</f>
        <v/>
      </c>
      <c r="K196" s="6" t="n"/>
      <c r="L196" s="6" t="n"/>
    </row>
    <row r="197">
      <c r="A197" s="34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32">
        <f>IF((F197+G197)&gt;0,G197/(F197+G197),"")</f>
        <v/>
      </c>
      <c r="I197" s="17">
        <f>IF(C197="",0,IFERROR(VLOOKUP(C197,'Recetas y precios'!$A$5:$W$54,23,FALSE),0))</f>
        <v/>
      </c>
      <c r="J197" s="17">
        <f>G197*I197</f>
        <v/>
      </c>
      <c r="K197" s="6" t="n"/>
      <c r="L197" s="6" t="n"/>
    </row>
    <row r="198">
      <c r="A198" s="34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32">
        <f>IF((F198+G198)&gt;0,G198/(F198+G198),"")</f>
        <v/>
      </c>
      <c r="I198" s="17">
        <f>IF(C198="",0,IFERROR(VLOOKUP(C198,'Recetas y precios'!$A$5:$W$54,23,FALSE),0))</f>
        <v/>
      </c>
      <c r="J198" s="17">
        <f>G198*I198</f>
        <v/>
      </c>
      <c r="K198" s="6" t="n"/>
      <c r="L198" s="6" t="n"/>
    </row>
    <row r="199">
      <c r="A199" s="34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32">
        <f>IF((F199+G199)&gt;0,G199/(F199+G199),"")</f>
        <v/>
      </c>
      <c r="I199" s="17">
        <f>IF(C199="",0,IFERROR(VLOOKUP(C199,'Recetas y precios'!$A$5:$W$54,23,FALSE),0))</f>
        <v/>
      </c>
      <c r="J199" s="17">
        <f>G199*I199</f>
        <v/>
      </c>
      <c r="K199" s="6" t="n"/>
      <c r="L199" s="6" t="n"/>
    </row>
    <row r="200">
      <c r="A200" s="34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32">
        <f>IF((F200+G200)&gt;0,G200/(F200+G200),"")</f>
        <v/>
      </c>
      <c r="I200" s="17">
        <f>IF(C200="",0,IFERROR(VLOOKUP(C200,'Recetas y precios'!$A$5:$W$54,23,FALSE),0))</f>
        <v/>
      </c>
      <c r="J200" s="17">
        <f>G200*I200</f>
        <v/>
      </c>
      <c r="K200" s="6" t="n"/>
      <c r="L200" s="6" t="n"/>
    </row>
    <row r="201">
      <c r="A201" s="34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32">
        <f>IF((F201+G201)&gt;0,G201/(F201+G201),"")</f>
        <v/>
      </c>
      <c r="I201" s="17">
        <f>IF(C201="",0,IFERROR(VLOOKUP(C201,'Recetas y precios'!$A$5:$W$54,23,FALSE),0))</f>
        <v/>
      </c>
      <c r="J201" s="17">
        <f>G201*I201</f>
        <v/>
      </c>
      <c r="K201" s="6" t="n"/>
      <c r="L201" s="6" t="n"/>
    </row>
    <row r="202">
      <c r="A202" s="34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32">
        <f>IF((F202+G202)&gt;0,G202/(F202+G202),"")</f>
        <v/>
      </c>
      <c r="I202" s="17">
        <f>IF(C202="",0,IFERROR(VLOOKUP(C202,'Recetas y precios'!$A$5:$W$54,23,FALSE),0))</f>
        <v/>
      </c>
      <c r="J202" s="17">
        <f>G202*I202</f>
        <v/>
      </c>
      <c r="K202" s="6" t="n"/>
      <c r="L202" s="6" t="n"/>
    </row>
    <row r="203">
      <c r="A203" s="34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32">
        <f>IF((F203+G203)&gt;0,G203/(F203+G203),"")</f>
        <v/>
      </c>
      <c r="I203" s="17">
        <f>IF(C203="",0,IFERROR(VLOOKUP(C203,'Recetas y precios'!$A$5:$W$54,23,FALSE),0))</f>
        <v/>
      </c>
      <c r="J203" s="17">
        <f>G203*I203</f>
        <v/>
      </c>
      <c r="K203" s="6" t="n"/>
      <c r="L203" s="6" t="n"/>
    </row>
    <row r="204">
      <c r="A204" s="34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32">
        <f>IF((F204+G204)&gt;0,G204/(F204+G204),"")</f>
        <v/>
      </c>
      <c r="I204" s="17">
        <f>IF(C204="",0,IFERROR(VLOOKUP(C204,'Recetas y precios'!$A$5:$W$54,23,FALSE),0))</f>
        <v/>
      </c>
      <c r="J204" s="17">
        <f>G204*I204</f>
        <v/>
      </c>
      <c r="K204" s="6" t="n"/>
      <c r="L204" s="6" t="n"/>
    </row>
    <row r="205">
      <c r="A205" s="34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32">
        <f>IF((F205+G205)&gt;0,G205/(F205+G205),"")</f>
        <v/>
      </c>
      <c r="I205" s="17">
        <f>IF(C205="",0,IFERROR(VLOOKUP(C205,'Recetas y precios'!$A$5:$W$54,23,FALSE),0))</f>
        <v/>
      </c>
      <c r="J205" s="17">
        <f>G205*I205</f>
        <v/>
      </c>
      <c r="K205" s="6" t="n"/>
      <c r="L205" s="6" t="n"/>
    </row>
    <row r="206">
      <c r="A206" s="34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32">
        <f>IF((F206+G206)&gt;0,G206/(F206+G206),"")</f>
        <v/>
      </c>
      <c r="I206" s="17">
        <f>IF(C206="",0,IFERROR(VLOOKUP(C206,'Recetas y precios'!$A$5:$W$54,23,FALSE),0))</f>
        <v/>
      </c>
      <c r="J206" s="17">
        <f>G206*I206</f>
        <v/>
      </c>
      <c r="K206" s="6" t="n"/>
      <c r="L206" s="6" t="n"/>
    </row>
    <row r="207">
      <c r="A207" s="34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32">
        <f>IF((F207+G207)&gt;0,G207/(F207+G207),"")</f>
        <v/>
      </c>
      <c r="I207" s="17">
        <f>IF(C207="",0,IFERROR(VLOOKUP(C207,'Recetas y precios'!$A$5:$W$54,23,FALSE),0))</f>
        <v/>
      </c>
      <c r="J207" s="17">
        <f>G207*I207</f>
        <v/>
      </c>
      <c r="K207" s="6" t="n"/>
      <c r="L207" s="6" t="n"/>
    </row>
    <row r="208">
      <c r="A208" s="34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32">
        <f>IF((F208+G208)&gt;0,G208/(F208+G208),"")</f>
        <v/>
      </c>
      <c r="I208" s="17">
        <f>IF(C208="",0,IFERROR(VLOOKUP(C208,'Recetas y precios'!$A$5:$W$54,23,FALSE),0))</f>
        <v/>
      </c>
      <c r="J208" s="17">
        <f>G208*I208</f>
        <v/>
      </c>
      <c r="K208" s="6" t="n"/>
      <c r="L208" s="6" t="n"/>
    </row>
    <row r="209">
      <c r="A209" s="34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32">
        <f>IF((F209+G209)&gt;0,G209/(F209+G209),"")</f>
        <v/>
      </c>
      <c r="I209" s="17">
        <f>IF(C209="",0,IFERROR(VLOOKUP(C209,'Recetas y precios'!$A$5:$W$54,23,FALSE),0))</f>
        <v/>
      </c>
      <c r="J209" s="17">
        <f>G209*I209</f>
        <v/>
      </c>
      <c r="K209" s="6" t="n"/>
      <c r="L209" s="6" t="n"/>
    </row>
    <row r="210">
      <c r="A210" s="34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32">
        <f>IF((F210+G210)&gt;0,G210/(F210+G210),"")</f>
        <v/>
      </c>
      <c r="I210" s="17">
        <f>IF(C210="",0,IFERROR(VLOOKUP(C210,'Recetas y precios'!$A$5:$W$54,23,FALSE),0))</f>
        <v/>
      </c>
      <c r="J210" s="17">
        <f>G210*I210</f>
        <v/>
      </c>
      <c r="K210" s="6" t="n"/>
      <c r="L210" s="6" t="n"/>
    </row>
    <row r="211">
      <c r="A211" s="34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32">
        <f>IF((F211+G211)&gt;0,G211/(F211+G211),"")</f>
        <v/>
      </c>
      <c r="I211" s="17">
        <f>IF(C211="",0,IFERROR(VLOOKUP(C211,'Recetas y precios'!$A$5:$W$54,23,FALSE),0))</f>
        <v/>
      </c>
      <c r="J211" s="17">
        <f>G211*I211</f>
        <v/>
      </c>
      <c r="K211" s="6" t="n"/>
      <c r="L211" s="6" t="n"/>
    </row>
    <row r="212">
      <c r="A212" s="34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32">
        <f>IF((F212+G212)&gt;0,G212/(F212+G212),"")</f>
        <v/>
      </c>
      <c r="I212" s="17">
        <f>IF(C212="",0,IFERROR(VLOOKUP(C212,'Recetas y precios'!$A$5:$W$54,23,FALSE),0))</f>
        <v/>
      </c>
      <c r="J212" s="17">
        <f>G212*I212</f>
        <v/>
      </c>
      <c r="K212" s="6" t="n"/>
      <c r="L212" s="6" t="n"/>
    </row>
    <row r="213">
      <c r="A213" s="34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32">
        <f>IF((F213+G213)&gt;0,G213/(F213+G213),"")</f>
        <v/>
      </c>
      <c r="I213" s="17">
        <f>IF(C213="",0,IFERROR(VLOOKUP(C213,'Recetas y precios'!$A$5:$W$54,23,FALSE),0))</f>
        <v/>
      </c>
      <c r="J213" s="17">
        <f>G213*I213</f>
        <v/>
      </c>
      <c r="K213" s="6" t="n"/>
      <c r="L213" s="6" t="n"/>
    </row>
    <row r="214">
      <c r="A214" s="34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32">
        <f>IF((F214+G214)&gt;0,G214/(F214+G214),"")</f>
        <v/>
      </c>
      <c r="I214" s="17">
        <f>IF(C214="",0,IFERROR(VLOOKUP(C214,'Recetas y precios'!$A$5:$W$54,23,FALSE),0))</f>
        <v/>
      </c>
      <c r="J214" s="17">
        <f>G214*I214</f>
        <v/>
      </c>
      <c r="K214" s="6" t="n"/>
      <c r="L214" s="6" t="n"/>
    </row>
    <row r="215">
      <c r="A215" s="34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32">
        <f>IF((F215+G215)&gt;0,G215/(F215+G215),"")</f>
        <v/>
      </c>
      <c r="I215" s="17">
        <f>IF(C215="",0,IFERROR(VLOOKUP(C215,'Recetas y precios'!$A$5:$W$54,23,FALSE),0))</f>
        <v/>
      </c>
      <c r="J215" s="17">
        <f>G215*I215</f>
        <v/>
      </c>
      <c r="K215" s="6" t="n"/>
      <c r="L215" s="6" t="n"/>
    </row>
    <row r="216">
      <c r="A216" s="34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32">
        <f>IF((F216+G216)&gt;0,G216/(F216+G216),"")</f>
        <v/>
      </c>
      <c r="I216" s="17">
        <f>IF(C216="",0,IFERROR(VLOOKUP(C216,'Recetas y precios'!$A$5:$W$54,23,FALSE),0))</f>
        <v/>
      </c>
      <c r="J216" s="17">
        <f>G216*I216</f>
        <v/>
      </c>
      <c r="K216" s="6" t="n"/>
      <c r="L216" s="6" t="n"/>
    </row>
    <row r="217">
      <c r="A217" s="34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32">
        <f>IF((F217+G217)&gt;0,G217/(F217+G217),"")</f>
        <v/>
      </c>
      <c r="I217" s="17">
        <f>IF(C217="",0,IFERROR(VLOOKUP(C217,'Recetas y precios'!$A$5:$W$54,23,FALSE),0))</f>
        <v/>
      </c>
      <c r="J217" s="17">
        <f>G217*I217</f>
        <v/>
      </c>
      <c r="K217" s="6" t="n"/>
      <c r="L217" s="6" t="n"/>
    </row>
    <row r="218">
      <c r="A218" s="34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32">
        <f>IF((F218+G218)&gt;0,G218/(F218+G218),"")</f>
        <v/>
      </c>
      <c r="I218" s="17">
        <f>IF(C218="",0,IFERROR(VLOOKUP(C218,'Recetas y precios'!$A$5:$W$54,23,FALSE),0))</f>
        <v/>
      </c>
      <c r="J218" s="17">
        <f>G218*I218</f>
        <v/>
      </c>
      <c r="K218" s="6" t="n"/>
      <c r="L218" s="6" t="n"/>
    </row>
    <row r="219">
      <c r="A219" s="34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32">
        <f>IF((F219+G219)&gt;0,G219/(F219+G219),"")</f>
        <v/>
      </c>
      <c r="I219" s="17">
        <f>IF(C219="",0,IFERROR(VLOOKUP(C219,'Recetas y precios'!$A$5:$W$54,23,FALSE),0))</f>
        <v/>
      </c>
      <c r="J219" s="17">
        <f>G219*I219</f>
        <v/>
      </c>
      <c r="K219" s="6" t="n"/>
      <c r="L219" s="6" t="n"/>
    </row>
    <row r="220">
      <c r="A220" s="34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32">
        <f>IF((F220+G220)&gt;0,G220/(F220+G220),"")</f>
        <v/>
      </c>
      <c r="I220" s="17">
        <f>IF(C220="",0,IFERROR(VLOOKUP(C220,'Recetas y precios'!$A$5:$W$54,23,FALSE),0))</f>
        <v/>
      </c>
      <c r="J220" s="17">
        <f>G220*I220</f>
        <v/>
      </c>
      <c r="K220" s="6" t="n"/>
      <c r="L220" s="6" t="n"/>
    </row>
    <row r="221">
      <c r="A221" s="34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32">
        <f>IF((F221+G221)&gt;0,G221/(F221+G221),"")</f>
        <v/>
      </c>
      <c r="I221" s="17">
        <f>IF(C221="",0,IFERROR(VLOOKUP(C221,'Recetas y precios'!$A$5:$W$54,23,FALSE),0))</f>
        <v/>
      </c>
      <c r="J221" s="17">
        <f>G221*I221</f>
        <v/>
      </c>
      <c r="K221" s="6" t="n"/>
      <c r="L221" s="6" t="n"/>
    </row>
    <row r="222">
      <c r="A222" s="34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32">
        <f>IF((F222+G222)&gt;0,G222/(F222+G222),"")</f>
        <v/>
      </c>
      <c r="I222" s="17">
        <f>IF(C222="",0,IFERROR(VLOOKUP(C222,'Recetas y precios'!$A$5:$W$54,23,FALSE),0))</f>
        <v/>
      </c>
      <c r="J222" s="17">
        <f>G222*I222</f>
        <v/>
      </c>
      <c r="K222" s="6" t="n"/>
      <c r="L222" s="6" t="n"/>
    </row>
    <row r="223">
      <c r="A223" s="34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32">
        <f>IF((F223+G223)&gt;0,G223/(F223+G223),"")</f>
        <v/>
      </c>
      <c r="I223" s="17">
        <f>IF(C223="",0,IFERROR(VLOOKUP(C223,'Recetas y precios'!$A$5:$W$54,23,FALSE),0))</f>
        <v/>
      </c>
      <c r="J223" s="17">
        <f>G223*I223</f>
        <v/>
      </c>
      <c r="K223" s="6" t="n"/>
      <c r="L223" s="6" t="n"/>
    </row>
    <row r="224">
      <c r="A224" s="34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32">
        <f>IF((F224+G224)&gt;0,G224/(F224+G224),"")</f>
        <v/>
      </c>
      <c r="I224" s="17">
        <f>IF(C224="",0,IFERROR(VLOOKUP(C224,'Recetas y precios'!$A$5:$W$54,23,FALSE),0))</f>
        <v/>
      </c>
      <c r="J224" s="17">
        <f>G224*I224</f>
        <v/>
      </c>
      <c r="K224" s="6" t="n"/>
      <c r="L224" s="6" t="n"/>
    </row>
    <row r="225">
      <c r="A225" s="34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32">
        <f>IF((F225+G225)&gt;0,G225/(F225+G225),"")</f>
        <v/>
      </c>
      <c r="I225" s="17">
        <f>IF(C225="",0,IFERROR(VLOOKUP(C225,'Recetas y precios'!$A$5:$W$54,23,FALSE),0))</f>
        <v/>
      </c>
      <c r="J225" s="17">
        <f>G225*I225</f>
        <v/>
      </c>
      <c r="K225" s="6" t="n"/>
      <c r="L225" s="6" t="n"/>
    </row>
    <row r="226">
      <c r="A226" s="34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32">
        <f>IF((F226+G226)&gt;0,G226/(F226+G226),"")</f>
        <v/>
      </c>
      <c r="I226" s="17">
        <f>IF(C226="",0,IFERROR(VLOOKUP(C226,'Recetas y precios'!$A$5:$W$54,23,FALSE),0))</f>
        <v/>
      </c>
      <c r="J226" s="17">
        <f>G226*I226</f>
        <v/>
      </c>
      <c r="K226" s="6" t="n"/>
      <c r="L226" s="6" t="n"/>
    </row>
    <row r="227">
      <c r="A227" s="34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32">
        <f>IF((F227+G227)&gt;0,G227/(F227+G227),"")</f>
        <v/>
      </c>
      <c r="I227" s="17">
        <f>IF(C227="",0,IFERROR(VLOOKUP(C227,'Recetas y precios'!$A$5:$W$54,23,FALSE),0))</f>
        <v/>
      </c>
      <c r="J227" s="17">
        <f>G227*I227</f>
        <v/>
      </c>
      <c r="K227" s="6" t="n"/>
      <c r="L227" s="6" t="n"/>
    </row>
    <row r="228">
      <c r="A228" s="34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32">
        <f>IF((F228+G228)&gt;0,G228/(F228+G228),"")</f>
        <v/>
      </c>
      <c r="I228" s="17">
        <f>IF(C228="",0,IFERROR(VLOOKUP(C228,'Recetas y precios'!$A$5:$W$54,23,FALSE),0))</f>
        <v/>
      </c>
      <c r="J228" s="17">
        <f>G228*I228</f>
        <v/>
      </c>
      <c r="K228" s="6" t="n"/>
      <c r="L228" s="6" t="n"/>
    </row>
    <row r="229">
      <c r="A229" s="34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32">
        <f>IF((F229+G229)&gt;0,G229/(F229+G229),"")</f>
        <v/>
      </c>
      <c r="I229" s="17">
        <f>IF(C229="",0,IFERROR(VLOOKUP(C229,'Recetas y precios'!$A$5:$W$54,23,FALSE),0))</f>
        <v/>
      </c>
      <c r="J229" s="17">
        <f>G229*I229</f>
        <v/>
      </c>
      <c r="K229" s="6" t="n"/>
      <c r="L229" s="6" t="n"/>
    </row>
    <row r="230">
      <c r="A230" s="34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32">
        <f>IF((F230+G230)&gt;0,G230/(F230+G230),"")</f>
        <v/>
      </c>
      <c r="I230" s="17">
        <f>IF(C230="",0,IFERROR(VLOOKUP(C230,'Recetas y precios'!$A$5:$W$54,23,FALSE),0))</f>
        <v/>
      </c>
      <c r="J230" s="17">
        <f>G230*I230</f>
        <v/>
      </c>
      <c r="K230" s="6" t="n"/>
      <c r="L230" s="6" t="n"/>
    </row>
    <row r="231">
      <c r="A231" s="34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32">
        <f>IF((F231+G231)&gt;0,G231/(F231+G231),"")</f>
        <v/>
      </c>
      <c r="I231" s="17">
        <f>IF(C231="",0,IFERROR(VLOOKUP(C231,'Recetas y precios'!$A$5:$W$54,23,FALSE),0))</f>
        <v/>
      </c>
      <c r="J231" s="17">
        <f>G231*I231</f>
        <v/>
      </c>
      <c r="K231" s="6" t="n"/>
      <c r="L231" s="6" t="n"/>
    </row>
    <row r="232">
      <c r="A232" s="34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32">
        <f>IF((F232+G232)&gt;0,G232/(F232+G232),"")</f>
        <v/>
      </c>
      <c r="I232" s="17">
        <f>IF(C232="",0,IFERROR(VLOOKUP(C232,'Recetas y precios'!$A$5:$W$54,23,FALSE),0))</f>
        <v/>
      </c>
      <c r="J232" s="17">
        <f>G232*I232</f>
        <v/>
      </c>
      <c r="K232" s="6" t="n"/>
      <c r="L232" s="6" t="n"/>
    </row>
    <row r="233">
      <c r="A233" s="34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32">
        <f>IF((F233+G233)&gt;0,G233/(F233+G233),"")</f>
        <v/>
      </c>
      <c r="I233" s="17">
        <f>IF(C233="",0,IFERROR(VLOOKUP(C233,'Recetas y precios'!$A$5:$W$54,23,FALSE),0))</f>
        <v/>
      </c>
      <c r="J233" s="17">
        <f>G233*I233</f>
        <v/>
      </c>
      <c r="K233" s="6" t="n"/>
      <c r="L233" s="6" t="n"/>
    </row>
    <row r="234">
      <c r="A234" s="34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32">
        <f>IF((F234+G234)&gt;0,G234/(F234+G234),"")</f>
        <v/>
      </c>
      <c r="I234" s="17">
        <f>IF(C234="",0,IFERROR(VLOOKUP(C234,'Recetas y precios'!$A$5:$W$54,23,FALSE),0))</f>
        <v/>
      </c>
      <c r="J234" s="17">
        <f>G234*I234</f>
        <v/>
      </c>
      <c r="K234" s="6" t="n"/>
      <c r="L234" s="6" t="n"/>
    </row>
    <row r="235">
      <c r="A235" s="34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32">
        <f>IF((F235+G235)&gt;0,G235/(F235+G235),"")</f>
        <v/>
      </c>
      <c r="I235" s="17">
        <f>IF(C235="",0,IFERROR(VLOOKUP(C235,'Recetas y precios'!$A$5:$W$54,23,FALSE),0))</f>
        <v/>
      </c>
      <c r="J235" s="17">
        <f>G235*I235</f>
        <v/>
      </c>
      <c r="K235" s="6" t="n"/>
      <c r="L235" s="6" t="n"/>
    </row>
    <row r="236">
      <c r="A236" s="34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32">
        <f>IF((F236+G236)&gt;0,G236/(F236+G236),"")</f>
        <v/>
      </c>
      <c r="I236" s="17">
        <f>IF(C236="",0,IFERROR(VLOOKUP(C236,'Recetas y precios'!$A$5:$W$54,23,FALSE),0))</f>
        <v/>
      </c>
      <c r="J236" s="17">
        <f>G236*I236</f>
        <v/>
      </c>
      <c r="K236" s="6" t="n"/>
      <c r="L236" s="6" t="n"/>
    </row>
    <row r="237">
      <c r="A237" s="34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32">
        <f>IF((F237+G237)&gt;0,G237/(F237+G237),"")</f>
        <v/>
      </c>
      <c r="I237" s="17">
        <f>IF(C237="",0,IFERROR(VLOOKUP(C237,'Recetas y precios'!$A$5:$W$54,23,FALSE),0))</f>
        <v/>
      </c>
      <c r="J237" s="17">
        <f>G237*I237</f>
        <v/>
      </c>
      <c r="K237" s="6" t="n"/>
      <c r="L237" s="6" t="n"/>
    </row>
    <row r="238">
      <c r="A238" s="34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32">
        <f>IF((F238+G238)&gt;0,G238/(F238+G238),"")</f>
        <v/>
      </c>
      <c r="I238" s="17">
        <f>IF(C238="",0,IFERROR(VLOOKUP(C238,'Recetas y precios'!$A$5:$W$54,23,FALSE),0))</f>
        <v/>
      </c>
      <c r="J238" s="17">
        <f>G238*I238</f>
        <v/>
      </c>
      <c r="K238" s="6" t="n"/>
      <c r="L238" s="6" t="n"/>
    </row>
    <row r="239">
      <c r="A239" s="34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32">
        <f>IF((F239+G239)&gt;0,G239/(F239+G239),"")</f>
        <v/>
      </c>
      <c r="I239" s="17">
        <f>IF(C239="",0,IFERROR(VLOOKUP(C239,'Recetas y precios'!$A$5:$W$54,23,FALSE),0))</f>
        <v/>
      </c>
      <c r="J239" s="17">
        <f>G239*I239</f>
        <v/>
      </c>
      <c r="K239" s="6" t="n"/>
      <c r="L239" s="6" t="n"/>
    </row>
    <row r="240">
      <c r="A240" s="34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32">
        <f>IF((F240+G240)&gt;0,G240/(F240+G240),"")</f>
        <v/>
      </c>
      <c r="I240" s="17">
        <f>IF(C240="",0,IFERROR(VLOOKUP(C240,'Recetas y precios'!$A$5:$W$54,23,FALSE),0))</f>
        <v/>
      </c>
      <c r="J240" s="17">
        <f>G240*I240</f>
        <v/>
      </c>
      <c r="K240" s="6" t="n"/>
      <c r="L240" s="6" t="n"/>
    </row>
    <row r="241">
      <c r="A241" s="34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32">
        <f>IF((F241+G241)&gt;0,G241/(F241+G241),"")</f>
        <v/>
      </c>
      <c r="I241" s="17">
        <f>IF(C241="",0,IFERROR(VLOOKUP(C241,'Recetas y precios'!$A$5:$W$54,23,FALSE),0))</f>
        <v/>
      </c>
      <c r="J241" s="17">
        <f>G241*I241</f>
        <v/>
      </c>
      <c r="K241" s="6" t="n"/>
      <c r="L241" s="6" t="n"/>
    </row>
    <row r="242">
      <c r="A242" s="34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32">
        <f>IF((F242+G242)&gt;0,G242/(F242+G242),"")</f>
        <v/>
      </c>
      <c r="I242" s="17">
        <f>IF(C242="",0,IFERROR(VLOOKUP(C242,'Recetas y precios'!$A$5:$W$54,23,FALSE),0))</f>
        <v/>
      </c>
      <c r="J242" s="17">
        <f>G242*I242</f>
        <v/>
      </c>
      <c r="K242" s="6" t="n"/>
      <c r="L242" s="6" t="n"/>
    </row>
    <row r="243">
      <c r="A243" s="34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32">
        <f>IF((F243+G243)&gt;0,G243/(F243+G243),"")</f>
        <v/>
      </c>
      <c r="I243" s="17">
        <f>IF(C243="",0,IFERROR(VLOOKUP(C243,'Recetas y precios'!$A$5:$W$54,23,FALSE),0))</f>
        <v/>
      </c>
      <c r="J243" s="17">
        <f>G243*I243</f>
        <v/>
      </c>
      <c r="K243" s="6" t="n"/>
      <c r="L243" s="6" t="n"/>
    </row>
    <row r="244">
      <c r="A244" s="34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32">
        <f>IF((F244+G244)&gt;0,G244/(F244+G244),"")</f>
        <v/>
      </c>
      <c r="I244" s="17">
        <f>IF(C244="",0,IFERROR(VLOOKUP(C244,'Recetas y precios'!$A$5:$W$54,23,FALSE),0))</f>
        <v/>
      </c>
      <c r="J244" s="17">
        <f>G244*I244</f>
        <v/>
      </c>
      <c r="K244" s="6" t="n"/>
      <c r="L244" s="6" t="n"/>
    </row>
    <row r="245">
      <c r="A245" s="34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32">
        <f>IF((F245+G245)&gt;0,G245/(F245+G245),"")</f>
        <v/>
      </c>
      <c r="I245" s="17">
        <f>IF(C245="",0,IFERROR(VLOOKUP(C245,'Recetas y precios'!$A$5:$W$54,23,FALSE),0))</f>
        <v/>
      </c>
      <c r="J245" s="17">
        <f>G245*I245</f>
        <v/>
      </c>
      <c r="K245" s="6" t="n"/>
      <c r="L245" s="6" t="n"/>
    </row>
    <row r="246">
      <c r="A246" s="34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32">
        <f>IF((F246+G246)&gt;0,G246/(F246+G246),"")</f>
        <v/>
      </c>
      <c r="I246" s="17">
        <f>IF(C246="",0,IFERROR(VLOOKUP(C246,'Recetas y precios'!$A$5:$W$54,23,FALSE),0))</f>
        <v/>
      </c>
      <c r="J246" s="17">
        <f>G246*I246</f>
        <v/>
      </c>
      <c r="K246" s="6" t="n"/>
      <c r="L246" s="6" t="n"/>
    </row>
    <row r="247">
      <c r="A247" s="34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32">
        <f>IF((F247+G247)&gt;0,G247/(F247+G247),"")</f>
        <v/>
      </c>
      <c r="I247" s="17">
        <f>IF(C247="",0,IFERROR(VLOOKUP(C247,'Recetas y precios'!$A$5:$W$54,23,FALSE),0))</f>
        <v/>
      </c>
      <c r="J247" s="17">
        <f>G247*I247</f>
        <v/>
      </c>
      <c r="K247" s="6" t="n"/>
      <c r="L247" s="6" t="n"/>
    </row>
    <row r="248">
      <c r="A248" s="34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32">
        <f>IF((F248+G248)&gt;0,G248/(F248+G248),"")</f>
        <v/>
      </c>
      <c r="I248" s="17">
        <f>IF(C248="",0,IFERROR(VLOOKUP(C248,'Recetas y precios'!$A$5:$W$54,23,FALSE),0))</f>
        <v/>
      </c>
      <c r="J248" s="17">
        <f>G248*I248</f>
        <v/>
      </c>
      <c r="K248" s="6" t="n"/>
      <c r="L248" s="6" t="n"/>
    </row>
    <row r="249">
      <c r="A249" s="34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32">
        <f>IF((F249+G249)&gt;0,G249/(F249+G249),"")</f>
        <v/>
      </c>
      <c r="I249" s="17">
        <f>IF(C249="",0,IFERROR(VLOOKUP(C249,'Recetas y precios'!$A$5:$W$54,23,FALSE),0))</f>
        <v/>
      </c>
      <c r="J249" s="17">
        <f>G249*I249</f>
        <v/>
      </c>
      <c r="K249" s="6" t="n"/>
      <c r="L249" s="6" t="n"/>
    </row>
    <row r="250">
      <c r="A250" s="34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32">
        <f>IF((F250+G250)&gt;0,G250/(F250+G250),"")</f>
        <v/>
      </c>
      <c r="I250" s="17">
        <f>IF(C250="",0,IFERROR(VLOOKUP(C250,'Recetas y precios'!$A$5:$W$54,23,FALSE),0))</f>
        <v/>
      </c>
      <c r="J250" s="17">
        <f>G250*I250</f>
        <v/>
      </c>
      <c r="K250" s="6" t="n"/>
      <c r="L250" s="6" t="n"/>
    </row>
    <row r="251">
      <c r="A251" s="34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32">
        <f>IF((F251+G251)&gt;0,G251/(F251+G251),"")</f>
        <v/>
      </c>
      <c r="I251" s="17">
        <f>IF(C251="",0,IFERROR(VLOOKUP(C251,'Recetas y precios'!$A$5:$W$54,23,FALSE),0))</f>
        <v/>
      </c>
      <c r="J251" s="17">
        <f>G251*I251</f>
        <v/>
      </c>
      <c r="K251" s="6" t="n"/>
      <c r="L251" s="6" t="n"/>
    </row>
    <row r="252">
      <c r="A252" s="34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32">
        <f>IF((F252+G252)&gt;0,G252/(F252+G252),"")</f>
        <v/>
      </c>
      <c r="I252" s="17">
        <f>IF(C252="",0,IFERROR(VLOOKUP(C252,'Recetas y precios'!$A$5:$W$54,23,FALSE),0))</f>
        <v/>
      </c>
      <c r="J252" s="17">
        <f>G252*I252</f>
        <v/>
      </c>
      <c r="K252" s="6" t="n"/>
      <c r="L252" s="6" t="n"/>
    </row>
    <row r="253">
      <c r="A253" s="34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32">
        <f>IF((F253+G253)&gt;0,G253/(F253+G253),"")</f>
        <v/>
      </c>
      <c r="I253" s="17">
        <f>IF(C253="",0,IFERROR(VLOOKUP(C253,'Recetas y precios'!$A$5:$W$54,23,FALSE),0))</f>
        <v/>
      </c>
      <c r="J253" s="17">
        <f>G253*I253</f>
        <v/>
      </c>
      <c r="K253" s="6" t="n"/>
      <c r="L253" s="6" t="n"/>
    </row>
    <row r="254">
      <c r="A254" s="34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32">
        <f>IF((F254+G254)&gt;0,G254/(F254+G254),"")</f>
        <v/>
      </c>
      <c r="I254" s="17">
        <f>IF(C254="",0,IFERROR(VLOOKUP(C254,'Recetas y precios'!$A$5:$W$54,23,FALSE),0))</f>
        <v/>
      </c>
      <c r="J254" s="17">
        <f>G254*I254</f>
        <v/>
      </c>
      <c r="K254" s="6" t="n"/>
      <c r="L254" s="6" t="n"/>
    </row>
    <row r="255">
      <c r="A255" s="34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32">
        <f>IF((F255+G255)&gt;0,G255/(F255+G255),"")</f>
        <v/>
      </c>
      <c r="I255" s="17">
        <f>IF(C255="",0,IFERROR(VLOOKUP(C255,'Recetas y precios'!$A$5:$W$54,23,FALSE),0))</f>
        <v/>
      </c>
      <c r="J255" s="17">
        <f>G255*I255</f>
        <v/>
      </c>
      <c r="K255" s="6" t="n"/>
      <c r="L255" s="6" t="n"/>
    </row>
    <row r="256">
      <c r="A256" s="34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32">
        <f>IF((F256+G256)&gt;0,G256/(F256+G256),"")</f>
        <v/>
      </c>
      <c r="I256" s="17">
        <f>IF(C256="",0,IFERROR(VLOOKUP(C256,'Recetas y precios'!$A$5:$W$54,23,FALSE),0))</f>
        <v/>
      </c>
      <c r="J256" s="17">
        <f>G256*I256</f>
        <v/>
      </c>
      <c r="K256" s="6" t="n"/>
      <c r="L256" s="6" t="n"/>
    </row>
    <row r="257">
      <c r="A257" s="34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32">
        <f>IF((F257+G257)&gt;0,G257/(F257+G257),"")</f>
        <v/>
      </c>
      <c r="I257" s="17">
        <f>IF(C257="",0,IFERROR(VLOOKUP(C257,'Recetas y precios'!$A$5:$W$54,23,FALSE),0))</f>
        <v/>
      </c>
      <c r="J257" s="17">
        <f>G257*I257</f>
        <v/>
      </c>
      <c r="K257" s="6" t="n"/>
      <c r="L257" s="6" t="n"/>
    </row>
    <row r="258">
      <c r="A258" s="34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32">
        <f>IF((F258+G258)&gt;0,G258/(F258+G258),"")</f>
        <v/>
      </c>
      <c r="I258" s="17">
        <f>IF(C258="",0,IFERROR(VLOOKUP(C258,'Recetas y precios'!$A$5:$W$54,23,FALSE),0))</f>
        <v/>
      </c>
      <c r="J258" s="17">
        <f>G258*I258</f>
        <v/>
      </c>
      <c r="K258" s="6" t="n"/>
      <c r="L258" s="6" t="n"/>
    </row>
    <row r="259">
      <c r="A259" s="34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32">
        <f>IF((F259+G259)&gt;0,G259/(F259+G259),"")</f>
        <v/>
      </c>
      <c r="I259" s="17">
        <f>IF(C259="",0,IFERROR(VLOOKUP(C259,'Recetas y precios'!$A$5:$W$54,23,FALSE),0))</f>
        <v/>
      </c>
      <c r="J259" s="17">
        <f>G259*I259</f>
        <v/>
      </c>
      <c r="K259" s="6" t="n"/>
      <c r="L259" s="6" t="n"/>
    </row>
    <row r="260">
      <c r="A260" s="34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32">
        <f>IF((F260+G260)&gt;0,G260/(F260+G260),"")</f>
        <v/>
      </c>
      <c r="I260" s="17">
        <f>IF(C260="",0,IFERROR(VLOOKUP(C260,'Recetas y precios'!$A$5:$W$54,23,FALSE),0))</f>
        <v/>
      </c>
      <c r="J260" s="17">
        <f>G260*I260</f>
        <v/>
      </c>
      <c r="K260" s="6" t="n"/>
      <c r="L260" s="6" t="n"/>
    </row>
    <row r="261">
      <c r="A261" s="34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32">
        <f>IF((F261+G261)&gt;0,G261/(F261+G261),"")</f>
        <v/>
      </c>
      <c r="I261" s="17">
        <f>IF(C261="",0,IFERROR(VLOOKUP(C261,'Recetas y precios'!$A$5:$W$54,23,FALSE),0))</f>
        <v/>
      </c>
      <c r="J261" s="17">
        <f>G261*I261</f>
        <v/>
      </c>
      <c r="K261" s="6" t="n"/>
      <c r="L261" s="6" t="n"/>
    </row>
    <row r="262">
      <c r="A262" s="34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32">
        <f>IF((F262+G262)&gt;0,G262/(F262+G262),"")</f>
        <v/>
      </c>
      <c r="I262" s="17">
        <f>IF(C262="",0,IFERROR(VLOOKUP(C262,'Recetas y precios'!$A$5:$W$54,23,FALSE),0))</f>
        <v/>
      </c>
      <c r="J262" s="17">
        <f>G262*I262</f>
        <v/>
      </c>
      <c r="K262" s="6" t="n"/>
      <c r="L262" s="6" t="n"/>
    </row>
    <row r="263">
      <c r="A263" s="34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32">
        <f>IF((F263+G263)&gt;0,G263/(F263+G263),"")</f>
        <v/>
      </c>
      <c r="I263" s="17">
        <f>IF(C263="",0,IFERROR(VLOOKUP(C263,'Recetas y precios'!$A$5:$W$54,23,FALSE),0))</f>
        <v/>
      </c>
      <c r="J263" s="17">
        <f>G263*I263</f>
        <v/>
      </c>
      <c r="K263" s="6" t="n"/>
      <c r="L263" s="6" t="n"/>
    </row>
    <row r="264">
      <c r="A264" s="34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32">
        <f>IF((F264+G264)&gt;0,G264/(F264+G264),"")</f>
        <v/>
      </c>
      <c r="I264" s="17">
        <f>IF(C264="",0,IFERROR(VLOOKUP(C264,'Recetas y precios'!$A$5:$W$54,23,FALSE),0))</f>
        <v/>
      </c>
      <c r="J264" s="17">
        <f>G264*I264</f>
        <v/>
      </c>
      <c r="K264" s="6" t="n"/>
      <c r="L264" s="6" t="n"/>
    </row>
    <row r="265">
      <c r="A265" s="34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32">
        <f>IF((F265+G265)&gt;0,G265/(F265+G265),"")</f>
        <v/>
      </c>
      <c r="I265" s="17">
        <f>IF(C265="",0,IFERROR(VLOOKUP(C265,'Recetas y precios'!$A$5:$W$54,23,FALSE),0))</f>
        <v/>
      </c>
      <c r="J265" s="17">
        <f>G265*I265</f>
        <v/>
      </c>
      <c r="K265" s="6" t="n"/>
      <c r="L265" s="6" t="n"/>
    </row>
    <row r="266">
      <c r="A266" s="34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32">
        <f>IF((F266+G266)&gt;0,G266/(F266+G266),"")</f>
        <v/>
      </c>
      <c r="I266" s="17">
        <f>IF(C266="",0,IFERROR(VLOOKUP(C266,'Recetas y precios'!$A$5:$W$54,23,FALSE),0))</f>
        <v/>
      </c>
      <c r="J266" s="17">
        <f>G266*I266</f>
        <v/>
      </c>
      <c r="K266" s="6" t="n"/>
      <c r="L266" s="6" t="n"/>
    </row>
    <row r="267">
      <c r="A267" s="34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32">
        <f>IF((F267+G267)&gt;0,G267/(F267+G267),"")</f>
        <v/>
      </c>
      <c r="I267" s="17">
        <f>IF(C267="",0,IFERROR(VLOOKUP(C267,'Recetas y precios'!$A$5:$W$54,23,FALSE),0))</f>
        <v/>
      </c>
      <c r="J267" s="17">
        <f>G267*I267</f>
        <v/>
      </c>
      <c r="K267" s="6" t="n"/>
      <c r="L267" s="6" t="n"/>
    </row>
    <row r="268">
      <c r="A268" s="34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32">
        <f>IF((F268+G268)&gt;0,G268/(F268+G268),"")</f>
        <v/>
      </c>
      <c r="I268" s="17">
        <f>IF(C268="",0,IFERROR(VLOOKUP(C268,'Recetas y precios'!$A$5:$W$54,23,FALSE),0))</f>
        <v/>
      </c>
      <c r="J268" s="17">
        <f>G268*I268</f>
        <v/>
      </c>
      <c r="K268" s="6" t="n"/>
      <c r="L268" s="6" t="n"/>
    </row>
    <row r="269">
      <c r="A269" s="34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32">
        <f>IF((F269+G269)&gt;0,G269/(F269+G269),"")</f>
        <v/>
      </c>
      <c r="I269" s="17">
        <f>IF(C269="",0,IFERROR(VLOOKUP(C269,'Recetas y precios'!$A$5:$W$54,23,FALSE),0))</f>
        <v/>
      </c>
      <c r="J269" s="17">
        <f>G269*I269</f>
        <v/>
      </c>
      <c r="K269" s="6" t="n"/>
      <c r="L269" s="6" t="n"/>
    </row>
    <row r="270">
      <c r="A270" s="34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32">
        <f>IF((F270+G270)&gt;0,G270/(F270+G270),"")</f>
        <v/>
      </c>
      <c r="I270" s="17">
        <f>IF(C270="",0,IFERROR(VLOOKUP(C270,'Recetas y precios'!$A$5:$W$54,23,FALSE),0))</f>
        <v/>
      </c>
      <c r="J270" s="17">
        <f>G270*I270</f>
        <v/>
      </c>
      <c r="K270" s="6" t="n"/>
      <c r="L270" s="6" t="n"/>
    </row>
    <row r="271">
      <c r="A271" s="34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32">
        <f>IF((F271+G271)&gt;0,G271/(F271+G271),"")</f>
        <v/>
      </c>
      <c r="I271" s="17">
        <f>IF(C271="",0,IFERROR(VLOOKUP(C271,'Recetas y precios'!$A$5:$W$54,23,FALSE),0))</f>
        <v/>
      </c>
      <c r="J271" s="17">
        <f>G271*I271</f>
        <v/>
      </c>
      <c r="K271" s="6" t="n"/>
      <c r="L271" s="6" t="n"/>
    </row>
    <row r="272">
      <c r="A272" s="34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32">
        <f>IF((F272+G272)&gt;0,G272/(F272+G272),"")</f>
        <v/>
      </c>
      <c r="I272" s="17">
        <f>IF(C272="",0,IFERROR(VLOOKUP(C272,'Recetas y precios'!$A$5:$W$54,23,FALSE),0))</f>
        <v/>
      </c>
      <c r="J272" s="17">
        <f>G272*I272</f>
        <v/>
      </c>
      <c r="K272" s="6" t="n"/>
      <c r="L272" s="6" t="n"/>
    </row>
    <row r="273">
      <c r="A273" s="34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32">
        <f>IF((F273+G273)&gt;0,G273/(F273+G273),"")</f>
        <v/>
      </c>
      <c r="I273" s="17">
        <f>IF(C273="",0,IFERROR(VLOOKUP(C273,'Recetas y precios'!$A$5:$W$54,23,FALSE),0))</f>
        <v/>
      </c>
      <c r="J273" s="17">
        <f>G273*I273</f>
        <v/>
      </c>
      <c r="K273" s="6" t="n"/>
      <c r="L273" s="6" t="n"/>
    </row>
    <row r="274">
      <c r="A274" s="34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32">
        <f>IF((F274+G274)&gt;0,G274/(F274+G274),"")</f>
        <v/>
      </c>
      <c r="I274" s="17">
        <f>IF(C274="",0,IFERROR(VLOOKUP(C274,'Recetas y precios'!$A$5:$W$54,23,FALSE),0))</f>
        <v/>
      </c>
      <c r="J274" s="17">
        <f>G274*I274</f>
        <v/>
      </c>
      <c r="K274" s="6" t="n"/>
      <c r="L274" s="6" t="n"/>
    </row>
    <row r="275">
      <c r="A275" s="34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32">
        <f>IF((F275+G275)&gt;0,G275/(F275+G275),"")</f>
        <v/>
      </c>
      <c r="I275" s="17">
        <f>IF(C275="",0,IFERROR(VLOOKUP(C275,'Recetas y precios'!$A$5:$W$54,23,FALSE),0))</f>
        <v/>
      </c>
      <c r="J275" s="17">
        <f>G275*I275</f>
        <v/>
      </c>
      <c r="K275" s="6" t="n"/>
      <c r="L275" s="6" t="n"/>
    </row>
    <row r="276">
      <c r="A276" s="34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32">
        <f>IF((F276+G276)&gt;0,G276/(F276+G276),"")</f>
        <v/>
      </c>
      <c r="I276" s="17">
        <f>IF(C276="",0,IFERROR(VLOOKUP(C276,'Recetas y precios'!$A$5:$W$54,23,FALSE),0))</f>
        <v/>
      </c>
      <c r="J276" s="17">
        <f>G276*I276</f>
        <v/>
      </c>
      <c r="K276" s="6" t="n"/>
      <c r="L276" s="6" t="n"/>
    </row>
    <row r="277">
      <c r="A277" s="34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32">
        <f>IF((F277+G277)&gt;0,G277/(F277+G277),"")</f>
        <v/>
      </c>
      <c r="I277" s="17">
        <f>IF(C277="",0,IFERROR(VLOOKUP(C277,'Recetas y precios'!$A$5:$W$54,23,FALSE),0))</f>
        <v/>
      </c>
      <c r="J277" s="17">
        <f>G277*I277</f>
        <v/>
      </c>
      <c r="K277" s="6" t="n"/>
      <c r="L277" s="6" t="n"/>
    </row>
    <row r="278">
      <c r="A278" s="34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32">
        <f>IF((F278+G278)&gt;0,G278/(F278+G278),"")</f>
        <v/>
      </c>
      <c r="I278" s="17">
        <f>IF(C278="",0,IFERROR(VLOOKUP(C278,'Recetas y precios'!$A$5:$W$54,23,FALSE),0))</f>
        <v/>
      </c>
      <c r="J278" s="17">
        <f>G278*I278</f>
        <v/>
      </c>
      <c r="K278" s="6" t="n"/>
      <c r="L278" s="6" t="n"/>
    </row>
    <row r="279">
      <c r="A279" s="34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32">
        <f>IF((F279+G279)&gt;0,G279/(F279+G279),"")</f>
        <v/>
      </c>
      <c r="I279" s="17">
        <f>IF(C279="",0,IFERROR(VLOOKUP(C279,'Recetas y precios'!$A$5:$W$54,23,FALSE),0))</f>
        <v/>
      </c>
      <c r="J279" s="17">
        <f>G279*I279</f>
        <v/>
      </c>
      <c r="K279" s="6" t="n"/>
      <c r="L279" s="6" t="n"/>
    </row>
    <row r="280">
      <c r="A280" s="34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32">
        <f>IF((F280+G280)&gt;0,G280/(F280+G280),"")</f>
        <v/>
      </c>
      <c r="I280" s="17">
        <f>IF(C280="",0,IFERROR(VLOOKUP(C280,'Recetas y precios'!$A$5:$W$54,23,FALSE),0))</f>
        <v/>
      </c>
      <c r="J280" s="17">
        <f>G280*I280</f>
        <v/>
      </c>
      <c r="K280" s="6" t="n"/>
      <c r="L280" s="6" t="n"/>
    </row>
    <row r="281">
      <c r="A281" s="34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32">
        <f>IF((F281+G281)&gt;0,G281/(F281+G281),"")</f>
        <v/>
      </c>
      <c r="I281" s="17">
        <f>IF(C281="",0,IFERROR(VLOOKUP(C281,'Recetas y precios'!$A$5:$W$54,23,FALSE),0))</f>
        <v/>
      </c>
      <c r="J281" s="17">
        <f>G281*I281</f>
        <v/>
      </c>
      <c r="K281" s="6" t="n"/>
      <c r="L281" s="6" t="n"/>
    </row>
    <row r="282">
      <c r="A282" s="34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32">
        <f>IF((F282+G282)&gt;0,G282/(F282+G282),"")</f>
        <v/>
      </c>
      <c r="I282" s="17">
        <f>IF(C282="",0,IFERROR(VLOOKUP(C282,'Recetas y precios'!$A$5:$W$54,23,FALSE),0))</f>
        <v/>
      </c>
      <c r="J282" s="17">
        <f>G282*I282</f>
        <v/>
      </c>
      <c r="K282" s="6" t="n"/>
      <c r="L282" s="6" t="n"/>
    </row>
    <row r="283">
      <c r="A283" s="34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32">
        <f>IF((F283+G283)&gt;0,G283/(F283+G283),"")</f>
        <v/>
      </c>
      <c r="I283" s="17">
        <f>IF(C283="",0,IFERROR(VLOOKUP(C283,'Recetas y precios'!$A$5:$W$54,23,FALSE),0))</f>
        <v/>
      </c>
      <c r="J283" s="17">
        <f>G283*I283</f>
        <v/>
      </c>
      <c r="K283" s="6" t="n"/>
      <c r="L283" s="6" t="n"/>
    </row>
    <row r="284">
      <c r="A284" s="34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32">
        <f>IF((F284+G284)&gt;0,G284/(F284+G284),"")</f>
        <v/>
      </c>
      <c r="I284" s="17">
        <f>IF(C284="",0,IFERROR(VLOOKUP(C284,'Recetas y precios'!$A$5:$W$54,23,FALSE),0))</f>
        <v/>
      </c>
      <c r="J284" s="17">
        <f>G284*I284</f>
        <v/>
      </c>
      <c r="K284" s="6" t="n"/>
      <c r="L284" s="6" t="n"/>
    </row>
    <row r="285">
      <c r="A285" s="34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32">
        <f>IF((F285+G285)&gt;0,G285/(F285+G285),"")</f>
        <v/>
      </c>
      <c r="I285" s="17">
        <f>IF(C285="",0,IFERROR(VLOOKUP(C285,'Recetas y precios'!$A$5:$W$54,23,FALSE),0))</f>
        <v/>
      </c>
      <c r="J285" s="17">
        <f>G285*I285</f>
        <v/>
      </c>
      <c r="K285" s="6" t="n"/>
      <c r="L285" s="6" t="n"/>
    </row>
    <row r="286">
      <c r="A286" s="34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32">
        <f>IF((F286+G286)&gt;0,G286/(F286+G286),"")</f>
        <v/>
      </c>
      <c r="I286" s="17">
        <f>IF(C286="",0,IFERROR(VLOOKUP(C286,'Recetas y precios'!$A$5:$W$54,23,FALSE),0))</f>
        <v/>
      </c>
      <c r="J286" s="17">
        <f>G286*I286</f>
        <v/>
      </c>
      <c r="K286" s="6" t="n"/>
      <c r="L286" s="6" t="n"/>
    </row>
    <row r="287">
      <c r="A287" s="34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32">
        <f>IF((F287+G287)&gt;0,G287/(F287+G287),"")</f>
        <v/>
      </c>
      <c r="I287" s="17">
        <f>IF(C287="",0,IFERROR(VLOOKUP(C287,'Recetas y precios'!$A$5:$W$54,23,FALSE),0))</f>
        <v/>
      </c>
      <c r="J287" s="17">
        <f>G287*I287</f>
        <v/>
      </c>
      <c r="K287" s="6" t="n"/>
      <c r="L287" s="6" t="n"/>
    </row>
    <row r="288">
      <c r="A288" s="34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32">
        <f>IF((F288+G288)&gt;0,G288/(F288+G288),"")</f>
        <v/>
      </c>
      <c r="I288" s="17">
        <f>IF(C288="",0,IFERROR(VLOOKUP(C288,'Recetas y precios'!$A$5:$W$54,23,FALSE),0))</f>
        <v/>
      </c>
      <c r="J288" s="17">
        <f>G288*I288</f>
        <v/>
      </c>
      <c r="K288" s="6" t="n"/>
      <c r="L288" s="6" t="n"/>
    </row>
    <row r="289">
      <c r="A289" s="34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32">
        <f>IF((F289+G289)&gt;0,G289/(F289+G289),"")</f>
        <v/>
      </c>
      <c r="I289" s="17">
        <f>IF(C289="",0,IFERROR(VLOOKUP(C289,'Recetas y precios'!$A$5:$W$54,23,FALSE),0))</f>
        <v/>
      </c>
      <c r="J289" s="17">
        <f>G289*I289</f>
        <v/>
      </c>
      <c r="K289" s="6" t="n"/>
      <c r="L289" s="6" t="n"/>
    </row>
    <row r="290">
      <c r="A290" s="34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32">
        <f>IF((F290+G290)&gt;0,G290/(F290+G290),"")</f>
        <v/>
      </c>
      <c r="I290" s="17">
        <f>IF(C290="",0,IFERROR(VLOOKUP(C290,'Recetas y precios'!$A$5:$W$54,23,FALSE),0))</f>
        <v/>
      </c>
      <c r="J290" s="17">
        <f>G290*I290</f>
        <v/>
      </c>
      <c r="K290" s="6" t="n"/>
      <c r="L290" s="6" t="n"/>
    </row>
    <row r="291">
      <c r="A291" s="34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32">
        <f>IF((F291+G291)&gt;0,G291/(F291+G291),"")</f>
        <v/>
      </c>
      <c r="I291" s="17">
        <f>IF(C291="",0,IFERROR(VLOOKUP(C291,'Recetas y precios'!$A$5:$W$54,23,FALSE),0))</f>
        <v/>
      </c>
      <c r="J291" s="17">
        <f>G291*I291</f>
        <v/>
      </c>
      <c r="K291" s="6" t="n"/>
      <c r="L291" s="6" t="n"/>
    </row>
    <row r="292">
      <c r="A292" s="34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32">
        <f>IF((F292+G292)&gt;0,G292/(F292+G292),"")</f>
        <v/>
      </c>
      <c r="I292" s="17">
        <f>IF(C292="",0,IFERROR(VLOOKUP(C292,'Recetas y precios'!$A$5:$W$54,23,FALSE),0))</f>
        <v/>
      </c>
      <c r="J292" s="17">
        <f>G292*I292</f>
        <v/>
      </c>
      <c r="K292" s="6" t="n"/>
      <c r="L292" s="6" t="n"/>
    </row>
    <row r="293">
      <c r="A293" s="34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32">
        <f>IF((F293+G293)&gt;0,G293/(F293+G293),"")</f>
        <v/>
      </c>
      <c r="I293" s="17">
        <f>IF(C293="",0,IFERROR(VLOOKUP(C293,'Recetas y precios'!$A$5:$W$54,23,FALSE),0))</f>
        <v/>
      </c>
      <c r="J293" s="17">
        <f>G293*I293</f>
        <v/>
      </c>
      <c r="K293" s="6" t="n"/>
      <c r="L293" s="6" t="n"/>
    </row>
    <row r="294">
      <c r="A294" s="34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32">
        <f>IF((F294+G294)&gt;0,G294/(F294+G294),"")</f>
        <v/>
      </c>
      <c r="I294" s="17">
        <f>IF(C294="",0,IFERROR(VLOOKUP(C294,'Recetas y precios'!$A$5:$W$54,23,FALSE),0))</f>
        <v/>
      </c>
      <c r="J294" s="17">
        <f>G294*I294</f>
        <v/>
      </c>
      <c r="K294" s="6" t="n"/>
      <c r="L294" s="6" t="n"/>
    </row>
    <row r="295">
      <c r="A295" s="34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32">
        <f>IF((F295+G295)&gt;0,G295/(F295+G295),"")</f>
        <v/>
      </c>
      <c r="I295" s="17">
        <f>IF(C295="",0,IFERROR(VLOOKUP(C295,'Recetas y precios'!$A$5:$W$54,23,FALSE),0))</f>
        <v/>
      </c>
      <c r="J295" s="17">
        <f>G295*I295</f>
        <v/>
      </c>
      <c r="K295" s="6" t="n"/>
      <c r="L295" s="6" t="n"/>
    </row>
    <row r="296">
      <c r="A296" s="34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32">
        <f>IF((F296+G296)&gt;0,G296/(F296+G296),"")</f>
        <v/>
      </c>
      <c r="I296" s="17">
        <f>IF(C296="",0,IFERROR(VLOOKUP(C296,'Recetas y precios'!$A$5:$W$54,23,FALSE),0))</f>
        <v/>
      </c>
      <c r="J296" s="17">
        <f>G296*I296</f>
        <v/>
      </c>
      <c r="K296" s="6" t="n"/>
      <c r="L296" s="6" t="n"/>
    </row>
    <row r="297">
      <c r="A297" s="34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32">
        <f>IF((F297+G297)&gt;0,G297/(F297+G297),"")</f>
        <v/>
      </c>
      <c r="I297" s="17">
        <f>IF(C297="",0,IFERROR(VLOOKUP(C297,'Recetas y precios'!$A$5:$W$54,23,FALSE),0))</f>
        <v/>
      </c>
      <c r="J297" s="17">
        <f>G297*I297</f>
        <v/>
      </c>
      <c r="K297" s="6" t="n"/>
      <c r="L297" s="6" t="n"/>
    </row>
    <row r="298">
      <c r="A298" s="34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32">
        <f>IF((F298+G298)&gt;0,G298/(F298+G298),"")</f>
        <v/>
      </c>
      <c r="I298" s="17">
        <f>IF(C298="",0,IFERROR(VLOOKUP(C298,'Recetas y precios'!$A$5:$W$54,23,FALSE),0))</f>
        <v/>
      </c>
      <c r="J298" s="17">
        <f>G298*I298</f>
        <v/>
      </c>
      <c r="K298" s="6" t="n"/>
      <c r="L298" s="6" t="n"/>
    </row>
    <row r="299">
      <c r="A299" s="34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32">
        <f>IF((F299+G299)&gt;0,G299/(F299+G299),"")</f>
        <v/>
      </c>
      <c r="I299" s="17">
        <f>IF(C299="",0,IFERROR(VLOOKUP(C299,'Recetas y precios'!$A$5:$W$54,23,FALSE),0))</f>
        <v/>
      </c>
      <c r="J299" s="17">
        <f>G299*I299</f>
        <v/>
      </c>
      <c r="K299" s="6" t="n"/>
      <c r="L299" s="6" t="n"/>
    </row>
    <row r="300">
      <c r="A300" s="34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32">
        <f>IF((F300+G300)&gt;0,G300/(F300+G300),"")</f>
        <v/>
      </c>
      <c r="I300" s="17">
        <f>IF(C300="",0,IFERROR(VLOOKUP(C300,'Recetas y precios'!$A$5:$W$54,23,FALSE),0))</f>
        <v/>
      </c>
      <c r="J300" s="17">
        <f>G300*I300</f>
        <v/>
      </c>
      <c r="K300" s="6" t="n"/>
      <c r="L300" s="6" t="n"/>
    </row>
    <row r="301">
      <c r="A301" s="34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32">
        <f>IF((F301+G301)&gt;0,G301/(F301+G301),"")</f>
        <v/>
      </c>
      <c r="I301" s="17">
        <f>IF(C301="",0,IFERROR(VLOOKUP(C301,'Recetas y precios'!$A$5:$W$54,23,FALSE),0))</f>
        <v/>
      </c>
      <c r="J301" s="17">
        <f>G301*I301</f>
        <v/>
      </c>
      <c r="K301" s="6" t="n"/>
      <c r="L301" s="6" t="n"/>
    </row>
    <row r="302">
      <c r="A302" s="34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32">
        <f>IF((F302+G302)&gt;0,G302/(F302+G302),"")</f>
        <v/>
      </c>
      <c r="I302" s="17">
        <f>IF(C302="",0,IFERROR(VLOOKUP(C302,'Recetas y precios'!$A$5:$W$54,23,FALSE),0))</f>
        <v/>
      </c>
      <c r="J302" s="17">
        <f>G302*I302</f>
        <v/>
      </c>
      <c r="K302" s="6" t="n"/>
      <c r="L302" s="6" t="n"/>
    </row>
    <row r="303">
      <c r="A303" s="34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32">
        <f>IF((F303+G303)&gt;0,G303/(F303+G303),"")</f>
        <v/>
      </c>
      <c r="I303" s="17">
        <f>IF(C303="",0,IFERROR(VLOOKUP(C303,'Recetas y precios'!$A$5:$W$54,23,FALSE),0))</f>
        <v/>
      </c>
      <c r="J303" s="17">
        <f>G303*I303</f>
        <v/>
      </c>
      <c r="K303" s="6" t="n"/>
      <c r="L303" s="6" t="n"/>
    </row>
    <row r="304">
      <c r="A304" s="34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32">
        <f>IF((F304+G304)&gt;0,G304/(F304+G304),"")</f>
        <v/>
      </c>
      <c r="I304" s="17">
        <f>IF(C304="",0,IFERROR(VLOOKUP(C304,'Recetas y precios'!$A$5:$W$54,23,FALSE),0))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"Colada que no cuajó o quedó blanda,Piezas pegadas entre sí por exudación,Sinéresis: la pieza sudó jarabe en la bolsa,pH fuera de rango y pectina sin gelificar,Brix bajo: pieza gomosa que no secó,Burbujas de aire atrapadas en la colada,Desmolde roto o pieza deformada,Color migrado entre capas,Rebozado desprendido o apelmazado,Pieza cristalizada por exceso de sacarosa"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Piezas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4" t="n">
        <v>46298</v>
      </c>
      <c r="B5" s="6" t="n">
        <v>1</v>
      </c>
      <c r="C5">
        <f>IF(B5="","",IFERROR(VLOOKUP(B5,'Recetas y precios'!$A$5:$B$54,2,FALSE),""))</f>
        <v/>
      </c>
      <c r="D5" s="6" t="inlineStr">
        <is>
          <t>Mostrador y venta directa</t>
        </is>
      </c>
      <c r="E5" s="6" t="n">
        <v>960</v>
      </c>
      <c r="F5" s="11" t="n">
        <v>3</v>
      </c>
      <c r="G5" s="17">
        <f>E5*F5</f>
        <v/>
      </c>
      <c r="H5" s="17">
        <f>IF(B5="",0,E5*IFERROR(VLOOKUP(B5,'Recetas y precios'!$A$5:$W$54,23,FALSE),0))</f>
        <v/>
      </c>
      <c r="I5" s="27" t="n">
        <v>0</v>
      </c>
      <c r="J5" s="17">
        <f>G5*I5</f>
        <v/>
      </c>
      <c r="K5" s="17">
        <f>G5-H5-J5</f>
        <v/>
      </c>
      <c r="L5" s="32">
        <f>IF(G5&gt;0,K5/G5,"")</f>
        <v/>
      </c>
      <c r="M5" s="6" t="inlineStr">
        <is>
          <t>Fila de ejemplo</t>
        </is>
      </c>
    </row>
    <row r="6">
      <c r="A6" s="34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precios'!$A$5:$W$54,23,FALSE),0))</f>
        <v/>
      </c>
      <c r="I6" s="27" t="n"/>
      <c r="J6" s="17">
        <f>G6*I6</f>
        <v/>
      </c>
      <c r="K6" s="17">
        <f>G6-H6-J6</f>
        <v/>
      </c>
      <c r="L6" s="32">
        <f>IF(G6&gt;0,K6/G6,"")</f>
        <v/>
      </c>
      <c r="M6" s="6" t="n"/>
    </row>
    <row r="7">
      <c r="A7" s="34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precios'!$A$5:$W$54,23,FALSE),0))</f>
        <v/>
      </c>
      <c r="I7" s="27" t="n"/>
      <c r="J7" s="17">
        <f>G7*I7</f>
        <v/>
      </c>
      <c r="K7" s="17">
        <f>G7-H7-J7</f>
        <v/>
      </c>
      <c r="L7" s="32">
        <f>IF(G7&gt;0,K7/G7,"")</f>
        <v/>
      </c>
      <c r="M7" s="6" t="n"/>
    </row>
    <row r="8">
      <c r="A8" s="34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precios'!$A$5:$W$54,23,FALSE),0))</f>
        <v/>
      </c>
      <c r="I8" s="27" t="n"/>
      <c r="J8" s="17">
        <f>G8*I8</f>
        <v/>
      </c>
      <c r="K8" s="17">
        <f>G8-H8-J8</f>
        <v/>
      </c>
      <c r="L8" s="32">
        <f>IF(G8&gt;0,K8/G8,"")</f>
        <v/>
      </c>
      <c r="M8" s="6" t="n"/>
    </row>
    <row r="9">
      <c r="A9" s="34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precios'!$A$5:$W$54,23,FALSE),0))</f>
        <v/>
      </c>
      <c r="I9" s="27" t="n"/>
      <c r="J9" s="17">
        <f>G9*I9</f>
        <v/>
      </c>
      <c r="K9" s="17">
        <f>G9-H9-J9</f>
        <v/>
      </c>
      <c r="L9" s="32">
        <f>IF(G9&gt;0,K9/G9,"")</f>
        <v/>
      </c>
      <c r="M9" s="6" t="n"/>
    </row>
    <row r="10">
      <c r="A10" s="34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precios'!$A$5:$W$54,23,FALSE),0))</f>
        <v/>
      </c>
      <c r="I10" s="27" t="n"/>
      <c r="J10" s="17">
        <f>G10*I10</f>
        <v/>
      </c>
      <c r="K10" s="17">
        <f>G10-H10-J10</f>
        <v/>
      </c>
      <c r="L10" s="32">
        <f>IF(G10&gt;0,K10/G10,"")</f>
        <v/>
      </c>
      <c r="M10" s="6" t="n"/>
    </row>
    <row r="11">
      <c r="A11" s="34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precios'!$A$5:$W$54,23,FALSE),0))</f>
        <v/>
      </c>
      <c r="I11" s="27" t="n"/>
      <c r="J11" s="17">
        <f>G11*I11</f>
        <v/>
      </c>
      <c r="K11" s="17">
        <f>G11-H11-J11</f>
        <v/>
      </c>
      <c r="L11" s="32">
        <f>IF(G11&gt;0,K11/G11,"")</f>
        <v/>
      </c>
      <c r="M11" s="6" t="n"/>
    </row>
    <row r="12">
      <c r="A12" s="34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precios'!$A$5:$W$54,23,FALSE),0))</f>
        <v/>
      </c>
      <c r="I12" s="27" t="n"/>
      <c r="J12" s="17">
        <f>G12*I12</f>
        <v/>
      </c>
      <c r="K12" s="17">
        <f>G12-H12-J12</f>
        <v/>
      </c>
      <c r="L12" s="32">
        <f>IF(G12&gt;0,K12/G12,"")</f>
        <v/>
      </c>
      <c r="M12" s="6" t="n"/>
    </row>
    <row r="13">
      <c r="A13" s="34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precios'!$A$5:$W$54,23,FALSE),0))</f>
        <v/>
      </c>
      <c r="I13" s="27" t="n"/>
      <c r="J13" s="17">
        <f>G13*I13</f>
        <v/>
      </c>
      <c r="K13" s="17">
        <f>G13-H13-J13</f>
        <v/>
      </c>
      <c r="L13" s="32">
        <f>IF(G13&gt;0,K13/G13,"")</f>
        <v/>
      </c>
      <c r="M13" s="6" t="n"/>
    </row>
    <row r="14">
      <c r="A14" s="34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precios'!$A$5:$W$54,23,FALSE),0))</f>
        <v/>
      </c>
      <c r="I14" s="27" t="n"/>
      <c r="J14" s="17">
        <f>G14*I14</f>
        <v/>
      </c>
      <c r="K14" s="17">
        <f>G14-H14-J14</f>
        <v/>
      </c>
      <c r="L14" s="32">
        <f>IF(G14&gt;0,K14/G14,"")</f>
        <v/>
      </c>
      <c r="M14" s="6" t="n"/>
    </row>
    <row r="15">
      <c r="A15" s="34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precios'!$A$5:$W$54,23,FALSE),0))</f>
        <v/>
      </c>
      <c r="I15" s="27" t="n"/>
      <c r="J15" s="17">
        <f>G15*I15</f>
        <v/>
      </c>
      <c r="K15" s="17">
        <f>G15-H15-J15</f>
        <v/>
      </c>
      <c r="L15" s="32">
        <f>IF(G15&gt;0,K15/G15,"")</f>
        <v/>
      </c>
      <c r="M15" s="6" t="n"/>
    </row>
    <row r="16">
      <c r="A16" s="34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precios'!$A$5:$W$54,23,FALSE),0))</f>
        <v/>
      </c>
      <c r="I16" s="27" t="n"/>
      <c r="J16" s="17">
        <f>G16*I16</f>
        <v/>
      </c>
      <c r="K16" s="17">
        <f>G16-H16-J16</f>
        <v/>
      </c>
      <c r="L16" s="32">
        <f>IF(G16&gt;0,K16/G16,"")</f>
        <v/>
      </c>
      <c r="M16" s="6" t="n"/>
    </row>
    <row r="17">
      <c r="A17" s="34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precios'!$A$5:$W$54,23,FALSE),0))</f>
        <v/>
      </c>
      <c r="I17" s="27" t="n"/>
      <c r="J17" s="17">
        <f>G17*I17</f>
        <v/>
      </c>
      <c r="K17" s="17">
        <f>G17-H17-J17</f>
        <v/>
      </c>
      <c r="L17" s="32">
        <f>IF(G17&gt;0,K17/G17,"")</f>
        <v/>
      </c>
      <c r="M17" s="6" t="n"/>
    </row>
    <row r="18">
      <c r="A18" s="34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precios'!$A$5:$W$54,23,FALSE),0))</f>
        <v/>
      </c>
      <c r="I18" s="27" t="n"/>
      <c r="J18" s="17">
        <f>G18*I18</f>
        <v/>
      </c>
      <c r="K18" s="17">
        <f>G18-H18-J18</f>
        <v/>
      </c>
      <c r="L18" s="32">
        <f>IF(G18&gt;0,K18/G18,"")</f>
        <v/>
      </c>
      <c r="M18" s="6" t="n"/>
    </row>
    <row r="19">
      <c r="A19" s="34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precios'!$A$5:$W$54,23,FALSE),0))</f>
        <v/>
      </c>
      <c r="I19" s="27" t="n"/>
      <c r="J19" s="17">
        <f>G19*I19</f>
        <v/>
      </c>
      <c r="K19" s="17">
        <f>G19-H19-J19</f>
        <v/>
      </c>
      <c r="L19" s="32">
        <f>IF(G19&gt;0,K19/G19,"")</f>
        <v/>
      </c>
      <c r="M19" s="6" t="n"/>
    </row>
    <row r="20">
      <c r="A20" s="34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precios'!$A$5:$W$54,23,FALSE),0))</f>
        <v/>
      </c>
      <c r="I20" s="27" t="n"/>
      <c r="J20" s="17">
        <f>G20*I20</f>
        <v/>
      </c>
      <c r="K20" s="17">
        <f>G20-H20-J20</f>
        <v/>
      </c>
      <c r="L20" s="32">
        <f>IF(G20&gt;0,K20/G20,"")</f>
        <v/>
      </c>
      <c r="M20" s="6" t="n"/>
    </row>
    <row r="21">
      <c r="A21" s="34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precios'!$A$5:$W$54,23,FALSE),0))</f>
        <v/>
      </c>
      <c r="I21" s="27" t="n"/>
      <c r="J21" s="17">
        <f>G21*I21</f>
        <v/>
      </c>
      <c r="K21" s="17">
        <f>G21-H21-J21</f>
        <v/>
      </c>
      <c r="L21" s="32">
        <f>IF(G21&gt;0,K21/G21,"")</f>
        <v/>
      </c>
      <c r="M21" s="6" t="n"/>
    </row>
    <row r="22">
      <c r="A22" s="34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precios'!$A$5:$W$54,23,FALSE),0))</f>
        <v/>
      </c>
      <c r="I22" s="27" t="n"/>
      <c r="J22" s="17">
        <f>G22*I22</f>
        <v/>
      </c>
      <c r="K22" s="17">
        <f>G22-H22-J22</f>
        <v/>
      </c>
      <c r="L22" s="32">
        <f>IF(G22&gt;0,K22/G22,"")</f>
        <v/>
      </c>
      <c r="M22" s="6" t="n"/>
    </row>
    <row r="23">
      <c r="A23" s="34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precios'!$A$5:$W$54,23,FALSE),0))</f>
        <v/>
      </c>
      <c r="I23" s="27" t="n"/>
      <c r="J23" s="17">
        <f>G23*I23</f>
        <v/>
      </c>
      <c r="K23" s="17">
        <f>G23-H23-J23</f>
        <v/>
      </c>
      <c r="L23" s="32">
        <f>IF(G23&gt;0,K23/G23,"")</f>
        <v/>
      </c>
      <c r="M23" s="6" t="n"/>
    </row>
    <row r="24">
      <c r="A24" s="34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precios'!$A$5:$W$54,23,FALSE),0))</f>
        <v/>
      </c>
      <c r="I24" s="27" t="n"/>
      <c r="J24" s="17">
        <f>G24*I24</f>
        <v/>
      </c>
      <c r="K24" s="17">
        <f>G24-H24-J24</f>
        <v/>
      </c>
      <c r="L24" s="32">
        <f>IF(G24&gt;0,K24/G24,"")</f>
        <v/>
      </c>
      <c r="M24" s="6" t="n"/>
    </row>
    <row r="25">
      <c r="A25" s="34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precios'!$A$5:$W$54,23,FALSE),0))</f>
        <v/>
      </c>
      <c r="I25" s="27" t="n"/>
      <c r="J25" s="17">
        <f>G25*I25</f>
        <v/>
      </c>
      <c r="K25" s="17">
        <f>G25-H25-J25</f>
        <v/>
      </c>
      <c r="L25" s="32">
        <f>IF(G25&gt;0,K25/G25,"")</f>
        <v/>
      </c>
      <c r="M25" s="6" t="n"/>
    </row>
    <row r="26">
      <c r="A26" s="34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precios'!$A$5:$W$54,23,FALSE),0))</f>
        <v/>
      </c>
      <c r="I26" s="27" t="n"/>
      <c r="J26" s="17">
        <f>G26*I26</f>
        <v/>
      </c>
      <c r="K26" s="17">
        <f>G26-H26-J26</f>
        <v/>
      </c>
      <c r="L26" s="32">
        <f>IF(G26&gt;0,K26/G26,"")</f>
        <v/>
      </c>
      <c r="M26" s="6" t="n"/>
    </row>
    <row r="27">
      <c r="A27" s="34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precios'!$A$5:$W$54,23,FALSE),0))</f>
        <v/>
      </c>
      <c r="I27" s="27" t="n"/>
      <c r="J27" s="17">
        <f>G27*I27</f>
        <v/>
      </c>
      <c r="K27" s="17">
        <f>G27-H27-J27</f>
        <v/>
      </c>
      <c r="L27" s="32">
        <f>IF(G27&gt;0,K27/G27,"")</f>
        <v/>
      </c>
      <c r="M27" s="6" t="n"/>
    </row>
    <row r="28">
      <c r="A28" s="34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precios'!$A$5:$W$54,23,FALSE),0))</f>
        <v/>
      </c>
      <c r="I28" s="27" t="n"/>
      <c r="J28" s="17">
        <f>G28*I28</f>
        <v/>
      </c>
      <c r="K28" s="17">
        <f>G28-H28-J28</f>
        <v/>
      </c>
      <c r="L28" s="32">
        <f>IF(G28&gt;0,K28/G28,"")</f>
        <v/>
      </c>
      <c r="M28" s="6" t="n"/>
    </row>
    <row r="29">
      <c r="A29" s="34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precios'!$A$5:$W$54,23,FALSE),0))</f>
        <v/>
      </c>
      <c r="I29" s="27" t="n"/>
      <c r="J29" s="17">
        <f>G29*I29</f>
        <v/>
      </c>
      <c r="K29" s="17">
        <f>G29-H29-J29</f>
        <v/>
      </c>
      <c r="L29" s="32">
        <f>IF(G29&gt;0,K29/G29,"")</f>
        <v/>
      </c>
      <c r="M29" s="6" t="n"/>
    </row>
    <row r="30">
      <c r="A30" s="34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precios'!$A$5:$W$54,23,FALSE),0))</f>
        <v/>
      </c>
      <c r="I30" s="27" t="n"/>
      <c r="J30" s="17">
        <f>G30*I30</f>
        <v/>
      </c>
      <c r="K30" s="17">
        <f>G30-H30-J30</f>
        <v/>
      </c>
      <c r="L30" s="32">
        <f>IF(G30&gt;0,K30/G30,"")</f>
        <v/>
      </c>
      <c r="M30" s="6" t="n"/>
    </row>
    <row r="31">
      <c r="A31" s="34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precios'!$A$5:$W$54,23,FALSE),0))</f>
        <v/>
      </c>
      <c r="I31" s="27" t="n"/>
      <c r="J31" s="17">
        <f>G31*I31</f>
        <v/>
      </c>
      <c r="K31" s="17">
        <f>G31-H31-J31</f>
        <v/>
      </c>
      <c r="L31" s="32">
        <f>IF(G31&gt;0,K31/G31,"")</f>
        <v/>
      </c>
      <c r="M31" s="6" t="n"/>
    </row>
    <row r="32">
      <c r="A32" s="34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precios'!$A$5:$W$54,23,FALSE),0))</f>
        <v/>
      </c>
      <c r="I32" s="27" t="n"/>
      <c r="J32" s="17">
        <f>G32*I32</f>
        <v/>
      </c>
      <c r="K32" s="17">
        <f>G32-H32-J32</f>
        <v/>
      </c>
      <c r="L32" s="32">
        <f>IF(G32&gt;0,K32/G32,"")</f>
        <v/>
      </c>
      <c r="M32" s="6" t="n"/>
    </row>
    <row r="33">
      <c r="A33" s="34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precios'!$A$5:$W$54,23,FALSE),0))</f>
        <v/>
      </c>
      <c r="I33" s="27" t="n"/>
      <c r="J33" s="17">
        <f>G33*I33</f>
        <v/>
      </c>
      <c r="K33" s="17">
        <f>G33-H33-J33</f>
        <v/>
      </c>
      <c r="L33" s="32">
        <f>IF(G33&gt;0,K33/G33,"")</f>
        <v/>
      </c>
      <c r="M33" s="6" t="n"/>
    </row>
    <row r="34">
      <c r="A34" s="34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precios'!$A$5:$W$54,23,FALSE),0))</f>
        <v/>
      </c>
      <c r="I34" s="27" t="n"/>
      <c r="J34" s="17">
        <f>G34*I34</f>
        <v/>
      </c>
      <c r="K34" s="17">
        <f>G34-H34-J34</f>
        <v/>
      </c>
      <c r="L34" s="32">
        <f>IF(G34&gt;0,K34/G34,"")</f>
        <v/>
      </c>
      <c r="M34" s="6" t="n"/>
    </row>
    <row r="35">
      <c r="A35" s="34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precios'!$A$5:$W$54,23,FALSE),0))</f>
        <v/>
      </c>
      <c r="I35" s="27" t="n"/>
      <c r="J35" s="17">
        <f>G35*I35</f>
        <v/>
      </c>
      <c r="K35" s="17">
        <f>G35-H35-J35</f>
        <v/>
      </c>
      <c r="L35" s="32">
        <f>IF(G35&gt;0,K35/G35,"")</f>
        <v/>
      </c>
      <c r="M35" s="6" t="n"/>
    </row>
    <row r="36">
      <c r="A36" s="34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precios'!$A$5:$W$54,23,FALSE),0))</f>
        <v/>
      </c>
      <c r="I36" s="27" t="n"/>
      <c r="J36" s="17">
        <f>G36*I36</f>
        <v/>
      </c>
      <c r="K36" s="17">
        <f>G36-H36-J36</f>
        <v/>
      </c>
      <c r="L36" s="32">
        <f>IF(G36&gt;0,K36/G36,"")</f>
        <v/>
      </c>
      <c r="M36" s="6" t="n"/>
    </row>
    <row r="37">
      <c r="A37" s="34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precios'!$A$5:$W$54,23,FALSE),0))</f>
        <v/>
      </c>
      <c r="I37" s="27" t="n"/>
      <c r="J37" s="17">
        <f>G37*I37</f>
        <v/>
      </c>
      <c r="K37" s="17">
        <f>G37-H37-J37</f>
        <v/>
      </c>
      <c r="L37" s="32">
        <f>IF(G37&gt;0,K37/G37,"")</f>
        <v/>
      </c>
      <c r="M37" s="6" t="n"/>
    </row>
    <row r="38">
      <c r="A38" s="34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precios'!$A$5:$W$54,23,FALSE),0))</f>
        <v/>
      </c>
      <c r="I38" s="27" t="n"/>
      <c r="J38" s="17">
        <f>G38*I38</f>
        <v/>
      </c>
      <c r="K38" s="17">
        <f>G38-H38-J38</f>
        <v/>
      </c>
      <c r="L38" s="32">
        <f>IF(G38&gt;0,K38/G38,"")</f>
        <v/>
      </c>
      <c r="M38" s="6" t="n"/>
    </row>
    <row r="39">
      <c r="A39" s="34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precios'!$A$5:$W$54,23,FALSE),0))</f>
        <v/>
      </c>
      <c r="I39" s="27" t="n"/>
      <c r="J39" s="17">
        <f>G39*I39</f>
        <v/>
      </c>
      <c r="K39" s="17">
        <f>G39-H39-J39</f>
        <v/>
      </c>
      <c r="L39" s="32">
        <f>IF(G39&gt;0,K39/G39,"")</f>
        <v/>
      </c>
      <c r="M39" s="6" t="n"/>
    </row>
    <row r="40">
      <c r="A40" s="34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precios'!$A$5:$W$54,23,FALSE),0))</f>
        <v/>
      </c>
      <c r="I40" s="27" t="n"/>
      <c r="J40" s="17">
        <f>G40*I40</f>
        <v/>
      </c>
      <c r="K40" s="17">
        <f>G40-H40-J40</f>
        <v/>
      </c>
      <c r="L40" s="32">
        <f>IF(G40&gt;0,K40/G40,"")</f>
        <v/>
      </c>
      <c r="M40" s="6" t="n"/>
    </row>
    <row r="41">
      <c r="A41" s="34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precios'!$A$5:$W$54,23,FALSE),0))</f>
        <v/>
      </c>
      <c r="I41" s="27" t="n"/>
      <c r="J41" s="17">
        <f>G41*I41</f>
        <v/>
      </c>
      <c r="K41" s="17">
        <f>G41-H41-J41</f>
        <v/>
      </c>
      <c r="L41" s="32">
        <f>IF(G41&gt;0,K41/G41,"")</f>
        <v/>
      </c>
      <c r="M41" s="6" t="n"/>
    </row>
    <row r="42">
      <c r="A42" s="34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precios'!$A$5:$W$54,23,FALSE),0))</f>
        <v/>
      </c>
      <c r="I42" s="27" t="n"/>
      <c r="J42" s="17">
        <f>G42*I42</f>
        <v/>
      </c>
      <c r="K42" s="17">
        <f>G42-H42-J42</f>
        <v/>
      </c>
      <c r="L42" s="32">
        <f>IF(G42&gt;0,K42/G42,"")</f>
        <v/>
      </c>
      <c r="M42" s="6" t="n"/>
    </row>
    <row r="43">
      <c r="A43" s="34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precios'!$A$5:$W$54,23,FALSE),0))</f>
        <v/>
      </c>
      <c r="I43" s="27" t="n"/>
      <c r="J43" s="17">
        <f>G43*I43</f>
        <v/>
      </c>
      <c r="K43" s="17">
        <f>G43-H43-J43</f>
        <v/>
      </c>
      <c r="L43" s="32">
        <f>IF(G43&gt;0,K43/G43,"")</f>
        <v/>
      </c>
      <c r="M43" s="6" t="n"/>
    </row>
    <row r="44">
      <c r="A44" s="34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precios'!$A$5:$W$54,23,FALSE),0))</f>
        <v/>
      </c>
      <c r="I44" s="27" t="n"/>
      <c r="J44" s="17">
        <f>G44*I44</f>
        <v/>
      </c>
      <c r="K44" s="17">
        <f>G44-H44-J44</f>
        <v/>
      </c>
      <c r="L44" s="32">
        <f>IF(G44&gt;0,K44/G44,"")</f>
        <v/>
      </c>
      <c r="M44" s="6" t="n"/>
    </row>
    <row r="45">
      <c r="A45" s="34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precios'!$A$5:$W$54,23,FALSE),0))</f>
        <v/>
      </c>
      <c r="I45" s="27" t="n"/>
      <c r="J45" s="17">
        <f>G45*I45</f>
        <v/>
      </c>
      <c r="K45" s="17">
        <f>G45-H45-J45</f>
        <v/>
      </c>
      <c r="L45" s="32">
        <f>IF(G45&gt;0,K45/G45,"")</f>
        <v/>
      </c>
      <c r="M45" s="6" t="n"/>
    </row>
    <row r="46">
      <c r="A46" s="34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precios'!$A$5:$W$54,23,FALSE),0))</f>
        <v/>
      </c>
      <c r="I46" s="27" t="n"/>
      <c r="J46" s="17">
        <f>G46*I46</f>
        <v/>
      </c>
      <c r="K46" s="17">
        <f>G46-H46-J46</f>
        <v/>
      </c>
      <c r="L46" s="32">
        <f>IF(G46&gt;0,K46/G46,"")</f>
        <v/>
      </c>
      <c r="M46" s="6" t="n"/>
    </row>
    <row r="47">
      <c r="A47" s="34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precios'!$A$5:$W$54,23,FALSE),0))</f>
        <v/>
      </c>
      <c r="I47" s="27" t="n"/>
      <c r="J47" s="17">
        <f>G47*I47</f>
        <v/>
      </c>
      <c r="K47" s="17">
        <f>G47-H47-J47</f>
        <v/>
      </c>
      <c r="L47" s="32">
        <f>IF(G47&gt;0,K47/G47,"")</f>
        <v/>
      </c>
      <c r="M47" s="6" t="n"/>
    </row>
    <row r="48">
      <c r="A48" s="34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precios'!$A$5:$W$54,23,FALSE),0))</f>
        <v/>
      </c>
      <c r="I48" s="27" t="n"/>
      <c r="J48" s="17">
        <f>G48*I48</f>
        <v/>
      </c>
      <c r="K48" s="17">
        <f>G48-H48-J48</f>
        <v/>
      </c>
      <c r="L48" s="32">
        <f>IF(G48&gt;0,K48/G48,"")</f>
        <v/>
      </c>
      <c r="M48" s="6" t="n"/>
    </row>
    <row r="49">
      <c r="A49" s="34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precios'!$A$5:$W$54,23,FALSE),0))</f>
        <v/>
      </c>
      <c r="I49" s="27" t="n"/>
      <c r="J49" s="17">
        <f>G49*I49</f>
        <v/>
      </c>
      <c r="K49" s="17">
        <f>G49-H49-J49</f>
        <v/>
      </c>
      <c r="L49" s="32">
        <f>IF(G49&gt;0,K49/G49,"")</f>
        <v/>
      </c>
      <c r="M49" s="6" t="n"/>
    </row>
    <row r="50">
      <c r="A50" s="34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precios'!$A$5:$W$54,23,FALSE),0))</f>
        <v/>
      </c>
      <c r="I50" s="27" t="n"/>
      <c r="J50" s="17">
        <f>G50*I50</f>
        <v/>
      </c>
      <c r="K50" s="17">
        <f>G50-H50-J50</f>
        <v/>
      </c>
      <c r="L50" s="32">
        <f>IF(G50&gt;0,K50/G50,"")</f>
        <v/>
      </c>
      <c r="M50" s="6" t="n"/>
    </row>
    <row r="51">
      <c r="A51" s="34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precios'!$A$5:$W$54,23,FALSE),0))</f>
        <v/>
      </c>
      <c r="I51" s="27" t="n"/>
      <c r="J51" s="17">
        <f>G51*I51</f>
        <v/>
      </c>
      <c r="K51" s="17">
        <f>G51-H51-J51</f>
        <v/>
      </c>
      <c r="L51" s="32">
        <f>IF(G51&gt;0,K51/G51,"")</f>
        <v/>
      </c>
      <c r="M51" s="6" t="n"/>
    </row>
    <row r="52">
      <c r="A52" s="34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precios'!$A$5:$W$54,23,FALSE),0))</f>
        <v/>
      </c>
      <c r="I52" s="27" t="n"/>
      <c r="J52" s="17">
        <f>G52*I52</f>
        <v/>
      </c>
      <c r="K52" s="17">
        <f>G52-H52-J52</f>
        <v/>
      </c>
      <c r="L52" s="32">
        <f>IF(G52&gt;0,K52/G52,"")</f>
        <v/>
      </c>
      <c r="M52" s="6" t="n"/>
    </row>
    <row r="53">
      <c r="A53" s="34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precios'!$A$5:$W$54,23,FALSE),0))</f>
        <v/>
      </c>
      <c r="I53" s="27" t="n"/>
      <c r="J53" s="17">
        <f>G53*I53</f>
        <v/>
      </c>
      <c r="K53" s="17">
        <f>G53-H53-J53</f>
        <v/>
      </c>
      <c r="L53" s="32">
        <f>IF(G53&gt;0,K53/G53,"")</f>
        <v/>
      </c>
      <c r="M53" s="6" t="n"/>
    </row>
    <row r="54">
      <c r="A54" s="34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precios'!$A$5:$W$54,23,FALSE),0))</f>
        <v/>
      </c>
      <c r="I54" s="27" t="n"/>
      <c r="J54" s="17">
        <f>G54*I54</f>
        <v/>
      </c>
      <c r="K54" s="17">
        <f>G54-H54-J54</f>
        <v/>
      </c>
      <c r="L54" s="32">
        <f>IF(G54&gt;0,K54/G54,"")</f>
        <v/>
      </c>
      <c r="M54" s="6" t="n"/>
    </row>
    <row r="55">
      <c r="A55" s="34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precios'!$A$5:$W$54,23,FALSE),0))</f>
        <v/>
      </c>
      <c r="I55" s="27" t="n"/>
      <c r="J55" s="17">
        <f>G55*I55</f>
        <v/>
      </c>
      <c r="K55" s="17">
        <f>G55-H55-J55</f>
        <v/>
      </c>
      <c r="L55" s="32">
        <f>IF(G55&gt;0,K55/G55,"")</f>
        <v/>
      </c>
      <c r="M55" s="6" t="n"/>
    </row>
    <row r="56">
      <c r="A56" s="34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precios'!$A$5:$W$54,23,FALSE),0))</f>
        <v/>
      </c>
      <c r="I56" s="27" t="n"/>
      <c r="J56" s="17">
        <f>G56*I56</f>
        <v/>
      </c>
      <c r="K56" s="17">
        <f>G56-H56-J56</f>
        <v/>
      </c>
      <c r="L56" s="32">
        <f>IF(G56&gt;0,K56/G56,"")</f>
        <v/>
      </c>
      <c r="M56" s="6" t="n"/>
    </row>
    <row r="57">
      <c r="A57" s="34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precios'!$A$5:$W$54,23,FALSE),0))</f>
        <v/>
      </c>
      <c r="I57" s="27" t="n"/>
      <c r="J57" s="17">
        <f>G57*I57</f>
        <v/>
      </c>
      <c r="K57" s="17">
        <f>G57-H57-J57</f>
        <v/>
      </c>
      <c r="L57" s="32">
        <f>IF(G57&gt;0,K57/G57,"")</f>
        <v/>
      </c>
      <c r="M57" s="6" t="n"/>
    </row>
    <row r="58">
      <c r="A58" s="34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precios'!$A$5:$W$54,23,FALSE),0))</f>
        <v/>
      </c>
      <c r="I58" s="27" t="n"/>
      <c r="J58" s="17">
        <f>G58*I58</f>
        <v/>
      </c>
      <c r="K58" s="17">
        <f>G58-H58-J58</f>
        <v/>
      </c>
      <c r="L58" s="32">
        <f>IF(G58&gt;0,K58/G58,"")</f>
        <v/>
      </c>
      <c r="M58" s="6" t="n"/>
    </row>
    <row r="59">
      <c r="A59" s="34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precios'!$A$5:$W$54,23,FALSE),0))</f>
        <v/>
      </c>
      <c r="I59" s="27" t="n"/>
      <c r="J59" s="17">
        <f>G59*I59</f>
        <v/>
      </c>
      <c r="K59" s="17">
        <f>G59-H59-J59</f>
        <v/>
      </c>
      <c r="L59" s="32">
        <f>IF(G59&gt;0,K59/G59,"")</f>
        <v/>
      </c>
      <c r="M59" s="6" t="n"/>
    </row>
    <row r="60">
      <c r="A60" s="34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precios'!$A$5:$W$54,23,FALSE),0))</f>
        <v/>
      </c>
      <c r="I60" s="27" t="n"/>
      <c r="J60" s="17">
        <f>G60*I60</f>
        <v/>
      </c>
      <c r="K60" s="17">
        <f>G60-H60-J60</f>
        <v/>
      </c>
      <c r="L60" s="32">
        <f>IF(G60&gt;0,K60/G60,"")</f>
        <v/>
      </c>
      <c r="M60" s="6" t="n"/>
    </row>
    <row r="61">
      <c r="A61" s="34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precios'!$A$5:$W$54,23,FALSE),0))</f>
        <v/>
      </c>
      <c r="I61" s="27" t="n"/>
      <c r="J61" s="17">
        <f>G61*I61</f>
        <v/>
      </c>
      <c r="K61" s="17">
        <f>G61-H61-J61</f>
        <v/>
      </c>
      <c r="L61" s="32">
        <f>IF(G61&gt;0,K61/G61,"")</f>
        <v/>
      </c>
      <c r="M61" s="6" t="n"/>
    </row>
    <row r="62">
      <c r="A62" s="34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precios'!$A$5:$W$54,23,FALSE),0))</f>
        <v/>
      </c>
      <c r="I62" s="27" t="n"/>
      <c r="J62" s="17">
        <f>G62*I62</f>
        <v/>
      </c>
      <c r="K62" s="17">
        <f>G62-H62-J62</f>
        <v/>
      </c>
      <c r="L62" s="32">
        <f>IF(G62&gt;0,K62/G62,"")</f>
        <v/>
      </c>
      <c r="M62" s="6" t="n"/>
    </row>
    <row r="63">
      <c r="A63" s="34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precios'!$A$5:$W$54,23,FALSE),0))</f>
        <v/>
      </c>
      <c r="I63" s="27" t="n"/>
      <c r="J63" s="17">
        <f>G63*I63</f>
        <v/>
      </c>
      <c r="K63" s="17">
        <f>G63-H63-J63</f>
        <v/>
      </c>
      <c r="L63" s="32">
        <f>IF(G63&gt;0,K63/G63,"")</f>
        <v/>
      </c>
      <c r="M63" s="6" t="n"/>
    </row>
    <row r="64">
      <c r="A64" s="34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precios'!$A$5:$W$54,23,FALSE),0))</f>
        <v/>
      </c>
      <c r="I64" s="27" t="n"/>
      <c r="J64" s="17">
        <f>G64*I64</f>
        <v/>
      </c>
      <c r="K64" s="17">
        <f>G64-H64-J64</f>
        <v/>
      </c>
      <c r="L64" s="32">
        <f>IF(G64&gt;0,K64/G64,"")</f>
        <v/>
      </c>
      <c r="M64" s="6" t="n"/>
    </row>
    <row r="65">
      <c r="A65" s="34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precios'!$A$5:$W$54,23,FALSE),0))</f>
        <v/>
      </c>
      <c r="I65" s="27" t="n"/>
      <c r="J65" s="17">
        <f>G65*I65</f>
        <v/>
      </c>
      <c r="K65" s="17">
        <f>G65-H65-J65</f>
        <v/>
      </c>
      <c r="L65" s="32">
        <f>IF(G65&gt;0,K65/G65,"")</f>
        <v/>
      </c>
      <c r="M65" s="6" t="n"/>
    </row>
    <row r="66">
      <c r="A66" s="34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precios'!$A$5:$W$54,23,FALSE),0))</f>
        <v/>
      </c>
      <c r="I66" s="27" t="n"/>
      <c r="J66" s="17">
        <f>G66*I66</f>
        <v/>
      </c>
      <c r="K66" s="17">
        <f>G66-H66-J66</f>
        <v/>
      </c>
      <c r="L66" s="32">
        <f>IF(G66&gt;0,K66/G66,"")</f>
        <v/>
      </c>
      <c r="M66" s="6" t="n"/>
    </row>
    <row r="67">
      <c r="A67" s="34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precios'!$A$5:$W$54,23,FALSE),0))</f>
        <v/>
      </c>
      <c r="I67" s="27" t="n"/>
      <c r="J67" s="17">
        <f>G67*I67</f>
        <v/>
      </c>
      <c r="K67" s="17">
        <f>G67-H67-J67</f>
        <v/>
      </c>
      <c r="L67" s="32">
        <f>IF(G67&gt;0,K67/G67,"")</f>
        <v/>
      </c>
      <c r="M67" s="6" t="n"/>
    </row>
    <row r="68">
      <c r="A68" s="34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precios'!$A$5:$W$54,23,FALSE),0))</f>
        <v/>
      </c>
      <c r="I68" s="27" t="n"/>
      <c r="J68" s="17">
        <f>G68*I68</f>
        <v/>
      </c>
      <c r="K68" s="17">
        <f>G68-H68-J68</f>
        <v/>
      </c>
      <c r="L68" s="32">
        <f>IF(G68&gt;0,K68/G68,"")</f>
        <v/>
      </c>
      <c r="M68" s="6" t="n"/>
    </row>
    <row r="69">
      <c r="A69" s="34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precios'!$A$5:$W$54,23,FALSE),0))</f>
        <v/>
      </c>
      <c r="I69" s="27" t="n"/>
      <c r="J69" s="17">
        <f>G69*I69</f>
        <v/>
      </c>
      <c r="K69" s="17">
        <f>G69-H69-J69</f>
        <v/>
      </c>
      <c r="L69" s="32">
        <f>IF(G69&gt;0,K69/G69,"")</f>
        <v/>
      </c>
      <c r="M69" s="6" t="n"/>
    </row>
    <row r="70">
      <c r="A70" s="34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precios'!$A$5:$W$54,23,FALSE),0))</f>
        <v/>
      </c>
      <c r="I70" s="27" t="n"/>
      <c r="J70" s="17">
        <f>G70*I70</f>
        <v/>
      </c>
      <c r="K70" s="17">
        <f>G70-H70-J70</f>
        <v/>
      </c>
      <c r="L70" s="32">
        <f>IF(G70&gt;0,K70/G70,"")</f>
        <v/>
      </c>
      <c r="M70" s="6" t="n"/>
    </row>
    <row r="71">
      <c r="A71" s="34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precios'!$A$5:$W$54,23,FALSE),0))</f>
        <v/>
      </c>
      <c r="I71" s="27" t="n"/>
      <c r="J71" s="17">
        <f>G71*I71</f>
        <v/>
      </c>
      <c r="K71" s="17">
        <f>G71-H71-J71</f>
        <v/>
      </c>
      <c r="L71" s="32">
        <f>IF(G71&gt;0,K71/G71,"")</f>
        <v/>
      </c>
      <c r="M71" s="6" t="n"/>
    </row>
    <row r="72">
      <c r="A72" s="34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precios'!$A$5:$W$54,23,FALSE),0))</f>
        <v/>
      </c>
      <c r="I72" s="27" t="n"/>
      <c r="J72" s="17">
        <f>G72*I72</f>
        <v/>
      </c>
      <c r="K72" s="17">
        <f>G72-H72-J72</f>
        <v/>
      </c>
      <c r="L72" s="32">
        <f>IF(G72&gt;0,K72/G72,"")</f>
        <v/>
      </c>
      <c r="M72" s="6" t="n"/>
    </row>
    <row r="73">
      <c r="A73" s="34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precios'!$A$5:$W$54,23,FALSE),0))</f>
        <v/>
      </c>
      <c r="I73" s="27" t="n"/>
      <c r="J73" s="17">
        <f>G73*I73</f>
        <v/>
      </c>
      <c r="K73" s="17">
        <f>G73-H73-J73</f>
        <v/>
      </c>
      <c r="L73" s="32">
        <f>IF(G73&gt;0,K73/G73,"")</f>
        <v/>
      </c>
      <c r="M73" s="6" t="n"/>
    </row>
    <row r="74">
      <c r="A74" s="34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precios'!$A$5:$W$54,23,FALSE),0))</f>
        <v/>
      </c>
      <c r="I74" s="27" t="n"/>
      <c r="J74" s="17">
        <f>G74*I74</f>
        <v/>
      </c>
      <c r="K74" s="17">
        <f>G74-H74-J74</f>
        <v/>
      </c>
      <c r="L74" s="32">
        <f>IF(G74&gt;0,K74/G74,"")</f>
        <v/>
      </c>
      <c r="M74" s="6" t="n"/>
    </row>
    <row r="75">
      <c r="A75" s="34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precios'!$A$5:$W$54,23,FALSE),0))</f>
        <v/>
      </c>
      <c r="I75" s="27" t="n"/>
      <c r="J75" s="17">
        <f>G75*I75</f>
        <v/>
      </c>
      <c r="K75" s="17">
        <f>G75-H75-J75</f>
        <v/>
      </c>
      <c r="L75" s="32">
        <f>IF(G75&gt;0,K75/G75,"")</f>
        <v/>
      </c>
      <c r="M75" s="6" t="n"/>
    </row>
    <row r="76">
      <c r="A76" s="34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precios'!$A$5:$W$54,23,FALSE),0))</f>
        <v/>
      </c>
      <c r="I76" s="27" t="n"/>
      <c r="J76" s="17">
        <f>G76*I76</f>
        <v/>
      </c>
      <c r="K76" s="17">
        <f>G76-H76-J76</f>
        <v/>
      </c>
      <c r="L76" s="32">
        <f>IF(G76&gt;0,K76/G76,"")</f>
        <v/>
      </c>
      <c r="M76" s="6" t="n"/>
    </row>
    <row r="77">
      <c r="A77" s="34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precios'!$A$5:$W$54,23,FALSE),0))</f>
        <v/>
      </c>
      <c r="I77" s="27" t="n"/>
      <c r="J77" s="17">
        <f>G77*I77</f>
        <v/>
      </c>
      <c r="K77" s="17">
        <f>G77-H77-J77</f>
        <v/>
      </c>
      <c r="L77" s="32">
        <f>IF(G77&gt;0,K77/G77,"")</f>
        <v/>
      </c>
      <c r="M77" s="6" t="n"/>
    </row>
    <row r="78">
      <c r="A78" s="34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precios'!$A$5:$W$54,23,FALSE),0))</f>
        <v/>
      </c>
      <c r="I78" s="27" t="n"/>
      <c r="J78" s="17">
        <f>G78*I78</f>
        <v/>
      </c>
      <c r="K78" s="17">
        <f>G78-H78-J78</f>
        <v/>
      </c>
      <c r="L78" s="32">
        <f>IF(G78&gt;0,K78/G78,"")</f>
        <v/>
      </c>
      <c r="M78" s="6" t="n"/>
    </row>
    <row r="79">
      <c r="A79" s="34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precios'!$A$5:$W$54,23,FALSE),0))</f>
        <v/>
      </c>
      <c r="I79" s="27" t="n"/>
      <c r="J79" s="17">
        <f>G79*I79</f>
        <v/>
      </c>
      <c r="K79" s="17">
        <f>G79-H79-J79</f>
        <v/>
      </c>
      <c r="L79" s="32">
        <f>IF(G79&gt;0,K79/G79,"")</f>
        <v/>
      </c>
      <c r="M79" s="6" t="n"/>
    </row>
    <row r="80">
      <c r="A80" s="34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precios'!$A$5:$W$54,23,FALSE),0))</f>
        <v/>
      </c>
      <c r="I80" s="27" t="n"/>
      <c r="J80" s="17">
        <f>G80*I80</f>
        <v/>
      </c>
      <c r="K80" s="17">
        <f>G80-H80-J80</f>
        <v/>
      </c>
      <c r="L80" s="32">
        <f>IF(G80&gt;0,K80/G80,"")</f>
        <v/>
      </c>
      <c r="M80" s="6" t="n"/>
    </row>
    <row r="81">
      <c r="A81" s="34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precios'!$A$5:$W$54,23,FALSE),0))</f>
        <v/>
      </c>
      <c r="I81" s="27" t="n"/>
      <c r="J81" s="17">
        <f>G81*I81</f>
        <v/>
      </c>
      <c r="K81" s="17">
        <f>G81-H81-J81</f>
        <v/>
      </c>
      <c r="L81" s="32">
        <f>IF(G81&gt;0,K81/G81,"")</f>
        <v/>
      </c>
      <c r="M81" s="6" t="n"/>
    </row>
    <row r="82">
      <c r="A82" s="34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precios'!$A$5:$W$54,23,FALSE),0))</f>
        <v/>
      </c>
      <c r="I82" s="27" t="n"/>
      <c r="J82" s="17">
        <f>G82*I82</f>
        <v/>
      </c>
      <c r="K82" s="17">
        <f>G82-H82-J82</f>
        <v/>
      </c>
      <c r="L82" s="32">
        <f>IF(G82&gt;0,K82/G82,"")</f>
        <v/>
      </c>
      <c r="M82" s="6" t="n"/>
    </row>
    <row r="83">
      <c r="A83" s="34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precios'!$A$5:$W$54,23,FALSE),0))</f>
        <v/>
      </c>
      <c r="I83" s="27" t="n"/>
      <c r="J83" s="17">
        <f>G83*I83</f>
        <v/>
      </c>
      <c r="K83" s="17">
        <f>G83-H83-J83</f>
        <v/>
      </c>
      <c r="L83" s="32">
        <f>IF(G83&gt;0,K83/G83,"")</f>
        <v/>
      </c>
      <c r="M83" s="6" t="n"/>
    </row>
    <row r="84">
      <c r="A84" s="34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precios'!$A$5:$W$54,23,FALSE),0))</f>
        <v/>
      </c>
      <c r="I84" s="27" t="n"/>
      <c r="J84" s="17">
        <f>G84*I84</f>
        <v/>
      </c>
      <c r="K84" s="17">
        <f>G84-H84-J84</f>
        <v/>
      </c>
      <c r="L84" s="32">
        <f>IF(G84&gt;0,K84/G84,"")</f>
        <v/>
      </c>
      <c r="M84" s="6" t="n"/>
    </row>
    <row r="85">
      <c r="A85" s="34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precios'!$A$5:$W$54,23,FALSE),0))</f>
        <v/>
      </c>
      <c r="I85" s="27" t="n"/>
      <c r="J85" s="17">
        <f>G85*I85</f>
        <v/>
      </c>
      <c r="K85" s="17">
        <f>G85-H85-J85</f>
        <v/>
      </c>
      <c r="L85" s="32">
        <f>IF(G85&gt;0,K85/G85,"")</f>
        <v/>
      </c>
      <c r="M85" s="6" t="n"/>
    </row>
    <row r="86">
      <c r="A86" s="34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precios'!$A$5:$W$54,23,FALSE),0))</f>
        <v/>
      </c>
      <c r="I86" s="27" t="n"/>
      <c r="J86" s="17">
        <f>G86*I86</f>
        <v/>
      </c>
      <c r="K86" s="17">
        <f>G86-H86-J86</f>
        <v/>
      </c>
      <c r="L86" s="32">
        <f>IF(G86&gt;0,K86/G86,"")</f>
        <v/>
      </c>
      <c r="M86" s="6" t="n"/>
    </row>
    <row r="87">
      <c r="A87" s="34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precios'!$A$5:$W$54,23,FALSE),0))</f>
        <v/>
      </c>
      <c r="I87" s="27" t="n"/>
      <c r="J87" s="17">
        <f>G87*I87</f>
        <v/>
      </c>
      <c r="K87" s="17">
        <f>G87-H87-J87</f>
        <v/>
      </c>
      <c r="L87" s="32">
        <f>IF(G87&gt;0,K87/G87,"")</f>
        <v/>
      </c>
      <c r="M87" s="6" t="n"/>
    </row>
    <row r="88">
      <c r="A88" s="34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precios'!$A$5:$W$54,23,FALSE),0))</f>
        <v/>
      </c>
      <c r="I88" s="27" t="n"/>
      <c r="J88" s="17">
        <f>G88*I88</f>
        <v/>
      </c>
      <c r="K88" s="17">
        <f>G88-H88-J88</f>
        <v/>
      </c>
      <c r="L88" s="32">
        <f>IF(G88&gt;0,K88/G88,"")</f>
        <v/>
      </c>
      <c r="M88" s="6" t="n"/>
    </row>
    <row r="89">
      <c r="A89" s="34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precios'!$A$5:$W$54,23,FALSE),0))</f>
        <v/>
      </c>
      <c r="I89" s="27" t="n"/>
      <c r="J89" s="17">
        <f>G89*I89</f>
        <v/>
      </c>
      <c r="K89" s="17">
        <f>G89-H89-J89</f>
        <v/>
      </c>
      <c r="L89" s="32">
        <f>IF(G89&gt;0,K89/G89,"")</f>
        <v/>
      </c>
      <c r="M89" s="6" t="n"/>
    </row>
    <row r="90">
      <c r="A90" s="34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precios'!$A$5:$W$54,23,FALSE),0))</f>
        <v/>
      </c>
      <c r="I90" s="27" t="n"/>
      <c r="J90" s="17">
        <f>G90*I90</f>
        <v/>
      </c>
      <c r="K90" s="17">
        <f>G90-H90-J90</f>
        <v/>
      </c>
      <c r="L90" s="32">
        <f>IF(G90&gt;0,K90/G90,"")</f>
        <v/>
      </c>
      <c r="M90" s="6" t="n"/>
    </row>
    <row r="91">
      <c r="A91" s="34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precios'!$A$5:$W$54,23,FALSE),0))</f>
        <v/>
      </c>
      <c r="I91" s="27" t="n"/>
      <c r="J91" s="17">
        <f>G91*I91</f>
        <v/>
      </c>
      <c r="K91" s="17">
        <f>G91-H91-J91</f>
        <v/>
      </c>
      <c r="L91" s="32">
        <f>IF(G91&gt;0,K91/G91,"")</f>
        <v/>
      </c>
      <c r="M91" s="6" t="n"/>
    </row>
    <row r="92">
      <c r="A92" s="34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precios'!$A$5:$W$54,23,FALSE),0))</f>
        <v/>
      </c>
      <c r="I92" s="27" t="n"/>
      <c r="J92" s="17">
        <f>G92*I92</f>
        <v/>
      </c>
      <c r="K92" s="17">
        <f>G92-H92-J92</f>
        <v/>
      </c>
      <c r="L92" s="32">
        <f>IF(G92&gt;0,K92/G92,"")</f>
        <v/>
      </c>
      <c r="M92" s="6" t="n"/>
    </row>
    <row r="93">
      <c r="A93" s="34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precios'!$A$5:$W$54,23,FALSE),0))</f>
        <v/>
      </c>
      <c r="I93" s="27" t="n"/>
      <c r="J93" s="17">
        <f>G93*I93</f>
        <v/>
      </c>
      <c r="K93" s="17">
        <f>G93-H93-J93</f>
        <v/>
      </c>
      <c r="L93" s="32">
        <f>IF(G93&gt;0,K93/G93,"")</f>
        <v/>
      </c>
      <c r="M93" s="6" t="n"/>
    </row>
    <row r="94">
      <c r="A94" s="34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precios'!$A$5:$W$54,23,FALSE),0))</f>
        <v/>
      </c>
      <c r="I94" s="27" t="n"/>
      <c r="J94" s="17">
        <f>G94*I94</f>
        <v/>
      </c>
      <c r="K94" s="17">
        <f>G94-H94-J94</f>
        <v/>
      </c>
      <c r="L94" s="32">
        <f>IF(G94&gt;0,K94/G94,"")</f>
        <v/>
      </c>
      <c r="M94" s="6" t="n"/>
    </row>
    <row r="95">
      <c r="A95" s="34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precios'!$A$5:$W$54,23,FALSE),0))</f>
        <v/>
      </c>
      <c r="I95" s="27" t="n"/>
      <c r="J95" s="17">
        <f>G95*I95</f>
        <v/>
      </c>
      <c r="K95" s="17">
        <f>G95-H95-J95</f>
        <v/>
      </c>
      <c r="L95" s="32">
        <f>IF(G95&gt;0,K95/G95,"")</f>
        <v/>
      </c>
      <c r="M95" s="6" t="n"/>
    </row>
    <row r="96">
      <c r="A96" s="34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precios'!$A$5:$W$54,23,FALSE),0))</f>
        <v/>
      </c>
      <c r="I96" s="27" t="n"/>
      <c r="J96" s="17">
        <f>G96*I96</f>
        <v/>
      </c>
      <c r="K96" s="17">
        <f>G96-H96-J96</f>
        <v/>
      </c>
      <c r="L96" s="32">
        <f>IF(G96&gt;0,K96/G96,"")</f>
        <v/>
      </c>
      <c r="M96" s="6" t="n"/>
    </row>
    <row r="97">
      <c r="A97" s="34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precios'!$A$5:$W$54,23,FALSE),0))</f>
        <v/>
      </c>
      <c r="I97" s="27" t="n"/>
      <c r="J97" s="17">
        <f>G97*I97</f>
        <v/>
      </c>
      <c r="K97" s="17">
        <f>G97-H97-J97</f>
        <v/>
      </c>
      <c r="L97" s="32">
        <f>IF(G97&gt;0,K97/G97,"")</f>
        <v/>
      </c>
      <c r="M97" s="6" t="n"/>
    </row>
    <row r="98">
      <c r="A98" s="34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precios'!$A$5:$W$54,23,FALSE),0))</f>
        <v/>
      </c>
      <c r="I98" s="27" t="n"/>
      <c r="J98" s="17">
        <f>G98*I98</f>
        <v/>
      </c>
      <c r="K98" s="17">
        <f>G98-H98-J98</f>
        <v/>
      </c>
      <c r="L98" s="32">
        <f>IF(G98&gt;0,K98/G98,"")</f>
        <v/>
      </c>
      <c r="M98" s="6" t="n"/>
    </row>
    <row r="99">
      <c r="A99" s="34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precios'!$A$5:$W$54,23,FALSE),0))</f>
        <v/>
      </c>
      <c r="I99" s="27" t="n"/>
      <c r="J99" s="17">
        <f>G99*I99</f>
        <v/>
      </c>
      <c r="K99" s="17">
        <f>G99-H99-J99</f>
        <v/>
      </c>
      <c r="L99" s="32">
        <f>IF(G99&gt;0,K99/G99,"")</f>
        <v/>
      </c>
      <c r="M99" s="6" t="n"/>
    </row>
    <row r="100">
      <c r="A100" s="34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precios'!$A$5:$W$54,23,FALSE),0))</f>
        <v/>
      </c>
      <c r="I100" s="27" t="n"/>
      <c r="J100" s="17">
        <f>G100*I100</f>
        <v/>
      </c>
      <c r="K100" s="17">
        <f>G100-H100-J100</f>
        <v/>
      </c>
      <c r="L100" s="32">
        <f>IF(G100&gt;0,K100/G100,"")</f>
        <v/>
      </c>
      <c r="M100" s="6" t="n"/>
    </row>
    <row r="101">
      <c r="A101" s="34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precios'!$A$5:$W$54,23,FALSE),0))</f>
        <v/>
      </c>
      <c r="I101" s="27" t="n"/>
      <c r="J101" s="17">
        <f>G101*I101</f>
        <v/>
      </c>
      <c r="K101" s="17">
        <f>G101-H101-J101</f>
        <v/>
      </c>
      <c r="L101" s="32">
        <f>IF(G101&gt;0,K101/G101,"")</f>
        <v/>
      </c>
      <c r="M101" s="6" t="n"/>
    </row>
    <row r="102">
      <c r="A102" s="34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precios'!$A$5:$W$54,23,FALSE),0))</f>
        <v/>
      </c>
      <c r="I102" s="27" t="n"/>
      <c r="J102" s="17">
        <f>G102*I102</f>
        <v/>
      </c>
      <c r="K102" s="17">
        <f>G102-H102-J102</f>
        <v/>
      </c>
      <c r="L102" s="32">
        <f>IF(G102&gt;0,K102/G102,"")</f>
        <v/>
      </c>
      <c r="M102" s="6" t="n"/>
    </row>
    <row r="103">
      <c r="A103" s="34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precios'!$A$5:$W$54,23,FALSE),0))</f>
        <v/>
      </c>
      <c r="I103" s="27" t="n"/>
      <c r="J103" s="17">
        <f>G103*I103</f>
        <v/>
      </c>
      <c r="K103" s="17">
        <f>G103-H103-J103</f>
        <v/>
      </c>
      <c r="L103" s="32">
        <f>IF(G103&gt;0,K103/G103,"")</f>
        <v/>
      </c>
      <c r="M103" s="6" t="n"/>
    </row>
    <row r="104">
      <c r="A104" s="34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precios'!$A$5:$W$54,23,FALSE),0))</f>
        <v/>
      </c>
      <c r="I104" s="27" t="n"/>
      <c r="J104" s="17">
        <f>G104*I104</f>
        <v/>
      </c>
      <c r="K104" s="17">
        <f>G104-H104-J104</f>
        <v/>
      </c>
      <c r="L104" s="32">
        <f>IF(G104&gt;0,K104/G104,"")</f>
        <v/>
      </c>
      <c r="M104" s="6" t="n"/>
    </row>
    <row r="105">
      <c r="A105" s="34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precios'!$A$5:$W$54,23,FALSE),0))</f>
        <v/>
      </c>
      <c r="I105" s="27" t="n"/>
      <c r="J105" s="17">
        <f>G105*I105</f>
        <v/>
      </c>
      <c r="K105" s="17">
        <f>G105-H105-J105</f>
        <v/>
      </c>
      <c r="L105" s="32">
        <f>IF(G105&gt;0,K105/G105,"")</f>
        <v/>
      </c>
      <c r="M105" s="6" t="n"/>
    </row>
    <row r="106">
      <c r="A106" s="34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precios'!$A$5:$W$54,23,FALSE),0))</f>
        <v/>
      </c>
      <c r="I106" s="27" t="n"/>
      <c r="J106" s="17">
        <f>G106*I106</f>
        <v/>
      </c>
      <c r="K106" s="17">
        <f>G106-H106-J106</f>
        <v/>
      </c>
      <c r="L106" s="32">
        <f>IF(G106&gt;0,K106/G106,"")</f>
        <v/>
      </c>
      <c r="M106" s="6" t="n"/>
    </row>
    <row r="107">
      <c r="A107" s="34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precios'!$A$5:$W$54,23,FALSE),0))</f>
        <v/>
      </c>
      <c r="I107" s="27" t="n"/>
      <c r="J107" s="17">
        <f>G107*I107</f>
        <v/>
      </c>
      <c r="K107" s="17">
        <f>G107-H107-J107</f>
        <v/>
      </c>
      <c r="L107" s="32">
        <f>IF(G107&gt;0,K107/G107,"")</f>
        <v/>
      </c>
      <c r="M107" s="6" t="n"/>
    </row>
    <row r="108">
      <c r="A108" s="34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precios'!$A$5:$W$54,23,FALSE),0))</f>
        <v/>
      </c>
      <c r="I108" s="27" t="n"/>
      <c r="J108" s="17">
        <f>G108*I108</f>
        <v/>
      </c>
      <c r="K108" s="17">
        <f>G108-H108-J108</f>
        <v/>
      </c>
      <c r="L108" s="32">
        <f>IF(G108&gt;0,K108/G108,"")</f>
        <v/>
      </c>
      <c r="M108" s="6" t="n"/>
    </row>
    <row r="109">
      <c r="A109" s="34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precios'!$A$5:$W$54,23,FALSE),0))</f>
        <v/>
      </c>
      <c r="I109" s="27" t="n"/>
      <c r="J109" s="17">
        <f>G109*I109</f>
        <v/>
      </c>
      <c r="K109" s="17">
        <f>G109-H109-J109</f>
        <v/>
      </c>
      <c r="L109" s="32">
        <f>IF(G109&gt;0,K109/G109,"")</f>
        <v/>
      </c>
      <c r="M109" s="6" t="n"/>
    </row>
    <row r="110">
      <c r="A110" s="34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precios'!$A$5:$W$54,23,FALSE),0))</f>
        <v/>
      </c>
      <c r="I110" s="27" t="n"/>
      <c r="J110" s="17">
        <f>G110*I110</f>
        <v/>
      </c>
      <c r="K110" s="17">
        <f>G110-H110-J110</f>
        <v/>
      </c>
      <c r="L110" s="32">
        <f>IF(G110&gt;0,K110/G110,"")</f>
        <v/>
      </c>
      <c r="M110" s="6" t="n"/>
    </row>
    <row r="111">
      <c r="A111" s="34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precios'!$A$5:$W$54,23,FALSE),0))</f>
        <v/>
      </c>
      <c r="I111" s="27" t="n"/>
      <c r="J111" s="17">
        <f>G111*I111</f>
        <v/>
      </c>
      <c r="K111" s="17">
        <f>G111-H111-J111</f>
        <v/>
      </c>
      <c r="L111" s="32">
        <f>IF(G111&gt;0,K111/G111,"")</f>
        <v/>
      </c>
      <c r="M111" s="6" t="n"/>
    </row>
    <row r="112">
      <c r="A112" s="34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precios'!$A$5:$W$54,23,FALSE),0))</f>
        <v/>
      </c>
      <c r="I112" s="27" t="n"/>
      <c r="J112" s="17">
        <f>G112*I112</f>
        <v/>
      </c>
      <c r="K112" s="17">
        <f>G112-H112-J112</f>
        <v/>
      </c>
      <c r="L112" s="32">
        <f>IF(G112&gt;0,K112/G112,"")</f>
        <v/>
      </c>
      <c r="M112" s="6" t="n"/>
    </row>
    <row r="113">
      <c r="A113" s="34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precios'!$A$5:$W$54,23,FALSE),0))</f>
        <v/>
      </c>
      <c r="I113" s="27" t="n"/>
      <c r="J113" s="17">
        <f>G113*I113</f>
        <v/>
      </c>
      <c r="K113" s="17">
        <f>G113-H113-J113</f>
        <v/>
      </c>
      <c r="L113" s="32">
        <f>IF(G113&gt;0,K113/G113,"")</f>
        <v/>
      </c>
      <c r="M113" s="6" t="n"/>
    </row>
    <row r="114">
      <c r="A114" s="34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precios'!$A$5:$W$54,23,FALSE),0))</f>
        <v/>
      </c>
      <c r="I114" s="27" t="n"/>
      <c r="J114" s="17">
        <f>G114*I114</f>
        <v/>
      </c>
      <c r="K114" s="17">
        <f>G114-H114-J114</f>
        <v/>
      </c>
      <c r="L114" s="32">
        <f>IF(G114&gt;0,K114/G114,"")</f>
        <v/>
      </c>
      <c r="M114" s="6" t="n"/>
    </row>
    <row r="115">
      <c r="A115" s="34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precios'!$A$5:$W$54,23,FALSE),0))</f>
        <v/>
      </c>
      <c r="I115" s="27" t="n"/>
      <c r="J115" s="17">
        <f>G115*I115</f>
        <v/>
      </c>
      <c r="K115" s="17">
        <f>G115-H115-J115</f>
        <v/>
      </c>
      <c r="L115" s="32">
        <f>IF(G115&gt;0,K115/G115,"")</f>
        <v/>
      </c>
      <c r="M115" s="6" t="n"/>
    </row>
    <row r="116">
      <c r="A116" s="34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precios'!$A$5:$W$54,23,FALSE),0))</f>
        <v/>
      </c>
      <c r="I116" s="27" t="n"/>
      <c r="J116" s="17">
        <f>G116*I116</f>
        <v/>
      </c>
      <c r="K116" s="17">
        <f>G116-H116-J116</f>
        <v/>
      </c>
      <c r="L116" s="32">
        <f>IF(G116&gt;0,K116/G116,"")</f>
        <v/>
      </c>
      <c r="M116" s="6" t="n"/>
    </row>
    <row r="117">
      <c r="A117" s="34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precios'!$A$5:$W$54,23,FALSE),0))</f>
        <v/>
      </c>
      <c r="I117" s="27" t="n"/>
      <c r="J117" s="17">
        <f>G117*I117</f>
        <v/>
      </c>
      <c r="K117" s="17">
        <f>G117-H117-J117</f>
        <v/>
      </c>
      <c r="L117" s="32">
        <f>IF(G117&gt;0,K117/G117,"")</f>
        <v/>
      </c>
      <c r="M117" s="6" t="n"/>
    </row>
    <row r="118">
      <c r="A118" s="34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precios'!$A$5:$W$54,23,FALSE),0))</f>
        <v/>
      </c>
      <c r="I118" s="27" t="n"/>
      <c r="J118" s="17">
        <f>G118*I118</f>
        <v/>
      </c>
      <c r="K118" s="17">
        <f>G118-H118-J118</f>
        <v/>
      </c>
      <c r="L118" s="32">
        <f>IF(G118&gt;0,K118/G118,"")</f>
        <v/>
      </c>
      <c r="M118" s="6" t="n"/>
    </row>
    <row r="119">
      <c r="A119" s="34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precios'!$A$5:$W$54,23,FALSE),0))</f>
        <v/>
      </c>
      <c r="I119" s="27" t="n"/>
      <c r="J119" s="17">
        <f>G119*I119</f>
        <v/>
      </c>
      <c r="K119" s="17">
        <f>G119-H119-J119</f>
        <v/>
      </c>
      <c r="L119" s="32">
        <f>IF(G119&gt;0,K119/G119,"")</f>
        <v/>
      </c>
      <c r="M119" s="6" t="n"/>
    </row>
    <row r="120">
      <c r="A120" s="34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precios'!$A$5:$W$54,23,FALSE),0))</f>
        <v/>
      </c>
      <c r="I120" s="27" t="n"/>
      <c r="J120" s="17">
        <f>G120*I120</f>
        <v/>
      </c>
      <c r="K120" s="17">
        <f>G120-H120-J120</f>
        <v/>
      </c>
      <c r="L120" s="32">
        <f>IF(G120&gt;0,K120/G120,"")</f>
        <v/>
      </c>
      <c r="M120" s="6" t="n"/>
    </row>
    <row r="121">
      <c r="A121" s="34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precios'!$A$5:$W$54,23,FALSE),0))</f>
        <v/>
      </c>
      <c r="I121" s="27" t="n"/>
      <c r="J121" s="17">
        <f>G121*I121</f>
        <v/>
      </c>
      <c r="K121" s="17">
        <f>G121-H121-J121</f>
        <v/>
      </c>
      <c r="L121" s="32">
        <f>IF(G121&gt;0,K121/G121,"")</f>
        <v/>
      </c>
      <c r="M121" s="6" t="n"/>
    </row>
    <row r="122">
      <c r="A122" s="34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precios'!$A$5:$W$54,23,FALSE),0))</f>
        <v/>
      </c>
      <c r="I122" s="27" t="n"/>
      <c r="J122" s="17">
        <f>G122*I122</f>
        <v/>
      </c>
      <c r="K122" s="17">
        <f>G122-H122-J122</f>
        <v/>
      </c>
      <c r="L122" s="32">
        <f>IF(G122&gt;0,K122/G122,"")</f>
        <v/>
      </c>
      <c r="M122" s="6" t="n"/>
    </row>
    <row r="123">
      <c r="A123" s="34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precios'!$A$5:$W$54,23,FALSE),0))</f>
        <v/>
      </c>
      <c r="I123" s="27" t="n"/>
      <c r="J123" s="17">
        <f>G123*I123</f>
        <v/>
      </c>
      <c r="K123" s="17">
        <f>G123-H123-J123</f>
        <v/>
      </c>
      <c r="L123" s="32">
        <f>IF(G123&gt;0,K123/G123,"")</f>
        <v/>
      </c>
      <c r="M123" s="6" t="n"/>
    </row>
    <row r="124">
      <c r="A124" s="34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precios'!$A$5:$W$54,23,FALSE),0))</f>
        <v/>
      </c>
      <c r="I124" s="27" t="n"/>
      <c r="J124" s="17">
        <f>G124*I124</f>
        <v/>
      </c>
      <c r="K124" s="17">
        <f>G124-H124-J124</f>
        <v/>
      </c>
      <c r="L124" s="32">
        <f>IF(G124&gt;0,K124/G124,"")</f>
        <v/>
      </c>
      <c r="M124" s="6" t="n"/>
    </row>
    <row r="125">
      <c r="A125" s="34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precios'!$A$5:$W$54,23,FALSE),0))</f>
        <v/>
      </c>
      <c r="I125" s="27" t="n"/>
      <c r="J125" s="17">
        <f>G125*I125</f>
        <v/>
      </c>
      <c r="K125" s="17">
        <f>G125-H125-J125</f>
        <v/>
      </c>
      <c r="L125" s="32">
        <f>IF(G125&gt;0,K125/G125,"")</f>
        <v/>
      </c>
      <c r="M125" s="6" t="n"/>
    </row>
    <row r="126">
      <c r="A126" s="34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precios'!$A$5:$W$54,23,FALSE),0))</f>
        <v/>
      </c>
      <c r="I126" s="27" t="n"/>
      <c r="J126" s="17">
        <f>G126*I126</f>
        <v/>
      </c>
      <c r="K126" s="17">
        <f>G126-H126-J126</f>
        <v/>
      </c>
      <c r="L126" s="32">
        <f>IF(G126&gt;0,K126/G126,"")</f>
        <v/>
      </c>
      <c r="M126" s="6" t="n"/>
    </row>
    <row r="127">
      <c r="A127" s="34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precios'!$A$5:$W$54,23,FALSE),0))</f>
        <v/>
      </c>
      <c r="I127" s="27" t="n"/>
      <c r="J127" s="17">
        <f>G127*I127</f>
        <v/>
      </c>
      <c r="K127" s="17">
        <f>G127-H127-J127</f>
        <v/>
      </c>
      <c r="L127" s="32">
        <f>IF(G127&gt;0,K127/G127,"")</f>
        <v/>
      </c>
      <c r="M127" s="6" t="n"/>
    </row>
    <row r="128">
      <c r="A128" s="34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precios'!$A$5:$W$54,23,FALSE),0))</f>
        <v/>
      </c>
      <c r="I128" s="27" t="n"/>
      <c r="J128" s="17">
        <f>G128*I128</f>
        <v/>
      </c>
      <c r="K128" s="17">
        <f>G128-H128-J128</f>
        <v/>
      </c>
      <c r="L128" s="32">
        <f>IF(G128&gt;0,K128/G128,"")</f>
        <v/>
      </c>
      <c r="M128" s="6" t="n"/>
    </row>
    <row r="129">
      <c r="A129" s="34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precios'!$A$5:$W$54,23,FALSE),0))</f>
        <v/>
      </c>
      <c r="I129" s="27" t="n"/>
      <c r="J129" s="17">
        <f>G129*I129</f>
        <v/>
      </c>
      <c r="K129" s="17">
        <f>G129-H129-J129</f>
        <v/>
      </c>
      <c r="L129" s="32">
        <f>IF(G129&gt;0,K129/G129,"")</f>
        <v/>
      </c>
      <c r="M129" s="6" t="n"/>
    </row>
    <row r="130">
      <c r="A130" s="34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precios'!$A$5:$W$54,23,FALSE),0))</f>
        <v/>
      </c>
      <c r="I130" s="27" t="n"/>
      <c r="J130" s="17">
        <f>G130*I130</f>
        <v/>
      </c>
      <c r="K130" s="17">
        <f>G130-H130-J130</f>
        <v/>
      </c>
      <c r="L130" s="32">
        <f>IF(G130&gt;0,K130/G130,"")</f>
        <v/>
      </c>
      <c r="M130" s="6" t="n"/>
    </row>
    <row r="131">
      <c r="A131" s="34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precios'!$A$5:$W$54,23,FALSE),0))</f>
        <v/>
      </c>
      <c r="I131" s="27" t="n"/>
      <c r="J131" s="17">
        <f>G131*I131</f>
        <v/>
      </c>
      <c r="K131" s="17">
        <f>G131-H131-J131</f>
        <v/>
      </c>
      <c r="L131" s="32">
        <f>IF(G131&gt;0,K131/G131,"")</f>
        <v/>
      </c>
      <c r="M131" s="6" t="n"/>
    </row>
    <row r="132">
      <c r="A132" s="34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precios'!$A$5:$W$54,23,FALSE),0))</f>
        <v/>
      </c>
      <c r="I132" s="27" t="n"/>
      <c r="J132" s="17">
        <f>G132*I132</f>
        <v/>
      </c>
      <c r="K132" s="17">
        <f>G132-H132-J132</f>
        <v/>
      </c>
      <c r="L132" s="32">
        <f>IF(G132&gt;0,K132/G132,"")</f>
        <v/>
      </c>
      <c r="M132" s="6" t="n"/>
    </row>
    <row r="133">
      <c r="A133" s="34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precios'!$A$5:$W$54,23,FALSE),0))</f>
        <v/>
      </c>
      <c r="I133" s="27" t="n"/>
      <c r="J133" s="17">
        <f>G133*I133</f>
        <v/>
      </c>
      <c r="K133" s="17">
        <f>G133-H133-J133</f>
        <v/>
      </c>
      <c r="L133" s="32">
        <f>IF(G133&gt;0,K133/G133,"")</f>
        <v/>
      </c>
      <c r="M133" s="6" t="n"/>
    </row>
    <row r="134">
      <c r="A134" s="34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precios'!$A$5:$W$54,23,FALSE),0))</f>
        <v/>
      </c>
      <c r="I134" s="27" t="n"/>
      <c r="J134" s="17">
        <f>G134*I134</f>
        <v/>
      </c>
      <c r="K134" s="17">
        <f>G134-H134-J134</f>
        <v/>
      </c>
      <c r="L134" s="32">
        <f>IF(G134&gt;0,K134/G134,"")</f>
        <v/>
      </c>
      <c r="M134" s="6" t="n"/>
    </row>
    <row r="135">
      <c r="A135" s="34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precios'!$A$5:$W$54,23,FALSE),0))</f>
        <v/>
      </c>
      <c r="I135" s="27" t="n"/>
      <c r="J135" s="17">
        <f>G135*I135</f>
        <v/>
      </c>
      <c r="K135" s="17">
        <f>G135-H135-J135</f>
        <v/>
      </c>
      <c r="L135" s="32">
        <f>IF(G135&gt;0,K135/G135,"")</f>
        <v/>
      </c>
      <c r="M135" s="6" t="n"/>
    </row>
    <row r="136">
      <c r="A136" s="34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precios'!$A$5:$W$54,23,FALSE),0))</f>
        <v/>
      </c>
      <c r="I136" s="27" t="n"/>
      <c r="J136" s="17">
        <f>G136*I136</f>
        <v/>
      </c>
      <c r="K136" s="17">
        <f>G136-H136-J136</f>
        <v/>
      </c>
      <c r="L136" s="32">
        <f>IF(G136&gt;0,K136/G136,"")</f>
        <v/>
      </c>
      <c r="M136" s="6" t="n"/>
    </row>
    <row r="137">
      <c r="A137" s="34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precios'!$A$5:$W$54,23,FALSE),0))</f>
        <v/>
      </c>
      <c r="I137" s="27" t="n"/>
      <c r="J137" s="17">
        <f>G137*I137</f>
        <v/>
      </c>
      <c r="K137" s="17">
        <f>G137-H137-J137</f>
        <v/>
      </c>
      <c r="L137" s="32">
        <f>IF(G137&gt;0,K137/G137,"")</f>
        <v/>
      </c>
      <c r="M137" s="6" t="n"/>
    </row>
    <row r="138">
      <c r="A138" s="34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precios'!$A$5:$W$54,23,FALSE),0))</f>
        <v/>
      </c>
      <c r="I138" s="27" t="n"/>
      <c r="J138" s="17">
        <f>G138*I138</f>
        <v/>
      </c>
      <c r="K138" s="17">
        <f>G138-H138-J138</f>
        <v/>
      </c>
      <c r="L138" s="32">
        <f>IF(G138&gt;0,K138/G138,"")</f>
        <v/>
      </c>
      <c r="M138" s="6" t="n"/>
    </row>
    <row r="139">
      <c r="A139" s="34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precios'!$A$5:$W$54,23,FALSE),0))</f>
        <v/>
      </c>
      <c r="I139" s="27" t="n"/>
      <c r="J139" s="17">
        <f>G139*I139</f>
        <v/>
      </c>
      <c r="K139" s="17">
        <f>G139-H139-J139</f>
        <v/>
      </c>
      <c r="L139" s="32">
        <f>IF(G139&gt;0,K139/G139,"")</f>
        <v/>
      </c>
      <c r="M139" s="6" t="n"/>
    </row>
    <row r="140">
      <c r="A140" s="34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precios'!$A$5:$W$54,23,FALSE),0))</f>
        <v/>
      </c>
      <c r="I140" s="27" t="n"/>
      <c r="J140" s="17">
        <f>G140*I140</f>
        <v/>
      </c>
      <c r="K140" s="17">
        <f>G140-H140-J140</f>
        <v/>
      </c>
      <c r="L140" s="32">
        <f>IF(G140&gt;0,K140/G140,"")</f>
        <v/>
      </c>
      <c r="M140" s="6" t="n"/>
    </row>
    <row r="141">
      <c r="A141" s="34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precios'!$A$5:$W$54,23,FALSE),0))</f>
        <v/>
      </c>
      <c r="I141" s="27" t="n"/>
      <c r="J141" s="17">
        <f>G141*I141</f>
        <v/>
      </c>
      <c r="K141" s="17">
        <f>G141-H141-J141</f>
        <v/>
      </c>
      <c r="L141" s="32">
        <f>IF(G141&gt;0,K141/G141,"")</f>
        <v/>
      </c>
      <c r="M141" s="6" t="n"/>
    </row>
    <row r="142">
      <c r="A142" s="34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precios'!$A$5:$W$54,23,FALSE),0))</f>
        <v/>
      </c>
      <c r="I142" s="27" t="n"/>
      <c r="J142" s="17">
        <f>G142*I142</f>
        <v/>
      </c>
      <c r="K142" s="17">
        <f>G142-H142-J142</f>
        <v/>
      </c>
      <c r="L142" s="32">
        <f>IF(G142&gt;0,K142/G142,"")</f>
        <v/>
      </c>
      <c r="M142" s="6" t="n"/>
    </row>
    <row r="143">
      <c r="A143" s="34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precios'!$A$5:$W$54,23,FALSE),0))</f>
        <v/>
      </c>
      <c r="I143" s="27" t="n"/>
      <c r="J143" s="17">
        <f>G143*I143</f>
        <v/>
      </c>
      <c r="K143" s="17">
        <f>G143-H143-J143</f>
        <v/>
      </c>
      <c r="L143" s="32">
        <f>IF(G143&gt;0,K143/G143,"")</f>
        <v/>
      </c>
      <c r="M143" s="6" t="n"/>
    </row>
    <row r="144">
      <c r="A144" s="34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precios'!$A$5:$W$54,23,FALSE),0))</f>
        <v/>
      </c>
      <c r="I144" s="27" t="n"/>
      <c r="J144" s="17">
        <f>G144*I144</f>
        <v/>
      </c>
      <c r="K144" s="17">
        <f>G144-H144-J144</f>
        <v/>
      </c>
      <c r="L144" s="32">
        <f>IF(G144&gt;0,K144/G144,"")</f>
        <v/>
      </c>
      <c r="M144" s="6" t="n"/>
    </row>
    <row r="145">
      <c r="A145" s="34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precios'!$A$5:$W$54,23,FALSE),0))</f>
        <v/>
      </c>
      <c r="I145" s="27" t="n"/>
      <c r="J145" s="17">
        <f>G145*I145</f>
        <v/>
      </c>
      <c r="K145" s="17">
        <f>G145-H145-J145</f>
        <v/>
      </c>
      <c r="L145" s="32">
        <f>IF(G145&gt;0,K145/G145,"")</f>
        <v/>
      </c>
      <c r="M145" s="6" t="n"/>
    </row>
    <row r="146">
      <c r="A146" s="34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precios'!$A$5:$W$54,23,FALSE),0))</f>
        <v/>
      </c>
      <c r="I146" s="27" t="n"/>
      <c r="J146" s="17">
        <f>G146*I146</f>
        <v/>
      </c>
      <c r="K146" s="17">
        <f>G146-H146-J146</f>
        <v/>
      </c>
      <c r="L146" s="32">
        <f>IF(G146&gt;0,K146/G146,"")</f>
        <v/>
      </c>
      <c r="M146" s="6" t="n"/>
    </row>
    <row r="147">
      <c r="A147" s="34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precios'!$A$5:$W$54,23,FALSE),0))</f>
        <v/>
      </c>
      <c r="I147" s="27" t="n"/>
      <c r="J147" s="17">
        <f>G147*I147</f>
        <v/>
      </c>
      <c r="K147" s="17">
        <f>G147-H147-J147</f>
        <v/>
      </c>
      <c r="L147" s="32">
        <f>IF(G147&gt;0,K147/G147,"")</f>
        <v/>
      </c>
      <c r="M147" s="6" t="n"/>
    </row>
    <row r="148">
      <c r="A148" s="34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precios'!$A$5:$W$54,23,FALSE),0))</f>
        <v/>
      </c>
      <c r="I148" s="27" t="n"/>
      <c r="J148" s="17">
        <f>G148*I148</f>
        <v/>
      </c>
      <c r="K148" s="17">
        <f>G148-H148-J148</f>
        <v/>
      </c>
      <c r="L148" s="32">
        <f>IF(G148&gt;0,K148/G148,"")</f>
        <v/>
      </c>
      <c r="M148" s="6" t="n"/>
    </row>
    <row r="149">
      <c r="A149" s="34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precios'!$A$5:$W$54,23,FALSE),0))</f>
        <v/>
      </c>
      <c r="I149" s="27" t="n"/>
      <c r="J149" s="17">
        <f>G149*I149</f>
        <v/>
      </c>
      <c r="K149" s="17">
        <f>G149-H149-J149</f>
        <v/>
      </c>
      <c r="L149" s="32">
        <f>IF(G149&gt;0,K149/G149,"")</f>
        <v/>
      </c>
      <c r="M149" s="6" t="n"/>
    </row>
    <row r="150">
      <c r="A150" s="34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precios'!$A$5:$W$54,23,FALSE),0))</f>
        <v/>
      </c>
      <c r="I150" s="27" t="n"/>
      <c r="J150" s="17">
        <f>G150*I150</f>
        <v/>
      </c>
      <c r="K150" s="17">
        <f>G150-H150-J150</f>
        <v/>
      </c>
      <c r="L150" s="32">
        <f>IF(G150&gt;0,K150/G150,"")</f>
        <v/>
      </c>
      <c r="M150" s="6" t="n"/>
    </row>
    <row r="151">
      <c r="A151" s="34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precios'!$A$5:$W$54,23,FALSE),0))</f>
        <v/>
      </c>
      <c r="I151" s="27" t="n"/>
      <c r="J151" s="17">
        <f>G151*I151</f>
        <v/>
      </c>
      <c r="K151" s="17">
        <f>G151-H151-J151</f>
        <v/>
      </c>
      <c r="L151" s="32">
        <f>IF(G151&gt;0,K151/G151,"")</f>
        <v/>
      </c>
      <c r="M151" s="6" t="n"/>
    </row>
    <row r="152">
      <c r="A152" s="34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precios'!$A$5:$W$54,23,FALSE),0))</f>
        <v/>
      </c>
      <c r="I152" s="27" t="n"/>
      <c r="J152" s="17">
        <f>G152*I152</f>
        <v/>
      </c>
      <c r="K152" s="17">
        <f>G152-H152-J152</f>
        <v/>
      </c>
      <c r="L152" s="32">
        <f>IF(G152&gt;0,K152/G152,"")</f>
        <v/>
      </c>
      <c r="M152" s="6" t="n"/>
    </row>
    <row r="153">
      <c r="A153" s="34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precios'!$A$5:$W$54,23,FALSE),0))</f>
        <v/>
      </c>
      <c r="I153" s="27" t="n"/>
      <c r="J153" s="17">
        <f>G153*I153</f>
        <v/>
      </c>
      <c r="K153" s="17">
        <f>G153-H153-J153</f>
        <v/>
      </c>
      <c r="L153" s="32">
        <f>IF(G153&gt;0,K153/G153,"")</f>
        <v/>
      </c>
      <c r="M153" s="6" t="n"/>
    </row>
    <row r="154">
      <c r="A154" s="34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precios'!$A$5:$W$54,23,FALSE),0))</f>
        <v/>
      </c>
      <c r="I154" s="27" t="n"/>
      <c r="J154" s="17">
        <f>G154*I154</f>
        <v/>
      </c>
      <c r="K154" s="17">
        <f>G154-H154-J154</f>
        <v/>
      </c>
      <c r="L154" s="32">
        <f>IF(G154&gt;0,K154/G154,"")</f>
        <v/>
      </c>
      <c r="M154" s="6" t="n"/>
    </row>
    <row r="155">
      <c r="A155" s="34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precios'!$A$5:$W$54,23,FALSE),0))</f>
        <v/>
      </c>
      <c r="I155" s="27" t="n"/>
      <c r="J155" s="17">
        <f>G155*I155</f>
        <v/>
      </c>
      <c r="K155" s="17">
        <f>G155-H155-J155</f>
        <v/>
      </c>
      <c r="L155" s="32">
        <f>IF(G155&gt;0,K155/G155,"")</f>
        <v/>
      </c>
      <c r="M155" s="6" t="n"/>
    </row>
    <row r="156">
      <c r="A156" s="34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precios'!$A$5:$W$54,23,FALSE),0))</f>
        <v/>
      </c>
      <c r="I156" s="27" t="n"/>
      <c r="J156" s="17">
        <f>G156*I156</f>
        <v/>
      </c>
      <c r="K156" s="17">
        <f>G156-H156-J156</f>
        <v/>
      </c>
      <c r="L156" s="32">
        <f>IF(G156&gt;0,K156/G156,"")</f>
        <v/>
      </c>
      <c r="M156" s="6" t="n"/>
    </row>
    <row r="157">
      <c r="A157" s="34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precios'!$A$5:$W$54,23,FALSE),0))</f>
        <v/>
      </c>
      <c r="I157" s="27" t="n"/>
      <c r="J157" s="17">
        <f>G157*I157</f>
        <v/>
      </c>
      <c r="K157" s="17">
        <f>G157-H157-J157</f>
        <v/>
      </c>
      <c r="L157" s="32">
        <f>IF(G157&gt;0,K157/G157,"")</f>
        <v/>
      </c>
      <c r="M157" s="6" t="n"/>
    </row>
    <row r="158">
      <c r="A158" s="34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precios'!$A$5:$W$54,23,FALSE),0))</f>
        <v/>
      </c>
      <c r="I158" s="27" t="n"/>
      <c r="J158" s="17">
        <f>G158*I158</f>
        <v/>
      </c>
      <c r="K158" s="17">
        <f>G158-H158-J158</f>
        <v/>
      </c>
      <c r="L158" s="32">
        <f>IF(G158&gt;0,K158/G158,"")</f>
        <v/>
      </c>
      <c r="M158" s="6" t="n"/>
    </row>
    <row r="159">
      <c r="A159" s="34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precios'!$A$5:$W$54,23,FALSE),0))</f>
        <v/>
      </c>
      <c r="I159" s="27" t="n"/>
      <c r="J159" s="17">
        <f>G159*I159</f>
        <v/>
      </c>
      <c r="K159" s="17">
        <f>G159-H159-J159</f>
        <v/>
      </c>
      <c r="L159" s="32">
        <f>IF(G159&gt;0,K159/G159,"")</f>
        <v/>
      </c>
      <c r="M159" s="6" t="n"/>
    </row>
    <row r="160">
      <c r="A160" s="34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precios'!$A$5:$W$54,23,FALSE),0))</f>
        <v/>
      </c>
      <c r="I160" s="27" t="n"/>
      <c r="J160" s="17">
        <f>G160*I160</f>
        <v/>
      </c>
      <c r="K160" s="17">
        <f>G160-H160-J160</f>
        <v/>
      </c>
      <c r="L160" s="32">
        <f>IF(G160&gt;0,K160/G160,"")</f>
        <v/>
      </c>
      <c r="M160" s="6" t="n"/>
    </row>
    <row r="161">
      <c r="A161" s="34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precios'!$A$5:$W$54,23,FALSE),0))</f>
        <v/>
      </c>
      <c r="I161" s="27" t="n"/>
      <c r="J161" s="17">
        <f>G161*I161</f>
        <v/>
      </c>
      <c r="K161" s="17">
        <f>G161-H161-J161</f>
        <v/>
      </c>
      <c r="L161" s="32">
        <f>IF(G161&gt;0,K161/G161,"")</f>
        <v/>
      </c>
      <c r="M161" s="6" t="n"/>
    </row>
    <row r="162">
      <c r="A162" s="34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precios'!$A$5:$W$54,23,FALSE),0))</f>
        <v/>
      </c>
      <c r="I162" s="27" t="n"/>
      <c r="J162" s="17">
        <f>G162*I162</f>
        <v/>
      </c>
      <c r="K162" s="17">
        <f>G162-H162-J162</f>
        <v/>
      </c>
      <c r="L162" s="32">
        <f>IF(G162&gt;0,K162/G162,"")</f>
        <v/>
      </c>
      <c r="M162" s="6" t="n"/>
    </row>
    <row r="163">
      <c r="A163" s="34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precios'!$A$5:$W$54,23,FALSE),0))</f>
        <v/>
      </c>
      <c r="I163" s="27" t="n"/>
      <c r="J163" s="17">
        <f>G163*I163</f>
        <v/>
      </c>
      <c r="K163" s="17">
        <f>G163-H163-J163</f>
        <v/>
      </c>
      <c r="L163" s="32">
        <f>IF(G163&gt;0,K163/G163,"")</f>
        <v/>
      </c>
      <c r="M163" s="6" t="n"/>
    </row>
    <row r="164">
      <c r="A164" s="34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precios'!$A$5:$W$54,23,FALSE),0))</f>
        <v/>
      </c>
      <c r="I164" s="27" t="n"/>
      <c r="J164" s="17">
        <f>G164*I164</f>
        <v/>
      </c>
      <c r="K164" s="17">
        <f>G164-H164-J164</f>
        <v/>
      </c>
      <c r="L164" s="32">
        <f>IF(G164&gt;0,K164/G164,"")</f>
        <v/>
      </c>
      <c r="M164" s="6" t="n"/>
    </row>
    <row r="165">
      <c r="A165" s="34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precios'!$A$5:$W$54,23,FALSE),0))</f>
        <v/>
      </c>
      <c r="I165" s="27" t="n"/>
      <c r="J165" s="17">
        <f>G165*I165</f>
        <v/>
      </c>
      <c r="K165" s="17">
        <f>G165-H165-J165</f>
        <v/>
      </c>
      <c r="L165" s="32">
        <f>IF(G165&gt;0,K165/G165,"")</f>
        <v/>
      </c>
      <c r="M165" s="6" t="n"/>
    </row>
    <row r="166">
      <c r="A166" s="34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precios'!$A$5:$W$54,23,FALSE),0))</f>
        <v/>
      </c>
      <c r="I166" s="27" t="n"/>
      <c r="J166" s="17">
        <f>G166*I166</f>
        <v/>
      </c>
      <c r="K166" s="17">
        <f>G166-H166-J166</f>
        <v/>
      </c>
      <c r="L166" s="32">
        <f>IF(G166&gt;0,K166/G166,"")</f>
        <v/>
      </c>
      <c r="M166" s="6" t="n"/>
    </row>
    <row r="167">
      <c r="A167" s="34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precios'!$A$5:$W$54,23,FALSE),0))</f>
        <v/>
      </c>
      <c r="I167" s="27" t="n"/>
      <c r="J167" s="17">
        <f>G167*I167</f>
        <v/>
      </c>
      <c r="K167" s="17">
        <f>G167-H167-J167</f>
        <v/>
      </c>
      <c r="L167" s="32">
        <f>IF(G167&gt;0,K167/G167,"")</f>
        <v/>
      </c>
      <c r="M167" s="6" t="n"/>
    </row>
    <row r="168">
      <c r="A168" s="34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precios'!$A$5:$W$54,23,FALSE),0))</f>
        <v/>
      </c>
      <c r="I168" s="27" t="n"/>
      <c r="J168" s="17">
        <f>G168*I168</f>
        <v/>
      </c>
      <c r="K168" s="17">
        <f>G168-H168-J168</f>
        <v/>
      </c>
      <c r="L168" s="32">
        <f>IF(G168&gt;0,K168/G168,"")</f>
        <v/>
      </c>
      <c r="M168" s="6" t="n"/>
    </row>
    <row r="169">
      <c r="A169" s="34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precios'!$A$5:$W$54,23,FALSE),0))</f>
        <v/>
      </c>
      <c r="I169" s="27" t="n"/>
      <c r="J169" s="17">
        <f>G169*I169</f>
        <v/>
      </c>
      <c r="K169" s="17">
        <f>G169-H169-J169</f>
        <v/>
      </c>
      <c r="L169" s="32">
        <f>IF(G169&gt;0,K169/G169,"")</f>
        <v/>
      </c>
      <c r="M169" s="6" t="n"/>
    </row>
    <row r="170">
      <c r="A170" s="34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precios'!$A$5:$W$54,23,FALSE),0))</f>
        <v/>
      </c>
      <c r="I170" s="27" t="n"/>
      <c r="J170" s="17">
        <f>G170*I170</f>
        <v/>
      </c>
      <c r="K170" s="17">
        <f>G170-H170-J170</f>
        <v/>
      </c>
      <c r="L170" s="32">
        <f>IF(G170&gt;0,K170/G170,"")</f>
        <v/>
      </c>
      <c r="M170" s="6" t="n"/>
    </row>
    <row r="171">
      <c r="A171" s="34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precios'!$A$5:$W$54,23,FALSE),0))</f>
        <v/>
      </c>
      <c r="I171" s="27" t="n"/>
      <c r="J171" s="17">
        <f>G171*I171</f>
        <v/>
      </c>
      <c r="K171" s="17">
        <f>G171-H171-J171</f>
        <v/>
      </c>
      <c r="L171" s="32">
        <f>IF(G171&gt;0,K171/G171,"")</f>
        <v/>
      </c>
      <c r="M171" s="6" t="n"/>
    </row>
    <row r="172">
      <c r="A172" s="34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precios'!$A$5:$W$54,23,FALSE),0))</f>
        <v/>
      </c>
      <c r="I172" s="27" t="n"/>
      <c r="J172" s="17">
        <f>G172*I172</f>
        <v/>
      </c>
      <c r="K172" s="17">
        <f>G172-H172-J172</f>
        <v/>
      </c>
      <c r="L172" s="32">
        <f>IF(G172&gt;0,K172/G172,"")</f>
        <v/>
      </c>
      <c r="M172" s="6" t="n"/>
    </row>
    <row r="173">
      <c r="A173" s="34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precios'!$A$5:$W$54,23,FALSE),0))</f>
        <v/>
      </c>
      <c r="I173" s="27" t="n"/>
      <c r="J173" s="17">
        <f>G173*I173</f>
        <v/>
      </c>
      <c r="K173" s="17">
        <f>G173-H173-J173</f>
        <v/>
      </c>
      <c r="L173" s="32">
        <f>IF(G173&gt;0,K173/G173,"")</f>
        <v/>
      </c>
      <c r="M173" s="6" t="n"/>
    </row>
    <row r="174">
      <c r="A174" s="34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precios'!$A$5:$W$54,23,FALSE),0))</f>
        <v/>
      </c>
      <c r="I174" s="27" t="n"/>
      <c r="J174" s="17">
        <f>G174*I174</f>
        <v/>
      </c>
      <c r="K174" s="17">
        <f>G174-H174-J174</f>
        <v/>
      </c>
      <c r="L174" s="32">
        <f>IF(G174&gt;0,K174/G174,"")</f>
        <v/>
      </c>
      <c r="M174" s="6" t="n"/>
    </row>
    <row r="175">
      <c r="A175" s="34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precios'!$A$5:$W$54,23,FALSE),0))</f>
        <v/>
      </c>
      <c r="I175" s="27" t="n"/>
      <c r="J175" s="17">
        <f>G175*I175</f>
        <v/>
      </c>
      <c r="K175" s="17">
        <f>G175-H175-J175</f>
        <v/>
      </c>
      <c r="L175" s="32">
        <f>IF(G175&gt;0,K175/G175,"")</f>
        <v/>
      </c>
      <c r="M175" s="6" t="n"/>
    </row>
    <row r="176">
      <c r="A176" s="34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precios'!$A$5:$W$54,23,FALSE),0))</f>
        <v/>
      </c>
      <c r="I176" s="27" t="n"/>
      <c r="J176" s="17">
        <f>G176*I176</f>
        <v/>
      </c>
      <c r="K176" s="17">
        <f>G176-H176-J176</f>
        <v/>
      </c>
      <c r="L176" s="32">
        <f>IF(G176&gt;0,K176/G176,"")</f>
        <v/>
      </c>
      <c r="M176" s="6" t="n"/>
    </row>
    <row r="177">
      <c r="A177" s="34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precios'!$A$5:$W$54,23,FALSE),0))</f>
        <v/>
      </c>
      <c r="I177" s="27" t="n"/>
      <c r="J177" s="17">
        <f>G177*I177</f>
        <v/>
      </c>
      <c r="K177" s="17">
        <f>G177-H177-J177</f>
        <v/>
      </c>
      <c r="L177" s="32">
        <f>IF(G177&gt;0,K177/G177,"")</f>
        <v/>
      </c>
      <c r="M177" s="6" t="n"/>
    </row>
    <row r="178">
      <c r="A178" s="34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precios'!$A$5:$W$54,23,FALSE),0))</f>
        <v/>
      </c>
      <c r="I178" s="27" t="n"/>
      <c r="J178" s="17">
        <f>G178*I178</f>
        <v/>
      </c>
      <c r="K178" s="17">
        <f>G178-H178-J178</f>
        <v/>
      </c>
      <c r="L178" s="32">
        <f>IF(G178&gt;0,K178/G178,"")</f>
        <v/>
      </c>
      <c r="M178" s="6" t="n"/>
    </row>
    <row r="179">
      <c r="A179" s="34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precios'!$A$5:$W$54,23,FALSE),0))</f>
        <v/>
      </c>
      <c r="I179" s="27" t="n"/>
      <c r="J179" s="17">
        <f>G179*I179</f>
        <v/>
      </c>
      <c r="K179" s="17">
        <f>G179-H179-J179</f>
        <v/>
      </c>
      <c r="L179" s="32">
        <f>IF(G179&gt;0,K179/G179,"")</f>
        <v/>
      </c>
      <c r="M179" s="6" t="n"/>
    </row>
    <row r="180">
      <c r="A180" s="34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precios'!$A$5:$W$54,23,FALSE),0))</f>
        <v/>
      </c>
      <c r="I180" s="27" t="n"/>
      <c r="J180" s="17">
        <f>G180*I180</f>
        <v/>
      </c>
      <c r="K180" s="17">
        <f>G180-H180-J180</f>
        <v/>
      </c>
      <c r="L180" s="32">
        <f>IF(G180&gt;0,K180/G180,"")</f>
        <v/>
      </c>
      <c r="M180" s="6" t="n"/>
    </row>
    <row r="181">
      <c r="A181" s="34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precios'!$A$5:$W$54,23,FALSE),0))</f>
        <v/>
      </c>
      <c r="I181" s="27" t="n"/>
      <c r="J181" s="17">
        <f>G181*I181</f>
        <v/>
      </c>
      <c r="K181" s="17">
        <f>G181-H181-J181</f>
        <v/>
      </c>
      <c r="L181" s="32">
        <f>IF(G181&gt;0,K181/G181,"")</f>
        <v/>
      </c>
      <c r="M181" s="6" t="n"/>
    </row>
    <row r="182">
      <c r="A182" s="34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precios'!$A$5:$W$54,23,FALSE),0))</f>
        <v/>
      </c>
      <c r="I182" s="27" t="n"/>
      <c r="J182" s="17">
        <f>G182*I182</f>
        <v/>
      </c>
      <c r="K182" s="17">
        <f>G182-H182-J182</f>
        <v/>
      </c>
      <c r="L182" s="32">
        <f>IF(G182&gt;0,K182/G182,"")</f>
        <v/>
      </c>
      <c r="M182" s="6" t="n"/>
    </row>
    <row r="183">
      <c r="A183" s="34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precios'!$A$5:$W$54,23,FALSE),0))</f>
        <v/>
      </c>
      <c r="I183" s="27" t="n"/>
      <c r="J183" s="17">
        <f>G183*I183</f>
        <v/>
      </c>
      <c r="K183" s="17">
        <f>G183-H183-J183</f>
        <v/>
      </c>
      <c r="L183" s="32">
        <f>IF(G183&gt;0,K183/G183,"")</f>
        <v/>
      </c>
      <c r="M183" s="6" t="n"/>
    </row>
    <row r="184">
      <c r="A184" s="34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precios'!$A$5:$W$54,23,FALSE),0))</f>
        <v/>
      </c>
      <c r="I184" s="27" t="n"/>
      <c r="J184" s="17">
        <f>G184*I184</f>
        <v/>
      </c>
      <c r="K184" s="17">
        <f>G184-H184-J184</f>
        <v/>
      </c>
      <c r="L184" s="32">
        <f>IF(G184&gt;0,K184/G184,"")</f>
        <v/>
      </c>
      <c r="M184" s="6" t="n"/>
    </row>
    <row r="185">
      <c r="A185" s="34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precios'!$A$5:$W$54,23,FALSE),0))</f>
        <v/>
      </c>
      <c r="I185" s="27" t="n"/>
      <c r="J185" s="17">
        <f>G185*I185</f>
        <v/>
      </c>
      <c r="K185" s="17">
        <f>G185-H185-J185</f>
        <v/>
      </c>
      <c r="L185" s="32">
        <f>IF(G185&gt;0,K185/G185,"")</f>
        <v/>
      </c>
      <c r="M185" s="6" t="n"/>
    </row>
    <row r="186">
      <c r="A186" s="34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precios'!$A$5:$W$54,23,FALSE),0))</f>
        <v/>
      </c>
      <c r="I186" s="27" t="n"/>
      <c r="J186" s="17">
        <f>G186*I186</f>
        <v/>
      </c>
      <c r="K186" s="17">
        <f>G186-H186-J186</f>
        <v/>
      </c>
      <c r="L186" s="32">
        <f>IF(G186&gt;0,K186/G186,"")</f>
        <v/>
      </c>
      <c r="M186" s="6" t="n"/>
    </row>
    <row r="187">
      <c r="A187" s="34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precios'!$A$5:$W$54,23,FALSE),0))</f>
        <v/>
      </c>
      <c r="I187" s="27" t="n"/>
      <c r="J187" s="17">
        <f>G187*I187</f>
        <v/>
      </c>
      <c r="K187" s="17">
        <f>G187-H187-J187</f>
        <v/>
      </c>
      <c r="L187" s="32">
        <f>IF(G187&gt;0,K187/G187,"")</f>
        <v/>
      </c>
      <c r="M187" s="6" t="n"/>
    </row>
    <row r="188">
      <c r="A188" s="34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precios'!$A$5:$W$54,23,FALSE),0))</f>
        <v/>
      </c>
      <c r="I188" s="27" t="n"/>
      <c r="J188" s="17">
        <f>G188*I188</f>
        <v/>
      </c>
      <c r="K188" s="17">
        <f>G188-H188-J188</f>
        <v/>
      </c>
      <c r="L188" s="32">
        <f>IF(G188&gt;0,K188/G188,"")</f>
        <v/>
      </c>
      <c r="M188" s="6" t="n"/>
    </row>
    <row r="189">
      <c r="A189" s="34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precios'!$A$5:$W$54,23,FALSE),0))</f>
        <v/>
      </c>
      <c r="I189" s="27" t="n"/>
      <c r="J189" s="17">
        <f>G189*I189</f>
        <v/>
      </c>
      <c r="K189" s="17">
        <f>G189-H189-J189</f>
        <v/>
      </c>
      <c r="L189" s="32">
        <f>IF(G189&gt;0,K189/G189,"")</f>
        <v/>
      </c>
      <c r="M189" s="6" t="n"/>
    </row>
    <row r="190">
      <c r="A190" s="34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precios'!$A$5:$W$54,23,FALSE),0))</f>
        <v/>
      </c>
      <c r="I190" s="27" t="n"/>
      <c r="J190" s="17">
        <f>G190*I190</f>
        <v/>
      </c>
      <c r="K190" s="17">
        <f>G190-H190-J190</f>
        <v/>
      </c>
      <c r="L190" s="32">
        <f>IF(G190&gt;0,K190/G190,"")</f>
        <v/>
      </c>
      <c r="M190" s="6" t="n"/>
    </row>
    <row r="191">
      <c r="A191" s="34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precios'!$A$5:$W$54,23,FALSE),0))</f>
        <v/>
      </c>
      <c r="I191" s="27" t="n"/>
      <c r="J191" s="17">
        <f>G191*I191</f>
        <v/>
      </c>
      <c r="K191" s="17">
        <f>G191-H191-J191</f>
        <v/>
      </c>
      <c r="L191" s="32">
        <f>IF(G191&gt;0,K191/G191,"")</f>
        <v/>
      </c>
      <c r="M191" s="6" t="n"/>
    </row>
    <row r="192">
      <c r="A192" s="34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precios'!$A$5:$W$54,23,FALSE),0))</f>
        <v/>
      </c>
      <c r="I192" s="27" t="n"/>
      <c r="J192" s="17">
        <f>G192*I192</f>
        <v/>
      </c>
      <c r="K192" s="17">
        <f>G192-H192-J192</f>
        <v/>
      </c>
      <c r="L192" s="32">
        <f>IF(G192&gt;0,K192/G192,"")</f>
        <v/>
      </c>
      <c r="M192" s="6" t="n"/>
    </row>
    <row r="193">
      <c r="A193" s="34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precios'!$A$5:$W$54,23,FALSE),0))</f>
        <v/>
      </c>
      <c r="I193" s="27" t="n"/>
      <c r="J193" s="17">
        <f>G193*I193</f>
        <v/>
      </c>
      <c r="K193" s="17">
        <f>G193-H193-J193</f>
        <v/>
      </c>
      <c r="L193" s="32">
        <f>IF(G193&gt;0,K193/G193,"")</f>
        <v/>
      </c>
      <c r="M193" s="6" t="n"/>
    </row>
    <row r="194">
      <c r="A194" s="34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precios'!$A$5:$W$54,23,FALSE),0))</f>
        <v/>
      </c>
      <c r="I194" s="27" t="n"/>
      <c r="J194" s="17">
        <f>G194*I194</f>
        <v/>
      </c>
      <c r="K194" s="17">
        <f>G194-H194-J194</f>
        <v/>
      </c>
      <c r="L194" s="32">
        <f>IF(G194&gt;0,K194/G194,"")</f>
        <v/>
      </c>
      <c r="M194" s="6" t="n"/>
    </row>
    <row r="195">
      <c r="A195" s="34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precios'!$A$5:$W$54,23,FALSE),0))</f>
        <v/>
      </c>
      <c r="I195" s="27" t="n"/>
      <c r="J195" s="17">
        <f>G195*I195</f>
        <v/>
      </c>
      <c r="K195" s="17">
        <f>G195-H195-J195</f>
        <v/>
      </c>
      <c r="L195" s="32">
        <f>IF(G195&gt;0,K195/G195,"")</f>
        <v/>
      </c>
      <c r="M195" s="6" t="n"/>
    </row>
    <row r="196">
      <c r="A196" s="34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precios'!$A$5:$W$54,23,FALSE),0))</f>
        <v/>
      </c>
      <c r="I196" s="27" t="n"/>
      <c r="J196" s="17">
        <f>G196*I196</f>
        <v/>
      </c>
      <c r="K196" s="17">
        <f>G196-H196-J196</f>
        <v/>
      </c>
      <c r="L196" s="32">
        <f>IF(G196&gt;0,K196/G196,"")</f>
        <v/>
      </c>
      <c r="M196" s="6" t="n"/>
    </row>
    <row r="197">
      <c r="A197" s="34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precios'!$A$5:$W$54,23,FALSE),0))</f>
        <v/>
      </c>
      <c r="I197" s="27" t="n"/>
      <c r="J197" s="17">
        <f>G197*I197</f>
        <v/>
      </c>
      <c r="K197" s="17">
        <f>G197-H197-J197</f>
        <v/>
      </c>
      <c r="L197" s="32">
        <f>IF(G197&gt;0,K197/G197,"")</f>
        <v/>
      </c>
      <c r="M197" s="6" t="n"/>
    </row>
    <row r="198">
      <c r="A198" s="34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precios'!$A$5:$W$54,23,FALSE),0))</f>
        <v/>
      </c>
      <c r="I198" s="27" t="n"/>
      <c r="J198" s="17">
        <f>G198*I198</f>
        <v/>
      </c>
      <c r="K198" s="17">
        <f>G198-H198-J198</f>
        <v/>
      </c>
      <c r="L198" s="32">
        <f>IF(G198&gt;0,K198/G198,"")</f>
        <v/>
      </c>
      <c r="M198" s="6" t="n"/>
    </row>
    <row r="199">
      <c r="A199" s="34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precios'!$A$5:$W$54,23,FALSE),0))</f>
        <v/>
      </c>
      <c r="I199" s="27" t="n"/>
      <c r="J199" s="17">
        <f>G199*I199</f>
        <v/>
      </c>
      <c r="K199" s="17">
        <f>G199-H199-J199</f>
        <v/>
      </c>
      <c r="L199" s="32">
        <f>IF(G199&gt;0,K199/G199,"")</f>
        <v/>
      </c>
      <c r="M199" s="6" t="n"/>
    </row>
    <row r="200">
      <c r="A200" s="34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precios'!$A$5:$W$54,23,FALSE),0))</f>
        <v/>
      </c>
      <c r="I200" s="27" t="n"/>
      <c r="J200" s="17">
        <f>G200*I200</f>
        <v/>
      </c>
      <c r="K200" s="17">
        <f>G200-H200-J200</f>
        <v/>
      </c>
      <c r="L200" s="32">
        <f>IF(G200&gt;0,K200/G200,"")</f>
        <v/>
      </c>
      <c r="M200" s="6" t="n"/>
    </row>
    <row r="201">
      <c r="A201" s="34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precios'!$A$5:$W$54,23,FALSE),0))</f>
        <v/>
      </c>
      <c r="I201" s="27" t="n"/>
      <c r="J201" s="17">
        <f>G201*I201</f>
        <v/>
      </c>
      <c r="K201" s="17">
        <f>G201-H201-J201</f>
        <v/>
      </c>
      <c r="L201" s="32">
        <f>IF(G201&gt;0,K201/G201,"")</f>
        <v/>
      </c>
      <c r="M201" s="6" t="n"/>
    </row>
    <row r="202">
      <c r="A202" s="34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precios'!$A$5:$W$54,23,FALSE),0))</f>
        <v/>
      </c>
      <c r="I202" s="27" t="n"/>
      <c r="J202" s="17">
        <f>G202*I202</f>
        <v/>
      </c>
      <c r="K202" s="17">
        <f>G202-H202-J202</f>
        <v/>
      </c>
      <c r="L202" s="32">
        <f>IF(G202&gt;0,K202/G202,"")</f>
        <v/>
      </c>
      <c r="M202" s="6" t="n"/>
    </row>
    <row r="203">
      <c r="A203" s="34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precios'!$A$5:$W$54,23,FALSE),0))</f>
        <v/>
      </c>
      <c r="I203" s="27" t="n"/>
      <c r="J203" s="17">
        <f>G203*I203</f>
        <v/>
      </c>
      <c r="K203" s="17">
        <f>G203-H203-J203</f>
        <v/>
      </c>
      <c r="L203" s="32">
        <f>IF(G203&gt;0,K203/G203,"")</f>
        <v/>
      </c>
      <c r="M203" s="6" t="n"/>
    </row>
    <row r="204">
      <c r="A204" s="34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precios'!$A$5:$W$54,23,FALSE),0))</f>
        <v/>
      </c>
      <c r="I204" s="27" t="n"/>
      <c r="J204" s="17">
        <f>G204*I204</f>
        <v/>
      </c>
      <c r="K204" s="17">
        <f>G204-H204-J204</f>
        <v/>
      </c>
      <c r="L204" s="32">
        <f>IF(G204&gt;0,K204/G204,"")</f>
        <v/>
      </c>
      <c r="M204" s="6" t="n"/>
    </row>
    <row r="205">
      <c r="A205" s="34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precios'!$A$5:$W$54,23,FALSE),0))</f>
        <v/>
      </c>
      <c r="I205" s="27" t="n"/>
      <c r="J205" s="17">
        <f>G205*I205</f>
        <v/>
      </c>
      <c r="K205" s="17">
        <f>G205-H205-J205</f>
        <v/>
      </c>
      <c r="L205" s="32">
        <f>IF(G205&gt;0,K205/G205,"")</f>
        <v/>
      </c>
      <c r="M205" s="6" t="n"/>
    </row>
    <row r="206">
      <c r="A206" s="34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precios'!$A$5:$W$54,23,FALSE),0))</f>
        <v/>
      </c>
      <c r="I206" s="27" t="n"/>
      <c r="J206" s="17">
        <f>G206*I206</f>
        <v/>
      </c>
      <c r="K206" s="17">
        <f>G206-H206-J206</f>
        <v/>
      </c>
      <c r="L206" s="32">
        <f>IF(G206&gt;0,K206/G206,"")</f>
        <v/>
      </c>
      <c r="M206" s="6" t="n"/>
    </row>
    <row r="207">
      <c r="A207" s="34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precios'!$A$5:$W$54,23,FALSE),0))</f>
        <v/>
      </c>
      <c r="I207" s="27" t="n"/>
      <c r="J207" s="17">
        <f>G207*I207</f>
        <v/>
      </c>
      <c r="K207" s="17">
        <f>G207-H207-J207</f>
        <v/>
      </c>
      <c r="L207" s="32">
        <f>IF(G207&gt;0,K207/G207,"")</f>
        <v/>
      </c>
      <c r="M207" s="6" t="n"/>
    </row>
    <row r="208">
      <c r="A208" s="34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precios'!$A$5:$W$54,23,FALSE),0))</f>
        <v/>
      </c>
      <c r="I208" s="27" t="n"/>
      <c r="J208" s="17">
        <f>G208*I208</f>
        <v/>
      </c>
      <c r="K208" s="17">
        <f>G208-H208-J208</f>
        <v/>
      </c>
      <c r="L208" s="32">
        <f>IF(G208&gt;0,K208/G208,"")</f>
        <v/>
      </c>
      <c r="M208" s="6" t="n"/>
    </row>
    <row r="209">
      <c r="A209" s="34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precios'!$A$5:$W$54,23,FALSE),0))</f>
        <v/>
      </c>
      <c r="I209" s="27" t="n"/>
      <c r="J209" s="17">
        <f>G209*I209</f>
        <v/>
      </c>
      <c r="K209" s="17">
        <f>G209-H209-J209</f>
        <v/>
      </c>
      <c r="L209" s="32">
        <f>IF(G209&gt;0,K209/G209,"")</f>
        <v/>
      </c>
      <c r="M209" s="6" t="n"/>
    </row>
    <row r="210">
      <c r="A210" s="34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precios'!$A$5:$W$54,23,FALSE),0))</f>
        <v/>
      </c>
      <c r="I210" s="27" t="n"/>
      <c r="J210" s="17">
        <f>G210*I210</f>
        <v/>
      </c>
      <c r="K210" s="17">
        <f>G210-H210-J210</f>
        <v/>
      </c>
      <c r="L210" s="32">
        <f>IF(G210&gt;0,K210/G210,"")</f>
        <v/>
      </c>
      <c r="M210" s="6" t="n"/>
    </row>
    <row r="211">
      <c r="A211" s="34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precios'!$A$5:$W$54,23,FALSE),0))</f>
        <v/>
      </c>
      <c r="I211" s="27" t="n"/>
      <c r="J211" s="17">
        <f>G211*I211</f>
        <v/>
      </c>
      <c r="K211" s="17">
        <f>G211-H211-J211</f>
        <v/>
      </c>
      <c r="L211" s="32">
        <f>IF(G211&gt;0,K211/G211,"")</f>
        <v/>
      </c>
      <c r="M211" s="6" t="n"/>
    </row>
    <row r="212">
      <c r="A212" s="34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precios'!$A$5:$W$54,23,FALSE),0))</f>
        <v/>
      </c>
      <c r="I212" s="27" t="n"/>
      <c r="J212" s="17">
        <f>G212*I212</f>
        <v/>
      </c>
      <c r="K212" s="17">
        <f>G212-H212-J212</f>
        <v/>
      </c>
      <c r="L212" s="32">
        <f>IF(G212&gt;0,K212/G212,"")</f>
        <v/>
      </c>
      <c r="M212" s="6" t="n"/>
    </row>
    <row r="213">
      <c r="A213" s="34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precios'!$A$5:$W$54,23,FALSE),0))</f>
        <v/>
      </c>
      <c r="I213" s="27" t="n"/>
      <c r="J213" s="17">
        <f>G213*I213</f>
        <v/>
      </c>
      <c r="K213" s="17">
        <f>G213-H213-J213</f>
        <v/>
      </c>
      <c r="L213" s="32">
        <f>IF(G213&gt;0,K213/G213,"")</f>
        <v/>
      </c>
      <c r="M213" s="6" t="n"/>
    </row>
    <row r="214">
      <c r="A214" s="34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precios'!$A$5:$W$54,23,FALSE),0))</f>
        <v/>
      </c>
      <c r="I214" s="27" t="n"/>
      <c r="J214" s="17">
        <f>G214*I214</f>
        <v/>
      </c>
      <c r="K214" s="17">
        <f>G214-H214-J214</f>
        <v/>
      </c>
      <c r="L214" s="32">
        <f>IF(G214&gt;0,K214/G214,"")</f>
        <v/>
      </c>
      <c r="M214" s="6" t="n"/>
    </row>
    <row r="215">
      <c r="A215" s="34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precios'!$A$5:$W$54,23,FALSE),0))</f>
        <v/>
      </c>
      <c r="I215" s="27" t="n"/>
      <c r="J215" s="17">
        <f>G215*I215</f>
        <v/>
      </c>
      <c r="K215" s="17">
        <f>G215-H215-J215</f>
        <v/>
      </c>
      <c r="L215" s="32">
        <f>IF(G215&gt;0,K215/G215,"")</f>
        <v/>
      </c>
      <c r="M215" s="6" t="n"/>
    </row>
    <row r="216">
      <c r="A216" s="34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precios'!$A$5:$W$54,23,FALSE),0))</f>
        <v/>
      </c>
      <c r="I216" s="27" t="n"/>
      <c r="J216" s="17">
        <f>G216*I216</f>
        <v/>
      </c>
      <c r="K216" s="17">
        <f>G216-H216-J216</f>
        <v/>
      </c>
      <c r="L216" s="32">
        <f>IF(G216&gt;0,K216/G216,"")</f>
        <v/>
      </c>
      <c r="M216" s="6" t="n"/>
    </row>
    <row r="217">
      <c r="A217" s="34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precios'!$A$5:$W$54,23,FALSE),0))</f>
        <v/>
      </c>
      <c r="I217" s="27" t="n"/>
      <c r="J217" s="17">
        <f>G217*I217</f>
        <v/>
      </c>
      <c r="K217" s="17">
        <f>G217-H217-J217</f>
        <v/>
      </c>
      <c r="L217" s="32">
        <f>IF(G217&gt;0,K217/G217,"")</f>
        <v/>
      </c>
      <c r="M217" s="6" t="n"/>
    </row>
    <row r="218">
      <c r="A218" s="34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precios'!$A$5:$W$54,23,FALSE),0))</f>
        <v/>
      </c>
      <c r="I218" s="27" t="n"/>
      <c r="J218" s="17">
        <f>G218*I218</f>
        <v/>
      </c>
      <c r="K218" s="17">
        <f>G218-H218-J218</f>
        <v/>
      </c>
      <c r="L218" s="32">
        <f>IF(G218&gt;0,K218/G218,"")</f>
        <v/>
      </c>
      <c r="M218" s="6" t="n"/>
    </row>
    <row r="219">
      <c r="A219" s="34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precios'!$A$5:$W$54,23,FALSE),0))</f>
        <v/>
      </c>
      <c r="I219" s="27" t="n"/>
      <c r="J219" s="17">
        <f>G219*I219</f>
        <v/>
      </c>
      <c r="K219" s="17">
        <f>G219-H219-J219</f>
        <v/>
      </c>
      <c r="L219" s="32">
        <f>IF(G219&gt;0,K219/G219,"")</f>
        <v/>
      </c>
      <c r="M219" s="6" t="n"/>
    </row>
    <row r="220">
      <c r="A220" s="34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precios'!$A$5:$W$54,23,FALSE),0))</f>
        <v/>
      </c>
      <c r="I220" s="27" t="n"/>
      <c r="J220" s="17">
        <f>G220*I220</f>
        <v/>
      </c>
      <c r="K220" s="17">
        <f>G220-H220-J220</f>
        <v/>
      </c>
      <c r="L220" s="32">
        <f>IF(G220&gt;0,K220/G220,"")</f>
        <v/>
      </c>
      <c r="M220" s="6" t="n"/>
    </row>
    <row r="221">
      <c r="A221" s="34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precios'!$A$5:$W$54,23,FALSE),0))</f>
        <v/>
      </c>
      <c r="I221" s="27" t="n"/>
      <c r="J221" s="17">
        <f>G221*I221</f>
        <v/>
      </c>
      <c r="K221" s="17">
        <f>G221-H221-J221</f>
        <v/>
      </c>
      <c r="L221" s="32">
        <f>IF(G221&gt;0,K221/G221,"")</f>
        <v/>
      </c>
      <c r="M221" s="6" t="n"/>
    </row>
    <row r="222">
      <c r="A222" s="34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precios'!$A$5:$W$54,23,FALSE),0))</f>
        <v/>
      </c>
      <c r="I222" s="27" t="n"/>
      <c r="J222" s="17">
        <f>G222*I222</f>
        <v/>
      </c>
      <c r="K222" s="17">
        <f>G222-H222-J222</f>
        <v/>
      </c>
      <c r="L222" s="32">
        <f>IF(G222&gt;0,K222/G222,"")</f>
        <v/>
      </c>
      <c r="M222" s="6" t="n"/>
    </row>
    <row r="223">
      <c r="A223" s="34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precios'!$A$5:$W$54,23,FALSE),0))</f>
        <v/>
      </c>
      <c r="I223" s="27" t="n"/>
      <c r="J223" s="17">
        <f>G223*I223</f>
        <v/>
      </c>
      <c r="K223" s="17">
        <f>G223-H223-J223</f>
        <v/>
      </c>
      <c r="L223" s="32">
        <f>IF(G223&gt;0,K223/G223,"")</f>
        <v/>
      </c>
      <c r="M223" s="6" t="n"/>
    </row>
    <row r="224">
      <c r="A224" s="34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precios'!$A$5:$W$54,23,FALSE),0))</f>
        <v/>
      </c>
      <c r="I224" s="27" t="n"/>
      <c r="J224" s="17">
        <f>G224*I224</f>
        <v/>
      </c>
      <c r="K224" s="17">
        <f>G224-H224-J224</f>
        <v/>
      </c>
      <c r="L224" s="32">
        <f>IF(G224&gt;0,K224/G224,"")</f>
        <v/>
      </c>
      <c r="M224" s="6" t="n"/>
    </row>
    <row r="225">
      <c r="A225" s="34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precios'!$A$5:$W$54,23,FALSE),0))</f>
        <v/>
      </c>
      <c r="I225" s="27" t="n"/>
      <c r="J225" s="17">
        <f>G225*I225</f>
        <v/>
      </c>
      <c r="K225" s="17">
        <f>G225-H225-J225</f>
        <v/>
      </c>
      <c r="L225" s="32">
        <f>IF(G225&gt;0,K225/G225,"")</f>
        <v/>
      </c>
      <c r="M225" s="6" t="n"/>
    </row>
    <row r="226">
      <c r="A226" s="34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precios'!$A$5:$W$54,23,FALSE),0))</f>
        <v/>
      </c>
      <c r="I226" s="27" t="n"/>
      <c r="J226" s="17">
        <f>G226*I226</f>
        <v/>
      </c>
      <c r="K226" s="17">
        <f>G226-H226-J226</f>
        <v/>
      </c>
      <c r="L226" s="32">
        <f>IF(G226&gt;0,K226/G226,"")</f>
        <v/>
      </c>
      <c r="M226" s="6" t="n"/>
    </row>
    <row r="227">
      <c r="A227" s="34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precios'!$A$5:$W$54,23,FALSE),0))</f>
        <v/>
      </c>
      <c r="I227" s="27" t="n"/>
      <c r="J227" s="17">
        <f>G227*I227</f>
        <v/>
      </c>
      <c r="K227" s="17">
        <f>G227-H227-J227</f>
        <v/>
      </c>
      <c r="L227" s="32">
        <f>IF(G227&gt;0,K227/G227,"")</f>
        <v/>
      </c>
      <c r="M227" s="6" t="n"/>
    </row>
    <row r="228">
      <c r="A228" s="34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precios'!$A$5:$W$54,23,FALSE),0))</f>
        <v/>
      </c>
      <c r="I228" s="27" t="n"/>
      <c r="J228" s="17">
        <f>G228*I228</f>
        <v/>
      </c>
      <c r="K228" s="17">
        <f>G228-H228-J228</f>
        <v/>
      </c>
      <c r="L228" s="32">
        <f>IF(G228&gt;0,K228/G228,"")</f>
        <v/>
      </c>
      <c r="M228" s="6" t="n"/>
    </row>
    <row r="229">
      <c r="A229" s="34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precios'!$A$5:$W$54,23,FALSE),0))</f>
        <v/>
      </c>
      <c r="I229" s="27" t="n"/>
      <c r="J229" s="17">
        <f>G229*I229</f>
        <v/>
      </c>
      <c r="K229" s="17">
        <f>G229-H229-J229</f>
        <v/>
      </c>
      <c r="L229" s="32">
        <f>IF(G229&gt;0,K229/G229,"")</f>
        <v/>
      </c>
      <c r="M229" s="6" t="n"/>
    </row>
    <row r="230">
      <c r="A230" s="34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precios'!$A$5:$W$54,23,FALSE),0))</f>
        <v/>
      </c>
      <c r="I230" s="27" t="n"/>
      <c r="J230" s="17">
        <f>G230*I230</f>
        <v/>
      </c>
      <c r="K230" s="17">
        <f>G230-H230-J230</f>
        <v/>
      </c>
      <c r="L230" s="32">
        <f>IF(G230&gt;0,K230/G230,"")</f>
        <v/>
      </c>
      <c r="M230" s="6" t="n"/>
    </row>
    <row r="231">
      <c r="A231" s="34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precios'!$A$5:$W$54,23,FALSE),0))</f>
        <v/>
      </c>
      <c r="I231" s="27" t="n"/>
      <c r="J231" s="17">
        <f>G231*I231</f>
        <v/>
      </c>
      <c r="K231" s="17">
        <f>G231-H231-J231</f>
        <v/>
      </c>
      <c r="L231" s="32">
        <f>IF(G231&gt;0,K231/G231,"")</f>
        <v/>
      </c>
      <c r="M231" s="6" t="n"/>
    </row>
    <row r="232">
      <c r="A232" s="34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precios'!$A$5:$W$54,23,FALSE),0))</f>
        <v/>
      </c>
      <c r="I232" s="27" t="n"/>
      <c r="J232" s="17">
        <f>G232*I232</f>
        <v/>
      </c>
      <c r="K232" s="17">
        <f>G232-H232-J232</f>
        <v/>
      </c>
      <c r="L232" s="32">
        <f>IF(G232&gt;0,K232/G232,"")</f>
        <v/>
      </c>
      <c r="M232" s="6" t="n"/>
    </row>
    <row r="233">
      <c r="A233" s="34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precios'!$A$5:$W$54,23,FALSE),0))</f>
        <v/>
      </c>
      <c r="I233" s="27" t="n"/>
      <c r="J233" s="17">
        <f>G233*I233</f>
        <v/>
      </c>
      <c r="K233" s="17">
        <f>G233-H233-J233</f>
        <v/>
      </c>
      <c r="L233" s="32">
        <f>IF(G233&gt;0,K233/G233,"")</f>
        <v/>
      </c>
      <c r="M233" s="6" t="n"/>
    </row>
    <row r="234">
      <c r="A234" s="34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precios'!$A$5:$W$54,23,FALSE),0))</f>
        <v/>
      </c>
      <c r="I234" s="27" t="n"/>
      <c r="J234" s="17">
        <f>G234*I234</f>
        <v/>
      </c>
      <c r="K234" s="17">
        <f>G234-H234-J234</f>
        <v/>
      </c>
      <c r="L234" s="32">
        <f>IF(G234&gt;0,K234/G234,"")</f>
        <v/>
      </c>
      <c r="M234" s="6" t="n"/>
    </row>
    <row r="235">
      <c r="A235" s="34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precios'!$A$5:$W$54,23,FALSE),0))</f>
        <v/>
      </c>
      <c r="I235" s="27" t="n"/>
      <c r="J235" s="17">
        <f>G235*I235</f>
        <v/>
      </c>
      <c r="K235" s="17">
        <f>G235-H235-J235</f>
        <v/>
      </c>
      <c r="L235" s="32">
        <f>IF(G235&gt;0,K235/G235,"")</f>
        <v/>
      </c>
      <c r="M235" s="6" t="n"/>
    </row>
    <row r="236">
      <c r="A236" s="34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precios'!$A$5:$W$54,23,FALSE),0))</f>
        <v/>
      </c>
      <c r="I236" s="27" t="n"/>
      <c r="J236" s="17">
        <f>G236*I236</f>
        <v/>
      </c>
      <c r="K236" s="17">
        <f>G236-H236-J236</f>
        <v/>
      </c>
      <c r="L236" s="32">
        <f>IF(G236&gt;0,K236/G236,"")</f>
        <v/>
      </c>
      <c r="M236" s="6" t="n"/>
    </row>
    <row r="237">
      <c r="A237" s="34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precios'!$A$5:$W$54,23,FALSE),0))</f>
        <v/>
      </c>
      <c r="I237" s="27" t="n"/>
      <c r="J237" s="17">
        <f>G237*I237</f>
        <v/>
      </c>
      <c r="K237" s="17">
        <f>G237-H237-J237</f>
        <v/>
      </c>
      <c r="L237" s="32">
        <f>IF(G237&gt;0,K237/G237,"")</f>
        <v/>
      </c>
      <c r="M237" s="6" t="n"/>
    </row>
    <row r="238">
      <c r="A238" s="34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precios'!$A$5:$W$54,23,FALSE),0))</f>
        <v/>
      </c>
      <c r="I238" s="27" t="n"/>
      <c r="J238" s="17">
        <f>G238*I238</f>
        <v/>
      </c>
      <c r="K238" s="17">
        <f>G238-H238-J238</f>
        <v/>
      </c>
      <c r="L238" s="32">
        <f>IF(G238&gt;0,K238/G238,"")</f>
        <v/>
      </c>
      <c r="M238" s="6" t="n"/>
    </row>
    <row r="239">
      <c r="A239" s="34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precios'!$A$5:$W$54,23,FALSE),0))</f>
        <v/>
      </c>
      <c r="I239" s="27" t="n"/>
      <c r="J239" s="17">
        <f>G239*I239</f>
        <v/>
      </c>
      <c r="K239" s="17">
        <f>G239-H239-J239</f>
        <v/>
      </c>
      <c r="L239" s="32">
        <f>IF(G239&gt;0,K239/G239,"")</f>
        <v/>
      </c>
      <c r="M239" s="6" t="n"/>
    </row>
    <row r="240">
      <c r="A240" s="34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precios'!$A$5:$W$54,23,FALSE),0))</f>
        <v/>
      </c>
      <c r="I240" s="27" t="n"/>
      <c r="J240" s="17">
        <f>G240*I240</f>
        <v/>
      </c>
      <c r="K240" s="17">
        <f>G240-H240-J240</f>
        <v/>
      </c>
      <c r="L240" s="32">
        <f>IF(G240&gt;0,K240/G240,"")</f>
        <v/>
      </c>
      <c r="M240" s="6" t="n"/>
    </row>
    <row r="241">
      <c r="A241" s="34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precios'!$A$5:$W$54,23,FALSE),0))</f>
        <v/>
      </c>
      <c r="I241" s="27" t="n"/>
      <c r="J241" s="17">
        <f>G241*I241</f>
        <v/>
      </c>
      <c r="K241" s="17">
        <f>G241-H241-J241</f>
        <v/>
      </c>
      <c r="L241" s="32">
        <f>IF(G241&gt;0,K241/G241,"")</f>
        <v/>
      </c>
      <c r="M241" s="6" t="n"/>
    </row>
    <row r="242">
      <c r="A242" s="34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precios'!$A$5:$W$54,23,FALSE),0))</f>
        <v/>
      </c>
      <c r="I242" s="27" t="n"/>
      <c r="J242" s="17">
        <f>G242*I242</f>
        <v/>
      </c>
      <c r="K242" s="17">
        <f>G242-H242-J242</f>
        <v/>
      </c>
      <c r="L242" s="32">
        <f>IF(G242&gt;0,K242/G242,"")</f>
        <v/>
      </c>
      <c r="M242" s="6" t="n"/>
    </row>
    <row r="243">
      <c r="A243" s="34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precios'!$A$5:$W$54,23,FALSE),0))</f>
        <v/>
      </c>
      <c r="I243" s="27" t="n"/>
      <c r="J243" s="17">
        <f>G243*I243</f>
        <v/>
      </c>
      <c r="K243" s="17">
        <f>G243-H243-J243</f>
        <v/>
      </c>
      <c r="L243" s="32">
        <f>IF(G243&gt;0,K243/G243,"")</f>
        <v/>
      </c>
      <c r="M243" s="6" t="n"/>
    </row>
    <row r="244">
      <c r="A244" s="34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precios'!$A$5:$W$54,23,FALSE),0))</f>
        <v/>
      </c>
      <c r="I244" s="27" t="n"/>
      <c r="J244" s="17">
        <f>G244*I244</f>
        <v/>
      </c>
      <c r="K244" s="17">
        <f>G244-H244-J244</f>
        <v/>
      </c>
      <c r="L244" s="32">
        <f>IF(G244&gt;0,K244/G244,"")</f>
        <v/>
      </c>
      <c r="M244" s="6" t="n"/>
    </row>
    <row r="245">
      <c r="A245" s="34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precios'!$A$5:$W$54,23,FALSE),0))</f>
        <v/>
      </c>
      <c r="I245" s="27" t="n"/>
      <c r="J245" s="17">
        <f>G245*I245</f>
        <v/>
      </c>
      <c r="K245" s="17">
        <f>G245-H245-J245</f>
        <v/>
      </c>
      <c r="L245" s="32">
        <f>IF(G245&gt;0,K245/G245,"")</f>
        <v/>
      </c>
      <c r="M245" s="6" t="n"/>
    </row>
    <row r="246">
      <c r="A246" s="34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precios'!$A$5:$W$54,23,FALSE),0))</f>
        <v/>
      </c>
      <c r="I246" s="27" t="n"/>
      <c r="J246" s="17">
        <f>G246*I246</f>
        <v/>
      </c>
      <c r="K246" s="17">
        <f>G246-H246-J246</f>
        <v/>
      </c>
      <c r="L246" s="32">
        <f>IF(G246&gt;0,K246/G246,"")</f>
        <v/>
      </c>
      <c r="M246" s="6" t="n"/>
    </row>
    <row r="247">
      <c r="A247" s="34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precios'!$A$5:$W$54,23,FALSE),0))</f>
        <v/>
      </c>
      <c r="I247" s="27" t="n"/>
      <c r="J247" s="17">
        <f>G247*I247</f>
        <v/>
      </c>
      <c r="K247" s="17">
        <f>G247-H247-J247</f>
        <v/>
      </c>
      <c r="L247" s="32">
        <f>IF(G247&gt;0,K247/G247,"")</f>
        <v/>
      </c>
      <c r="M247" s="6" t="n"/>
    </row>
    <row r="248">
      <c r="A248" s="34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precios'!$A$5:$W$54,23,FALSE),0))</f>
        <v/>
      </c>
      <c r="I248" s="27" t="n"/>
      <c r="J248" s="17">
        <f>G248*I248</f>
        <v/>
      </c>
      <c r="K248" s="17">
        <f>G248-H248-J248</f>
        <v/>
      </c>
      <c r="L248" s="32">
        <f>IF(G248&gt;0,K248/G248,"")</f>
        <v/>
      </c>
      <c r="M248" s="6" t="n"/>
    </row>
    <row r="249">
      <c r="A249" s="34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precios'!$A$5:$W$54,23,FALSE),0))</f>
        <v/>
      </c>
      <c r="I249" s="27" t="n"/>
      <c r="J249" s="17">
        <f>G249*I249</f>
        <v/>
      </c>
      <c r="K249" s="17">
        <f>G249-H249-J249</f>
        <v/>
      </c>
      <c r="L249" s="32">
        <f>IF(G249&gt;0,K249/G249,"")</f>
        <v/>
      </c>
      <c r="M249" s="6" t="n"/>
    </row>
    <row r="250">
      <c r="A250" s="34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precios'!$A$5:$W$54,23,FALSE),0))</f>
        <v/>
      </c>
      <c r="I250" s="27" t="n"/>
      <c r="J250" s="17">
        <f>G250*I250</f>
        <v/>
      </c>
      <c r="K250" s="17">
        <f>G250-H250-J250</f>
        <v/>
      </c>
      <c r="L250" s="32">
        <f>IF(G250&gt;0,K250/G250,"")</f>
        <v/>
      </c>
      <c r="M250" s="6" t="n"/>
    </row>
    <row r="251">
      <c r="A251" s="34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precios'!$A$5:$W$54,23,FALSE),0))</f>
        <v/>
      </c>
      <c r="I251" s="27" t="n"/>
      <c r="J251" s="17">
        <f>G251*I251</f>
        <v/>
      </c>
      <c r="K251" s="17">
        <f>G251-H251-J251</f>
        <v/>
      </c>
      <c r="L251" s="32">
        <f>IF(G251&gt;0,K251/G251,"")</f>
        <v/>
      </c>
      <c r="M251" s="6" t="n"/>
    </row>
    <row r="252">
      <c r="A252" s="34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precios'!$A$5:$W$54,23,FALSE),0))</f>
        <v/>
      </c>
      <c r="I252" s="27" t="n"/>
      <c r="J252" s="17">
        <f>G252*I252</f>
        <v/>
      </c>
      <c r="K252" s="17">
        <f>G252-H252-J252</f>
        <v/>
      </c>
      <c r="L252" s="32">
        <f>IF(G252&gt;0,K252/G252,"")</f>
        <v/>
      </c>
      <c r="M252" s="6" t="n"/>
    </row>
    <row r="253">
      <c r="A253" s="34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precios'!$A$5:$W$54,23,FALSE),0))</f>
        <v/>
      </c>
      <c r="I253" s="27" t="n"/>
      <c r="J253" s="17">
        <f>G253*I253</f>
        <v/>
      </c>
      <c r="K253" s="17">
        <f>G253-H253-J253</f>
        <v/>
      </c>
      <c r="L253" s="32">
        <f>IF(G253&gt;0,K253/G253,"")</f>
        <v/>
      </c>
      <c r="M253" s="6" t="n"/>
    </row>
    <row r="254">
      <c r="A254" s="34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precios'!$A$5:$W$54,23,FALSE),0))</f>
        <v/>
      </c>
      <c r="I254" s="27" t="n"/>
      <c r="J254" s="17">
        <f>G254*I254</f>
        <v/>
      </c>
      <c r="K254" s="17">
        <f>G254-H254-J254</f>
        <v/>
      </c>
      <c r="L254" s="32">
        <f>IF(G254&gt;0,K254/G254,"")</f>
        <v/>
      </c>
      <c r="M254" s="6" t="n"/>
    </row>
    <row r="255">
      <c r="A255" s="34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precios'!$A$5:$W$54,23,FALSE),0))</f>
        <v/>
      </c>
      <c r="I255" s="27" t="n"/>
      <c r="J255" s="17">
        <f>G255*I255</f>
        <v/>
      </c>
      <c r="K255" s="17">
        <f>G255-H255-J255</f>
        <v/>
      </c>
      <c r="L255" s="32">
        <f>IF(G255&gt;0,K255/G255,"")</f>
        <v/>
      </c>
      <c r="M255" s="6" t="n"/>
    </row>
    <row r="256">
      <c r="A256" s="34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precios'!$A$5:$W$54,23,FALSE),0))</f>
        <v/>
      </c>
      <c r="I256" s="27" t="n"/>
      <c r="J256" s="17">
        <f>G256*I256</f>
        <v/>
      </c>
      <c r="K256" s="17">
        <f>G256-H256-J256</f>
        <v/>
      </c>
      <c r="L256" s="32">
        <f>IF(G256&gt;0,K256/G256,"")</f>
        <v/>
      </c>
      <c r="M256" s="6" t="n"/>
    </row>
    <row r="257">
      <c r="A257" s="34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precios'!$A$5:$W$54,23,FALSE),0))</f>
        <v/>
      </c>
      <c r="I257" s="27" t="n"/>
      <c r="J257" s="17">
        <f>G257*I257</f>
        <v/>
      </c>
      <c r="K257" s="17">
        <f>G257-H257-J257</f>
        <v/>
      </c>
      <c r="L257" s="32">
        <f>IF(G257&gt;0,K257/G257,"")</f>
        <v/>
      </c>
      <c r="M257" s="6" t="n"/>
    </row>
    <row r="258">
      <c r="A258" s="34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precios'!$A$5:$W$54,23,FALSE),0))</f>
        <v/>
      </c>
      <c r="I258" s="27" t="n"/>
      <c r="J258" s="17">
        <f>G258*I258</f>
        <v/>
      </c>
      <c r="K258" s="17">
        <f>G258-H258-J258</f>
        <v/>
      </c>
      <c r="L258" s="32">
        <f>IF(G258&gt;0,K258/G258,"")</f>
        <v/>
      </c>
      <c r="M258" s="6" t="n"/>
    </row>
    <row r="259">
      <c r="A259" s="34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precios'!$A$5:$W$54,23,FALSE),0))</f>
        <v/>
      </c>
      <c r="I259" s="27" t="n"/>
      <c r="J259" s="17">
        <f>G259*I259</f>
        <v/>
      </c>
      <c r="K259" s="17">
        <f>G259-H259-J259</f>
        <v/>
      </c>
      <c r="L259" s="32">
        <f>IF(G259&gt;0,K259/G259,"")</f>
        <v/>
      </c>
      <c r="M259" s="6" t="n"/>
    </row>
    <row r="260">
      <c r="A260" s="34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precios'!$A$5:$W$54,23,FALSE),0))</f>
        <v/>
      </c>
      <c r="I260" s="27" t="n"/>
      <c r="J260" s="17">
        <f>G260*I260</f>
        <v/>
      </c>
      <c r="K260" s="17">
        <f>G260-H260-J260</f>
        <v/>
      </c>
      <c r="L260" s="32">
        <f>IF(G260&gt;0,K260/G260,"")</f>
        <v/>
      </c>
      <c r="M260" s="6" t="n"/>
    </row>
    <row r="261">
      <c r="A261" s="34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precios'!$A$5:$W$54,23,FALSE),0))</f>
        <v/>
      </c>
      <c r="I261" s="27" t="n"/>
      <c r="J261" s="17">
        <f>G261*I261</f>
        <v/>
      </c>
      <c r="K261" s="17">
        <f>G261-H261-J261</f>
        <v/>
      </c>
      <c r="L261" s="32">
        <f>IF(G261&gt;0,K261/G261,"")</f>
        <v/>
      </c>
      <c r="M261" s="6" t="n"/>
    </row>
    <row r="262">
      <c r="A262" s="34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precios'!$A$5:$W$54,23,FALSE),0))</f>
        <v/>
      </c>
      <c r="I262" s="27" t="n"/>
      <c r="J262" s="17">
        <f>G262*I262</f>
        <v/>
      </c>
      <c r="K262" s="17">
        <f>G262-H262-J262</f>
        <v/>
      </c>
      <c r="L262" s="32">
        <f>IF(G262&gt;0,K262/G262,"")</f>
        <v/>
      </c>
      <c r="M262" s="6" t="n"/>
    </row>
    <row r="263">
      <c r="A263" s="34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precios'!$A$5:$W$54,23,FALSE),0))</f>
        <v/>
      </c>
      <c r="I263" s="27" t="n"/>
      <c r="J263" s="17">
        <f>G263*I263</f>
        <v/>
      </c>
      <c r="K263" s="17">
        <f>G263-H263-J263</f>
        <v/>
      </c>
      <c r="L263" s="32">
        <f>IF(G263&gt;0,K263/G263,"")</f>
        <v/>
      </c>
      <c r="M263" s="6" t="n"/>
    </row>
    <row r="264">
      <c r="A264" s="34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precios'!$A$5:$W$54,23,FALSE),0))</f>
        <v/>
      </c>
      <c r="I264" s="27" t="n"/>
      <c r="J264" s="17">
        <f>G264*I264</f>
        <v/>
      </c>
      <c r="K264" s="17">
        <f>G264-H264-J264</f>
        <v/>
      </c>
      <c r="L264" s="32">
        <f>IF(G264&gt;0,K264/G264,"")</f>
        <v/>
      </c>
      <c r="M264" s="6" t="n"/>
    </row>
    <row r="265">
      <c r="A265" s="34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precios'!$A$5:$W$54,23,FALSE),0))</f>
        <v/>
      </c>
      <c r="I265" s="27" t="n"/>
      <c r="J265" s="17">
        <f>G265*I265</f>
        <v/>
      </c>
      <c r="K265" s="17">
        <f>G265-H265-J265</f>
        <v/>
      </c>
      <c r="L265" s="32">
        <f>IF(G265&gt;0,K265/G265,"")</f>
        <v/>
      </c>
      <c r="M265" s="6" t="n"/>
    </row>
    <row r="266">
      <c r="A266" s="34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precios'!$A$5:$W$54,23,FALSE),0))</f>
        <v/>
      </c>
      <c r="I266" s="27" t="n"/>
      <c r="J266" s="17">
        <f>G266*I266</f>
        <v/>
      </c>
      <c r="K266" s="17">
        <f>G266-H266-J266</f>
        <v/>
      </c>
      <c r="L266" s="32">
        <f>IF(G266&gt;0,K266/G266,"")</f>
        <v/>
      </c>
      <c r="M266" s="6" t="n"/>
    </row>
    <row r="267">
      <c r="A267" s="34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precios'!$A$5:$W$54,23,FALSE),0))</f>
        <v/>
      </c>
      <c r="I267" s="27" t="n"/>
      <c r="J267" s="17">
        <f>G267*I267</f>
        <v/>
      </c>
      <c r="K267" s="17">
        <f>G267-H267-J267</f>
        <v/>
      </c>
      <c r="L267" s="32">
        <f>IF(G267&gt;0,K267/G267,"")</f>
        <v/>
      </c>
      <c r="M267" s="6" t="n"/>
    </row>
    <row r="268">
      <c r="A268" s="34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precios'!$A$5:$W$54,23,FALSE),0))</f>
        <v/>
      </c>
      <c r="I268" s="27" t="n"/>
      <c r="J268" s="17">
        <f>G268*I268</f>
        <v/>
      </c>
      <c r="K268" s="17">
        <f>G268-H268-J268</f>
        <v/>
      </c>
      <c r="L268" s="32">
        <f>IF(G268&gt;0,K268/G268,"")</f>
        <v/>
      </c>
      <c r="M268" s="6" t="n"/>
    </row>
    <row r="269">
      <c r="A269" s="34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precios'!$A$5:$W$54,23,FALSE),0))</f>
        <v/>
      </c>
      <c r="I269" s="27" t="n"/>
      <c r="J269" s="17">
        <f>G269*I269</f>
        <v/>
      </c>
      <c r="K269" s="17">
        <f>G269-H269-J269</f>
        <v/>
      </c>
      <c r="L269" s="32">
        <f>IF(G269&gt;0,K269/G269,"")</f>
        <v/>
      </c>
      <c r="M269" s="6" t="n"/>
    </row>
    <row r="270">
      <c r="A270" s="34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precios'!$A$5:$W$54,23,FALSE),0))</f>
        <v/>
      </c>
      <c r="I270" s="27" t="n"/>
      <c r="J270" s="17">
        <f>G270*I270</f>
        <v/>
      </c>
      <c r="K270" s="17">
        <f>G270-H270-J270</f>
        <v/>
      </c>
      <c r="L270" s="32">
        <f>IF(G270&gt;0,K270/G270,"")</f>
        <v/>
      </c>
      <c r="M270" s="6" t="n"/>
    </row>
    <row r="271">
      <c r="A271" s="34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precios'!$A$5:$W$54,23,FALSE),0))</f>
        <v/>
      </c>
      <c r="I271" s="27" t="n"/>
      <c r="J271" s="17">
        <f>G271*I271</f>
        <v/>
      </c>
      <c r="K271" s="17">
        <f>G271-H271-J271</f>
        <v/>
      </c>
      <c r="L271" s="32">
        <f>IF(G271&gt;0,K271/G271,"")</f>
        <v/>
      </c>
      <c r="M271" s="6" t="n"/>
    </row>
    <row r="272">
      <c r="A272" s="34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precios'!$A$5:$W$54,23,FALSE),0))</f>
        <v/>
      </c>
      <c r="I272" s="27" t="n"/>
      <c r="J272" s="17">
        <f>G272*I272</f>
        <v/>
      </c>
      <c r="K272" s="17">
        <f>G272-H272-J272</f>
        <v/>
      </c>
      <c r="L272" s="32">
        <f>IF(G272&gt;0,K272/G272,"")</f>
        <v/>
      </c>
      <c r="M272" s="6" t="n"/>
    </row>
    <row r="273">
      <c r="A273" s="34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precios'!$A$5:$W$54,23,FALSE),0))</f>
        <v/>
      </c>
      <c r="I273" s="27" t="n"/>
      <c r="J273" s="17">
        <f>G273*I273</f>
        <v/>
      </c>
      <c r="K273" s="17">
        <f>G273-H273-J273</f>
        <v/>
      </c>
      <c r="L273" s="32">
        <f>IF(G273&gt;0,K273/G273,"")</f>
        <v/>
      </c>
      <c r="M273" s="6" t="n"/>
    </row>
    <row r="274">
      <c r="A274" s="34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precios'!$A$5:$W$54,23,FALSE),0))</f>
        <v/>
      </c>
      <c r="I274" s="27" t="n"/>
      <c r="J274" s="17">
        <f>G274*I274</f>
        <v/>
      </c>
      <c r="K274" s="17">
        <f>G274-H274-J274</f>
        <v/>
      </c>
      <c r="L274" s="32">
        <f>IF(G274&gt;0,K274/G274,"")</f>
        <v/>
      </c>
      <c r="M274" s="6" t="n"/>
    </row>
    <row r="275">
      <c r="A275" s="34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precios'!$A$5:$W$54,23,FALSE),0))</f>
        <v/>
      </c>
      <c r="I275" s="27" t="n"/>
      <c r="J275" s="17">
        <f>G275*I275</f>
        <v/>
      </c>
      <c r="K275" s="17">
        <f>G275-H275-J275</f>
        <v/>
      </c>
      <c r="L275" s="32">
        <f>IF(G275&gt;0,K275/G275,"")</f>
        <v/>
      </c>
      <c r="M275" s="6" t="n"/>
    </row>
    <row r="276">
      <c r="A276" s="34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precios'!$A$5:$W$54,23,FALSE),0))</f>
        <v/>
      </c>
      <c r="I276" s="27" t="n"/>
      <c r="J276" s="17">
        <f>G276*I276</f>
        <v/>
      </c>
      <c r="K276" s="17">
        <f>G276-H276-J276</f>
        <v/>
      </c>
      <c r="L276" s="32">
        <f>IF(G276&gt;0,K276/G276,"")</f>
        <v/>
      </c>
      <c r="M276" s="6" t="n"/>
    </row>
    <row r="277">
      <c r="A277" s="34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precios'!$A$5:$W$54,23,FALSE),0))</f>
        <v/>
      </c>
      <c r="I277" s="27" t="n"/>
      <c r="J277" s="17">
        <f>G277*I277</f>
        <v/>
      </c>
      <c r="K277" s="17">
        <f>G277-H277-J277</f>
        <v/>
      </c>
      <c r="L277" s="32">
        <f>IF(G277&gt;0,K277/G277,"")</f>
        <v/>
      </c>
      <c r="M277" s="6" t="n"/>
    </row>
    <row r="278">
      <c r="A278" s="34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precios'!$A$5:$W$54,23,FALSE),0))</f>
        <v/>
      </c>
      <c r="I278" s="27" t="n"/>
      <c r="J278" s="17">
        <f>G278*I278</f>
        <v/>
      </c>
      <c r="K278" s="17">
        <f>G278-H278-J278</f>
        <v/>
      </c>
      <c r="L278" s="32">
        <f>IF(G278&gt;0,K278/G278,"")</f>
        <v/>
      </c>
      <c r="M278" s="6" t="n"/>
    </row>
    <row r="279">
      <c r="A279" s="34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precios'!$A$5:$W$54,23,FALSE),0))</f>
        <v/>
      </c>
      <c r="I279" s="27" t="n"/>
      <c r="J279" s="17">
        <f>G279*I279</f>
        <v/>
      </c>
      <c r="K279" s="17">
        <f>G279-H279-J279</f>
        <v/>
      </c>
      <c r="L279" s="32">
        <f>IF(G279&gt;0,K279/G279,"")</f>
        <v/>
      </c>
      <c r="M279" s="6" t="n"/>
    </row>
    <row r="280">
      <c r="A280" s="34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precios'!$A$5:$W$54,23,FALSE),0))</f>
        <v/>
      </c>
      <c r="I280" s="27" t="n"/>
      <c r="J280" s="17">
        <f>G280*I280</f>
        <v/>
      </c>
      <c r="K280" s="17">
        <f>G280-H280-J280</f>
        <v/>
      </c>
      <c r="L280" s="32">
        <f>IF(G280&gt;0,K280/G280,"")</f>
        <v/>
      </c>
      <c r="M280" s="6" t="n"/>
    </row>
    <row r="281">
      <c r="A281" s="34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precios'!$A$5:$W$54,23,FALSE),0))</f>
        <v/>
      </c>
      <c r="I281" s="27" t="n"/>
      <c r="J281" s="17">
        <f>G281*I281</f>
        <v/>
      </c>
      <c r="K281" s="17">
        <f>G281-H281-J281</f>
        <v/>
      </c>
      <c r="L281" s="32">
        <f>IF(G281&gt;0,K281/G281,"")</f>
        <v/>
      </c>
      <c r="M281" s="6" t="n"/>
    </row>
    <row r="282">
      <c r="A282" s="34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precios'!$A$5:$W$54,23,FALSE),0))</f>
        <v/>
      </c>
      <c r="I282" s="27" t="n"/>
      <c r="J282" s="17">
        <f>G282*I282</f>
        <v/>
      </c>
      <c r="K282" s="17">
        <f>G282-H282-J282</f>
        <v/>
      </c>
      <c r="L282" s="32">
        <f>IF(G282&gt;0,K282/G282,"")</f>
        <v/>
      </c>
      <c r="M282" s="6" t="n"/>
    </row>
    <row r="283">
      <c r="A283" s="34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precios'!$A$5:$W$54,23,FALSE),0))</f>
        <v/>
      </c>
      <c r="I283" s="27" t="n"/>
      <c r="J283" s="17">
        <f>G283*I283</f>
        <v/>
      </c>
      <c r="K283" s="17">
        <f>G283-H283-J283</f>
        <v/>
      </c>
      <c r="L283" s="32">
        <f>IF(G283&gt;0,K283/G283,"")</f>
        <v/>
      </c>
      <c r="M283" s="6" t="n"/>
    </row>
    <row r="284">
      <c r="A284" s="34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precios'!$A$5:$W$54,23,FALSE),0))</f>
        <v/>
      </c>
      <c r="I284" s="27" t="n"/>
      <c r="J284" s="17">
        <f>G284*I284</f>
        <v/>
      </c>
      <c r="K284" s="17">
        <f>G284-H284-J284</f>
        <v/>
      </c>
      <c r="L284" s="32">
        <f>IF(G284&gt;0,K284/G284,"")</f>
        <v/>
      </c>
      <c r="M284" s="6" t="n"/>
    </row>
    <row r="285">
      <c r="A285" s="34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precios'!$A$5:$W$54,23,FALSE),0))</f>
        <v/>
      </c>
      <c r="I285" s="27" t="n"/>
      <c r="J285" s="17">
        <f>G285*I285</f>
        <v/>
      </c>
      <c r="K285" s="17">
        <f>G285-H285-J285</f>
        <v/>
      </c>
      <c r="L285" s="32">
        <f>IF(G285&gt;0,K285/G285,"")</f>
        <v/>
      </c>
      <c r="M285" s="6" t="n"/>
    </row>
    <row r="286">
      <c r="A286" s="34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precios'!$A$5:$W$54,23,FALSE),0))</f>
        <v/>
      </c>
      <c r="I286" s="27" t="n"/>
      <c r="J286" s="17">
        <f>G286*I286</f>
        <v/>
      </c>
      <c r="K286" s="17">
        <f>G286-H286-J286</f>
        <v/>
      </c>
      <c r="L286" s="32">
        <f>IF(G286&gt;0,K286/G286,"")</f>
        <v/>
      </c>
      <c r="M286" s="6" t="n"/>
    </row>
    <row r="287">
      <c r="A287" s="34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precios'!$A$5:$W$54,23,FALSE),0))</f>
        <v/>
      </c>
      <c r="I287" s="27" t="n"/>
      <c r="J287" s="17">
        <f>G287*I287</f>
        <v/>
      </c>
      <c r="K287" s="17">
        <f>G287-H287-J287</f>
        <v/>
      </c>
      <c r="L287" s="32">
        <f>IF(G287&gt;0,K287/G287,"")</f>
        <v/>
      </c>
      <c r="M287" s="6" t="n"/>
    </row>
    <row r="288">
      <c r="A288" s="34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precios'!$A$5:$W$54,23,FALSE),0))</f>
        <v/>
      </c>
      <c r="I288" s="27" t="n"/>
      <c r="J288" s="17">
        <f>G288*I288</f>
        <v/>
      </c>
      <c r="K288" s="17">
        <f>G288-H288-J288</f>
        <v/>
      </c>
      <c r="L288" s="32">
        <f>IF(G288&gt;0,K288/G288,"")</f>
        <v/>
      </c>
      <c r="M288" s="6" t="n"/>
    </row>
    <row r="289">
      <c r="A289" s="34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precios'!$A$5:$W$54,23,FALSE),0))</f>
        <v/>
      </c>
      <c r="I289" s="27" t="n"/>
      <c r="J289" s="17">
        <f>G289*I289</f>
        <v/>
      </c>
      <c r="K289" s="17">
        <f>G289-H289-J289</f>
        <v/>
      </c>
      <c r="L289" s="32">
        <f>IF(G289&gt;0,K289/G289,"")</f>
        <v/>
      </c>
      <c r="M289" s="6" t="n"/>
    </row>
    <row r="290">
      <c r="A290" s="34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precios'!$A$5:$W$54,23,FALSE),0))</f>
        <v/>
      </c>
      <c r="I290" s="27" t="n"/>
      <c r="J290" s="17">
        <f>G290*I290</f>
        <v/>
      </c>
      <c r="K290" s="17">
        <f>G290-H290-J290</f>
        <v/>
      </c>
      <c r="L290" s="32">
        <f>IF(G290&gt;0,K290/G290,"")</f>
        <v/>
      </c>
      <c r="M290" s="6" t="n"/>
    </row>
    <row r="291">
      <c r="A291" s="34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precios'!$A$5:$W$54,23,FALSE),0))</f>
        <v/>
      </c>
      <c r="I291" s="27" t="n"/>
      <c r="J291" s="17">
        <f>G291*I291</f>
        <v/>
      </c>
      <c r="K291" s="17">
        <f>G291-H291-J291</f>
        <v/>
      </c>
      <c r="L291" s="32">
        <f>IF(G291&gt;0,K291/G291,"")</f>
        <v/>
      </c>
      <c r="M291" s="6" t="n"/>
    </row>
    <row r="292">
      <c r="A292" s="34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precios'!$A$5:$W$54,23,FALSE),0))</f>
        <v/>
      </c>
      <c r="I292" s="27" t="n"/>
      <c r="J292" s="17">
        <f>G292*I292</f>
        <v/>
      </c>
      <c r="K292" s="17">
        <f>G292-H292-J292</f>
        <v/>
      </c>
      <c r="L292" s="32">
        <f>IF(G292&gt;0,K292/G292,"")</f>
        <v/>
      </c>
      <c r="M292" s="6" t="n"/>
    </row>
    <row r="293">
      <c r="A293" s="34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precios'!$A$5:$W$54,23,FALSE),0))</f>
        <v/>
      </c>
      <c r="I293" s="27" t="n"/>
      <c r="J293" s="17">
        <f>G293*I293</f>
        <v/>
      </c>
      <c r="K293" s="17">
        <f>G293-H293-J293</f>
        <v/>
      </c>
      <c r="L293" s="32">
        <f>IF(G293&gt;0,K293/G293,"")</f>
        <v/>
      </c>
      <c r="M293" s="6" t="n"/>
    </row>
    <row r="294">
      <c r="A294" s="34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precios'!$A$5:$W$54,23,FALSE),0))</f>
        <v/>
      </c>
      <c r="I294" s="27" t="n"/>
      <c r="J294" s="17">
        <f>G294*I294</f>
        <v/>
      </c>
      <c r="K294" s="17">
        <f>G294-H294-J294</f>
        <v/>
      </c>
      <c r="L294" s="32">
        <f>IF(G294&gt;0,K294/G294,"")</f>
        <v/>
      </c>
      <c r="M294" s="6" t="n"/>
    </row>
    <row r="295">
      <c r="A295" s="34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precios'!$A$5:$W$54,23,FALSE),0))</f>
        <v/>
      </c>
      <c r="I295" s="27" t="n"/>
      <c r="J295" s="17">
        <f>G295*I295</f>
        <v/>
      </c>
      <c r="K295" s="17">
        <f>G295-H295-J295</f>
        <v/>
      </c>
      <c r="L295" s="32">
        <f>IF(G295&gt;0,K295/G295,"")</f>
        <v/>
      </c>
      <c r="M295" s="6" t="n"/>
    </row>
    <row r="296">
      <c r="A296" s="34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precios'!$A$5:$W$54,23,FALSE),0))</f>
        <v/>
      </c>
      <c r="I296" s="27" t="n"/>
      <c r="J296" s="17">
        <f>G296*I296</f>
        <v/>
      </c>
      <c r="K296" s="17">
        <f>G296-H296-J296</f>
        <v/>
      </c>
      <c r="L296" s="32">
        <f>IF(G296&gt;0,K296/G296,"")</f>
        <v/>
      </c>
      <c r="M296" s="6" t="n"/>
    </row>
    <row r="297">
      <c r="A297" s="34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precios'!$A$5:$W$54,23,FALSE),0))</f>
        <v/>
      </c>
      <c r="I297" s="27" t="n"/>
      <c r="J297" s="17">
        <f>G297*I297</f>
        <v/>
      </c>
      <c r="K297" s="17">
        <f>G297-H297-J297</f>
        <v/>
      </c>
      <c r="L297" s="32">
        <f>IF(G297&gt;0,K297/G297,"")</f>
        <v/>
      </c>
      <c r="M297" s="6" t="n"/>
    </row>
    <row r="298">
      <c r="A298" s="34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precios'!$A$5:$W$54,23,FALSE),0))</f>
        <v/>
      </c>
      <c r="I298" s="27" t="n"/>
      <c r="J298" s="17">
        <f>G298*I298</f>
        <v/>
      </c>
      <c r="K298" s="17">
        <f>G298-H298-J298</f>
        <v/>
      </c>
      <c r="L298" s="32">
        <f>IF(G298&gt;0,K298/G298,"")</f>
        <v/>
      </c>
      <c r="M298" s="6" t="n"/>
    </row>
    <row r="299">
      <c r="A299" s="34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precios'!$A$5:$W$54,23,FALSE),0))</f>
        <v/>
      </c>
      <c r="I299" s="27" t="n"/>
      <c r="J299" s="17">
        <f>G299*I299</f>
        <v/>
      </c>
      <c r="K299" s="17">
        <f>G299-H299-J299</f>
        <v/>
      </c>
      <c r="L299" s="32">
        <f>IF(G299&gt;0,K299/G299,"")</f>
        <v/>
      </c>
      <c r="M299" s="6" t="n"/>
    </row>
    <row r="300">
      <c r="A300" s="34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precios'!$A$5:$W$54,23,FALSE),0))</f>
        <v/>
      </c>
      <c r="I300" s="27" t="n"/>
      <c r="J300" s="17">
        <f>G300*I300</f>
        <v/>
      </c>
      <c r="K300" s="17">
        <f>G300-H300-J300</f>
        <v/>
      </c>
      <c r="L300" s="32">
        <f>IF(G300&gt;0,K300/G300,"")</f>
        <v/>
      </c>
      <c r="M300" s="6" t="n"/>
    </row>
    <row r="301">
      <c r="A301" s="34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precios'!$A$5:$W$54,23,FALSE),0))</f>
        <v/>
      </c>
      <c r="I301" s="27" t="n"/>
      <c r="J301" s="17">
        <f>G301*I301</f>
        <v/>
      </c>
      <c r="K301" s="17">
        <f>G301-H301-J301</f>
        <v/>
      </c>
      <c r="L301" s="32">
        <f>IF(G301&gt;0,K301/G301,"")</f>
        <v/>
      </c>
      <c r="M301" s="6" t="n"/>
    </row>
    <row r="302">
      <c r="A302" s="34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precios'!$A$5:$W$54,23,FALSE),0))</f>
        <v/>
      </c>
      <c r="I302" s="27" t="n"/>
      <c r="J302" s="17">
        <f>G302*I302</f>
        <v/>
      </c>
      <c r="K302" s="17">
        <f>G302-H302-J302</f>
        <v/>
      </c>
      <c r="L302" s="32">
        <f>IF(G302&gt;0,K302/G302,"")</f>
        <v/>
      </c>
      <c r="M302" s="6" t="n"/>
    </row>
    <row r="303">
      <c r="A303" s="34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precios'!$A$5:$W$54,23,FALSE),0))</f>
        <v/>
      </c>
      <c r="I303" s="27" t="n"/>
      <c r="J303" s="17">
        <f>G303*I303</f>
        <v/>
      </c>
      <c r="K303" s="17">
        <f>G303-H303-J303</f>
        <v/>
      </c>
      <c r="L303" s="32">
        <f>IF(G303&gt;0,K303/G303,"")</f>
        <v/>
      </c>
      <c r="M303" s="6" t="n"/>
    </row>
    <row r="304">
      <c r="A304" s="34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precios'!$A$5:$W$54,23,FALSE),0))</f>
        <v/>
      </c>
      <c r="I304" s="27" t="n"/>
      <c r="J304" s="17">
        <f>G304*I304</f>
        <v/>
      </c>
      <c r="K304" s="17">
        <f>G304-H304-J304</f>
        <v/>
      </c>
      <c r="L304" s="32">
        <f>IF(G304&gt;0,K304/G304,"")</f>
        <v/>
      </c>
      <c r="M304" s="6" t="n"/>
    </row>
    <row r="305">
      <c r="A305" s="34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precios'!$A$5:$W$54,23,FALSE),0))</f>
        <v/>
      </c>
      <c r="I305" s="27" t="n"/>
      <c r="J305" s="17">
        <f>G305*I305</f>
        <v/>
      </c>
      <c r="K305" s="17">
        <f>G305-H305-J305</f>
        <v/>
      </c>
      <c r="L305" s="32">
        <f>IF(G305&gt;0,K305/G305,"")</f>
        <v/>
      </c>
      <c r="M305" s="6" t="n"/>
    </row>
    <row r="306">
      <c r="A306" s="34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precios'!$A$5:$W$54,23,FALSE),0))</f>
        <v/>
      </c>
      <c r="I306" s="27" t="n"/>
      <c r="J306" s="17">
        <f>G306*I306</f>
        <v/>
      </c>
      <c r="K306" s="17">
        <f>G306-H306-J306</f>
        <v/>
      </c>
      <c r="L306" s="32">
        <f>IF(G306&gt;0,K306/G306,"")</f>
        <v/>
      </c>
      <c r="M306" s="6" t="n"/>
    </row>
    <row r="307">
      <c r="A307" s="34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precios'!$A$5:$W$54,23,FALSE),0))</f>
        <v/>
      </c>
      <c r="I307" s="27" t="n"/>
      <c r="J307" s="17">
        <f>G307*I307</f>
        <v/>
      </c>
      <c r="K307" s="17">
        <f>G307-H307-J307</f>
        <v/>
      </c>
      <c r="L307" s="32">
        <f>IF(G307&gt;0,K307/G307,"")</f>
        <v/>
      </c>
      <c r="M307" s="6" t="n"/>
    </row>
    <row r="308">
      <c r="A308" s="34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precios'!$A$5:$W$54,23,FALSE),0))</f>
        <v/>
      </c>
      <c r="I308" s="27" t="n"/>
      <c r="J308" s="17">
        <f>G308*I308</f>
        <v/>
      </c>
      <c r="K308" s="17">
        <f>G308-H308-J308</f>
        <v/>
      </c>
      <c r="L308" s="32">
        <f>IF(G308&gt;0,K308/G308,"")</f>
        <v/>
      </c>
      <c r="M308" s="6" t="n"/>
    </row>
    <row r="309">
      <c r="A309" s="34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precios'!$A$5:$W$54,23,FALSE),0))</f>
        <v/>
      </c>
      <c r="I309" s="27" t="n"/>
      <c r="J309" s="17">
        <f>G309*I309</f>
        <v/>
      </c>
      <c r="K309" s="17">
        <f>G309-H309-J309</f>
        <v/>
      </c>
      <c r="L309" s="32">
        <f>IF(G309&gt;0,K309/G309,"")</f>
        <v/>
      </c>
      <c r="M309" s="6" t="n"/>
    </row>
    <row r="310">
      <c r="A310" s="34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precios'!$A$5:$W$54,23,FALSE),0))</f>
        <v/>
      </c>
      <c r="I310" s="27" t="n"/>
      <c r="J310" s="17">
        <f>G310*I310</f>
        <v/>
      </c>
      <c r="K310" s="17">
        <f>G310-H310-J310</f>
        <v/>
      </c>
      <c r="L310" s="32">
        <f>IF(G310&gt;0,K310/G310,"")</f>
        <v/>
      </c>
      <c r="M310" s="6" t="n"/>
    </row>
    <row r="311">
      <c r="A311" s="34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precios'!$A$5:$W$54,23,FALSE),0))</f>
        <v/>
      </c>
      <c r="I311" s="27" t="n"/>
      <c r="J311" s="17">
        <f>G311*I311</f>
        <v/>
      </c>
      <c r="K311" s="17">
        <f>G311-H311-J311</f>
        <v/>
      </c>
      <c r="L311" s="32">
        <f>IF(G311&gt;0,K311/G311,"")</f>
        <v/>
      </c>
      <c r="M311" s="6" t="n"/>
    </row>
    <row r="312">
      <c r="A312" s="34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precios'!$A$5:$W$54,23,FALSE),0))</f>
        <v/>
      </c>
      <c r="I312" s="27" t="n"/>
      <c r="J312" s="17">
        <f>G312*I312</f>
        <v/>
      </c>
      <c r="K312" s="17">
        <f>G312-H312-J312</f>
        <v/>
      </c>
      <c r="L312" s="32">
        <f>IF(G312&gt;0,K312/G312,"")</f>
        <v/>
      </c>
      <c r="M312" s="6" t="n"/>
    </row>
    <row r="313">
      <c r="A313" s="34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precios'!$A$5:$W$54,23,FALSE),0))</f>
        <v/>
      </c>
      <c r="I313" s="27" t="n"/>
      <c r="J313" s="17">
        <f>G313*I313</f>
        <v/>
      </c>
      <c r="K313" s="17">
        <f>G313-H313-J313</f>
        <v/>
      </c>
      <c r="L313" s="32">
        <f>IF(G313&gt;0,K313/G313,"")</f>
        <v/>
      </c>
      <c r="M313" s="6" t="n"/>
    </row>
    <row r="314">
      <c r="A314" s="34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precios'!$A$5:$W$54,23,FALSE),0))</f>
        <v/>
      </c>
      <c r="I314" s="27" t="n"/>
      <c r="J314" s="17">
        <f>G314*I314</f>
        <v/>
      </c>
      <c r="K314" s="17">
        <f>G314-H314-J314</f>
        <v/>
      </c>
      <c r="L314" s="32">
        <f>IF(G314&gt;0,K314/G314,"")</f>
        <v/>
      </c>
      <c r="M314" s="6" t="n"/>
    </row>
    <row r="315">
      <c r="A315" s="34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precios'!$A$5:$W$54,23,FALSE),0))</f>
        <v/>
      </c>
      <c r="I315" s="27" t="n"/>
      <c r="J315" s="17">
        <f>G315*I315</f>
        <v/>
      </c>
      <c r="K315" s="17">
        <f>G315-H315-J315</f>
        <v/>
      </c>
      <c r="L315" s="32">
        <f>IF(G315&gt;0,K315/G315,"")</f>
        <v/>
      </c>
      <c r="M315" s="6" t="n"/>
    </row>
    <row r="316">
      <c r="A316" s="34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precios'!$A$5:$W$54,23,FALSE),0))</f>
        <v/>
      </c>
      <c r="I316" s="27" t="n"/>
      <c r="J316" s="17">
        <f>G316*I316</f>
        <v/>
      </c>
      <c r="K316" s="17">
        <f>G316-H316-J316</f>
        <v/>
      </c>
      <c r="L316" s="32">
        <f>IF(G316&gt;0,K316/G316,"")</f>
        <v/>
      </c>
      <c r="M316" s="6" t="n"/>
    </row>
    <row r="317">
      <c r="A317" s="34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precios'!$A$5:$W$54,23,FALSE),0))</f>
        <v/>
      </c>
      <c r="I317" s="27" t="n"/>
      <c r="J317" s="17">
        <f>G317*I317</f>
        <v/>
      </c>
      <c r="K317" s="17">
        <f>G317-H317-J317</f>
        <v/>
      </c>
      <c r="L317" s="32">
        <f>IF(G317&gt;0,K317/G317,"")</f>
        <v/>
      </c>
      <c r="M317" s="6" t="n"/>
    </row>
    <row r="318">
      <c r="A318" s="34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precios'!$A$5:$W$54,23,FALSE),0))</f>
        <v/>
      </c>
      <c r="I318" s="27" t="n"/>
      <c r="J318" s="17">
        <f>G318*I318</f>
        <v/>
      </c>
      <c r="K318" s="17">
        <f>G318-H318-J318</f>
        <v/>
      </c>
      <c r="L318" s="32">
        <f>IF(G318&gt;0,K318/G318,"")</f>
        <v/>
      </c>
      <c r="M318" s="6" t="n"/>
    </row>
    <row r="319">
      <c r="A319" s="34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precios'!$A$5:$W$54,23,FALSE),0))</f>
        <v/>
      </c>
      <c r="I319" s="27" t="n"/>
      <c r="J319" s="17">
        <f>G319*I319</f>
        <v/>
      </c>
      <c r="K319" s="17">
        <f>G319-H319-J319</f>
        <v/>
      </c>
      <c r="L319" s="32">
        <f>IF(G319&gt;0,K319/G319,"")</f>
        <v/>
      </c>
      <c r="M319" s="6" t="n"/>
    </row>
    <row r="320">
      <c r="A320" s="34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precios'!$A$5:$W$54,23,FALSE),0))</f>
        <v/>
      </c>
      <c r="I320" s="27" t="n"/>
      <c r="J320" s="17">
        <f>G320*I320</f>
        <v/>
      </c>
      <c r="K320" s="17">
        <f>G320-H320-J320</f>
        <v/>
      </c>
      <c r="L320" s="32">
        <f>IF(G320&gt;0,K320/G320,"")</f>
        <v/>
      </c>
      <c r="M320" s="6" t="n"/>
    </row>
    <row r="321">
      <c r="A321" s="34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precios'!$A$5:$W$54,23,FALSE),0))</f>
        <v/>
      </c>
      <c r="I321" s="27" t="n"/>
      <c r="J321" s="17">
        <f>G321*I321</f>
        <v/>
      </c>
      <c r="K321" s="17">
        <f>G321-H321-J321</f>
        <v/>
      </c>
      <c r="L321" s="32">
        <f>IF(G321&gt;0,K321/G321,"")</f>
        <v/>
      </c>
      <c r="M321" s="6" t="n"/>
    </row>
    <row r="322">
      <c r="A322" s="34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precios'!$A$5:$W$54,23,FALSE),0))</f>
        <v/>
      </c>
      <c r="I322" s="27" t="n"/>
      <c r="J322" s="17">
        <f>G322*I322</f>
        <v/>
      </c>
      <c r="K322" s="17">
        <f>G322-H322-J322</f>
        <v/>
      </c>
      <c r="L322" s="32">
        <f>IF(G322&gt;0,K322/G322,"")</f>
        <v/>
      </c>
      <c r="M322" s="6" t="n"/>
    </row>
    <row r="323">
      <c r="A323" s="34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precios'!$A$5:$W$54,23,FALSE),0))</f>
        <v/>
      </c>
      <c r="I323" s="27" t="n"/>
      <c r="J323" s="17">
        <f>G323*I323</f>
        <v/>
      </c>
      <c r="K323" s="17">
        <f>G323-H323-J323</f>
        <v/>
      </c>
      <c r="L323" s="32">
        <f>IF(G323&gt;0,K323/G323,"")</f>
        <v/>
      </c>
      <c r="M323" s="6" t="n"/>
    </row>
    <row r="324">
      <c r="A324" s="34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precios'!$A$5:$W$54,23,FALSE),0))</f>
        <v/>
      </c>
      <c r="I324" s="27" t="n"/>
      <c r="J324" s="17">
        <f>G324*I324</f>
        <v/>
      </c>
      <c r="K324" s="17">
        <f>G324-H324-J324</f>
        <v/>
      </c>
      <c r="L324" s="32">
        <f>IF(G324&gt;0,K324/G324,"")</f>
        <v/>
      </c>
      <c r="M324" s="6" t="n"/>
    </row>
    <row r="325">
      <c r="A325" s="34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precios'!$A$5:$W$54,23,FALSE),0))</f>
        <v/>
      </c>
      <c r="I325" s="27" t="n"/>
      <c r="J325" s="17">
        <f>G325*I325</f>
        <v/>
      </c>
      <c r="K325" s="17">
        <f>G325-H325-J325</f>
        <v/>
      </c>
      <c r="L325" s="32">
        <f>IF(G325&gt;0,K325/G325,"")</f>
        <v/>
      </c>
      <c r="M325" s="6" t="n"/>
    </row>
    <row r="326">
      <c r="A326" s="34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precios'!$A$5:$W$54,23,FALSE),0))</f>
        <v/>
      </c>
      <c r="I326" s="27" t="n"/>
      <c r="J326" s="17">
        <f>G326*I326</f>
        <v/>
      </c>
      <c r="K326" s="17">
        <f>G326-H326-J326</f>
        <v/>
      </c>
      <c r="L326" s="32">
        <f>IF(G326&gt;0,K326/G326,"")</f>
        <v/>
      </c>
      <c r="M326" s="6" t="n"/>
    </row>
    <row r="327">
      <c r="A327" s="34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precios'!$A$5:$W$54,23,FALSE),0))</f>
        <v/>
      </c>
      <c r="I327" s="27" t="n"/>
      <c r="J327" s="17">
        <f>G327*I327</f>
        <v/>
      </c>
      <c r="K327" s="17">
        <f>G327-H327-J327</f>
        <v/>
      </c>
      <c r="L327" s="32">
        <f>IF(G327&gt;0,K327/G327,"")</f>
        <v/>
      </c>
      <c r="M327" s="6" t="n"/>
    </row>
    <row r="328">
      <c r="A328" s="34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precios'!$A$5:$W$54,23,FALSE),0))</f>
        <v/>
      </c>
      <c r="I328" s="27" t="n"/>
      <c r="J328" s="17">
        <f>G328*I328</f>
        <v/>
      </c>
      <c r="K328" s="17">
        <f>G328-H328-J328</f>
        <v/>
      </c>
      <c r="L328" s="32">
        <f>IF(G328&gt;0,K328/G328,"")</f>
        <v/>
      </c>
      <c r="M328" s="6" t="n"/>
    </row>
    <row r="329">
      <c r="A329" s="34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precios'!$A$5:$W$54,23,FALSE),0))</f>
        <v/>
      </c>
      <c r="I329" s="27" t="n"/>
      <c r="J329" s="17">
        <f>G329*I329</f>
        <v/>
      </c>
      <c r="K329" s="17">
        <f>G329-H329-J329</f>
        <v/>
      </c>
      <c r="L329" s="32">
        <f>IF(G329&gt;0,K329/G329,"")</f>
        <v/>
      </c>
      <c r="M329" s="6" t="n"/>
    </row>
    <row r="330">
      <c r="A330" s="34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precios'!$A$5:$W$54,23,FALSE),0))</f>
        <v/>
      </c>
      <c r="I330" s="27" t="n"/>
      <c r="J330" s="17">
        <f>G330*I330</f>
        <v/>
      </c>
      <c r="K330" s="17">
        <f>G330-H330-J330</f>
        <v/>
      </c>
      <c r="L330" s="32">
        <f>IF(G330&gt;0,K330/G330,"")</f>
        <v/>
      </c>
      <c r="M330" s="6" t="n"/>
    </row>
    <row r="331">
      <c r="A331" s="34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precios'!$A$5:$W$54,23,FALSE),0))</f>
        <v/>
      </c>
      <c r="I331" s="27" t="n"/>
      <c r="J331" s="17">
        <f>G331*I331</f>
        <v/>
      </c>
      <c r="K331" s="17">
        <f>G331-H331-J331</f>
        <v/>
      </c>
      <c r="L331" s="32">
        <f>IF(G331&gt;0,K331/G331,"")</f>
        <v/>
      </c>
      <c r="M331" s="6" t="n"/>
    </row>
    <row r="332">
      <c r="A332" s="34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precios'!$A$5:$W$54,23,FALSE),0))</f>
        <v/>
      </c>
      <c r="I332" s="27" t="n"/>
      <c r="J332" s="17">
        <f>G332*I332</f>
        <v/>
      </c>
      <c r="K332" s="17">
        <f>G332-H332-J332</f>
        <v/>
      </c>
      <c r="L332" s="32">
        <f>IF(G332&gt;0,K332/G332,"")</f>
        <v/>
      </c>
      <c r="M332" s="6" t="n"/>
    </row>
    <row r="333">
      <c r="A333" s="34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precios'!$A$5:$W$54,23,FALSE),0))</f>
        <v/>
      </c>
      <c r="I333" s="27" t="n"/>
      <c r="J333" s="17">
        <f>G333*I333</f>
        <v/>
      </c>
      <c r="K333" s="17">
        <f>G333-H333-J333</f>
        <v/>
      </c>
      <c r="L333" s="32">
        <f>IF(G333&gt;0,K333/G333,"")</f>
        <v/>
      </c>
      <c r="M333" s="6" t="n"/>
    </row>
    <row r="334">
      <c r="A334" s="34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precios'!$A$5:$W$54,23,FALSE),0))</f>
        <v/>
      </c>
      <c r="I334" s="27" t="n"/>
      <c r="J334" s="17">
        <f>G334*I334</f>
        <v/>
      </c>
      <c r="K334" s="17">
        <f>G334-H334-J334</f>
        <v/>
      </c>
      <c r="L334" s="32">
        <f>IF(G334&gt;0,K334/G334,"")</f>
        <v/>
      </c>
      <c r="M334" s="6" t="n"/>
    </row>
    <row r="335">
      <c r="A335" s="34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precios'!$A$5:$W$54,23,FALSE),0))</f>
        <v/>
      </c>
      <c r="I335" s="27" t="n"/>
      <c r="J335" s="17">
        <f>G335*I335</f>
        <v/>
      </c>
      <c r="K335" s="17">
        <f>G335-H335-J335</f>
        <v/>
      </c>
      <c r="L335" s="32">
        <f>IF(G335&gt;0,K335/G335,"")</f>
        <v/>
      </c>
      <c r="M335" s="6" t="n"/>
    </row>
    <row r="336">
      <c r="A336" s="34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precios'!$A$5:$W$54,23,FALSE),0))</f>
        <v/>
      </c>
      <c r="I336" s="27" t="n"/>
      <c r="J336" s="17">
        <f>G336*I336</f>
        <v/>
      </c>
      <c r="K336" s="17">
        <f>G336-H336-J336</f>
        <v/>
      </c>
      <c r="L336" s="32">
        <f>IF(G336&gt;0,K336/G336,"")</f>
        <v/>
      </c>
      <c r="M336" s="6" t="n"/>
    </row>
    <row r="337">
      <c r="A337" s="34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precios'!$A$5:$W$54,23,FALSE),0))</f>
        <v/>
      </c>
      <c r="I337" s="27" t="n"/>
      <c r="J337" s="17">
        <f>G337*I337</f>
        <v/>
      </c>
      <c r="K337" s="17">
        <f>G337-H337-J337</f>
        <v/>
      </c>
      <c r="L337" s="32">
        <f>IF(G337&gt;0,K337/G337,"")</f>
        <v/>
      </c>
      <c r="M337" s="6" t="n"/>
    </row>
    <row r="338">
      <c r="A338" s="34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precios'!$A$5:$W$54,23,FALSE),0))</f>
        <v/>
      </c>
      <c r="I338" s="27" t="n"/>
      <c r="J338" s="17">
        <f>G338*I338</f>
        <v/>
      </c>
      <c r="K338" s="17">
        <f>G338-H338-J338</f>
        <v/>
      </c>
      <c r="L338" s="32">
        <f>IF(G338&gt;0,K338/G338,"")</f>
        <v/>
      </c>
      <c r="M338" s="6" t="n"/>
    </row>
    <row r="339">
      <c r="A339" s="34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precios'!$A$5:$W$54,23,FALSE),0))</f>
        <v/>
      </c>
      <c r="I339" s="27" t="n"/>
      <c r="J339" s="17">
        <f>G339*I339</f>
        <v/>
      </c>
      <c r="K339" s="17">
        <f>G339-H339-J339</f>
        <v/>
      </c>
      <c r="L339" s="32">
        <f>IF(G339&gt;0,K339/G339,"")</f>
        <v/>
      </c>
      <c r="M339" s="6" t="n"/>
    </row>
    <row r="340">
      <c r="A340" s="34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precios'!$A$5:$W$54,23,FALSE),0))</f>
        <v/>
      </c>
      <c r="I340" s="27" t="n"/>
      <c r="J340" s="17">
        <f>G340*I340</f>
        <v/>
      </c>
      <c r="K340" s="17">
        <f>G340-H340-J340</f>
        <v/>
      </c>
      <c r="L340" s="32">
        <f>IF(G340&gt;0,K340/G340,"")</f>
        <v/>
      </c>
      <c r="M340" s="6" t="n"/>
    </row>
    <row r="341">
      <c r="A341" s="34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precios'!$A$5:$W$54,23,FALSE),0))</f>
        <v/>
      </c>
      <c r="I341" s="27" t="n"/>
      <c r="J341" s="17">
        <f>G341*I341</f>
        <v/>
      </c>
      <c r="K341" s="17">
        <f>G341-H341-J341</f>
        <v/>
      </c>
      <c r="L341" s="32">
        <f>IF(G341&gt;0,K341/G341,"")</f>
        <v/>
      </c>
      <c r="M341" s="6" t="n"/>
    </row>
    <row r="342">
      <c r="A342" s="34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precios'!$A$5:$W$54,23,FALSE),0))</f>
        <v/>
      </c>
      <c r="I342" s="27" t="n"/>
      <c r="J342" s="17">
        <f>G342*I342</f>
        <v/>
      </c>
      <c r="K342" s="17">
        <f>G342-H342-J342</f>
        <v/>
      </c>
      <c r="L342" s="32">
        <f>IF(G342&gt;0,K342/G342,"")</f>
        <v/>
      </c>
      <c r="M342" s="6" t="n"/>
    </row>
    <row r="343">
      <c r="A343" s="34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precios'!$A$5:$W$54,23,FALSE),0))</f>
        <v/>
      </c>
      <c r="I343" s="27" t="n"/>
      <c r="J343" s="17">
        <f>G343*I343</f>
        <v/>
      </c>
      <c r="K343" s="17">
        <f>G343-H343-J343</f>
        <v/>
      </c>
      <c r="L343" s="32">
        <f>IF(G343&gt;0,K343/G343,"")</f>
        <v/>
      </c>
      <c r="M343" s="6" t="n"/>
    </row>
    <row r="344">
      <c r="A344" s="34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precios'!$A$5:$W$54,23,FALSE),0))</f>
        <v/>
      </c>
      <c r="I344" s="27" t="n"/>
      <c r="J344" s="17">
        <f>G344*I344</f>
        <v/>
      </c>
      <c r="K344" s="17">
        <f>G344-H344-J344</f>
        <v/>
      </c>
      <c r="L344" s="32">
        <f>IF(G344&gt;0,K344/G344,"")</f>
        <v/>
      </c>
      <c r="M344" s="6" t="n"/>
    </row>
    <row r="345">
      <c r="A345" s="34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precios'!$A$5:$W$54,23,FALSE),0))</f>
        <v/>
      </c>
      <c r="I345" s="27" t="n"/>
      <c r="J345" s="17">
        <f>G345*I345</f>
        <v/>
      </c>
      <c r="K345" s="17">
        <f>G345-H345-J345</f>
        <v/>
      </c>
      <c r="L345" s="32">
        <f>IF(G345&gt;0,K345/G345,"")</f>
        <v/>
      </c>
      <c r="M345" s="6" t="n"/>
    </row>
    <row r="346">
      <c r="A346" s="34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precios'!$A$5:$W$54,23,FALSE),0))</f>
        <v/>
      </c>
      <c r="I346" s="27" t="n"/>
      <c r="J346" s="17">
        <f>G346*I346</f>
        <v/>
      </c>
      <c r="K346" s="17">
        <f>G346-H346-J346</f>
        <v/>
      </c>
      <c r="L346" s="32">
        <f>IF(G346&gt;0,K346/G346,"")</f>
        <v/>
      </c>
      <c r="M346" s="6" t="n"/>
    </row>
    <row r="347">
      <c r="A347" s="34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precios'!$A$5:$W$54,23,FALSE),0))</f>
        <v/>
      </c>
      <c r="I347" s="27" t="n"/>
      <c r="J347" s="17">
        <f>G347*I347</f>
        <v/>
      </c>
      <c r="K347" s="17">
        <f>G347-H347-J347</f>
        <v/>
      </c>
      <c r="L347" s="32">
        <f>IF(G347&gt;0,K347/G347,"")</f>
        <v/>
      </c>
      <c r="M347" s="6" t="n"/>
    </row>
    <row r="348">
      <c r="A348" s="34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precios'!$A$5:$W$54,23,FALSE),0))</f>
        <v/>
      </c>
      <c r="I348" s="27" t="n"/>
      <c r="J348" s="17">
        <f>G348*I348</f>
        <v/>
      </c>
      <c r="K348" s="17">
        <f>G348-H348-J348</f>
        <v/>
      </c>
      <c r="L348" s="32">
        <f>IF(G348&gt;0,K348/G348,"")</f>
        <v/>
      </c>
      <c r="M348" s="6" t="n"/>
    </row>
    <row r="349">
      <c r="A349" s="34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precios'!$A$5:$W$54,23,FALSE),0))</f>
        <v/>
      </c>
      <c r="I349" s="27" t="n"/>
      <c r="J349" s="17">
        <f>G349*I349</f>
        <v/>
      </c>
      <c r="K349" s="17">
        <f>G349-H349-J349</f>
        <v/>
      </c>
      <c r="L349" s="32">
        <f>IF(G349&gt;0,K349/G349,"")</f>
        <v/>
      </c>
      <c r="M349" s="6" t="n"/>
    </row>
    <row r="350">
      <c r="A350" s="34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precios'!$A$5:$W$54,23,FALSE),0))</f>
        <v/>
      </c>
      <c r="I350" s="27" t="n"/>
      <c r="J350" s="17">
        <f>G350*I350</f>
        <v/>
      </c>
      <c r="K350" s="17">
        <f>G350-H350-J350</f>
        <v/>
      </c>
      <c r="L350" s="32">
        <f>IF(G350&gt;0,K350/G350,"")</f>
        <v/>
      </c>
      <c r="M350" s="6" t="n"/>
    </row>
    <row r="351">
      <c r="A351" s="34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precios'!$A$5:$W$54,23,FALSE),0))</f>
        <v/>
      </c>
      <c r="I351" s="27" t="n"/>
      <c r="J351" s="17">
        <f>G351*I351</f>
        <v/>
      </c>
      <c r="K351" s="17">
        <f>G351-H351-J351</f>
        <v/>
      </c>
      <c r="L351" s="32">
        <f>IF(G351&gt;0,K351/G351,"")</f>
        <v/>
      </c>
      <c r="M351" s="6" t="n"/>
    </row>
    <row r="352">
      <c r="A352" s="34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precios'!$A$5:$W$54,23,FALSE),0))</f>
        <v/>
      </c>
      <c r="I352" s="27" t="n"/>
      <c r="J352" s="17">
        <f>G352*I352</f>
        <v/>
      </c>
      <c r="K352" s="17">
        <f>G352-H352-J352</f>
        <v/>
      </c>
      <c r="L352" s="32">
        <f>IF(G352&gt;0,K352/G352,"")</f>
        <v/>
      </c>
      <c r="M352" s="6" t="n"/>
    </row>
    <row r="353">
      <c r="A353" s="34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precios'!$A$5:$W$54,23,FALSE),0))</f>
        <v/>
      </c>
      <c r="I353" s="27" t="n"/>
      <c r="J353" s="17">
        <f>G353*I353</f>
        <v/>
      </c>
      <c r="K353" s="17">
        <f>G353-H353-J353</f>
        <v/>
      </c>
      <c r="L353" s="32">
        <f>IF(G353&gt;0,K353/G353,"")</f>
        <v/>
      </c>
      <c r="M353" s="6" t="n"/>
    </row>
    <row r="354">
      <c r="A354" s="34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precios'!$A$5:$W$54,23,FALSE),0))</f>
        <v/>
      </c>
      <c r="I354" s="27" t="n"/>
      <c r="J354" s="17">
        <f>G354*I354</f>
        <v/>
      </c>
      <c r="K354" s="17">
        <f>G354-H354-J354</f>
        <v/>
      </c>
      <c r="L354" s="32">
        <f>IF(G354&gt;0,K354/G354,"")</f>
        <v/>
      </c>
      <c r="M354" s="6" t="n"/>
    </row>
    <row r="355">
      <c r="A355" s="34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precios'!$A$5:$W$54,23,FALSE),0))</f>
        <v/>
      </c>
      <c r="I355" s="27" t="n"/>
      <c r="J355" s="17">
        <f>G355*I355</f>
        <v/>
      </c>
      <c r="K355" s="17">
        <f>G355-H355-J355</f>
        <v/>
      </c>
      <c r="L355" s="32">
        <f>IF(G355&gt;0,K355/G355,"")</f>
        <v/>
      </c>
      <c r="M355" s="6" t="n"/>
    </row>
    <row r="356">
      <c r="A356" s="34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precios'!$A$5:$W$54,23,FALSE),0))</f>
        <v/>
      </c>
      <c r="I356" s="27" t="n"/>
      <c r="J356" s="17">
        <f>G356*I356</f>
        <v/>
      </c>
      <c r="K356" s="17">
        <f>G356-H356-J356</f>
        <v/>
      </c>
      <c r="L356" s="32">
        <f>IF(G356&gt;0,K356/G356,"")</f>
        <v/>
      </c>
      <c r="M356" s="6" t="n"/>
    </row>
    <row r="357">
      <c r="A357" s="34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precios'!$A$5:$W$54,23,FALSE),0))</f>
        <v/>
      </c>
      <c r="I357" s="27" t="n"/>
      <c r="J357" s="17">
        <f>G357*I357</f>
        <v/>
      </c>
      <c r="K357" s="17">
        <f>G357-H357-J357</f>
        <v/>
      </c>
      <c r="L357" s="32">
        <f>IF(G357&gt;0,K357/G357,"")</f>
        <v/>
      </c>
      <c r="M357" s="6" t="n"/>
    </row>
    <row r="358">
      <c r="A358" s="34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precios'!$A$5:$W$54,23,FALSE),0))</f>
        <v/>
      </c>
      <c r="I358" s="27" t="n"/>
      <c r="J358" s="17">
        <f>G358*I358</f>
        <v/>
      </c>
      <c r="K358" s="17">
        <f>G358-H358-J358</f>
        <v/>
      </c>
      <c r="L358" s="32">
        <f>IF(G358&gt;0,K358/G358,"")</f>
        <v/>
      </c>
      <c r="M358" s="6" t="n"/>
    </row>
    <row r="359">
      <c r="A359" s="34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precios'!$A$5:$W$54,23,FALSE),0))</f>
        <v/>
      </c>
      <c r="I359" s="27" t="n"/>
      <c r="J359" s="17">
        <f>G359*I359</f>
        <v/>
      </c>
      <c r="K359" s="17">
        <f>G359-H359-J359</f>
        <v/>
      </c>
      <c r="L359" s="32">
        <f>IF(G359&gt;0,K359/G359,"")</f>
        <v/>
      </c>
      <c r="M359" s="6" t="n"/>
    </row>
    <row r="360">
      <c r="A360" s="34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precios'!$A$5:$W$54,23,FALSE),0))</f>
        <v/>
      </c>
      <c r="I360" s="27" t="n"/>
      <c r="J360" s="17">
        <f>G360*I360</f>
        <v/>
      </c>
      <c r="K360" s="17">
        <f>G360-H360-J360</f>
        <v/>
      </c>
      <c r="L360" s="32">
        <f>IF(G360&gt;0,K360/G360,"")</f>
        <v/>
      </c>
      <c r="M360" s="6" t="n"/>
    </row>
    <row r="361">
      <c r="A361" s="34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precios'!$A$5:$W$54,23,FALSE),0))</f>
        <v/>
      </c>
      <c r="I361" s="27" t="n"/>
      <c r="J361" s="17">
        <f>G361*I361</f>
        <v/>
      </c>
      <c r="K361" s="17">
        <f>G361-H361-J361</f>
        <v/>
      </c>
      <c r="L361" s="32">
        <f>IF(G361&gt;0,K361/G361,"")</f>
        <v/>
      </c>
      <c r="M361" s="6" t="n"/>
    </row>
    <row r="362">
      <c r="A362" s="34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precios'!$A$5:$W$54,23,FALSE),0))</f>
        <v/>
      </c>
      <c r="I362" s="27" t="n"/>
      <c r="J362" s="17">
        <f>G362*I362</f>
        <v/>
      </c>
      <c r="K362" s="17">
        <f>G362-H362-J362</f>
        <v/>
      </c>
      <c r="L362" s="32">
        <f>IF(G362&gt;0,K362/G362,"")</f>
        <v/>
      </c>
      <c r="M362" s="6" t="n"/>
    </row>
    <row r="363">
      <c r="A363" s="34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precios'!$A$5:$W$54,23,FALSE),0))</f>
        <v/>
      </c>
      <c r="I363" s="27" t="n"/>
      <c r="J363" s="17">
        <f>G363*I363</f>
        <v/>
      </c>
      <c r="K363" s="17">
        <f>G363-H363-J363</f>
        <v/>
      </c>
      <c r="L363" s="32">
        <f>IF(G363&gt;0,K363/G363,"")</f>
        <v/>
      </c>
      <c r="M363" s="6" t="n"/>
    </row>
    <row r="364">
      <c r="A364" s="34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precios'!$A$5:$W$54,23,FALSE),0))</f>
        <v/>
      </c>
      <c r="I364" s="27" t="n"/>
      <c r="J364" s="17">
        <f>G364*I364</f>
        <v/>
      </c>
      <c r="K364" s="17">
        <f>G364-H364-J364</f>
        <v/>
      </c>
      <c r="L364" s="32">
        <f>IF(G364&gt;0,K364/G364,"")</f>
        <v/>
      </c>
      <c r="M364" s="6" t="n"/>
    </row>
    <row r="365">
      <c r="A365" s="34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precios'!$A$5:$W$54,23,FALSE),0))</f>
        <v/>
      </c>
      <c r="I365" s="27" t="n"/>
      <c r="J365" s="17">
        <f>G365*I365</f>
        <v/>
      </c>
      <c r="K365" s="17">
        <f>G365-H365-J365</f>
        <v/>
      </c>
      <c r="L365" s="32">
        <f>IF(G365&gt;0,K365/G365,"")</f>
        <v/>
      </c>
      <c r="M365" s="6" t="n"/>
    </row>
    <row r="366">
      <c r="A366" s="34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precios'!$A$5:$W$54,23,FALSE),0))</f>
        <v/>
      </c>
      <c r="I366" s="27" t="n"/>
      <c r="J366" s="17">
        <f>G366*I366</f>
        <v/>
      </c>
      <c r="K366" s="17">
        <f>G366-H366-J366</f>
        <v/>
      </c>
      <c r="L366" s="32">
        <f>IF(G366&gt;0,K366/G366,"")</f>
        <v/>
      </c>
      <c r="M366" s="6" t="n"/>
    </row>
    <row r="367">
      <c r="A367" s="34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precios'!$A$5:$W$54,23,FALSE),0))</f>
        <v/>
      </c>
      <c r="I367" s="27" t="n"/>
      <c r="J367" s="17">
        <f>G367*I367</f>
        <v/>
      </c>
      <c r="K367" s="17">
        <f>G367-H367-J367</f>
        <v/>
      </c>
      <c r="L367" s="32">
        <f>IF(G367&gt;0,K367/G367,"")</f>
        <v/>
      </c>
      <c r="M367" s="6" t="n"/>
    </row>
    <row r="368">
      <c r="A368" s="34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precios'!$A$5:$W$54,23,FALSE),0))</f>
        <v/>
      </c>
      <c r="I368" s="27" t="n"/>
      <c r="J368" s="17">
        <f>G368*I368</f>
        <v/>
      </c>
      <c r="K368" s="17">
        <f>G368-H368-J368</f>
        <v/>
      </c>
      <c r="L368" s="32">
        <f>IF(G368&gt;0,K368/G368,"")</f>
        <v/>
      </c>
      <c r="M368" s="6" t="n"/>
    </row>
    <row r="369">
      <c r="A369" s="34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precios'!$A$5:$W$54,23,FALSE),0))</f>
        <v/>
      </c>
      <c r="I369" s="27" t="n"/>
      <c r="J369" s="17">
        <f>G369*I369</f>
        <v/>
      </c>
      <c r="K369" s="17">
        <f>G369-H369-J369</f>
        <v/>
      </c>
      <c r="L369" s="32">
        <f>IF(G369&gt;0,K369/G369,"")</f>
        <v/>
      </c>
      <c r="M369" s="6" t="n"/>
    </row>
    <row r="370">
      <c r="A370" s="34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precios'!$A$5:$W$54,23,FALSE),0))</f>
        <v/>
      </c>
      <c r="I370" s="27" t="n"/>
      <c r="J370" s="17">
        <f>G370*I370</f>
        <v/>
      </c>
      <c r="K370" s="17">
        <f>G370-H370-J370</f>
        <v/>
      </c>
      <c r="L370" s="32">
        <f>IF(G370&gt;0,K370/G370,"")</f>
        <v/>
      </c>
      <c r="M370" s="6" t="n"/>
    </row>
    <row r="371">
      <c r="A371" s="34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precios'!$A$5:$W$54,23,FALSE),0))</f>
        <v/>
      </c>
      <c r="I371" s="27" t="n"/>
      <c r="J371" s="17">
        <f>G371*I371</f>
        <v/>
      </c>
      <c r="K371" s="17">
        <f>G371-H371-J371</f>
        <v/>
      </c>
      <c r="L371" s="32">
        <f>IF(G371&gt;0,K371/G371,"")</f>
        <v/>
      </c>
      <c r="M371" s="6" t="n"/>
    </row>
    <row r="372">
      <c r="A372" s="34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precios'!$A$5:$W$54,23,FALSE),0))</f>
        <v/>
      </c>
      <c r="I372" s="27" t="n"/>
      <c r="J372" s="17">
        <f>G372*I372</f>
        <v/>
      </c>
      <c r="K372" s="17">
        <f>G372-H372-J372</f>
        <v/>
      </c>
      <c r="L372" s="32">
        <f>IF(G372&gt;0,K372/G372,"")</f>
        <v/>
      </c>
      <c r="M372" s="6" t="n"/>
    </row>
    <row r="373">
      <c r="A373" s="34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precios'!$A$5:$W$54,23,FALSE),0))</f>
        <v/>
      </c>
      <c r="I373" s="27" t="n"/>
      <c r="J373" s="17">
        <f>G373*I373</f>
        <v/>
      </c>
      <c r="K373" s="17">
        <f>G373-H373-J373</f>
        <v/>
      </c>
      <c r="L373" s="32">
        <f>IF(G373&gt;0,K373/G373,"")</f>
        <v/>
      </c>
      <c r="M373" s="6" t="n"/>
    </row>
    <row r="374">
      <c r="A374" s="34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precios'!$A$5:$W$54,23,FALSE),0))</f>
        <v/>
      </c>
      <c r="I374" s="27" t="n"/>
      <c r="J374" s="17">
        <f>G374*I374</f>
        <v/>
      </c>
      <c r="K374" s="17">
        <f>G374-H374-J374</f>
        <v/>
      </c>
      <c r="L374" s="32">
        <f>IF(G374&gt;0,K374/G374,"")</f>
        <v/>
      </c>
      <c r="M374" s="6" t="n"/>
    </row>
    <row r="375">
      <c r="A375" s="34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precios'!$A$5:$W$54,23,FALSE),0))</f>
        <v/>
      </c>
      <c r="I375" s="27" t="n"/>
      <c r="J375" s="17">
        <f>G375*I375</f>
        <v/>
      </c>
      <c r="K375" s="17">
        <f>G375-H375-J375</f>
        <v/>
      </c>
      <c r="L375" s="32">
        <f>IF(G375&gt;0,K375/G375,"")</f>
        <v/>
      </c>
      <c r="M375" s="6" t="n"/>
    </row>
    <row r="376">
      <c r="A376" s="34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precios'!$A$5:$W$54,23,FALSE),0))</f>
        <v/>
      </c>
      <c r="I376" s="27" t="n"/>
      <c r="J376" s="17">
        <f>G376*I376</f>
        <v/>
      </c>
      <c r="K376" s="17">
        <f>G376-H376-J376</f>
        <v/>
      </c>
      <c r="L376" s="32">
        <f>IF(G376&gt;0,K376/G376,"")</f>
        <v/>
      </c>
      <c r="M376" s="6" t="n"/>
    </row>
    <row r="377">
      <c r="A377" s="34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precios'!$A$5:$W$54,23,FALSE),0))</f>
        <v/>
      </c>
      <c r="I377" s="27" t="n"/>
      <c r="J377" s="17">
        <f>G377*I377</f>
        <v/>
      </c>
      <c r="K377" s="17">
        <f>G377-H377-J377</f>
        <v/>
      </c>
      <c r="L377" s="32">
        <f>IF(G377&gt;0,K377/G377,"")</f>
        <v/>
      </c>
      <c r="M377" s="6" t="n"/>
    </row>
    <row r="378">
      <c r="A378" s="34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precios'!$A$5:$W$54,23,FALSE),0))</f>
        <v/>
      </c>
      <c r="I378" s="27" t="n"/>
      <c r="J378" s="17">
        <f>G378*I378</f>
        <v/>
      </c>
      <c r="K378" s="17">
        <f>G378-H378-J378</f>
        <v/>
      </c>
      <c r="L378" s="32">
        <f>IF(G378&gt;0,K378/G378,"")</f>
        <v/>
      </c>
      <c r="M378" s="6" t="n"/>
    </row>
    <row r="379">
      <c r="A379" s="34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precios'!$A$5:$W$54,23,FALSE),0))</f>
        <v/>
      </c>
      <c r="I379" s="27" t="n"/>
      <c r="J379" s="17">
        <f>G379*I379</f>
        <v/>
      </c>
      <c r="K379" s="17">
        <f>G379-H379-J379</f>
        <v/>
      </c>
      <c r="L379" s="32">
        <f>IF(G379&gt;0,K379/G379,"")</f>
        <v/>
      </c>
      <c r="M379" s="6" t="n"/>
    </row>
    <row r="380">
      <c r="A380" s="34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precios'!$A$5:$W$54,23,FALSE),0))</f>
        <v/>
      </c>
      <c r="I380" s="27" t="n"/>
      <c r="J380" s="17">
        <f>G380*I380</f>
        <v/>
      </c>
      <c r="K380" s="17">
        <f>G380-H380-J380</f>
        <v/>
      </c>
      <c r="L380" s="32">
        <f>IF(G380&gt;0,K380/G380,"")</f>
        <v/>
      </c>
      <c r="M380" s="6" t="n"/>
    </row>
    <row r="381">
      <c r="A381" s="34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precios'!$A$5:$W$54,23,FALSE),0))</f>
        <v/>
      </c>
      <c r="I381" s="27" t="n"/>
      <c r="J381" s="17">
        <f>G381*I381</f>
        <v/>
      </c>
      <c r="K381" s="17">
        <f>G381-H381-J381</f>
        <v/>
      </c>
      <c r="L381" s="32">
        <f>IF(G381&gt;0,K381/G381,"")</f>
        <v/>
      </c>
      <c r="M381" s="6" t="n"/>
    </row>
    <row r="382">
      <c r="A382" s="34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precios'!$A$5:$W$54,23,FALSE),0))</f>
        <v/>
      </c>
      <c r="I382" s="27" t="n"/>
      <c r="J382" s="17">
        <f>G382*I382</f>
        <v/>
      </c>
      <c r="K382" s="17">
        <f>G382-H382-J382</f>
        <v/>
      </c>
      <c r="L382" s="32">
        <f>IF(G382&gt;0,K382/G382,"")</f>
        <v/>
      </c>
      <c r="M382" s="6" t="n"/>
    </row>
    <row r="383">
      <c r="A383" s="34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precios'!$A$5:$W$54,23,FALSE),0))</f>
        <v/>
      </c>
      <c r="I383" s="27" t="n"/>
      <c r="J383" s="17">
        <f>G383*I383</f>
        <v/>
      </c>
      <c r="K383" s="17">
        <f>G383-H383-J383</f>
        <v/>
      </c>
      <c r="L383" s="32">
        <f>IF(G383&gt;0,K383/G383,"")</f>
        <v/>
      </c>
      <c r="M383" s="6" t="n"/>
    </row>
    <row r="384">
      <c r="A384" s="34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precios'!$A$5:$W$54,23,FALSE),0))</f>
        <v/>
      </c>
      <c r="I384" s="27" t="n"/>
      <c r="J384" s="17">
        <f>G384*I384</f>
        <v/>
      </c>
      <c r="K384" s="17">
        <f>G384-H384-J384</f>
        <v/>
      </c>
      <c r="L384" s="32">
        <f>IF(G384&gt;0,K384/G384,"")</f>
        <v/>
      </c>
      <c r="M384" s="6" t="n"/>
    </row>
    <row r="385">
      <c r="A385" s="34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precios'!$A$5:$W$54,23,FALSE),0))</f>
        <v/>
      </c>
      <c r="I385" s="27" t="n"/>
      <c r="J385" s="17">
        <f>G385*I385</f>
        <v/>
      </c>
      <c r="K385" s="17">
        <f>G385-H385-J385</f>
        <v/>
      </c>
      <c r="L385" s="32">
        <f>IF(G385&gt;0,K385/G385,"")</f>
        <v/>
      </c>
      <c r="M385" s="6" t="n"/>
    </row>
    <row r="386">
      <c r="A386" s="34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precios'!$A$5:$W$54,23,FALSE),0))</f>
        <v/>
      </c>
      <c r="I386" s="27" t="n"/>
      <c r="J386" s="17">
        <f>G386*I386</f>
        <v/>
      </c>
      <c r="K386" s="17">
        <f>G386-H386-J386</f>
        <v/>
      </c>
      <c r="L386" s="32">
        <f>IF(G386&gt;0,K386/G386,"")</f>
        <v/>
      </c>
      <c r="M386" s="6" t="n"/>
    </row>
    <row r="387">
      <c r="A387" s="34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precios'!$A$5:$W$54,23,FALSE),0))</f>
        <v/>
      </c>
      <c r="I387" s="27" t="n"/>
      <c r="J387" s="17">
        <f>G387*I387</f>
        <v/>
      </c>
      <c r="K387" s="17">
        <f>G387-H387-J387</f>
        <v/>
      </c>
      <c r="L387" s="32">
        <f>IF(G387&gt;0,K387/G387,"")</f>
        <v/>
      </c>
      <c r="M387" s="6" t="n"/>
    </row>
    <row r="388">
      <c r="A388" s="34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precios'!$A$5:$W$54,23,FALSE),0))</f>
        <v/>
      </c>
      <c r="I388" s="27" t="n"/>
      <c r="J388" s="17">
        <f>G388*I388</f>
        <v/>
      </c>
      <c r="K388" s="17">
        <f>G388-H388-J388</f>
        <v/>
      </c>
      <c r="L388" s="32">
        <f>IF(G388&gt;0,K388/G388,"")</f>
        <v/>
      </c>
      <c r="M388" s="6" t="n"/>
    </row>
    <row r="389">
      <c r="A389" s="34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precios'!$A$5:$W$54,23,FALSE),0))</f>
        <v/>
      </c>
      <c r="I389" s="27" t="n"/>
      <c r="J389" s="17">
        <f>G389*I389</f>
        <v/>
      </c>
      <c r="K389" s="17">
        <f>G389-H389-J389</f>
        <v/>
      </c>
      <c r="L389" s="32">
        <f>IF(G389&gt;0,K389/G389,"")</f>
        <v/>
      </c>
      <c r="M389" s="6" t="n"/>
    </row>
    <row r="390">
      <c r="A390" s="34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precios'!$A$5:$W$54,23,FALSE),0))</f>
        <v/>
      </c>
      <c r="I390" s="27" t="n"/>
      <c r="J390" s="17">
        <f>G390*I390</f>
        <v/>
      </c>
      <c r="K390" s="17">
        <f>G390-H390-J390</f>
        <v/>
      </c>
      <c r="L390" s="32">
        <f>IF(G390&gt;0,K390/G390,"")</f>
        <v/>
      </c>
      <c r="M390" s="6" t="n"/>
    </row>
    <row r="391">
      <c r="A391" s="34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precios'!$A$5:$W$54,23,FALSE),0))</f>
        <v/>
      </c>
      <c r="I391" s="27" t="n"/>
      <c r="J391" s="17">
        <f>G391*I391</f>
        <v/>
      </c>
      <c r="K391" s="17">
        <f>G391-H391-J391</f>
        <v/>
      </c>
      <c r="L391" s="32">
        <f>IF(G391&gt;0,K391/G391,"")</f>
        <v/>
      </c>
      <c r="M391" s="6" t="n"/>
    </row>
    <row r="392">
      <c r="A392" s="34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precios'!$A$5:$W$54,23,FALSE),0))</f>
        <v/>
      </c>
      <c r="I392" s="27" t="n"/>
      <c r="J392" s="17">
        <f>G392*I392</f>
        <v/>
      </c>
      <c r="K392" s="17">
        <f>G392-H392-J392</f>
        <v/>
      </c>
      <c r="L392" s="32">
        <f>IF(G392&gt;0,K392/G392,"")</f>
        <v/>
      </c>
      <c r="M392" s="6" t="n"/>
    </row>
    <row r="393">
      <c r="A393" s="34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precios'!$A$5:$W$54,23,FALSE),0))</f>
        <v/>
      </c>
      <c r="I393" s="27" t="n"/>
      <c r="J393" s="17">
        <f>G393*I393</f>
        <v/>
      </c>
      <c r="K393" s="17">
        <f>G393-H393-J393</f>
        <v/>
      </c>
      <c r="L393" s="32">
        <f>IF(G393&gt;0,K393/G393,"")</f>
        <v/>
      </c>
      <c r="M393" s="6" t="n"/>
    </row>
    <row r="394">
      <c r="A394" s="34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precios'!$A$5:$W$54,23,FALSE),0))</f>
        <v/>
      </c>
      <c r="I394" s="27" t="n"/>
      <c r="J394" s="17">
        <f>G394*I394</f>
        <v/>
      </c>
      <c r="K394" s="17">
        <f>G394-H394-J394</f>
        <v/>
      </c>
      <c r="L394" s="32">
        <f>IF(G394&gt;0,K394/G394,"")</f>
        <v/>
      </c>
      <c r="M394" s="6" t="n"/>
    </row>
    <row r="395">
      <c r="A395" s="34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precios'!$A$5:$W$54,23,FALSE),0))</f>
        <v/>
      </c>
      <c r="I395" s="27" t="n"/>
      <c r="J395" s="17">
        <f>G395*I395</f>
        <v/>
      </c>
      <c r="K395" s="17">
        <f>G395-H395-J395</f>
        <v/>
      </c>
      <c r="L395" s="32">
        <f>IF(G395&gt;0,K395/G395,"")</f>
        <v/>
      </c>
      <c r="M395" s="6" t="n"/>
    </row>
    <row r="396">
      <c r="A396" s="34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precios'!$A$5:$W$54,23,FALSE),0))</f>
        <v/>
      </c>
      <c r="I396" s="27" t="n"/>
      <c r="J396" s="17">
        <f>G396*I396</f>
        <v/>
      </c>
      <c r="K396" s="17">
        <f>G396-H396-J396</f>
        <v/>
      </c>
      <c r="L396" s="32">
        <f>IF(G396&gt;0,K396/G396,"")</f>
        <v/>
      </c>
      <c r="M396" s="6" t="n"/>
    </row>
    <row r="397">
      <c r="A397" s="34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precios'!$A$5:$W$54,23,FALSE),0))</f>
        <v/>
      </c>
      <c r="I397" s="27" t="n"/>
      <c r="J397" s="17">
        <f>G397*I397</f>
        <v/>
      </c>
      <c r="K397" s="17">
        <f>G397-H397-J397</f>
        <v/>
      </c>
      <c r="L397" s="32">
        <f>IF(G397&gt;0,K397/G397,"")</f>
        <v/>
      </c>
      <c r="M397" s="6" t="n"/>
    </row>
    <row r="398">
      <c r="A398" s="34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precios'!$A$5:$W$54,23,FALSE),0))</f>
        <v/>
      </c>
      <c r="I398" s="27" t="n"/>
      <c r="J398" s="17">
        <f>G398*I398</f>
        <v/>
      </c>
      <c r="K398" s="17">
        <f>G398-H398-J398</f>
        <v/>
      </c>
      <c r="L398" s="32">
        <f>IF(G398&gt;0,K398/G398,"")</f>
        <v/>
      </c>
      <c r="M398" s="6" t="n"/>
    </row>
    <row r="399">
      <c r="A399" s="34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precios'!$A$5:$W$54,23,FALSE),0))</f>
        <v/>
      </c>
      <c r="I399" s="27" t="n"/>
      <c r="J399" s="17">
        <f>G399*I399</f>
        <v/>
      </c>
      <c r="K399" s="17">
        <f>G399-H399-J399</f>
        <v/>
      </c>
      <c r="L399" s="32">
        <f>IF(G399&gt;0,K399/G399,"")</f>
        <v/>
      </c>
      <c r="M399" s="6" t="n"/>
    </row>
    <row r="400">
      <c r="A400" s="34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precios'!$A$5:$W$54,23,FALSE),0))</f>
        <v/>
      </c>
      <c r="I400" s="27" t="n"/>
      <c r="J400" s="17">
        <f>G400*I400</f>
        <v/>
      </c>
      <c r="K400" s="17">
        <f>G400-H400-J400</f>
        <v/>
      </c>
      <c r="L400" s="32">
        <f>IF(G400&gt;0,K400/G400,"")</f>
        <v/>
      </c>
      <c r="M400" s="6" t="n"/>
    </row>
    <row r="401">
      <c r="A401" s="34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precios'!$A$5:$W$54,23,FALSE),0))</f>
        <v/>
      </c>
      <c r="I401" s="27" t="n"/>
      <c r="J401" s="17">
        <f>G401*I401</f>
        <v/>
      </c>
      <c r="K401" s="17">
        <f>G401-H401-J401</f>
        <v/>
      </c>
      <c r="L401" s="32">
        <f>IF(G401&gt;0,K401/G401,"")</f>
        <v/>
      </c>
      <c r="M401" s="6" t="n"/>
    </row>
    <row r="402">
      <c r="A402" s="34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precios'!$A$5:$W$54,23,FALSE),0))</f>
        <v/>
      </c>
      <c r="I402" s="27" t="n"/>
      <c r="J402" s="17">
        <f>G402*I402</f>
        <v/>
      </c>
      <c r="K402" s="17">
        <f>G402-H402-J402</f>
        <v/>
      </c>
      <c r="L402" s="32">
        <f>IF(G402&gt;0,K402/G402,"")</f>
        <v/>
      </c>
      <c r="M402" s="6" t="n"/>
    </row>
    <row r="403">
      <c r="A403" s="34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precios'!$A$5:$W$54,23,FALSE),0))</f>
        <v/>
      </c>
      <c r="I403" s="27" t="n"/>
      <c r="J403" s="17">
        <f>G403*I403</f>
        <v/>
      </c>
      <c r="K403" s="17">
        <f>G403-H403-J403</f>
        <v/>
      </c>
      <c r="L403" s="32">
        <f>IF(G403&gt;0,K403/G403,"")</f>
        <v/>
      </c>
      <c r="M403" s="6" t="n"/>
    </row>
    <row r="404">
      <c r="A404" s="34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precios'!$A$5:$W$54,23,FALSE),0))</f>
        <v/>
      </c>
      <c r="I404" s="27" t="n"/>
      <c r="J404" s="17">
        <f>G404*I404</f>
        <v/>
      </c>
      <c r="K404" s="17">
        <f>G404-H404-J404</f>
        <v/>
      </c>
      <c r="L404" s="32">
        <f>IF(G404&gt;0,K404/G404,"")</f>
        <v/>
      </c>
      <c r="M404" s="6" t="n"/>
    </row>
    <row r="405">
      <c r="A405" s="34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precios'!$A$5:$W$54,23,FALSE),0))</f>
        <v/>
      </c>
      <c r="I405" s="27" t="n"/>
      <c r="J405" s="17">
        <f>G405*I405</f>
        <v/>
      </c>
      <c r="K405" s="17">
        <f>G405-H405-J405</f>
        <v/>
      </c>
      <c r="L405" s="32">
        <f>IF(G405&gt;0,K405/G405,"")</f>
        <v/>
      </c>
      <c r="M405" s="6" t="n"/>
    </row>
    <row r="406">
      <c r="A406" s="34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precios'!$A$5:$W$54,23,FALSE),0))</f>
        <v/>
      </c>
      <c r="I406" s="27" t="n"/>
      <c r="J406" s="17">
        <f>G406*I406</f>
        <v/>
      </c>
      <c r="K406" s="17">
        <f>G406-H406-J406</f>
        <v/>
      </c>
      <c r="L406" s="32">
        <f>IF(G406&gt;0,K406/G406,"")</f>
        <v/>
      </c>
      <c r="M406" s="6" t="n"/>
    </row>
    <row r="407">
      <c r="A407" s="34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precios'!$A$5:$W$54,23,FALSE),0))</f>
        <v/>
      </c>
      <c r="I407" s="27" t="n"/>
      <c r="J407" s="17">
        <f>G407*I407</f>
        <v/>
      </c>
      <c r="K407" s="17">
        <f>G407-H407-J407</f>
        <v/>
      </c>
      <c r="L407" s="32">
        <f>IF(G407&gt;0,K407/G407,"")</f>
        <v/>
      </c>
      <c r="M407" s="6" t="n"/>
    </row>
    <row r="408">
      <c r="A408" s="34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precios'!$A$5:$W$54,23,FALSE),0))</f>
        <v/>
      </c>
      <c r="I408" s="27" t="n"/>
      <c r="J408" s="17">
        <f>G408*I408</f>
        <v/>
      </c>
      <c r="K408" s="17">
        <f>G408-H408-J408</f>
        <v/>
      </c>
      <c r="L408" s="32">
        <f>IF(G408&gt;0,K408/G408,"")</f>
        <v/>
      </c>
      <c r="M408" s="6" t="n"/>
    </row>
    <row r="409">
      <c r="A409" s="34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precios'!$A$5:$W$54,23,FALSE),0))</f>
        <v/>
      </c>
      <c r="I409" s="27" t="n"/>
      <c r="J409" s="17">
        <f>G409*I409</f>
        <v/>
      </c>
      <c r="K409" s="17">
        <f>G409-H409-J409</f>
        <v/>
      </c>
      <c r="L409" s="32">
        <f>IF(G409&gt;0,K409/G409,"")</f>
        <v/>
      </c>
      <c r="M409" s="6" t="n"/>
    </row>
    <row r="410">
      <c r="A410" s="34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precios'!$A$5:$W$54,23,FALSE),0))</f>
        <v/>
      </c>
      <c r="I410" s="27" t="n"/>
      <c r="J410" s="17">
        <f>G410*I410</f>
        <v/>
      </c>
      <c r="K410" s="17">
        <f>G410-H410-J410</f>
        <v/>
      </c>
      <c r="L410" s="32">
        <f>IF(G410&gt;0,K410/G410,"")</f>
        <v/>
      </c>
      <c r="M410" s="6" t="n"/>
    </row>
    <row r="411">
      <c r="A411" s="34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precios'!$A$5:$W$54,23,FALSE),0))</f>
        <v/>
      </c>
      <c r="I411" s="27" t="n"/>
      <c r="J411" s="17">
        <f>G411*I411</f>
        <v/>
      </c>
      <c r="K411" s="17">
        <f>G411-H411-J411</f>
        <v/>
      </c>
      <c r="L411" s="32">
        <f>IF(G411&gt;0,K411/G411,"")</f>
        <v/>
      </c>
      <c r="M411" s="6" t="n"/>
    </row>
    <row r="412">
      <c r="A412" s="34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precios'!$A$5:$W$54,23,FALSE),0))</f>
        <v/>
      </c>
      <c r="I412" s="27" t="n"/>
      <c r="J412" s="17">
        <f>G412*I412</f>
        <v/>
      </c>
      <c r="K412" s="17">
        <f>G412-H412-J412</f>
        <v/>
      </c>
      <c r="L412" s="32">
        <f>IF(G412&gt;0,K412/G412,"")</f>
        <v/>
      </c>
      <c r="M412" s="6" t="n"/>
    </row>
    <row r="413">
      <c r="A413" s="34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precios'!$A$5:$W$54,23,FALSE),0))</f>
        <v/>
      </c>
      <c r="I413" s="27" t="n"/>
      <c r="J413" s="17">
        <f>G413*I413</f>
        <v/>
      </c>
      <c r="K413" s="17">
        <f>G413-H413-J413</f>
        <v/>
      </c>
      <c r="L413" s="32">
        <f>IF(G413&gt;0,K413/G413,"")</f>
        <v/>
      </c>
      <c r="M413" s="6" t="n"/>
    </row>
    <row r="414">
      <c r="A414" s="34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precios'!$A$5:$W$54,23,FALSE),0))</f>
        <v/>
      </c>
      <c r="I414" s="27" t="n"/>
      <c r="J414" s="17">
        <f>G414*I414</f>
        <v/>
      </c>
      <c r="K414" s="17">
        <f>G414-H414-J414</f>
        <v/>
      </c>
      <c r="L414" s="32">
        <f>IF(G414&gt;0,K414/G414,"")</f>
        <v/>
      </c>
      <c r="M414" s="6" t="n"/>
    </row>
    <row r="415">
      <c r="A415" s="34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precios'!$A$5:$W$54,23,FALSE),0))</f>
        <v/>
      </c>
      <c r="I415" s="27" t="n"/>
      <c r="J415" s="17">
        <f>G415*I415</f>
        <v/>
      </c>
      <c r="K415" s="17">
        <f>G415-H415-J415</f>
        <v/>
      </c>
      <c r="L415" s="32">
        <f>IF(G415&gt;0,K415/G415,"")</f>
        <v/>
      </c>
      <c r="M415" s="6" t="n"/>
    </row>
    <row r="416">
      <c r="A416" s="34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precios'!$A$5:$W$54,23,FALSE),0))</f>
        <v/>
      </c>
      <c r="I416" s="27" t="n"/>
      <c r="J416" s="17">
        <f>G416*I416</f>
        <v/>
      </c>
      <c r="K416" s="17">
        <f>G416-H416-J416</f>
        <v/>
      </c>
      <c r="L416" s="32">
        <f>IF(G416&gt;0,K416/G416,"")</f>
        <v/>
      </c>
      <c r="M416" s="6" t="n"/>
    </row>
    <row r="417">
      <c r="A417" s="34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precios'!$A$5:$W$54,23,FALSE),0))</f>
        <v/>
      </c>
      <c r="I417" s="27" t="n"/>
      <c r="J417" s="17">
        <f>G417*I417</f>
        <v/>
      </c>
      <c r="K417" s="17">
        <f>G417-H417-J417</f>
        <v/>
      </c>
      <c r="L417" s="32">
        <f>IF(G417&gt;0,K417/G417,"")</f>
        <v/>
      </c>
      <c r="M417" s="6" t="n"/>
    </row>
    <row r="418">
      <c r="A418" s="34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precios'!$A$5:$W$54,23,FALSE),0))</f>
        <v/>
      </c>
      <c r="I418" s="27" t="n"/>
      <c r="J418" s="17">
        <f>G418*I418</f>
        <v/>
      </c>
      <c r="K418" s="17">
        <f>G418-H418-J418</f>
        <v/>
      </c>
      <c r="L418" s="32">
        <f>IF(G418&gt;0,K418/G418,"")</f>
        <v/>
      </c>
      <c r="M418" s="6" t="n"/>
    </row>
    <row r="419">
      <c r="A419" s="34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precios'!$A$5:$W$54,23,FALSE),0))</f>
        <v/>
      </c>
      <c r="I419" s="27" t="n"/>
      <c r="J419" s="17">
        <f>G419*I419</f>
        <v/>
      </c>
      <c r="K419" s="17">
        <f>G419-H419-J419</f>
        <v/>
      </c>
      <c r="L419" s="32">
        <f>IF(G419&gt;0,K419/G419,"")</f>
        <v/>
      </c>
      <c r="M419" s="6" t="n"/>
    </row>
    <row r="420">
      <c r="A420" s="34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precios'!$A$5:$W$54,23,FALSE),0))</f>
        <v/>
      </c>
      <c r="I420" s="27" t="n"/>
      <c r="J420" s="17">
        <f>G420*I420</f>
        <v/>
      </c>
      <c r="K420" s="17">
        <f>G420-H420-J420</f>
        <v/>
      </c>
      <c r="L420" s="32">
        <f>IF(G420&gt;0,K420/G420,"")</f>
        <v/>
      </c>
      <c r="M420" s="6" t="n"/>
    </row>
    <row r="421">
      <c r="A421" s="34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precios'!$A$5:$W$54,23,FALSE),0))</f>
        <v/>
      </c>
      <c r="I421" s="27" t="n"/>
      <c r="J421" s="17">
        <f>G421*I421</f>
        <v/>
      </c>
      <c r="K421" s="17">
        <f>G421-H421-J421</f>
        <v/>
      </c>
      <c r="L421" s="32">
        <f>IF(G421&gt;0,K421/G421,"")</f>
        <v/>
      </c>
      <c r="M421" s="6" t="n"/>
    </row>
    <row r="422">
      <c r="A422" s="34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precios'!$A$5:$W$54,23,FALSE),0))</f>
        <v/>
      </c>
      <c r="I422" s="27" t="n"/>
      <c r="J422" s="17">
        <f>G422*I422</f>
        <v/>
      </c>
      <c r="K422" s="17">
        <f>G422-H422-J422</f>
        <v/>
      </c>
      <c r="L422" s="32">
        <f>IF(G422&gt;0,K422/G422,"")</f>
        <v/>
      </c>
      <c r="M422" s="6" t="n"/>
    </row>
    <row r="423">
      <c r="A423" s="34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precios'!$A$5:$W$54,23,FALSE),0))</f>
        <v/>
      </c>
      <c r="I423" s="27" t="n"/>
      <c r="J423" s="17">
        <f>G423*I423</f>
        <v/>
      </c>
      <c r="K423" s="17">
        <f>G423-H423-J423</f>
        <v/>
      </c>
      <c r="L423" s="32">
        <f>IF(G423&gt;0,K423/G423,"")</f>
        <v/>
      </c>
      <c r="M423" s="6" t="n"/>
    </row>
    <row r="424">
      <c r="A424" s="34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precios'!$A$5:$W$54,23,FALSE),0))</f>
        <v/>
      </c>
      <c r="I424" s="27" t="n"/>
      <c r="J424" s="17">
        <f>G424*I424</f>
        <v/>
      </c>
      <c r="K424" s="17">
        <f>G424-H424-J424</f>
        <v/>
      </c>
      <c r="L424" s="32">
        <f>IF(G424&gt;0,K424/G424,"")</f>
        <v/>
      </c>
      <c r="M424" s="6" t="n"/>
    </row>
    <row r="425">
      <c r="A425" s="34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precios'!$A$5:$W$54,23,FALSE),0))</f>
        <v/>
      </c>
      <c r="I425" s="27" t="n"/>
      <c r="J425" s="17">
        <f>G425*I425</f>
        <v/>
      </c>
      <c r="K425" s="17">
        <f>G425-H425-J425</f>
        <v/>
      </c>
      <c r="L425" s="32">
        <f>IF(G425&gt;0,K425/G425,"")</f>
        <v/>
      </c>
      <c r="M425" s="6" t="n"/>
    </row>
    <row r="426">
      <c r="A426" s="34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precios'!$A$5:$W$54,23,FALSE),0))</f>
        <v/>
      </c>
      <c r="I426" s="27" t="n"/>
      <c r="J426" s="17">
        <f>G426*I426</f>
        <v/>
      </c>
      <c r="K426" s="17">
        <f>G426-H426-J426</f>
        <v/>
      </c>
      <c r="L426" s="32">
        <f>IF(G426&gt;0,K426/G426,"")</f>
        <v/>
      </c>
      <c r="M426" s="6" t="n"/>
    </row>
    <row r="427">
      <c r="A427" s="34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precios'!$A$5:$W$54,23,FALSE),0))</f>
        <v/>
      </c>
      <c r="I427" s="27" t="n"/>
      <c r="J427" s="17">
        <f>G427*I427</f>
        <v/>
      </c>
      <c r="K427" s="17">
        <f>G427-H427-J427</f>
        <v/>
      </c>
      <c r="L427" s="32">
        <f>IF(G427&gt;0,K427/G427,"")</f>
        <v/>
      </c>
      <c r="M427" s="6" t="n"/>
    </row>
    <row r="428">
      <c r="A428" s="34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precios'!$A$5:$W$54,23,FALSE),0))</f>
        <v/>
      </c>
      <c r="I428" s="27" t="n"/>
      <c r="J428" s="17">
        <f>G428*I428</f>
        <v/>
      </c>
      <c r="K428" s="17">
        <f>G428-H428-J428</f>
        <v/>
      </c>
      <c r="L428" s="32">
        <f>IF(G428&gt;0,K428/G428,"")</f>
        <v/>
      </c>
      <c r="M428" s="6" t="n"/>
    </row>
    <row r="429">
      <c r="A429" s="34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precios'!$A$5:$W$54,23,FALSE),0))</f>
        <v/>
      </c>
      <c r="I429" s="27" t="n"/>
      <c r="J429" s="17">
        <f>G429*I429</f>
        <v/>
      </c>
      <c r="K429" s="17">
        <f>G429-H429-J429</f>
        <v/>
      </c>
      <c r="L429" s="32">
        <f>IF(G429&gt;0,K429/G429,"")</f>
        <v/>
      </c>
      <c r="M429" s="6" t="n"/>
    </row>
    <row r="430">
      <c r="A430" s="34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precios'!$A$5:$W$54,23,FALSE),0))</f>
        <v/>
      </c>
      <c r="I430" s="27" t="n"/>
      <c r="J430" s="17">
        <f>G430*I430</f>
        <v/>
      </c>
      <c r="K430" s="17">
        <f>G430-H430-J430</f>
        <v/>
      </c>
      <c r="L430" s="32">
        <f>IF(G430&gt;0,K430/G430,"")</f>
        <v/>
      </c>
      <c r="M430" s="6" t="n"/>
    </row>
    <row r="431">
      <c r="A431" s="34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precios'!$A$5:$W$54,23,FALSE),0))</f>
        <v/>
      </c>
      <c r="I431" s="27" t="n"/>
      <c r="J431" s="17">
        <f>G431*I431</f>
        <v/>
      </c>
      <c r="K431" s="17">
        <f>G431-H431-J431</f>
        <v/>
      </c>
      <c r="L431" s="32">
        <f>IF(G431&gt;0,K431/G431,"")</f>
        <v/>
      </c>
      <c r="M431" s="6" t="n"/>
    </row>
    <row r="432">
      <c r="A432" s="34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precios'!$A$5:$W$54,23,FALSE),0))</f>
        <v/>
      </c>
      <c r="I432" s="27" t="n"/>
      <c r="J432" s="17">
        <f>G432*I432</f>
        <v/>
      </c>
      <c r="K432" s="17">
        <f>G432-H432-J432</f>
        <v/>
      </c>
      <c r="L432" s="32">
        <f>IF(G432&gt;0,K432/G432,"")</f>
        <v/>
      </c>
      <c r="M432" s="6" t="n"/>
    </row>
    <row r="433">
      <c r="A433" s="34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precios'!$A$5:$W$54,23,FALSE),0))</f>
        <v/>
      </c>
      <c r="I433" s="27" t="n"/>
      <c r="J433" s="17">
        <f>G433*I433</f>
        <v/>
      </c>
      <c r="K433" s="17">
        <f>G433-H433-J433</f>
        <v/>
      </c>
      <c r="L433" s="32">
        <f>IF(G433&gt;0,K433/G433,"")</f>
        <v/>
      </c>
      <c r="M433" s="6" t="n"/>
    </row>
    <row r="434">
      <c r="A434" s="34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precios'!$A$5:$W$54,23,FALSE),0))</f>
        <v/>
      </c>
      <c r="I434" s="27" t="n"/>
      <c r="J434" s="17">
        <f>G434*I434</f>
        <v/>
      </c>
      <c r="K434" s="17">
        <f>G434-H434-J434</f>
        <v/>
      </c>
      <c r="L434" s="32">
        <f>IF(G434&gt;0,K434/G434,"")</f>
        <v/>
      </c>
      <c r="M434" s="6" t="n"/>
    </row>
    <row r="435">
      <c r="A435" s="34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precios'!$A$5:$W$54,23,FALSE),0))</f>
        <v/>
      </c>
      <c r="I435" s="27" t="n"/>
      <c r="J435" s="17">
        <f>G435*I435</f>
        <v/>
      </c>
      <c r="K435" s="17">
        <f>G435-H435-J435</f>
        <v/>
      </c>
      <c r="L435" s="32">
        <f>IF(G435&gt;0,K435/G435,"")</f>
        <v/>
      </c>
      <c r="M435" s="6" t="n"/>
    </row>
    <row r="436">
      <c r="A436" s="34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precios'!$A$5:$W$54,23,FALSE),0))</f>
        <v/>
      </c>
      <c r="I436" s="27" t="n"/>
      <c r="J436" s="17">
        <f>G436*I436</f>
        <v/>
      </c>
      <c r="K436" s="17">
        <f>G436-H436-J436</f>
        <v/>
      </c>
      <c r="L436" s="32">
        <f>IF(G436&gt;0,K436/G436,"")</f>
        <v/>
      </c>
      <c r="M436" s="6" t="n"/>
    </row>
    <row r="437">
      <c r="A437" s="34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precios'!$A$5:$W$54,23,FALSE),0))</f>
        <v/>
      </c>
      <c r="I437" s="27" t="n"/>
      <c r="J437" s="17">
        <f>G437*I437</f>
        <v/>
      </c>
      <c r="K437" s="17">
        <f>G437-H437-J437</f>
        <v/>
      </c>
      <c r="L437" s="32">
        <f>IF(G437&gt;0,K437/G437,"")</f>
        <v/>
      </c>
      <c r="M437" s="6" t="n"/>
    </row>
    <row r="438">
      <c r="A438" s="34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precios'!$A$5:$W$54,23,FALSE),0))</f>
        <v/>
      </c>
      <c r="I438" s="27" t="n"/>
      <c r="J438" s="17">
        <f>G438*I438</f>
        <v/>
      </c>
      <c r="K438" s="17">
        <f>G438-H438-J438</f>
        <v/>
      </c>
      <c r="L438" s="32">
        <f>IF(G438&gt;0,K438/G438,"")</f>
        <v/>
      </c>
      <c r="M438" s="6" t="n"/>
    </row>
    <row r="439">
      <c r="A439" s="34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precios'!$A$5:$W$54,23,FALSE),0))</f>
        <v/>
      </c>
      <c r="I439" s="27" t="n"/>
      <c r="J439" s="17">
        <f>G439*I439</f>
        <v/>
      </c>
      <c r="K439" s="17">
        <f>G439-H439-J439</f>
        <v/>
      </c>
      <c r="L439" s="32">
        <f>IF(G439&gt;0,K439/G439,"")</f>
        <v/>
      </c>
      <c r="M439" s="6" t="n"/>
    </row>
    <row r="440">
      <c r="A440" s="34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precios'!$A$5:$W$54,23,FALSE),0))</f>
        <v/>
      </c>
      <c r="I440" s="27" t="n"/>
      <c r="J440" s="17">
        <f>G440*I440</f>
        <v/>
      </c>
      <c r="K440" s="17">
        <f>G440-H440-J440</f>
        <v/>
      </c>
      <c r="L440" s="32">
        <f>IF(G440&gt;0,K440/G440,"")</f>
        <v/>
      </c>
      <c r="M440" s="6" t="n"/>
    </row>
    <row r="441">
      <c r="A441" s="34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precios'!$A$5:$W$54,23,FALSE),0))</f>
        <v/>
      </c>
      <c r="I441" s="27" t="n"/>
      <c r="J441" s="17">
        <f>G441*I441</f>
        <v/>
      </c>
      <c r="K441" s="17">
        <f>G441-H441-J441</f>
        <v/>
      </c>
      <c r="L441" s="32">
        <f>IF(G441&gt;0,K441/G441,"")</f>
        <v/>
      </c>
      <c r="M441" s="6" t="n"/>
    </row>
    <row r="442">
      <c r="A442" s="34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precios'!$A$5:$W$54,23,FALSE),0))</f>
        <v/>
      </c>
      <c r="I442" s="27" t="n"/>
      <c r="J442" s="17">
        <f>G442*I442</f>
        <v/>
      </c>
      <c r="K442" s="17">
        <f>G442-H442-J442</f>
        <v/>
      </c>
      <c r="L442" s="32">
        <f>IF(G442&gt;0,K442/G442,"")</f>
        <v/>
      </c>
      <c r="M442" s="6" t="n"/>
    </row>
    <row r="443">
      <c r="A443" s="34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precios'!$A$5:$W$54,23,FALSE),0))</f>
        <v/>
      </c>
      <c r="I443" s="27" t="n"/>
      <c r="J443" s="17">
        <f>G443*I443</f>
        <v/>
      </c>
      <c r="K443" s="17">
        <f>G443-H443-J443</f>
        <v/>
      </c>
      <c r="L443" s="32">
        <f>IF(G443&gt;0,K443/G443,"")</f>
        <v/>
      </c>
      <c r="M443" s="6" t="n"/>
    </row>
    <row r="444">
      <c r="A444" s="34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precios'!$A$5:$W$54,23,FALSE),0))</f>
        <v/>
      </c>
      <c r="I444" s="27" t="n"/>
      <c r="J444" s="17">
        <f>G444*I444</f>
        <v/>
      </c>
      <c r="K444" s="17">
        <f>G444-H444-J444</f>
        <v/>
      </c>
      <c r="L444" s="32">
        <f>IF(G444&gt;0,K444/G444,"")</f>
        <v/>
      </c>
      <c r="M444" s="6" t="n"/>
    </row>
    <row r="445">
      <c r="A445" s="34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precios'!$A$5:$W$54,23,FALSE),0))</f>
        <v/>
      </c>
      <c r="I445" s="27" t="n"/>
      <c r="J445" s="17">
        <f>G445*I445</f>
        <v/>
      </c>
      <c r="K445" s="17">
        <f>G445-H445-J445</f>
        <v/>
      </c>
      <c r="L445" s="32">
        <f>IF(G445&gt;0,K445/G445,"")</f>
        <v/>
      </c>
      <c r="M445" s="6" t="n"/>
    </row>
    <row r="446">
      <c r="A446" s="34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precios'!$A$5:$W$54,23,FALSE),0))</f>
        <v/>
      </c>
      <c r="I446" s="27" t="n"/>
      <c r="J446" s="17">
        <f>G446*I446</f>
        <v/>
      </c>
      <c r="K446" s="17">
        <f>G446-H446-J446</f>
        <v/>
      </c>
      <c r="L446" s="32">
        <f>IF(G446&gt;0,K446/G446,"")</f>
        <v/>
      </c>
      <c r="M446" s="6" t="n"/>
    </row>
    <row r="447">
      <c r="A447" s="34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precios'!$A$5:$W$54,23,FALSE),0))</f>
        <v/>
      </c>
      <c r="I447" s="27" t="n"/>
      <c r="J447" s="17">
        <f>G447*I447</f>
        <v/>
      </c>
      <c r="K447" s="17">
        <f>G447-H447-J447</f>
        <v/>
      </c>
      <c r="L447" s="32">
        <f>IF(G447&gt;0,K447/G447,"")</f>
        <v/>
      </c>
      <c r="M447" s="6" t="n"/>
    </row>
    <row r="448">
      <c r="A448" s="34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precios'!$A$5:$W$54,23,FALSE),0))</f>
        <v/>
      </c>
      <c r="I448" s="27" t="n"/>
      <c r="J448" s="17">
        <f>G448*I448</f>
        <v/>
      </c>
      <c r="K448" s="17">
        <f>G448-H448-J448</f>
        <v/>
      </c>
      <c r="L448" s="32">
        <f>IF(G448&gt;0,K448/G448,"")</f>
        <v/>
      </c>
      <c r="M448" s="6" t="n"/>
    </row>
    <row r="449">
      <c r="A449" s="34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precios'!$A$5:$W$54,23,FALSE),0))</f>
        <v/>
      </c>
      <c r="I449" s="27" t="n"/>
      <c r="J449" s="17">
        <f>G449*I449</f>
        <v/>
      </c>
      <c r="K449" s="17">
        <f>G449-H449-J449</f>
        <v/>
      </c>
      <c r="L449" s="32">
        <f>IF(G449&gt;0,K449/G449,"")</f>
        <v/>
      </c>
      <c r="M449" s="6" t="n"/>
    </row>
    <row r="450">
      <c r="A450" s="34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precios'!$A$5:$W$54,23,FALSE),0))</f>
        <v/>
      </c>
      <c r="I450" s="27" t="n"/>
      <c r="J450" s="17">
        <f>G450*I450</f>
        <v/>
      </c>
      <c r="K450" s="17">
        <f>G450-H450-J450</f>
        <v/>
      </c>
      <c r="L450" s="32">
        <f>IF(G450&gt;0,K450/G450,"")</f>
        <v/>
      </c>
      <c r="M450" s="6" t="n"/>
    </row>
    <row r="451">
      <c r="A451" s="34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precios'!$A$5:$W$54,23,FALSE),0))</f>
        <v/>
      </c>
      <c r="I451" s="27" t="n"/>
      <c r="J451" s="17">
        <f>G451*I451</f>
        <v/>
      </c>
      <c r="K451" s="17">
        <f>G451-H451-J451</f>
        <v/>
      </c>
      <c r="L451" s="32">
        <f>IF(G451&gt;0,K451/G451,"")</f>
        <v/>
      </c>
      <c r="M451" s="6" t="n"/>
    </row>
    <row r="452">
      <c r="A452" s="34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precios'!$A$5:$W$54,23,FALSE),0))</f>
        <v/>
      </c>
      <c r="I452" s="27" t="n"/>
      <c r="J452" s="17">
        <f>G452*I452</f>
        <v/>
      </c>
      <c r="K452" s="17">
        <f>G452-H452-J452</f>
        <v/>
      </c>
      <c r="L452" s="32">
        <f>IF(G452&gt;0,K452/G452,"")</f>
        <v/>
      </c>
      <c r="M452" s="6" t="n"/>
    </row>
    <row r="453">
      <c r="A453" s="34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precios'!$A$5:$W$54,23,FALSE),0))</f>
        <v/>
      </c>
      <c r="I453" s="27" t="n"/>
      <c r="J453" s="17">
        <f>G453*I453</f>
        <v/>
      </c>
      <c r="K453" s="17">
        <f>G453-H453-J453</f>
        <v/>
      </c>
      <c r="L453" s="32">
        <f>IF(G453&gt;0,K453/G453,"")</f>
        <v/>
      </c>
      <c r="M453" s="6" t="n"/>
    </row>
    <row r="454">
      <c r="A454" s="34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precios'!$A$5:$W$54,23,FALSE),0))</f>
        <v/>
      </c>
      <c r="I454" s="27" t="n"/>
      <c r="J454" s="17">
        <f>G454*I454</f>
        <v/>
      </c>
      <c r="K454" s="17">
        <f>G454-H454-J454</f>
        <v/>
      </c>
      <c r="L454" s="32">
        <f>IF(G454&gt;0,K454/G454,"")</f>
        <v/>
      </c>
      <c r="M454" s="6" t="n"/>
    </row>
    <row r="455">
      <c r="A455" s="34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precios'!$A$5:$W$54,23,FALSE),0))</f>
        <v/>
      </c>
      <c r="I455" s="27" t="n"/>
      <c r="J455" s="17">
        <f>G455*I455</f>
        <v/>
      </c>
      <c r="K455" s="17">
        <f>G455-H455-J455</f>
        <v/>
      </c>
      <c r="L455" s="32">
        <f>IF(G455&gt;0,K455/G455,"")</f>
        <v/>
      </c>
      <c r="M455" s="6" t="n"/>
    </row>
    <row r="456">
      <c r="A456" s="34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precios'!$A$5:$W$54,23,FALSE),0))</f>
        <v/>
      </c>
      <c r="I456" s="27" t="n"/>
      <c r="J456" s="17">
        <f>G456*I456</f>
        <v/>
      </c>
      <c r="K456" s="17">
        <f>G456-H456-J456</f>
        <v/>
      </c>
      <c r="L456" s="32">
        <f>IF(G456&gt;0,K456/G456,"")</f>
        <v/>
      </c>
      <c r="M456" s="6" t="n"/>
    </row>
    <row r="457">
      <c r="A457" s="34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precios'!$A$5:$W$54,23,FALSE),0))</f>
        <v/>
      </c>
      <c r="I457" s="27" t="n"/>
      <c r="J457" s="17">
        <f>G457*I457</f>
        <v/>
      </c>
      <c r="K457" s="17">
        <f>G457-H457-J457</f>
        <v/>
      </c>
      <c r="L457" s="32">
        <f>IF(G457&gt;0,K457/G457,"")</f>
        <v/>
      </c>
      <c r="M457" s="6" t="n"/>
    </row>
    <row r="458">
      <c r="A458" s="34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precios'!$A$5:$W$54,23,FALSE),0))</f>
        <v/>
      </c>
      <c r="I458" s="27" t="n"/>
      <c r="J458" s="17">
        <f>G458*I458</f>
        <v/>
      </c>
      <c r="K458" s="17">
        <f>G458-H458-J458</f>
        <v/>
      </c>
      <c r="L458" s="32">
        <f>IF(G458&gt;0,K458/G458,"")</f>
        <v/>
      </c>
      <c r="M458" s="6" t="n"/>
    </row>
    <row r="459">
      <c r="A459" s="34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precios'!$A$5:$W$54,23,FALSE),0))</f>
        <v/>
      </c>
      <c r="I459" s="27" t="n"/>
      <c r="J459" s="17">
        <f>G459*I459</f>
        <v/>
      </c>
      <c r="K459" s="17">
        <f>G459-H459-J459</f>
        <v/>
      </c>
      <c r="L459" s="32">
        <f>IF(G459&gt;0,K459/G459,"")</f>
        <v/>
      </c>
      <c r="M459" s="6" t="n"/>
    </row>
    <row r="460">
      <c r="A460" s="34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precios'!$A$5:$W$54,23,FALSE),0))</f>
        <v/>
      </c>
      <c r="I460" s="27" t="n"/>
      <c r="J460" s="17">
        <f>G460*I460</f>
        <v/>
      </c>
      <c r="K460" s="17">
        <f>G460-H460-J460</f>
        <v/>
      </c>
      <c r="L460" s="32">
        <f>IF(G460&gt;0,K460/G460,"")</f>
        <v/>
      </c>
      <c r="M460" s="6" t="n"/>
    </row>
    <row r="461">
      <c r="A461" s="34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precios'!$A$5:$W$54,23,FALSE),0))</f>
        <v/>
      </c>
      <c r="I461" s="27" t="n"/>
      <c r="J461" s="17">
        <f>G461*I461</f>
        <v/>
      </c>
      <c r="K461" s="17">
        <f>G461-H461-J461</f>
        <v/>
      </c>
      <c r="L461" s="32">
        <f>IF(G461&gt;0,K461/G461,"")</f>
        <v/>
      </c>
      <c r="M461" s="6" t="n"/>
    </row>
    <row r="462">
      <c r="A462" s="34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precios'!$A$5:$W$54,23,FALSE),0))</f>
        <v/>
      </c>
      <c r="I462" s="27" t="n"/>
      <c r="J462" s="17">
        <f>G462*I462</f>
        <v/>
      </c>
      <c r="K462" s="17">
        <f>G462-H462-J462</f>
        <v/>
      </c>
      <c r="L462" s="32">
        <f>IF(G462&gt;0,K462/G462,"")</f>
        <v/>
      </c>
      <c r="M462" s="6" t="n"/>
    </row>
    <row r="463">
      <c r="A463" s="34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precios'!$A$5:$W$54,23,FALSE),0))</f>
        <v/>
      </c>
      <c r="I463" s="27" t="n"/>
      <c r="J463" s="17">
        <f>G463*I463</f>
        <v/>
      </c>
      <c r="K463" s="17">
        <f>G463-H463-J463</f>
        <v/>
      </c>
      <c r="L463" s="32">
        <f>IF(G463&gt;0,K463/G463,"")</f>
        <v/>
      </c>
      <c r="M463" s="6" t="n"/>
    </row>
    <row r="464">
      <c r="A464" s="34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precios'!$A$5:$W$54,23,FALSE),0))</f>
        <v/>
      </c>
      <c r="I464" s="27" t="n"/>
      <c r="J464" s="17">
        <f>G464*I464</f>
        <v/>
      </c>
      <c r="K464" s="17">
        <f>G464-H464-J464</f>
        <v/>
      </c>
      <c r="L464" s="32">
        <f>IF(G464&gt;0,K464/G464,"")</f>
        <v/>
      </c>
      <c r="M464" s="6" t="n"/>
    </row>
    <row r="465">
      <c r="A465" s="34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precios'!$A$5:$W$54,23,FALSE),0))</f>
        <v/>
      </c>
      <c r="I465" s="27" t="n"/>
      <c r="J465" s="17">
        <f>G465*I465</f>
        <v/>
      </c>
      <c r="K465" s="17">
        <f>G465-H465-J465</f>
        <v/>
      </c>
      <c r="L465" s="32">
        <f>IF(G465&gt;0,K465/G465,"")</f>
        <v/>
      </c>
      <c r="M465" s="6" t="n"/>
    </row>
    <row r="466">
      <c r="A466" s="34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precios'!$A$5:$W$54,23,FALSE),0))</f>
        <v/>
      </c>
      <c r="I466" s="27" t="n"/>
      <c r="J466" s="17">
        <f>G466*I466</f>
        <v/>
      </c>
      <c r="K466" s="17">
        <f>G466-H466-J466</f>
        <v/>
      </c>
      <c r="L466" s="32">
        <f>IF(G466&gt;0,K466/G466,"")</f>
        <v/>
      </c>
      <c r="M466" s="6" t="n"/>
    </row>
    <row r="467">
      <c r="A467" s="34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precios'!$A$5:$W$54,23,FALSE),0))</f>
        <v/>
      </c>
      <c r="I467" s="27" t="n"/>
      <c r="J467" s="17">
        <f>G467*I467</f>
        <v/>
      </c>
      <c r="K467" s="17">
        <f>G467-H467-J467</f>
        <v/>
      </c>
      <c r="L467" s="32">
        <f>IF(G467&gt;0,K467/G467,"")</f>
        <v/>
      </c>
      <c r="M467" s="6" t="n"/>
    </row>
    <row r="468">
      <c r="A468" s="34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precios'!$A$5:$W$54,23,FALSE),0))</f>
        <v/>
      </c>
      <c r="I468" s="27" t="n"/>
      <c r="J468" s="17">
        <f>G468*I468</f>
        <v/>
      </c>
      <c r="K468" s="17">
        <f>G468-H468-J468</f>
        <v/>
      </c>
      <c r="L468" s="32">
        <f>IF(G468&gt;0,K468/G468,"")</f>
        <v/>
      </c>
      <c r="M468" s="6" t="n"/>
    </row>
    <row r="469">
      <c r="A469" s="34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precios'!$A$5:$W$54,23,FALSE),0))</f>
        <v/>
      </c>
      <c r="I469" s="27" t="n"/>
      <c r="J469" s="17">
        <f>G469*I469</f>
        <v/>
      </c>
      <c r="K469" s="17">
        <f>G469-H469-J469</f>
        <v/>
      </c>
      <c r="L469" s="32">
        <f>IF(G469&gt;0,K469/G469,"")</f>
        <v/>
      </c>
      <c r="M469" s="6" t="n"/>
    </row>
    <row r="470">
      <c r="A470" s="34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precios'!$A$5:$W$54,23,FALSE),0))</f>
        <v/>
      </c>
      <c r="I470" s="27" t="n"/>
      <c r="J470" s="17">
        <f>G470*I470</f>
        <v/>
      </c>
      <c r="K470" s="17">
        <f>G470-H470-J470</f>
        <v/>
      </c>
      <c r="L470" s="32">
        <f>IF(G470&gt;0,K470/G470,"")</f>
        <v/>
      </c>
      <c r="M470" s="6" t="n"/>
    </row>
    <row r="471">
      <c r="A471" s="34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precios'!$A$5:$W$54,23,FALSE),0))</f>
        <v/>
      </c>
      <c r="I471" s="27" t="n"/>
      <c r="J471" s="17">
        <f>G471*I471</f>
        <v/>
      </c>
      <c r="K471" s="17">
        <f>G471-H471-J471</f>
        <v/>
      </c>
      <c r="L471" s="32">
        <f>IF(G471&gt;0,K471/G471,"")</f>
        <v/>
      </c>
      <c r="M471" s="6" t="n"/>
    </row>
    <row r="472">
      <c r="A472" s="34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precios'!$A$5:$W$54,23,FALSE),0))</f>
        <v/>
      </c>
      <c r="I472" s="27" t="n"/>
      <c r="J472" s="17">
        <f>G472*I472</f>
        <v/>
      </c>
      <c r="K472" s="17">
        <f>G472-H472-J472</f>
        <v/>
      </c>
      <c r="L472" s="32">
        <f>IF(G472&gt;0,K472/G472,"")</f>
        <v/>
      </c>
      <c r="M472" s="6" t="n"/>
    </row>
    <row r="473">
      <c r="A473" s="34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precios'!$A$5:$W$54,23,FALSE),0))</f>
        <v/>
      </c>
      <c r="I473" s="27" t="n"/>
      <c r="J473" s="17">
        <f>G473*I473</f>
        <v/>
      </c>
      <c r="K473" s="17">
        <f>G473-H473-J473</f>
        <v/>
      </c>
      <c r="L473" s="32">
        <f>IF(G473&gt;0,K473/G473,"")</f>
        <v/>
      </c>
      <c r="M473" s="6" t="n"/>
    </row>
    <row r="474">
      <c r="A474" s="34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precios'!$A$5:$W$54,23,FALSE),0))</f>
        <v/>
      </c>
      <c r="I474" s="27" t="n"/>
      <c r="J474" s="17">
        <f>G474*I474</f>
        <v/>
      </c>
      <c r="K474" s="17">
        <f>G474-H474-J474</f>
        <v/>
      </c>
      <c r="L474" s="32">
        <f>IF(G474&gt;0,K474/G474,"")</f>
        <v/>
      </c>
      <c r="M474" s="6" t="n"/>
    </row>
    <row r="475">
      <c r="A475" s="34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precios'!$A$5:$W$54,23,FALSE),0))</f>
        <v/>
      </c>
      <c r="I475" s="27" t="n"/>
      <c r="J475" s="17">
        <f>G475*I475</f>
        <v/>
      </c>
      <c r="K475" s="17">
        <f>G475-H475-J475</f>
        <v/>
      </c>
      <c r="L475" s="32">
        <f>IF(G475&gt;0,K475/G475,"")</f>
        <v/>
      </c>
      <c r="M475" s="6" t="n"/>
    </row>
    <row r="476">
      <c r="A476" s="34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precios'!$A$5:$W$54,23,FALSE),0))</f>
        <v/>
      </c>
      <c r="I476" s="27" t="n"/>
      <c r="J476" s="17">
        <f>G476*I476</f>
        <v/>
      </c>
      <c r="K476" s="17">
        <f>G476-H476-J476</f>
        <v/>
      </c>
      <c r="L476" s="32">
        <f>IF(G476&gt;0,K476/G476,"")</f>
        <v/>
      </c>
      <c r="M476" s="6" t="n"/>
    </row>
    <row r="477">
      <c r="A477" s="34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precios'!$A$5:$W$54,23,FALSE),0))</f>
        <v/>
      </c>
      <c r="I477" s="27" t="n"/>
      <c r="J477" s="17">
        <f>G477*I477</f>
        <v/>
      </c>
      <c r="K477" s="17">
        <f>G477-H477-J477</f>
        <v/>
      </c>
      <c r="L477" s="32">
        <f>IF(G477&gt;0,K477/G477,"")</f>
        <v/>
      </c>
      <c r="M477" s="6" t="n"/>
    </row>
    <row r="478">
      <c r="A478" s="34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precios'!$A$5:$W$54,23,FALSE),0))</f>
        <v/>
      </c>
      <c r="I478" s="27" t="n"/>
      <c r="J478" s="17">
        <f>G478*I478</f>
        <v/>
      </c>
      <c r="K478" s="17">
        <f>G478-H478-J478</f>
        <v/>
      </c>
      <c r="L478" s="32">
        <f>IF(G478&gt;0,K478/G478,"")</f>
        <v/>
      </c>
      <c r="M478" s="6" t="n"/>
    </row>
    <row r="479">
      <c r="A479" s="34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precios'!$A$5:$W$54,23,FALSE),0))</f>
        <v/>
      </c>
      <c r="I479" s="27" t="n"/>
      <c r="J479" s="17">
        <f>G479*I479</f>
        <v/>
      </c>
      <c r="K479" s="17">
        <f>G479-H479-J479</f>
        <v/>
      </c>
      <c r="L479" s="32">
        <f>IF(G479&gt;0,K479/G479,"")</f>
        <v/>
      </c>
      <c r="M479" s="6" t="n"/>
    </row>
    <row r="480">
      <c r="A480" s="34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precios'!$A$5:$W$54,23,FALSE),0))</f>
        <v/>
      </c>
      <c r="I480" s="27" t="n"/>
      <c r="J480" s="17">
        <f>G480*I480</f>
        <v/>
      </c>
      <c r="K480" s="17">
        <f>G480-H480-J480</f>
        <v/>
      </c>
      <c r="L480" s="32">
        <f>IF(G480&gt;0,K480/G480,"")</f>
        <v/>
      </c>
      <c r="M480" s="6" t="n"/>
    </row>
    <row r="481">
      <c r="A481" s="34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precios'!$A$5:$W$54,23,FALSE),0))</f>
        <v/>
      </c>
      <c r="I481" s="27" t="n"/>
      <c r="J481" s="17">
        <f>G481*I481</f>
        <v/>
      </c>
      <c r="K481" s="17">
        <f>G481-H481-J481</f>
        <v/>
      </c>
      <c r="L481" s="32">
        <f>IF(G481&gt;0,K481/G481,"")</f>
        <v/>
      </c>
      <c r="M481" s="6" t="n"/>
    </row>
    <row r="482">
      <c r="A482" s="34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precios'!$A$5:$W$54,23,FALSE),0))</f>
        <v/>
      </c>
      <c r="I482" s="27" t="n"/>
      <c r="J482" s="17">
        <f>G482*I482</f>
        <v/>
      </c>
      <c r="K482" s="17">
        <f>G482-H482-J482</f>
        <v/>
      </c>
      <c r="L482" s="32">
        <f>IF(G482&gt;0,K482/G482,"")</f>
        <v/>
      </c>
      <c r="M482" s="6" t="n"/>
    </row>
    <row r="483">
      <c r="A483" s="34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precios'!$A$5:$W$54,23,FALSE),0))</f>
        <v/>
      </c>
      <c r="I483" s="27" t="n"/>
      <c r="J483" s="17">
        <f>G483*I483</f>
        <v/>
      </c>
      <c r="K483" s="17">
        <f>G483-H483-J483</f>
        <v/>
      </c>
      <c r="L483" s="32">
        <f>IF(G483&gt;0,K483/G483,"")</f>
        <v/>
      </c>
      <c r="M483" s="6" t="n"/>
    </row>
    <row r="484">
      <c r="A484" s="34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precios'!$A$5:$W$54,23,FALSE),0))</f>
        <v/>
      </c>
      <c r="I484" s="27" t="n"/>
      <c r="J484" s="17">
        <f>G484*I484</f>
        <v/>
      </c>
      <c r="K484" s="17">
        <f>G484-H484-J484</f>
        <v/>
      </c>
      <c r="L484" s="32">
        <f>IF(G484&gt;0,K484/G484,"")</f>
        <v/>
      </c>
      <c r="M484" s="6" t="n"/>
    </row>
    <row r="485">
      <c r="A485" s="34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precios'!$A$5:$W$54,23,FALSE),0))</f>
        <v/>
      </c>
      <c r="I485" s="27" t="n"/>
      <c r="J485" s="17">
        <f>G485*I485</f>
        <v/>
      </c>
      <c r="K485" s="17">
        <f>G485-H485-J485</f>
        <v/>
      </c>
      <c r="L485" s="32">
        <f>IF(G485&gt;0,K485/G485,"")</f>
        <v/>
      </c>
      <c r="M485" s="6" t="n"/>
    </row>
    <row r="486">
      <c r="A486" s="34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precios'!$A$5:$W$54,23,FALSE),0))</f>
        <v/>
      </c>
      <c r="I486" s="27" t="n"/>
      <c r="J486" s="17">
        <f>G486*I486</f>
        <v/>
      </c>
      <c r="K486" s="17">
        <f>G486-H486-J486</f>
        <v/>
      </c>
      <c r="L486" s="32">
        <f>IF(G486&gt;0,K486/G486,"")</f>
        <v/>
      </c>
      <c r="M486" s="6" t="n"/>
    </row>
    <row r="487">
      <c r="A487" s="34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precios'!$A$5:$W$54,23,FALSE),0))</f>
        <v/>
      </c>
      <c r="I487" s="27" t="n"/>
      <c r="J487" s="17">
        <f>G487*I487</f>
        <v/>
      </c>
      <c r="K487" s="17">
        <f>G487-H487-J487</f>
        <v/>
      </c>
      <c r="L487" s="32">
        <f>IF(G487&gt;0,K487/G487,"")</f>
        <v/>
      </c>
      <c r="M487" s="6" t="n"/>
    </row>
    <row r="488">
      <c r="A488" s="34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precios'!$A$5:$W$54,23,FALSE),0))</f>
        <v/>
      </c>
      <c r="I488" s="27" t="n"/>
      <c r="J488" s="17">
        <f>G488*I488</f>
        <v/>
      </c>
      <c r="K488" s="17">
        <f>G488-H488-J488</f>
        <v/>
      </c>
      <c r="L488" s="32">
        <f>IF(G488&gt;0,K488/G488,"")</f>
        <v/>
      </c>
      <c r="M488" s="6" t="n"/>
    </row>
    <row r="489">
      <c r="A489" s="34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precios'!$A$5:$W$54,23,FALSE),0))</f>
        <v/>
      </c>
      <c r="I489" s="27" t="n"/>
      <c r="J489" s="17">
        <f>G489*I489</f>
        <v/>
      </c>
      <c r="K489" s="17">
        <f>G489-H489-J489</f>
        <v/>
      </c>
      <c r="L489" s="32">
        <f>IF(G489&gt;0,K489/G489,"")</f>
        <v/>
      </c>
      <c r="M489" s="6" t="n"/>
    </row>
    <row r="490">
      <c r="A490" s="34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precios'!$A$5:$W$54,23,FALSE),0))</f>
        <v/>
      </c>
      <c r="I490" s="27" t="n"/>
      <c r="J490" s="17">
        <f>G490*I490</f>
        <v/>
      </c>
      <c r="K490" s="17">
        <f>G490-H490-J490</f>
        <v/>
      </c>
      <c r="L490" s="32">
        <f>IF(G490&gt;0,K490/G490,"")</f>
        <v/>
      </c>
      <c r="M490" s="6" t="n"/>
    </row>
    <row r="491">
      <c r="A491" s="34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precios'!$A$5:$W$54,23,FALSE),0))</f>
        <v/>
      </c>
      <c r="I491" s="27" t="n"/>
      <c r="J491" s="17">
        <f>G491*I491</f>
        <v/>
      </c>
      <c r="K491" s="17">
        <f>G491-H491-J491</f>
        <v/>
      </c>
      <c r="L491" s="32">
        <f>IF(G491&gt;0,K491/G491,"")</f>
        <v/>
      </c>
      <c r="M491" s="6" t="n"/>
    </row>
    <row r="492">
      <c r="A492" s="34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precios'!$A$5:$W$54,23,FALSE),0))</f>
        <v/>
      </c>
      <c r="I492" s="27" t="n"/>
      <c r="J492" s="17">
        <f>G492*I492</f>
        <v/>
      </c>
      <c r="K492" s="17">
        <f>G492-H492-J492</f>
        <v/>
      </c>
      <c r="L492" s="32">
        <f>IF(G492&gt;0,K492/G492,"")</f>
        <v/>
      </c>
      <c r="M492" s="6" t="n"/>
    </row>
    <row r="493">
      <c r="A493" s="34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precios'!$A$5:$W$54,23,FALSE),0))</f>
        <v/>
      </c>
      <c r="I493" s="27" t="n"/>
      <c r="J493" s="17">
        <f>G493*I493</f>
        <v/>
      </c>
      <c r="K493" s="17">
        <f>G493-H493-J493</f>
        <v/>
      </c>
      <c r="L493" s="32">
        <f>IF(G493&gt;0,K493/G493,"")</f>
        <v/>
      </c>
      <c r="M493" s="6" t="n"/>
    </row>
    <row r="494">
      <c r="A494" s="34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precios'!$A$5:$W$54,23,FALSE),0))</f>
        <v/>
      </c>
      <c r="I494" s="27" t="n"/>
      <c r="J494" s="17">
        <f>G494*I494</f>
        <v/>
      </c>
      <c r="K494" s="17">
        <f>G494-H494-J494</f>
        <v/>
      </c>
      <c r="L494" s="32">
        <f>IF(G494&gt;0,K494/G494,"")</f>
        <v/>
      </c>
      <c r="M494" s="6" t="n"/>
    </row>
    <row r="495">
      <c r="A495" s="34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precios'!$A$5:$W$54,23,FALSE),0))</f>
        <v/>
      </c>
      <c r="I495" s="27" t="n"/>
      <c r="J495" s="17">
        <f>G495*I495</f>
        <v/>
      </c>
      <c r="K495" s="17">
        <f>G495-H495-J495</f>
        <v/>
      </c>
      <c r="L495" s="32">
        <f>IF(G495&gt;0,K495/G495,"")</f>
        <v/>
      </c>
      <c r="M495" s="6" t="n"/>
    </row>
    <row r="496">
      <c r="A496" s="34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precios'!$A$5:$W$54,23,FALSE),0))</f>
        <v/>
      </c>
      <c r="I496" s="27" t="n"/>
      <c r="J496" s="17">
        <f>G496*I496</f>
        <v/>
      </c>
      <c r="K496" s="17">
        <f>G496-H496-J496</f>
        <v/>
      </c>
      <c r="L496" s="32">
        <f>IF(G496&gt;0,K496/G496,"")</f>
        <v/>
      </c>
      <c r="M496" s="6" t="n"/>
    </row>
    <row r="497">
      <c r="A497" s="34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precios'!$A$5:$W$54,23,FALSE),0))</f>
        <v/>
      </c>
      <c r="I497" s="27" t="n"/>
      <c r="J497" s="17">
        <f>G497*I497</f>
        <v/>
      </c>
      <c r="K497" s="17">
        <f>G497-H497-J497</f>
        <v/>
      </c>
      <c r="L497" s="32">
        <f>IF(G497&gt;0,K497/G497,"")</f>
        <v/>
      </c>
      <c r="M497" s="6" t="n"/>
    </row>
    <row r="498">
      <c r="A498" s="34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precios'!$A$5:$W$54,23,FALSE),0))</f>
        <v/>
      </c>
      <c r="I498" s="27" t="n"/>
      <c r="J498" s="17">
        <f>G498*I498</f>
        <v/>
      </c>
      <c r="K498" s="17">
        <f>G498-H498-J498</f>
        <v/>
      </c>
      <c r="L498" s="32">
        <f>IF(G498&gt;0,K498/G498,"")</f>
        <v/>
      </c>
      <c r="M498" s="6" t="n"/>
    </row>
    <row r="499">
      <c r="A499" s="34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precios'!$A$5:$W$54,23,FALSE),0))</f>
        <v/>
      </c>
      <c r="I499" s="27" t="n"/>
      <c r="J499" s="17">
        <f>G499*I499</f>
        <v/>
      </c>
      <c r="K499" s="17">
        <f>G499-H499-J499</f>
        <v/>
      </c>
      <c r="L499" s="32">
        <f>IF(G499&gt;0,K499/G499,"")</f>
        <v/>
      </c>
      <c r="M499" s="6" t="n"/>
    </row>
    <row r="500">
      <c r="A500" s="34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precios'!$A$5:$W$54,23,FALSE),0))</f>
        <v/>
      </c>
      <c r="I500" s="27" t="n"/>
      <c r="J500" s="17">
        <f>G500*I500</f>
        <v/>
      </c>
      <c r="K500" s="17">
        <f>G500-H500-J500</f>
        <v/>
      </c>
      <c r="L500" s="32">
        <f>IF(G500&gt;0,K500/G500,"")</f>
        <v/>
      </c>
      <c r="M500" s="6" t="n"/>
    </row>
    <row r="501">
      <c r="A501" s="34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precios'!$A$5:$W$54,23,FALSE),0))</f>
        <v/>
      </c>
      <c r="I501" s="27" t="n"/>
      <c r="J501" s="17">
        <f>G501*I501</f>
        <v/>
      </c>
      <c r="K501" s="17">
        <f>G501-H501-J501</f>
        <v/>
      </c>
      <c r="L501" s="32">
        <f>IF(G501&gt;0,K501/G501,"")</f>
        <v/>
      </c>
      <c r="M501" s="6" t="n"/>
    </row>
    <row r="502">
      <c r="A502" s="34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precios'!$A$5:$W$54,23,FALSE),0))</f>
        <v/>
      </c>
      <c r="I502" s="27" t="n"/>
      <c r="J502" s="17">
        <f>G502*I502</f>
        <v/>
      </c>
      <c r="K502" s="17">
        <f>G502-H502-J502</f>
        <v/>
      </c>
      <c r="L502" s="32">
        <f>IF(G502&gt;0,K502/G502,"")</f>
        <v/>
      </c>
      <c r="M502" s="6" t="n"/>
    </row>
    <row r="503">
      <c r="A503" s="34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precios'!$A$5:$W$54,23,FALSE),0))</f>
        <v/>
      </c>
      <c r="I503" s="27" t="n"/>
      <c r="J503" s="17">
        <f>G503*I503</f>
        <v/>
      </c>
      <c r="K503" s="17">
        <f>G503-H503-J503</f>
        <v/>
      </c>
      <c r="L503" s="32">
        <f>IF(G503&gt;0,K503/G503,"")</f>
        <v/>
      </c>
      <c r="M503" s="6" t="n"/>
    </row>
    <row r="504">
      <c r="A504" s="34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precios'!$A$5:$W$54,23,FALSE),0))</f>
        <v/>
      </c>
      <c r="I504" s="27" t="n"/>
      <c r="J504" s="17">
        <f>G504*I504</f>
        <v/>
      </c>
      <c r="K504" s="17">
        <f>G504-H504-J504</f>
        <v/>
      </c>
      <c r="L504" s="32">
        <f>IF(G504&gt;0,K504/G504,"")</f>
        <v/>
      </c>
      <c r="M504" s="6" t="n"/>
    </row>
    <row r="506">
      <c r="C506" s="7" t="inlineStr">
        <is>
          <t>El precio unitario es por PIEZA, no por bolsa. La fila de ejemplo son 24 bolsas de 100 g de la Fórmula 01: 960 piezas a $3.00 cada una, que es la bolsa a $120. Si vendes por bolsa, captura las piezas (bolsas x piezas por bolsa) y el precio por pieza (precio de la bolsa / piezas por bolsa).</t>
        </is>
      </c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"Mostrador y venta directa,Evento, regalo y corporativo,Marca propia y tienda en línea,Mayoreo a tiendas y distribución"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5" t="inlineStr">
        <is>
          <t>Canal</t>
        </is>
      </c>
      <c r="F3" s="35" t="inlineStr">
        <is>
          <t>Ingreso</t>
        </is>
      </c>
      <c r="G3" s="35" t="inlineStr">
        <is>
          <t>Piezas</t>
        </is>
      </c>
    </row>
    <row r="4">
      <c r="B4" s="9" t="inlineStr">
        <is>
          <t>Ingreso acumulado</t>
        </is>
      </c>
      <c r="C4" s="36">
        <f>SUM(Ventas!G5:G504)</f>
        <v/>
      </c>
      <c r="E4" t="inlineStr">
        <is>
          <t>Mostrador y venta directa</t>
        </is>
      </c>
      <c r="F4" s="37">
        <f>SUMIF(Ventas!$D$5:$D$504,E4,Ventas!$G$5:$G$504)</f>
        <v/>
      </c>
      <c r="G4" s="31">
        <f>SUMIF(Ventas!$D$5:$D$504,E4,Ventas!$E$5:$E$504)</f>
        <v/>
      </c>
    </row>
    <row r="5">
      <c r="B5" s="9" t="inlineStr">
        <is>
          <t>Piezas vendidos</t>
        </is>
      </c>
      <c r="C5" s="38">
        <f>SUM(Ventas!E5:E504)</f>
        <v/>
      </c>
      <c r="E5" t="inlineStr">
        <is>
          <t>Evento, regalo y corporativo</t>
        </is>
      </c>
      <c r="F5" s="37">
        <f>SUMIF(Ventas!$D$5:$D$504,E5,Ventas!$G$5:$G$504)</f>
        <v/>
      </c>
      <c r="G5" s="31">
        <f>SUMIF(Ventas!$D$5:$D$504,E5,Ventas!$E$5:$E$504)</f>
        <v/>
      </c>
    </row>
    <row r="6">
      <c r="B6" s="9" t="inlineStr">
        <is>
          <t>Costo de lo vendido</t>
        </is>
      </c>
      <c r="C6" s="36">
        <f>SUM(Ventas!H5:H504)</f>
        <v/>
      </c>
      <c r="E6" t="inlineStr">
        <is>
          <t>Marca propia y tienda en línea</t>
        </is>
      </c>
      <c r="F6" s="37">
        <f>SUMIF(Ventas!$D$5:$D$504,E6,Ventas!$G$5:$G$504)</f>
        <v/>
      </c>
      <c r="G6" s="31">
        <f>SUMIF(Ventas!$D$5:$D$504,E6,Ventas!$E$5:$E$504)</f>
        <v/>
      </c>
    </row>
    <row r="7">
      <c r="B7" s="9" t="inlineStr">
        <is>
          <t>Comisiones</t>
        </is>
      </c>
      <c r="C7" s="36">
        <f>SUM(Ventas!J5:J504)</f>
        <v/>
      </c>
      <c r="E7" t="inlineStr">
        <is>
          <t>Mayoreo a tiendas y distribución</t>
        </is>
      </c>
      <c r="F7" s="37">
        <f>SUMIF(Ventas!$D$5:$D$504,E7,Ventas!$G$5:$G$504)</f>
        <v/>
      </c>
      <c r="G7" s="31">
        <f>SUMIF(Ventas!$D$5:$D$504,E7,Ventas!$E$5:$E$504)</f>
        <v/>
      </c>
    </row>
    <row r="8">
      <c r="B8" s="9" t="inlineStr">
        <is>
          <t>Utilidad neta (antes de gastos fijos)</t>
        </is>
      </c>
      <c r="C8" s="36">
        <f>SUM(Ventas!K5:K504)</f>
        <v/>
      </c>
    </row>
    <row r="9">
      <c r="B9" s="9" t="inlineStr">
        <is>
          <t>Margen neto</t>
        </is>
      </c>
      <c r="C9" s="39">
        <f>IFERROR(C8/C4,0)</f>
        <v/>
      </c>
    </row>
    <row r="10">
      <c r="B10" s="9" t="inlineStr">
        <is>
          <t>Utilidad después de gastos fijos</t>
        </is>
      </c>
      <c r="C10" s="36">
        <f>C8-'Mi negocio'!C17</f>
        <v/>
      </c>
    </row>
    <row r="11">
      <c r="B11" s="18" t="inlineStr">
        <is>
          <t>Producción y merma</t>
        </is>
      </c>
      <c r="E11" s="35" t="inlineStr">
        <is>
          <t>Preparación base</t>
        </is>
      </c>
      <c r="F11" s="35" t="inlineStr">
        <is>
          <t>Costo del lote</t>
        </is>
      </c>
      <c r="G11" s="35" t="inlineStr">
        <is>
          <t>Costo unitario</t>
        </is>
      </c>
    </row>
    <row r="12">
      <c r="B12" s="9" t="inlineStr">
        <is>
          <t>Piezas buenos producidos</t>
        </is>
      </c>
      <c r="C12" s="38">
        <f>SUM(Producción!F5:F304)</f>
        <v/>
      </c>
      <c r="E12" t="inlineStr">
        <is>
          <t>B-1 · Solución de ácido cítrico al 50% p/v (el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Piezas fallados</t>
        </is>
      </c>
      <c r="C13" s="38">
        <f>SUM(Producción!G5:G304)</f>
        <v/>
      </c>
      <c r="E13" t="inlineStr">
        <is>
          <t>B-2 · Agente de brillo de carnauba en MCT (ela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9">
        <f>IFERROR(C13/(C12+C13),0)</f>
        <v/>
      </c>
    </row>
    <row r="15">
      <c r="B15" s="9" t="inlineStr">
        <is>
          <t>Merma supuesta</t>
        </is>
      </c>
      <c r="C15" s="39">
        <f>'Mi negocio'!$C$24</f>
        <v/>
      </c>
    </row>
    <row r="16">
      <c r="B16" s="9" t="inlineStr">
        <is>
          <t>Dinero perdido en merma</t>
        </is>
      </c>
      <c r="C16" s="36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mediano · Mostrador y venta directa</t>
        </is>
      </c>
      <c r="C18" s="40">
        <f>MEDIAN('Recetas y precios'!$Z$5:$Z$54)</f>
        <v/>
      </c>
    </row>
    <row r="19">
      <c r="B19" s="9" t="inlineStr">
        <is>
          <t>Costo total mediano (recetario)</t>
        </is>
      </c>
      <c r="C19" s="40">
        <f>MEDIAN('Recetas y precios'!$W$5:$W$54)</f>
        <v/>
      </c>
    </row>
    <row r="20">
      <c r="B20" s="9" t="inlineStr">
        <is>
          <t>Margen de contribución mediano</t>
        </is>
      </c>
      <c r="C20" s="40">
        <f>C18-C19</f>
        <v/>
      </c>
    </row>
    <row r="21">
      <c r="B21" s="9" t="inlineStr">
        <is>
          <t>Margen de contribución real de tus ventas</t>
        </is>
      </c>
      <c r="C21" s="40">
        <f>IFERROR((C4-C6-C7)/C5,0)</f>
        <v/>
      </c>
      <c r="D21" s="41" t="inlineStr">
        <is>
          <t>←</t>
        </is>
      </c>
      <c r="E21" s="7" t="inlineStr">
        <is>
          <t>En cuanto registres ventas reales, el equilibrio usa tu margen real, no la mediana del recetario.</t>
        </is>
      </c>
    </row>
    <row r="22">
      <c r="B22" s="9" t="inlineStr">
        <is>
          <t>Gastos fijos del mes</t>
        </is>
      </c>
      <c r="C22" s="36">
        <f>'Mi negocio'!C17</f>
        <v/>
      </c>
    </row>
    <row r="23">
      <c r="B23" s="9" t="inlineStr">
        <is>
          <t>PUNTO DE EQUILIBRIO (piezas al mes)</t>
        </is>
      </c>
      <c r="C23" s="42">
        <f>IFERROR(ROUNDUP(C22/IF(C21&gt;0,C21,C20),0),0)</f>
        <v/>
      </c>
    </row>
    <row r="24">
      <c r="B24" s="9" t="inlineStr">
        <is>
          <t>Avance contra el punto de equilibrio</t>
        </is>
      </c>
      <c r="C24" s="39">
        <f>IFERROR(C5/C23,0)</f>
        <v/>
      </c>
    </row>
    <row r="28">
      <c r="B28" s="43" t="inlineStr">
        <is>
          <t>Endulcora · Estudio Gastronómico · En colaboración con Levent · Gomas y Gomitas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2026-10-06T00:21:47Z</dcterms:created>
  <dcterms:modified xmlns:dcterms="http://purl.org/dc/terms/" xmlns:xsi="http://www.w3.org/2001/XMLSchema-instance" xsi:type="dcterms:W3CDTF">2026-10-06T00:21:47Z</dcterms:modified>
</cp:coreProperties>
</file>