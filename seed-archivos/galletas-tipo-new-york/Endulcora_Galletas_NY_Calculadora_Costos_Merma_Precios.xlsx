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PANEL" sheetId="2" state="visible" r:id="rId4"/>
    <sheet name="1. INSUMOS" sheetId="3" state="visible" r:id="rId5"/>
    <sheet name="2. RECETAS" sheetId="4" state="visible" r:id="rId6"/>
    <sheet name="3. COSTEO" sheetId="5" state="visible" r:id="rId7"/>
    <sheet name="4. PRODUCCIÓN" sheetId="6" state="visible" r:id="rId8"/>
    <sheet name="5. COMPRAS" sheetId="7" state="visible" r:id="rId9"/>
    <sheet name="6. VENTAS" sheetId="8" state="visible" r:id="rId10"/>
    <sheet name="7. RENTABILIDAD" sheetId="9" state="visible" r:id="rId11"/>
    <sheet name="LISTAS" sheetId="10" state="hidden" r:id="rId12"/>
  </sheets>
  <definedNames>
    <definedName function="false" hidden="false" localSheetId="2" name="_xlnm.Print_Titles" vbProcedure="false">'1. INSUMOS'!$7:$7</definedName>
    <definedName function="false" hidden="true" localSheetId="2" name="_xlnm._FilterDatabase" vbProcedure="false">'1. INSUMOS'!$A$7:$I$98</definedName>
    <definedName function="false" hidden="false" localSheetId="3" name="_xlnm.Print_Titles" vbProcedure="false">'2. RECETAS'!$7:$7</definedName>
    <definedName function="false" hidden="true" localSheetId="3" name="_xlnm._FilterDatabase" vbProcedure="false">'2. RECETAS'!$A$7:$K$557</definedName>
    <definedName function="false" hidden="false" localSheetId="4" name="_xlnm.Print_Titles" vbProcedure="false">'3. COSTEO'!$7:$7</definedName>
    <definedName function="false" hidden="true" localSheetId="4" name="_xlnm._FilterDatabase" vbProcedure="false">'3. COSTEO'!$A$7:$T$57</definedName>
    <definedName function="false" hidden="false" localSheetId="6" name="_xlnm.Print_Titles" vbProcedure="false">'5. COMPRAS'!$7:$7</definedName>
    <definedName function="false" hidden="true" localSheetId="6" name="_xlnm._FilterDatabase" vbProcedure="false">'5. COMPRAS'!$A$7:$I$98</definedName>
    <definedName function="false" hidden="false" localSheetId="7" name="_xlnm.Print_Titles" vbProcedure="false">'6. VENTAS'!$14:$14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<sst xmlns="http://schemas.openxmlformats.org/spreadsheetml/2006/main" count="3741" uniqueCount="605">
  <si>
    <t xml:space="preserve">ENDULCORA · ESTUDIO GASTRONÓMICO</t>
  </si>
  <si>
    <t xml:space="preserve">Sistema de Costeo y Producción</t>
  </si>
  <si>
    <t xml:space="preserve">Herramienta complementaria del eBook «Galletas Estilo Nueva York» · Colección Oficios Dulces de Endulcora · Volumen II</t>
  </si>
  <si>
    <t xml:space="preserve">¿QUÉ HACE ESTE ARCHIVO?</t>
  </si>
  <si>
    <t xml:space="preserve">Calcula automáticamente el costo real, el precio de venta y la utilidad de las 50 recetas del libro. Solo cambias los precios de tus ingredientes y TODO el sistema se actualiza solo: las 50 recetas, la lista de compras, el plan de producción y tu punto de equilibrio.</t>
  </si>
  <si>
    <t xml:space="preserve">CÓMO USARLO EN 5 PASOS</t>
  </si>
  <si>
    <t xml:space="preserve">PASO 1 · Hoja «1. INSUMOS»</t>
  </si>
  <si>
    <t xml:space="preserve">Actualiza el precio de compra y la presentación de cada ingrediente con TUS precios reales. Es lo único obligatorio.</t>
  </si>
  <si>
    <t xml:space="preserve">PASO 2 · Hoja «PANEL»</t>
  </si>
  <si>
    <t xml:space="preserve">Define tus parámetros: empaque, energía, tu costo por hora, merma, gastos fijos y los márgenes que quieres ganar.</t>
  </si>
  <si>
    <t xml:space="preserve">PASO 3 · Hoja «3. COSTEO»</t>
  </si>
  <si>
    <t xml:space="preserve">Consulta el costo y el precio sugerido de las 50 recetas, ya calculados. No escribas nada aquí: todo es automático.</t>
  </si>
  <si>
    <t xml:space="preserve">PASO 4 · Hoja «4. PRODUCCIÓN»</t>
  </si>
  <si>
    <t xml:space="preserve">Elige qué recetas vas a hornear y cuántos lotes. La hoja «5. COMPRAS» arma sola tu lista de mercado con cantidades y costo.</t>
  </si>
  <si>
    <t xml:space="preserve">PASO 5 · Hojas «6. VENTAS» y «7. RENTABILIDAD»</t>
  </si>
  <si>
    <t xml:space="preserve">Registra cada venta y mira tu utilidad real; después revisa cuántas piezas necesitas vender al mes para no perder dinero.</t>
  </si>
  <si>
    <t xml:space="preserve">CÓDIGO DE COLORES</t>
  </si>
  <si>
    <t xml:space="preserve">Celda amarilla, texto azul</t>
  </si>
  <si>
    <t xml:space="preserve">Tú escribes aquí. Son los únicos datos que debes capturar.</t>
  </si>
  <si>
    <t xml:space="preserve">Texto negro</t>
  </si>
  <si>
    <t xml:space="preserve">Fórmula automática. No la borres ni la sobreescribas.</t>
  </si>
  <si>
    <t xml:space="preserve">Texto verde</t>
  </si>
  <si>
    <t xml:space="preserve">Dato que viene de otra hoja (normalmente del PANEL). Puedes sobreescribirlo si esa receta es una excepción.</t>
  </si>
  <si>
    <t xml:space="preserve">Fondo morado</t>
  </si>
  <si>
    <t xml:space="preserve">Encabezado de tabla.</t>
  </si>
  <si>
    <t xml:space="preserve">IMPORTANTE SOBRE LOS PRECIOS PRECARGADOS</t>
  </si>
  <si>
    <t xml:space="preserve">Los precios de la hoja «1. INSUMOS» son ESTIMACIONES de referencia de mercado en Ciudad de México cargadas para que el archivo funcione desde el primer minuto. NO son cotizaciones: sustitúyelos por tus precios reales de proveedor antes de fijar precios de venta. Las 50 recetas y sus gramajes provienen textualmente del recetario maestro del eBook.</t>
  </si>
  <si>
    <t xml:space="preserve">Endulcora · Estudio Gastronómico  |  Chef y creador de recetas: Luis Alfonso Jiménez Cárdenas  |  Editor y creador de contenido: Manuel Ramiro Justo Guzmán  |  Contacto y talleres: 5665271901</t>
  </si>
  <si>
    <t xml:space="preserve">Panel de control</t>
  </si>
  <si>
    <t xml:space="preserve">Cambia aquí tus parámetros de negocio: todas las hojas se recalculan solas.</t>
  </si>
  <si>
    <t xml:space="preserve">① PARÁMETROS GLOBALES</t>
  </si>
  <si>
    <t xml:space="preserve">② CALCULADORA RÁPIDA DE UNA RECETA</t>
  </si>
  <si>
    <t xml:space="preserve">Costo de empaque por pieza (caja, base, etiqueta)</t>
  </si>
  <si>
    <t xml:space="preserve">Elige una receta ▼</t>
  </si>
  <si>
    <t xml:space="preserve">Galleta de Chispas de Chocolate Semiamargo con Sal de Mar</t>
  </si>
  <si>
    <t xml:space="preserve">Energía por pieza (prorrateo de horno)</t>
  </si>
  <si>
    <t xml:space="preserve">Tu costo de mano de obra por hora</t>
  </si>
  <si>
    <t xml:space="preserve">Receta N.º</t>
  </si>
  <si>
    <t xml:space="preserve">Piezas que produces por hora</t>
  </si>
  <si>
    <t xml:space="preserve">Línea del recetario</t>
  </si>
  <si>
    <t xml:space="preserve">→ Mano de obra por pieza</t>
  </si>
  <si>
    <t xml:space="preserve">Rendimiento (piezas por lote)</t>
  </si>
  <si>
    <t xml:space="preserve">% de merma (piezas falladas y desperdicio)</t>
  </si>
  <si>
    <t xml:space="preserve">Costo de insumos del lote completo</t>
  </si>
  <si>
    <t xml:space="preserve">Gastos fijos del mes (renta, luz, limpieza, equipo)</t>
  </si>
  <si>
    <t xml:space="preserve">Costo de insumos por pieza</t>
  </si>
  <si>
    <t xml:space="preserve">Piezas que produces al mes</t>
  </si>
  <si>
    <t xml:space="preserve">+ Empaque</t>
  </si>
  <si>
    <t xml:space="preserve">→ Overhead por pieza</t>
  </si>
  <si>
    <t xml:space="preserve">+ Energía</t>
  </si>
  <si>
    <t xml:space="preserve">Margen deseado en MENUDEO</t>
  </si>
  <si>
    <t xml:space="preserve">+ Mano de obra</t>
  </si>
  <si>
    <t xml:space="preserve">Margen deseado en MAYOREO</t>
  </si>
  <si>
    <t xml:space="preserve">+ Merma</t>
  </si>
  <si>
    <t xml:space="preserve">Redondear precios al múltiplo de</t>
  </si>
  <si>
    <t xml:space="preserve">+ Overhead</t>
  </si>
  <si>
    <t xml:space="preserve">IVA (solo si facturas)</t>
  </si>
  <si>
    <t xml:space="preserve">◆ COSTO TOTAL POR PIEZA</t>
  </si>
  <si>
    <t xml:space="preserve">PRECIO SUGERIDO MENUDEO</t>
  </si>
  <si>
    <t xml:space="preserve">Utilidad por pieza (menudeo)</t>
  </si>
  <si>
    <t xml:space="preserve">④ RESUMEN DEL RECETARIO</t>
  </si>
  <si>
    <t xml:space="preserve">Margen real que obtienes</t>
  </si>
  <si>
    <t xml:space="preserve">Recetas cargadas</t>
  </si>
  <si>
    <t xml:space="preserve">PRECIO SUGERIDO MAYOREO</t>
  </si>
  <si>
    <t xml:space="preserve">Costo promedio por pieza</t>
  </si>
  <si>
    <t xml:space="preserve">Utilidad por pieza (mayoreo)</t>
  </si>
  <si>
    <t xml:space="preserve">Precio menudeo promedio</t>
  </si>
  <si>
    <t xml:space="preserve">Precio menudeo con IVA</t>
  </si>
  <si>
    <t xml:space="preserve">Utilidad promedio por pieza</t>
  </si>
  <si>
    <t xml:space="preserve">Receta más económica</t>
  </si>
  <si>
    <t xml:space="preserve">③ FICHA TÉCNICA DE LA RECETA SELECCIONADA</t>
  </si>
  <si>
    <t xml:space="preserve">Receta más costosa</t>
  </si>
  <si>
    <t xml:space="preserve">Dificultad</t>
  </si>
  <si>
    <t xml:space="preserve">Temperatura de horneado</t>
  </si>
  <si>
    <t xml:space="preserve">Tiempo de horneado</t>
  </si>
  <si>
    <t xml:space="preserve">Reposo de masa</t>
  </si>
  <si>
    <t xml:space="preserve">Nota: el costo se calcula como Insumos + Empaque + Energía + Mano de obra + Merma + Overhead, tal como se explica en el Capítulo 10 del eBook.</t>
  </si>
  <si>
    <t xml:space="preserve">1 · Catálogo de insumos</t>
  </si>
  <si>
    <t xml:space="preserve">Actualiza SOLO las columnas amarillas con tus precios reales. El costo por gramo se calcula solo.</t>
  </si>
  <si>
    <t xml:space="preserve">#</t>
  </si>
  <si>
    <t xml:space="preserve">Insumo</t>
  </si>
  <si>
    <t xml:space="preserve">Categoría</t>
  </si>
  <si>
    <t xml:space="preserve">Unidad</t>
  </si>
  <si>
    <t xml:space="preserve">Presentación de compra</t>
  </si>
  <si>
    <t xml:space="preserve">Cantidad que trae</t>
  </si>
  <si>
    <t xml:space="preserve">Precio de compra</t>
  </si>
  <si>
    <t xml:space="preserve">Costo por unidad</t>
  </si>
  <si>
    <t xml:space="preserve">Proveedor / notas</t>
  </si>
  <si>
    <t xml:space="preserve">Mantequilla sin sal</t>
  </si>
  <si>
    <t xml:space="preserve">Lácteos y grasas</t>
  </si>
  <si>
    <t xml:space="preserve">g</t>
  </si>
  <si>
    <t xml:space="preserve">Barra/bloque 1 kg</t>
  </si>
  <si>
    <t xml:space="preserve">Queso crema (bloque firme)</t>
  </si>
  <si>
    <t xml:space="preserve">Bloque 1 kg</t>
  </si>
  <si>
    <t xml:space="preserve">Queso mascarpone</t>
  </si>
  <si>
    <t xml:space="preserve">Tarro 500 g</t>
  </si>
  <si>
    <t xml:space="preserve">Queso azul</t>
  </si>
  <si>
    <t xml:space="preserve">Cuña 250 g</t>
  </si>
  <si>
    <t xml:space="preserve">Leche condensada</t>
  </si>
  <si>
    <t xml:space="preserve">Lata 397 g</t>
  </si>
  <si>
    <t xml:space="preserve">Aceite de oliva extra virgen</t>
  </si>
  <si>
    <t xml:space="preserve">ml</t>
  </si>
  <si>
    <t xml:space="preserve">Botella 500 ml</t>
  </si>
  <si>
    <t xml:space="preserve">Aceite de trufa negra</t>
  </si>
  <si>
    <t xml:space="preserve">Botella 50 ml</t>
  </si>
  <si>
    <t xml:space="preserve">Azúcar refinada</t>
  </si>
  <si>
    <t xml:space="preserve">Azúcares</t>
  </si>
  <si>
    <t xml:space="preserve">Bolsa 1 kg</t>
  </si>
  <si>
    <t xml:space="preserve">Azúcar mascabado</t>
  </si>
  <si>
    <t xml:space="preserve">Azúcar mascabado oscuro</t>
  </si>
  <si>
    <t xml:space="preserve">Azúcar glass</t>
  </si>
  <si>
    <t xml:space="preserve">Bolsa 500 g</t>
  </si>
  <si>
    <t xml:space="preserve">Piloncillo</t>
  </si>
  <si>
    <t xml:space="preserve">Conos 1 kg</t>
  </si>
  <si>
    <t xml:space="preserve">Melaza</t>
  </si>
  <si>
    <t xml:space="preserve">Botella 500 g</t>
  </si>
  <si>
    <t xml:space="preserve">Cajeta horneable / dulce de leche</t>
  </si>
  <si>
    <t xml:space="preserve">Frasco 640 g</t>
  </si>
  <si>
    <t xml:space="preserve">Chunks de caramelo firme</t>
  </si>
  <si>
    <t xml:space="preserve">Caramelos de menta</t>
  </si>
  <si>
    <t xml:space="preserve">Bolsa 200 g</t>
  </si>
  <si>
    <t xml:space="preserve">Mini malvaviscos</t>
  </si>
  <si>
    <t xml:space="preserve">Bolsa 250 g</t>
  </si>
  <si>
    <t xml:space="preserve">Chamoy espeso</t>
  </si>
  <si>
    <t xml:space="preserve">Mermelada de frambuesa</t>
  </si>
  <si>
    <t xml:space="preserve">Frasco 300 g</t>
  </si>
  <si>
    <t xml:space="preserve">Harina de trigo</t>
  </si>
  <si>
    <t xml:space="preserve">Harinas y secos</t>
  </si>
  <si>
    <t xml:space="preserve">Harina de maíz nixtamalizada</t>
  </si>
  <si>
    <t xml:space="preserve">Harina de avellana</t>
  </si>
  <si>
    <t xml:space="preserve">Fécula de maíz (maicena)</t>
  </si>
  <si>
    <t xml:space="preserve">Caja 400 g</t>
  </si>
  <si>
    <t xml:space="preserve">Avena en hojuelas</t>
  </si>
  <si>
    <t xml:space="preserve">Bicarbonato de sodio</t>
  </si>
  <si>
    <t xml:space="preserve">Bote 200 g</t>
  </si>
  <si>
    <t xml:space="preserve">Cremor tártaro</t>
  </si>
  <si>
    <t xml:space="preserve">Frasco 50 g</t>
  </si>
  <si>
    <t xml:space="preserve">Galletas Lotus Biscoff</t>
  </si>
  <si>
    <t xml:space="preserve">Paquete 250 g</t>
  </si>
  <si>
    <t xml:space="preserve">Galletas María / Graham</t>
  </si>
  <si>
    <t xml:space="preserve">Paquete 170 g</t>
  </si>
  <si>
    <t xml:space="preserve">Pretzels salados</t>
  </si>
  <si>
    <t xml:space="preserve">Huevo entero (aprox. 50 g)</t>
  </si>
  <si>
    <t xml:space="preserve">Huevo</t>
  </si>
  <si>
    <t xml:space="preserve">pza</t>
  </si>
  <si>
    <t xml:space="preserve">Cartón 30 pzas</t>
  </si>
  <si>
    <t xml:space="preserve">Chocolate semiamargo 54% (chunks)</t>
  </si>
  <si>
    <t xml:space="preserve">Chocolatería</t>
  </si>
  <si>
    <t xml:space="preserve">Chocolate amargo 70% (chunks)</t>
  </si>
  <si>
    <t xml:space="preserve">Chocolate blanco (chunks)</t>
  </si>
  <si>
    <t xml:space="preserve">Chocolate con leche (chunks)</t>
  </si>
  <si>
    <t xml:space="preserve">Chocolate rubí (chunks)</t>
  </si>
  <si>
    <t xml:space="preserve">Chocolate blanco caramelizado (Gold)</t>
  </si>
  <si>
    <t xml:space="preserve">Chocolate con leche y avellana (Kinder)</t>
  </si>
  <si>
    <t xml:space="preserve">Barras 200 g</t>
  </si>
  <si>
    <t xml:space="preserve">Chispas de chocolate semiamargo</t>
  </si>
  <si>
    <t xml:space="preserve">Chispas de chocolate blanco</t>
  </si>
  <si>
    <t xml:space="preserve">Chispas de chocolate con leche</t>
  </si>
  <si>
    <t xml:space="preserve">Chispas de colores</t>
  </si>
  <si>
    <t xml:space="preserve">Cacao en polvo alcalino</t>
  </si>
  <si>
    <t xml:space="preserve">Cacao en polvo natural</t>
  </si>
  <si>
    <t xml:space="preserve">Crema de cacao y avellana (tipo Nutella)</t>
  </si>
  <si>
    <t xml:space="preserve">Frasco 780 g</t>
  </si>
  <si>
    <t xml:space="preserve">Crema de avellana blanca</t>
  </si>
  <si>
    <t xml:space="preserve">Frasco 350 g</t>
  </si>
  <si>
    <t xml:space="preserve">Crema de galleta Biscoff</t>
  </si>
  <si>
    <t xml:space="preserve">Frasco 400 g</t>
  </si>
  <si>
    <t xml:space="preserve">Crema de cacahuate</t>
  </si>
  <si>
    <t xml:space="preserve">Frasco 500 g</t>
  </si>
  <si>
    <t xml:space="preserve">Nuez pecana</t>
  </si>
  <si>
    <t xml:space="preserve">Frutos secos</t>
  </si>
  <si>
    <t xml:space="preserve">Nuez pecana caramelizada</t>
  </si>
  <si>
    <t xml:space="preserve">Nuez de Castilla</t>
  </si>
  <si>
    <t xml:space="preserve">Nuez macadamia</t>
  </si>
  <si>
    <t xml:space="preserve">Almendra Marcona</t>
  </si>
  <si>
    <t xml:space="preserve">Avellana tostada</t>
  </si>
  <si>
    <t xml:space="preserve">Pistache pelado</t>
  </si>
  <si>
    <t xml:space="preserve">Cacahuate tostado</t>
  </si>
  <si>
    <t xml:space="preserve">Ajonjolí (blanco y negro)</t>
  </si>
  <si>
    <t xml:space="preserve">Coco rallado seco</t>
  </si>
  <si>
    <t xml:space="preserve">Pasta pura de pistache</t>
  </si>
  <si>
    <t xml:space="preserve">Frasco 200 g</t>
  </si>
  <si>
    <t xml:space="preserve">Pasas rubias</t>
  </si>
  <si>
    <t xml:space="preserve">Frutas</t>
  </si>
  <si>
    <t xml:space="preserve">Pasas negras</t>
  </si>
  <si>
    <t xml:space="preserve">Frambuesa liofilizada</t>
  </si>
  <si>
    <t xml:space="preserve">Bolsa 100 g</t>
  </si>
  <si>
    <t xml:space="preserve">Fresa liofilizada</t>
  </si>
  <si>
    <t xml:space="preserve">Mango deshidratado</t>
  </si>
  <si>
    <t xml:space="preserve">Piña deshidratada</t>
  </si>
  <si>
    <t xml:space="preserve">Manzana deshidratada</t>
  </si>
  <si>
    <t xml:space="preserve">Higo deshidratado</t>
  </si>
  <si>
    <t xml:space="preserve">Plátano maduro</t>
  </si>
  <si>
    <t xml:space="preserve">1 kg</t>
  </si>
  <si>
    <t xml:space="preserve">Zanahoria</t>
  </si>
  <si>
    <t xml:space="preserve">Sal fina</t>
  </si>
  <si>
    <t xml:space="preserve">Especias y aromas</t>
  </si>
  <si>
    <t xml:space="preserve">Sal de mar en escamas</t>
  </si>
  <si>
    <t xml:space="preserve">Frasco 250 g</t>
  </si>
  <si>
    <t xml:space="preserve">Sal ahumada</t>
  </si>
  <si>
    <t xml:space="preserve">Frasco 100 g</t>
  </si>
  <si>
    <t xml:space="preserve">Canela en polvo</t>
  </si>
  <si>
    <t xml:space="preserve">Jengibre en polvo</t>
  </si>
  <si>
    <t xml:space="preserve">Clavo molido</t>
  </si>
  <si>
    <t xml:space="preserve">Nuez moscada</t>
  </si>
  <si>
    <t xml:space="preserve">Anís estrella en polvo</t>
  </si>
  <si>
    <t xml:space="preserve">Chile ancho seco</t>
  </si>
  <si>
    <t xml:space="preserve">Chile de árbol molido</t>
  </si>
  <si>
    <t xml:space="preserve">Lavanda culinaria</t>
  </si>
  <si>
    <t xml:space="preserve">Bolsa 50 g</t>
  </si>
  <si>
    <t xml:space="preserve">Té matcha culinario</t>
  </si>
  <si>
    <t xml:space="preserve">Lata 100 g</t>
  </si>
  <si>
    <t xml:space="preserve">Té Earl Grey en hojas</t>
  </si>
  <si>
    <t xml:space="preserve">Romero fresco</t>
  </si>
  <si>
    <t xml:space="preserve">Manojo 50 g</t>
  </si>
  <si>
    <t xml:space="preserve">Puré de ajo negro</t>
  </si>
  <si>
    <t xml:space="preserve">Pasta de miso blanco</t>
  </si>
  <si>
    <t xml:space="preserve">Extracto de vainilla</t>
  </si>
  <si>
    <t xml:space="preserve">Botella 250 ml</t>
  </si>
  <si>
    <t xml:space="preserve">Extracto de café</t>
  </si>
  <si>
    <t xml:space="preserve">Botella 120 ml</t>
  </si>
  <si>
    <t xml:space="preserve">Extracto de coco</t>
  </si>
  <si>
    <t xml:space="preserve">Esencia de azahar</t>
  </si>
  <si>
    <t xml:space="preserve">Colorante en gel</t>
  </si>
  <si>
    <t xml:space="preserve">Frasco 30 ml</t>
  </si>
  <si>
    <t xml:space="preserve">Vinagre blanco</t>
  </si>
  <si>
    <t xml:space="preserve">Jugo de yuzu</t>
  </si>
  <si>
    <t xml:space="preserve">Botella 100 ml</t>
  </si>
  <si>
    <t xml:space="preserve">Los precios cargados son estimaciones de referencia de mercado (CDMX) para que el archivo funcione de inmediato; NO son cotizaciones. Sustitúyelos por tus precios de proveedor.</t>
  </si>
  <si>
    <t xml:space="preserve">2 · Recetario maestro desglosado</t>
  </si>
  <si>
    <t xml:space="preserve">Las 50 fórmulas del eBook con sus gramajes exactos. Hoja automática: no necesitas escribir nada aquí.</t>
  </si>
  <si>
    <t xml:space="preserve"># Receta</t>
  </si>
  <si>
    <t xml:space="preserve">Nombre de la receta</t>
  </si>
  <si>
    <t xml:space="preserve">Componente</t>
  </si>
  <si>
    <t xml:space="preserve">Insumo del catálogo</t>
  </si>
  <si>
    <t xml:space="preserve">Cantidad</t>
  </si>
  <si>
    <t xml:space="preserve">Costo en la receta</t>
  </si>
  <si>
    <t xml:space="preserve">Lotes planeados</t>
  </si>
  <si>
    <t xml:space="preserve">Cantidad requerida</t>
  </si>
  <si>
    <t xml:space="preserve">Detalle textual del libro</t>
  </si>
  <si>
    <t xml:space="preserve">Masa</t>
  </si>
  <si>
    <t xml:space="preserve">Mantequilla sin sal (fría, cortada en cubos)</t>
  </si>
  <si>
    <t xml:space="preserve">Azúcar refinada (blanca)</t>
  </si>
  <si>
    <t xml:space="preserve">Huevos fríos (aprox. 100 g totales)</t>
  </si>
  <si>
    <t xml:space="preserve">Harina de trigo (mitad uso múltiple, mitad harina de fuerza/panadera)</t>
  </si>
  <si>
    <t xml:space="preserve">Chunks (trozos irregulares) de chocolate semiamargo (mínimo 54% cacao)</t>
  </si>
  <si>
    <t xml:space="preserve">Decoración</t>
  </si>
  <si>
    <t xml:space="preserve">C/S en el libro — cantidad estimada, ajústala: Sal de mar en escamas (para decorar)</t>
  </si>
  <si>
    <t xml:space="preserve">Doble Chocolate Oscuro con Chunks de Chocolate Blanco</t>
  </si>
  <si>
    <t xml:space="preserve">Mantequilla sin sal (fría en cubos)</t>
  </si>
  <si>
    <t xml:space="preserve">Huevos fríos</t>
  </si>
  <si>
    <t xml:space="preserve">Harina de trigo (uso múltiple)</t>
  </si>
  <si>
    <t xml:space="preserve">Cacao en polvo alcalino (tipo Dutch-processed)</t>
  </si>
  <si>
    <t xml:space="preserve">Fécula de maíz</t>
  </si>
  <si>
    <t xml:space="preserve">Chunks de chocolate blanco de alta calidad</t>
  </si>
  <si>
    <t xml:space="preserve">Red Velvet Clásica con Chispas Blancas y Nuez</t>
  </si>
  <si>
    <t xml:space="preserve">Colorante en gel rojo brillante</t>
  </si>
  <si>
    <t xml:space="preserve">Cacao en polvo natural (no alcalino, para no oscurecer el rojo)</t>
  </si>
  <si>
    <t xml:space="preserve">Chispas o trozos de chocolate blanco</t>
  </si>
  <si>
    <t xml:space="preserve">Nuez pecana (tostada y troceada rústicamente)</t>
  </si>
  <si>
    <t xml:space="preserve">Avena Rústica, Pasas Rubias y Canela</t>
  </si>
  <si>
    <t xml:space="preserve">Hojuelas de avena entera (tradicional, no instantánea)</t>
  </si>
  <si>
    <t xml:space="preserve">Pasas rubias (previamente hidratadas en agua caliente por 10 min y escurridas)</t>
  </si>
  <si>
    <t xml:space="preserve">Nuez de Castilla (troceada grande)</t>
  </si>
  <si>
    <t xml:space="preserve">Mantequilla Avellanada (Brown Butter) y Nuez Pecana Tostada</t>
  </si>
  <si>
    <t xml:space="preserve">Mantequilla sin sal (para obtener aprox. 180 g de mantequilla avellanada)</t>
  </si>
  <si>
    <t xml:space="preserve">Huevos enteros (fríos) + 1 yema (para reponer la humedad perdida)</t>
  </si>
  <si>
    <t xml:space="preserve">Nuez pecana (tostada al horno y troceada gruesa)</t>
  </si>
  <si>
    <t xml:space="preserve">Chispas de chocolate con leche (opcional)</t>
  </si>
  <si>
    <t xml:space="preserve">Macadamia Dorada y Chocolate Blanco</t>
  </si>
  <si>
    <t xml:space="preserve">Azúcar mascabado claro</t>
  </si>
  <si>
    <t xml:space="preserve">Nuez macadamia (tostada ligeramente al horno y troceada a la mitad)</t>
  </si>
  <si>
    <t xml:space="preserve">Chunks de chocolate blanco</t>
  </si>
  <si>
    <t xml:space="preserve">Snickerdoodle Gruesa (Rebozada en Canela y Azúcar)</t>
  </si>
  <si>
    <t xml:space="preserve">Confetti Vanilla (Masa de vainilla con chispas)</t>
  </si>
  <si>
    <t xml:space="preserve">Extracto de vainilla transparente (para no manchar la masa) o emulsión sabor</t>
  </si>
  <si>
    <t xml:space="preserve">Chispas de colores (grageas tipo jimmies, no nonpareils porque sangran el color)</t>
  </si>
  <si>
    <t xml:space="preserve">Chunks de chocolate blanco o trozos de galleta dorada (tipo Oreo Golden)</t>
  </si>
  <si>
    <t xml:space="preserve">Peanut Butter Clásica Gruesa</t>
  </si>
  <si>
    <t xml:space="preserve">Crema de cacahuate comercial (tipo Jif o Skippy)</t>
  </si>
  <si>
    <t xml:space="preserve">Cacahuates tostados (sin sal, picados en trozos rústicos)</t>
  </si>
  <si>
    <t xml:space="preserve">Chispas de chocolate con leche o semiamargo (opcional)</t>
  </si>
  <si>
    <t xml:space="preserve">Triple Chocolate (Masa oscura, chispas de leche, semiamargas</t>
  </si>
  <si>
    <t xml:space="preserve">Cacao en polvo alcalino oscuro</t>
  </si>
  <si>
    <t xml:space="preserve">Chunks de chocolate semiamargo</t>
  </si>
  <si>
    <t xml:space="preserve">Chunks de chocolate con leche</t>
  </si>
  <si>
    <t xml:space="preserve">Brookie Gigante (El choque de dos mundos)</t>
  </si>
  <si>
    <t xml:space="preserve">Mantequilla fría + Mantequilla fría</t>
  </si>
  <si>
    <t xml:space="preserve">Azúcar mascabado + Azúcar mascabado</t>
  </si>
  <si>
    <t xml:space="preserve">Azúcar refinada + Azúcar refinada</t>
  </si>
  <si>
    <t xml:space="preserve">Huevo frío + Huevo frío</t>
  </si>
  <si>
    <t xml:space="preserve">Harina de trigo + Harina de trigo</t>
  </si>
  <si>
    <t xml:space="preserve">Fécula de maíz + Fécula de maíz</t>
  </si>
  <si>
    <t xml:space="preserve">Bicarbonato + Bicarbonato</t>
  </si>
  <si>
    <t xml:space="preserve">Sal + Sal</t>
  </si>
  <si>
    <t xml:space="preserve">Chunks de chocolate oscuro ▮ Mitad Cookie (Chispas):</t>
  </si>
  <si>
    <t xml:space="preserve">Galleta Carrot Cake con Costra de Queso Crema</t>
  </si>
  <si>
    <t xml:space="preserve">Huevo frío + 1 yema</t>
  </si>
  <si>
    <t xml:space="preserve">Zanahoria rallada finamente (exprimida fuertemente en una manta de cielo para</t>
  </si>
  <si>
    <t xml:space="preserve">Nuez moscada y 2 g de jengibre en polvo</t>
  </si>
  <si>
    <t xml:space="preserve">Nuez pecana (troceada)</t>
  </si>
  <si>
    <t xml:space="preserve">Galleta Rollo de Canela (Marmoleada y Glaseada)</t>
  </si>
  <si>
    <t xml:space="preserve">Tarta de Manzana (Con Streusel y Manzana Especiada)</t>
  </si>
  <si>
    <t xml:space="preserve">Manzana deshidratada (en cubos pequeños)</t>
  </si>
  <si>
    <t xml:space="preserve">Canela</t>
  </si>
  <si>
    <t xml:space="preserve">Galleta Banoffee (Plátano, Toffee y Chocolate)</t>
  </si>
  <si>
    <t xml:space="preserve">Huevo frío (solo uno)</t>
  </si>
  <si>
    <t xml:space="preserve">Puré de plátano muy maduro (pisado con tenedor)</t>
  </si>
  <si>
    <t xml:space="preserve">Harina de trigo (aumentada para absorber el puré)</t>
  </si>
  <si>
    <t xml:space="preserve">Chunks de caramelo firme (tipo toffee inglés o caramelos suaves picados)</t>
  </si>
  <si>
    <t xml:space="preserve">Chunks de chocolate oscuro</t>
  </si>
  <si>
    <t xml:space="preserve">Volcán de Crema de Avellana (Estilo Nutella)</t>
  </si>
  <si>
    <t xml:space="preserve">Huevos fríos + 1 cucharada de leche fría</t>
  </si>
  <si>
    <t xml:space="preserve">Núcleo / relleno</t>
  </si>
  <si>
    <t xml:space="preserve">NÚCLEO: crema de cacao y avellana (tipo Nutella)</t>
  </si>
  <si>
    <t xml:space="preserve">Biscoff Lotus (Masa especiada con centro de crema de galleta)</t>
  </si>
  <si>
    <t xml:space="preserve">Galletas Lotus Biscoff (troceadas gruesas)</t>
  </si>
  <si>
    <t xml:space="preserve">NÚCLEO: crema de galleta Biscoff Lotus</t>
  </si>
  <si>
    <t xml:space="preserve">S'mores de Campamento (Centro fundido de malvavisco)</t>
  </si>
  <si>
    <t xml:space="preserve">Galletas Graham o María (trituradas en polvo fino)</t>
  </si>
  <si>
    <t xml:space="preserve">Cajeta y Nuez (Inspiración Dulce de Leche)</t>
  </si>
  <si>
    <t xml:space="preserve">Nuez pecana (troceada rústicamente)</t>
  </si>
  <si>
    <t xml:space="preserve">NÚCLEO: cajeta horneable o dulce de leche repostero</t>
  </si>
  <si>
    <t xml:space="preserve">Pistache Intenso con Núcleo de Chocolate Blanco</t>
  </si>
  <si>
    <t xml:space="preserve">Pasta pura de pistache (100% pistache, sin azúcar)</t>
  </si>
  <si>
    <t xml:space="preserve">Pistaches pelados y troceados gruesos</t>
  </si>
  <si>
    <t xml:space="preserve">NÚCLEO: chocolate blanco fundido mezclado</t>
  </si>
  <si>
    <t xml:space="preserve">Frambuesa y Centro de Pay de Queso</t>
  </si>
  <si>
    <t xml:space="preserve">de azúcar glass, 2 ml de vainilla. Mezclado pero sin sobrebatir para mantenerlo</t>
  </si>
  <si>
    <t xml:space="preserve">Frambuesa liofilizada (trozos medianos, no polvo fino)</t>
  </si>
  <si>
    <t xml:space="preserve">NÚCLEO: queso crema (bloque firme, no untable),</t>
  </si>
  <si>
    <t xml:space="preserve">Kinder Bueno (Masa de cacao ligero y núcleo de avellana</t>
  </si>
  <si>
    <t xml:space="preserve">Cacao en polvo natural (no alcalino, para mantener el color marrón claro)</t>
  </si>
  <si>
    <t xml:space="preserve">Barras de Kinder Bueno (troceadas) o trozos de chocolate con leche y avellana</t>
  </si>
  <si>
    <t xml:space="preserve">NÚCLEO: crema de avellana blanca (crema láctea de avellana).</t>
  </si>
  <si>
    <t xml:space="preserve">Caramelo Salado y Pretzels</t>
  </si>
  <si>
    <t xml:space="preserve">Azúcar mascabado oscuro (vital para potenciar el sabor a caramelo de la masa)</t>
  </si>
  <si>
    <t xml:space="preserve">Pretzels salados (troceados gruesos, no polvo)</t>
  </si>
  <si>
    <t xml:space="preserve">NÚCLEO: caramelo suave (cortado en 6 cubos de 20 g) o pasta de</t>
  </si>
  <si>
    <t xml:space="preserve">C/S en el libro — cantidad estimada, ajústala: Sal en escamas para decorar</t>
  </si>
  <si>
    <t xml:space="preserve">Ferrero Rocher (Masa de avellana y corazón de ganache</t>
  </si>
  <si>
    <t xml:space="preserve">Harina/Polvo de avellana tostada</t>
  </si>
  <si>
    <t xml:space="preserve">Avellanas tostadas (troceadas rústicamente)</t>
  </si>
  <si>
    <t xml:space="preserve">NÚCLEO: chocolate semiamargo (54%) + 30</t>
  </si>
  <si>
    <t xml:space="preserve">Volcán de Matcha (Núcleo de ganache blanco fluido)</t>
  </si>
  <si>
    <t xml:space="preserve">Té Matcha grado culinario de alta calidad</t>
  </si>
  <si>
    <t xml:space="preserve">Chispas de chocolate blanco (opcional)</t>
  </si>
  <si>
    <t xml:space="preserve">NÚCLEO: ganache de chocolate blanco firme (como el de la receta 15).</t>
  </si>
  <si>
    <t xml:space="preserve">Galleta Tiramisú (Centro de Mascarpone y Masa de Café)</t>
  </si>
  <si>
    <t xml:space="preserve">Extracto de café puro (o café soluble intenso disuelto en 5 ml de agua caliente y</t>
  </si>
  <si>
    <t xml:space="preserve">Cacao en polvo (para la masa)</t>
  </si>
  <si>
    <t xml:space="preserve">NÚCLEO: queso mascarpone mezclado suavemente con 15 g de azúcar</t>
  </si>
  <si>
    <t xml:space="preserve">C/S en el libro — cantidad estimada, ajústala: Cacao alcalino extra (para espolvorear al final)</t>
  </si>
  <si>
    <t xml:space="preserve">Galleta de Pay de Limón (Masa de Galleta María y Centro</t>
  </si>
  <si>
    <t xml:space="preserve">Galletas María (trituradas finamente en polvo)</t>
  </si>
  <si>
    <t xml:space="preserve">Chunks de chocolate blanco (para balancear la acidez)</t>
  </si>
  <si>
    <t xml:space="preserve">NÚCLEO: leche condensada mezclada con 30</t>
  </si>
  <si>
    <t xml:space="preserve">Churro Relleno (Masa Estriada de Canela con Centro Dulce)</t>
  </si>
  <si>
    <t xml:space="preserve">NÚCLEO: cajeta horneable, dulce de leche repostero o ganache de</t>
  </si>
  <si>
    <t xml:space="preserve">Galleta Tres Leches (Base Avainillada y Glaseado Lechoso)</t>
  </si>
  <si>
    <t xml:space="preserve">Extracto de vainilla transparente</t>
  </si>
  <si>
    <t xml:space="preserve">Harina de trigo (mitad panadera, mitad uso múltiple para mayor soporte)</t>
  </si>
  <si>
    <t xml:space="preserve">Fécula de maíz (aporta la esponjosidad necesaria para absorber)</t>
  </si>
  <si>
    <t xml:space="preserve">Chispas de chocolate blanco (opcional, para dar textura interna)</t>
  </si>
  <si>
    <t xml:space="preserve">Tarta de Pecanas (Masa Mantequilluda y Nido Caramelizado)</t>
  </si>
  <si>
    <t xml:space="preserve">Fresa Natural y Trozos de Chocolate Rubí (San Valentín)</t>
  </si>
  <si>
    <t xml:space="preserve">Chunks de chocolate Rubí (o callets enteros)</t>
  </si>
  <si>
    <t xml:space="preserve">Fresa liofilizada (troceada en pedazos medianos)</t>
  </si>
  <si>
    <t xml:space="preserve">Chispas de chocolate blanco (para dar contraste visual)</t>
  </si>
  <si>
    <t xml:space="preserve">Terciopelo Rosa (Masa teñida con centro de mermelada)</t>
  </si>
  <si>
    <t xml:space="preserve">Colorante en gel color rosa brillante</t>
  </si>
  <si>
    <t xml:space="preserve">Cacao en polvo natural (aporta sabor sin oscurecer tanto como el alcalino)</t>
  </si>
  <si>
    <t xml:space="preserve">NÚCLEO: mermelada de frambuesa de alta calidad (reducida a fuego</t>
  </si>
  <si>
    <t xml:space="preserve">Piña Colada (Verano Intenso)</t>
  </si>
  <si>
    <t xml:space="preserve">Extracto de coco (esencial para potenciar el perfil)</t>
  </si>
  <si>
    <t xml:space="preserve">Coco rallado seco (previamente tostado al horno sin azúcar)</t>
  </si>
  <si>
    <t xml:space="preserve">Piña deshidratada (cortada en dados muy pequeños)</t>
  </si>
  <si>
    <t xml:space="preserve">Mango, Chamoy y Tajín (Street Food CDMX)</t>
  </si>
  <si>
    <t xml:space="preserve">Mango deshidratado (picado finamente)</t>
  </si>
  <si>
    <t xml:space="preserve">NÚCLEO: pasta de chamoy (mezcla chamoy espeso con un poco de azú‐</t>
  </si>
  <si>
    <t xml:space="preserve">Limón Eureka y Sorbete de Frambuesa (Verano)</t>
  </si>
  <si>
    <t xml:space="preserve">NÚCLEO: chocolate blanco, 30 g de puré de</t>
  </si>
  <si>
    <t xml:space="preserve">Invierno: Gingerbread (Melaza y Especias Cálidas)</t>
  </si>
  <si>
    <t xml:space="preserve">Azúcar mascabado oscuro ( )</t>
  </si>
  <si>
    <t xml:space="preserve">Melaza pura (no jarabe de maíz)</t>
  </si>
  <si>
    <t xml:space="preserve">Huevo frío (grande)</t>
  </si>
  <si>
    <t xml:space="preserve">Bicarbonato de sodio (crucial para neutralizar la acidez de la melaza)</t>
  </si>
  <si>
    <t xml:space="preserve">Chunks de chocolate blanco (aporta el dulzor lácteo que equilibra las especias)</t>
  </si>
  <si>
    <t xml:space="preserve">Invierno: Chocolate Caliente Mexicano</t>
  </si>
  <si>
    <t xml:space="preserve">Cacao alcalino en polvo</t>
  </si>
  <si>
    <t xml:space="preserve">Chile de árbol molido o cayena (opcional, para el picor cálido)</t>
  </si>
  <si>
    <t xml:space="preserve">Mini malvaviscos (preferentemente deshidratados, o normales congelados previa‐</t>
  </si>
  <si>
    <t xml:space="preserve">Invierno: Peppermint Mocha (Café, Chocolate y Menta)</t>
  </si>
  <si>
    <t xml:space="preserve">Extracto de café puro (o café soluble extra fuerte diluido y frío)</t>
  </si>
  <si>
    <t xml:space="preserve">Cacao alcalino</t>
  </si>
  <si>
    <t xml:space="preserve">Caramelos de menta (candy canes) triturados toscamente</t>
  </si>
  <si>
    <t xml:space="preserve">Tamal de Dulce (Masa de Cacahuazintle, Pasitas y Toque Rosa)</t>
  </si>
  <si>
    <t xml:space="preserve">Harina de maíz nixtamalizado (tipo Maseca, preferentemente de maíz</t>
  </si>
  <si>
    <t xml:space="preserve">Pasitas negras (hidratadas en agua tibia 10 min y escurridas)</t>
  </si>
  <si>
    <t xml:space="preserve">Chunks de chocolate blanco (opcional, para dar más untuosidad)</t>
  </si>
  <si>
    <t xml:space="preserve">Pan de Muerto (Azahar, Naranja y Costra de Azúcar)</t>
  </si>
  <si>
    <t xml:space="preserve">Esencia pura de flor de azahar (ser precisos, el exceso amarga)</t>
  </si>
  <si>
    <t xml:space="preserve">Miso Blanco, Chocolate Rubio (Gold) y Sésamo Tostado</t>
  </si>
  <si>
    <t xml:space="preserve">Pasta de miso blanco (Shiro Miso)</t>
  </si>
  <si>
    <t xml:space="preserve">Sal fina (el miso ya aporta salinidad)</t>
  </si>
  <si>
    <t xml:space="preserve">Chunks de chocolate rubio (tipo Gold o Dulcey)</t>
  </si>
  <si>
    <t xml:space="preserve">Semillas de sésamo blanco y negro (ligeramente tostadas)</t>
  </si>
  <si>
    <t xml:space="preserve">Aceite de Oliva Extra Virgen, Romero y Chocolate Oscuro 70%</t>
  </si>
  <si>
    <t xml:space="preserve">Aceite de oliva extra virgen (de alta calidad)</t>
  </si>
  <si>
    <t xml:space="preserve">Romero fresco (picado finísimamente, sin tallos)</t>
  </si>
  <si>
    <t xml:space="preserve">Harina de trigo (aumentada ligeramente para absorber el aceite)</t>
  </si>
  <si>
    <t xml:space="preserve">Chunks de chocolate oscuro (mínimo 70% cacao)</t>
  </si>
  <si>
    <t xml:space="preserve">C/S en el libro — cantidad estimada, ajústala: Sal de mar en escamas</t>
  </si>
  <si>
    <t xml:space="preserve">Queso Azul, Compota de Higo y Nuez Caramelizada</t>
  </si>
  <si>
    <t xml:space="preserve">Queso azul (tipo Gorgonzola o Roquefort, en trozos grandes, súper frío)</t>
  </si>
  <si>
    <t xml:space="preserve">Higo deshidratado (picado en dados y rehidratado 5 min en agua caliente, secado</t>
  </si>
  <si>
    <t xml:space="preserve">Nuez pecana caramelizada (garapiñada) troceada</t>
  </si>
  <si>
    <t xml:space="preserve">Tocino Glaseado en Maple y Chunks de Chocolate con Leche</t>
  </si>
  <si>
    <t xml:space="preserve">Trufa Negra y Chocolate Semiamargo con Sal en Escamas</t>
  </si>
  <si>
    <t xml:space="preserve">Aceite de trufa negra (infusionado de alta calidad, ajustar según intensidad)</t>
  </si>
  <si>
    <t xml:space="preserve">Chunks de chocolate semiamargo (54% a 60% cacao)</t>
  </si>
  <si>
    <t xml:space="preserve">C/S en el libro — cantidad estimada, ajústala: Sal de mar en escamas y/o polvo de trufa seca para decorar</t>
  </si>
  <si>
    <t xml:space="preserve">Matcha, Yuzu y Chocolate Blanco Caramelizado (Gold)</t>
  </si>
  <si>
    <t xml:space="preserve">Jugo de Yuzu puro (o mezcla de jugo de mandarina y limón amarillo)</t>
  </si>
  <si>
    <t xml:space="preserve">Té Matcha de grado culinario premium</t>
  </si>
  <si>
    <t xml:space="preserve">Chunks de chocolate blanco caramelizado (tipo Gold o Dulcey)</t>
  </si>
  <si>
    <t xml:space="preserve">Té Earl Grey, Lavanda y Ralladura de Limón</t>
  </si>
  <si>
    <t xml:space="preserve">Mantequilla sin sal (se pesará un extra para compensar la que absorba el té) ( )</t>
  </si>
  <si>
    <t xml:space="preserve">Hojas de té Earl Grey de alta calidad (sueltas, no en polvo)</t>
  </si>
  <si>
    <t xml:space="preserve">Flores de lavanda culinaria (trituradas en polvo)</t>
  </si>
  <si>
    <t xml:space="preserve">Café de Olla, Piloncillo y Anís Estrella</t>
  </si>
  <si>
    <t xml:space="preserve">Piloncillo rallado muy finamente (o mascabado ultra oscuro)</t>
  </si>
  <si>
    <t xml:space="preserve">Extracto de café puro (o espresso muy concentrado y frío)</t>
  </si>
  <si>
    <t xml:space="preserve">Cacao Alcalino, Chile Ancho y Almendra Marcona</t>
  </si>
  <si>
    <t xml:space="preserve">Chile ancho seco (pulverizado y sin semillas)</t>
  </si>
  <si>
    <t xml:space="preserve">Almendra Marcona (entera o troceada gruesa)</t>
  </si>
  <si>
    <t xml:space="preserve">Ajo Negro y Chocolate Amargo con Sal Ahumada</t>
  </si>
  <si>
    <t xml:space="preserve">Puré de ajo negro (dientes de ajo negro triturados hasta formar una pasta lisa)</t>
  </si>
  <si>
    <t xml:space="preserve">Chunks de chocolate amargo (mínimo 70% cacao)</t>
  </si>
  <si>
    <t xml:space="preserve">C/S en el libro — cantidad estimada, ajústala: Sal ahumada (para decorar)</t>
  </si>
  <si>
    <t xml:space="preserve">3 · Costeo y precios de las 50 recetas</t>
  </si>
  <si>
    <t xml:space="preserve">Todo se calcula solo a partir de «1. INSUMOS» y del «PANEL». Las columnas verdes puedes sobreescribirlas por receta.</t>
  </si>
  <si>
    <t xml:space="preserve">Receta</t>
  </si>
  <si>
    <t xml:space="preserve">Piezas por lote</t>
  </si>
  <si>
    <t xml:space="preserve">Costo insumos del lote</t>
  </si>
  <si>
    <t xml:space="preserve">Insumos por pieza</t>
  </si>
  <si>
    <t xml:space="preserve">Empaque</t>
  </si>
  <si>
    <t xml:space="preserve">Energía</t>
  </si>
  <si>
    <t xml:space="preserve">Mano de obra</t>
  </si>
  <si>
    <t xml:space="preserve">Subtotal</t>
  </si>
  <si>
    <t xml:space="preserve">Merma</t>
  </si>
  <si>
    <t xml:space="preserve">Overhead</t>
  </si>
  <si>
    <t xml:space="preserve">COSTO TOTAL / PIEZA</t>
  </si>
  <si>
    <t xml:space="preserve">PVP menudeo teórico</t>
  </si>
  <si>
    <t xml:space="preserve">PRECIO MENUDEO</t>
  </si>
  <si>
    <t xml:space="preserve">Utilidad menudeo</t>
  </si>
  <si>
    <t xml:space="preserve">Margen real</t>
  </si>
  <si>
    <t xml:space="preserve">PRECIO MAYOREO</t>
  </si>
  <si>
    <t xml:space="preserve">Utilidad mayoreo</t>
  </si>
  <si>
    <t xml:space="preserve">Precio con IVA</t>
  </si>
  <si>
    <t xml:space="preserve">Temperatura</t>
  </si>
  <si>
    <t xml:space="preserve">Cap. 5 · Clásicos de Nueva York</t>
  </si>
  <si>
    <t xml:space="preserve">Básico (receta de entrada al oficio)</t>
  </si>
  <si>
    <t xml:space="preserve">200 °C (alta temperatura para sellar el exterior rocoso rápidamente).</t>
  </si>
  <si>
    <t xml:space="preserve">12 a 14 minutos.</t>
  </si>
  <si>
    <t xml:space="preserve">4 a 12 horas en refrigeración (4 °C).</t>
  </si>
  <si>
    <t xml:space="preserve">Básico–Intermedio (ajuste de hidratación por el cacao)</t>
  </si>
  <si>
    <t xml:space="preserve">200 °C</t>
  </si>
  <si>
    <t xml:space="preserve">11 a 13 minutos (el chocolate oscuro se quema más rápido, vigilar de cer‐</t>
  </si>
  <si>
    <t xml:space="preserve">4 a 12 horas a 4 °C.</t>
  </si>
  <si>
    <t xml:space="preserve">Intermedio (control de color y acidez)</t>
  </si>
  <si>
    <t xml:space="preserve">190 °C (un poco más baja para proteger el color rojo).</t>
  </si>
  <si>
    <t xml:space="preserve">13 a 15 minutos.</t>
  </si>
  <si>
    <t xml:space="preserve">Básico (masa indulgente y tolerante)</t>
  </si>
  <si>
    <t xml:space="preserve">190 °C</t>
  </si>
  <si>
    <t xml:space="preserve">14 a 16 minutos.</t>
  </si>
  <si>
    <t xml:space="preserve">4 horas mínimo (crítico para que la avena absorba la humedad de la</t>
  </si>
  <si>
    <t xml:space="preserve">Intermedio (requiere avellanar mantequilla sin quemarla)</t>
  </si>
  <si>
    <t xml:space="preserve">4 a 12 horas.</t>
  </si>
  <si>
    <t xml:space="preserve">Básico–Intermedio (cuidar que el blanco no se queme)</t>
  </si>
  <si>
    <t xml:space="preserve">195 °C</t>
  </si>
  <si>
    <t xml:space="preserve">4 a 12 horas en refrigeración.</t>
  </si>
  <si>
    <t xml:space="preserve">Básico (clásico de rebozado)</t>
  </si>
  <si>
    <t xml:space="preserve">Básico (ideal para talleres infantiles)</t>
  </si>
  <si>
    <t xml:space="preserve">4 horas en frío.</t>
  </si>
  <si>
    <t xml:space="preserve">Básico (masa densa y noble)</t>
  </si>
  <si>
    <t xml:space="preserve">4 horas mínimo.</t>
  </si>
  <si>
    <t xml:space="preserve">Intermedio (tres chocolates con puntos de fusión distintos)</t>
  </si>
  <si>
    <t xml:space="preserve">Intermedio (dos masas en una sola pieza)</t>
  </si>
  <si>
    <t xml:space="preserve">Intermedio (control de humedad de la zanahoria)</t>
  </si>
  <si>
    <t xml:space="preserve">Intermedio (marmoleado y glaseado)</t>
  </si>
  <si>
    <t xml:space="preserve">Intermedio (streusel y manzana rehidratada)</t>
  </si>
  <si>
    <t xml:space="preserve">Intermedio (puré de plátano y toffee)</t>
  </si>
  <si>
    <t xml:space="preserve">Cap. 6 · Volcanes y rellenos</t>
  </si>
  <si>
    <t xml:space="preserve">Intermedio (encapsulado de núcleo congelado)</t>
  </si>
  <si>
    <t xml:space="preserve">13 a 15 minutos. Reposo de núcleos Mínimo 6 horas en el congelador.</t>
  </si>
  <si>
    <t xml:space="preserve">◆ FÓRMULA ESTANDARIZADA</t>
  </si>
  <si>
    <t xml:space="preserve">Intermedio (masa especiada + núcleo blando)</t>
  </si>
  <si>
    <t xml:space="preserve">Intermedio (el malvavisco exige control de horneado)</t>
  </si>
  <si>
    <t xml:space="preserve">11 a 13 minutos (el malvavisco derretirá rápido).</t>
  </si>
  <si>
    <t xml:space="preserve">4 horas.</t>
  </si>
  <si>
    <t xml:space="preserve">Intermedio (la cajeta tiende a escurrir si no se congela bien)</t>
  </si>
  <si>
    <t xml:space="preserve">Intermedio–Avanzado (ganache blanco 5:1 y núcleo congelado)</t>
  </si>
  <si>
    <t xml:space="preserve">Intermedio–Avanzado (núcleo lácteo fresco)</t>
  </si>
  <si>
    <t xml:space="preserve">Intermedio (masa de cacao ligero, no alcalino)</t>
  </si>
  <si>
    <t xml:space="preserve">Intermedio (equilibrio dulce–salado)</t>
  </si>
  <si>
    <t xml:space="preserve">Avanzado (masa de avellana + ganache oscuro)</t>
  </si>
  <si>
    <t xml:space="preserve">Intermedio–Avanzado (ganache blanco fluido con matcha)</t>
  </si>
  <si>
    <t xml:space="preserve">185 °C (temperatura ligeramente menor para preservar el verde).</t>
  </si>
  <si>
    <t xml:space="preserve">Cap. 7 · Postres reinventados y festivos</t>
  </si>
  <si>
    <t xml:space="preserve">Avanzado (mascarpone congelado + masa de café)</t>
  </si>
  <si>
    <t xml:space="preserve">Intermedio–Avanzado (curd cítrico congelado)</t>
  </si>
  <si>
    <t xml:space="preserve">Intermedio (estriado de canela + núcleo dulce)</t>
  </si>
  <si>
    <t xml:space="preserve">Intermedio–Avanzado (glaseado lechoso sin encharcar la miga)</t>
  </si>
  <si>
    <t xml:space="preserve">Intermedio (nido caramelizado de pecana)</t>
  </si>
  <si>
    <t xml:space="preserve">Intermedio (fruta natural en masa)</t>
  </si>
  <si>
    <t xml:space="preserve">185 °C (el chocolate Rubí es delicado y se oxida si el horno está muy fuer‐</t>
  </si>
  <si>
    <t xml:space="preserve">Intermedio (masa teñida + núcleo de mermelada)</t>
  </si>
  <si>
    <t xml:space="preserve">Intermedio (piña y coco aportan humedad)</t>
  </si>
  <si>
    <t xml:space="preserve">Intermedio (núcleo de chamoy con acidez alta)</t>
  </si>
  <si>
    <t xml:space="preserve">Intermedio–Avanzado (núcleo tipo sorbete estabilizado)</t>
  </si>
  <si>
    <t xml:space="preserve">Intermedio (melaza y especias cálidas)</t>
  </si>
  <si>
    <t xml:space="preserve">Intermedio (picante suave y cacao)</t>
  </si>
  <si>
    <t xml:space="preserve">Intermedio (café, chocolate y menta en equilibrio)</t>
  </si>
  <si>
    <t xml:space="preserve">Intermedio (harina de cacahuazintle en masa)</t>
  </si>
  <si>
    <t xml:space="preserve">185 °C (temperatura más baja para que el rosa no se ponga marrón).</t>
  </si>
  <si>
    <t xml:space="preserve">Intermedio (azahar volátil + costra de azúcar)</t>
  </si>
  <si>
    <t xml:space="preserve">Cap. 8 · Alta gama y autor</t>
  </si>
  <si>
    <t xml:space="preserve">Avanzado (umami láctico con miso)</t>
  </si>
  <si>
    <t xml:space="preserve">Intermedio–Avanzado (grasa vegetal y herbal en masa)</t>
  </si>
  <si>
    <t xml:space="preserve">6 horas mínimo (crucial por el aceite líquido).</t>
  </si>
  <si>
    <t xml:space="preserve">Avanzado (queso azul con alta humedad y sal)</t>
  </si>
  <si>
    <t xml:space="preserve">Avanzado (tocino glaseado que debe quedar crujiente)</t>
  </si>
  <si>
    <t xml:space="preserve">Avanzado (trufa negra, ingrediente volátil y costoso)</t>
  </si>
  <si>
    <t xml:space="preserve">Avanzado (matcha + yuzu, dos ácidos delicados)</t>
  </si>
  <si>
    <t xml:space="preserve">185 °C (temperatura cuidada para no oxidar el verde del té).</t>
  </si>
  <si>
    <t xml:space="preserve">Intermedio–Avanzado (infusión floral que amarga si se excede)</t>
  </si>
  <si>
    <t xml:space="preserve">Intermedio (piloncillo y anís de aroma dominante)</t>
  </si>
  <si>
    <t xml:space="preserve">Intermedio–Avanzado (chile ancho con calor residual)</t>
  </si>
  <si>
    <t xml:space="preserve">Avanzado (ajo negro, ingrediente de nicho y alto umami)</t>
  </si>
  <si>
    <t xml:space="preserve">4 · Plan de producción</t>
  </si>
  <si>
    <t xml:space="preserve">Elige las recetas del menú ▼ y cuántos lotes vas a hornear. La hoja «5. COMPRAS» arma sola tu lista de mercado.</t>
  </si>
  <si>
    <t xml:space="preserve">Receta a producir (elige del menú ▼)</t>
  </si>
  <si>
    <t xml:space="preserve">Lotes a producir</t>
  </si>
  <si>
    <t xml:space="preserve">Piezas totales</t>
  </si>
  <si>
    <t xml:space="preserve">Costo total de producción</t>
  </si>
  <si>
    <t xml:space="preserve">Ingreso estimado (menudeo)</t>
  </si>
  <si>
    <t xml:space="preserve">Utilidad estimada</t>
  </si>
  <si>
    <t xml:space="preserve">TOTALES DEL PLAN</t>
  </si>
  <si>
    <t xml:space="preserve">Ejemplo: escribe 3 lotes de la Receta 01 y verás en «5. COMPRAS» exactamente cuántos kilos de mantequilla y chocolate necesitas comprar.</t>
  </si>
  <si>
    <t xml:space="preserve">5 · Lista de compras automática</t>
  </si>
  <si>
    <t xml:space="preserve">Se llena sola con lo que hayas capturado en «4. PRODUCCIÓN». Filtra la columna «Cantidad requerida» para ver solo lo que sí necesitas.</t>
  </si>
  <si>
    <t xml:space="preserve">Trae la presentación</t>
  </si>
  <si>
    <t xml:space="preserve">Paquetes a comprar</t>
  </si>
  <si>
    <t xml:space="preserve">Precio por paquete</t>
  </si>
  <si>
    <t xml:space="preserve">Inversión en compra</t>
  </si>
  <si>
    <t xml:space="preserve">Costo realmente consumido</t>
  </si>
  <si>
    <t xml:space="preserve">TOTAL DE LA COMPRA</t>
  </si>
  <si>
    <t xml:space="preserve">«Inversión en compra» es lo que pagas en el mercado (paquetes completos). «Costo realmente consumido» es lo que se va en el producto; la diferencia queda en tu despensa para el siguiente lote.</t>
  </si>
  <si>
    <t xml:space="preserve">6 · Registro de ventas y utilidad real</t>
  </si>
  <si>
    <t xml:space="preserve">Captura fecha, receta, canal y piezas. El precio sugerido y la utilidad se calculan solos (puedes sobreescribir el precio).</t>
  </si>
  <si>
    <t xml:space="preserve">RESUMEN AUTOMÁTICO</t>
  </si>
  <si>
    <t xml:space="preserve">Piezas vendidas</t>
  </si>
  <si>
    <t xml:space="preserve">Ingreso total</t>
  </si>
  <si>
    <t xml:space="preserve">Costo total</t>
  </si>
  <si>
    <t xml:space="preserve">Utilidad total</t>
  </si>
  <si>
    <t xml:space="preserve">Margen promedio</t>
  </si>
  <si>
    <t xml:space="preserve">Fecha</t>
  </si>
  <si>
    <t xml:space="preserve">Receta (menú ▼)</t>
  </si>
  <si>
    <t xml:space="preserve">Canal (menú ▼)</t>
  </si>
  <si>
    <t xml:space="preserve">Piezas</t>
  </si>
  <si>
    <t xml:space="preserve">Precio unitario</t>
  </si>
  <si>
    <t xml:space="preserve">Ingreso</t>
  </si>
  <si>
    <t xml:space="preserve">Costo unitario</t>
  </si>
  <si>
    <t xml:space="preserve">Utilidad</t>
  </si>
  <si>
    <t xml:space="preserve">Margen</t>
  </si>
  <si>
    <t xml:space="preserve">2026-08-10</t>
  </si>
  <si>
    <t xml:space="preserve">Menudeo</t>
  </si>
  <si>
    <t xml:space="preserve">2026-08-12</t>
  </si>
  <si>
    <t xml:space="preserve">Mayoreo</t>
  </si>
  <si>
    <t xml:space="preserve">Las dos primeras filas son un EJEMPLO con datos ficticios: bórralas y captura tus ventas reales. El precio unitario llega sugerido, pero puedes escribir el precio real cobrado.</t>
  </si>
  <si>
    <t xml:space="preserve">7 · Punto de equilibrio y escenarios</t>
  </si>
  <si>
    <t xml:space="preserve">¿Cuántas galletas necesitas vender al mes para no perder dinero? Aquí está la respuesta.</t>
  </si>
  <si>
    <t xml:space="preserve">① SUPUESTOS</t>
  </si>
  <si>
    <t xml:space="preserve">Gastos fijos del mes</t>
  </si>
  <si>
    <t xml:space="preserve">Precio de venta promedio por pieza</t>
  </si>
  <si>
    <t xml:space="preserve">Costo variable por pieza (sin gastos fijos)</t>
  </si>
  <si>
    <t xml:space="preserve">Margen de contribución por pieza</t>
  </si>
  <si>
    <t xml:space="preserve">% de contribución</t>
  </si>
  <si>
    <t xml:space="preserve">② PUNTO DE EQUILIBRIO</t>
  </si>
  <si>
    <t xml:space="preserve">Piezas que debes vender al mes</t>
  </si>
  <si>
    <t xml:space="preserve">Piezas por semana</t>
  </si>
  <si>
    <t xml:space="preserve">Piezas por día (6 días)</t>
  </si>
  <si>
    <t xml:space="preserve">Ventas mensuales necesarias</t>
  </si>
  <si>
    <t xml:space="preserve">③ ESCENARIOS DE VENTA MENSUAL</t>
  </si>
  <si>
    <t xml:space="preserve">Piezas vendidas al mes</t>
  </si>
  <si>
    <t xml:space="preserve">Costo variable</t>
  </si>
  <si>
    <t xml:space="preserve">Gastos fijos</t>
  </si>
  <si>
    <t xml:space="preserve">El precio y el costo promedio salen de las 50 recetas. Si tu menú real es de 6 sabores, sobreescribe las celdas C8 y C9 con los valores de esos sabores para un cálculo más fino.</t>
  </si>
  <si>
    <t xml:space="preserve">Recetas</t>
  </si>
  <si>
    <t xml:space="preserve">Canales</t>
  </si>
  <si>
    <t xml:space="preserve">Categorías</t>
  </si>
  <si>
    <t xml:space="preserve">Evento / banquete</t>
  </si>
  <si>
    <t xml:space="preserve">Taller</t>
  </si>
  <si>
    <t xml:space="preserve">Otro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</si>
</sst>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#,##0"/>
    <numFmt numFmtId="167" formatCode="0.0%"/>
    <numFmt numFmtId="168" formatCode="\$#,##0"/>
    <numFmt numFmtId="169" formatCode="#,##0.00"/>
    <numFmt numFmtId="170" formatCode="\$#,##0.0000"/>
    <numFmt numFmtId="171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8"/>
      <color rgb="FF4E145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color rgb="FF7A2E7E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4E1454"/>
      <name val="Arial"/>
      <family val="0"/>
      <charset val="1"/>
    </font>
    <font>
      <b val="true"/>
      <sz val="11"/>
      <color rgb="FF4E1454"/>
      <name val="Arial"/>
      <family val="0"/>
      <charset val="1"/>
    </font>
    <font>
      <b val="true"/>
      <sz val="12"/>
      <color rgb="FF4E145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E1454"/>
        <bgColor rgb="FF333333"/>
      </patternFill>
    </fill>
    <fill>
      <patternFill patternType="solid">
        <fgColor rgb="FFF8B818"/>
        <bgColor rgb="FFFF9900"/>
      </patternFill>
    </fill>
    <fill>
      <patternFill patternType="solid">
        <fgColor rgb="FFFBF4E9"/>
        <bgColor rgb="FFFFF2CC"/>
      </patternFill>
    </fill>
    <fill>
      <patternFill patternType="solid">
        <fgColor rgb="FFFFF3C4"/>
        <bgColor rgb="FFFFF2CC"/>
      </patternFill>
    </fill>
    <fill>
      <patternFill patternType="solid">
        <fgColor rgb="FF7A2E7E"/>
        <bgColor rgb="FF993366"/>
      </patternFill>
    </fill>
    <fill>
      <patternFill patternType="solid">
        <fgColor rgb="FFEDE3F0"/>
        <bgColor rgb="FFFBF4E9"/>
      </patternFill>
    </fill>
    <fill>
      <patternFill patternType="solid">
        <fgColor rgb="FFFFFFFF"/>
        <bgColor rgb="FFFBF4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medium">
        <color rgb="FF7A2E7E"/>
      </left>
      <right style="medium">
        <color rgb="FF7A2E7E"/>
      </right>
      <top style="medium">
        <color rgb="FF7A2E7E"/>
      </top>
      <bottom style="medium">
        <color rgb="FF7A2E7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5">
    <dxf>
      <fill>
        <patternFill patternType="solid">
          <fgColor rgb="FF7A2E7E"/>
          <bgColor rgb="FF000000"/>
        </patternFill>
      </fill>
    </dxf>
    <dxf>
      <fill>
        <patternFill patternType="solid">
          <fgColor rgb="FFFBF4E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C4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C7E0B4"/>
          <bgColor rgb="FF000000"/>
        </patternFill>
      </fill>
    </dxf>
    <dxf>
      <fill>
        <patternFill patternType="solid">
          <fgColor rgb="FFCBDEB4"/>
          <bgColor rgb="FF000000"/>
        </patternFill>
      </fill>
    </dxf>
    <dxf>
      <fill>
        <patternFill patternType="solid">
          <fgColor rgb="FFCCDEB4"/>
          <bgColor rgb="FF000000"/>
        </patternFill>
      </fill>
    </dxf>
    <dxf>
      <fill>
        <patternFill patternType="solid">
          <fgColor rgb="FFCDDDB3"/>
          <bgColor rgb="FF000000"/>
        </patternFill>
      </fill>
    </dxf>
    <dxf>
      <fill>
        <patternFill patternType="solid">
          <fgColor rgb="FFCFDCB3"/>
          <bgColor rgb="FF000000"/>
        </patternFill>
      </fill>
    </dxf>
    <dxf>
      <fill>
        <patternFill patternType="solid">
          <fgColor rgb="FFCFDDB3"/>
          <bgColor rgb="FF000000"/>
        </patternFill>
      </fill>
    </dxf>
    <dxf>
      <fill>
        <patternFill patternType="solid">
          <fgColor rgb="FFD0DCB3"/>
          <bgColor rgb="FF000000"/>
        </patternFill>
      </fill>
    </dxf>
    <dxf>
      <fill>
        <patternFill patternType="solid">
          <fgColor rgb="FFD1DCB3"/>
          <bgColor rgb="FF000000"/>
        </patternFill>
      </fill>
    </dxf>
    <dxf>
      <fill>
        <patternFill patternType="solid">
          <fgColor rgb="FFD2DBB3"/>
          <bgColor rgb="FF000000"/>
        </patternFill>
      </fill>
    </dxf>
    <dxf>
      <fill>
        <patternFill patternType="solid">
          <fgColor rgb="FFD3DBB3"/>
          <bgColor rgb="FF000000"/>
        </patternFill>
      </fill>
    </dxf>
    <dxf>
      <fill>
        <patternFill patternType="solid">
          <fgColor rgb="FFD4DAB2"/>
          <bgColor rgb="FF000000"/>
        </patternFill>
      </fill>
    </dxf>
    <dxf>
      <fill>
        <patternFill patternType="solid">
          <fgColor rgb="FFD4DBB3"/>
          <bgColor rgb="FF000000"/>
        </patternFill>
      </fill>
    </dxf>
    <dxf>
      <fill>
        <patternFill patternType="solid">
          <fgColor rgb="FFD5DAB2"/>
          <bgColor rgb="FF000000"/>
        </patternFill>
      </fill>
    </dxf>
    <dxf>
      <fill>
        <patternFill patternType="solid">
          <fgColor rgb="FFD6D9B2"/>
          <bgColor rgb="FF000000"/>
        </patternFill>
      </fill>
    </dxf>
    <dxf>
      <fill>
        <patternFill patternType="solid">
          <fgColor rgb="FFD6DAB2"/>
          <bgColor rgb="FF000000"/>
        </patternFill>
      </fill>
    </dxf>
    <dxf>
      <fill>
        <patternFill patternType="solid">
          <fgColor rgb="FFD8D9B2"/>
          <bgColor rgb="FF000000"/>
        </patternFill>
      </fill>
    </dxf>
    <dxf>
      <fill>
        <patternFill patternType="solid">
          <fgColor rgb="FFDAD8B2"/>
          <bgColor rgb="FF000000"/>
        </patternFill>
      </fill>
    </dxf>
    <dxf>
      <fill>
        <patternFill patternType="solid">
          <fgColor rgb="FFDBD7B1"/>
          <bgColor rgb="FF000000"/>
        </patternFill>
      </fill>
    </dxf>
    <dxf>
      <fill>
        <patternFill patternType="solid">
          <fgColor rgb="FFDCD7B1"/>
          <bgColor rgb="FF000000"/>
        </patternFill>
      </fill>
    </dxf>
    <dxf>
      <fill>
        <patternFill patternType="solid">
          <fgColor rgb="FFDDD7B1"/>
          <bgColor rgb="FF000000"/>
        </patternFill>
      </fill>
    </dxf>
    <dxf>
      <fill>
        <patternFill patternType="solid">
          <fgColor rgb="FFDFD6B1"/>
          <bgColor rgb="FF000000"/>
        </patternFill>
      </fill>
    </dxf>
    <dxf>
      <fill>
        <patternFill patternType="solid">
          <fgColor rgb="FFE0D5B1"/>
          <bgColor rgb="FF000000"/>
        </patternFill>
      </fill>
    </dxf>
    <dxf>
      <fill>
        <patternFill patternType="solid">
          <fgColor rgb="FFE1D5B1"/>
          <bgColor rgb="FF000000"/>
        </patternFill>
      </fill>
    </dxf>
    <dxf>
      <fill>
        <patternFill patternType="solid">
          <fgColor rgb="FFE2D5B1"/>
          <bgColor rgb="FF000000"/>
        </patternFill>
      </fill>
    </dxf>
    <dxf>
      <fill>
        <patternFill patternType="solid">
          <fgColor rgb="FFE4D4B0"/>
          <bgColor rgb="FF000000"/>
        </patternFill>
      </fill>
    </dxf>
    <dxf>
      <fill>
        <patternFill patternType="solid">
          <fgColor rgb="FFE5D3B0"/>
          <bgColor rgb="FF000000"/>
        </patternFill>
      </fill>
    </dxf>
    <dxf>
      <fill>
        <patternFill patternType="solid">
          <fgColor rgb="FFEAD1AF"/>
          <bgColor rgb="FF000000"/>
        </patternFill>
      </fill>
    </dxf>
    <dxf>
      <fill>
        <patternFill patternType="solid">
          <fgColor rgb="FFEBD1AF"/>
          <bgColor rgb="FF000000"/>
        </patternFill>
      </fill>
    </dxf>
    <dxf>
      <fill>
        <patternFill patternType="solid">
          <fgColor rgb="FFEECFA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4E1454"/>
          <bgColor rgb="FF000000"/>
        </patternFill>
      </fill>
    </dxf>
    <dxf>
      <fill>
        <patternFill patternType="solid">
          <fgColor rgb="FFEDE3F0"/>
          <bgColor rgb="FF000000"/>
        </patternFill>
      </fill>
    </dxf>
    <dxf>
      <fill>
        <patternFill patternType="solid">
          <fgColor rgb="FFCFDCB2"/>
          <bgColor rgb="FF000000"/>
        </patternFill>
      </fill>
    </dxf>
    <dxf>
      <fill>
        <patternFill patternType="solid">
          <fgColor rgb="FFD2DBB2"/>
          <bgColor rgb="FF000000"/>
        </patternFill>
      </fill>
    </dxf>
    <dxf>
      <fill>
        <patternFill patternType="solid">
          <fgColor rgb="FFD6D9B1"/>
          <bgColor rgb="FF000000"/>
        </patternFill>
      </fill>
    </dxf>
    <dxf>
      <fill>
        <patternFill patternType="solid">
          <fgColor rgb="FFDDD6B0"/>
          <bgColor rgb="FF000000"/>
        </patternFill>
      </fill>
    </dxf>
    <dxf>
      <fill>
        <patternFill patternType="solid">
          <fgColor rgb="FFDED6B0"/>
          <bgColor rgb="FF000000"/>
        </patternFill>
      </fill>
    </dxf>
    <dxf>
      <fill>
        <patternFill patternType="solid">
          <fgColor rgb="FFDFD5B0"/>
          <bgColor rgb="FF000000"/>
        </patternFill>
      </fill>
    </dxf>
    <dxf>
      <fill>
        <patternFill patternType="solid">
          <fgColor rgb="FFE0D5B0"/>
          <bgColor rgb="FF000000"/>
        </patternFill>
      </fill>
    </dxf>
    <dxf>
      <fill>
        <patternFill patternType="solid">
          <fgColor rgb="FFE1D5B0"/>
          <bgColor rgb="FF000000"/>
        </patternFill>
      </fill>
    </dxf>
    <dxf>
      <fill>
        <patternFill patternType="solid">
          <fgColor rgb="FFE4D3AF"/>
          <bgColor rgb="FF000000"/>
        </patternFill>
      </fill>
    </dxf>
    <dxf>
      <fill>
        <patternFill patternType="solid">
          <fgColor rgb="FFE5D3AF"/>
          <bgColor rgb="FF000000"/>
        </patternFill>
      </fill>
    </dxf>
    <dxf>
      <fill>
        <patternFill patternType="solid">
          <fgColor rgb="FFE6D2AF"/>
          <bgColor rgb="FF000000"/>
        </patternFill>
      </fill>
    </dxf>
    <dxf>
      <fill>
        <patternFill patternType="solid">
          <fgColor rgb="FFE7D2AF"/>
          <bgColor rgb="FF000000"/>
        </patternFill>
      </fill>
    </dxf>
    <dxf>
      <fill>
        <patternFill patternType="solid">
          <fgColor rgb="FFE9D1AF"/>
          <bgColor rgb="FF000000"/>
        </patternFill>
      </fill>
    </dxf>
    <dxf>
      <fill>
        <patternFill patternType="solid">
          <fgColor rgb="FFEAD0AE"/>
          <bgColor rgb="FF000000"/>
        </patternFill>
      </fill>
    </dxf>
    <dxf>
      <fill>
        <patternFill patternType="solid">
          <fgColor rgb="FFECD0AE"/>
          <bgColor rgb="FF000000"/>
        </patternFill>
      </fill>
    </dxf>
    <dxf>
      <fill>
        <patternFill patternType="solid">
          <fgColor rgb="FFEDCFAE"/>
          <bgColor rgb="FF000000"/>
        </patternFill>
      </fill>
    </dxf>
    <dxf>
      <fill>
        <patternFill patternType="solid">
          <fgColor rgb="FFEFCEAE"/>
          <bgColor rgb="FF000000"/>
        </patternFill>
      </fill>
    </dxf>
    <dxf>
      <fill>
        <patternFill patternType="solid">
          <fgColor rgb="FFF0CEAE"/>
          <bgColor rgb="FF000000"/>
        </patternFill>
      </fill>
    </dxf>
    <dxf>
      <fill>
        <patternFill patternType="solid">
          <fgColor rgb="FFF2CDAD"/>
          <bgColor rgb="FF000000"/>
        </patternFill>
      </fill>
    </dxf>
    <dxf>
      <fill>
        <patternFill patternType="solid">
          <fgColor rgb="FFF3CDAD"/>
          <bgColor rgb="FF000000"/>
        </patternFill>
      </fill>
    </dxf>
    <dxf>
      <fill>
        <patternFill>
          <bgColor rgb="FFFFF2CC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7A2E7E"/>
      <rgbColor rgb="FFFFF3C4"/>
      <rgbColor rgb="FFFBF4E9"/>
      <rgbColor rgb="FF4E1454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3F0"/>
      <rgbColor rgb="FFC6EFCE"/>
      <rgbColor rgb="FFFFF2CC"/>
      <rgbColor rgb="FF99CCFF"/>
      <rgbColor rgb="FFFF99CC"/>
      <rgbColor rgb="FFCC99FF"/>
      <rgbColor rgb="FFFFC7CE"/>
      <rgbColor rgb="FF3366FF"/>
      <rgbColor rgb="FF33CCCC"/>
      <rgbColor rgb="FF99CC00"/>
      <rgbColor rgb="FFF8B818"/>
      <rgbColor rgb="FFFF9900"/>
      <rgbColor rgb="FFFF6600"/>
      <rgbColor rgb="FF595959"/>
      <rgbColor rgb="FF969696"/>
      <rgbColor rgb="FF003366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2E7E"/>
    <pageSetUpPr fitToPage="true"/>
  </sheetPr>
  <dimension ref="A1:Z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8" min="4" style="0" width="1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6" customFormat="false" ht="15" hidden="false" customHeight="false" outlineLevel="0" collapsed="false">
      <c r="B6" s="5" t="s">
        <v>3</v>
      </c>
    </row>
    <row r="7" customFormat="false" ht="43.5" hidden="false" customHeight="true" outlineLevel="0" collapsed="false">
      <c r="B7" s="6" t="s">
        <v>4</v>
      </c>
      <c r="C7" s="6"/>
      <c r="D7" s="6"/>
      <c r="E7" s="6"/>
      <c r="F7" s="6"/>
      <c r="G7" s="6"/>
      <c r="H7" s="6"/>
    </row>
    <row r="9" customFormat="false" ht="15" hidden="false" customHeight="false" outlineLevel="0" collapsed="false">
      <c r="B9" s="5" t="s">
        <v>5</v>
      </c>
    </row>
    <row r="10" customFormat="false" ht="30" hidden="false" customHeight="true" outlineLevel="0" collapsed="false">
      <c r="B10" s="7" t="s">
        <v>6</v>
      </c>
      <c r="C10" s="8" t="s">
        <v>7</v>
      </c>
      <c r="D10" s="8"/>
      <c r="E10" s="8"/>
      <c r="F10" s="8"/>
      <c r="G10" s="8"/>
      <c r="H10" s="8"/>
    </row>
    <row r="11" customFormat="false" ht="30" hidden="false" customHeight="true" outlineLevel="0" collapsed="false">
      <c r="B11" s="7" t="s">
        <v>8</v>
      </c>
      <c r="C11" s="8" t="s">
        <v>9</v>
      </c>
      <c r="D11" s="8"/>
      <c r="E11" s="8"/>
      <c r="F11" s="8"/>
      <c r="G11" s="8"/>
      <c r="H11" s="8"/>
    </row>
    <row r="12" customFormat="false" ht="30" hidden="false" customHeight="true" outlineLevel="0" collapsed="false">
      <c r="B12" s="7" t="s">
        <v>10</v>
      </c>
      <c r="C12" s="8" t="s">
        <v>11</v>
      </c>
      <c r="D12" s="8"/>
      <c r="E12" s="8"/>
      <c r="F12" s="8"/>
      <c r="G12" s="8"/>
      <c r="H12" s="8"/>
    </row>
    <row r="13" customFormat="false" ht="30" hidden="false" customHeight="true" outlineLevel="0" collapsed="false">
      <c r="B13" s="7" t="s">
        <v>12</v>
      </c>
      <c r="C13" s="8" t="s">
        <v>13</v>
      </c>
      <c r="D13" s="8"/>
      <c r="E13" s="8"/>
      <c r="F13" s="8"/>
      <c r="G13" s="8"/>
      <c r="H13" s="8"/>
    </row>
    <row r="14" customFormat="false" ht="30" hidden="false" customHeight="true" outlineLevel="0" collapsed="false">
      <c r="B14" s="7" t="s">
        <v>14</v>
      </c>
      <c r="C14" s="8" t="s">
        <v>15</v>
      </c>
      <c r="D14" s="8"/>
      <c r="E14" s="8"/>
      <c r="F14" s="8"/>
      <c r="G14" s="8"/>
      <c r="H14" s="8"/>
    </row>
    <row r="16" customFormat="false" ht="15" hidden="false" customHeight="false" outlineLevel="0" collapsed="false">
      <c r="B16" s="5" t="s">
        <v>16</v>
      </c>
    </row>
    <row r="17" customFormat="false" ht="15" hidden="false" customHeight="false" outlineLevel="0" collapsed="false">
      <c r="B17" s="9" t="s">
        <v>17</v>
      </c>
      <c r="C17" s="10" t="s">
        <v>18</v>
      </c>
      <c r="D17" s="10"/>
      <c r="E17" s="10"/>
      <c r="F17" s="10"/>
      <c r="G17" s="10"/>
      <c r="H17" s="10"/>
    </row>
    <row r="18" customFormat="false" ht="15" hidden="false" customHeight="false" outlineLevel="0" collapsed="false">
      <c r="B18" s="11" t="s">
        <v>19</v>
      </c>
      <c r="C18" s="10" t="s">
        <v>20</v>
      </c>
      <c r="D18" s="10"/>
      <c r="E18" s="10"/>
      <c r="F18" s="10"/>
      <c r="G18" s="10"/>
      <c r="H18" s="10"/>
    </row>
    <row r="19" customFormat="false" ht="15" hidden="false" customHeight="false" outlineLevel="0" collapsed="false">
      <c r="B19" s="12" t="s">
        <v>21</v>
      </c>
      <c r="C19" s="10" t="s">
        <v>22</v>
      </c>
      <c r="D19" s="10"/>
      <c r="E19" s="10"/>
      <c r="F19" s="10"/>
      <c r="G19" s="10"/>
      <c r="H19" s="10"/>
    </row>
    <row r="20" customFormat="false" ht="15" hidden="false" customHeight="false" outlineLevel="0" collapsed="false">
      <c r="B20" s="13" t="s">
        <v>23</v>
      </c>
      <c r="C20" s="10" t="s">
        <v>24</v>
      </c>
      <c r="D20" s="10"/>
      <c r="E20" s="10"/>
      <c r="F20" s="10"/>
      <c r="G20" s="10"/>
      <c r="H20" s="10"/>
    </row>
    <row r="22" customFormat="false" ht="15" hidden="false" customHeight="false" outlineLevel="0" collapsed="false">
      <c r="B22" s="5" t="s">
        <v>25</v>
      </c>
    </row>
    <row r="23" customFormat="false" ht="45.75" hidden="false" customHeight="true" outlineLevel="0" collapsed="false">
      <c r="B23" s="14" t="s">
        <v>26</v>
      </c>
      <c r="C23" s="14"/>
      <c r="D23" s="14"/>
      <c r="E23" s="14"/>
      <c r="F23" s="14"/>
      <c r="G23" s="14"/>
      <c r="H23" s="14"/>
    </row>
    <row r="25" customFormat="false" ht="15" hidden="false" customHeight="false" outlineLevel="0" collapsed="false">
      <c r="B25" s="15" t="s">
        <v>27</v>
      </c>
      <c r="C25" s="15"/>
      <c r="D25" s="15"/>
      <c r="E25" s="15"/>
      <c r="F25" s="15"/>
      <c r="G25" s="15"/>
      <c r="H25" s="15"/>
    </row>
  </sheetData>
  <mergeCells count="15">
    <mergeCell ref="A1:H1"/>
    <mergeCell ref="A2:H2"/>
    <mergeCell ref="A3:H3"/>
    <mergeCell ref="B7:H7"/>
    <mergeCell ref="C10:H10"/>
    <mergeCell ref="C11:H11"/>
    <mergeCell ref="C12:H12"/>
    <mergeCell ref="C13:H13"/>
    <mergeCell ref="C14:H14"/>
    <mergeCell ref="C17:H17"/>
    <mergeCell ref="C18:H18"/>
    <mergeCell ref="C19:H19"/>
    <mergeCell ref="C20:H20"/>
    <mergeCell ref="B23:H23"/>
    <mergeCell ref="B25:H25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B818"/>
    <pageSetUpPr fitToPage="true"/>
  </sheetPr>
  <dimension ref="A1:Z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4"/>
    <col collapsed="false" customWidth="true" hidden="false" outlineLevel="0" max="5" min="5" style="0" width="34"/>
    <col collapsed="false" customWidth="true" hidden="false" outlineLevel="0" max="7" min="6" style="0" width="16"/>
    <col collapsed="false" customWidth="true" hidden="false" outlineLevel="0" max="8" min="8" style="0" width="14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28</v>
      </c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29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6" customFormat="false" ht="15" hidden="false" customHeight="false" outlineLevel="0" collapsed="false">
      <c r="B6" s="5" t="s">
        <v>30</v>
      </c>
      <c r="E6" s="5" t="s">
        <v>31</v>
      </c>
    </row>
    <row r="7" customFormat="false" ht="15" hidden="false" customHeight="false" outlineLevel="0" collapsed="false">
      <c r="B7" s="16" t="s">
        <v>32</v>
      </c>
      <c r="C7" s="17" t="n">
        <v>6</v>
      </c>
      <c r="E7" s="18" t="s">
        <v>33</v>
      </c>
      <c r="F7" s="19" t="s">
        <v>34</v>
      </c>
      <c r="G7" s="19"/>
      <c r="H7" s="19"/>
    </row>
    <row r="8" customFormat="false" ht="15" hidden="false" customHeight="false" outlineLevel="0" collapsed="false">
      <c r="B8" s="16" t="s">
        <v>35</v>
      </c>
      <c r="C8" s="17" t="n">
        <v>2</v>
      </c>
    </row>
    <row r="9" customFormat="false" ht="15" hidden="false" customHeight="false" outlineLevel="0" collapsed="false">
      <c r="B9" s="16" t="s">
        <v>36</v>
      </c>
      <c r="C9" s="17" t="n">
        <v>80</v>
      </c>
      <c r="E9" s="10" t="s">
        <v>37</v>
      </c>
      <c r="F9" s="20" t="n">
        <f aca="false">IFERROR(INDEX('3. COSTEO'!$A$8:$A$57,MATCH($F$7,'3. COSTEO'!$B$8:$B$57,0)),"")</f>
        <v>1</v>
      </c>
    </row>
    <row r="10" customFormat="false" ht="15" hidden="false" customHeight="false" outlineLevel="0" collapsed="false">
      <c r="B10" s="16" t="s">
        <v>38</v>
      </c>
      <c r="C10" s="21" t="n">
        <v>20</v>
      </c>
      <c r="E10" s="10" t="s">
        <v>39</v>
      </c>
      <c r="F10" s="11" t="str">
        <f aca="false">IFERROR(INDEX('3. COSTEO'!$C$8:$C$57,MATCH($F$7,'3. COSTEO'!$B$8:$B$57,0)),"")</f>
        <v>Cap. 5 · Clásicos de Nueva York</v>
      </c>
    </row>
    <row r="11" customFormat="false" ht="15" hidden="false" customHeight="false" outlineLevel="0" collapsed="false">
      <c r="B11" s="10" t="s">
        <v>40</v>
      </c>
      <c r="C11" s="22" t="n">
        <f aca="false">IF(C10=0,0,C9/C10)</f>
        <v>4</v>
      </c>
      <c r="E11" s="10" t="s">
        <v>41</v>
      </c>
      <c r="F11" s="20" t="n">
        <f aca="false">IFERROR(INDEX('3. COSTEO'!$D$8:$D$57,MATCH($F$7,'3. COSTEO'!$B$8:$B$57,0)),"")</f>
        <v>6</v>
      </c>
    </row>
    <row r="12" customFormat="false" ht="15" hidden="false" customHeight="false" outlineLevel="0" collapsed="false">
      <c r="B12" s="16" t="s">
        <v>42</v>
      </c>
      <c r="C12" s="23" t="n">
        <v>0.08</v>
      </c>
      <c r="E12" s="10" t="s">
        <v>43</v>
      </c>
      <c r="F12" s="24" t="n">
        <f aca="false">IFERROR(INDEX('3. COSTEO'!$E$8:$E$57,MATCH($F$7,'3. COSTEO'!$B$8:$B$57,0)),"")</f>
        <v>120.03</v>
      </c>
    </row>
    <row r="13" customFormat="false" ht="15" hidden="false" customHeight="false" outlineLevel="0" collapsed="false">
      <c r="B13" s="16" t="s">
        <v>44</v>
      </c>
      <c r="C13" s="25" t="n">
        <v>4000</v>
      </c>
      <c r="E13" s="10" t="s">
        <v>45</v>
      </c>
      <c r="F13" s="24" t="n">
        <f aca="false">IFERROR(INDEX('3. COSTEO'!$F$8:$F$57,MATCH($F$7,'3. COSTEO'!$B$8:$B$57,0)),"")</f>
        <v>20.005</v>
      </c>
    </row>
    <row r="14" customFormat="false" ht="15" hidden="false" customHeight="false" outlineLevel="0" collapsed="false">
      <c r="B14" s="16" t="s">
        <v>46</v>
      </c>
      <c r="C14" s="21" t="n">
        <v>400</v>
      </c>
      <c r="E14" s="10" t="s">
        <v>47</v>
      </c>
      <c r="F14" s="24" t="n">
        <f aca="false">IFERROR(INDEX('3. COSTEO'!$G$8:$G$57,MATCH($F$7,'3. COSTEO'!$B$8:$B$57,0)),"")</f>
        <v>6</v>
      </c>
    </row>
    <row r="15" customFormat="false" ht="15" hidden="false" customHeight="false" outlineLevel="0" collapsed="false">
      <c r="B15" s="10" t="s">
        <v>48</v>
      </c>
      <c r="C15" s="22" t="n">
        <f aca="false">IF(C14=0,0,C13/C14)</f>
        <v>10</v>
      </c>
      <c r="E15" s="10" t="s">
        <v>49</v>
      </c>
      <c r="F15" s="24" t="n">
        <f aca="false">IFERROR(INDEX('3. COSTEO'!$H$8:$H$57,MATCH($F$7,'3. COSTEO'!$B$8:$B$57,0)),"")</f>
        <v>2</v>
      </c>
    </row>
    <row r="16" customFormat="false" ht="15" hidden="false" customHeight="false" outlineLevel="0" collapsed="false">
      <c r="B16" s="16" t="s">
        <v>50</v>
      </c>
      <c r="C16" s="23" t="n">
        <v>0.6</v>
      </c>
      <c r="E16" s="10" t="s">
        <v>51</v>
      </c>
      <c r="F16" s="24" t="n">
        <f aca="false">IFERROR(INDEX('3. COSTEO'!$I$8:$I$57,MATCH($F$7,'3. COSTEO'!$B$8:$B$57,0)),"")</f>
        <v>4</v>
      </c>
    </row>
    <row r="17" customFormat="false" ht="15" hidden="false" customHeight="false" outlineLevel="0" collapsed="false">
      <c r="B17" s="16" t="s">
        <v>52</v>
      </c>
      <c r="C17" s="23" t="n">
        <v>0.35</v>
      </c>
      <c r="E17" s="10" t="s">
        <v>53</v>
      </c>
      <c r="F17" s="24" t="n">
        <f aca="false">IFERROR(INDEX('3. COSTEO'!$K$8:$K$57,MATCH($F$7,'3. COSTEO'!$B$8:$B$57,0)),"")</f>
        <v>2.5604</v>
      </c>
    </row>
    <row r="18" customFormat="false" ht="15" hidden="false" customHeight="false" outlineLevel="0" collapsed="false">
      <c r="B18" s="16" t="s">
        <v>54</v>
      </c>
      <c r="C18" s="21" t="n">
        <v>5</v>
      </c>
      <c r="E18" s="10" t="s">
        <v>55</v>
      </c>
      <c r="F18" s="24" t="n">
        <f aca="false">IFERROR(INDEX('3. COSTEO'!$L$8:$L$57,MATCH($F$7,'3. COSTEO'!$B$8:$B$57,0)),"")</f>
        <v>10</v>
      </c>
    </row>
    <row r="19" customFormat="false" ht="15" hidden="false" customHeight="false" outlineLevel="0" collapsed="false">
      <c r="B19" s="16" t="s">
        <v>56</v>
      </c>
      <c r="C19" s="23" t="n">
        <v>0.16</v>
      </c>
      <c r="E19" s="26" t="s">
        <v>57</v>
      </c>
      <c r="F19" s="27" t="n">
        <f aca="false">IFERROR(INDEX('3. COSTEO'!$M$8:$M$57,MATCH($F$7,'3. COSTEO'!$B$8:$B$57,0)),"")</f>
        <v>44.5654</v>
      </c>
    </row>
    <row r="20" customFormat="false" ht="15" hidden="false" customHeight="false" outlineLevel="0" collapsed="false">
      <c r="E20" s="26" t="s">
        <v>58</v>
      </c>
      <c r="F20" s="28" t="n">
        <f aca="false">IFERROR(INDEX('3. COSTEO'!$O$8:$O$57,MATCH($F$7,'3. COSTEO'!$B$8:$B$57,0)),"")</f>
        <v>115</v>
      </c>
    </row>
    <row r="21" customFormat="false" ht="15" hidden="false" customHeight="false" outlineLevel="0" collapsed="false">
      <c r="E21" s="10" t="s">
        <v>59</v>
      </c>
      <c r="F21" s="24" t="n">
        <f aca="false">IFERROR(INDEX('3. COSTEO'!$P$8:$P$57,MATCH($F$7,'3. COSTEO'!$B$8:$B$57,0)),"")</f>
        <v>70.4346</v>
      </c>
    </row>
    <row r="22" customFormat="false" ht="15" hidden="false" customHeight="false" outlineLevel="0" collapsed="false">
      <c r="B22" s="5" t="s">
        <v>60</v>
      </c>
      <c r="E22" s="10" t="s">
        <v>61</v>
      </c>
      <c r="F22" s="29" t="n">
        <f aca="false">IFERROR(INDEX('3. COSTEO'!$Q$8:$Q$57,MATCH($F$7,'3. COSTEO'!$B$8:$B$57,0)),"")</f>
        <v>0.612474782608696</v>
      </c>
    </row>
    <row r="23" customFormat="false" ht="15" hidden="false" customHeight="false" outlineLevel="0" collapsed="false">
      <c r="B23" s="10" t="s">
        <v>62</v>
      </c>
      <c r="C23" s="30" t="n">
        <f aca="false">COUNT('3. COSTEO'!$A$8:$A$57)</f>
        <v>50</v>
      </c>
      <c r="E23" s="26" t="s">
        <v>63</v>
      </c>
      <c r="F23" s="28" t="n">
        <f aca="false">IFERROR(INDEX('3. COSTEO'!$R$8:$R$57,MATCH($F$7,'3. COSTEO'!$B$8:$B$57,0)),"")</f>
        <v>70</v>
      </c>
    </row>
    <row r="24" customFormat="false" ht="15" hidden="false" customHeight="false" outlineLevel="0" collapsed="false">
      <c r="B24" s="10" t="s">
        <v>64</v>
      </c>
      <c r="C24" s="31" t="n">
        <f aca="false">AVERAGE('3. COSTEO'!$M$8:$M$57)</f>
        <v>46.5359565542311</v>
      </c>
      <c r="E24" s="10" t="s">
        <v>65</v>
      </c>
      <c r="F24" s="24" t="n">
        <f aca="false">IFERROR(INDEX('3. COSTEO'!$S$8:$S$57,MATCH($F$7,'3. COSTEO'!$B$8:$B$57,0)),"")</f>
        <v>25.4346</v>
      </c>
    </row>
    <row r="25" customFormat="false" ht="15" hidden="false" customHeight="false" outlineLevel="0" collapsed="false">
      <c r="B25" s="10" t="s">
        <v>66</v>
      </c>
      <c r="C25" s="31" t="n">
        <f aca="false">AVERAGE('3. COSTEO'!$O$8:$O$57)</f>
        <v>118.8</v>
      </c>
      <c r="E25" s="10" t="s">
        <v>67</v>
      </c>
      <c r="F25" s="24" t="n">
        <f aca="false">IFERROR(INDEX('3. COSTEO'!$T$8:$T$57,MATCH($F$7,'3. COSTEO'!$B$8:$B$57,0)),"")</f>
        <v>133.4</v>
      </c>
    </row>
    <row r="26" customFormat="false" ht="15" hidden="false" customHeight="false" outlineLevel="0" collapsed="false">
      <c r="B26" s="10" t="s">
        <v>68</v>
      </c>
      <c r="C26" s="31" t="n">
        <f aca="false">AVERAGE('3. COSTEO'!$P$8:$P$57)</f>
        <v>72.2640434457689</v>
      </c>
    </row>
    <row r="27" customFormat="false" ht="15" hidden="false" customHeight="false" outlineLevel="0" collapsed="false">
      <c r="B27" s="10" t="s">
        <v>69</v>
      </c>
      <c r="C27" s="32" t="str">
        <f aca="false">INDEX('3. COSTEO'!$B$8:$B$57,MATCH(MIN('3. COSTEO'!$M$8:$M$57),'3. COSTEO'!$M$8:$M$57,0))</f>
        <v>Galleta Rollo de Canela (Marmoleada y Glaseada)</v>
      </c>
      <c r="E27" s="5" t="s">
        <v>70</v>
      </c>
    </row>
    <row r="28" customFormat="false" ht="15" hidden="false" customHeight="false" outlineLevel="0" collapsed="false">
      <c r="B28" s="10" t="s">
        <v>71</v>
      </c>
      <c r="C28" s="32" t="str">
        <f aca="false">INDEX('3. COSTEO'!$B$8:$B$57,MATCH(MAX('3. COSTEO'!$M$8:$M$57),'3. COSTEO'!$M$8:$M$57,0))</f>
        <v>Pistache Intenso con Núcleo de Chocolate Blanco</v>
      </c>
      <c r="E28" s="10" t="s">
        <v>72</v>
      </c>
      <c r="F28" s="33" t="str">
        <f aca="false">IFERROR(INDEX('3. COSTEO'!$U$8:$U$57,MATCH($F$7,'3. COSTEO'!$B$8:$B$57,0)),"")</f>
        <v>Básico (receta de entrada al oficio)</v>
      </c>
      <c r="G28" s="33"/>
      <c r="H28" s="33"/>
    </row>
    <row r="29" customFormat="false" ht="15" hidden="false" customHeight="false" outlineLevel="0" collapsed="false">
      <c r="E29" s="10" t="s">
        <v>73</v>
      </c>
      <c r="F29" s="33" t="str">
        <f aca="false">IFERROR(INDEX('3. COSTEO'!$V$8:$V$57,MATCH($F$7,'3. COSTEO'!$B$8:$B$57,0)),"")</f>
        <v>200 °C (alta temperatura para sellar el exterior rocoso rápidamente).</v>
      </c>
      <c r="G29" s="33"/>
      <c r="H29" s="33"/>
    </row>
    <row r="30" customFormat="false" ht="15" hidden="false" customHeight="false" outlineLevel="0" collapsed="false">
      <c r="E30" s="10" t="s">
        <v>74</v>
      </c>
      <c r="F30" s="33" t="str">
        <f aca="false">IFERROR(INDEX('3. COSTEO'!$W$8:$W$57,MATCH($F$7,'3. COSTEO'!$B$8:$B$57,0)),"")</f>
        <v>12 a 14 minutos.</v>
      </c>
      <c r="G30" s="33"/>
      <c r="H30" s="33"/>
    </row>
    <row r="31" customFormat="false" ht="15" hidden="false" customHeight="false" outlineLevel="0" collapsed="false">
      <c r="E31" s="10" t="s">
        <v>75</v>
      </c>
      <c r="F31" s="33" t="str">
        <f aca="false">IFERROR(INDEX('3. COSTEO'!$X$8:$X$57,MATCH($F$7,'3. COSTEO'!$B$8:$B$57,0)),"")</f>
        <v>4 a 12 horas en refrigeración (4 °C).</v>
      </c>
      <c r="G31" s="33"/>
      <c r="H31" s="33"/>
    </row>
    <row r="33" customFormat="false" ht="15" hidden="false" customHeight="false" outlineLevel="0" collapsed="false">
      <c r="B33" s="15" t="s">
        <v>76</v>
      </c>
      <c r="C33" s="15"/>
      <c r="D33" s="15"/>
      <c r="E33" s="15"/>
      <c r="F33" s="15"/>
      <c r="G33" s="15"/>
      <c r="H33" s="15"/>
    </row>
  </sheetData>
  <mergeCells count="9">
    <mergeCell ref="A1:H1"/>
    <mergeCell ref="A2:H2"/>
    <mergeCell ref="A3:H3"/>
    <mergeCell ref="F7:H7"/>
    <mergeCell ref="F28:H28"/>
    <mergeCell ref="F29:H29"/>
    <mergeCell ref="F30:H30"/>
    <mergeCell ref="F31:H31"/>
    <mergeCell ref="B33:H33"/>
  </mergeCells>
  <dataValidations count="1">
    <dataValidation allowBlank="true" errorStyle="stop" operator="between" showDropDown="false" showErrorMessage="false" showInputMessage="false" sqref="F7" type="list">
      <formula1>LISTAS!$A$2:$A$51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2E7E"/>
    <pageSetUpPr fitToPage="true"/>
  </sheetPr>
  <dimension ref="A1:Z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6" min="6" style="0" width="15"/>
    <col collapsed="false" customWidth="true" hidden="false" outlineLevel="0" max="8" min="7" style="0" width="16"/>
    <col collapsed="false" customWidth="true" hidden="false" outlineLevel="0" max="9" min="9" style="0" width="3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77</v>
      </c>
      <c r="B2" s="2"/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A3" s="3" t="s">
        <v>78</v>
      </c>
      <c r="B3" s="3"/>
      <c r="C3" s="3"/>
      <c r="D3" s="3"/>
      <c r="E3" s="3"/>
      <c r="F3" s="3"/>
      <c r="G3" s="3"/>
      <c r="H3" s="3"/>
      <c r="I3" s="3"/>
    </row>
    <row r="4" customFormat="false" ht="3.7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7" customFormat="false" ht="30" hidden="false" customHeight="true" outlineLevel="0" collapsed="false">
      <c r="A7" s="34" t="s">
        <v>79</v>
      </c>
      <c r="B7" s="34" t="s">
        <v>80</v>
      </c>
      <c r="C7" s="34" t="s">
        <v>81</v>
      </c>
      <c r="D7" s="34" t="s">
        <v>82</v>
      </c>
      <c r="E7" s="34" t="s">
        <v>83</v>
      </c>
      <c r="F7" s="34" t="s">
        <v>84</v>
      </c>
      <c r="G7" s="34" t="s">
        <v>85</v>
      </c>
      <c r="H7" s="34" t="s">
        <v>86</v>
      </c>
      <c r="I7" s="34" t="s">
        <v>87</v>
      </c>
    </row>
    <row r="8" customFormat="false" ht="15" hidden="false" customHeight="false" outlineLevel="0" collapsed="false">
      <c r="A8" s="35" t="n">
        <v>1</v>
      </c>
      <c r="B8" s="36" t="s">
        <v>88</v>
      </c>
      <c r="C8" s="35" t="s">
        <v>89</v>
      </c>
      <c r="D8" s="35" t="s">
        <v>90</v>
      </c>
      <c r="E8" s="37" t="s">
        <v>91</v>
      </c>
      <c r="F8" s="38" t="n">
        <v>1000</v>
      </c>
      <c r="G8" s="39" t="n">
        <v>210</v>
      </c>
      <c r="H8" s="40" t="n">
        <f aca="false">IF(F8=0,0,G8/F8)</f>
        <v>0.21</v>
      </c>
      <c r="I8" s="41"/>
    </row>
    <row r="9" customFormat="false" ht="15" hidden="false" customHeight="false" outlineLevel="0" collapsed="false">
      <c r="A9" s="11" t="n">
        <v>2</v>
      </c>
      <c r="B9" s="16" t="s">
        <v>92</v>
      </c>
      <c r="C9" s="11" t="s">
        <v>89</v>
      </c>
      <c r="D9" s="11" t="s">
        <v>90</v>
      </c>
      <c r="E9" s="10" t="s">
        <v>93</v>
      </c>
      <c r="F9" s="38" t="n">
        <v>1000</v>
      </c>
      <c r="G9" s="39" t="n">
        <v>185</v>
      </c>
      <c r="H9" s="42" t="n">
        <f aca="false">IF(F9=0,0,G9/F9)</f>
        <v>0.185</v>
      </c>
      <c r="I9" s="43"/>
    </row>
    <row r="10" customFormat="false" ht="15" hidden="false" customHeight="false" outlineLevel="0" collapsed="false">
      <c r="A10" s="35" t="n">
        <v>3</v>
      </c>
      <c r="B10" s="36" t="s">
        <v>94</v>
      </c>
      <c r="C10" s="35" t="s">
        <v>89</v>
      </c>
      <c r="D10" s="35" t="s">
        <v>90</v>
      </c>
      <c r="E10" s="37" t="s">
        <v>95</v>
      </c>
      <c r="F10" s="38" t="n">
        <v>500</v>
      </c>
      <c r="G10" s="39" t="n">
        <v>180</v>
      </c>
      <c r="H10" s="40" t="n">
        <f aca="false">IF(F10=0,0,G10/F10)</f>
        <v>0.36</v>
      </c>
      <c r="I10" s="41"/>
    </row>
    <row r="11" customFormat="false" ht="15" hidden="false" customHeight="false" outlineLevel="0" collapsed="false">
      <c r="A11" s="11" t="n">
        <v>4</v>
      </c>
      <c r="B11" s="16" t="s">
        <v>96</v>
      </c>
      <c r="C11" s="11" t="s">
        <v>89</v>
      </c>
      <c r="D11" s="11" t="s">
        <v>90</v>
      </c>
      <c r="E11" s="10" t="s">
        <v>97</v>
      </c>
      <c r="F11" s="38" t="n">
        <v>250</v>
      </c>
      <c r="G11" s="39" t="n">
        <v>145</v>
      </c>
      <c r="H11" s="42" t="n">
        <f aca="false">IF(F11=0,0,G11/F11)</f>
        <v>0.58</v>
      </c>
      <c r="I11" s="43"/>
    </row>
    <row r="12" customFormat="false" ht="15" hidden="false" customHeight="false" outlineLevel="0" collapsed="false">
      <c r="A12" s="35" t="n">
        <v>5</v>
      </c>
      <c r="B12" s="36" t="s">
        <v>98</v>
      </c>
      <c r="C12" s="35" t="s">
        <v>89</v>
      </c>
      <c r="D12" s="35" t="s">
        <v>90</v>
      </c>
      <c r="E12" s="37" t="s">
        <v>99</v>
      </c>
      <c r="F12" s="38" t="n">
        <v>397</v>
      </c>
      <c r="G12" s="39" t="n">
        <v>34</v>
      </c>
      <c r="H12" s="40" t="n">
        <f aca="false">IF(F12=0,0,G12/F12)</f>
        <v>0.0856423173803527</v>
      </c>
      <c r="I12" s="41"/>
    </row>
    <row r="13" customFormat="false" ht="15" hidden="false" customHeight="false" outlineLevel="0" collapsed="false">
      <c r="A13" s="11" t="n">
        <v>6</v>
      </c>
      <c r="B13" s="16" t="s">
        <v>100</v>
      </c>
      <c r="C13" s="11" t="s">
        <v>89</v>
      </c>
      <c r="D13" s="11" t="s">
        <v>101</v>
      </c>
      <c r="E13" s="10" t="s">
        <v>102</v>
      </c>
      <c r="F13" s="38" t="n">
        <v>500</v>
      </c>
      <c r="G13" s="39" t="n">
        <v>150</v>
      </c>
      <c r="H13" s="42" t="n">
        <f aca="false">IF(F13=0,0,G13/F13)</f>
        <v>0.3</v>
      </c>
      <c r="I13" s="43"/>
    </row>
    <row r="14" customFormat="false" ht="15" hidden="false" customHeight="false" outlineLevel="0" collapsed="false">
      <c r="A14" s="35" t="n">
        <v>7</v>
      </c>
      <c r="B14" s="36" t="s">
        <v>103</v>
      </c>
      <c r="C14" s="35" t="s">
        <v>89</v>
      </c>
      <c r="D14" s="35" t="s">
        <v>101</v>
      </c>
      <c r="E14" s="37" t="s">
        <v>104</v>
      </c>
      <c r="F14" s="38" t="n">
        <v>50</v>
      </c>
      <c r="G14" s="39" t="n">
        <v>260</v>
      </c>
      <c r="H14" s="40" t="n">
        <f aca="false">IF(F14=0,0,G14/F14)</f>
        <v>5.2</v>
      </c>
      <c r="I14" s="41"/>
    </row>
    <row r="15" customFormat="false" ht="15" hidden="false" customHeight="false" outlineLevel="0" collapsed="false">
      <c r="A15" s="11" t="n">
        <v>8</v>
      </c>
      <c r="B15" s="16" t="s">
        <v>105</v>
      </c>
      <c r="C15" s="11" t="s">
        <v>106</v>
      </c>
      <c r="D15" s="11" t="s">
        <v>90</v>
      </c>
      <c r="E15" s="10" t="s">
        <v>107</v>
      </c>
      <c r="F15" s="38" t="n">
        <v>1000</v>
      </c>
      <c r="G15" s="39" t="n">
        <v>30</v>
      </c>
      <c r="H15" s="42" t="n">
        <f aca="false">IF(F15=0,0,G15/F15)</f>
        <v>0.03</v>
      </c>
      <c r="I15" s="43"/>
    </row>
    <row r="16" customFormat="false" ht="15" hidden="false" customHeight="false" outlineLevel="0" collapsed="false">
      <c r="A16" s="35" t="n">
        <v>9</v>
      </c>
      <c r="B16" s="36" t="s">
        <v>108</v>
      </c>
      <c r="C16" s="35" t="s">
        <v>106</v>
      </c>
      <c r="D16" s="35" t="s">
        <v>90</v>
      </c>
      <c r="E16" s="37" t="s">
        <v>107</v>
      </c>
      <c r="F16" s="38" t="n">
        <v>1000</v>
      </c>
      <c r="G16" s="39" t="n">
        <v>52</v>
      </c>
      <c r="H16" s="40" t="n">
        <f aca="false">IF(F16=0,0,G16/F16)</f>
        <v>0.052</v>
      </c>
      <c r="I16" s="41"/>
    </row>
    <row r="17" customFormat="false" ht="15" hidden="false" customHeight="false" outlineLevel="0" collapsed="false">
      <c r="A17" s="11" t="n">
        <v>10</v>
      </c>
      <c r="B17" s="16" t="s">
        <v>109</v>
      </c>
      <c r="C17" s="11" t="s">
        <v>106</v>
      </c>
      <c r="D17" s="11" t="s">
        <v>90</v>
      </c>
      <c r="E17" s="10" t="s">
        <v>107</v>
      </c>
      <c r="F17" s="38" t="n">
        <v>1000</v>
      </c>
      <c r="G17" s="39" t="n">
        <v>58</v>
      </c>
      <c r="H17" s="42" t="n">
        <f aca="false">IF(F17=0,0,G17/F17)</f>
        <v>0.058</v>
      </c>
      <c r="I17" s="43"/>
    </row>
    <row r="18" customFormat="false" ht="15" hidden="false" customHeight="false" outlineLevel="0" collapsed="false">
      <c r="A18" s="35" t="n">
        <v>11</v>
      </c>
      <c r="B18" s="36" t="s">
        <v>110</v>
      </c>
      <c r="C18" s="35" t="s">
        <v>106</v>
      </c>
      <c r="D18" s="35" t="s">
        <v>90</v>
      </c>
      <c r="E18" s="37" t="s">
        <v>111</v>
      </c>
      <c r="F18" s="38" t="n">
        <v>500</v>
      </c>
      <c r="G18" s="39" t="n">
        <v>32</v>
      </c>
      <c r="H18" s="40" t="n">
        <f aca="false">IF(F18=0,0,G18/F18)</f>
        <v>0.064</v>
      </c>
      <c r="I18" s="41"/>
    </row>
    <row r="19" customFormat="false" ht="15" hidden="false" customHeight="false" outlineLevel="0" collapsed="false">
      <c r="A19" s="11" t="n">
        <v>12</v>
      </c>
      <c r="B19" s="16" t="s">
        <v>112</v>
      </c>
      <c r="C19" s="11" t="s">
        <v>106</v>
      </c>
      <c r="D19" s="11" t="s">
        <v>90</v>
      </c>
      <c r="E19" s="10" t="s">
        <v>113</v>
      </c>
      <c r="F19" s="38" t="n">
        <v>1000</v>
      </c>
      <c r="G19" s="39" t="n">
        <v>48</v>
      </c>
      <c r="H19" s="42" t="n">
        <f aca="false">IF(F19=0,0,G19/F19)</f>
        <v>0.048</v>
      </c>
      <c r="I19" s="43"/>
    </row>
    <row r="20" customFormat="false" ht="15" hidden="false" customHeight="false" outlineLevel="0" collapsed="false">
      <c r="A20" s="35" t="n">
        <v>13</v>
      </c>
      <c r="B20" s="36" t="s">
        <v>114</v>
      </c>
      <c r="C20" s="35" t="s">
        <v>106</v>
      </c>
      <c r="D20" s="35" t="s">
        <v>90</v>
      </c>
      <c r="E20" s="37" t="s">
        <v>115</v>
      </c>
      <c r="F20" s="38" t="n">
        <v>500</v>
      </c>
      <c r="G20" s="39" t="n">
        <v>72</v>
      </c>
      <c r="H20" s="40" t="n">
        <f aca="false">IF(F20=0,0,G20/F20)</f>
        <v>0.144</v>
      </c>
      <c r="I20" s="41"/>
    </row>
    <row r="21" customFormat="false" ht="15" hidden="false" customHeight="false" outlineLevel="0" collapsed="false">
      <c r="A21" s="11" t="n">
        <v>14</v>
      </c>
      <c r="B21" s="16" t="s">
        <v>116</v>
      </c>
      <c r="C21" s="11" t="s">
        <v>106</v>
      </c>
      <c r="D21" s="11" t="s">
        <v>90</v>
      </c>
      <c r="E21" s="10" t="s">
        <v>117</v>
      </c>
      <c r="F21" s="38" t="n">
        <v>640</v>
      </c>
      <c r="G21" s="39" t="n">
        <v>98</v>
      </c>
      <c r="H21" s="42" t="n">
        <f aca="false">IF(F21=0,0,G21/F21)</f>
        <v>0.153125</v>
      </c>
      <c r="I21" s="43"/>
    </row>
    <row r="22" customFormat="false" ht="15" hidden="false" customHeight="false" outlineLevel="0" collapsed="false">
      <c r="A22" s="35" t="n">
        <v>15</v>
      </c>
      <c r="B22" s="36" t="s">
        <v>118</v>
      </c>
      <c r="C22" s="35" t="s">
        <v>106</v>
      </c>
      <c r="D22" s="35" t="s">
        <v>90</v>
      </c>
      <c r="E22" s="37" t="s">
        <v>111</v>
      </c>
      <c r="F22" s="38" t="n">
        <v>500</v>
      </c>
      <c r="G22" s="39" t="n">
        <v>125</v>
      </c>
      <c r="H22" s="40" t="n">
        <f aca="false">IF(F22=0,0,G22/F22)</f>
        <v>0.25</v>
      </c>
      <c r="I22" s="41"/>
    </row>
    <row r="23" customFormat="false" ht="15" hidden="false" customHeight="false" outlineLevel="0" collapsed="false">
      <c r="A23" s="11" t="n">
        <v>16</v>
      </c>
      <c r="B23" s="16" t="s">
        <v>119</v>
      </c>
      <c r="C23" s="11" t="s">
        <v>106</v>
      </c>
      <c r="D23" s="11" t="s">
        <v>90</v>
      </c>
      <c r="E23" s="10" t="s">
        <v>120</v>
      </c>
      <c r="F23" s="38" t="n">
        <v>200</v>
      </c>
      <c r="G23" s="39" t="n">
        <v>50</v>
      </c>
      <c r="H23" s="42" t="n">
        <f aca="false">IF(F23=0,0,G23/F23)</f>
        <v>0.25</v>
      </c>
      <c r="I23" s="43"/>
    </row>
    <row r="24" customFormat="false" ht="15" hidden="false" customHeight="false" outlineLevel="0" collapsed="false">
      <c r="A24" s="35" t="n">
        <v>17</v>
      </c>
      <c r="B24" s="36" t="s">
        <v>121</v>
      </c>
      <c r="C24" s="35" t="s">
        <v>106</v>
      </c>
      <c r="D24" s="35" t="s">
        <v>90</v>
      </c>
      <c r="E24" s="37" t="s">
        <v>122</v>
      </c>
      <c r="F24" s="38" t="n">
        <v>250</v>
      </c>
      <c r="G24" s="39" t="n">
        <v>48</v>
      </c>
      <c r="H24" s="40" t="n">
        <f aca="false">IF(F24=0,0,G24/F24)</f>
        <v>0.192</v>
      </c>
      <c r="I24" s="41"/>
    </row>
    <row r="25" customFormat="false" ht="15" hidden="false" customHeight="false" outlineLevel="0" collapsed="false">
      <c r="A25" s="11" t="n">
        <v>18</v>
      </c>
      <c r="B25" s="16" t="s">
        <v>123</v>
      </c>
      <c r="C25" s="11" t="s">
        <v>106</v>
      </c>
      <c r="D25" s="11" t="s">
        <v>90</v>
      </c>
      <c r="E25" s="10" t="s">
        <v>115</v>
      </c>
      <c r="F25" s="38" t="n">
        <v>500</v>
      </c>
      <c r="G25" s="39" t="n">
        <v>68</v>
      </c>
      <c r="H25" s="42" t="n">
        <f aca="false">IF(F25=0,0,G25/F25)</f>
        <v>0.136</v>
      </c>
      <c r="I25" s="43"/>
    </row>
    <row r="26" customFormat="false" ht="15" hidden="false" customHeight="false" outlineLevel="0" collapsed="false">
      <c r="A26" s="35" t="n">
        <v>19</v>
      </c>
      <c r="B26" s="36" t="s">
        <v>124</v>
      </c>
      <c r="C26" s="35" t="s">
        <v>106</v>
      </c>
      <c r="D26" s="35" t="s">
        <v>90</v>
      </c>
      <c r="E26" s="37" t="s">
        <v>125</v>
      </c>
      <c r="F26" s="38" t="n">
        <v>300</v>
      </c>
      <c r="G26" s="39" t="n">
        <v>88</v>
      </c>
      <c r="H26" s="40" t="n">
        <f aca="false">IF(F26=0,0,G26/F26)</f>
        <v>0.293333333333333</v>
      </c>
      <c r="I26" s="41"/>
    </row>
    <row r="27" customFormat="false" ht="15" hidden="false" customHeight="false" outlineLevel="0" collapsed="false">
      <c r="A27" s="11" t="n">
        <v>20</v>
      </c>
      <c r="B27" s="16" t="s">
        <v>126</v>
      </c>
      <c r="C27" s="11" t="s">
        <v>127</v>
      </c>
      <c r="D27" s="11" t="s">
        <v>90</v>
      </c>
      <c r="E27" s="10" t="s">
        <v>107</v>
      </c>
      <c r="F27" s="38" t="n">
        <v>1000</v>
      </c>
      <c r="G27" s="39" t="n">
        <v>30</v>
      </c>
      <c r="H27" s="42" t="n">
        <f aca="false">IF(F27=0,0,G27/F27)</f>
        <v>0.03</v>
      </c>
      <c r="I27" s="43"/>
    </row>
    <row r="28" customFormat="false" ht="15" hidden="false" customHeight="false" outlineLevel="0" collapsed="false">
      <c r="A28" s="35" t="n">
        <v>21</v>
      </c>
      <c r="B28" s="36" t="s">
        <v>128</v>
      </c>
      <c r="C28" s="35" t="s">
        <v>127</v>
      </c>
      <c r="D28" s="35" t="s">
        <v>90</v>
      </c>
      <c r="E28" s="37" t="s">
        <v>107</v>
      </c>
      <c r="F28" s="38" t="n">
        <v>1000</v>
      </c>
      <c r="G28" s="39" t="n">
        <v>26</v>
      </c>
      <c r="H28" s="40" t="n">
        <f aca="false">IF(F28=0,0,G28/F28)</f>
        <v>0.026</v>
      </c>
      <c r="I28" s="41"/>
    </row>
    <row r="29" customFormat="false" ht="15" hidden="false" customHeight="false" outlineLevel="0" collapsed="false">
      <c r="A29" s="11" t="n">
        <v>22</v>
      </c>
      <c r="B29" s="16" t="s">
        <v>129</v>
      </c>
      <c r="C29" s="11" t="s">
        <v>127</v>
      </c>
      <c r="D29" s="11" t="s">
        <v>90</v>
      </c>
      <c r="E29" s="10" t="s">
        <v>122</v>
      </c>
      <c r="F29" s="38" t="n">
        <v>250</v>
      </c>
      <c r="G29" s="39" t="n">
        <v>155</v>
      </c>
      <c r="H29" s="42" t="n">
        <f aca="false">IF(F29=0,0,G29/F29)</f>
        <v>0.62</v>
      </c>
      <c r="I29" s="43"/>
    </row>
    <row r="30" customFormat="false" ht="15" hidden="false" customHeight="false" outlineLevel="0" collapsed="false">
      <c r="A30" s="35" t="n">
        <v>23</v>
      </c>
      <c r="B30" s="36" t="s">
        <v>130</v>
      </c>
      <c r="C30" s="35" t="s">
        <v>127</v>
      </c>
      <c r="D30" s="35" t="s">
        <v>90</v>
      </c>
      <c r="E30" s="37" t="s">
        <v>131</v>
      </c>
      <c r="F30" s="38" t="n">
        <v>400</v>
      </c>
      <c r="G30" s="39" t="n">
        <v>36</v>
      </c>
      <c r="H30" s="40" t="n">
        <f aca="false">IF(F30=0,0,G30/F30)</f>
        <v>0.09</v>
      </c>
      <c r="I30" s="41"/>
    </row>
    <row r="31" customFormat="false" ht="15" hidden="false" customHeight="false" outlineLevel="0" collapsed="false">
      <c r="A31" s="11" t="n">
        <v>24</v>
      </c>
      <c r="B31" s="16" t="s">
        <v>132</v>
      </c>
      <c r="C31" s="11" t="s">
        <v>127</v>
      </c>
      <c r="D31" s="11" t="s">
        <v>90</v>
      </c>
      <c r="E31" s="10" t="s">
        <v>107</v>
      </c>
      <c r="F31" s="38" t="n">
        <v>1000</v>
      </c>
      <c r="G31" s="39" t="n">
        <v>48</v>
      </c>
      <c r="H31" s="42" t="n">
        <f aca="false">IF(F31=0,0,G31/F31)</f>
        <v>0.048</v>
      </c>
      <c r="I31" s="43"/>
    </row>
    <row r="32" customFormat="false" ht="15" hidden="false" customHeight="false" outlineLevel="0" collapsed="false">
      <c r="A32" s="35" t="n">
        <v>25</v>
      </c>
      <c r="B32" s="36" t="s">
        <v>133</v>
      </c>
      <c r="C32" s="35" t="s">
        <v>127</v>
      </c>
      <c r="D32" s="35" t="s">
        <v>90</v>
      </c>
      <c r="E32" s="37" t="s">
        <v>134</v>
      </c>
      <c r="F32" s="38" t="n">
        <v>200</v>
      </c>
      <c r="G32" s="39" t="n">
        <v>26</v>
      </c>
      <c r="H32" s="40" t="n">
        <f aca="false">IF(F32=0,0,G32/F32)</f>
        <v>0.13</v>
      </c>
      <c r="I32" s="41"/>
    </row>
    <row r="33" customFormat="false" ht="15" hidden="false" customHeight="false" outlineLevel="0" collapsed="false">
      <c r="A33" s="11" t="n">
        <v>26</v>
      </c>
      <c r="B33" s="16" t="s">
        <v>135</v>
      </c>
      <c r="C33" s="11" t="s">
        <v>127</v>
      </c>
      <c r="D33" s="11" t="s">
        <v>90</v>
      </c>
      <c r="E33" s="10" t="s">
        <v>136</v>
      </c>
      <c r="F33" s="38" t="n">
        <v>50</v>
      </c>
      <c r="G33" s="39" t="n">
        <v>45</v>
      </c>
      <c r="H33" s="42" t="n">
        <f aca="false">IF(F33=0,0,G33/F33)</f>
        <v>0.9</v>
      </c>
      <c r="I33" s="43"/>
    </row>
    <row r="34" customFormat="false" ht="15" hidden="false" customHeight="false" outlineLevel="0" collapsed="false">
      <c r="A34" s="35" t="n">
        <v>27</v>
      </c>
      <c r="B34" s="36" t="s">
        <v>137</v>
      </c>
      <c r="C34" s="35" t="s">
        <v>127</v>
      </c>
      <c r="D34" s="35" t="s">
        <v>90</v>
      </c>
      <c r="E34" s="37" t="s">
        <v>138</v>
      </c>
      <c r="F34" s="38" t="n">
        <v>250</v>
      </c>
      <c r="G34" s="39" t="n">
        <v>78</v>
      </c>
      <c r="H34" s="40" t="n">
        <f aca="false">IF(F34=0,0,G34/F34)</f>
        <v>0.312</v>
      </c>
      <c r="I34" s="41"/>
    </row>
    <row r="35" customFormat="false" ht="15" hidden="false" customHeight="false" outlineLevel="0" collapsed="false">
      <c r="A35" s="11" t="n">
        <v>28</v>
      </c>
      <c r="B35" s="16" t="s">
        <v>139</v>
      </c>
      <c r="C35" s="11" t="s">
        <v>127</v>
      </c>
      <c r="D35" s="11" t="s">
        <v>90</v>
      </c>
      <c r="E35" s="10" t="s">
        <v>140</v>
      </c>
      <c r="F35" s="38" t="n">
        <v>170</v>
      </c>
      <c r="G35" s="39" t="n">
        <v>28</v>
      </c>
      <c r="H35" s="42" t="n">
        <f aca="false">IF(F35=0,0,G35/F35)</f>
        <v>0.164705882352941</v>
      </c>
      <c r="I35" s="43"/>
    </row>
    <row r="36" customFormat="false" ht="15" hidden="false" customHeight="false" outlineLevel="0" collapsed="false">
      <c r="A36" s="35" t="n">
        <v>29</v>
      </c>
      <c r="B36" s="36" t="s">
        <v>141</v>
      </c>
      <c r="C36" s="35" t="s">
        <v>127</v>
      </c>
      <c r="D36" s="35" t="s">
        <v>90</v>
      </c>
      <c r="E36" s="37" t="s">
        <v>120</v>
      </c>
      <c r="F36" s="38" t="n">
        <v>200</v>
      </c>
      <c r="G36" s="39" t="n">
        <v>52</v>
      </c>
      <c r="H36" s="40" t="n">
        <f aca="false">IF(F36=0,0,G36/F36)</f>
        <v>0.26</v>
      </c>
      <c r="I36" s="41"/>
    </row>
    <row r="37" customFormat="false" ht="15" hidden="false" customHeight="false" outlineLevel="0" collapsed="false">
      <c r="A37" s="11" t="n">
        <v>30</v>
      </c>
      <c r="B37" s="16" t="s">
        <v>142</v>
      </c>
      <c r="C37" s="11" t="s">
        <v>143</v>
      </c>
      <c r="D37" s="11" t="s">
        <v>144</v>
      </c>
      <c r="E37" s="10" t="s">
        <v>145</v>
      </c>
      <c r="F37" s="38" t="n">
        <v>30</v>
      </c>
      <c r="G37" s="39" t="n">
        <v>96</v>
      </c>
      <c r="H37" s="42" t="n">
        <f aca="false">IF(F37=0,0,G37/F37)</f>
        <v>3.2</v>
      </c>
      <c r="I37" s="43"/>
    </row>
    <row r="38" customFormat="false" ht="15" hidden="false" customHeight="false" outlineLevel="0" collapsed="false">
      <c r="A38" s="35" t="n">
        <v>31</v>
      </c>
      <c r="B38" s="36" t="s">
        <v>146</v>
      </c>
      <c r="C38" s="35" t="s">
        <v>147</v>
      </c>
      <c r="D38" s="35" t="s">
        <v>90</v>
      </c>
      <c r="E38" s="37" t="s">
        <v>93</v>
      </c>
      <c r="F38" s="38" t="n">
        <v>1000</v>
      </c>
      <c r="G38" s="39" t="n">
        <v>210</v>
      </c>
      <c r="H38" s="40" t="n">
        <f aca="false">IF(F38=0,0,G38/F38)</f>
        <v>0.21</v>
      </c>
      <c r="I38" s="41"/>
    </row>
    <row r="39" customFormat="false" ht="15" hidden="false" customHeight="false" outlineLevel="0" collapsed="false">
      <c r="A39" s="11" t="n">
        <v>32</v>
      </c>
      <c r="B39" s="16" t="s">
        <v>148</v>
      </c>
      <c r="C39" s="11" t="s">
        <v>147</v>
      </c>
      <c r="D39" s="11" t="s">
        <v>90</v>
      </c>
      <c r="E39" s="10" t="s">
        <v>93</v>
      </c>
      <c r="F39" s="38" t="n">
        <v>1000</v>
      </c>
      <c r="G39" s="39" t="n">
        <v>265</v>
      </c>
      <c r="H39" s="42" t="n">
        <f aca="false">IF(F39=0,0,G39/F39)</f>
        <v>0.265</v>
      </c>
      <c r="I39" s="43"/>
    </row>
    <row r="40" customFormat="false" ht="15" hidden="false" customHeight="false" outlineLevel="0" collapsed="false">
      <c r="A40" s="35" t="n">
        <v>33</v>
      </c>
      <c r="B40" s="36" t="s">
        <v>149</v>
      </c>
      <c r="C40" s="35" t="s">
        <v>147</v>
      </c>
      <c r="D40" s="35" t="s">
        <v>90</v>
      </c>
      <c r="E40" s="37" t="s">
        <v>93</v>
      </c>
      <c r="F40" s="38" t="n">
        <v>1000</v>
      </c>
      <c r="G40" s="39" t="n">
        <v>235</v>
      </c>
      <c r="H40" s="40" t="n">
        <f aca="false">IF(F40=0,0,G40/F40)</f>
        <v>0.235</v>
      </c>
      <c r="I40" s="41"/>
    </row>
    <row r="41" customFormat="false" ht="15" hidden="false" customHeight="false" outlineLevel="0" collapsed="false">
      <c r="A41" s="11" t="n">
        <v>34</v>
      </c>
      <c r="B41" s="16" t="s">
        <v>150</v>
      </c>
      <c r="C41" s="11" t="s">
        <v>147</v>
      </c>
      <c r="D41" s="11" t="s">
        <v>90</v>
      </c>
      <c r="E41" s="10" t="s">
        <v>93</v>
      </c>
      <c r="F41" s="38" t="n">
        <v>1000</v>
      </c>
      <c r="G41" s="39" t="n">
        <v>220</v>
      </c>
      <c r="H41" s="42" t="n">
        <f aca="false">IF(F41=0,0,G41/F41)</f>
        <v>0.22</v>
      </c>
      <c r="I41" s="43"/>
    </row>
    <row r="42" customFormat="false" ht="15" hidden="false" customHeight="false" outlineLevel="0" collapsed="false">
      <c r="A42" s="35" t="n">
        <v>35</v>
      </c>
      <c r="B42" s="36" t="s">
        <v>151</v>
      </c>
      <c r="C42" s="35" t="s">
        <v>147</v>
      </c>
      <c r="D42" s="35" t="s">
        <v>90</v>
      </c>
      <c r="E42" s="37" t="s">
        <v>111</v>
      </c>
      <c r="F42" s="38" t="n">
        <v>500</v>
      </c>
      <c r="G42" s="39" t="n">
        <v>320</v>
      </c>
      <c r="H42" s="40" t="n">
        <f aca="false">IF(F42=0,0,G42/F42)</f>
        <v>0.64</v>
      </c>
      <c r="I42" s="41"/>
    </row>
    <row r="43" customFormat="false" ht="15" hidden="false" customHeight="false" outlineLevel="0" collapsed="false">
      <c r="A43" s="11" t="n">
        <v>36</v>
      </c>
      <c r="B43" s="16" t="s">
        <v>152</v>
      </c>
      <c r="C43" s="11" t="s">
        <v>147</v>
      </c>
      <c r="D43" s="11" t="s">
        <v>90</v>
      </c>
      <c r="E43" s="10" t="s">
        <v>111</v>
      </c>
      <c r="F43" s="38" t="n">
        <v>500</v>
      </c>
      <c r="G43" s="39" t="n">
        <v>340</v>
      </c>
      <c r="H43" s="42" t="n">
        <f aca="false">IF(F43=0,0,G43/F43)</f>
        <v>0.68</v>
      </c>
      <c r="I43" s="43"/>
    </row>
    <row r="44" customFormat="false" ht="15" hidden="false" customHeight="false" outlineLevel="0" collapsed="false">
      <c r="A44" s="35" t="n">
        <v>37</v>
      </c>
      <c r="B44" s="36" t="s">
        <v>153</v>
      </c>
      <c r="C44" s="35" t="s">
        <v>147</v>
      </c>
      <c r="D44" s="35" t="s">
        <v>90</v>
      </c>
      <c r="E44" s="37" t="s">
        <v>154</v>
      </c>
      <c r="F44" s="38" t="n">
        <v>200</v>
      </c>
      <c r="G44" s="39" t="n">
        <v>110</v>
      </c>
      <c r="H44" s="40" t="n">
        <f aca="false">IF(F44=0,0,G44/F44)</f>
        <v>0.55</v>
      </c>
      <c r="I44" s="41"/>
    </row>
    <row r="45" customFormat="false" ht="15" hidden="false" customHeight="false" outlineLevel="0" collapsed="false">
      <c r="A45" s="11" t="n">
        <v>38</v>
      </c>
      <c r="B45" s="16" t="s">
        <v>155</v>
      </c>
      <c r="C45" s="11" t="s">
        <v>147</v>
      </c>
      <c r="D45" s="11" t="s">
        <v>90</v>
      </c>
      <c r="E45" s="10" t="s">
        <v>107</v>
      </c>
      <c r="F45" s="38" t="n">
        <v>1000</v>
      </c>
      <c r="G45" s="39" t="n">
        <v>155</v>
      </c>
      <c r="H45" s="42" t="n">
        <f aca="false">IF(F45=0,0,G45/F45)</f>
        <v>0.155</v>
      </c>
      <c r="I45" s="43"/>
    </row>
    <row r="46" customFormat="false" ht="15" hidden="false" customHeight="false" outlineLevel="0" collapsed="false">
      <c r="A46" s="35" t="n">
        <v>39</v>
      </c>
      <c r="B46" s="36" t="s">
        <v>156</v>
      </c>
      <c r="C46" s="35" t="s">
        <v>147</v>
      </c>
      <c r="D46" s="35" t="s">
        <v>90</v>
      </c>
      <c r="E46" s="37" t="s">
        <v>107</v>
      </c>
      <c r="F46" s="38" t="n">
        <v>1000</v>
      </c>
      <c r="G46" s="39" t="n">
        <v>175</v>
      </c>
      <c r="H46" s="40" t="n">
        <f aca="false">IF(F46=0,0,G46/F46)</f>
        <v>0.175</v>
      </c>
      <c r="I46" s="41"/>
    </row>
    <row r="47" customFormat="false" ht="15" hidden="false" customHeight="false" outlineLevel="0" collapsed="false">
      <c r="A47" s="11" t="n">
        <v>40</v>
      </c>
      <c r="B47" s="16" t="s">
        <v>157</v>
      </c>
      <c r="C47" s="11" t="s">
        <v>147</v>
      </c>
      <c r="D47" s="11" t="s">
        <v>90</v>
      </c>
      <c r="E47" s="10" t="s">
        <v>107</v>
      </c>
      <c r="F47" s="38" t="n">
        <v>1000</v>
      </c>
      <c r="G47" s="39" t="n">
        <v>165</v>
      </c>
      <c r="H47" s="42" t="n">
        <f aca="false">IF(F47=0,0,G47/F47)</f>
        <v>0.165</v>
      </c>
      <c r="I47" s="43"/>
    </row>
    <row r="48" customFormat="false" ht="15" hidden="false" customHeight="false" outlineLevel="0" collapsed="false">
      <c r="A48" s="35" t="n">
        <v>41</v>
      </c>
      <c r="B48" s="36" t="s">
        <v>158</v>
      </c>
      <c r="C48" s="35" t="s">
        <v>147</v>
      </c>
      <c r="D48" s="35" t="s">
        <v>90</v>
      </c>
      <c r="E48" s="37" t="s">
        <v>122</v>
      </c>
      <c r="F48" s="38" t="n">
        <v>250</v>
      </c>
      <c r="G48" s="39" t="n">
        <v>62</v>
      </c>
      <c r="H48" s="40" t="n">
        <f aca="false">IF(F48=0,0,G48/F48)</f>
        <v>0.248</v>
      </c>
      <c r="I48" s="41"/>
    </row>
    <row r="49" customFormat="false" ht="15" hidden="false" customHeight="false" outlineLevel="0" collapsed="false">
      <c r="A49" s="11" t="n">
        <v>42</v>
      </c>
      <c r="B49" s="16" t="s">
        <v>159</v>
      </c>
      <c r="C49" s="11" t="s">
        <v>147</v>
      </c>
      <c r="D49" s="11" t="s">
        <v>90</v>
      </c>
      <c r="E49" s="10" t="s">
        <v>111</v>
      </c>
      <c r="F49" s="38" t="n">
        <v>500</v>
      </c>
      <c r="G49" s="39" t="n">
        <v>138</v>
      </c>
      <c r="H49" s="42" t="n">
        <f aca="false">IF(F49=0,0,G49/F49)</f>
        <v>0.276</v>
      </c>
      <c r="I49" s="43"/>
    </row>
    <row r="50" customFormat="false" ht="15" hidden="false" customHeight="false" outlineLevel="0" collapsed="false">
      <c r="A50" s="35" t="n">
        <v>43</v>
      </c>
      <c r="B50" s="36" t="s">
        <v>160</v>
      </c>
      <c r="C50" s="35" t="s">
        <v>147</v>
      </c>
      <c r="D50" s="35" t="s">
        <v>90</v>
      </c>
      <c r="E50" s="37" t="s">
        <v>111</v>
      </c>
      <c r="F50" s="38" t="n">
        <v>500</v>
      </c>
      <c r="G50" s="39" t="n">
        <v>122</v>
      </c>
      <c r="H50" s="40" t="n">
        <f aca="false">IF(F50=0,0,G50/F50)</f>
        <v>0.244</v>
      </c>
      <c r="I50" s="41"/>
    </row>
    <row r="51" customFormat="false" ht="15" hidden="false" customHeight="false" outlineLevel="0" collapsed="false">
      <c r="A51" s="11" t="n">
        <v>44</v>
      </c>
      <c r="B51" s="16" t="s">
        <v>161</v>
      </c>
      <c r="C51" s="11" t="s">
        <v>147</v>
      </c>
      <c r="D51" s="11" t="s">
        <v>90</v>
      </c>
      <c r="E51" s="10" t="s">
        <v>162</v>
      </c>
      <c r="F51" s="38" t="n">
        <v>780</v>
      </c>
      <c r="G51" s="39" t="n">
        <v>185</v>
      </c>
      <c r="H51" s="42" t="n">
        <f aca="false">IF(F51=0,0,G51/F51)</f>
        <v>0.237179487179487</v>
      </c>
      <c r="I51" s="43"/>
    </row>
    <row r="52" customFormat="false" ht="15" hidden="false" customHeight="false" outlineLevel="0" collapsed="false">
      <c r="A52" s="35" t="n">
        <v>45</v>
      </c>
      <c r="B52" s="36" t="s">
        <v>163</v>
      </c>
      <c r="C52" s="35" t="s">
        <v>147</v>
      </c>
      <c r="D52" s="35" t="s">
        <v>90</v>
      </c>
      <c r="E52" s="37" t="s">
        <v>164</v>
      </c>
      <c r="F52" s="38" t="n">
        <v>350</v>
      </c>
      <c r="G52" s="39" t="n">
        <v>145</v>
      </c>
      <c r="H52" s="40" t="n">
        <f aca="false">IF(F52=0,0,G52/F52)</f>
        <v>0.414285714285714</v>
      </c>
      <c r="I52" s="41"/>
    </row>
    <row r="53" customFormat="false" ht="15" hidden="false" customHeight="false" outlineLevel="0" collapsed="false">
      <c r="A53" s="11" t="n">
        <v>46</v>
      </c>
      <c r="B53" s="16" t="s">
        <v>165</v>
      </c>
      <c r="C53" s="11" t="s">
        <v>147</v>
      </c>
      <c r="D53" s="11" t="s">
        <v>90</v>
      </c>
      <c r="E53" s="10" t="s">
        <v>166</v>
      </c>
      <c r="F53" s="38" t="n">
        <v>400</v>
      </c>
      <c r="G53" s="39" t="n">
        <v>135</v>
      </c>
      <c r="H53" s="42" t="n">
        <f aca="false">IF(F53=0,0,G53/F53)</f>
        <v>0.3375</v>
      </c>
      <c r="I53" s="43"/>
    </row>
    <row r="54" customFormat="false" ht="15" hidden="false" customHeight="false" outlineLevel="0" collapsed="false">
      <c r="A54" s="35" t="n">
        <v>47</v>
      </c>
      <c r="B54" s="36" t="s">
        <v>167</v>
      </c>
      <c r="C54" s="35" t="s">
        <v>147</v>
      </c>
      <c r="D54" s="35" t="s">
        <v>90</v>
      </c>
      <c r="E54" s="37" t="s">
        <v>168</v>
      </c>
      <c r="F54" s="38" t="n">
        <v>500</v>
      </c>
      <c r="G54" s="39" t="n">
        <v>82</v>
      </c>
      <c r="H54" s="40" t="n">
        <f aca="false">IF(F54=0,0,G54/F54)</f>
        <v>0.164</v>
      </c>
      <c r="I54" s="41"/>
    </row>
    <row r="55" customFormat="false" ht="15" hidden="false" customHeight="false" outlineLevel="0" collapsed="false">
      <c r="A55" s="11" t="n">
        <v>48</v>
      </c>
      <c r="B55" s="16" t="s">
        <v>169</v>
      </c>
      <c r="C55" s="11" t="s">
        <v>170</v>
      </c>
      <c r="D55" s="11" t="s">
        <v>90</v>
      </c>
      <c r="E55" s="10" t="s">
        <v>111</v>
      </c>
      <c r="F55" s="38" t="n">
        <v>500</v>
      </c>
      <c r="G55" s="39" t="n">
        <v>225</v>
      </c>
      <c r="H55" s="42" t="n">
        <f aca="false">IF(F55=0,0,G55/F55)</f>
        <v>0.45</v>
      </c>
      <c r="I55" s="43"/>
    </row>
    <row r="56" customFormat="false" ht="15" hidden="false" customHeight="false" outlineLevel="0" collapsed="false">
      <c r="A56" s="35" t="n">
        <v>49</v>
      </c>
      <c r="B56" s="36" t="s">
        <v>171</v>
      </c>
      <c r="C56" s="35" t="s">
        <v>170</v>
      </c>
      <c r="D56" s="35" t="s">
        <v>90</v>
      </c>
      <c r="E56" s="37" t="s">
        <v>122</v>
      </c>
      <c r="F56" s="38" t="n">
        <v>250</v>
      </c>
      <c r="G56" s="39" t="n">
        <v>135</v>
      </c>
      <c r="H56" s="40" t="n">
        <f aca="false">IF(F56=0,0,G56/F56)</f>
        <v>0.54</v>
      </c>
      <c r="I56" s="41"/>
    </row>
    <row r="57" customFormat="false" ht="15" hidden="false" customHeight="false" outlineLevel="0" collapsed="false">
      <c r="A57" s="11" t="n">
        <v>50</v>
      </c>
      <c r="B57" s="16" t="s">
        <v>172</v>
      </c>
      <c r="C57" s="11" t="s">
        <v>170</v>
      </c>
      <c r="D57" s="11" t="s">
        <v>90</v>
      </c>
      <c r="E57" s="10" t="s">
        <v>111</v>
      </c>
      <c r="F57" s="38" t="n">
        <v>500</v>
      </c>
      <c r="G57" s="39" t="n">
        <v>195</v>
      </c>
      <c r="H57" s="42" t="n">
        <f aca="false">IF(F57=0,0,G57/F57)</f>
        <v>0.39</v>
      </c>
      <c r="I57" s="43"/>
    </row>
    <row r="58" customFormat="false" ht="15" hidden="false" customHeight="false" outlineLevel="0" collapsed="false">
      <c r="A58" s="35" t="n">
        <v>51</v>
      </c>
      <c r="B58" s="36" t="s">
        <v>173</v>
      </c>
      <c r="C58" s="35" t="s">
        <v>170</v>
      </c>
      <c r="D58" s="35" t="s">
        <v>90</v>
      </c>
      <c r="E58" s="37" t="s">
        <v>122</v>
      </c>
      <c r="F58" s="38" t="n">
        <v>250</v>
      </c>
      <c r="G58" s="39" t="n">
        <v>195</v>
      </c>
      <c r="H58" s="40" t="n">
        <f aca="false">IF(F58=0,0,G58/F58)</f>
        <v>0.78</v>
      </c>
      <c r="I58" s="41"/>
    </row>
    <row r="59" customFormat="false" ht="15" hidden="false" customHeight="false" outlineLevel="0" collapsed="false">
      <c r="A59" s="11" t="n">
        <v>52</v>
      </c>
      <c r="B59" s="16" t="s">
        <v>174</v>
      </c>
      <c r="C59" s="11" t="s">
        <v>170</v>
      </c>
      <c r="D59" s="11" t="s">
        <v>90</v>
      </c>
      <c r="E59" s="10" t="s">
        <v>122</v>
      </c>
      <c r="F59" s="38" t="n">
        <v>250</v>
      </c>
      <c r="G59" s="39" t="n">
        <v>185</v>
      </c>
      <c r="H59" s="42" t="n">
        <f aca="false">IF(F59=0,0,G59/F59)</f>
        <v>0.74</v>
      </c>
      <c r="I59" s="43"/>
    </row>
    <row r="60" customFormat="false" ht="15" hidden="false" customHeight="false" outlineLevel="0" collapsed="false">
      <c r="A60" s="35" t="n">
        <v>53</v>
      </c>
      <c r="B60" s="36" t="s">
        <v>175</v>
      </c>
      <c r="C60" s="35" t="s">
        <v>170</v>
      </c>
      <c r="D60" s="35" t="s">
        <v>90</v>
      </c>
      <c r="E60" s="37" t="s">
        <v>111</v>
      </c>
      <c r="F60" s="38" t="n">
        <v>500</v>
      </c>
      <c r="G60" s="39" t="n">
        <v>265</v>
      </c>
      <c r="H60" s="40" t="n">
        <f aca="false">IF(F60=0,0,G60/F60)</f>
        <v>0.53</v>
      </c>
      <c r="I60" s="41"/>
    </row>
    <row r="61" customFormat="false" ht="15" hidden="false" customHeight="false" outlineLevel="0" collapsed="false">
      <c r="A61" s="11" t="n">
        <v>54</v>
      </c>
      <c r="B61" s="16" t="s">
        <v>176</v>
      </c>
      <c r="C61" s="11" t="s">
        <v>170</v>
      </c>
      <c r="D61" s="11" t="s">
        <v>90</v>
      </c>
      <c r="E61" s="10" t="s">
        <v>122</v>
      </c>
      <c r="F61" s="38" t="n">
        <v>250</v>
      </c>
      <c r="G61" s="39" t="n">
        <v>195</v>
      </c>
      <c r="H61" s="42" t="n">
        <f aca="false">IF(F61=0,0,G61/F61)</f>
        <v>0.78</v>
      </c>
      <c r="I61" s="43"/>
    </row>
    <row r="62" customFormat="false" ht="15" hidden="false" customHeight="false" outlineLevel="0" collapsed="false">
      <c r="A62" s="35" t="n">
        <v>55</v>
      </c>
      <c r="B62" s="36" t="s">
        <v>177</v>
      </c>
      <c r="C62" s="35" t="s">
        <v>170</v>
      </c>
      <c r="D62" s="35" t="s">
        <v>90</v>
      </c>
      <c r="E62" s="37" t="s">
        <v>111</v>
      </c>
      <c r="F62" s="38" t="n">
        <v>500</v>
      </c>
      <c r="G62" s="39" t="n">
        <v>62</v>
      </c>
      <c r="H62" s="40" t="n">
        <f aca="false">IF(F62=0,0,G62/F62)</f>
        <v>0.124</v>
      </c>
      <c r="I62" s="41"/>
    </row>
    <row r="63" customFormat="false" ht="15" hidden="false" customHeight="false" outlineLevel="0" collapsed="false">
      <c r="A63" s="11" t="n">
        <v>56</v>
      </c>
      <c r="B63" s="16" t="s">
        <v>178</v>
      </c>
      <c r="C63" s="11" t="s">
        <v>170</v>
      </c>
      <c r="D63" s="11" t="s">
        <v>90</v>
      </c>
      <c r="E63" s="10" t="s">
        <v>122</v>
      </c>
      <c r="F63" s="38" t="n">
        <v>250</v>
      </c>
      <c r="G63" s="39" t="n">
        <v>48</v>
      </c>
      <c r="H63" s="42" t="n">
        <f aca="false">IF(F63=0,0,G63/F63)</f>
        <v>0.192</v>
      </c>
      <c r="I63" s="43"/>
    </row>
    <row r="64" customFormat="false" ht="15" hidden="false" customHeight="false" outlineLevel="0" collapsed="false">
      <c r="A64" s="35" t="n">
        <v>57</v>
      </c>
      <c r="B64" s="36" t="s">
        <v>179</v>
      </c>
      <c r="C64" s="35" t="s">
        <v>170</v>
      </c>
      <c r="D64" s="35" t="s">
        <v>90</v>
      </c>
      <c r="E64" s="37" t="s">
        <v>111</v>
      </c>
      <c r="F64" s="38" t="n">
        <v>500</v>
      </c>
      <c r="G64" s="39" t="n">
        <v>68</v>
      </c>
      <c r="H64" s="40" t="n">
        <f aca="false">IF(F64=0,0,G64/F64)</f>
        <v>0.136</v>
      </c>
      <c r="I64" s="41"/>
    </row>
    <row r="65" customFormat="false" ht="15" hidden="false" customHeight="false" outlineLevel="0" collapsed="false">
      <c r="A65" s="11" t="n">
        <v>58</v>
      </c>
      <c r="B65" s="16" t="s">
        <v>180</v>
      </c>
      <c r="C65" s="11" t="s">
        <v>170</v>
      </c>
      <c r="D65" s="11" t="s">
        <v>90</v>
      </c>
      <c r="E65" s="10" t="s">
        <v>181</v>
      </c>
      <c r="F65" s="38" t="n">
        <v>200</v>
      </c>
      <c r="G65" s="39" t="n">
        <v>425</v>
      </c>
      <c r="H65" s="42" t="n">
        <f aca="false">IF(F65=0,0,G65/F65)</f>
        <v>2.125</v>
      </c>
      <c r="I65" s="43"/>
    </row>
    <row r="66" customFormat="false" ht="15" hidden="false" customHeight="false" outlineLevel="0" collapsed="false">
      <c r="A66" s="35" t="n">
        <v>59</v>
      </c>
      <c r="B66" s="36" t="s">
        <v>182</v>
      </c>
      <c r="C66" s="35" t="s">
        <v>183</v>
      </c>
      <c r="D66" s="35" t="s">
        <v>90</v>
      </c>
      <c r="E66" s="37" t="s">
        <v>111</v>
      </c>
      <c r="F66" s="38" t="n">
        <v>500</v>
      </c>
      <c r="G66" s="39" t="n">
        <v>72</v>
      </c>
      <c r="H66" s="40" t="n">
        <f aca="false">IF(F66=0,0,G66/F66)</f>
        <v>0.144</v>
      </c>
      <c r="I66" s="41"/>
    </row>
    <row r="67" customFormat="false" ht="15" hidden="false" customHeight="false" outlineLevel="0" collapsed="false">
      <c r="A67" s="11" t="n">
        <v>60</v>
      </c>
      <c r="B67" s="16" t="s">
        <v>184</v>
      </c>
      <c r="C67" s="11" t="s">
        <v>183</v>
      </c>
      <c r="D67" s="11" t="s">
        <v>90</v>
      </c>
      <c r="E67" s="10" t="s">
        <v>111</v>
      </c>
      <c r="F67" s="38" t="n">
        <v>500</v>
      </c>
      <c r="G67" s="39" t="n">
        <v>62</v>
      </c>
      <c r="H67" s="42" t="n">
        <f aca="false">IF(F67=0,0,G67/F67)</f>
        <v>0.124</v>
      </c>
      <c r="I67" s="43"/>
    </row>
    <row r="68" customFormat="false" ht="15" hidden="false" customHeight="false" outlineLevel="0" collapsed="false">
      <c r="A68" s="35" t="n">
        <v>61</v>
      </c>
      <c r="B68" s="36" t="s">
        <v>185</v>
      </c>
      <c r="C68" s="35" t="s">
        <v>183</v>
      </c>
      <c r="D68" s="35" t="s">
        <v>90</v>
      </c>
      <c r="E68" s="37" t="s">
        <v>186</v>
      </c>
      <c r="F68" s="38" t="n">
        <v>100</v>
      </c>
      <c r="G68" s="39" t="n">
        <v>195</v>
      </c>
      <c r="H68" s="40" t="n">
        <f aca="false">IF(F68=0,0,G68/F68)</f>
        <v>1.95</v>
      </c>
      <c r="I68" s="41"/>
    </row>
    <row r="69" customFormat="false" ht="15" hidden="false" customHeight="false" outlineLevel="0" collapsed="false">
      <c r="A69" s="11" t="n">
        <v>62</v>
      </c>
      <c r="B69" s="16" t="s">
        <v>187</v>
      </c>
      <c r="C69" s="11" t="s">
        <v>183</v>
      </c>
      <c r="D69" s="11" t="s">
        <v>90</v>
      </c>
      <c r="E69" s="10" t="s">
        <v>186</v>
      </c>
      <c r="F69" s="38" t="n">
        <v>100</v>
      </c>
      <c r="G69" s="39" t="n">
        <v>175</v>
      </c>
      <c r="H69" s="42" t="n">
        <f aca="false">IF(F69=0,0,G69/F69)</f>
        <v>1.75</v>
      </c>
      <c r="I69" s="43"/>
    </row>
    <row r="70" customFormat="false" ht="15" hidden="false" customHeight="false" outlineLevel="0" collapsed="false">
      <c r="A70" s="35" t="n">
        <v>63</v>
      </c>
      <c r="B70" s="36" t="s">
        <v>188</v>
      </c>
      <c r="C70" s="35" t="s">
        <v>183</v>
      </c>
      <c r="D70" s="35" t="s">
        <v>90</v>
      </c>
      <c r="E70" s="37" t="s">
        <v>122</v>
      </c>
      <c r="F70" s="38" t="n">
        <v>250</v>
      </c>
      <c r="G70" s="39" t="n">
        <v>98</v>
      </c>
      <c r="H70" s="40" t="n">
        <f aca="false">IF(F70=0,0,G70/F70)</f>
        <v>0.392</v>
      </c>
      <c r="I70" s="41"/>
    </row>
    <row r="71" customFormat="false" ht="15" hidden="false" customHeight="false" outlineLevel="0" collapsed="false">
      <c r="A71" s="11" t="n">
        <v>64</v>
      </c>
      <c r="B71" s="16" t="s">
        <v>189</v>
      </c>
      <c r="C71" s="11" t="s">
        <v>183</v>
      </c>
      <c r="D71" s="11" t="s">
        <v>90</v>
      </c>
      <c r="E71" s="10" t="s">
        <v>122</v>
      </c>
      <c r="F71" s="38" t="n">
        <v>250</v>
      </c>
      <c r="G71" s="39" t="n">
        <v>88</v>
      </c>
      <c r="H71" s="42" t="n">
        <f aca="false">IF(F71=0,0,G71/F71)</f>
        <v>0.352</v>
      </c>
      <c r="I71" s="43"/>
    </row>
    <row r="72" customFormat="false" ht="15" hidden="false" customHeight="false" outlineLevel="0" collapsed="false">
      <c r="A72" s="35" t="n">
        <v>65</v>
      </c>
      <c r="B72" s="36" t="s">
        <v>190</v>
      </c>
      <c r="C72" s="35" t="s">
        <v>183</v>
      </c>
      <c r="D72" s="35" t="s">
        <v>90</v>
      </c>
      <c r="E72" s="37" t="s">
        <v>120</v>
      </c>
      <c r="F72" s="38" t="n">
        <v>200</v>
      </c>
      <c r="G72" s="39" t="n">
        <v>82</v>
      </c>
      <c r="H72" s="40" t="n">
        <f aca="false">IF(F72=0,0,G72/F72)</f>
        <v>0.41</v>
      </c>
      <c r="I72" s="41"/>
    </row>
    <row r="73" customFormat="false" ht="15" hidden="false" customHeight="false" outlineLevel="0" collapsed="false">
      <c r="A73" s="11" t="n">
        <v>66</v>
      </c>
      <c r="B73" s="16" t="s">
        <v>191</v>
      </c>
      <c r="C73" s="11" t="s">
        <v>183</v>
      </c>
      <c r="D73" s="11" t="s">
        <v>90</v>
      </c>
      <c r="E73" s="10" t="s">
        <v>122</v>
      </c>
      <c r="F73" s="38" t="n">
        <v>250</v>
      </c>
      <c r="G73" s="39" t="n">
        <v>125</v>
      </c>
      <c r="H73" s="42" t="n">
        <f aca="false">IF(F73=0,0,G73/F73)</f>
        <v>0.5</v>
      </c>
      <c r="I73" s="43"/>
    </row>
    <row r="74" customFormat="false" ht="15" hidden="false" customHeight="false" outlineLevel="0" collapsed="false">
      <c r="A74" s="35" t="n">
        <v>67</v>
      </c>
      <c r="B74" s="36" t="s">
        <v>192</v>
      </c>
      <c r="C74" s="35" t="s">
        <v>183</v>
      </c>
      <c r="D74" s="35" t="s">
        <v>90</v>
      </c>
      <c r="E74" s="37" t="s">
        <v>193</v>
      </c>
      <c r="F74" s="38" t="n">
        <v>1000</v>
      </c>
      <c r="G74" s="39" t="n">
        <v>32</v>
      </c>
      <c r="H74" s="40" t="n">
        <f aca="false">IF(F74=0,0,G74/F74)</f>
        <v>0.032</v>
      </c>
      <c r="I74" s="41"/>
    </row>
    <row r="75" customFormat="false" ht="15" hidden="false" customHeight="false" outlineLevel="0" collapsed="false">
      <c r="A75" s="11" t="n">
        <v>68</v>
      </c>
      <c r="B75" s="16" t="s">
        <v>194</v>
      </c>
      <c r="C75" s="11" t="s">
        <v>183</v>
      </c>
      <c r="D75" s="11" t="s">
        <v>90</v>
      </c>
      <c r="E75" s="10" t="s">
        <v>193</v>
      </c>
      <c r="F75" s="38" t="n">
        <v>1000</v>
      </c>
      <c r="G75" s="39" t="n">
        <v>26</v>
      </c>
      <c r="H75" s="42" t="n">
        <f aca="false">IF(F75=0,0,G75/F75)</f>
        <v>0.026</v>
      </c>
      <c r="I75" s="43"/>
    </row>
    <row r="76" customFormat="false" ht="15" hidden="false" customHeight="false" outlineLevel="0" collapsed="false">
      <c r="A76" s="35" t="n">
        <v>69</v>
      </c>
      <c r="B76" s="36" t="s">
        <v>195</v>
      </c>
      <c r="C76" s="35" t="s">
        <v>196</v>
      </c>
      <c r="D76" s="35" t="s">
        <v>90</v>
      </c>
      <c r="E76" s="37" t="s">
        <v>107</v>
      </c>
      <c r="F76" s="38" t="n">
        <v>1000</v>
      </c>
      <c r="G76" s="39" t="n">
        <v>20</v>
      </c>
      <c r="H76" s="40" t="n">
        <f aca="false">IF(F76=0,0,G76/F76)</f>
        <v>0.02</v>
      </c>
      <c r="I76" s="41"/>
    </row>
    <row r="77" customFormat="false" ht="15" hidden="false" customHeight="false" outlineLevel="0" collapsed="false">
      <c r="A77" s="11" t="n">
        <v>70</v>
      </c>
      <c r="B77" s="16" t="s">
        <v>197</v>
      </c>
      <c r="C77" s="11" t="s">
        <v>196</v>
      </c>
      <c r="D77" s="11" t="s">
        <v>90</v>
      </c>
      <c r="E77" s="10" t="s">
        <v>198</v>
      </c>
      <c r="F77" s="38" t="n">
        <v>250</v>
      </c>
      <c r="G77" s="39" t="n">
        <v>125</v>
      </c>
      <c r="H77" s="42" t="n">
        <f aca="false">IF(F77=0,0,G77/F77)</f>
        <v>0.5</v>
      </c>
      <c r="I77" s="43"/>
    </row>
    <row r="78" customFormat="false" ht="15" hidden="false" customHeight="false" outlineLevel="0" collapsed="false">
      <c r="A78" s="35" t="n">
        <v>71</v>
      </c>
      <c r="B78" s="36" t="s">
        <v>199</v>
      </c>
      <c r="C78" s="35" t="s">
        <v>196</v>
      </c>
      <c r="D78" s="35" t="s">
        <v>90</v>
      </c>
      <c r="E78" s="37" t="s">
        <v>200</v>
      </c>
      <c r="F78" s="38" t="n">
        <v>100</v>
      </c>
      <c r="G78" s="39" t="n">
        <v>95</v>
      </c>
      <c r="H78" s="40" t="n">
        <f aca="false">IF(F78=0,0,G78/F78)</f>
        <v>0.95</v>
      </c>
      <c r="I78" s="41"/>
    </row>
    <row r="79" customFormat="false" ht="15" hidden="false" customHeight="false" outlineLevel="0" collapsed="false">
      <c r="A79" s="11" t="n">
        <v>72</v>
      </c>
      <c r="B79" s="16" t="s">
        <v>201</v>
      </c>
      <c r="C79" s="11" t="s">
        <v>196</v>
      </c>
      <c r="D79" s="11" t="s">
        <v>90</v>
      </c>
      <c r="E79" s="10" t="s">
        <v>200</v>
      </c>
      <c r="F79" s="38" t="n">
        <v>100</v>
      </c>
      <c r="G79" s="39" t="n">
        <v>46</v>
      </c>
      <c r="H79" s="42" t="n">
        <f aca="false">IF(F79=0,0,G79/F79)</f>
        <v>0.46</v>
      </c>
      <c r="I79" s="43"/>
    </row>
    <row r="80" customFormat="false" ht="15" hidden="false" customHeight="false" outlineLevel="0" collapsed="false">
      <c r="A80" s="35" t="n">
        <v>73</v>
      </c>
      <c r="B80" s="36" t="s">
        <v>202</v>
      </c>
      <c r="C80" s="35" t="s">
        <v>196</v>
      </c>
      <c r="D80" s="35" t="s">
        <v>90</v>
      </c>
      <c r="E80" s="37" t="s">
        <v>200</v>
      </c>
      <c r="F80" s="38" t="n">
        <v>100</v>
      </c>
      <c r="G80" s="39" t="n">
        <v>56</v>
      </c>
      <c r="H80" s="40" t="n">
        <f aca="false">IF(F80=0,0,G80/F80)</f>
        <v>0.56</v>
      </c>
      <c r="I80" s="41"/>
    </row>
    <row r="81" customFormat="false" ht="15" hidden="false" customHeight="false" outlineLevel="0" collapsed="false">
      <c r="A81" s="11" t="n">
        <v>74</v>
      </c>
      <c r="B81" s="16" t="s">
        <v>203</v>
      </c>
      <c r="C81" s="11" t="s">
        <v>196</v>
      </c>
      <c r="D81" s="11" t="s">
        <v>90</v>
      </c>
      <c r="E81" s="10" t="s">
        <v>200</v>
      </c>
      <c r="F81" s="38" t="n">
        <v>100</v>
      </c>
      <c r="G81" s="39" t="n">
        <v>72</v>
      </c>
      <c r="H81" s="42" t="n">
        <f aca="false">IF(F81=0,0,G81/F81)</f>
        <v>0.72</v>
      </c>
      <c r="I81" s="43"/>
    </row>
    <row r="82" customFormat="false" ht="15" hidden="false" customHeight="false" outlineLevel="0" collapsed="false">
      <c r="A82" s="35" t="n">
        <v>75</v>
      </c>
      <c r="B82" s="36" t="s">
        <v>204</v>
      </c>
      <c r="C82" s="35" t="s">
        <v>196</v>
      </c>
      <c r="D82" s="35" t="s">
        <v>90</v>
      </c>
      <c r="E82" s="37" t="s">
        <v>136</v>
      </c>
      <c r="F82" s="38" t="n">
        <v>50</v>
      </c>
      <c r="G82" s="39" t="n">
        <v>62</v>
      </c>
      <c r="H82" s="40" t="n">
        <f aca="false">IF(F82=0,0,G82/F82)</f>
        <v>1.24</v>
      </c>
      <c r="I82" s="41"/>
    </row>
    <row r="83" customFormat="false" ht="15" hidden="false" customHeight="false" outlineLevel="0" collapsed="false">
      <c r="A83" s="11" t="n">
        <v>76</v>
      </c>
      <c r="B83" s="16" t="s">
        <v>205</v>
      </c>
      <c r="C83" s="11" t="s">
        <v>196</v>
      </c>
      <c r="D83" s="11" t="s">
        <v>90</v>
      </c>
      <c r="E83" s="10" t="s">
        <v>136</v>
      </c>
      <c r="F83" s="38" t="n">
        <v>50</v>
      </c>
      <c r="G83" s="39" t="n">
        <v>68</v>
      </c>
      <c r="H83" s="42" t="n">
        <f aca="false">IF(F83=0,0,G83/F83)</f>
        <v>1.36</v>
      </c>
      <c r="I83" s="43"/>
    </row>
    <row r="84" customFormat="false" ht="15" hidden="false" customHeight="false" outlineLevel="0" collapsed="false">
      <c r="A84" s="35" t="n">
        <v>77</v>
      </c>
      <c r="B84" s="36" t="s">
        <v>206</v>
      </c>
      <c r="C84" s="35" t="s">
        <v>196</v>
      </c>
      <c r="D84" s="35" t="s">
        <v>90</v>
      </c>
      <c r="E84" s="37" t="s">
        <v>186</v>
      </c>
      <c r="F84" s="38" t="n">
        <v>100</v>
      </c>
      <c r="G84" s="39" t="n">
        <v>42</v>
      </c>
      <c r="H84" s="40" t="n">
        <f aca="false">IF(F84=0,0,G84/F84)</f>
        <v>0.42</v>
      </c>
      <c r="I84" s="41"/>
    </row>
    <row r="85" customFormat="false" ht="15" hidden="false" customHeight="false" outlineLevel="0" collapsed="false">
      <c r="A85" s="11" t="n">
        <v>78</v>
      </c>
      <c r="B85" s="16" t="s">
        <v>207</v>
      </c>
      <c r="C85" s="11" t="s">
        <v>196</v>
      </c>
      <c r="D85" s="11" t="s">
        <v>90</v>
      </c>
      <c r="E85" s="10" t="s">
        <v>200</v>
      </c>
      <c r="F85" s="38" t="n">
        <v>100</v>
      </c>
      <c r="G85" s="39" t="n">
        <v>46</v>
      </c>
      <c r="H85" s="42" t="n">
        <f aca="false">IF(F85=0,0,G85/F85)</f>
        <v>0.46</v>
      </c>
      <c r="I85" s="43"/>
    </row>
    <row r="86" customFormat="false" ht="15" hidden="false" customHeight="false" outlineLevel="0" collapsed="false">
      <c r="A86" s="35" t="n">
        <v>79</v>
      </c>
      <c r="B86" s="36" t="s">
        <v>208</v>
      </c>
      <c r="C86" s="35" t="s">
        <v>196</v>
      </c>
      <c r="D86" s="35" t="s">
        <v>90</v>
      </c>
      <c r="E86" s="37" t="s">
        <v>209</v>
      </c>
      <c r="F86" s="38" t="n">
        <v>50</v>
      </c>
      <c r="G86" s="39" t="n">
        <v>125</v>
      </c>
      <c r="H86" s="40" t="n">
        <f aca="false">IF(F86=0,0,G86/F86)</f>
        <v>2.5</v>
      </c>
      <c r="I86" s="41"/>
    </row>
    <row r="87" customFormat="false" ht="15" hidden="false" customHeight="false" outlineLevel="0" collapsed="false">
      <c r="A87" s="11" t="n">
        <v>80</v>
      </c>
      <c r="B87" s="16" t="s">
        <v>210</v>
      </c>
      <c r="C87" s="11" t="s">
        <v>196</v>
      </c>
      <c r="D87" s="11" t="s">
        <v>90</v>
      </c>
      <c r="E87" s="10" t="s">
        <v>211</v>
      </c>
      <c r="F87" s="38" t="n">
        <v>100</v>
      </c>
      <c r="G87" s="39" t="n">
        <v>265</v>
      </c>
      <c r="H87" s="42" t="n">
        <f aca="false">IF(F87=0,0,G87/F87)</f>
        <v>2.65</v>
      </c>
      <c r="I87" s="43"/>
    </row>
    <row r="88" customFormat="false" ht="15" hidden="false" customHeight="false" outlineLevel="0" collapsed="false">
      <c r="A88" s="35" t="n">
        <v>81</v>
      </c>
      <c r="B88" s="36" t="s">
        <v>212</v>
      </c>
      <c r="C88" s="35" t="s">
        <v>196</v>
      </c>
      <c r="D88" s="35" t="s">
        <v>90</v>
      </c>
      <c r="E88" s="37" t="s">
        <v>211</v>
      </c>
      <c r="F88" s="38" t="n">
        <v>100</v>
      </c>
      <c r="G88" s="39" t="n">
        <v>135</v>
      </c>
      <c r="H88" s="40" t="n">
        <f aca="false">IF(F88=0,0,G88/F88)</f>
        <v>1.35</v>
      </c>
      <c r="I88" s="41"/>
    </row>
    <row r="89" customFormat="false" ht="15" hidden="false" customHeight="false" outlineLevel="0" collapsed="false">
      <c r="A89" s="11" t="n">
        <v>82</v>
      </c>
      <c r="B89" s="16" t="s">
        <v>213</v>
      </c>
      <c r="C89" s="11" t="s">
        <v>196</v>
      </c>
      <c r="D89" s="11" t="s">
        <v>90</v>
      </c>
      <c r="E89" s="10" t="s">
        <v>214</v>
      </c>
      <c r="F89" s="38" t="n">
        <v>50</v>
      </c>
      <c r="G89" s="39" t="n">
        <v>25</v>
      </c>
      <c r="H89" s="42" t="n">
        <f aca="false">IF(F89=0,0,G89/F89)</f>
        <v>0.5</v>
      </c>
      <c r="I89" s="43"/>
    </row>
    <row r="90" customFormat="false" ht="15" hidden="false" customHeight="false" outlineLevel="0" collapsed="false">
      <c r="A90" s="35" t="n">
        <v>83</v>
      </c>
      <c r="B90" s="36" t="s">
        <v>215</v>
      </c>
      <c r="C90" s="35" t="s">
        <v>196</v>
      </c>
      <c r="D90" s="35" t="s">
        <v>90</v>
      </c>
      <c r="E90" s="37" t="s">
        <v>200</v>
      </c>
      <c r="F90" s="38" t="n">
        <v>100</v>
      </c>
      <c r="G90" s="39" t="n">
        <v>185</v>
      </c>
      <c r="H90" s="40" t="n">
        <f aca="false">IF(F90=0,0,G90/F90)</f>
        <v>1.85</v>
      </c>
      <c r="I90" s="41"/>
    </row>
    <row r="91" customFormat="false" ht="15" hidden="false" customHeight="false" outlineLevel="0" collapsed="false">
      <c r="A91" s="11" t="n">
        <v>84</v>
      </c>
      <c r="B91" s="16" t="s">
        <v>216</v>
      </c>
      <c r="C91" s="11" t="s">
        <v>196</v>
      </c>
      <c r="D91" s="11" t="s">
        <v>90</v>
      </c>
      <c r="E91" s="10" t="s">
        <v>166</v>
      </c>
      <c r="F91" s="38" t="n">
        <v>400</v>
      </c>
      <c r="G91" s="39" t="n">
        <v>155</v>
      </c>
      <c r="H91" s="42" t="n">
        <f aca="false">IF(F91=0,0,G91/F91)</f>
        <v>0.3875</v>
      </c>
      <c r="I91" s="43"/>
    </row>
    <row r="92" customFormat="false" ht="15" hidden="false" customHeight="false" outlineLevel="0" collapsed="false">
      <c r="A92" s="35" t="n">
        <v>85</v>
      </c>
      <c r="B92" s="36" t="s">
        <v>217</v>
      </c>
      <c r="C92" s="35" t="s">
        <v>196</v>
      </c>
      <c r="D92" s="35" t="s">
        <v>101</v>
      </c>
      <c r="E92" s="37" t="s">
        <v>218</v>
      </c>
      <c r="F92" s="38" t="n">
        <v>250</v>
      </c>
      <c r="G92" s="39" t="n">
        <v>185</v>
      </c>
      <c r="H92" s="40" t="n">
        <f aca="false">IF(F92=0,0,G92/F92)</f>
        <v>0.74</v>
      </c>
      <c r="I92" s="41"/>
    </row>
    <row r="93" customFormat="false" ht="15" hidden="false" customHeight="false" outlineLevel="0" collapsed="false">
      <c r="A93" s="11" t="n">
        <v>86</v>
      </c>
      <c r="B93" s="16" t="s">
        <v>219</v>
      </c>
      <c r="C93" s="11" t="s">
        <v>196</v>
      </c>
      <c r="D93" s="11" t="s">
        <v>101</v>
      </c>
      <c r="E93" s="10" t="s">
        <v>220</v>
      </c>
      <c r="F93" s="38" t="n">
        <v>120</v>
      </c>
      <c r="G93" s="39" t="n">
        <v>98</v>
      </c>
      <c r="H93" s="42" t="n">
        <f aca="false">IF(F93=0,0,G93/F93)</f>
        <v>0.816666666666667</v>
      </c>
      <c r="I93" s="43"/>
    </row>
    <row r="94" customFormat="false" ht="15" hidden="false" customHeight="false" outlineLevel="0" collapsed="false">
      <c r="A94" s="35" t="n">
        <v>87</v>
      </c>
      <c r="B94" s="36" t="s">
        <v>221</v>
      </c>
      <c r="C94" s="35" t="s">
        <v>196</v>
      </c>
      <c r="D94" s="35" t="s">
        <v>101</v>
      </c>
      <c r="E94" s="37" t="s">
        <v>220</v>
      </c>
      <c r="F94" s="38" t="n">
        <v>120</v>
      </c>
      <c r="G94" s="39" t="n">
        <v>72</v>
      </c>
      <c r="H94" s="40" t="n">
        <f aca="false">IF(F94=0,0,G94/F94)</f>
        <v>0.6</v>
      </c>
      <c r="I94" s="41"/>
    </row>
    <row r="95" customFormat="false" ht="15" hidden="false" customHeight="false" outlineLevel="0" collapsed="false">
      <c r="A95" s="11" t="n">
        <v>88</v>
      </c>
      <c r="B95" s="16" t="s">
        <v>222</v>
      </c>
      <c r="C95" s="11" t="s">
        <v>196</v>
      </c>
      <c r="D95" s="11" t="s">
        <v>101</v>
      </c>
      <c r="E95" s="10" t="s">
        <v>220</v>
      </c>
      <c r="F95" s="38" t="n">
        <v>120</v>
      </c>
      <c r="G95" s="39" t="n">
        <v>74</v>
      </c>
      <c r="H95" s="42" t="n">
        <f aca="false">IF(F95=0,0,G95/F95)</f>
        <v>0.616666666666667</v>
      </c>
      <c r="I95" s="43"/>
    </row>
    <row r="96" customFormat="false" ht="15" hidden="false" customHeight="false" outlineLevel="0" collapsed="false">
      <c r="A96" s="35" t="n">
        <v>89</v>
      </c>
      <c r="B96" s="36" t="s">
        <v>223</v>
      </c>
      <c r="C96" s="35" t="s">
        <v>196</v>
      </c>
      <c r="D96" s="35" t="s">
        <v>101</v>
      </c>
      <c r="E96" s="37" t="s">
        <v>224</v>
      </c>
      <c r="F96" s="38" t="n">
        <v>30</v>
      </c>
      <c r="G96" s="39" t="n">
        <v>72</v>
      </c>
      <c r="H96" s="40" t="n">
        <f aca="false">IF(F96=0,0,G96/F96)</f>
        <v>2.4</v>
      </c>
      <c r="I96" s="41"/>
    </row>
    <row r="97" customFormat="false" ht="15" hidden="false" customHeight="false" outlineLevel="0" collapsed="false">
      <c r="A97" s="11" t="n">
        <v>90</v>
      </c>
      <c r="B97" s="16" t="s">
        <v>225</v>
      </c>
      <c r="C97" s="11" t="s">
        <v>196</v>
      </c>
      <c r="D97" s="11" t="s">
        <v>101</v>
      </c>
      <c r="E97" s="10" t="s">
        <v>102</v>
      </c>
      <c r="F97" s="38" t="n">
        <v>500</v>
      </c>
      <c r="G97" s="39" t="n">
        <v>20</v>
      </c>
      <c r="H97" s="42" t="n">
        <f aca="false">IF(F97=0,0,G97/F97)</f>
        <v>0.04</v>
      </c>
      <c r="I97" s="43"/>
    </row>
    <row r="98" customFormat="false" ht="15" hidden="false" customHeight="false" outlineLevel="0" collapsed="false">
      <c r="A98" s="35" t="n">
        <v>91</v>
      </c>
      <c r="B98" s="36" t="s">
        <v>226</v>
      </c>
      <c r="C98" s="35" t="s">
        <v>196</v>
      </c>
      <c r="D98" s="35" t="s">
        <v>101</v>
      </c>
      <c r="E98" s="37" t="s">
        <v>227</v>
      </c>
      <c r="F98" s="38" t="n">
        <v>100</v>
      </c>
      <c r="G98" s="39" t="n">
        <v>195</v>
      </c>
      <c r="H98" s="40" t="n">
        <f aca="false">IF(F98=0,0,G98/F98)</f>
        <v>1.95</v>
      </c>
      <c r="I98" s="41"/>
    </row>
    <row r="100" customFormat="false" ht="15" hidden="false" customHeight="false" outlineLevel="0" collapsed="false">
      <c r="B100" s="15" t="s">
        <v>228</v>
      </c>
      <c r="C100" s="15"/>
      <c r="D100" s="15"/>
      <c r="E100" s="15"/>
      <c r="F100" s="15"/>
      <c r="G100" s="15"/>
      <c r="H100" s="15"/>
      <c r="I100" s="15"/>
    </row>
  </sheetData>
  <autoFilter ref="A7:I98"/>
  <mergeCells count="4">
    <mergeCell ref="A1:I1"/>
    <mergeCell ref="A2:I2"/>
    <mergeCell ref="A3:I3"/>
    <mergeCell ref="B100:I100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2E7E"/>
    <pageSetUpPr fitToPage="true"/>
  </sheetPr>
  <dimension ref="A1:Z5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4"/>
    <col collapsed="false" customWidth="true" hidden="false" outlineLevel="0" max="3" min="3" style="0" width="17"/>
    <col collapsed="false" customWidth="true" hidden="false" outlineLevel="0" max="4" min="4" style="0" width="38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6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229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8" hidden="false" customHeight="true" outlineLevel="0" collapsed="false">
      <c r="A3" s="3" t="s">
        <v>230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3.7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7" customFormat="false" ht="30" hidden="false" customHeight="true" outlineLevel="0" collapsed="false">
      <c r="A7" s="34" t="s">
        <v>231</v>
      </c>
      <c r="B7" s="34" t="s">
        <v>232</v>
      </c>
      <c r="C7" s="34" t="s">
        <v>233</v>
      </c>
      <c r="D7" s="34" t="s">
        <v>234</v>
      </c>
      <c r="E7" s="34" t="s">
        <v>235</v>
      </c>
      <c r="F7" s="34" t="s">
        <v>82</v>
      </c>
      <c r="G7" s="34" t="s">
        <v>86</v>
      </c>
      <c r="H7" s="34" t="s">
        <v>236</v>
      </c>
      <c r="I7" s="34" t="s">
        <v>237</v>
      </c>
      <c r="J7" s="34" t="s">
        <v>238</v>
      </c>
      <c r="K7" s="34" t="s">
        <v>239</v>
      </c>
    </row>
    <row r="8" customFormat="false" ht="15" hidden="false" customHeight="false" outlineLevel="0" collapsed="false">
      <c r="A8" s="44" t="n">
        <v>1</v>
      </c>
      <c r="B8" s="43" t="s">
        <v>34</v>
      </c>
      <c r="C8" s="44" t="s">
        <v>240</v>
      </c>
      <c r="D8" s="43" t="s">
        <v>88</v>
      </c>
      <c r="E8" s="45" t="n">
        <v>180</v>
      </c>
      <c r="F8" s="44" t="s">
        <v>90</v>
      </c>
      <c r="G8" s="46" t="n">
        <f aca="false">IFERROR(INDEX('1. INSUMOS'!$H$8:$H$98,MATCH($D8,'1. INSUMOS'!$B$8:$B$98,0)),0)</f>
        <v>0.21</v>
      </c>
      <c r="H8" s="47" t="n">
        <f aca="false">E8*G8</f>
        <v>37.8</v>
      </c>
      <c r="I8" s="48" t="n">
        <f aca="false">IFERROR(INDEX('4. PRODUCCIÓN'!$D$8:$D$32,MATCH($A8,'4. PRODUCCIÓN'!$B$8:$B$32,0)),0)</f>
        <v>0</v>
      </c>
      <c r="J8" s="45" t="n">
        <f aca="false">E8*I8</f>
        <v>0</v>
      </c>
      <c r="K8" s="49" t="s">
        <v>241</v>
      </c>
    </row>
    <row r="9" customFormat="false" ht="15" hidden="false" customHeight="false" outlineLevel="0" collapsed="false">
      <c r="A9" s="44" t="n">
        <v>1</v>
      </c>
      <c r="B9" s="43" t="s">
        <v>34</v>
      </c>
      <c r="C9" s="44" t="s">
        <v>240</v>
      </c>
      <c r="D9" s="43" t="s">
        <v>109</v>
      </c>
      <c r="E9" s="45" t="n">
        <v>150</v>
      </c>
      <c r="F9" s="44" t="s">
        <v>90</v>
      </c>
      <c r="G9" s="46" t="n">
        <f aca="false">IFERROR(INDEX('1. INSUMOS'!$H$8:$H$98,MATCH($D9,'1. INSUMOS'!$B$8:$B$98,0)),0)</f>
        <v>0.058</v>
      </c>
      <c r="H9" s="47" t="n">
        <f aca="false">E9*G9</f>
        <v>8.7</v>
      </c>
      <c r="I9" s="48" t="n">
        <f aca="false">IFERROR(INDEX('4. PRODUCCIÓN'!$D$8:$D$32,MATCH($A9,'4. PRODUCCIÓN'!$B$8:$B$32,0)),0)</f>
        <v>0</v>
      </c>
      <c r="J9" s="45" t="n">
        <f aca="false">E9*I9</f>
        <v>0</v>
      </c>
      <c r="K9" s="49" t="s">
        <v>109</v>
      </c>
    </row>
    <row r="10" customFormat="false" ht="15" hidden="false" customHeight="false" outlineLevel="0" collapsed="false">
      <c r="A10" s="44" t="n">
        <v>1</v>
      </c>
      <c r="B10" s="43" t="s">
        <v>34</v>
      </c>
      <c r="C10" s="44" t="s">
        <v>240</v>
      </c>
      <c r="D10" s="43" t="s">
        <v>105</v>
      </c>
      <c r="E10" s="45" t="n">
        <v>100</v>
      </c>
      <c r="F10" s="44" t="s">
        <v>90</v>
      </c>
      <c r="G10" s="46" t="n">
        <f aca="false">IFERROR(INDEX('1. INSUMOS'!$H$8:$H$98,MATCH($D10,'1. INSUMOS'!$B$8:$B$98,0)),0)</f>
        <v>0.03</v>
      </c>
      <c r="H10" s="47" t="n">
        <f aca="false">E10*G10</f>
        <v>3</v>
      </c>
      <c r="I10" s="48" t="n">
        <f aca="false">IFERROR(INDEX('4. PRODUCCIÓN'!$D$8:$D$32,MATCH($A10,'4. PRODUCCIÓN'!$B$8:$B$32,0)),0)</f>
        <v>0</v>
      </c>
      <c r="J10" s="45" t="n">
        <f aca="false">E10*I10</f>
        <v>0</v>
      </c>
      <c r="K10" s="49" t="s">
        <v>242</v>
      </c>
    </row>
    <row r="11" customFormat="false" ht="15" hidden="false" customHeight="false" outlineLevel="0" collapsed="false">
      <c r="A11" s="44" t="n">
        <v>1</v>
      </c>
      <c r="B11" s="43" t="s">
        <v>34</v>
      </c>
      <c r="C11" s="44" t="s">
        <v>240</v>
      </c>
      <c r="D11" s="43" t="s">
        <v>142</v>
      </c>
      <c r="E11" s="45" t="n">
        <v>2</v>
      </c>
      <c r="F11" s="44" t="s">
        <v>144</v>
      </c>
      <c r="G11" s="46" t="n">
        <f aca="false">IFERROR(INDEX('1. INSUMOS'!$H$8:$H$98,MATCH($D11,'1. INSUMOS'!$B$8:$B$98,0)),0)</f>
        <v>3.2</v>
      </c>
      <c r="H11" s="47" t="n">
        <f aca="false">E11*G11</f>
        <v>6.4</v>
      </c>
      <c r="I11" s="48" t="n">
        <f aca="false">IFERROR(INDEX('4. PRODUCCIÓN'!$D$8:$D$32,MATCH($A11,'4. PRODUCCIÓN'!$B$8:$B$32,0)),0)</f>
        <v>0</v>
      </c>
      <c r="J11" s="45" t="n">
        <f aca="false">E11*I11</f>
        <v>0</v>
      </c>
      <c r="K11" s="49" t="s">
        <v>243</v>
      </c>
    </row>
    <row r="12" customFormat="false" ht="15" hidden="false" customHeight="false" outlineLevel="0" collapsed="false">
      <c r="A12" s="44" t="n">
        <v>1</v>
      </c>
      <c r="B12" s="43" t="s">
        <v>34</v>
      </c>
      <c r="C12" s="44" t="s">
        <v>240</v>
      </c>
      <c r="D12" s="43" t="s">
        <v>126</v>
      </c>
      <c r="E12" s="45" t="n">
        <v>300</v>
      </c>
      <c r="F12" s="44" t="s">
        <v>90</v>
      </c>
      <c r="G12" s="46" t="n">
        <f aca="false">IFERROR(INDEX('1. INSUMOS'!$H$8:$H$98,MATCH($D12,'1. INSUMOS'!$B$8:$B$98,0)),0)</f>
        <v>0.03</v>
      </c>
      <c r="H12" s="47" t="n">
        <f aca="false">E12*G12</f>
        <v>9</v>
      </c>
      <c r="I12" s="48" t="n">
        <f aca="false">IFERROR(INDEX('4. PRODUCCIÓN'!$D$8:$D$32,MATCH($A12,'4. PRODUCCIÓN'!$B$8:$B$32,0)),0)</f>
        <v>0</v>
      </c>
      <c r="J12" s="45" t="n">
        <f aca="false">E12*I12</f>
        <v>0</v>
      </c>
      <c r="K12" s="49" t="s">
        <v>244</v>
      </c>
    </row>
    <row r="13" customFormat="false" ht="15" hidden="false" customHeight="false" outlineLevel="0" collapsed="false">
      <c r="A13" s="44" t="n">
        <v>1</v>
      </c>
      <c r="B13" s="43" t="s">
        <v>34</v>
      </c>
      <c r="C13" s="44" t="s">
        <v>240</v>
      </c>
      <c r="D13" s="43" t="s">
        <v>130</v>
      </c>
      <c r="E13" s="45" t="n">
        <v>10</v>
      </c>
      <c r="F13" s="44" t="s">
        <v>90</v>
      </c>
      <c r="G13" s="46" t="n">
        <f aca="false">IFERROR(INDEX('1. INSUMOS'!$H$8:$H$98,MATCH($D13,'1. INSUMOS'!$B$8:$B$98,0)),0)</f>
        <v>0.09</v>
      </c>
      <c r="H13" s="47" t="n">
        <f aca="false">E13*G13</f>
        <v>0.9</v>
      </c>
      <c r="I13" s="48" t="n">
        <f aca="false">IFERROR(INDEX('4. PRODUCCIÓN'!$D$8:$D$32,MATCH($A13,'4. PRODUCCIÓN'!$B$8:$B$32,0)),0)</f>
        <v>0</v>
      </c>
      <c r="J13" s="45" t="n">
        <f aca="false">E13*I13</f>
        <v>0</v>
      </c>
      <c r="K13" s="49" t="s">
        <v>130</v>
      </c>
    </row>
    <row r="14" customFormat="false" ht="15" hidden="false" customHeight="false" outlineLevel="0" collapsed="false">
      <c r="A14" s="44" t="n">
        <v>1</v>
      </c>
      <c r="B14" s="43" t="s">
        <v>34</v>
      </c>
      <c r="C14" s="44" t="s">
        <v>240</v>
      </c>
      <c r="D14" s="43" t="s">
        <v>133</v>
      </c>
      <c r="E14" s="45" t="n">
        <v>5</v>
      </c>
      <c r="F14" s="44" t="s">
        <v>90</v>
      </c>
      <c r="G14" s="46" t="n">
        <f aca="false">IFERROR(INDEX('1. INSUMOS'!$H$8:$H$98,MATCH($D14,'1. INSUMOS'!$B$8:$B$98,0)),0)</f>
        <v>0.13</v>
      </c>
      <c r="H14" s="47" t="n">
        <f aca="false">E14*G14</f>
        <v>0.65</v>
      </c>
      <c r="I14" s="48" t="n">
        <f aca="false">IFERROR(INDEX('4. PRODUCCIÓN'!$D$8:$D$32,MATCH($A14,'4. PRODUCCIÓN'!$B$8:$B$32,0)),0)</f>
        <v>0</v>
      </c>
      <c r="J14" s="45" t="n">
        <f aca="false">E14*I14</f>
        <v>0</v>
      </c>
      <c r="K14" s="49" t="s">
        <v>133</v>
      </c>
    </row>
    <row r="15" customFormat="false" ht="15" hidden="false" customHeight="false" outlineLevel="0" collapsed="false">
      <c r="A15" s="44" t="n">
        <v>1</v>
      </c>
      <c r="B15" s="43" t="s">
        <v>34</v>
      </c>
      <c r="C15" s="44" t="s">
        <v>240</v>
      </c>
      <c r="D15" s="43" t="s">
        <v>195</v>
      </c>
      <c r="E15" s="45" t="n">
        <v>4</v>
      </c>
      <c r="F15" s="44" t="s">
        <v>90</v>
      </c>
      <c r="G15" s="46" t="n">
        <f aca="false">IFERROR(INDEX('1. INSUMOS'!$H$8:$H$98,MATCH($D15,'1. INSUMOS'!$B$8:$B$98,0)),0)</f>
        <v>0.02</v>
      </c>
      <c r="H15" s="47" t="n">
        <f aca="false">E15*G15</f>
        <v>0.08</v>
      </c>
      <c r="I15" s="48" t="n">
        <f aca="false">IFERROR(INDEX('4. PRODUCCIÓN'!$D$8:$D$32,MATCH($A15,'4. PRODUCCIÓN'!$B$8:$B$32,0)),0)</f>
        <v>0</v>
      </c>
      <c r="J15" s="45" t="n">
        <f aca="false">E15*I15</f>
        <v>0</v>
      </c>
      <c r="K15" s="49" t="s">
        <v>195</v>
      </c>
    </row>
    <row r="16" customFormat="false" ht="15" hidden="false" customHeight="false" outlineLevel="0" collapsed="false">
      <c r="A16" s="44" t="n">
        <v>1</v>
      </c>
      <c r="B16" s="43" t="s">
        <v>34</v>
      </c>
      <c r="C16" s="44" t="s">
        <v>240</v>
      </c>
      <c r="D16" s="43" t="s">
        <v>146</v>
      </c>
      <c r="E16" s="45" t="n">
        <v>250</v>
      </c>
      <c r="F16" s="44" t="s">
        <v>90</v>
      </c>
      <c r="G16" s="46" t="n">
        <f aca="false">IFERROR(INDEX('1. INSUMOS'!$H$8:$H$98,MATCH($D16,'1. INSUMOS'!$B$8:$B$98,0)),0)</f>
        <v>0.21</v>
      </c>
      <c r="H16" s="47" t="n">
        <f aca="false">E16*G16</f>
        <v>52.5</v>
      </c>
      <c r="I16" s="48" t="n">
        <f aca="false">IFERROR(INDEX('4. PRODUCCIÓN'!$D$8:$D$32,MATCH($A16,'4. PRODUCCIÓN'!$B$8:$B$32,0)),0)</f>
        <v>0</v>
      </c>
      <c r="J16" s="45" t="n">
        <f aca="false">E16*I16</f>
        <v>0</v>
      </c>
      <c r="K16" s="49" t="s">
        <v>245</v>
      </c>
    </row>
    <row r="17" customFormat="false" ht="15" hidden="false" customHeight="false" outlineLevel="0" collapsed="false">
      <c r="A17" s="44" t="n">
        <v>1</v>
      </c>
      <c r="B17" s="43" t="s">
        <v>34</v>
      </c>
      <c r="C17" s="44" t="s">
        <v>246</v>
      </c>
      <c r="D17" s="43" t="s">
        <v>197</v>
      </c>
      <c r="E17" s="45" t="n">
        <v>2</v>
      </c>
      <c r="F17" s="44" t="s">
        <v>90</v>
      </c>
      <c r="G17" s="46" t="n">
        <f aca="false">IFERROR(INDEX('1. INSUMOS'!$H$8:$H$98,MATCH($D17,'1. INSUMOS'!$B$8:$B$98,0)),0)</f>
        <v>0.5</v>
      </c>
      <c r="H17" s="47" t="n">
        <f aca="false">E17*G17</f>
        <v>1</v>
      </c>
      <c r="I17" s="48" t="n">
        <f aca="false">IFERROR(INDEX('4. PRODUCCIÓN'!$D$8:$D$32,MATCH($A17,'4. PRODUCCIÓN'!$B$8:$B$32,0)),0)</f>
        <v>0</v>
      </c>
      <c r="J17" s="45" t="n">
        <f aca="false">E17*I17</f>
        <v>0</v>
      </c>
      <c r="K17" s="49" t="s">
        <v>247</v>
      </c>
    </row>
    <row r="18" customFormat="false" ht="15" hidden="false" customHeight="false" outlineLevel="0" collapsed="false">
      <c r="A18" s="50" t="n">
        <v>2</v>
      </c>
      <c r="B18" s="41" t="s">
        <v>248</v>
      </c>
      <c r="C18" s="50" t="s">
        <v>240</v>
      </c>
      <c r="D18" s="41" t="s">
        <v>88</v>
      </c>
      <c r="E18" s="51" t="n">
        <v>180</v>
      </c>
      <c r="F18" s="50" t="s">
        <v>90</v>
      </c>
      <c r="G18" s="52" t="n">
        <f aca="false">IFERROR(INDEX('1. INSUMOS'!$H$8:$H$98,MATCH($D18,'1. INSUMOS'!$B$8:$B$98,0)),0)</f>
        <v>0.21</v>
      </c>
      <c r="H18" s="53" t="n">
        <f aca="false">E18*G18</f>
        <v>37.8</v>
      </c>
      <c r="I18" s="54" t="n">
        <f aca="false">IFERROR(INDEX('4. PRODUCCIÓN'!$D$8:$D$32,MATCH($A18,'4. PRODUCCIÓN'!$B$8:$B$32,0)),0)</f>
        <v>0</v>
      </c>
      <c r="J18" s="51" t="n">
        <f aca="false">E18*I18</f>
        <v>0</v>
      </c>
      <c r="K18" s="55" t="s">
        <v>249</v>
      </c>
    </row>
    <row r="19" customFormat="false" ht="15" hidden="false" customHeight="false" outlineLevel="0" collapsed="false">
      <c r="A19" s="50" t="n">
        <v>2</v>
      </c>
      <c r="B19" s="41" t="s">
        <v>248</v>
      </c>
      <c r="C19" s="50" t="s">
        <v>240</v>
      </c>
      <c r="D19" s="41" t="s">
        <v>108</v>
      </c>
      <c r="E19" s="51" t="n">
        <v>180</v>
      </c>
      <c r="F19" s="50" t="s">
        <v>90</v>
      </c>
      <c r="G19" s="52" t="n">
        <f aca="false">IFERROR(INDEX('1. INSUMOS'!$H$8:$H$98,MATCH($D19,'1. INSUMOS'!$B$8:$B$98,0)),0)</f>
        <v>0.052</v>
      </c>
      <c r="H19" s="53" t="n">
        <f aca="false">E19*G19</f>
        <v>9.36</v>
      </c>
      <c r="I19" s="54" t="n">
        <f aca="false">IFERROR(INDEX('4. PRODUCCIÓN'!$D$8:$D$32,MATCH($A19,'4. PRODUCCIÓN'!$B$8:$B$32,0)),0)</f>
        <v>0</v>
      </c>
      <c r="J19" s="51" t="n">
        <f aca="false">E19*I19</f>
        <v>0</v>
      </c>
      <c r="K19" s="55" t="s">
        <v>108</v>
      </c>
    </row>
    <row r="20" customFormat="false" ht="15" hidden="false" customHeight="false" outlineLevel="0" collapsed="false">
      <c r="A20" s="50" t="n">
        <v>2</v>
      </c>
      <c r="B20" s="41" t="s">
        <v>248</v>
      </c>
      <c r="C20" s="50" t="s">
        <v>240</v>
      </c>
      <c r="D20" s="41" t="s">
        <v>105</v>
      </c>
      <c r="E20" s="51" t="n">
        <v>80</v>
      </c>
      <c r="F20" s="50" t="s">
        <v>90</v>
      </c>
      <c r="G20" s="52" t="n">
        <f aca="false">IFERROR(INDEX('1. INSUMOS'!$H$8:$H$98,MATCH($D20,'1. INSUMOS'!$B$8:$B$98,0)),0)</f>
        <v>0.03</v>
      </c>
      <c r="H20" s="53" t="n">
        <f aca="false">E20*G20</f>
        <v>2.4</v>
      </c>
      <c r="I20" s="54" t="n">
        <f aca="false">IFERROR(INDEX('4. PRODUCCIÓN'!$D$8:$D$32,MATCH($A20,'4. PRODUCCIÓN'!$B$8:$B$32,0)),0)</f>
        <v>0</v>
      </c>
      <c r="J20" s="51" t="n">
        <f aca="false">E20*I20</f>
        <v>0</v>
      </c>
      <c r="K20" s="55" t="s">
        <v>105</v>
      </c>
    </row>
    <row r="21" customFormat="false" ht="15" hidden="false" customHeight="false" outlineLevel="0" collapsed="false">
      <c r="A21" s="50" t="n">
        <v>2</v>
      </c>
      <c r="B21" s="41" t="s">
        <v>248</v>
      </c>
      <c r="C21" s="50" t="s">
        <v>240</v>
      </c>
      <c r="D21" s="41" t="s">
        <v>142</v>
      </c>
      <c r="E21" s="51" t="n">
        <v>2</v>
      </c>
      <c r="F21" s="50" t="s">
        <v>144</v>
      </c>
      <c r="G21" s="52" t="n">
        <f aca="false">IFERROR(INDEX('1. INSUMOS'!$H$8:$H$98,MATCH($D21,'1. INSUMOS'!$B$8:$B$98,0)),0)</f>
        <v>3.2</v>
      </c>
      <c r="H21" s="53" t="n">
        <f aca="false">E21*G21</f>
        <v>6.4</v>
      </c>
      <c r="I21" s="54" t="n">
        <f aca="false">IFERROR(INDEX('4. PRODUCCIÓN'!$D$8:$D$32,MATCH($A21,'4. PRODUCCIÓN'!$B$8:$B$32,0)),0)</f>
        <v>0</v>
      </c>
      <c r="J21" s="51" t="n">
        <f aca="false">E21*I21</f>
        <v>0</v>
      </c>
      <c r="K21" s="55" t="s">
        <v>250</v>
      </c>
    </row>
    <row r="22" customFormat="false" ht="15" hidden="false" customHeight="false" outlineLevel="0" collapsed="false">
      <c r="A22" s="50" t="n">
        <v>2</v>
      </c>
      <c r="B22" s="41" t="s">
        <v>248</v>
      </c>
      <c r="C22" s="50" t="s">
        <v>240</v>
      </c>
      <c r="D22" s="41" t="s">
        <v>126</v>
      </c>
      <c r="E22" s="51" t="n">
        <v>240</v>
      </c>
      <c r="F22" s="50" t="s">
        <v>90</v>
      </c>
      <c r="G22" s="52" t="n">
        <f aca="false">IFERROR(INDEX('1. INSUMOS'!$H$8:$H$98,MATCH($D22,'1. INSUMOS'!$B$8:$B$98,0)),0)</f>
        <v>0.03</v>
      </c>
      <c r="H22" s="53" t="n">
        <f aca="false">E22*G22</f>
        <v>7.2</v>
      </c>
      <c r="I22" s="54" t="n">
        <f aca="false">IFERROR(INDEX('4. PRODUCCIÓN'!$D$8:$D$32,MATCH($A22,'4. PRODUCCIÓN'!$B$8:$B$32,0)),0)</f>
        <v>0</v>
      </c>
      <c r="J22" s="51" t="n">
        <f aca="false">E22*I22</f>
        <v>0</v>
      </c>
      <c r="K22" s="55" t="s">
        <v>251</v>
      </c>
    </row>
    <row r="23" customFormat="false" ht="15" hidden="false" customHeight="false" outlineLevel="0" collapsed="false">
      <c r="A23" s="50" t="n">
        <v>2</v>
      </c>
      <c r="B23" s="41" t="s">
        <v>248</v>
      </c>
      <c r="C23" s="50" t="s">
        <v>240</v>
      </c>
      <c r="D23" s="41" t="s">
        <v>159</v>
      </c>
      <c r="E23" s="51" t="n">
        <v>60</v>
      </c>
      <c r="F23" s="50" t="s">
        <v>90</v>
      </c>
      <c r="G23" s="52" t="n">
        <f aca="false">IFERROR(INDEX('1. INSUMOS'!$H$8:$H$98,MATCH($D23,'1. INSUMOS'!$B$8:$B$98,0)),0)</f>
        <v>0.276</v>
      </c>
      <c r="H23" s="53" t="n">
        <f aca="false">E23*G23</f>
        <v>16.56</v>
      </c>
      <c r="I23" s="54" t="n">
        <f aca="false">IFERROR(INDEX('4. PRODUCCIÓN'!$D$8:$D$32,MATCH($A23,'4. PRODUCCIÓN'!$B$8:$B$32,0)),0)</f>
        <v>0</v>
      </c>
      <c r="J23" s="51" t="n">
        <f aca="false">E23*I23</f>
        <v>0</v>
      </c>
      <c r="K23" s="55" t="s">
        <v>252</v>
      </c>
    </row>
    <row r="24" customFormat="false" ht="15" hidden="false" customHeight="false" outlineLevel="0" collapsed="false">
      <c r="A24" s="50" t="n">
        <v>2</v>
      </c>
      <c r="B24" s="41" t="s">
        <v>248</v>
      </c>
      <c r="C24" s="50" t="s">
        <v>240</v>
      </c>
      <c r="D24" s="41" t="s">
        <v>130</v>
      </c>
      <c r="E24" s="51" t="n">
        <v>10</v>
      </c>
      <c r="F24" s="50" t="s">
        <v>90</v>
      </c>
      <c r="G24" s="52" t="n">
        <f aca="false">IFERROR(INDEX('1. INSUMOS'!$H$8:$H$98,MATCH($D24,'1. INSUMOS'!$B$8:$B$98,0)),0)</f>
        <v>0.09</v>
      </c>
      <c r="H24" s="53" t="n">
        <f aca="false">E24*G24</f>
        <v>0.9</v>
      </c>
      <c r="I24" s="54" t="n">
        <f aca="false">IFERROR(INDEX('4. PRODUCCIÓN'!$D$8:$D$32,MATCH($A24,'4. PRODUCCIÓN'!$B$8:$B$32,0)),0)</f>
        <v>0</v>
      </c>
      <c r="J24" s="51" t="n">
        <f aca="false">E24*I24</f>
        <v>0</v>
      </c>
      <c r="K24" s="55" t="s">
        <v>253</v>
      </c>
    </row>
    <row r="25" customFormat="false" ht="15" hidden="false" customHeight="false" outlineLevel="0" collapsed="false">
      <c r="A25" s="50" t="n">
        <v>2</v>
      </c>
      <c r="B25" s="41" t="s">
        <v>248</v>
      </c>
      <c r="C25" s="50" t="s">
        <v>240</v>
      </c>
      <c r="D25" s="41" t="s">
        <v>133</v>
      </c>
      <c r="E25" s="51" t="n">
        <v>5</v>
      </c>
      <c r="F25" s="50" t="s">
        <v>90</v>
      </c>
      <c r="G25" s="52" t="n">
        <f aca="false">IFERROR(INDEX('1. INSUMOS'!$H$8:$H$98,MATCH($D25,'1. INSUMOS'!$B$8:$B$98,0)),0)</f>
        <v>0.13</v>
      </c>
      <c r="H25" s="53" t="n">
        <f aca="false">E25*G25</f>
        <v>0.65</v>
      </c>
      <c r="I25" s="54" t="n">
        <f aca="false">IFERROR(INDEX('4. PRODUCCIÓN'!$D$8:$D$32,MATCH($A25,'4. PRODUCCIÓN'!$B$8:$B$32,0)),0)</f>
        <v>0</v>
      </c>
      <c r="J25" s="51" t="n">
        <f aca="false">E25*I25</f>
        <v>0</v>
      </c>
      <c r="K25" s="55" t="s">
        <v>133</v>
      </c>
    </row>
    <row r="26" customFormat="false" ht="15" hidden="false" customHeight="false" outlineLevel="0" collapsed="false">
      <c r="A26" s="50" t="n">
        <v>2</v>
      </c>
      <c r="B26" s="41" t="s">
        <v>248</v>
      </c>
      <c r="C26" s="50" t="s">
        <v>240</v>
      </c>
      <c r="D26" s="41" t="s">
        <v>195</v>
      </c>
      <c r="E26" s="51" t="n">
        <v>4</v>
      </c>
      <c r="F26" s="50" t="s">
        <v>90</v>
      </c>
      <c r="G26" s="52" t="n">
        <f aca="false">IFERROR(INDEX('1. INSUMOS'!$H$8:$H$98,MATCH($D26,'1. INSUMOS'!$B$8:$B$98,0)),0)</f>
        <v>0.02</v>
      </c>
      <c r="H26" s="53" t="n">
        <f aca="false">E26*G26</f>
        <v>0.08</v>
      </c>
      <c r="I26" s="54" t="n">
        <f aca="false">IFERROR(INDEX('4. PRODUCCIÓN'!$D$8:$D$32,MATCH($A26,'4. PRODUCCIÓN'!$B$8:$B$32,0)),0)</f>
        <v>0</v>
      </c>
      <c r="J26" s="51" t="n">
        <f aca="false">E26*I26</f>
        <v>0</v>
      </c>
      <c r="K26" s="55" t="s">
        <v>195</v>
      </c>
    </row>
    <row r="27" customFormat="false" ht="15" hidden="false" customHeight="false" outlineLevel="0" collapsed="false">
      <c r="A27" s="50" t="n">
        <v>2</v>
      </c>
      <c r="B27" s="41" t="s">
        <v>248</v>
      </c>
      <c r="C27" s="50" t="s">
        <v>240</v>
      </c>
      <c r="D27" s="41" t="s">
        <v>149</v>
      </c>
      <c r="E27" s="51" t="n">
        <v>200</v>
      </c>
      <c r="F27" s="50" t="s">
        <v>90</v>
      </c>
      <c r="G27" s="52" t="n">
        <f aca="false">IFERROR(INDEX('1. INSUMOS'!$H$8:$H$98,MATCH($D27,'1. INSUMOS'!$B$8:$B$98,0)),0)</f>
        <v>0.235</v>
      </c>
      <c r="H27" s="53" t="n">
        <f aca="false">E27*G27</f>
        <v>47</v>
      </c>
      <c r="I27" s="54" t="n">
        <f aca="false">IFERROR(INDEX('4. PRODUCCIÓN'!$D$8:$D$32,MATCH($A27,'4. PRODUCCIÓN'!$B$8:$B$32,0)),0)</f>
        <v>0</v>
      </c>
      <c r="J27" s="51" t="n">
        <f aca="false">E27*I27</f>
        <v>0</v>
      </c>
      <c r="K27" s="55" t="s">
        <v>254</v>
      </c>
    </row>
    <row r="28" customFormat="false" ht="15" hidden="false" customHeight="false" outlineLevel="0" collapsed="false">
      <c r="A28" s="50" t="n">
        <v>2</v>
      </c>
      <c r="B28" s="41" t="s">
        <v>248</v>
      </c>
      <c r="C28" s="50" t="s">
        <v>240</v>
      </c>
      <c r="D28" s="41" t="s">
        <v>155</v>
      </c>
      <c r="E28" s="51" t="n">
        <v>50</v>
      </c>
      <c r="F28" s="50" t="s">
        <v>90</v>
      </c>
      <c r="G28" s="52" t="n">
        <f aca="false">IFERROR(INDEX('1. INSUMOS'!$H$8:$H$98,MATCH($D28,'1. INSUMOS'!$B$8:$B$98,0)),0)</f>
        <v>0.155</v>
      </c>
      <c r="H28" s="53" t="n">
        <f aca="false">E28*G28</f>
        <v>7.75</v>
      </c>
      <c r="I28" s="54" t="n">
        <f aca="false">IFERROR(INDEX('4. PRODUCCIÓN'!$D$8:$D$32,MATCH($A28,'4. PRODUCCIÓN'!$B$8:$B$32,0)),0)</f>
        <v>0</v>
      </c>
      <c r="J28" s="51" t="n">
        <f aca="false">E28*I28</f>
        <v>0</v>
      </c>
      <c r="K28" s="55" t="s">
        <v>155</v>
      </c>
    </row>
    <row r="29" customFormat="false" ht="15" hidden="false" customHeight="false" outlineLevel="0" collapsed="false">
      <c r="A29" s="44" t="n">
        <v>3</v>
      </c>
      <c r="B29" s="43" t="s">
        <v>255</v>
      </c>
      <c r="C29" s="44" t="s">
        <v>240</v>
      </c>
      <c r="D29" s="43" t="s">
        <v>88</v>
      </c>
      <c r="E29" s="45" t="n">
        <v>180</v>
      </c>
      <c r="F29" s="44" t="s">
        <v>90</v>
      </c>
      <c r="G29" s="46" t="n">
        <f aca="false">IFERROR(INDEX('1. INSUMOS'!$H$8:$H$98,MATCH($D29,'1. INSUMOS'!$B$8:$B$98,0)),0)</f>
        <v>0.21</v>
      </c>
      <c r="H29" s="47" t="n">
        <f aca="false">E29*G29</f>
        <v>37.8</v>
      </c>
      <c r="I29" s="48" t="n">
        <f aca="false">IFERROR(INDEX('4. PRODUCCIÓN'!$D$8:$D$32,MATCH($A29,'4. PRODUCCIÓN'!$B$8:$B$32,0)),0)</f>
        <v>0</v>
      </c>
      <c r="J29" s="45" t="n">
        <f aca="false">E29*I29</f>
        <v>0</v>
      </c>
      <c r="K29" s="49" t="s">
        <v>249</v>
      </c>
    </row>
    <row r="30" customFormat="false" ht="15" hidden="false" customHeight="false" outlineLevel="0" collapsed="false">
      <c r="A30" s="44" t="n">
        <v>3</v>
      </c>
      <c r="B30" s="43" t="s">
        <v>255</v>
      </c>
      <c r="C30" s="44" t="s">
        <v>240</v>
      </c>
      <c r="D30" s="43" t="s">
        <v>108</v>
      </c>
      <c r="E30" s="45" t="n">
        <v>120</v>
      </c>
      <c r="F30" s="44" t="s">
        <v>90</v>
      </c>
      <c r="G30" s="46" t="n">
        <f aca="false">IFERROR(INDEX('1. INSUMOS'!$H$8:$H$98,MATCH($D30,'1. INSUMOS'!$B$8:$B$98,0)),0)</f>
        <v>0.052</v>
      </c>
      <c r="H30" s="47" t="n">
        <f aca="false">E30*G30</f>
        <v>6.24</v>
      </c>
      <c r="I30" s="48" t="n">
        <f aca="false">IFERROR(INDEX('4. PRODUCCIÓN'!$D$8:$D$32,MATCH($A30,'4. PRODUCCIÓN'!$B$8:$B$32,0)),0)</f>
        <v>0</v>
      </c>
      <c r="J30" s="45" t="n">
        <f aca="false">E30*I30</f>
        <v>0</v>
      </c>
      <c r="K30" s="49" t="s">
        <v>108</v>
      </c>
    </row>
    <row r="31" customFormat="false" ht="15" hidden="false" customHeight="false" outlineLevel="0" collapsed="false">
      <c r="A31" s="44" t="n">
        <v>3</v>
      </c>
      <c r="B31" s="43" t="s">
        <v>255</v>
      </c>
      <c r="C31" s="44" t="s">
        <v>240</v>
      </c>
      <c r="D31" s="43" t="s">
        <v>105</v>
      </c>
      <c r="E31" s="45" t="n">
        <v>120</v>
      </c>
      <c r="F31" s="44" t="s">
        <v>90</v>
      </c>
      <c r="G31" s="46" t="n">
        <f aca="false">IFERROR(INDEX('1. INSUMOS'!$H$8:$H$98,MATCH($D31,'1. INSUMOS'!$B$8:$B$98,0)),0)</f>
        <v>0.03</v>
      </c>
      <c r="H31" s="47" t="n">
        <f aca="false">E31*G31</f>
        <v>3.6</v>
      </c>
      <c r="I31" s="48" t="n">
        <f aca="false">IFERROR(INDEX('4. PRODUCCIÓN'!$D$8:$D$32,MATCH($A31,'4. PRODUCCIÓN'!$B$8:$B$32,0)),0)</f>
        <v>0</v>
      </c>
      <c r="J31" s="45" t="n">
        <f aca="false">E31*I31</f>
        <v>0</v>
      </c>
      <c r="K31" s="49" t="s">
        <v>105</v>
      </c>
    </row>
    <row r="32" customFormat="false" ht="15" hidden="false" customHeight="false" outlineLevel="0" collapsed="false">
      <c r="A32" s="44" t="n">
        <v>3</v>
      </c>
      <c r="B32" s="43" t="s">
        <v>255</v>
      </c>
      <c r="C32" s="44" t="s">
        <v>240</v>
      </c>
      <c r="D32" s="43" t="s">
        <v>142</v>
      </c>
      <c r="E32" s="45" t="n">
        <v>2</v>
      </c>
      <c r="F32" s="44" t="s">
        <v>144</v>
      </c>
      <c r="G32" s="46" t="n">
        <f aca="false">IFERROR(INDEX('1. INSUMOS'!$H$8:$H$98,MATCH($D32,'1. INSUMOS'!$B$8:$B$98,0)),0)</f>
        <v>3.2</v>
      </c>
      <c r="H32" s="47" t="n">
        <f aca="false">E32*G32</f>
        <v>6.4</v>
      </c>
      <c r="I32" s="48" t="n">
        <f aca="false">IFERROR(INDEX('4. PRODUCCIÓN'!$D$8:$D$32,MATCH($A32,'4. PRODUCCIÓN'!$B$8:$B$32,0)),0)</f>
        <v>0</v>
      </c>
      <c r="J32" s="45" t="n">
        <f aca="false">E32*I32</f>
        <v>0</v>
      </c>
      <c r="K32" s="49" t="s">
        <v>250</v>
      </c>
    </row>
    <row r="33" customFormat="false" ht="15" hidden="false" customHeight="false" outlineLevel="0" collapsed="false">
      <c r="A33" s="44" t="n">
        <v>3</v>
      </c>
      <c r="B33" s="43" t="s">
        <v>255</v>
      </c>
      <c r="C33" s="44" t="s">
        <v>240</v>
      </c>
      <c r="D33" s="43" t="s">
        <v>223</v>
      </c>
      <c r="E33" s="45" t="n">
        <v>15</v>
      </c>
      <c r="F33" s="44" t="s">
        <v>101</v>
      </c>
      <c r="G33" s="46" t="n">
        <f aca="false">IFERROR(INDEX('1. INSUMOS'!$H$8:$H$98,MATCH($D33,'1. INSUMOS'!$B$8:$B$98,0)),0)</f>
        <v>2.4</v>
      </c>
      <c r="H33" s="47" t="n">
        <f aca="false">E33*G33</f>
        <v>36</v>
      </c>
      <c r="I33" s="48" t="n">
        <f aca="false">IFERROR(INDEX('4. PRODUCCIÓN'!$D$8:$D$32,MATCH($A33,'4. PRODUCCIÓN'!$B$8:$B$32,0)),0)</f>
        <v>0</v>
      </c>
      <c r="J33" s="45" t="n">
        <f aca="false">E33*I33</f>
        <v>0</v>
      </c>
      <c r="K33" s="49" t="s">
        <v>256</v>
      </c>
    </row>
    <row r="34" customFormat="false" ht="15" hidden="false" customHeight="false" outlineLevel="0" collapsed="false">
      <c r="A34" s="44" t="n">
        <v>3</v>
      </c>
      <c r="B34" s="43" t="s">
        <v>255</v>
      </c>
      <c r="C34" s="44" t="s">
        <v>240</v>
      </c>
      <c r="D34" s="43" t="s">
        <v>225</v>
      </c>
      <c r="E34" s="45" t="n">
        <v>5</v>
      </c>
      <c r="F34" s="44" t="s">
        <v>101</v>
      </c>
      <c r="G34" s="46" t="n">
        <f aca="false">IFERROR(INDEX('1. INSUMOS'!$H$8:$H$98,MATCH($D34,'1. INSUMOS'!$B$8:$B$98,0)),0)</f>
        <v>0.04</v>
      </c>
      <c r="H34" s="47" t="n">
        <f aca="false">E34*G34</f>
        <v>0.2</v>
      </c>
      <c r="I34" s="48" t="n">
        <f aca="false">IFERROR(INDEX('4. PRODUCCIÓN'!$D$8:$D$32,MATCH($A34,'4. PRODUCCIÓN'!$B$8:$B$32,0)),0)</f>
        <v>0</v>
      </c>
      <c r="J34" s="45" t="n">
        <f aca="false">E34*I34</f>
        <v>0</v>
      </c>
      <c r="K34" s="49" t="s">
        <v>225</v>
      </c>
    </row>
    <row r="35" customFormat="false" ht="15" hidden="false" customHeight="false" outlineLevel="0" collapsed="false">
      <c r="A35" s="44" t="n">
        <v>3</v>
      </c>
      <c r="B35" s="43" t="s">
        <v>255</v>
      </c>
      <c r="C35" s="44" t="s">
        <v>240</v>
      </c>
      <c r="D35" s="43" t="s">
        <v>126</v>
      </c>
      <c r="E35" s="45" t="n">
        <v>280</v>
      </c>
      <c r="F35" s="44" t="s">
        <v>90</v>
      </c>
      <c r="G35" s="46" t="n">
        <f aca="false">IFERROR(INDEX('1. INSUMOS'!$H$8:$H$98,MATCH($D35,'1. INSUMOS'!$B$8:$B$98,0)),0)</f>
        <v>0.03</v>
      </c>
      <c r="H35" s="47" t="n">
        <f aca="false">E35*G35</f>
        <v>8.4</v>
      </c>
      <c r="I35" s="48" t="n">
        <f aca="false">IFERROR(INDEX('4. PRODUCCIÓN'!$D$8:$D$32,MATCH($A35,'4. PRODUCCIÓN'!$B$8:$B$32,0)),0)</f>
        <v>0</v>
      </c>
      <c r="J35" s="45" t="n">
        <f aca="false">E35*I35</f>
        <v>0</v>
      </c>
      <c r="K35" s="49" t="s">
        <v>251</v>
      </c>
    </row>
    <row r="36" customFormat="false" ht="15" hidden="false" customHeight="false" outlineLevel="0" collapsed="false">
      <c r="A36" s="44" t="n">
        <v>3</v>
      </c>
      <c r="B36" s="43" t="s">
        <v>255</v>
      </c>
      <c r="C36" s="44" t="s">
        <v>240</v>
      </c>
      <c r="D36" s="43" t="s">
        <v>160</v>
      </c>
      <c r="E36" s="45" t="n">
        <v>20</v>
      </c>
      <c r="F36" s="44" t="s">
        <v>90</v>
      </c>
      <c r="G36" s="46" t="n">
        <f aca="false">IFERROR(INDEX('1. INSUMOS'!$H$8:$H$98,MATCH($D36,'1. INSUMOS'!$B$8:$B$98,0)),0)</f>
        <v>0.244</v>
      </c>
      <c r="H36" s="47" t="n">
        <f aca="false">E36*G36</f>
        <v>4.88</v>
      </c>
      <c r="I36" s="48" t="n">
        <f aca="false">IFERROR(INDEX('4. PRODUCCIÓN'!$D$8:$D$32,MATCH($A36,'4. PRODUCCIÓN'!$B$8:$B$32,0)),0)</f>
        <v>0</v>
      </c>
      <c r="J36" s="45" t="n">
        <f aca="false">E36*I36</f>
        <v>0</v>
      </c>
      <c r="K36" s="49" t="s">
        <v>257</v>
      </c>
    </row>
    <row r="37" customFormat="false" ht="15" hidden="false" customHeight="false" outlineLevel="0" collapsed="false">
      <c r="A37" s="44" t="n">
        <v>3</v>
      </c>
      <c r="B37" s="43" t="s">
        <v>255</v>
      </c>
      <c r="C37" s="44" t="s">
        <v>240</v>
      </c>
      <c r="D37" s="43" t="s">
        <v>130</v>
      </c>
      <c r="E37" s="45" t="n">
        <v>10</v>
      </c>
      <c r="F37" s="44" t="s">
        <v>90</v>
      </c>
      <c r="G37" s="46" t="n">
        <f aca="false">IFERROR(INDEX('1. INSUMOS'!$H$8:$H$98,MATCH($D37,'1. INSUMOS'!$B$8:$B$98,0)),0)</f>
        <v>0.09</v>
      </c>
      <c r="H37" s="47" t="n">
        <f aca="false">E37*G37</f>
        <v>0.9</v>
      </c>
      <c r="I37" s="48" t="n">
        <f aca="false">IFERROR(INDEX('4. PRODUCCIÓN'!$D$8:$D$32,MATCH($A37,'4. PRODUCCIÓN'!$B$8:$B$32,0)),0)</f>
        <v>0</v>
      </c>
      <c r="J37" s="45" t="n">
        <f aca="false">E37*I37</f>
        <v>0</v>
      </c>
      <c r="K37" s="49" t="s">
        <v>253</v>
      </c>
    </row>
    <row r="38" customFormat="false" ht="15" hidden="false" customHeight="false" outlineLevel="0" collapsed="false">
      <c r="A38" s="44" t="n">
        <v>3</v>
      </c>
      <c r="B38" s="43" t="s">
        <v>255</v>
      </c>
      <c r="C38" s="44" t="s">
        <v>240</v>
      </c>
      <c r="D38" s="43" t="s">
        <v>133</v>
      </c>
      <c r="E38" s="45" t="n">
        <v>5</v>
      </c>
      <c r="F38" s="44" t="s">
        <v>90</v>
      </c>
      <c r="G38" s="46" t="n">
        <f aca="false">IFERROR(INDEX('1. INSUMOS'!$H$8:$H$98,MATCH($D38,'1. INSUMOS'!$B$8:$B$98,0)),0)</f>
        <v>0.13</v>
      </c>
      <c r="H38" s="47" t="n">
        <f aca="false">E38*G38</f>
        <v>0.65</v>
      </c>
      <c r="I38" s="48" t="n">
        <f aca="false">IFERROR(INDEX('4. PRODUCCIÓN'!$D$8:$D$32,MATCH($A38,'4. PRODUCCIÓN'!$B$8:$B$32,0)),0)</f>
        <v>0</v>
      </c>
      <c r="J38" s="45" t="n">
        <f aca="false">E38*I38</f>
        <v>0</v>
      </c>
      <c r="K38" s="49" t="s">
        <v>133</v>
      </c>
    </row>
    <row r="39" customFormat="false" ht="15" hidden="false" customHeight="false" outlineLevel="0" collapsed="false">
      <c r="A39" s="44" t="n">
        <v>3</v>
      </c>
      <c r="B39" s="43" t="s">
        <v>255</v>
      </c>
      <c r="C39" s="44" t="s">
        <v>240</v>
      </c>
      <c r="D39" s="43" t="s">
        <v>195</v>
      </c>
      <c r="E39" s="45" t="n">
        <v>4</v>
      </c>
      <c r="F39" s="44" t="s">
        <v>90</v>
      </c>
      <c r="G39" s="46" t="n">
        <f aca="false">IFERROR(INDEX('1. INSUMOS'!$H$8:$H$98,MATCH($D39,'1. INSUMOS'!$B$8:$B$98,0)),0)</f>
        <v>0.02</v>
      </c>
      <c r="H39" s="47" t="n">
        <f aca="false">E39*G39</f>
        <v>0.08</v>
      </c>
      <c r="I39" s="48" t="n">
        <f aca="false">IFERROR(INDEX('4. PRODUCCIÓN'!$D$8:$D$32,MATCH($A39,'4. PRODUCCIÓN'!$B$8:$B$32,0)),0)</f>
        <v>0</v>
      </c>
      <c r="J39" s="45" t="n">
        <f aca="false">E39*I39</f>
        <v>0</v>
      </c>
      <c r="K39" s="49" t="s">
        <v>195</v>
      </c>
    </row>
    <row r="40" customFormat="false" ht="15" hidden="false" customHeight="false" outlineLevel="0" collapsed="false">
      <c r="A40" s="44" t="n">
        <v>3</v>
      </c>
      <c r="B40" s="43" t="s">
        <v>255</v>
      </c>
      <c r="C40" s="44" t="s">
        <v>240</v>
      </c>
      <c r="D40" s="43" t="s">
        <v>156</v>
      </c>
      <c r="E40" s="45" t="n">
        <v>180</v>
      </c>
      <c r="F40" s="44" t="s">
        <v>90</v>
      </c>
      <c r="G40" s="46" t="n">
        <f aca="false">IFERROR(INDEX('1. INSUMOS'!$H$8:$H$98,MATCH($D40,'1. INSUMOS'!$B$8:$B$98,0)),0)</f>
        <v>0.175</v>
      </c>
      <c r="H40" s="47" t="n">
        <f aca="false">E40*G40</f>
        <v>31.5</v>
      </c>
      <c r="I40" s="48" t="n">
        <f aca="false">IFERROR(INDEX('4. PRODUCCIÓN'!$D$8:$D$32,MATCH($A40,'4. PRODUCCIÓN'!$B$8:$B$32,0)),0)</f>
        <v>0</v>
      </c>
      <c r="J40" s="45" t="n">
        <f aca="false">E40*I40</f>
        <v>0</v>
      </c>
      <c r="K40" s="49" t="s">
        <v>258</v>
      </c>
    </row>
    <row r="41" customFormat="false" ht="15" hidden="false" customHeight="false" outlineLevel="0" collapsed="false">
      <c r="A41" s="44" t="n">
        <v>3</v>
      </c>
      <c r="B41" s="43" t="s">
        <v>255</v>
      </c>
      <c r="C41" s="44" t="s">
        <v>240</v>
      </c>
      <c r="D41" s="43" t="s">
        <v>169</v>
      </c>
      <c r="E41" s="45" t="n">
        <v>70</v>
      </c>
      <c r="F41" s="44" t="s">
        <v>90</v>
      </c>
      <c r="G41" s="46" t="n">
        <f aca="false">IFERROR(INDEX('1. INSUMOS'!$H$8:$H$98,MATCH($D41,'1. INSUMOS'!$B$8:$B$98,0)),0)</f>
        <v>0.45</v>
      </c>
      <c r="H41" s="47" t="n">
        <f aca="false">E41*G41</f>
        <v>31.5</v>
      </c>
      <c r="I41" s="48" t="n">
        <f aca="false">IFERROR(INDEX('4. PRODUCCIÓN'!$D$8:$D$32,MATCH($A41,'4. PRODUCCIÓN'!$B$8:$B$32,0)),0)</f>
        <v>0</v>
      </c>
      <c r="J41" s="45" t="n">
        <f aca="false">E41*I41</f>
        <v>0</v>
      </c>
      <c r="K41" s="49" t="s">
        <v>259</v>
      </c>
    </row>
    <row r="42" customFormat="false" ht="15" hidden="false" customHeight="false" outlineLevel="0" collapsed="false">
      <c r="A42" s="50" t="n">
        <v>4</v>
      </c>
      <c r="B42" s="41" t="s">
        <v>260</v>
      </c>
      <c r="C42" s="50" t="s">
        <v>240</v>
      </c>
      <c r="D42" s="41" t="s">
        <v>88</v>
      </c>
      <c r="E42" s="51" t="n">
        <v>170</v>
      </c>
      <c r="F42" s="50" t="s">
        <v>90</v>
      </c>
      <c r="G42" s="52" t="n">
        <f aca="false">IFERROR(INDEX('1. INSUMOS'!$H$8:$H$98,MATCH($D42,'1. INSUMOS'!$B$8:$B$98,0)),0)</f>
        <v>0.21</v>
      </c>
      <c r="H42" s="53" t="n">
        <f aca="false">E42*G42</f>
        <v>35.7</v>
      </c>
      <c r="I42" s="54" t="n">
        <f aca="false">IFERROR(INDEX('4. PRODUCCIÓN'!$D$8:$D$32,MATCH($A42,'4. PRODUCCIÓN'!$B$8:$B$32,0)),0)</f>
        <v>0</v>
      </c>
      <c r="J42" s="51" t="n">
        <f aca="false">E42*I42</f>
        <v>0</v>
      </c>
      <c r="K42" s="55" t="s">
        <v>249</v>
      </c>
    </row>
    <row r="43" customFormat="false" ht="15" hidden="false" customHeight="false" outlineLevel="0" collapsed="false">
      <c r="A43" s="50" t="n">
        <v>4</v>
      </c>
      <c r="B43" s="41" t="s">
        <v>260</v>
      </c>
      <c r="C43" s="50" t="s">
        <v>240</v>
      </c>
      <c r="D43" s="41" t="s">
        <v>109</v>
      </c>
      <c r="E43" s="51" t="n">
        <v>160</v>
      </c>
      <c r="F43" s="50" t="s">
        <v>90</v>
      </c>
      <c r="G43" s="52" t="n">
        <f aca="false">IFERROR(INDEX('1. INSUMOS'!$H$8:$H$98,MATCH($D43,'1. INSUMOS'!$B$8:$B$98,0)),0)</f>
        <v>0.058</v>
      </c>
      <c r="H43" s="53" t="n">
        <f aca="false">E43*G43</f>
        <v>9.28</v>
      </c>
      <c r="I43" s="54" t="n">
        <f aca="false">IFERROR(INDEX('4. PRODUCCIÓN'!$D$8:$D$32,MATCH($A43,'4. PRODUCCIÓN'!$B$8:$B$32,0)),0)</f>
        <v>0</v>
      </c>
      <c r="J43" s="51" t="n">
        <f aca="false">E43*I43</f>
        <v>0</v>
      </c>
      <c r="K43" s="55" t="s">
        <v>109</v>
      </c>
    </row>
    <row r="44" customFormat="false" ht="15" hidden="false" customHeight="false" outlineLevel="0" collapsed="false">
      <c r="A44" s="50" t="n">
        <v>4</v>
      </c>
      <c r="B44" s="41" t="s">
        <v>260</v>
      </c>
      <c r="C44" s="50" t="s">
        <v>240</v>
      </c>
      <c r="D44" s="41" t="s">
        <v>105</v>
      </c>
      <c r="E44" s="51" t="n">
        <v>50</v>
      </c>
      <c r="F44" s="50" t="s">
        <v>90</v>
      </c>
      <c r="G44" s="52" t="n">
        <f aca="false">IFERROR(INDEX('1. INSUMOS'!$H$8:$H$98,MATCH($D44,'1. INSUMOS'!$B$8:$B$98,0)),0)</f>
        <v>0.03</v>
      </c>
      <c r="H44" s="53" t="n">
        <f aca="false">E44*G44</f>
        <v>1.5</v>
      </c>
      <c r="I44" s="54" t="n">
        <f aca="false">IFERROR(INDEX('4. PRODUCCIÓN'!$D$8:$D$32,MATCH($A44,'4. PRODUCCIÓN'!$B$8:$B$32,0)),0)</f>
        <v>0</v>
      </c>
      <c r="J44" s="51" t="n">
        <f aca="false">E44*I44</f>
        <v>0</v>
      </c>
      <c r="K44" s="55" t="s">
        <v>105</v>
      </c>
    </row>
    <row r="45" customFormat="false" ht="15" hidden="false" customHeight="false" outlineLevel="0" collapsed="false">
      <c r="A45" s="50" t="n">
        <v>4</v>
      </c>
      <c r="B45" s="41" t="s">
        <v>260</v>
      </c>
      <c r="C45" s="50" t="s">
        <v>240</v>
      </c>
      <c r="D45" s="41" t="s">
        <v>142</v>
      </c>
      <c r="E45" s="51" t="n">
        <v>2</v>
      </c>
      <c r="F45" s="50" t="s">
        <v>144</v>
      </c>
      <c r="G45" s="52" t="n">
        <f aca="false">IFERROR(INDEX('1. INSUMOS'!$H$8:$H$98,MATCH($D45,'1. INSUMOS'!$B$8:$B$98,0)),0)</f>
        <v>3.2</v>
      </c>
      <c r="H45" s="53" t="n">
        <f aca="false">E45*G45</f>
        <v>6.4</v>
      </c>
      <c r="I45" s="54" t="n">
        <f aca="false">IFERROR(INDEX('4. PRODUCCIÓN'!$D$8:$D$32,MATCH($A45,'4. PRODUCCIÓN'!$B$8:$B$32,0)),0)</f>
        <v>0</v>
      </c>
      <c r="J45" s="51" t="n">
        <f aca="false">E45*I45</f>
        <v>0</v>
      </c>
      <c r="K45" s="55" t="s">
        <v>250</v>
      </c>
    </row>
    <row r="46" customFormat="false" ht="15" hidden="false" customHeight="false" outlineLevel="0" collapsed="false">
      <c r="A46" s="50" t="n">
        <v>4</v>
      </c>
      <c r="B46" s="41" t="s">
        <v>260</v>
      </c>
      <c r="C46" s="50" t="s">
        <v>240</v>
      </c>
      <c r="D46" s="41" t="s">
        <v>126</v>
      </c>
      <c r="E46" s="51" t="n">
        <v>180</v>
      </c>
      <c r="F46" s="50" t="s">
        <v>90</v>
      </c>
      <c r="G46" s="52" t="n">
        <f aca="false">IFERROR(INDEX('1. INSUMOS'!$H$8:$H$98,MATCH($D46,'1. INSUMOS'!$B$8:$B$98,0)),0)</f>
        <v>0.03</v>
      </c>
      <c r="H46" s="53" t="n">
        <f aca="false">E46*G46</f>
        <v>5.4</v>
      </c>
      <c r="I46" s="54" t="n">
        <f aca="false">IFERROR(INDEX('4. PRODUCCIÓN'!$D$8:$D$32,MATCH($A46,'4. PRODUCCIÓN'!$B$8:$B$32,0)),0)</f>
        <v>0</v>
      </c>
      <c r="J46" s="51" t="n">
        <f aca="false">E46*I46</f>
        <v>0</v>
      </c>
      <c r="K46" s="55" t="s">
        <v>251</v>
      </c>
    </row>
    <row r="47" customFormat="false" ht="15" hidden="false" customHeight="false" outlineLevel="0" collapsed="false">
      <c r="A47" s="50" t="n">
        <v>4</v>
      </c>
      <c r="B47" s="41" t="s">
        <v>260</v>
      </c>
      <c r="C47" s="50" t="s">
        <v>240</v>
      </c>
      <c r="D47" s="41" t="s">
        <v>132</v>
      </c>
      <c r="E47" s="51" t="n">
        <v>150</v>
      </c>
      <c r="F47" s="50" t="s">
        <v>90</v>
      </c>
      <c r="G47" s="52" t="n">
        <f aca="false">IFERROR(INDEX('1. INSUMOS'!$H$8:$H$98,MATCH($D47,'1. INSUMOS'!$B$8:$B$98,0)),0)</f>
        <v>0.048</v>
      </c>
      <c r="H47" s="53" t="n">
        <f aca="false">E47*G47</f>
        <v>7.2</v>
      </c>
      <c r="I47" s="54" t="n">
        <f aca="false">IFERROR(INDEX('4. PRODUCCIÓN'!$D$8:$D$32,MATCH($A47,'4. PRODUCCIÓN'!$B$8:$B$32,0)),0)</f>
        <v>0</v>
      </c>
      <c r="J47" s="51" t="n">
        <f aca="false">E47*I47</f>
        <v>0</v>
      </c>
      <c r="K47" s="55" t="s">
        <v>261</v>
      </c>
    </row>
    <row r="48" customFormat="false" ht="15" hidden="false" customHeight="false" outlineLevel="0" collapsed="false">
      <c r="A48" s="50" t="n">
        <v>4</v>
      </c>
      <c r="B48" s="41" t="s">
        <v>260</v>
      </c>
      <c r="C48" s="50" t="s">
        <v>240</v>
      </c>
      <c r="D48" s="41" t="s">
        <v>201</v>
      </c>
      <c r="E48" s="51" t="n">
        <v>5</v>
      </c>
      <c r="F48" s="50" t="s">
        <v>90</v>
      </c>
      <c r="G48" s="52" t="n">
        <f aca="false">IFERROR(INDEX('1. INSUMOS'!$H$8:$H$98,MATCH($D48,'1. INSUMOS'!$B$8:$B$98,0)),0)</f>
        <v>0.46</v>
      </c>
      <c r="H48" s="53" t="n">
        <f aca="false">E48*G48</f>
        <v>2.3</v>
      </c>
      <c r="I48" s="54" t="n">
        <f aca="false">IFERROR(INDEX('4. PRODUCCIÓN'!$D$8:$D$32,MATCH($A48,'4. PRODUCCIÓN'!$B$8:$B$32,0)),0)</f>
        <v>0</v>
      </c>
      <c r="J48" s="51" t="n">
        <f aca="false">E48*I48</f>
        <v>0</v>
      </c>
      <c r="K48" s="55" t="s">
        <v>201</v>
      </c>
    </row>
    <row r="49" customFormat="false" ht="15" hidden="false" customHeight="false" outlineLevel="0" collapsed="false">
      <c r="A49" s="50" t="n">
        <v>4</v>
      </c>
      <c r="B49" s="41" t="s">
        <v>260</v>
      </c>
      <c r="C49" s="50" t="s">
        <v>240</v>
      </c>
      <c r="D49" s="41" t="s">
        <v>133</v>
      </c>
      <c r="E49" s="51" t="n">
        <v>4</v>
      </c>
      <c r="F49" s="50" t="s">
        <v>90</v>
      </c>
      <c r="G49" s="52" t="n">
        <f aca="false">IFERROR(INDEX('1. INSUMOS'!$H$8:$H$98,MATCH($D49,'1. INSUMOS'!$B$8:$B$98,0)),0)</f>
        <v>0.13</v>
      </c>
      <c r="H49" s="53" t="n">
        <f aca="false">E49*G49</f>
        <v>0.52</v>
      </c>
      <c r="I49" s="54" t="n">
        <f aca="false">IFERROR(INDEX('4. PRODUCCIÓN'!$D$8:$D$32,MATCH($A49,'4. PRODUCCIÓN'!$B$8:$B$32,0)),0)</f>
        <v>0</v>
      </c>
      <c r="J49" s="51" t="n">
        <f aca="false">E49*I49</f>
        <v>0</v>
      </c>
      <c r="K49" s="55" t="s">
        <v>133</v>
      </c>
    </row>
    <row r="50" customFormat="false" ht="15" hidden="false" customHeight="false" outlineLevel="0" collapsed="false">
      <c r="A50" s="50" t="n">
        <v>4</v>
      </c>
      <c r="B50" s="41" t="s">
        <v>260</v>
      </c>
      <c r="C50" s="50" t="s">
        <v>240</v>
      </c>
      <c r="D50" s="41" t="s">
        <v>195</v>
      </c>
      <c r="E50" s="51" t="n">
        <v>4</v>
      </c>
      <c r="F50" s="50" t="s">
        <v>90</v>
      </c>
      <c r="G50" s="52" t="n">
        <f aca="false">IFERROR(INDEX('1. INSUMOS'!$H$8:$H$98,MATCH($D50,'1. INSUMOS'!$B$8:$B$98,0)),0)</f>
        <v>0.02</v>
      </c>
      <c r="H50" s="53" t="n">
        <f aca="false">E50*G50</f>
        <v>0.08</v>
      </c>
      <c r="I50" s="54" t="n">
        <f aca="false">IFERROR(INDEX('4. PRODUCCIÓN'!$D$8:$D$32,MATCH($A50,'4. PRODUCCIÓN'!$B$8:$B$32,0)),0)</f>
        <v>0</v>
      </c>
      <c r="J50" s="51" t="n">
        <f aca="false">E50*I50</f>
        <v>0</v>
      </c>
      <c r="K50" s="55" t="s">
        <v>195</v>
      </c>
    </row>
    <row r="51" customFormat="false" ht="15" hidden="false" customHeight="false" outlineLevel="0" collapsed="false">
      <c r="A51" s="50" t="n">
        <v>4</v>
      </c>
      <c r="B51" s="41" t="s">
        <v>260</v>
      </c>
      <c r="C51" s="50" t="s">
        <v>240</v>
      </c>
      <c r="D51" s="41" t="s">
        <v>182</v>
      </c>
      <c r="E51" s="51" t="n">
        <v>180</v>
      </c>
      <c r="F51" s="50" t="s">
        <v>90</v>
      </c>
      <c r="G51" s="52" t="n">
        <f aca="false">IFERROR(INDEX('1. INSUMOS'!$H$8:$H$98,MATCH($D51,'1. INSUMOS'!$B$8:$B$98,0)),0)</f>
        <v>0.144</v>
      </c>
      <c r="H51" s="53" t="n">
        <f aca="false">E51*G51</f>
        <v>25.92</v>
      </c>
      <c r="I51" s="54" t="n">
        <f aca="false">IFERROR(INDEX('4. PRODUCCIÓN'!$D$8:$D$32,MATCH($A51,'4. PRODUCCIÓN'!$B$8:$B$32,0)),0)</f>
        <v>0</v>
      </c>
      <c r="J51" s="51" t="n">
        <f aca="false">E51*I51</f>
        <v>0</v>
      </c>
      <c r="K51" s="55" t="s">
        <v>262</v>
      </c>
    </row>
    <row r="52" customFormat="false" ht="15" hidden="false" customHeight="false" outlineLevel="0" collapsed="false">
      <c r="A52" s="50" t="n">
        <v>4</v>
      </c>
      <c r="B52" s="41" t="s">
        <v>260</v>
      </c>
      <c r="C52" s="50" t="s">
        <v>240</v>
      </c>
      <c r="D52" s="41" t="s">
        <v>172</v>
      </c>
      <c r="E52" s="51" t="n">
        <v>50</v>
      </c>
      <c r="F52" s="50" t="s">
        <v>90</v>
      </c>
      <c r="G52" s="52" t="n">
        <f aca="false">IFERROR(INDEX('1. INSUMOS'!$H$8:$H$98,MATCH($D52,'1. INSUMOS'!$B$8:$B$98,0)),0)</f>
        <v>0.39</v>
      </c>
      <c r="H52" s="53" t="n">
        <f aca="false">E52*G52</f>
        <v>19.5</v>
      </c>
      <c r="I52" s="54" t="n">
        <f aca="false">IFERROR(INDEX('4. PRODUCCIÓN'!$D$8:$D$32,MATCH($A52,'4. PRODUCCIÓN'!$B$8:$B$32,0)),0)</f>
        <v>0</v>
      </c>
      <c r="J52" s="51" t="n">
        <f aca="false">E52*I52</f>
        <v>0</v>
      </c>
      <c r="K52" s="55" t="s">
        <v>263</v>
      </c>
    </row>
    <row r="53" customFormat="false" ht="15" hidden="false" customHeight="false" outlineLevel="0" collapsed="false">
      <c r="A53" s="44" t="n">
        <v>5</v>
      </c>
      <c r="B53" s="43" t="s">
        <v>264</v>
      </c>
      <c r="C53" s="44" t="s">
        <v>240</v>
      </c>
      <c r="D53" s="43" t="s">
        <v>88</v>
      </c>
      <c r="E53" s="45" t="n">
        <v>220</v>
      </c>
      <c r="F53" s="44" t="s">
        <v>90</v>
      </c>
      <c r="G53" s="46" t="n">
        <f aca="false">IFERROR(INDEX('1. INSUMOS'!$H$8:$H$98,MATCH($D53,'1. INSUMOS'!$B$8:$B$98,0)),0)</f>
        <v>0.21</v>
      </c>
      <c r="H53" s="47" t="n">
        <f aca="false">E53*G53</f>
        <v>46.2</v>
      </c>
      <c r="I53" s="48" t="n">
        <f aca="false">IFERROR(INDEX('4. PRODUCCIÓN'!$D$8:$D$32,MATCH($A53,'4. PRODUCCIÓN'!$B$8:$B$32,0)),0)</f>
        <v>0</v>
      </c>
      <c r="J53" s="45" t="n">
        <f aca="false">E53*I53</f>
        <v>0</v>
      </c>
      <c r="K53" s="49" t="s">
        <v>265</v>
      </c>
    </row>
    <row r="54" customFormat="false" ht="15" hidden="false" customHeight="false" outlineLevel="0" collapsed="false">
      <c r="A54" s="44" t="n">
        <v>5</v>
      </c>
      <c r="B54" s="43" t="s">
        <v>264</v>
      </c>
      <c r="C54" s="44" t="s">
        <v>240</v>
      </c>
      <c r="D54" s="43" t="s">
        <v>109</v>
      </c>
      <c r="E54" s="45" t="n">
        <v>180</v>
      </c>
      <c r="F54" s="44" t="s">
        <v>90</v>
      </c>
      <c r="G54" s="46" t="n">
        <f aca="false">IFERROR(INDEX('1. INSUMOS'!$H$8:$H$98,MATCH($D54,'1. INSUMOS'!$B$8:$B$98,0)),0)</f>
        <v>0.058</v>
      </c>
      <c r="H54" s="47" t="n">
        <f aca="false">E54*G54</f>
        <v>10.44</v>
      </c>
      <c r="I54" s="48" t="n">
        <f aca="false">IFERROR(INDEX('4. PRODUCCIÓN'!$D$8:$D$32,MATCH($A54,'4. PRODUCCIÓN'!$B$8:$B$32,0)),0)</f>
        <v>0</v>
      </c>
      <c r="J54" s="45" t="n">
        <f aca="false">E54*I54</f>
        <v>0</v>
      </c>
      <c r="K54" s="49" t="s">
        <v>109</v>
      </c>
    </row>
    <row r="55" customFormat="false" ht="15" hidden="false" customHeight="false" outlineLevel="0" collapsed="false">
      <c r="A55" s="44" t="n">
        <v>5</v>
      </c>
      <c r="B55" s="43" t="s">
        <v>264</v>
      </c>
      <c r="C55" s="44" t="s">
        <v>240</v>
      </c>
      <c r="D55" s="43" t="s">
        <v>105</v>
      </c>
      <c r="E55" s="45" t="n">
        <v>60</v>
      </c>
      <c r="F55" s="44" t="s">
        <v>90</v>
      </c>
      <c r="G55" s="46" t="n">
        <f aca="false">IFERROR(INDEX('1. INSUMOS'!$H$8:$H$98,MATCH($D55,'1. INSUMOS'!$B$8:$B$98,0)),0)</f>
        <v>0.03</v>
      </c>
      <c r="H55" s="47" t="n">
        <f aca="false">E55*G55</f>
        <v>1.8</v>
      </c>
      <c r="I55" s="48" t="n">
        <f aca="false">IFERROR(INDEX('4. PRODUCCIÓN'!$D$8:$D$32,MATCH($A55,'4. PRODUCCIÓN'!$B$8:$B$32,0)),0)</f>
        <v>0</v>
      </c>
      <c r="J55" s="45" t="n">
        <f aca="false">E55*I55</f>
        <v>0</v>
      </c>
      <c r="K55" s="49" t="s">
        <v>105</v>
      </c>
    </row>
    <row r="56" customFormat="false" ht="15" hidden="false" customHeight="false" outlineLevel="0" collapsed="false">
      <c r="A56" s="44" t="n">
        <v>5</v>
      </c>
      <c r="B56" s="43" t="s">
        <v>264</v>
      </c>
      <c r="C56" s="44" t="s">
        <v>240</v>
      </c>
      <c r="D56" s="43" t="s">
        <v>142</v>
      </c>
      <c r="E56" s="45" t="n">
        <v>2</v>
      </c>
      <c r="F56" s="44" t="s">
        <v>144</v>
      </c>
      <c r="G56" s="46" t="n">
        <f aca="false">IFERROR(INDEX('1. INSUMOS'!$H$8:$H$98,MATCH($D56,'1. INSUMOS'!$B$8:$B$98,0)),0)</f>
        <v>3.2</v>
      </c>
      <c r="H56" s="47" t="n">
        <f aca="false">E56*G56</f>
        <v>6.4</v>
      </c>
      <c r="I56" s="48" t="n">
        <f aca="false">IFERROR(INDEX('4. PRODUCCIÓN'!$D$8:$D$32,MATCH($A56,'4. PRODUCCIÓN'!$B$8:$B$32,0)),0)</f>
        <v>0</v>
      </c>
      <c r="J56" s="45" t="n">
        <f aca="false">E56*I56</f>
        <v>0</v>
      </c>
      <c r="K56" s="49" t="s">
        <v>266</v>
      </c>
    </row>
    <row r="57" customFormat="false" ht="15" hidden="false" customHeight="false" outlineLevel="0" collapsed="false">
      <c r="A57" s="44" t="n">
        <v>5</v>
      </c>
      <c r="B57" s="43" t="s">
        <v>264</v>
      </c>
      <c r="C57" s="44" t="s">
        <v>240</v>
      </c>
      <c r="D57" s="43" t="s">
        <v>126</v>
      </c>
      <c r="E57" s="45" t="n">
        <v>300</v>
      </c>
      <c r="F57" s="44" t="s">
        <v>90</v>
      </c>
      <c r="G57" s="46" t="n">
        <f aca="false">IFERROR(INDEX('1. INSUMOS'!$H$8:$H$98,MATCH($D57,'1. INSUMOS'!$B$8:$B$98,0)),0)</f>
        <v>0.03</v>
      </c>
      <c r="H57" s="47" t="n">
        <f aca="false">E57*G57</f>
        <v>9</v>
      </c>
      <c r="I57" s="48" t="n">
        <f aca="false">IFERROR(INDEX('4. PRODUCCIÓN'!$D$8:$D$32,MATCH($A57,'4. PRODUCCIÓN'!$B$8:$B$32,0)),0)</f>
        <v>0</v>
      </c>
      <c r="J57" s="45" t="n">
        <f aca="false">E57*I57</f>
        <v>0</v>
      </c>
      <c r="K57" s="49" t="s">
        <v>251</v>
      </c>
    </row>
    <row r="58" customFormat="false" ht="15" hidden="false" customHeight="false" outlineLevel="0" collapsed="false">
      <c r="A58" s="44" t="n">
        <v>5</v>
      </c>
      <c r="B58" s="43" t="s">
        <v>264</v>
      </c>
      <c r="C58" s="44" t="s">
        <v>240</v>
      </c>
      <c r="D58" s="43" t="s">
        <v>130</v>
      </c>
      <c r="E58" s="45" t="n">
        <v>10</v>
      </c>
      <c r="F58" s="44" t="s">
        <v>90</v>
      </c>
      <c r="G58" s="46" t="n">
        <f aca="false">IFERROR(INDEX('1. INSUMOS'!$H$8:$H$98,MATCH($D58,'1. INSUMOS'!$B$8:$B$98,0)),0)</f>
        <v>0.09</v>
      </c>
      <c r="H58" s="47" t="n">
        <f aca="false">E58*G58</f>
        <v>0.9</v>
      </c>
      <c r="I58" s="48" t="n">
        <f aca="false">IFERROR(INDEX('4. PRODUCCIÓN'!$D$8:$D$32,MATCH($A58,'4. PRODUCCIÓN'!$B$8:$B$32,0)),0)</f>
        <v>0</v>
      </c>
      <c r="J58" s="45" t="n">
        <f aca="false">E58*I58</f>
        <v>0</v>
      </c>
      <c r="K58" s="49" t="s">
        <v>253</v>
      </c>
    </row>
    <row r="59" customFormat="false" ht="15" hidden="false" customHeight="false" outlineLevel="0" collapsed="false">
      <c r="A59" s="44" t="n">
        <v>5</v>
      </c>
      <c r="B59" s="43" t="s">
        <v>264</v>
      </c>
      <c r="C59" s="44" t="s">
        <v>240</v>
      </c>
      <c r="D59" s="43" t="s">
        <v>133</v>
      </c>
      <c r="E59" s="45" t="n">
        <v>5</v>
      </c>
      <c r="F59" s="44" t="s">
        <v>90</v>
      </c>
      <c r="G59" s="46" t="n">
        <f aca="false">IFERROR(INDEX('1. INSUMOS'!$H$8:$H$98,MATCH($D59,'1. INSUMOS'!$B$8:$B$98,0)),0)</f>
        <v>0.13</v>
      </c>
      <c r="H59" s="47" t="n">
        <f aca="false">E59*G59</f>
        <v>0.65</v>
      </c>
      <c r="I59" s="48" t="n">
        <f aca="false">IFERROR(INDEX('4. PRODUCCIÓN'!$D$8:$D$32,MATCH($A59,'4. PRODUCCIÓN'!$B$8:$B$32,0)),0)</f>
        <v>0</v>
      </c>
      <c r="J59" s="45" t="n">
        <f aca="false">E59*I59</f>
        <v>0</v>
      </c>
      <c r="K59" s="49" t="s">
        <v>133</v>
      </c>
    </row>
    <row r="60" customFormat="false" ht="15" hidden="false" customHeight="false" outlineLevel="0" collapsed="false">
      <c r="A60" s="44" t="n">
        <v>5</v>
      </c>
      <c r="B60" s="43" t="s">
        <v>264</v>
      </c>
      <c r="C60" s="44" t="s">
        <v>240</v>
      </c>
      <c r="D60" s="43" t="s">
        <v>195</v>
      </c>
      <c r="E60" s="45" t="n">
        <v>4</v>
      </c>
      <c r="F60" s="44" t="s">
        <v>90</v>
      </c>
      <c r="G60" s="46" t="n">
        <f aca="false">IFERROR(INDEX('1. INSUMOS'!$H$8:$H$98,MATCH($D60,'1. INSUMOS'!$B$8:$B$98,0)),0)</f>
        <v>0.02</v>
      </c>
      <c r="H60" s="47" t="n">
        <f aca="false">E60*G60</f>
        <v>0.08</v>
      </c>
      <c r="I60" s="48" t="n">
        <f aca="false">IFERROR(INDEX('4. PRODUCCIÓN'!$D$8:$D$32,MATCH($A60,'4. PRODUCCIÓN'!$B$8:$B$32,0)),0)</f>
        <v>0</v>
      </c>
      <c r="J60" s="45" t="n">
        <f aca="false">E60*I60</f>
        <v>0</v>
      </c>
      <c r="K60" s="49" t="s">
        <v>195</v>
      </c>
    </row>
    <row r="61" customFormat="false" ht="15" hidden="false" customHeight="false" outlineLevel="0" collapsed="false">
      <c r="A61" s="44" t="n">
        <v>5</v>
      </c>
      <c r="B61" s="43" t="s">
        <v>264</v>
      </c>
      <c r="C61" s="44" t="s">
        <v>240</v>
      </c>
      <c r="D61" s="43" t="s">
        <v>169</v>
      </c>
      <c r="E61" s="45" t="n">
        <v>200</v>
      </c>
      <c r="F61" s="44" t="s">
        <v>90</v>
      </c>
      <c r="G61" s="46" t="n">
        <f aca="false">IFERROR(INDEX('1. INSUMOS'!$H$8:$H$98,MATCH($D61,'1. INSUMOS'!$B$8:$B$98,0)),0)</f>
        <v>0.45</v>
      </c>
      <c r="H61" s="47" t="n">
        <f aca="false">E61*G61</f>
        <v>90</v>
      </c>
      <c r="I61" s="48" t="n">
        <f aca="false">IFERROR(INDEX('4. PRODUCCIÓN'!$D$8:$D$32,MATCH($A61,'4. PRODUCCIÓN'!$B$8:$B$32,0)),0)</f>
        <v>0</v>
      </c>
      <c r="J61" s="45" t="n">
        <f aca="false">E61*I61</f>
        <v>0</v>
      </c>
      <c r="K61" s="49" t="s">
        <v>267</v>
      </c>
    </row>
    <row r="62" customFormat="false" ht="15" hidden="false" customHeight="false" outlineLevel="0" collapsed="false">
      <c r="A62" s="44" t="n">
        <v>5</v>
      </c>
      <c r="B62" s="43" t="s">
        <v>264</v>
      </c>
      <c r="C62" s="44" t="s">
        <v>240</v>
      </c>
      <c r="D62" s="43" t="s">
        <v>157</v>
      </c>
      <c r="E62" s="45" t="n">
        <v>100</v>
      </c>
      <c r="F62" s="44" t="s">
        <v>90</v>
      </c>
      <c r="G62" s="46" t="n">
        <f aca="false">IFERROR(INDEX('1. INSUMOS'!$H$8:$H$98,MATCH($D62,'1. INSUMOS'!$B$8:$B$98,0)),0)</f>
        <v>0.165</v>
      </c>
      <c r="H62" s="47" t="n">
        <f aca="false">E62*G62</f>
        <v>16.5</v>
      </c>
      <c r="I62" s="48" t="n">
        <f aca="false">IFERROR(INDEX('4. PRODUCCIÓN'!$D$8:$D$32,MATCH($A62,'4. PRODUCCIÓN'!$B$8:$B$32,0)),0)</f>
        <v>0</v>
      </c>
      <c r="J62" s="45" t="n">
        <f aca="false">E62*I62</f>
        <v>0</v>
      </c>
      <c r="K62" s="49" t="s">
        <v>268</v>
      </c>
    </row>
    <row r="63" customFormat="false" ht="15" hidden="false" customHeight="false" outlineLevel="0" collapsed="false">
      <c r="A63" s="50" t="n">
        <v>6</v>
      </c>
      <c r="B63" s="41" t="s">
        <v>269</v>
      </c>
      <c r="C63" s="50" t="s">
        <v>240</v>
      </c>
      <c r="D63" s="41" t="s">
        <v>88</v>
      </c>
      <c r="E63" s="51" t="n">
        <v>180</v>
      </c>
      <c r="F63" s="50" t="s">
        <v>90</v>
      </c>
      <c r="G63" s="52" t="n">
        <f aca="false">IFERROR(INDEX('1. INSUMOS'!$H$8:$H$98,MATCH($D63,'1. INSUMOS'!$B$8:$B$98,0)),0)</f>
        <v>0.21</v>
      </c>
      <c r="H63" s="53" t="n">
        <f aca="false">E63*G63</f>
        <v>37.8</v>
      </c>
      <c r="I63" s="54" t="n">
        <f aca="false">IFERROR(INDEX('4. PRODUCCIÓN'!$D$8:$D$32,MATCH($A63,'4. PRODUCCIÓN'!$B$8:$B$32,0)),0)</f>
        <v>0</v>
      </c>
      <c r="J63" s="51" t="n">
        <f aca="false">E63*I63</f>
        <v>0</v>
      </c>
      <c r="K63" s="55" t="s">
        <v>249</v>
      </c>
    </row>
    <row r="64" customFormat="false" ht="15" hidden="false" customHeight="false" outlineLevel="0" collapsed="false">
      <c r="A64" s="50" t="n">
        <v>6</v>
      </c>
      <c r="B64" s="41" t="s">
        <v>269</v>
      </c>
      <c r="C64" s="50" t="s">
        <v>240</v>
      </c>
      <c r="D64" s="41" t="s">
        <v>108</v>
      </c>
      <c r="E64" s="51" t="n">
        <v>140</v>
      </c>
      <c r="F64" s="50" t="s">
        <v>90</v>
      </c>
      <c r="G64" s="52" t="n">
        <f aca="false">IFERROR(INDEX('1. INSUMOS'!$H$8:$H$98,MATCH($D64,'1. INSUMOS'!$B$8:$B$98,0)),0)</f>
        <v>0.052</v>
      </c>
      <c r="H64" s="53" t="n">
        <f aca="false">E64*G64</f>
        <v>7.28</v>
      </c>
      <c r="I64" s="54" t="n">
        <f aca="false">IFERROR(INDEX('4. PRODUCCIÓN'!$D$8:$D$32,MATCH($A64,'4. PRODUCCIÓN'!$B$8:$B$32,0)),0)</f>
        <v>0</v>
      </c>
      <c r="J64" s="51" t="n">
        <f aca="false">E64*I64</f>
        <v>0</v>
      </c>
      <c r="K64" s="55" t="s">
        <v>270</v>
      </c>
    </row>
    <row r="65" customFormat="false" ht="15" hidden="false" customHeight="false" outlineLevel="0" collapsed="false">
      <c r="A65" s="50" t="n">
        <v>6</v>
      </c>
      <c r="B65" s="41" t="s">
        <v>269</v>
      </c>
      <c r="C65" s="50" t="s">
        <v>240</v>
      </c>
      <c r="D65" s="41" t="s">
        <v>105</v>
      </c>
      <c r="E65" s="51" t="n">
        <v>100</v>
      </c>
      <c r="F65" s="50" t="s">
        <v>90</v>
      </c>
      <c r="G65" s="52" t="n">
        <f aca="false">IFERROR(INDEX('1. INSUMOS'!$H$8:$H$98,MATCH($D65,'1. INSUMOS'!$B$8:$B$98,0)),0)</f>
        <v>0.03</v>
      </c>
      <c r="H65" s="53" t="n">
        <f aca="false">E65*G65</f>
        <v>3</v>
      </c>
      <c r="I65" s="54" t="n">
        <f aca="false">IFERROR(INDEX('4. PRODUCCIÓN'!$D$8:$D$32,MATCH($A65,'4. PRODUCCIÓN'!$B$8:$B$32,0)),0)</f>
        <v>0</v>
      </c>
      <c r="J65" s="51" t="n">
        <f aca="false">E65*I65</f>
        <v>0</v>
      </c>
      <c r="K65" s="55" t="s">
        <v>105</v>
      </c>
    </row>
    <row r="66" customFormat="false" ht="15" hidden="false" customHeight="false" outlineLevel="0" collapsed="false">
      <c r="A66" s="50" t="n">
        <v>6</v>
      </c>
      <c r="B66" s="41" t="s">
        <v>269</v>
      </c>
      <c r="C66" s="50" t="s">
        <v>240</v>
      </c>
      <c r="D66" s="41" t="s">
        <v>142</v>
      </c>
      <c r="E66" s="51" t="n">
        <v>2</v>
      </c>
      <c r="F66" s="50" t="s">
        <v>144</v>
      </c>
      <c r="G66" s="52" t="n">
        <f aca="false">IFERROR(INDEX('1. INSUMOS'!$H$8:$H$98,MATCH($D66,'1. INSUMOS'!$B$8:$B$98,0)),0)</f>
        <v>3.2</v>
      </c>
      <c r="H66" s="53" t="n">
        <f aca="false">E66*G66</f>
        <v>6.4</v>
      </c>
      <c r="I66" s="54" t="n">
        <f aca="false">IFERROR(INDEX('4. PRODUCCIÓN'!$D$8:$D$32,MATCH($A66,'4. PRODUCCIÓN'!$B$8:$B$32,0)),0)</f>
        <v>0</v>
      </c>
      <c r="J66" s="51" t="n">
        <f aca="false">E66*I66</f>
        <v>0</v>
      </c>
      <c r="K66" s="55" t="s">
        <v>250</v>
      </c>
    </row>
    <row r="67" customFormat="false" ht="15" hidden="false" customHeight="false" outlineLevel="0" collapsed="false">
      <c r="A67" s="50" t="n">
        <v>6</v>
      </c>
      <c r="B67" s="41" t="s">
        <v>269</v>
      </c>
      <c r="C67" s="50" t="s">
        <v>240</v>
      </c>
      <c r="D67" s="41" t="s">
        <v>126</v>
      </c>
      <c r="E67" s="51" t="n">
        <v>300</v>
      </c>
      <c r="F67" s="50" t="s">
        <v>90</v>
      </c>
      <c r="G67" s="52" t="n">
        <f aca="false">IFERROR(INDEX('1. INSUMOS'!$H$8:$H$98,MATCH($D67,'1. INSUMOS'!$B$8:$B$98,0)),0)</f>
        <v>0.03</v>
      </c>
      <c r="H67" s="53" t="n">
        <f aca="false">E67*G67</f>
        <v>9</v>
      </c>
      <c r="I67" s="54" t="n">
        <f aca="false">IFERROR(INDEX('4. PRODUCCIÓN'!$D$8:$D$32,MATCH($A67,'4. PRODUCCIÓN'!$B$8:$B$32,0)),0)</f>
        <v>0</v>
      </c>
      <c r="J67" s="51" t="n">
        <f aca="false">E67*I67</f>
        <v>0</v>
      </c>
      <c r="K67" s="55" t="s">
        <v>251</v>
      </c>
    </row>
    <row r="68" customFormat="false" ht="15" hidden="false" customHeight="false" outlineLevel="0" collapsed="false">
      <c r="A68" s="50" t="n">
        <v>6</v>
      </c>
      <c r="B68" s="41" t="s">
        <v>269</v>
      </c>
      <c r="C68" s="50" t="s">
        <v>240</v>
      </c>
      <c r="D68" s="41" t="s">
        <v>130</v>
      </c>
      <c r="E68" s="51" t="n">
        <v>10</v>
      </c>
      <c r="F68" s="50" t="s">
        <v>90</v>
      </c>
      <c r="G68" s="52" t="n">
        <f aca="false">IFERROR(INDEX('1. INSUMOS'!$H$8:$H$98,MATCH($D68,'1. INSUMOS'!$B$8:$B$98,0)),0)</f>
        <v>0.09</v>
      </c>
      <c r="H68" s="53" t="n">
        <f aca="false">E68*G68</f>
        <v>0.9</v>
      </c>
      <c r="I68" s="54" t="n">
        <f aca="false">IFERROR(INDEX('4. PRODUCCIÓN'!$D$8:$D$32,MATCH($A68,'4. PRODUCCIÓN'!$B$8:$B$32,0)),0)</f>
        <v>0</v>
      </c>
      <c r="J68" s="51" t="n">
        <f aca="false">E68*I68</f>
        <v>0</v>
      </c>
      <c r="K68" s="55" t="s">
        <v>253</v>
      </c>
    </row>
    <row r="69" customFormat="false" ht="15" hidden="false" customHeight="false" outlineLevel="0" collapsed="false">
      <c r="A69" s="50" t="n">
        <v>6</v>
      </c>
      <c r="B69" s="41" t="s">
        <v>269</v>
      </c>
      <c r="C69" s="50" t="s">
        <v>240</v>
      </c>
      <c r="D69" s="41" t="s">
        <v>133</v>
      </c>
      <c r="E69" s="51" t="n">
        <v>5</v>
      </c>
      <c r="F69" s="50" t="s">
        <v>90</v>
      </c>
      <c r="G69" s="52" t="n">
        <f aca="false">IFERROR(INDEX('1. INSUMOS'!$H$8:$H$98,MATCH($D69,'1. INSUMOS'!$B$8:$B$98,0)),0)</f>
        <v>0.13</v>
      </c>
      <c r="H69" s="53" t="n">
        <f aca="false">E69*G69</f>
        <v>0.65</v>
      </c>
      <c r="I69" s="54" t="n">
        <f aca="false">IFERROR(INDEX('4. PRODUCCIÓN'!$D$8:$D$32,MATCH($A69,'4. PRODUCCIÓN'!$B$8:$B$32,0)),0)</f>
        <v>0</v>
      </c>
      <c r="J69" s="51" t="n">
        <f aca="false">E69*I69</f>
        <v>0</v>
      </c>
      <c r="K69" s="55" t="s">
        <v>133</v>
      </c>
    </row>
    <row r="70" customFormat="false" ht="15" hidden="false" customHeight="false" outlineLevel="0" collapsed="false">
      <c r="A70" s="50" t="n">
        <v>6</v>
      </c>
      <c r="B70" s="41" t="s">
        <v>269</v>
      </c>
      <c r="C70" s="50" t="s">
        <v>240</v>
      </c>
      <c r="D70" s="41" t="s">
        <v>195</v>
      </c>
      <c r="E70" s="51" t="n">
        <v>4</v>
      </c>
      <c r="F70" s="50" t="s">
        <v>90</v>
      </c>
      <c r="G70" s="52" t="n">
        <f aca="false">IFERROR(INDEX('1. INSUMOS'!$H$8:$H$98,MATCH($D70,'1. INSUMOS'!$B$8:$B$98,0)),0)</f>
        <v>0.02</v>
      </c>
      <c r="H70" s="53" t="n">
        <f aca="false">E70*G70</f>
        <v>0.08</v>
      </c>
      <c r="I70" s="54" t="n">
        <f aca="false">IFERROR(INDEX('4. PRODUCCIÓN'!$D$8:$D$32,MATCH($A70,'4. PRODUCCIÓN'!$B$8:$B$32,0)),0)</f>
        <v>0</v>
      </c>
      <c r="J70" s="51" t="n">
        <f aca="false">E70*I70</f>
        <v>0</v>
      </c>
      <c r="K70" s="55" t="s">
        <v>195</v>
      </c>
    </row>
    <row r="71" customFormat="false" ht="15" hidden="false" customHeight="false" outlineLevel="0" collapsed="false">
      <c r="A71" s="50" t="n">
        <v>6</v>
      </c>
      <c r="B71" s="41" t="s">
        <v>269</v>
      </c>
      <c r="C71" s="50" t="s">
        <v>240</v>
      </c>
      <c r="D71" s="41" t="s">
        <v>173</v>
      </c>
      <c r="E71" s="51" t="n">
        <v>150</v>
      </c>
      <c r="F71" s="50" t="s">
        <v>90</v>
      </c>
      <c r="G71" s="52" t="n">
        <f aca="false">IFERROR(INDEX('1. INSUMOS'!$H$8:$H$98,MATCH($D71,'1. INSUMOS'!$B$8:$B$98,0)),0)</f>
        <v>0.78</v>
      </c>
      <c r="H71" s="53" t="n">
        <f aca="false">E71*G71</f>
        <v>117</v>
      </c>
      <c r="I71" s="54" t="n">
        <f aca="false">IFERROR(INDEX('4. PRODUCCIÓN'!$D$8:$D$32,MATCH($A71,'4. PRODUCCIÓN'!$B$8:$B$32,0)),0)</f>
        <v>0</v>
      </c>
      <c r="J71" s="51" t="n">
        <f aca="false">E71*I71</f>
        <v>0</v>
      </c>
      <c r="K71" s="55" t="s">
        <v>271</v>
      </c>
    </row>
    <row r="72" customFormat="false" ht="15" hidden="false" customHeight="false" outlineLevel="0" collapsed="false">
      <c r="A72" s="50" t="n">
        <v>6</v>
      </c>
      <c r="B72" s="41" t="s">
        <v>269</v>
      </c>
      <c r="C72" s="50" t="s">
        <v>240</v>
      </c>
      <c r="D72" s="41" t="s">
        <v>149</v>
      </c>
      <c r="E72" s="51" t="n">
        <v>150</v>
      </c>
      <c r="F72" s="50" t="s">
        <v>90</v>
      </c>
      <c r="G72" s="52" t="n">
        <f aca="false">IFERROR(INDEX('1. INSUMOS'!$H$8:$H$98,MATCH($D72,'1. INSUMOS'!$B$8:$B$98,0)),0)</f>
        <v>0.235</v>
      </c>
      <c r="H72" s="53" t="n">
        <f aca="false">E72*G72</f>
        <v>35.25</v>
      </c>
      <c r="I72" s="54" t="n">
        <f aca="false">IFERROR(INDEX('4. PRODUCCIÓN'!$D$8:$D$32,MATCH($A72,'4. PRODUCCIÓN'!$B$8:$B$32,0)),0)</f>
        <v>0</v>
      </c>
      <c r="J72" s="51" t="n">
        <f aca="false">E72*I72</f>
        <v>0</v>
      </c>
      <c r="K72" s="55" t="s">
        <v>272</v>
      </c>
    </row>
    <row r="73" customFormat="false" ht="15" hidden="false" customHeight="false" outlineLevel="0" collapsed="false">
      <c r="A73" s="44" t="n">
        <v>7</v>
      </c>
      <c r="B73" s="43" t="s">
        <v>273</v>
      </c>
      <c r="C73" s="44" t="s">
        <v>240</v>
      </c>
      <c r="D73" s="43" t="s">
        <v>88</v>
      </c>
      <c r="E73" s="45" t="n">
        <v>180</v>
      </c>
      <c r="F73" s="44" t="s">
        <v>90</v>
      </c>
      <c r="G73" s="46" t="n">
        <f aca="false">IFERROR(INDEX('1. INSUMOS'!$H$8:$H$98,MATCH($D73,'1. INSUMOS'!$B$8:$B$98,0)),0)</f>
        <v>0.21</v>
      </c>
      <c r="H73" s="47" t="n">
        <f aca="false">E73*G73</f>
        <v>37.8</v>
      </c>
      <c r="I73" s="48" t="n">
        <f aca="false">IFERROR(INDEX('4. PRODUCCIÓN'!$D$8:$D$32,MATCH($A73,'4. PRODUCCIÓN'!$B$8:$B$32,0)),0)</f>
        <v>0</v>
      </c>
      <c r="J73" s="45" t="n">
        <f aca="false">E73*I73</f>
        <v>0</v>
      </c>
      <c r="K73" s="49" t="s">
        <v>249</v>
      </c>
    </row>
    <row r="74" customFormat="false" ht="15" hidden="false" customHeight="false" outlineLevel="0" collapsed="false">
      <c r="A74" s="44" t="n">
        <v>7</v>
      </c>
      <c r="B74" s="43" t="s">
        <v>273</v>
      </c>
      <c r="C74" s="44" t="s">
        <v>240</v>
      </c>
      <c r="D74" s="43" t="s">
        <v>105</v>
      </c>
      <c r="E74" s="45" t="n">
        <v>200</v>
      </c>
      <c r="F74" s="44" t="s">
        <v>90</v>
      </c>
      <c r="G74" s="46" t="n">
        <f aca="false">IFERROR(INDEX('1. INSUMOS'!$H$8:$H$98,MATCH($D74,'1. INSUMOS'!$B$8:$B$98,0)),0)</f>
        <v>0.03</v>
      </c>
      <c r="H74" s="47" t="n">
        <f aca="false">E74*G74</f>
        <v>6</v>
      </c>
      <c r="I74" s="48" t="n">
        <f aca="false">IFERROR(INDEX('4. PRODUCCIÓN'!$D$8:$D$32,MATCH($A74,'4. PRODUCCIÓN'!$B$8:$B$32,0)),0)</f>
        <v>0</v>
      </c>
      <c r="J74" s="45" t="n">
        <f aca="false">E74*I74</f>
        <v>0</v>
      </c>
      <c r="K74" s="49" t="s">
        <v>105</v>
      </c>
    </row>
    <row r="75" customFormat="false" ht="15" hidden="false" customHeight="false" outlineLevel="0" collapsed="false">
      <c r="A75" s="44" t="n">
        <v>7</v>
      </c>
      <c r="B75" s="43" t="s">
        <v>273</v>
      </c>
      <c r="C75" s="44" t="s">
        <v>240</v>
      </c>
      <c r="D75" s="43" t="s">
        <v>108</v>
      </c>
      <c r="E75" s="45" t="n">
        <v>50</v>
      </c>
      <c r="F75" s="44" t="s">
        <v>90</v>
      </c>
      <c r="G75" s="46" t="n">
        <f aca="false">IFERROR(INDEX('1. INSUMOS'!$H$8:$H$98,MATCH($D75,'1. INSUMOS'!$B$8:$B$98,0)),0)</f>
        <v>0.052</v>
      </c>
      <c r="H75" s="47" t="n">
        <f aca="false">E75*G75</f>
        <v>2.6</v>
      </c>
      <c r="I75" s="48" t="n">
        <f aca="false">IFERROR(INDEX('4. PRODUCCIÓN'!$D$8:$D$32,MATCH($A75,'4. PRODUCCIÓN'!$B$8:$B$32,0)),0)</f>
        <v>0</v>
      </c>
      <c r="J75" s="45" t="n">
        <f aca="false">E75*I75</f>
        <v>0</v>
      </c>
      <c r="K75" s="49" t="s">
        <v>108</v>
      </c>
    </row>
    <row r="76" customFormat="false" ht="15" hidden="false" customHeight="false" outlineLevel="0" collapsed="false">
      <c r="A76" s="44" t="n">
        <v>7</v>
      </c>
      <c r="B76" s="43" t="s">
        <v>273</v>
      </c>
      <c r="C76" s="44" t="s">
        <v>240</v>
      </c>
      <c r="D76" s="43" t="s">
        <v>142</v>
      </c>
      <c r="E76" s="45" t="n">
        <v>2</v>
      </c>
      <c r="F76" s="44" t="s">
        <v>144</v>
      </c>
      <c r="G76" s="46" t="n">
        <f aca="false">IFERROR(INDEX('1. INSUMOS'!$H$8:$H$98,MATCH($D76,'1. INSUMOS'!$B$8:$B$98,0)),0)</f>
        <v>3.2</v>
      </c>
      <c r="H76" s="47" t="n">
        <f aca="false">E76*G76</f>
        <v>6.4</v>
      </c>
      <c r="I76" s="48" t="n">
        <f aca="false">IFERROR(INDEX('4. PRODUCCIÓN'!$D$8:$D$32,MATCH($A76,'4. PRODUCCIÓN'!$B$8:$B$32,0)),0)</f>
        <v>0</v>
      </c>
      <c r="J76" s="45" t="n">
        <f aca="false">E76*I76</f>
        <v>0</v>
      </c>
      <c r="K76" s="49" t="s">
        <v>250</v>
      </c>
    </row>
    <row r="77" customFormat="false" ht="15" hidden="false" customHeight="false" outlineLevel="0" collapsed="false">
      <c r="A77" s="44" t="n">
        <v>7</v>
      </c>
      <c r="B77" s="43" t="s">
        <v>273</v>
      </c>
      <c r="C77" s="44" t="s">
        <v>240</v>
      </c>
      <c r="D77" s="43" t="s">
        <v>126</v>
      </c>
      <c r="E77" s="45" t="n">
        <v>310</v>
      </c>
      <c r="F77" s="44" t="s">
        <v>90</v>
      </c>
      <c r="G77" s="46" t="n">
        <f aca="false">IFERROR(INDEX('1. INSUMOS'!$H$8:$H$98,MATCH($D77,'1. INSUMOS'!$B$8:$B$98,0)),0)</f>
        <v>0.03</v>
      </c>
      <c r="H77" s="47" t="n">
        <f aca="false">E77*G77</f>
        <v>9.3</v>
      </c>
      <c r="I77" s="48" t="n">
        <f aca="false">IFERROR(INDEX('4. PRODUCCIÓN'!$D$8:$D$32,MATCH($A77,'4. PRODUCCIÓN'!$B$8:$B$32,0)),0)</f>
        <v>0</v>
      </c>
      <c r="J77" s="45" t="n">
        <f aca="false">E77*I77</f>
        <v>0</v>
      </c>
      <c r="K77" s="49" t="s">
        <v>251</v>
      </c>
    </row>
    <row r="78" customFormat="false" ht="15" hidden="false" customHeight="false" outlineLevel="0" collapsed="false">
      <c r="A78" s="44" t="n">
        <v>7</v>
      </c>
      <c r="B78" s="43" t="s">
        <v>273</v>
      </c>
      <c r="C78" s="44" t="s">
        <v>240</v>
      </c>
      <c r="D78" s="43" t="s">
        <v>135</v>
      </c>
      <c r="E78" s="45" t="n">
        <v>8</v>
      </c>
      <c r="F78" s="44" t="s">
        <v>90</v>
      </c>
      <c r="G78" s="46" t="n">
        <f aca="false">IFERROR(INDEX('1. INSUMOS'!$H$8:$H$98,MATCH($D78,'1. INSUMOS'!$B$8:$B$98,0)),0)</f>
        <v>0.9</v>
      </c>
      <c r="H78" s="47" t="n">
        <f aca="false">E78*G78</f>
        <v>7.2</v>
      </c>
      <c r="I78" s="48" t="n">
        <f aca="false">IFERROR(INDEX('4. PRODUCCIÓN'!$D$8:$D$32,MATCH($A78,'4. PRODUCCIÓN'!$B$8:$B$32,0)),0)</f>
        <v>0</v>
      </c>
      <c r="J78" s="45" t="n">
        <f aca="false">E78*I78</f>
        <v>0</v>
      </c>
      <c r="K78" s="49" t="s">
        <v>135</v>
      </c>
    </row>
    <row r="79" customFormat="false" ht="15" hidden="false" customHeight="false" outlineLevel="0" collapsed="false">
      <c r="A79" s="44" t="n">
        <v>7</v>
      </c>
      <c r="B79" s="43" t="s">
        <v>273</v>
      </c>
      <c r="C79" s="44" t="s">
        <v>240</v>
      </c>
      <c r="D79" s="43" t="s">
        <v>133</v>
      </c>
      <c r="E79" s="45" t="n">
        <v>5</v>
      </c>
      <c r="F79" s="44" t="s">
        <v>90</v>
      </c>
      <c r="G79" s="46" t="n">
        <f aca="false">IFERROR(INDEX('1. INSUMOS'!$H$8:$H$98,MATCH($D79,'1. INSUMOS'!$B$8:$B$98,0)),0)</f>
        <v>0.13</v>
      </c>
      <c r="H79" s="47" t="n">
        <f aca="false">E79*G79</f>
        <v>0.65</v>
      </c>
      <c r="I79" s="48" t="n">
        <f aca="false">IFERROR(INDEX('4. PRODUCCIÓN'!$D$8:$D$32,MATCH($A79,'4. PRODUCCIÓN'!$B$8:$B$32,0)),0)</f>
        <v>0</v>
      </c>
      <c r="J79" s="45" t="n">
        <f aca="false">E79*I79</f>
        <v>0</v>
      </c>
      <c r="K79" s="49" t="s">
        <v>133</v>
      </c>
    </row>
    <row r="80" customFormat="false" ht="15" hidden="false" customHeight="false" outlineLevel="0" collapsed="false">
      <c r="A80" s="44" t="n">
        <v>7</v>
      </c>
      <c r="B80" s="43" t="s">
        <v>273</v>
      </c>
      <c r="C80" s="44" t="s">
        <v>240</v>
      </c>
      <c r="D80" s="43" t="s">
        <v>195</v>
      </c>
      <c r="E80" s="45" t="n">
        <v>4</v>
      </c>
      <c r="F80" s="44" t="s">
        <v>90</v>
      </c>
      <c r="G80" s="46" t="n">
        <f aca="false">IFERROR(INDEX('1. INSUMOS'!$H$8:$H$98,MATCH($D80,'1. INSUMOS'!$B$8:$B$98,0)),0)</f>
        <v>0.02</v>
      </c>
      <c r="H80" s="47" t="n">
        <f aca="false">E80*G80</f>
        <v>0.08</v>
      </c>
      <c r="I80" s="48" t="n">
        <f aca="false">IFERROR(INDEX('4. PRODUCCIÓN'!$D$8:$D$32,MATCH($A80,'4. PRODUCCIÓN'!$B$8:$B$32,0)),0)</f>
        <v>0</v>
      </c>
      <c r="J80" s="45" t="n">
        <f aca="false">E80*I80</f>
        <v>0</v>
      </c>
      <c r="K80" s="49" t="s">
        <v>195</v>
      </c>
    </row>
    <row r="81" customFormat="false" ht="15" hidden="false" customHeight="false" outlineLevel="0" collapsed="false">
      <c r="A81" s="50" t="n">
        <v>8</v>
      </c>
      <c r="B81" s="41" t="s">
        <v>274</v>
      </c>
      <c r="C81" s="50" t="s">
        <v>240</v>
      </c>
      <c r="D81" s="41" t="s">
        <v>88</v>
      </c>
      <c r="E81" s="51" t="n">
        <v>180</v>
      </c>
      <c r="F81" s="50" t="s">
        <v>90</v>
      </c>
      <c r="G81" s="52" t="n">
        <f aca="false">IFERROR(INDEX('1. INSUMOS'!$H$8:$H$98,MATCH($D81,'1. INSUMOS'!$B$8:$B$98,0)),0)</f>
        <v>0.21</v>
      </c>
      <c r="H81" s="53" t="n">
        <f aca="false">E81*G81</f>
        <v>37.8</v>
      </c>
      <c r="I81" s="54" t="n">
        <f aca="false">IFERROR(INDEX('4. PRODUCCIÓN'!$D$8:$D$32,MATCH($A81,'4. PRODUCCIÓN'!$B$8:$B$32,0)),0)</f>
        <v>0</v>
      </c>
      <c r="J81" s="51" t="n">
        <f aca="false">E81*I81</f>
        <v>0</v>
      </c>
      <c r="K81" s="55" t="s">
        <v>249</v>
      </c>
    </row>
    <row r="82" customFormat="false" ht="15" hidden="false" customHeight="false" outlineLevel="0" collapsed="false">
      <c r="A82" s="50" t="n">
        <v>8</v>
      </c>
      <c r="B82" s="41" t="s">
        <v>274</v>
      </c>
      <c r="C82" s="50" t="s">
        <v>240</v>
      </c>
      <c r="D82" s="41" t="s">
        <v>105</v>
      </c>
      <c r="E82" s="51" t="n">
        <v>150</v>
      </c>
      <c r="F82" s="50" t="s">
        <v>90</v>
      </c>
      <c r="G82" s="52" t="n">
        <f aca="false">IFERROR(INDEX('1. INSUMOS'!$H$8:$H$98,MATCH($D82,'1. INSUMOS'!$B$8:$B$98,0)),0)</f>
        <v>0.03</v>
      </c>
      <c r="H82" s="53" t="n">
        <f aca="false">E82*G82</f>
        <v>4.5</v>
      </c>
      <c r="I82" s="54" t="n">
        <f aca="false">IFERROR(INDEX('4. PRODUCCIÓN'!$D$8:$D$32,MATCH($A82,'4. PRODUCCIÓN'!$B$8:$B$32,0)),0)</f>
        <v>0</v>
      </c>
      <c r="J82" s="51" t="n">
        <f aca="false">E82*I82</f>
        <v>0</v>
      </c>
      <c r="K82" s="55" t="s">
        <v>105</v>
      </c>
    </row>
    <row r="83" customFormat="false" ht="15" hidden="false" customHeight="false" outlineLevel="0" collapsed="false">
      <c r="A83" s="50" t="n">
        <v>8</v>
      </c>
      <c r="B83" s="41" t="s">
        <v>274</v>
      </c>
      <c r="C83" s="50" t="s">
        <v>240</v>
      </c>
      <c r="D83" s="41" t="s">
        <v>108</v>
      </c>
      <c r="E83" s="51" t="n">
        <v>100</v>
      </c>
      <c r="F83" s="50" t="s">
        <v>90</v>
      </c>
      <c r="G83" s="52" t="n">
        <f aca="false">IFERROR(INDEX('1. INSUMOS'!$H$8:$H$98,MATCH($D83,'1. INSUMOS'!$B$8:$B$98,0)),0)</f>
        <v>0.052</v>
      </c>
      <c r="H83" s="53" t="n">
        <f aca="false">E83*G83</f>
        <v>5.2</v>
      </c>
      <c r="I83" s="54" t="n">
        <f aca="false">IFERROR(INDEX('4. PRODUCCIÓN'!$D$8:$D$32,MATCH($A83,'4. PRODUCCIÓN'!$B$8:$B$32,0)),0)</f>
        <v>0</v>
      </c>
      <c r="J83" s="51" t="n">
        <f aca="false">E83*I83</f>
        <v>0</v>
      </c>
      <c r="K83" s="55" t="s">
        <v>270</v>
      </c>
    </row>
    <row r="84" customFormat="false" ht="15" hidden="false" customHeight="false" outlineLevel="0" collapsed="false">
      <c r="A84" s="50" t="n">
        <v>8</v>
      </c>
      <c r="B84" s="41" t="s">
        <v>274</v>
      </c>
      <c r="C84" s="50" t="s">
        <v>240</v>
      </c>
      <c r="D84" s="41" t="s">
        <v>142</v>
      </c>
      <c r="E84" s="51" t="n">
        <v>2</v>
      </c>
      <c r="F84" s="50" t="s">
        <v>144</v>
      </c>
      <c r="G84" s="52" t="n">
        <f aca="false">IFERROR(INDEX('1. INSUMOS'!$H$8:$H$98,MATCH($D84,'1. INSUMOS'!$B$8:$B$98,0)),0)</f>
        <v>3.2</v>
      </c>
      <c r="H84" s="53" t="n">
        <f aca="false">E84*G84</f>
        <v>6.4</v>
      </c>
      <c r="I84" s="54" t="n">
        <f aca="false">IFERROR(INDEX('4. PRODUCCIÓN'!$D$8:$D$32,MATCH($A84,'4. PRODUCCIÓN'!$B$8:$B$32,0)),0)</f>
        <v>0</v>
      </c>
      <c r="J84" s="51" t="n">
        <f aca="false">E84*I84</f>
        <v>0</v>
      </c>
      <c r="K84" s="55" t="s">
        <v>250</v>
      </c>
    </row>
    <row r="85" customFormat="false" ht="15" hidden="false" customHeight="false" outlineLevel="0" collapsed="false">
      <c r="A85" s="50" t="n">
        <v>8</v>
      </c>
      <c r="B85" s="41" t="s">
        <v>274</v>
      </c>
      <c r="C85" s="50" t="s">
        <v>240</v>
      </c>
      <c r="D85" s="41" t="s">
        <v>217</v>
      </c>
      <c r="E85" s="51" t="n">
        <v>10</v>
      </c>
      <c r="F85" s="50" t="s">
        <v>101</v>
      </c>
      <c r="G85" s="52" t="n">
        <f aca="false">IFERROR(INDEX('1. INSUMOS'!$H$8:$H$98,MATCH($D85,'1. INSUMOS'!$B$8:$B$98,0)),0)</f>
        <v>0.74</v>
      </c>
      <c r="H85" s="53" t="n">
        <f aca="false">E85*G85</f>
        <v>7.4</v>
      </c>
      <c r="I85" s="54" t="n">
        <f aca="false">IFERROR(INDEX('4. PRODUCCIÓN'!$D$8:$D$32,MATCH($A85,'4. PRODUCCIÓN'!$B$8:$B$32,0)),0)</f>
        <v>0</v>
      </c>
      <c r="J85" s="51" t="n">
        <f aca="false">E85*I85</f>
        <v>0</v>
      </c>
      <c r="K85" s="55" t="s">
        <v>275</v>
      </c>
    </row>
    <row r="86" customFormat="false" ht="15" hidden="false" customHeight="false" outlineLevel="0" collapsed="false">
      <c r="A86" s="50" t="n">
        <v>8</v>
      </c>
      <c r="B86" s="41" t="s">
        <v>274</v>
      </c>
      <c r="C86" s="50" t="s">
        <v>240</v>
      </c>
      <c r="D86" s="41" t="s">
        <v>126</v>
      </c>
      <c r="E86" s="51" t="n">
        <v>300</v>
      </c>
      <c r="F86" s="50" t="s">
        <v>90</v>
      </c>
      <c r="G86" s="52" t="n">
        <f aca="false">IFERROR(INDEX('1. INSUMOS'!$H$8:$H$98,MATCH($D86,'1. INSUMOS'!$B$8:$B$98,0)),0)</f>
        <v>0.03</v>
      </c>
      <c r="H86" s="53" t="n">
        <f aca="false">E86*G86</f>
        <v>9</v>
      </c>
      <c r="I86" s="54" t="n">
        <f aca="false">IFERROR(INDEX('4. PRODUCCIÓN'!$D$8:$D$32,MATCH($A86,'4. PRODUCCIÓN'!$B$8:$B$32,0)),0)</f>
        <v>0</v>
      </c>
      <c r="J86" s="51" t="n">
        <f aca="false">E86*I86</f>
        <v>0</v>
      </c>
      <c r="K86" s="55" t="s">
        <v>251</v>
      </c>
    </row>
    <row r="87" customFormat="false" ht="15" hidden="false" customHeight="false" outlineLevel="0" collapsed="false">
      <c r="A87" s="50" t="n">
        <v>8</v>
      </c>
      <c r="B87" s="41" t="s">
        <v>274</v>
      </c>
      <c r="C87" s="50" t="s">
        <v>240</v>
      </c>
      <c r="D87" s="41" t="s">
        <v>130</v>
      </c>
      <c r="E87" s="51" t="n">
        <v>10</v>
      </c>
      <c r="F87" s="50" t="s">
        <v>90</v>
      </c>
      <c r="G87" s="52" t="n">
        <f aca="false">IFERROR(INDEX('1. INSUMOS'!$H$8:$H$98,MATCH($D87,'1. INSUMOS'!$B$8:$B$98,0)),0)</f>
        <v>0.09</v>
      </c>
      <c r="H87" s="53" t="n">
        <f aca="false">E87*G87</f>
        <v>0.9</v>
      </c>
      <c r="I87" s="54" t="n">
        <f aca="false">IFERROR(INDEX('4. PRODUCCIÓN'!$D$8:$D$32,MATCH($A87,'4. PRODUCCIÓN'!$B$8:$B$32,0)),0)</f>
        <v>0</v>
      </c>
      <c r="J87" s="51" t="n">
        <f aca="false">E87*I87</f>
        <v>0</v>
      </c>
      <c r="K87" s="55" t="s">
        <v>253</v>
      </c>
    </row>
    <row r="88" customFormat="false" ht="15" hidden="false" customHeight="false" outlineLevel="0" collapsed="false">
      <c r="A88" s="50" t="n">
        <v>8</v>
      </c>
      <c r="B88" s="41" t="s">
        <v>274</v>
      </c>
      <c r="C88" s="50" t="s">
        <v>240</v>
      </c>
      <c r="D88" s="41" t="s">
        <v>133</v>
      </c>
      <c r="E88" s="51" t="n">
        <v>5</v>
      </c>
      <c r="F88" s="50" t="s">
        <v>90</v>
      </c>
      <c r="G88" s="52" t="n">
        <f aca="false">IFERROR(INDEX('1. INSUMOS'!$H$8:$H$98,MATCH($D88,'1. INSUMOS'!$B$8:$B$98,0)),0)</f>
        <v>0.13</v>
      </c>
      <c r="H88" s="53" t="n">
        <f aca="false">E88*G88</f>
        <v>0.65</v>
      </c>
      <c r="I88" s="54" t="n">
        <f aca="false">IFERROR(INDEX('4. PRODUCCIÓN'!$D$8:$D$32,MATCH($A88,'4. PRODUCCIÓN'!$B$8:$B$32,0)),0)</f>
        <v>0</v>
      </c>
      <c r="J88" s="51" t="n">
        <f aca="false">E88*I88</f>
        <v>0</v>
      </c>
      <c r="K88" s="55" t="s">
        <v>133</v>
      </c>
    </row>
    <row r="89" customFormat="false" ht="15" hidden="false" customHeight="false" outlineLevel="0" collapsed="false">
      <c r="A89" s="50" t="n">
        <v>8</v>
      </c>
      <c r="B89" s="41" t="s">
        <v>274</v>
      </c>
      <c r="C89" s="50" t="s">
        <v>240</v>
      </c>
      <c r="D89" s="41" t="s">
        <v>195</v>
      </c>
      <c r="E89" s="51" t="n">
        <v>4</v>
      </c>
      <c r="F89" s="50" t="s">
        <v>90</v>
      </c>
      <c r="G89" s="52" t="n">
        <f aca="false">IFERROR(INDEX('1. INSUMOS'!$H$8:$H$98,MATCH($D89,'1. INSUMOS'!$B$8:$B$98,0)),0)</f>
        <v>0.02</v>
      </c>
      <c r="H89" s="53" t="n">
        <f aca="false">E89*G89</f>
        <v>0.08</v>
      </c>
      <c r="I89" s="54" t="n">
        <f aca="false">IFERROR(INDEX('4. PRODUCCIÓN'!$D$8:$D$32,MATCH($A89,'4. PRODUCCIÓN'!$B$8:$B$32,0)),0)</f>
        <v>0</v>
      </c>
      <c r="J89" s="51" t="n">
        <f aca="false">E89*I89</f>
        <v>0</v>
      </c>
      <c r="K89" s="55" t="s">
        <v>195</v>
      </c>
    </row>
    <row r="90" customFormat="false" ht="15" hidden="false" customHeight="false" outlineLevel="0" collapsed="false">
      <c r="A90" s="50" t="n">
        <v>8</v>
      </c>
      <c r="B90" s="41" t="s">
        <v>274</v>
      </c>
      <c r="C90" s="50" t="s">
        <v>240</v>
      </c>
      <c r="D90" s="41" t="s">
        <v>158</v>
      </c>
      <c r="E90" s="51" t="n">
        <v>80</v>
      </c>
      <c r="F90" s="50" t="s">
        <v>90</v>
      </c>
      <c r="G90" s="52" t="n">
        <f aca="false">IFERROR(INDEX('1. INSUMOS'!$H$8:$H$98,MATCH($D90,'1. INSUMOS'!$B$8:$B$98,0)),0)</f>
        <v>0.248</v>
      </c>
      <c r="H90" s="53" t="n">
        <f aca="false">E90*G90</f>
        <v>19.84</v>
      </c>
      <c r="I90" s="54" t="n">
        <f aca="false">IFERROR(INDEX('4. PRODUCCIÓN'!$D$8:$D$32,MATCH($A90,'4. PRODUCCIÓN'!$B$8:$B$32,0)),0)</f>
        <v>0</v>
      </c>
      <c r="J90" s="51" t="n">
        <f aca="false">E90*I90</f>
        <v>0</v>
      </c>
      <c r="K90" s="55" t="s">
        <v>276</v>
      </c>
    </row>
    <row r="91" customFormat="false" ht="15" hidden="false" customHeight="false" outlineLevel="0" collapsed="false">
      <c r="A91" s="50" t="n">
        <v>8</v>
      </c>
      <c r="B91" s="41" t="s">
        <v>274</v>
      </c>
      <c r="C91" s="50" t="s">
        <v>240</v>
      </c>
      <c r="D91" s="41" t="s">
        <v>149</v>
      </c>
      <c r="E91" s="51" t="n">
        <v>150</v>
      </c>
      <c r="F91" s="50" t="s">
        <v>90</v>
      </c>
      <c r="G91" s="52" t="n">
        <f aca="false">IFERROR(INDEX('1. INSUMOS'!$H$8:$H$98,MATCH($D91,'1. INSUMOS'!$B$8:$B$98,0)),0)</f>
        <v>0.235</v>
      </c>
      <c r="H91" s="53" t="n">
        <f aca="false">E91*G91</f>
        <v>35.25</v>
      </c>
      <c r="I91" s="54" t="n">
        <f aca="false">IFERROR(INDEX('4. PRODUCCIÓN'!$D$8:$D$32,MATCH($A91,'4. PRODUCCIÓN'!$B$8:$B$32,0)),0)</f>
        <v>0</v>
      </c>
      <c r="J91" s="51" t="n">
        <f aca="false">E91*I91</f>
        <v>0</v>
      </c>
      <c r="K91" s="55" t="s">
        <v>277</v>
      </c>
    </row>
    <row r="92" customFormat="false" ht="15" hidden="false" customHeight="false" outlineLevel="0" collapsed="false">
      <c r="A92" s="44" t="n">
        <v>9</v>
      </c>
      <c r="B92" s="43" t="s">
        <v>278</v>
      </c>
      <c r="C92" s="44" t="s">
        <v>240</v>
      </c>
      <c r="D92" s="43" t="s">
        <v>88</v>
      </c>
      <c r="E92" s="45" t="n">
        <v>120</v>
      </c>
      <c r="F92" s="44" t="s">
        <v>90</v>
      </c>
      <c r="G92" s="46" t="n">
        <f aca="false">IFERROR(INDEX('1. INSUMOS'!$H$8:$H$98,MATCH($D92,'1. INSUMOS'!$B$8:$B$98,0)),0)</f>
        <v>0.21</v>
      </c>
      <c r="H92" s="47" t="n">
        <f aca="false">E92*G92</f>
        <v>25.2</v>
      </c>
      <c r="I92" s="48" t="n">
        <f aca="false">IFERROR(INDEX('4. PRODUCCIÓN'!$D$8:$D$32,MATCH($A92,'4. PRODUCCIÓN'!$B$8:$B$32,0)),0)</f>
        <v>0</v>
      </c>
      <c r="J92" s="45" t="n">
        <f aca="false">E92*I92</f>
        <v>0</v>
      </c>
      <c r="K92" s="49" t="s">
        <v>249</v>
      </c>
    </row>
    <row r="93" customFormat="false" ht="15" hidden="false" customHeight="false" outlineLevel="0" collapsed="false">
      <c r="A93" s="44" t="n">
        <v>9</v>
      </c>
      <c r="B93" s="43" t="s">
        <v>278</v>
      </c>
      <c r="C93" s="44" t="s">
        <v>240</v>
      </c>
      <c r="D93" s="43" t="s">
        <v>167</v>
      </c>
      <c r="E93" s="45" t="n">
        <v>150</v>
      </c>
      <c r="F93" s="44" t="s">
        <v>90</v>
      </c>
      <c r="G93" s="46" t="n">
        <f aca="false">IFERROR(INDEX('1. INSUMOS'!$H$8:$H$98,MATCH($D93,'1. INSUMOS'!$B$8:$B$98,0)),0)</f>
        <v>0.164</v>
      </c>
      <c r="H93" s="47" t="n">
        <f aca="false">E93*G93</f>
        <v>24.6</v>
      </c>
      <c r="I93" s="48" t="n">
        <f aca="false">IFERROR(INDEX('4. PRODUCCIÓN'!$D$8:$D$32,MATCH($A93,'4. PRODUCCIÓN'!$B$8:$B$32,0)),0)</f>
        <v>0</v>
      </c>
      <c r="J93" s="45" t="n">
        <f aca="false">E93*I93</f>
        <v>0</v>
      </c>
      <c r="K93" s="49" t="s">
        <v>279</v>
      </c>
    </row>
    <row r="94" customFormat="false" ht="15" hidden="false" customHeight="false" outlineLevel="0" collapsed="false">
      <c r="A94" s="44" t="n">
        <v>9</v>
      </c>
      <c r="B94" s="43" t="s">
        <v>278</v>
      </c>
      <c r="C94" s="44" t="s">
        <v>240</v>
      </c>
      <c r="D94" s="43" t="s">
        <v>108</v>
      </c>
      <c r="E94" s="45" t="n">
        <v>150</v>
      </c>
      <c r="F94" s="44" t="s">
        <v>90</v>
      </c>
      <c r="G94" s="46" t="n">
        <f aca="false">IFERROR(INDEX('1. INSUMOS'!$H$8:$H$98,MATCH($D94,'1. INSUMOS'!$B$8:$B$98,0)),0)</f>
        <v>0.052</v>
      </c>
      <c r="H94" s="47" t="n">
        <f aca="false">E94*G94</f>
        <v>7.8</v>
      </c>
      <c r="I94" s="48" t="n">
        <f aca="false">IFERROR(INDEX('4. PRODUCCIÓN'!$D$8:$D$32,MATCH($A94,'4. PRODUCCIÓN'!$B$8:$B$32,0)),0)</f>
        <v>0</v>
      </c>
      <c r="J94" s="45" t="n">
        <f aca="false">E94*I94</f>
        <v>0</v>
      </c>
      <c r="K94" s="49" t="s">
        <v>108</v>
      </c>
    </row>
    <row r="95" customFormat="false" ht="15" hidden="false" customHeight="false" outlineLevel="0" collapsed="false">
      <c r="A95" s="44" t="n">
        <v>9</v>
      </c>
      <c r="B95" s="43" t="s">
        <v>278</v>
      </c>
      <c r="C95" s="44" t="s">
        <v>240</v>
      </c>
      <c r="D95" s="43" t="s">
        <v>105</v>
      </c>
      <c r="E95" s="45" t="n">
        <v>100</v>
      </c>
      <c r="F95" s="44" t="s">
        <v>90</v>
      </c>
      <c r="G95" s="46" t="n">
        <f aca="false">IFERROR(INDEX('1. INSUMOS'!$H$8:$H$98,MATCH($D95,'1. INSUMOS'!$B$8:$B$98,0)),0)</f>
        <v>0.03</v>
      </c>
      <c r="H95" s="47" t="n">
        <f aca="false">E95*G95</f>
        <v>3</v>
      </c>
      <c r="I95" s="48" t="n">
        <f aca="false">IFERROR(INDEX('4. PRODUCCIÓN'!$D$8:$D$32,MATCH($A95,'4. PRODUCCIÓN'!$B$8:$B$32,0)),0)</f>
        <v>0</v>
      </c>
      <c r="J95" s="45" t="n">
        <f aca="false">E95*I95</f>
        <v>0</v>
      </c>
      <c r="K95" s="49" t="s">
        <v>105</v>
      </c>
    </row>
    <row r="96" customFormat="false" ht="15" hidden="false" customHeight="false" outlineLevel="0" collapsed="false">
      <c r="A96" s="44" t="n">
        <v>9</v>
      </c>
      <c r="B96" s="43" t="s">
        <v>278</v>
      </c>
      <c r="C96" s="44" t="s">
        <v>240</v>
      </c>
      <c r="D96" s="43" t="s">
        <v>142</v>
      </c>
      <c r="E96" s="45" t="n">
        <v>2</v>
      </c>
      <c r="F96" s="44" t="s">
        <v>144</v>
      </c>
      <c r="G96" s="46" t="n">
        <f aca="false">IFERROR(INDEX('1. INSUMOS'!$H$8:$H$98,MATCH($D96,'1. INSUMOS'!$B$8:$B$98,0)),0)</f>
        <v>3.2</v>
      </c>
      <c r="H96" s="47" t="n">
        <f aca="false">E96*G96</f>
        <v>6.4</v>
      </c>
      <c r="I96" s="48" t="n">
        <f aca="false">IFERROR(INDEX('4. PRODUCCIÓN'!$D$8:$D$32,MATCH($A96,'4. PRODUCCIÓN'!$B$8:$B$32,0)),0)</f>
        <v>0</v>
      </c>
      <c r="J96" s="45" t="n">
        <f aca="false">E96*I96</f>
        <v>0</v>
      </c>
      <c r="K96" s="49" t="s">
        <v>250</v>
      </c>
    </row>
    <row r="97" customFormat="false" ht="15" hidden="false" customHeight="false" outlineLevel="0" collapsed="false">
      <c r="A97" s="44" t="n">
        <v>9</v>
      </c>
      <c r="B97" s="43" t="s">
        <v>278</v>
      </c>
      <c r="C97" s="44" t="s">
        <v>240</v>
      </c>
      <c r="D97" s="43" t="s">
        <v>126</v>
      </c>
      <c r="E97" s="45" t="n">
        <v>280</v>
      </c>
      <c r="F97" s="44" t="s">
        <v>90</v>
      </c>
      <c r="G97" s="46" t="n">
        <f aca="false">IFERROR(INDEX('1. INSUMOS'!$H$8:$H$98,MATCH($D97,'1. INSUMOS'!$B$8:$B$98,0)),0)</f>
        <v>0.03</v>
      </c>
      <c r="H97" s="47" t="n">
        <f aca="false">E97*G97</f>
        <v>8.4</v>
      </c>
      <c r="I97" s="48" t="n">
        <f aca="false">IFERROR(INDEX('4. PRODUCCIÓN'!$D$8:$D$32,MATCH($A97,'4. PRODUCCIÓN'!$B$8:$B$32,0)),0)</f>
        <v>0</v>
      </c>
      <c r="J97" s="45" t="n">
        <f aca="false">E97*I97</f>
        <v>0</v>
      </c>
      <c r="K97" s="49" t="s">
        <v>251</v>
      </c>
    </row>
    <row r="98" customFormat="false" ht="15" hidden="false" customHeight="false" outlineLevel="0" collapsed="false">
      <c r="A98" s="44" t="n">
        <v>9</v>
      </c>
      <c r="B98" s="43" t="s">
        <v>278</v>
      </c>
      <c r="C98" s="44" t="s">
        <v>240</v>
      </c>
      <c r="D98" s="43" t="s">
        <v>133</v>
      </c>
      <c r="E98" s="45" t="n">
        <v>5</v>
      </c>
      <c r="F98" s="44" t="s">
        <v>90</v>
      </c>
      <c r="G98" s="46" t="n">
        <f aca="false">IFERROR(INDEX('1. INSUMOS'!$H$8:$H$98,MATCH($D98,'1. INSUMOS'!$B$8:$B$98,0)),0)</f>
        <v>0.13</v>
      </c>
      <c r="H98" s="47" t="n">
        <f aca="false">E98*G98</f>
        <v>0.65</v>
      </c>
      <c r="I98" s="48" t="n">
        <f aca="false">IFERROR(INDEX('4. PRODUCCIÓN'!$D$8:$D$32,MATCH($A98,'4. PRODUCCIÓN'!$B$8:$B$32,0)),0)</f>
        <v>0</v>
      </c>
      <c r="J98" s="45" t="n">
        <f aca="false">E98*I98</f>
        <v>0</v>
      </c>
      <c r="K98" s="49" t="s">
        <v>133</v>
      </c>
    </row>
    <row r="99" customFormat="false" ht="15" hidden="false" customHeight="false" outlineLevel="0" collapsed="false">
      <c r="A99" s="44" t="n">
        <v>9</v>
      </c>
      <c r="B99" s="43" t="s">
        <v>278</v>
      </c>
      <c r="C99" s="44" t="s">
        <v>240</v>
      </c>
      <c r="D99" s="43" t="s">
        <v>195</v>
      </c>
      <c r="E99" s="45" t="n">
        <v>4</v>
      </c>
      <c r="F99" s="44" t="s">
        <v>90</v>
      </c>
      <c r="G99" s="46" t="n">
        <f aca="false">IFERROR(INDEX('1. INSUMOS'!$H$8:$H$98,MATCH($D99,'1. INSUMOS'!$B$8:$B$98,0)),0)</f>
        <v>0.02</v>
      </c>
      <c r="H99" s="47" t="n">
        <f aca="false">E99*G99</f>
        <v>0.08</v>
      </c>
      <c r="I99" s="48" t="n">
        <f aca="false">IFERROR(INDEX('4. PRODUCCIÓN'!$D$8:$D$32,MATCH($A99,'4. PRODUCCIÓN'!$B$8:$B$32,0)),0)</f>
        <v>0</v>
      </c>
      <c r="J99" s="45" t="n">
        <f aca="false">E99*I99</f>
        <v>0</v>
      </c>
      <c r="K99" s="49" t="s">
        <v>195</v>
      </c>
    </row>
    <row r="100" customFormat="false" ht="15" hidden="false" customHeight="false" outlineLevel="0" collapsed="false">
      <c r="A100" s="44" t="n">
        <v>9</v>
      </c>
      <c r="B100" s="43" t="s">
        <v>278</v>
      </c>
      <c r="C100" s="44" t="s">
        <v>240</v>
      </c>
      <c r="D100" s="43" t="s">
        <v>177</v>
      </c>
      <c r="E100" s="45" t="n">
        <v>100</v>
      </c>
      <c r="F100" s="44" t="s">
        <v>90</v>
      </c>
      <c r="G100" s="46" t="n">
        <f aca="false">IFERROR(INDEX('1. INSUMOS'!$H$8:$H$98,MATCH($D100,'1. INSUMOS'!$B$8:$B$98,0)),0)</f>
        <v>0.124</v>
      </c>
      <c r="H100" s="47" t="n">
        <f aca="false">E100*G100</f>
        <v>12.4</v>
      </c>
      <c r="I100" s="48" t="n">
        <f aca="false">IFERROR(INDEX('4. PRODUCCIÓN'!$D$8:$D$32,MATCH($A100,'4. PRODUCCIÓN'!$B$8:$B$32,0)),0)</f>
        <v>0</v>
      </c>
      <c r="J100" s="45" t="n">
        <f aca="false">E100*I100</f>
        <v>0</v>
      </c>
      <c r="K100" s="49" t="s">
        <v>280</v>
      </c>
    </row>
    <row r="101" customFormat="false" ht="15" hidden="false" customHeight="false" outlineLevel="0" collapsed="false">
      <c r="A101" s="44" t="n">
        <v>9</v>
      </c>
      <c r="B101" s="43" t="s">
        <v>278</v>
      </c>
      <c r="C101" s="44" t="s">
        <v>240</v>
      </c>
      <c r="D101" s="43" t="s">
        <v>157</v>
      </c>
      <c r="E101" s="45" t="n">
        <v>100</v>
      </c>
      <c r="F101" s="44" t="s">
        <v>90</v>
      </c>
      <c r="G101" s="46" t="n">
        <f aca="false">IFERROR(INDEX('1. INSUMOS'!$H$8:$H$98,MATCH($D101,'1. INSUMOS'!$B$8:$B$98,0)),0)</f>
        <v>0.165</v>
      </c>
      <c r="H101" s="47" t="n">
        <f aca="false">E101*G101</f>
        <v>16.5</v>
      </c>
      <c r="I101" s="48" t="n">
        <f aca="false">IFERROR(INDEX('4. PRODUCCIÓN'!$D$8:$D$32,MATCH($A101,'4. PRODUCCIÓN'!$B$8:$B$32,0)),0)</f>
        <v>0</v>
      </c>
      <c r="J101" s="45" t="n">
        <f aca="false">E101*I101</f>
        <v>0</v>
      </c>
      <c r="K101" s="49" t="s">
        <v>281</v>
      </c>
    </row>
    <row r="102" customFormat="false" ht="15" hidden="false" customHeight="false" outlineLevel="0" collapsed="false">
      <c r="A102" s="50" t="n">
        <v>10</v>
      </c>
      <c r="B102" s="41" t="s">
        <v>282</v>
      </c>
      <c r="C102" s="50" t="s">
        <v>240</v>
      </c>
      <c r="D102" s="41" t="s">
        <v>88</v>
      </c>
      <c r="E102" s="51" t="n">
        <v>180</v>
      </c>
      <c r="F102" s="50" t="s">
        <v>90</v>
      </c>
      <c r="G102" s="52" t="n">
        <f aca="false">IFERROR(INDEX('1. INSUMOS'!$H$8:$H$98,MATCH($D102,'1. INSUMOS'!$B$8:$B$98,0)),0)</f>
        <v>0.21</v>
      </c>
      <c r="H102" s="53" t="n">
        <f aca="false">E102*G102</f>
        <v>37.8</v>
      </c>
      <c r="I102" s="54" t="n">
        <f aca="false">IFERROR(INDEX('4. PRODUCCIÓN'!$D$8:$D$32,MATCH($A102,'4. PRODUCCIÓN'!$B$8:$B$32,0)),0)</f>
        <v>0</v>
      </c>
      <c r="J102" s="51" t="n">
        <f aca="false">E102*I102</f>
        <v>0</v>
      </c>
      <c r="K102" s="55" t="s">
        <v>249</v>
      </c>
    </row>
    <row r="103" customFormat="false" ht="15" hidden="false" customHeight="false" outlineLevel="0" collapsed="false">
      <c r="A103" s="50" t="n">
        <v>10</v>
      </c>
      <c r="B103" s="41" t="s">
        <v>282</v>
      </c>
      <c r="C103" s="50" t="s">
        <v>240</v>
      </c>
      <c r="D103" s="41" t="s">
        <v>109</v>
      </c>
      <c r="E103" s="51" t="n">
        <v>180</v>
      </c>
      <c r="F103" s="50" t="s">
        <v>90</v>
      </c>
      <c r="G103" s="52" t="n">
        <f aca="false">IFERROR(INDEX('1. INSUMOS'!$H$8:$H$98,MATCH($D103,'1. INSUMOS'!$B$8:$B$98,0)),0)</f>
        <v>0.058</v>
      </c>
      <c r="H103" s="53" t="n">
        <f aca="false">E103*G103</f>
        <v>10.44</v>
      </c>
      <c r="I103" s="54" t="n">
        <f aca="false">IFERROR(INDEX('4. PRODUCCIÓN'!$D$8:$D$32,MATCH($A103,'4. PRODUCCIÓN'!$B$8:$B$32,0)),0)</f>
        <v>0</v>
      </c>
      <c r="J103" s="51" t="n">
        <f aca="false">E103*I103</f>
        <v>0</v>
      </c>
      <c r="K103" s="55" t="s">
        <v>109</v>
      </c>
    </row>
    <row r="104" customFormat="false" ht="15" hidden="false" customHeight="false" outlineLevel="0" collapsed="false">
      <c r="A104" s="50" t="n">
        <v>10</v>
      </c>
      <c r="B104" s="41" t="s">
        <v>282</v>
      </c>
      <c r="C104" s="50" t="s">
        <v>240</v>
      </c>
      <c r="D104" s="41" t="s">
        <v>105</v>
      </c>
      <c r="E104" s="51" t="n">
        <v>80</v>
      </c>
      <c r="F104" s="50" t="s">
        <v>90</v>
      </c>
      <c r="G104" s="52" t="n">
        <f aca="false">IFERROR(INDEX('1. INSUMOS'!$H$8:$H$98,MATCH($D104,'1. INSUMOS'!$B$8:$B$98,0)),0)</f>
        <v>0.03</v>
      </c>
      <c r="H104" s="53" t="n">
        <f aca="false">E104*G104</f>
        <v>2.4</v>
      </c>
      <c r="I104" s="54" t="n">
        <f aca="false">IFERROR(INDEX('4. PRODUCCIÓN'!$D$8:$D$32,MATCH($A104,'4. PRODUCCIÓN'!$B$8:$B$32,0)),0)</f>
        <v>0</v>
      </c>
      <c r="J104" s="51" t="n">
        <f aca="false">E104*I104</f>
        <v>0</v>
      </c>
      <c r="K104" s="55" t="s">
        <v>105</v>
      </c>
    </row>
    <row r="105" customFormat="false" ht="15" hidden="false" customHeight="false" outlineLevel="0" collapsed="false">
      <c r="A105" s="50" t="n">
        <v>10</v>
      </c>
      <c r="B105" s="41" t="s">
        <v>282</v>
      </c>
      <c r="C105" s="50" t="s">
        <v>240</v>
      </c>
      <c r="D105" s="41" t="s">
        <v>142</v>
      </c>
      <c r="E105" s="51" t="n">
        <v>2</v>
      </c>
      <c r="F105" s="50" t="s">
        <v>144</v>
      </c>
      <c r="G105" s="52" t="n">
        <f aca="false">IFERROR(INDEX('1. INSUMOS'!$H$8:$H$98,MATCH($D105,'1. INSUMOS'!$B$8:$B$98,0)),0)</f>
        <v>3.2</v>
      </c>
      <c r="H105" s="53" t="n">
        <f aca="false">E105*G105</f>
        <v>6.4</v>
      </c>
      <c r="I105" s="54" t="n">
        <f aca="false">IFERROR(INDEX('4. PRODUCCIÓN'!$D$8:$D$32,MATCH($A105,'4. PRODUCCIÓN'!$B$8:$B$32,0)),0)</f>
        <v>0</v>
      </c>
      <c r="J105" s="51" t="n">
        <f aca="false">E105*I105</f>
        <v>0</v>
      </c>
      <c r="K105" s="55" t="s">
        <v>250</v>
      </c>
    </row>
    <row r="106" customFormat="false" ht="15" hidden="false" customHeight="false" outlineLevel="0" collapsed="false">
      <c r="A106" s="50" t="n">
        <v>10</v>
      </c>
      <c r="B106" s="41" t="s">
        <v>282</v>
      </c>
      <c r="C106" s="50" t="s">
        <v>240</v>
      </c>
      <c r="D106" s="41" t="s">
        <v>126</v>
      </c>
      <c r="E106" s="51" t="n">
        <v>240</v>
      </c>
      <c r="F106" s="50" t="s">
        <v>90</v>
      </c>
      <c r="G106" s="52" t="n">
        <f aca="false">IFERROR(INDEX('1. INSUMOS'!$H$8:$H$98,MATCH($D106,'1. INSUMOS'!$B$8:$B$98,0)),0)</f>
        <v>0.03</v>
      </c>
      <c r="H106" s="53" t="n">
        <f aca="false">E106*G106</f>
        <v>7.2</v>
      </c>
      <c r="I106" s="54" t="n">
        <f aca="false">IFERROR(INDEX('4. PRODUCCIÓN'!$D$8:$D$32,MATCH($A106,'4. PRODUCCIÓN'!$B$8:$B$32,0)),0)</f>
        <v>0</v>
      </c>
      <c r="J106" s="51" t="n">
        <f aca="false">E106*I106</f>
        <v>0</v>
      </c>
      <c r="K106" s="55" t="s">
        <v>251</v>
      </c>
    </row>
    <row r="107" customFormat="false" ht="15" hidden="false" customHeight="false" outlineLevel="0" collapsed="false">
      <c r="A107" s="50" t="n">
        <v>10</v>
      </c>
      <c r="B107" s="41" t="s">
        <v>282</v>
      </c>
      <c r="C107" s="50" t="s">
        <v>240</v>
      </c>
      <c r="D107" s="41" t="s">
        <v>159</v>
      </c>
      <c r="E107" s="51" t="n">
        <v>60</v>
      </c>
      <c r="F107" s="50" t="s">
        <v>90</v>
      </c>
      <c r="G107" s="52" t="n">
        <f aca="false">IFERROR(INDEX('1. INSUMOS'!$H$8:$H$98,MATCH($D107,'1. INSUMOS'!$B$8:$B$98,0)),0)</f>
        <v>0.276</v>
      </c>
      <c r="H107" s="53" t="n">
        <f aca="false">E107*G107</f>
        <v>16.56</v>
      </c>
      <c r="I107" s="54" t="n">
        <f aca="false">IFERROR(INDEX('4. PRODUCCIÓN'!$D$8:$D$32,MATCH($A107,'4. PRODUCCIÓN'!$B$8:$B$32,0)),0)</f>
        <v>0</v>
      </c>
      <c r="J107" s="51" t="n">
        <f aca="false">E107*I107</f>
        <v>0</v>
      </c>
      <c r="K107" s="55" t="s">
        <v>283</v>
      </c>
    </row>
    <row r="108" customFormat="false" ht="15" hidden="false" customHeight="false" outlineLevel="0" collapsed="false">
      <c r="A108" s="50" t="n">
        <v>10</v>
      </c>
      <c r="B108" s="41" t="s">
        <v>282</v>
      </c>
      <c r="C108" s="50" t="s">
        <v>240</v>
      </c>
      <c r="D108" s="41" t="s">
        <v>130</v>
      </c>
      <c r="E108" s="51" t="n">
        <v>10</v>
      </c>
      <c r="F108" s="50" t="s">
        <v>90</v>
      </c>
      <c r="G108" s="52" t="n">
        <f aca="false">IFERROR(INDEX('1. INSUMOS'!$H$8:$H$98,MATCH($D108,'1. INSUMOS'!$B$8:$B$98,0)),0)</f>
        <v>0.09</v>
      </c>
      <c r="H108" s="53" t="n">
        <f aca="false">E108*G108</f>
        <v>0.9</v>
      </c>
      <c r="I108" s="54" t="n">
        <f aca="false">IFERROR(INDEX('4. PRODUCCIÓN'!$D$8:$D$32,MATCH($A108,'4. PRODUCCIÓN'!$B$8:$B$32,0)),0)</f>
        <v>0</v>
      </c>
      <c r="J108" s="51" t="n">
        <f aca="false">E108*I108</f>
        <v>0</v>
      </c>
      <c r="K108" s="55" t="s">
        <v>253</v>
      </c>
    </row>
    <row r="109" customFormat="false" ht="15" hidden="false" customHeight="false" outlineLevel="0" collapsed="false">
      <c r="A109" s="50" t="n">
        <v>10</v>
      </c>
      <c r="B109" s="41" t="s">
        <v>282</v>
      </c>
      <c r="C109" s="50" t="s">
        <v>240</v>
      </c>
      <c r="D109" s="41" t="s">
        <v>133</v>
      </c>
      <c r="E109" s="51" t="n">
        <v>5</v>
      </c>
      <c r="F109" s="50" t="s">
        <v>90</v>
      </c>
      <c r="G109" s="52" t="n">
        <f aca="false">IFERROR(INDEX('1. INSUMOS'!$H$8:$H$98,MATCH($D109,'1. INSUMOS'!$B$8:$B$98,0)),0)</f>
        <v>0.13</v>
      </c>
      <c r="H109" s="53" t="n">
        <f aca="false">E109*G109</f>
        <v>0.65</v>
      </c>
      <c r="I109" s="54" t="n">
        <f aca="false">IFERROR(INDEX('4. PRODUCCIÓN'!$D$8:$D$32,MATCH($A109,'4. PRODUCCIÓN'!$B$8:$B$32,0)),0)</f>
        <v>0</v>
      </c>
      <c r="J109" s="51" t="n">
        <f aca="false">E109*I109</f>
        <v>0</v>
      </c>
      <c r="K109" s="55" t="s">
        <v>133</v>
      </c>
    </row>
    <row r="110" customFormat="false" ht="15" hidden="false" customHeight="false" outlineLevel="0" collapsed="false">
      <c r="A110" s="50" t="n">
        <v>10</v>
      </c>
      <c r="B110" s="41" t="s">
        <v>282</v>
      </c>
      <c r="C110" s="50" t="s">
        <v>240</v>
      </c>
      <c r="D110" s="41" t="s">
        <v>195</v>
      </c>
      <c r="E110" s="51" t="n">
        <v>4</v>
      </c>
      <c r="F110" s="50" t="s">
        <v>90</v>
      </c>
      <c r="G110" s="52" t="n">
        <f aca="false">IFERROR(INDEX('1. INSUMOS'!$H$8:$H$98,MATCH($D110,'1. INSUMOS'!$B$8:$B$98,0)),0)</f>
        <v>0.02</v>
      </c>
      <c r="H110" s="53" t="n">
        <f aca="false">E110*G110</f>
        <v>0.08</v>
      </c>
      <c r="I110" s="54" t="n">
        <f aca="false">IFERROR(INDEX('4. PRODUCCIÓN'!$D$8:$D$32,MATCH($A110,'4. PRODUCCIÓN'!$B$8:$B$32,0)),0)</f>
        <v>0</v>
      </c>
      <c r="J110" s="51" t="n">
        <f aca="false">E110*I110</f>
        <v>0</v>
      </c>
      <c r="K110" s="55" t="s">
        <v>195</v>
      </c>
    </row>
    <row r="111" customFormat="false" ht="15" hidden="false" customHeight="false" outlineLevel="0" collapsed="false">
      <c r="A111" s="50" t="n">
        <v>10</v>
      </c>
      <c r="B111" s="41" t="s">
        <v>282</v>
      </c>
      <c r="C111" s="50" t="s">
        <v>240</v>
      </c>
      <c r="D111" s="41" t="s">
        <v>146</v>
      </c>
      <c r="E111" s="51" t="n">
        <v>80</v>
      </c>
      <c r="F111" s="50" t="s">
        <v>90</v>
      </c>
      <c r="G111" s="52" t="n">
        <f aca="false">IFERROR(INDEX('1. INSUMOS'!$H$8:$H$98,MATCH($D111,'1. INSUMOS'!$B$8:$B$98,0)),0)</f>
        <v>0.21</v>
      </c>
      <c r="H111" s="53" t="n">
        <f aca="false">E111*G111</f>
        <v>16.8</v>
      </c>
      <c r="I111" s="54" t="n">
        <f aca="false">IFERROR(INDEX('4. PRODUCCIÓN'!$D$8:$D$32,MATCH($A111,'4. PRODUCCIÓN'!$B$8:$B$32,0)),0)</f>
        <v>0</v>
      </c>
      <c r="J111" s="51" t="n">
        <f aca="false">E111*I111</f>
        <v>0</v>
      </c>
      <c r="K111" s="55" t="s">
        <v>284</v>
      </c>
    </row>
    <row r="112" customFormat="false" ht="15" hidden="false" customHeight="false" outlineLevel="0" collapsed="false">
      <c r="A112" s="50" t="n">
        <v>10</v>
      </c>
      <c r="B112" s="41" t="s">
        <v>282</v>
      </c>
      <c r="C112" s="50" t="s">
        <v>240</v>
      </c>
      <c r="D112" s="41" t="s">
        <v>150</v>
      </c>
      <c r="E112" s="51" t="n">
        <v>80</v>
      </c>
      <c r="F112" s="50" t="s">
        <v>90</v>
      </c>
      <c r="G112" s="52" t="n">
        <f aca="false">IFERROR(INDEX('1. INSUMOS'!$H$8:$H$98,MATCH($D112,'1. INSUMOS'!$B$8:$B$98,0)),0)</f>
        <v>0.22</v>
      </c>
      <c r="H112" s="53" t="n">
        <f aca="false">E112*G112</f>
        <v>17.6</v>
      </c>
      <c r="I112" s="54" t="n">
        <f aca="false">IFERROR(INDEX('4. PRODUCCIÓN'!$D$8:$D$32,MATCH($A112,'4. PRODUCCIÓN'!$B$8:$B$32,0)),0)</f>
        <v>0</v>
      </c>
      <c r="J112" s="51" t="n">
        <f aca="false">E112*I112</f>
        <v>0</v>
      </c>
      <c r="K112" s="55" t="s">
        <v>285</v>
      </c>
    </row>
    <row r="113" customFormat="false" ht="15" hidden="false" customHeight="false" outlineLevel="0" collapsed="false">
      <c r="A113" s="50" t="n">
        <v>10</v>
      </c>
      <c r="B113" s="41" t="s">
        <v>282</v>
      </c>
      <c r="C113" s="50" t="s">
        <v>240</v>
      </c>
      <c r="D113" s="41" t="s">
        <v>149</v>
      </c>
      <c r="E113" s="51" t="n">
        <v>80</v>
      </c>
      <c r="F113" s="50" t="s">
        <v>90</v>
      </c>
      <c r="G113" s="52" t="n">
        <f aca="false">IFERROR(INDEX('1. INSUMOS'!$H$8:$H$98,MATCH($D113,'1. INSUMOS'!$B$8:$B$98,0)),0)</f>
        <v>0.235</v>
      </c>
      <c r="H113" s="53" t="n">
        <f aca="false">E113*G113</f>
        <v>18.8</v>
      </c>
      <c r="I113" s="54" t="n">
        <f aca="false">IFERROR(INDEX('4. PRODUCCIÓN'!$D$8:$D$32,MATCH($A113,'4. PRODUCCIÓN'!$B$8:$B$32,0)),0)</f>
        <v>0</v>
      </c>
      <c r="J113" s="51" t="n">
        <f aca="false">E113*I113</f>
        <v>0</v>
      </c>
      <c r="K113" s="55" t="s">
        <v>272</v>
      </c>
    </row>
    <row r="114" customFormat="false" ht="15" hidden="false" customHeight="false" outlineLevel="0" collapsed="false">
      <c r="A114" s="44" t="n">
        <v>11</v>
      </c>
      <c r="B114" s="43" t="s">
        <v>286</v>
      </c>
      <c r="C114" s="44" t="s">
        <v>240</v>
      </c>
      <c r="D114" s="43" t="s">
        <v>88</v>
      </c>
      <c r="E114" s="45" t="n">
        <v>180</v>
      </c>
      <c r="F114" s="44" t="s">
        <v>90</v>
      </c>
      <c r="G114" s="46" t="n">
        <f aca="false">IFERROR(INDEX('1. INSUMOS'!$H$8:$H$98,MATCH($D114,'1. INSUMOS'!$B$8:$B$98,0)),0)</f>
        <v>0.21</v>
      </c>
      <c r="H114" s="47" t="n">
        <f aca="false">E114*G114</f>
        <v>37.8</v>
      </c>
      <c r="I114" s="48" t="n">
        <f aca="false">IFERROR(INDEX('4. PRODUCCIÓN'!$D$8:$D$32,MATCH($A114,'4. PRODUCCIÓN'!$B$8:$B$32,0)),0)</f>
        <v>0</v>
      </c>
      <c r="J114" s="45" t="n">
        <f aca="false">E114*I114</f>
        <v>0</v>
      </c>
      <c r="K114" s="49" t="s">
        <v>287</v>
      </c>
    </row>
    <row r="115" customFormat="false" ht="15" hidden="false" customHeight="false" outlineLevel="0" collapsed="false">
      <c r="A115" s="44" t="n">
        <v>11</v>
      </c>
      <c r="B115" s="43" t="s">
        <v>286</v>
      </c>
      <c r="C115" s="44" t="s">
        <v>240</v>
      </c>
      <c r="D115" s="43" t="s">
        <v>108</v>
      </c>
      <c r="E115" s="45" t="n">
        <v>160</v>
      </c>
      <c r="F115" s="44" t="s">
        <v>90</v>
      </c>
      <c r="G115" s="46" t="n">
        <f aca="false">IFERROR(INDEX('1. INSUMOS'!$H$8:$H$98,MATCH($D115,'1. INSUMOS'!$B$8:$B$98,0)),0)</f>
        <v>0.052</v>
      </c>
      <c r="H115" s="47" t="n">
        <f aca="false">E115*G115</f>
        <v>8.32</v>
      </c>
      <c r="I115" s="48" t="n">
        <f aca="false">IFERROR(INDEX('4. PRODUCCIÓN'!$D$8:$D$32,MATCH($A115,'4. PRODUCCIÓN'!$B$8:$B$32,0)),0)</f>
        <v>0</v>
      </c>
      <c r="J115" s="45" t="n">
        <f aca="false">E115*I115</f>
        <v>0</v>
      </c>
      <c r="K115" s="49" t="s">
        <v>288</v>
      </c>
    </row>
    <row r="116" customFormat="false" ht="15" hidden="false" customHeight="false" outlineLevel="0" collapsed="false">
      <c r="A116" s="44" t="n">
        <v>11</v>
      </c>
      <c r="B116" s="43" t="s">
        <v>286</v>
      </c>
      <c r="C116" s="44" t="s">
        <v>240</v>
      </c>
      <c r="D116" s="43" t="s">
        <v>105</v>
      </c>
      <c r="E116" s="45" t="n">
        <v>90</v>
      </c>
      <c r="F116" s="44" t="s">
        <v>90</v>
      </c>
      <c r="G116" s="46" t="n">
        <f aca="false">IFERROR(INDEX('1. INSUMOS'!$H$8:$H$98,MATCH($D116,'1. INSUMOS'!$B$8:$B$98,0)),0)</f>
        <v>0.03</v>
      </c>
      <c r="H116" s="47" t="n">
        <f aca="false">E116*G116</f>
        <v>2.7</v>
      </c>
      <c r="I116" s="48" t="n">
        <f aca="false">IFERROR(INDEX('4. PRODUCCIÓN'!$D$8:$D$32,MATCH($A116,'4. PRODUCCIÓN'!$B$8:$B$32,0)),0)</f>
        <v>0</v>
      </c>
      <c r="J116" s="45" t="n">
        <f aca="false">E116*I116</f>
        <v>0</v>
      </c>
      <c r="K116" s="49" t="s">
        <v>289</v>
      </c>
    </row>
    <row r="117" customFormat="false" ht="15" hidden="false" customHeight="false" outlineLevel="0" collapsed="false">
      <c r="A117" s="44" t="n">
        <v>11</v>
      </c>
      <c r="B117" s="43" t="s">
        <v>286</v>
      </c>
      <c r="C117" s="44" t="s">
        <v>240</v>
      </c>
      <c r="D117" s="43" t="s">
        <v>142</v>
      </c>
      <c r="E117" s="45" t="n">
        <v>2</v>
      </c>
      <c r="F117" s="44" t="s">
        <v>144</v>
      </c>
      <c r="G117" s="46" t="n">
        <f aca="false">IFERROR(INDEX('1. INSUMOS'!$H$8:$H$98,MATCH($D117,'1. INSUMOS'!$B$8:$B$98,0)),0)</f>
        <v>3.2</v>
      </c>
      <c r="H117" s="47" t="n">
        <f aca="false">E117*G117</f>
        <v>6.4</v>
      </c>
      <c r="I117" s="48" t="n">
        <f aca="false">IFERROR(INDEX('4. PRODUCCIÓN'!$D$8:$D$32,MATCH($A117,'4. PRODUCCIÓN'!$B$8:$B$32,0)),0)</f>
        <v>0</v>
      </c>
      <c r="J117" s="45" t="n">
        <f aca="false">E117*I117</f>
        <v>0</v>
      </c>
      <c r="K117" s="49" t="s">
        <v>290</v>
      </c>
    </row>
    <row r="118" customFormat="false" ht="15" hidden="false" customHeight="false" outlineLevel="0" collapsed="false">
      <c r="A118" s="44" t="n">
        <v>11</v>
      </c>
      <c r="B118" s="43" t="s">
        <v>286</v>
      </c>
      <c r="C118" s="44" t="s">
        <v>240</v>
      </c>
      <c r="D118" s="43" t="s">
        <v>126</v>
      </c>
      <c r="E118" s="45" t="n">
        <v>270</v>
      </c>
      <c r="F118" s="44" t="s">
        <v>90</v>
      </c>
      <c r="G118" s="46" t="n">
        <f aca="false">IFERROR(INDEX('1. INSUMOS'!$H$8:$H$98,MATCH($D118,'1. INSUMOS'!$B$8:$B$98,0)),0)</f>
        <v>0.03</v>
      </c>
      <c r="H118" s="47" t="n">
        <f aca="false">E118*G118</f>
        <v>8.1</v>
      </c>
      <c r="I118" s="48" t="n">
        <f aca="false">IFERROR(INDEX('4. PRODUCCIÓN'!$D$8:$D$32,MATCH($A118,'4. PRODUCCIÓN'!$B$8:$B$32,0)),0)</f>
        <v>0</v>
      </c>
      <c r="J118" s="45" t="n">
        <f aca="false">E118*I118</f>
        <v>0</v>
      </c>
      <c r="K118" s="49" t="s">
        <v>291</v>
      </c>
    </row>
    <row r="119" customFormat="false" ht="15" hidden="false" customHeight="false" outlineLevel="0" collapsed="false">
      <c r="A119" s="44" t="n">
        <v>11</v>
      </c>
      <c r="B119" s="43" t="s">
        <v>286</v>
      </c>
      <c r="C119" s="44" t="s">
        <v>240</v>
      </c>
      <c r="D119" s="43" t="s">
        <v>159</v>
      </c>
      <c r="E119" s="45" t="n">
        <v>35</v>
      </c>
      <c r="F119" s="44" t="s">
        <v>90</v>
      </c>
      <c r="G119" s="46" t="n">
        <f aca="false">IFERROR(INDEX('1. INSUMOS'!$H$8:$H$98,MATCH($D119,'1. INSUMOS'!$B$8:$B$98,0)),0)</f>
        <v>0.276</v>
      </c>
      <c r="H119" s="47" t="n">
        <f aca="false">E119*G119</f>
        <v>9.66</v>
      </c>
      <c r="I119" s="48" t="n">
        <f aca="false">IFERROR(INDEX('4. PRODUCCIÓN'!$D$8:$D$32,MATCH($A119,'4. PRODUCCIÓN'!$B$8:$B$32,0)),0)</f>
        <v>0</v>
      </c>
      <c r="J119" s="45" t="n">
        <f aca="false">E119*I119</f>
        <v>0</v>
      </c>
      <c r="K119" s="49" t="s">
        <v>159</v>
      </c>
    </row>
    <row r="120" customFormat="false" ht="15" hidden="false" customHeight="false" outlineLevel="0" collapsed="false">
      <c r="A120" s="44" t="n">
        <v>11</v>
      </c>
      <c r="B120" s="43" t="s">
        <v>286</v>
      </c>
      <c r="C120" s="44" t="s">
        <v>240</v>
      </c>
      <c r="D120" s="43" t="s">
        <v>130</v>
      </c>
      <c r="E120" s="45" t="n">
        <v>10</v>
      </c>
      <c r="F120" s="44" t="s">
        <v>90</v>
      </c>
      <c r="G120" s="46" t="n">
        <f aca="false">IFERROR(INDEX('1. INSUMOS'!$H$8:$H$98,MATCH($D120,'1. INSUMOS'!$B$8:$B$98,0)),0)</f>
        <v>0.09</v>
      </c>
      <c r="H120" s="47" t="n">
        <f aca="false">E120*G120</f>
        <v>0.9</v>
      </c>
      <c r="I120" s="48" t="n">
        <f aca="false">IFERROR(INDEX('4. PRODUCCIÓN'!$D$8:$D$32,MATCH($A120,'4. PRODUCCIÓN'!$B$8:$B$32,0)),0)</f>
        <v>0</v>
      </c>
      <c r="J120" s="45" t="n">
        <f aca="false">E120*I120</f>
        <v>0</v>
      </c>
      <c r="K120" s="49" t="s">
        <v>292</v>
      </c>
    </row>
    <row r="121" customFormat="false" ht="15" hidden="false" customHeight="false" outlineLevel="0" collapsed="false">
      <c r="A121" s="44" t="n">
        <v>11</v>
      </c>
      <c r="B121" s="43" t="s">
        <v>286</v>
      </c>
      <c r="C121" s="44" t="s">
        <v>240</v>
      </c>
      <c r="D121" s="43" t="s">
        <v>133</v>
      </c>
      <c r="E121" s="45" t="n">
        <v>4</v>
      </c>
      <c r="F121" s="44" t="s">
        <v>90</v>
      </c>
      <c r="G121" s="46" t="n">
        <f aca="false">IFERROR(INDEX('1. INSUMOS'!$H$8:$H$98,MATCH($D121,'1. INSUMOS'!$B$8:$B$98,0)),0)</f>
        <v>0.13</v>
      </c>
      <c r="H121" s="47" t="n">
        <f aca="false">E121*G121</f>
        <v>0.52</v>
      </c>
      <c r="I121" s="48" t="n">
        <f aca="false">IFERROR(INDEX('4. PRODUCCIÓN'!$D$8:$D$32,MATCH($A121,'4. PRODUCCIÓN'!$B$8:$B$32,0)),0)</f>
        <v>0</v>
      </c>
      <c r="J121" s="45" t="n">
        <f aca="false">E121*I121</f>
        <v>0</v>
      </c>
      <c r="K121" s="49" t="s">
        <v>293</v>
      </c>
    </row>
    <row r="122" customFormat="false" ht="15" hidden="false" customHeight="false" outlineLevel="0" collapsed="false">
      <c r="A122" s="44" t="n">
        <v>11</v>
      </c>
      <c r="B122" s="43" t="s">
        <v>286</v>
      </c>
      <c r="C122" s="44" t="s">
        <v>240</v>
      </c>
      <c r="D122" s="43" t="s">
        <v>195</v>
      </c>
      <c r="E122" s="45" t="n">
        <v>4</v>
      </c>
      <c r="F122" s="44" t="s">
        <v>90</v>
      </c>
      <c r="G122" s="46" t="n">
        <f aca="false">IFERROR(INDEX('1. INSUMOS'!$H$8:$H$98,MATCH($D122,'1. INSUMOS'!$B$8:$B$98,0)),0)</f>
        <v>0.02</v>
      </c>
      <c r="H122" s="47" t="n">
        <f aca="false">E122*G122</f>
        <v>0.08</v>
      </c>
      <c r="I122" s="48" t="n">
        <f aca="false">IFERROR(INDEX('4. PRODUCCIÓN'!$D$8:$D$32,MATCH($A122,'4. PRODUCCIÓN'!$B$8:$B$32,0)),0)</f>
        <v>0</v>
      </c>
      <c r="J122" s="45" t="n">
        <f aca="false">E122*I122</f>
        <v>0</v>
      </c>
      <c r="K122" s="49" t="s">
        <v>294</v>
      </c>
    </row>
    <row r="123" customFormat="false" ht="15" hidden="false" customHeight="false" outlineLevel="0" collapsed="false">
      <c r="A123" s="44" t="n">
        <v>11</v>
      </c>
      <c r="B123" s="43" t="s">
        <v>286</v>
      </c>
      <c r="C123" s="44" t="s">
        <v>240</v>
      </c>
      <c r="D123" s="43" t="s">
        <v>148</v>
      </c>
      <c r="E123" s="45" t="n">
        <v>50</v>
      </c>
      <c r="F123" s="44" t="s">
        <v>90</v>
      </c>
      <c r="G123" s="46" t="n">
        <f aca="false">IFERROR(INDEX('1. INSUMOS'!$H$8:$H$98,MATCH($D123,'1. INSUMOS'!$B$8:$B$98,0)),0)</f>
        <v>0.265</v>
      </c>
      <c r="H123" s="47" t="n">
        <f aca="false">E123*G123</f>
        <v>13.25</v>
      </c>
      <c r="I123" s="48" t="n">
        <f aca="false">IFERROR(INDEX('4. PRODUCCIÓN'!$D$8:$D$32,MATCH($A123,'4. PRODUCCIÓN'!$B$8:$B$32,0)),0)</f>
        <v>0</v>
      </c>
      <c r="J123" s="45" t="n">
        <f aca="false">E123*I123</f>
        <v>0</v>
      </c>
      <c r="K123" s="49" t="s">
        <v>295</v>
      </c>
    </row>
    <row r="124" customFormat="false" ht="15" hidden="false" customHeight="false" outlineLevel="0" collapsed="false">
      <c r="A124" s="44" t="n">
        <v>11</v>
      </c>
      <c r="B124" s="43" t="s">
        <v>286</v>
      </c>
      <c r="C124" s="44" t="s">
        <v>240</v>
      </c>
      <c r="D124" s="43" t="s">
        <v>146</v>
      </c>
      <c r="E124" s="45" t="n">
        <v>75</v>
      </c>
      <c r="F124" s="44" t="s">
        <v>90</v>
      </c>
      <c r="G124" s="46" t="n">
        <f aca="false">IFERROR(INDEX('1. INSUMOS'!$H$8:$H$98,MATCH($D124,'1. INSUMOS'!$B$8:$B$98,0)),0)</f>
        <v>0.21</v>
      </c>
      <c r="H124" s="47" t="n">
        <f aca="false">E124*G124</f>
        <v>15.75</v>
      </c>
      <c r="I124" s="48" t="n">
        <f aca="false">IFERROR(INDEX('4. PRODUCCIÓN'!$D$8:$D$32,MATCH($A124,'4. PRODUCCIÓN'!$B$8:$B$32,0)),0)</f>
        <v>0</v>
      </c>
      <c r="J124" s="45" t="n">
        <f aca="false">E124*I124</f>
        <v>0</v>
      </c>
      <c r="K124" s="49" t="s">
        <v>284</v>
      </c>
    </row>
    <row r="125" customFormat="false" ht="15" hidden="false" customHeight="false" outlineLevel="0" collapsed="false">
      <c r="A125" s="50" t="n">
        <v>12</v>
      </c>
      <c r="B125" s="41" t="s">
        <v>296</v>
      </c>
      <c r="C125" s="50" t="s">
        <v>240</v>
      </c>
      <c r="D125" s="41" t="s">
        <v>88</v>
      </c>
      <c r="E125" s="51" t="n">
        <v>170</v>
      </c>
      <c r="F125" s="50" t="s">
        <v>90</v>
      </c>
      <c r="G125" s="52" t="n">
        <f aca="false">IFERROR(INDEX('1. INSUMOS'!$H$8:$H$98,MATCH($D125,'1. INSUMOS'!$B$8:$B$98,0)),0)</f>
        <v>0.21</v>
      </c>
      <c r="H125" s="53" t="n">
        <f aca="false">E125*G125</f>
        <v>35.7</v>
      </c>
      <c r="I125" s="54" t="n">
        <f aca="false">IFERROR(INDEX('4. PRODUCCIÓN'!$D$8:$D$32,MATCH($A125,'4. PRODUCCIÓN'!$B$8:$B$32,0)),0)</f>
        <v>0</v>
      </c>
      <c r="J125" s="51" t="n">
        <f aca="false">E125*I125</f>
        <v>0</v>
      </c>
      <c r="K125" s="55" t="s">
        <v>249</v>
      </c>
    </row>
    <row r="126" customFormat="false" ht="15" hidden="false" customHeight="false" outlineLevel="0" collapsed="false">
      <c r="A126" s="50" t="n">
        <v>12</v>
      </c>
      <c r="B126" s="41" t="s">
        <v>296</v>
      </c>
      <c r="C126" s="50" t="s">
        <v>240</v>
      </c>
      <c r="D126" s="41" t="s">
        <v>109</v>
      </c>
      <c r="E126" s="51" t="n">
        <v>120</v>
      </c>
      <c r="F126" s="50" t="s">
        <v>90</v>
      </c>
      <c r="G126" s="52" t="n">
        <f aca="false">IFERROR(INDEX('1. INSUMOS'!$H$8:$H$98,MATCH($D126,'1. INSUMOS'!$B$8:$B$98,0)),0)</f>
        <v>0.058</v>
      </c>
      <c r="H126" s="53" t="n">
        <f aca="false">E126*G126</f>
        <v>6.96</v>
      </c>
      <c r="I126" s="54" t="n">
        <f aca="false">IFERROR(INDEX('4. PRODUCCIÓN'!$D$8:$D$32,MATCH($A126,'4. PRODUCCIÓN'!$B$8:$B$32,0)),0)</f>
        <v>0</v>
      </c>
      <c r="J126" s="51" t="n">
        <f aca="false">E126*I126</f>
        <v>0</v>
      </c>
      <c r="K126" s="55" t="s">
        <v>109</v>
      </c>
    </row>
    <row r="127" customFormat="false" ht="15" hidden="false" customHeight="false" outlineLevel="0" collapsed="false">
      <c r="A127" s="50" t="n">
        <v>12</v>
      </c>
      <c r="B127" s="41" t="s">
        <v>296</v>
      </c>
      <c r="C127" s="50" t="s">
        <v>240</v>
      </c>
      <c r="D127" s="41" t="s">
        <v>105</v>
      </c>
      <c r="E127" s="51" t="n">
        <v>120</v>
      </c>
      <c r="F127" s="50" t="s">
        <v>90</v>
      </c>
      <c r="G127" s="52" t="n">
        <f aca="false">IFERROR(INDEX('1. INSUMOS'!$H$8:$H$98,MATCH($D127,'1. INSUMOS'!$B$8:$B$98,0)),0)</f>
        <v>0.03</v>
      </c>
      <c r="H127" s="53" t="n">
        <f aca="false">E127*G127</f>
        <v>3.6</v>
      </c>
      <c r="I127" s="54" t="n">
        <f aca="false">IFERROR(INDEX('4. PRODUCCIÓN'!$D$8:$D$32,MATCH($A127,'4. PRODUCCIÓN'!$B$8:$B$32,0)),0)</f>
        <v>0</v>
      </c>
      <c r="J127" s="51" t="n">
        <f aca="false">E127*I127</f>
        <v>0</v>
      </c>
      <c r="K127" s="55" t="s">
        <v>105</v>
      </c>
    </row>
    <row r="128" customFormat="false" ht="15" hidden="false" customHeight="false" outlineLevel="0" collapsed="false">
      <c r="A128" s="50" t="n">
        <v>12</v>
      </c>
      <c r="B128" s="41" t="s">
        <v>296</v>
      </c>
      <c r="C128" s="50" t="s">
        <v>240</v>
      </c>
      <c r="D128" s="41" t="s">
        <v>142</v>
      </c>
      <c r="E128" s="51" t="n">
        <v>1</v>
      </c>
      <c r="F128" s="50" t="s">
        <v>144</v>
      </c>
      <c r="G128" s="52" t="n">
        <f aca="false">IFERROR(INDEX('1. INSUMOS'!$H$8:$H$98,MATCH($D128,'1. INSUMOS'!$B$8:$B$98,0)),0)</f>
        <v>3.2</v>
      </c>
      <c r="H128" s="53" t="n">
        <f aca="false">E128*G128</f>
        <v>3.2</v>
      </c>
      <c r="I128" s="54" t="n">
        <f aca="false">IFERROR(INDEX('4. PRODUCCIÓN'!$D$8:$D$32,MATCH($A128,'4. PRODUCCIÓN'!$B$8:$B$32,0)),0)</f>
        <v>0</v>
      </c>
      <c r="J128" s="51" t="n">
        <f aca="false">E128*I128</f>
        <v>0</v>
      </c>
      <c r="K128" s="55" t="s">
        <v>297</v>
      </c>
    </row>
    <row r="129" customFormat="false" ht="15" hidden="false" customHeight="false" outlineLevel="0" collapsed="false">
      <c r="A129" s="50" t="n">
        <v>12</v>
      </c>
      <c r="B129" s="41" t="s">
        <v>296</v>
      </c>
      <c r="C129" s="50" t="s">
        <v>240</v>
      </c>
      <c r="D129" s="41" t="s">
        <v>194</v>
      </c>
      <c r="E129" s="51" t="n">
        <v>120</v>
      </c>
      <c r="F129" s="50" t="s">
        <v>90</v>
      </c>
      <c r="G129" s="52" t="n">
        <f aca="false">IFERROR(INDEX('1. INSUMOS'!$H$8:$H$98,MATCH($D129,'1. INSUMOS'!$B$8:$B$98,0)),0)</f>
        <v>0.026</v>
      </c>
      <c r="H129" s="53" t="n">
        <f aca="false">E129*G129</f>
        <v>3.12</v>
      </c>
      <c r="I129" s="54" t="n">
        <f aca="false">IFERROR(INDEX('4. PRODUCCIÓN'!$D$8:$D$32,MATCH($A129,'4. PRODUCCIÓN'!$B$8:$B$32,0)),0)</f>
        <v>0</v>
      </c>
      <c r="J129" s="51" t="n">
        <f aca="false">E129*I129</f>
        <v>0</v>
      </c>
      <c r="K129" s="55" t="s">
        <v>298</v>
      </c>
    </row>
    <row r="130" customFormat="false" ht="15" hidden="false" customHeight="false" outlineLevel="0" collapsed="false">
      <c r="A130" s="50" t="n">
        <v>12</v>
      </c>
      <c r="B130" s="41" t="s">
        <v>296</v>
      </c>
      <c r="C130" s="50" t="s">
        <v>240</v>
      </c>
      <c r="D130" s="41" t="s">
        <v>126</v>
      </c>
      <c r="E130" s="51" t="n">
        <v>320</v>
      </c>
      <c r="F130" s="50" t="s">
        <v>90</v>
      </c>
      <c r="G130" s="52" t="n">
        <f aca="false">IFERROR(INDEX('1. INSUMOS'!$H$8:$H$98,MATCH($D130,'1. INSUMOS'!$B$8:$B$98,0)),0)</f>
        <v>0.03</v>
      </c>
      <c r="H130" s="53" t="n">
        <f aca="false">E130*G130</f>
        <v>9.6</v>
      </c>
      <c r="I130" s="54" t="n">
        <f aca="false">IFERROR(INDEX('4. PRODUCCIÓN'!$D$8:$D$32,MATCH($A130,'4. PRODUCCIÓN'!$B$8:$B$32,0)),0)</f>
        <v>0</v>
      </c>
      <c r="J130" s="51" t="n">
        <f aca="false">E130*I130</f>
        <v>0</v>
      </c>
      <c r="K130" s="55" t="s">
        <v>126</v>
      </c>
    </row>
    <row r="131" customFormat="false" ht="15" hidden="false" customHeight="false" outlineLevel="0" collapsed="false">
      <c r="A131" s="50" t="n">
        <v>12</v>
      </c>
      <c r="B131" s="41" t="s">
        <v>296</v>
      </c>
      <c r="C131" s="50" t="s">
        <v>240</v>
      </c>
      <c r="D131" s="41" t="s">
        <v>130</v>
      </c>
      <c r="E131" s="51" t="n">
        <v>10</v>
      </c>
      <c r="F131" s="50" t="s">
        <v>90</v>
      </c>
      <c r="G131" s="52" t="n">
        <f aca="false">IFERROR(INDEX('1. INSUMOS'!$H$8:$H$98,MATCH($D131,'1. INSUMOS'!$B$8:$B$98,0)),0)</f>
        <v>0.09</v>
      </c>
      <c r="H131" s="53" t="n">
        <f aca="false">E131*G131</f>
        <v>0.9</v>
      </c>
      <c r="I131" s="54" t="n">
        <f aca="false">IFERROR(INDEX('4. PRODUCCIÓN'!$D$8:$D$32,MATCH($A131,'4. PRODUCCIÓN'!$B$8:$B$32,0)),0)</f>
        <v>0</v>
      </c>
      <c r="J131" s="51" t="n">
        <f aca="false">E131*I131</f>
        <v>0</v>
      </c>
      <c r="K131" s="55" t="s">
        <v>253</v>
      </c>
    </row>
    <row r="132" customFormat="false" ht="15" hidden="false" customHeight="false" outlineLevel="0" collapsed="false">
      <c r="A132" s="50" t="n">
        <v>12</v>
      </c>
      <c r="B132" s="41" t="s">
        <v>296</v>
      </c>
      <c r="C132" s="50" t="s">
        <v>240</v>
      </c>
      <c r="D132" s="41" t="s">
        <v>201</v>
      </c>
      <c r="E132" s="51" t="n">
        <v>4</v>
      </c>
      <c r="F132" s="50" t="s">
        <v>90</v>
      </c>
      <c r="G132" s="52" t="n">
        <f aca="false">IFERROR(INDEX('1. INSUMOS'!$H$8:$H$98,MATCH($D132,'1. INSUMOS'!$B$8:$B$98,0)),0)</f>
        <v>0.46</v>
      </c>
      <c r="H132" s="53" t="n">
        <f aca="false">E132*G132</f>
        <v>1.84</v>
      </c>
      <c r="I132" s="54" t="n">
        <f aca="false">IFERROR(INDEX('4. PRODUCCIÓN'!$D$8:$D$32,MATCH($A132,'4. PRODUCCIÓN'!$B$8:$B$32,0)),0)</f>
        <v>0</v>
      </c>
      <c r="J132" s="51" t="n">
        <f aca="false">E132*I132</f>
        <v>0</v>
      </c>
      <c r="K132" s="55" t="s">
        <v>201</v>
      </c>
    </row>
    <row r="133" customFormat="false" ht="15" hidden="false" customHeight="false" outlineLevel="0" collapsed="false">
      <c r="A133" s="50" t="n">
        <v>12</v>
      </c>
      <c r="B133" s="41" t="s">
        <v>296</v>
      </c>
      <c r="C133" s="50" t="s">
        <v>240</v>
      </c>
      <c r="D133" s="41" t="s">
        <v>204</v>
      </c>
      <c r="E133" s="51" t="n">
        <v>2</v>
      </c>
      <c r="F133" s="50" t="s">
        <v>90</v>
      </c>
      <c r="G133" s="52" t="n">
        <f aca="false">IFERROR(INDEX('1. INSUMOS'!$H$8:$H$98,MATCH($D133,'1. INSUMOS'!$B$8:$B$98,0)),0)</f>
        <v>1.24</v>
      </c>
      <c r="H133" s="53" t="n">
        <f aca="false">E133*G133</f>
        <v>2.48</v>
      </c>
      <c r="I133" s="54" t="n">
        <f aca="false">IFERROR(INDEX('4. PRODUCCIÓN'!$D$8:$D$32,MATCH($A133,'4. PRODUCCIÓN'!$B$8:$B$32,0)),0)</f>
        <v>0</v>
      </c>
      <c r="J133" s="51" t="n">
        <f aca="false">E133*I133</f>
        <v>0</v>
      </c>
      <c r="K133" s="55" t="s">
        <v>299</v>
      </c>
    </row>
    <row r="134" customFormat="false" ht="15" hidden="false" customHeight="false" outlineLevel="0" collapsed="false">
      <c r="A134" s="50" t="n">
        <v>12</v>
      </c>
      <c r="B134" s="41" t="s">
        <v>296</v>
      </c>
      <c r="C134" s="50" t="s">
        <v>240</v>
      </c>
      <c r="D134" s="41" t="s">
        <v>133</v>
      </c>
      <c r="E134" s="51" t="n">
        <v>5</v>
      </c>
      <c r="F134" s="50" t="s">
        <v>90</v>
      </c>
      <c r="G134" s="52" t="n">
        <f aca="false">IFERROR(INDEX('1. INSUMOS'!$H$8:$H$98,MATCH($D134,'1. INSUMOS'!$B$8:$B$98,0)),0)</f>
        <v>0.13</v>
      </c>
      <c r="H134" s="53" t="n">
        <f aca="false">E134*G134</f>
        <v>0.65</v>
      </c>
      <c r="I134" s="54" t="n">
        <f aca="false">IFERROR(INDEX('4. PRODUCCIÓN'!$D$8:$D$32,MATCH($A134,'4. PRODUCCIÓN'!$B$8:$B$32,0)),0)</f>
        <v>0</v>
      </c>
      <c r="J134" s="51" t="n">
        <f aca="false">E134*I134</f>
        <v>0</v>
      </c>
      <c r="K134" s="55" t="s">
        <v>133</v>
      </c>
    </row>
    <row r="135" customFormat="false" ht="15" hidden="false" customHeight="false" outlineLevel="0" collapsed="false">
      <c r="A135" s="50" t="n">
        <v>12</v>
      </c>
      <c r="B135" s="41" t="s">
        <v>296</v>
      </c>
      <c r="C135" s="50" t="s">
        <v>240</v>
      </c>
      <c r="D135" s="41" t="s">
        <v>195</v>
      </c>
      <c r="E135" s="51" t="n">
        <v>4</v>
      </c>
      <c r="F135" s="50" t="s">
        <v>90</v>
      </c>
      <c r="G135" s="52" t="n">
        <f aca="false">IFERROR(INDEX('1. INSUMOS'!$H$8:$H$98,MATCH($D135,'1. INSUMOS'!$B$8:$B$98,0)),0)</f>
        <v>0.02</v>
      </c>
      <c r="H135" s="53" t="n">
        <f aca="false">E135*G135</f>
        <v>0.08</v>
      </c>
      <c r="I135" s="54" t="n">
        <f aca="false">IFERROR(INDEX('4. PRODUCCIÓN'!$D$8:$D$32,MATCH($A135,'4. PRODUCCIÓN'!$B$8:$B$32,0)),0)</f>
        <v>0</v>
      </c>
      <c r="J135" s="51" t="n">
        <f aca="false">E135*I135</f>
        <v>0</v>
      </c>
      <c r="K135" s="55" t="s">
        <v>195</v>
      </c>
    </row>
    <row r="136" customFormat="false" ht="15" hidden="false" customHeight="false" outlineLevel="0" collapsed="false">
      <c r="A136" s="50" t="n">
        <v>12</v>
      </c>
      <c r="B136" s="41" t="s">
        <v>296</v>
      </c>
      <c r="C136" s="50" t="s">
        <v>240</v>
      </c>
      <c r="D136" s="41" t="s">
        <v>169</v>
      </c>
      <c r="E136" s="51" t="n">
        <v>80</v>
      </c>
      <c r="F136" s="50" t="s">
        <v>90</v>
      </c>
      <c r="G136" s="52" t="n">
        <f aca="false">IFERROR(INDEX('1. INSUMOS'!$H$8:$H$98,MATCH($D136,'1. INSUMOS'!$B$8:$B$98,0)),0)</f>
        <v>0.45</v>
      </c>
      <c r="H136" s="53" t="n">
        <f aca="false">E136*G136</f>
        <v>36</v>
      </c>
      <c r="I136" s="54" t="n">
        <f aca="false">IFERROR(INDEX('4. PRODUCCIÓN'!$D$8:$D$32,MATCH($A136,'4. PRODUCCIÓN'!$B$8:$B$32,0)),0)</f>
        <v>0</v>
      </c>
      <c r="J136" s="51" t="n">
        <f aca="false">E136*I136</f>
        <v>0</v>
      </c>
      <c r="K136" s="55" t="s">
        <v>300</v>
      </c>
    </row>
    <row r="137" customFormat="false" ht="15" hidden="false" customHeight="false" outlineLevel="0" collapsed="false">
      <c r="A137" s="44" t="n">
        <v>13</v>
      </c>
      <c r="B137" s="43" t="s">
        <v>301</v>
      </c>
      <c r="C137" s="44" t="s">
        <v>240</v>
      </c>
      <c r="D137" s="43" t="s">
        <v>88</v>
      </c>
      <c r="E137" s="45" t="n">
        <v>180</v>
      </c>
      <c r="F137" s="44" t="s">
        <v>90</v>
      </c>
      <c r="G137" s="46" t="n">
        <f aca="false">IFERROR(INDEX('1. INSUMOS'!$H$8:$H$98,MATCH($D137,'1. INSUMOS'!$B$8:$B$98,0)),0)</f>
        <v>0.21</v>
      </c>
      <c r="H137" s="47" t="n">
        <f aca="false">E137*G137</f>
        <v>37.8</v>
      </c>
      <c r="I137" s="48" t="n">
        <f aca="false">IFERROR(INDEX('4. PRODUCCIÓN'!$D$8:$D$32,MATCH($A137,'4. PRODUCCIÓN'!$B$8:$B$32,0)),0)</f>
        <v>0</v>
      </c>
      <c r="J137" s="45" t="n">
        <f aca="false">E137*I137</f>
        <v>0</v>
      </c>
      <c r="K137" s="49" t="s">
        <v>249</v>
      </c>
    </row>
    <row r="138" customFormat="false" ht="15" hidden="false" customHeight="false" outlineLevel="0" collapsed="false">
      <c r="A138" s="44" t="n">
        <v>13</v>
      </c>
      <c r="B138" s="43" t="s">
        <v>301</v>
      </c>
      <c r="C138" s="44" t="s">
        <v>240</v>
      </c>
      <c r="D138" s="43" t="s">
        <v>105</v>
      </c>
      <c r="E138" s="45" t="n">
        <v>150</v>
      </c>
      <c r="F138" s="44" t="s">
        <v>90</v>
      </c>
      <c r="G138" s="46" t="n">
        <f aca="false">IFERROR(INDEX('1. INSUMOS'!$H$8:$H$98,MATCH($D138,'1. INSUMOS'!$B$8:$B$98,0)),0)</f>
        <v>0.03</v>
      </c>
      <c r="H138" s="47" t="n">
        <f aca="false">E138*G138</f>
        <v>4.5</v>
      </c>
      <c r="I138" s="48" t="n">
        <f aca="false">IFERROR(INDEX('4. PRODUCCIÓN'!$D$8:$D$32,MATCH($A138,'4. PRODUCCIÓN'!$B$8:$B$32,0)),0)</f>
        <v>0</v>
      </c>
      <c r="J138" s="45" t="n">
        <f aca="false">E138*I138</f>
        <v>0</v>
      </c>
      <c r="K138" s="49" t="s">
        <v>105</v>
      </c>
    </row>
    <row r="139" customFormat="false" ht="15" hidden="false" customHeight="false" outlineLevel="0" collapsed="false">
      <c r="A139" s="44" t="n">
        <v>13</v>
      </c>
      <c r="B139" s="43" t="s">
        <v>301</v>
      </c>
      <c r="C139" s="44" t="s">
        <v>240</v>
      </c>
      <c r="D139" s="43" t="s">
        <v>108</v>
      </c>
      <c r="E139" s="45" t="n">
        <v>100</v>
      </c>
      <c r="F139" s="44" t="s">
        <v>90</v>
      </c>
      <c r="G139" s="46" t="n">
        <f aca="false">IFERROR(INDEX('1. INSUMOS'!$H$8:$H$98,MATCH($D139,'1. INSUMOS'!$B$8:$B$98,0)),0)</f>
        <v>0.052</v>
      </c>
      <c r="H139" s="47" t="n">
        <f aca="false">E139*G139</f>
        <v>5.2</v>
      </c>
      <c r="I139" s="48" t="n">
        <f aca="false">IFERROR(INDEX('4. PRODUCCIÓN'!$D$8:$D$32,MATCH($A139,'4. PRODUCCIÓN'!$B$8:$B$32,0)),0)</f>
        <v>0</v>
      </c>
      <c r="J139" s="45" t="n">
        <f aca="false">E139*I139</f>
        <v>0</v>
      </c>
      <c r="K139" s="49" t="s">
        <v>108</v>
      </c>
    </row>
    <row r="140" customFormat="false" ht="15" hidden="false" customHeight="false" outlineLevel="0" collapsed="false">
      <c r="A140" s="44" t="n">
        <v>13</v>
      </c>
      <c r="B140" s="43" t="s">
        <v>301</v>
      </c>
      <c r="C140" s="44" t="s">
        <v>240</v>
      </c>
      <c r="D140" s="43" t="s">
        <v>142</v>
      </c>
      <c r="E140" s="45" t="n">
        <v>2</v>
      </c>
      <c r="F140" s="44" t="s">
        <v>144</v>
      </c>
      <c r="G140" s="46" t="n">
        <f aca="false">IFERROR(INDEX('1. INSUMOS'!$H$8:$H$98,MATCH($D140,'1. INSUMOS'!$B$8:$B$98,0)),0)</f>
        <v>3.2</v>
      </c>
      <c r="H140" s="47" t="n">
        <f aca="false">E140*G140</f>
        <v>6.4</v>
      </c>
      <c r="I140" s="48" t="n">
        <f aca="false">IFERROR(INDEX('4. PRODUCCIÓN'!$D$8:$D$32,MATCH($A140,'4. PRODUCCIÓN'!$B$8:$B$32,0)),0)</f>
        <v>0</v>
      </c>
      <c r="J140" s="45" t="n">
        <f aca="false">E140*I140</f>
        <v>0</v>
      </c>
      <c r="K140" s="49" t="s">
        <v>250</v>
      </c>
    </row>
    <row r="141" customFormat="false" ht="15" hidden="false" customHeight="false" outlineLevel="0" collapsed="false">
      <c r="A141" s="44" t="n">
        <v>13</v>
      </c>
      <c r="B141" s="43" t="s">
        <v>301</v>
      </c>
      <c r="C141" s="44" t="s">
        <v>240</v>
      </c>
      <c r="D141" s="43" t="s">
        <v>126</v>
      </c>
      <c r="E141" s="45" t="n">
        <v>310</v>
      </c>
      <c r="F141" s="44" t="s">
        <v>90</v>
      </c>
      <c r="G141" s="46" t="n">
        <f aca="false">IFERROR(INDEX('1. INSUMOS'!$H$8:$H$98,MATCH($D141,'1. INSUMOS'!$B$8:$B$98,0)),0)</f>
        <v>0.03</v>
      </c>
      <c r="H141" s="47" t="n">
        <f aca="false">E141*G141</f>
        <v>9.3</v>
      </c>
      <c r="I141" s="48" t="n">
        <f aca="false">IFERROR(INDEX('4. PRODUCCIÓN'!$D$8:$D$32,MATCH($A141,'4. PRODUCCIÓN'!$B$8:$B$32,0)),0)</f>
        <v>0</v>
      </c>
      <c r="J141" s="45" t="n">
        <f aca="false">E141*I141</f>
        <v>0</v>
      </c>
      <c r="K141" s="49" t="s">
        <v>126</v>
      </c>
    </row>
    <row r="142" customFormat="false" ht="15" hidden="false" customHeight="false" outlineLevel="0" collapsed="false">
      <c r="A142" s="44" t="n">
        <v>13</v>
      </c>
      <c r="B142" s="43" t="s">
        <v>301</v>
      </c>
      <c r="C142" s="44" t="s">
        <v>240</v>
      </c>
      <c r="D142" s="43" t="s">
        <v>130</v>
      </c>
      <c r="E142" s="45" t="n">
        <v>10</v>
      </c>
      <c r="F142" s="44" t="s">
        <v>90</v>
      </c>
      <c r="G142" s="46" t="n">
        <f aca="false">IFERROR(INDEX('1. INSUMOS'!$H$8:$H$98,MATCH($D142,'1. INSUMOS'!$B$8:$B$98,0)),0)</f>
        <v>0.09</v>
      </c>
      <c r="H142" s="47" t="n">
        <f aca="false">E142*G142</f>
        <v>0.9</v>
      </c>
      <c r="I142" s="48" t="n">
        <f aca="false">IFERROR(INDEX('4. PRODUCCIÓN'!$D$8:$D$32,MATCH($A142,'4. PRODUCCIÓN'!$B$8:$B$32,0)),0)</f>
        <v>0</v>
      </c>
      <c r="J142" s="45" t="n">
        <f aca="false">E142*I142</f>
        <v>0</v>
      </c>
      <c r="K142" s="49" t="s">
        <v>253</v>
      </c>
    </row>
    <row r="143" customFormat="false" ht="15" hidden="false" customHeight="false" outlineLevel="0" collapsed="false">
      <c r="A143" s="44" t="n">
        <v>13</v>
      </c>
      <c r="B143" s="43" t="s">
        <v>301</v>
      </c>
      <c r="C143" s="44" t="s">
        <v>240</v>
      </c>
      <c r="D143" s="43" t="s">
        <v>133</v>
      </c>
      <c r="E143" s="45" t="n">
        <v>5</v>
      </c>
      <c r="F143" s="44" t="s">
        <v>90</v>
      </c>
      <c r="G143" s="46" t="n">
        <f aca="false">IFERROR(INDEX('1. INSUMOS'!$H$8:$H$98,MATCH($D143,'1. INSUMOS'!$B$8:$B$98,0)),0)</f>
        <v>0.13</v>
      </c>
      <c r="H143" s="47" t="n">
        <f aca="false">E143*G143</f>
        <v>0.65</v>
      </c>
      <c r="I143" s="48" t="n">
        <f aca="false">IFERROR(INDEX('4. PRODUCCIÓN'!$D$8:$D$32,MATCH($A143,'4. PRODUCCIÓN'!$B$8:$B$32,0)),0)</f>
        <v>0</v>
      </c>
      <c r="J143" s="45" t="n">
        <f aca="false">E143*I143</f>
        <v>0</v>
      </c>
      <c r="K143" s="49" t="s">
        <v>133</v>
      </c>
    </row>
    <row r="144" customFormat="false" ht="15" hidden="false" customHeight="false" outlineLevel="0" collapsed="false">
      <c r="A144" s="44" t="n">
        <v>13</v>
      </c>
      <c r="B144" s="43" t="s">
        <v>301</v>
      </c>
      <c r="C144" s="44" t="s">
        <v>240</v>
      </c>
      <c r="D144" s="43" t="s">
        <v>195</v>
      </c>
      <c r="E144" s="45" t="n">
        <v>4</v>
      </c>
      <c r="F144" s="44" t="s">
        <v>90</v>
      </c>
      <c r="G144" s="46" t="n">
        <f aca="false">IFERROR(INDEX('1. INSUMOS'!$H$8:$H$98,MATCH($D144,'1. INSUMOS'!$B$8:$B$98,0)),0)</f>
        <v>0.02</v>
      </c>
      <c r="H144" s="47" t="n">
        <f aca="false">E144*G144</f>
        <v>0.08</v>
      </c>
      <c r="I144" s="48" t="n">
        <f aca="false">IFERROR(INDEX('4. PRODUCCIÓN'!$D$8:$D$32,MATCH($A144,'4. PRODUCCIÓN'!$B$8:$B$32,0)),0)</f>
        <v>0</v>
      </c>
      <c r="J144" s="45" t="n">
        <f aca="false">E144*I144</f>
        <v>0</v>
      </c>
      <c r="K144" s="49" t="s">
        <v>195</v>
      </c>
    </row>
    <row r="145" customFormat="false" ht="15" hidden="false" customHeight="false" outlineLevel="0" collapsed="false">
      <c r="A145" s="50" t="n">
        <v>14</v>
      </c>
      <c r="B145" s="41" t="s">
        <v>302</v>
      </c>
      <c r="C145" s="50" t="s">
        <v>240</v>
      </c>
      <c r="D145" s="41" t="s">
        <v>88</v>
      </c>
      <c r="E145" s="51" t="n">
        <v>180</v>
      </c>
      <c r="F145" s="50" t="s">
        <v>90</v>
      </c>
      <c r="G145" s="52" t="n">
        <f aca="false">IFERROR(INDEX('1. INSUMOS'!$H$8:$H$98,MATCH($D145,'1. INSUMOS'!$B$8:$B$98,0)),0)</f>
        <v>0.21</v>
      </c>
      <c r="H145" s="53" t="n">
        <f aca="false">E145*G145</f>
        <v>37.8</v>
      </c>
      <c r="I145" s="54" t="n">
        <f aca="false">IFERROR(INDEX('4. PRODUCCIÓN'!$D$8:$D$32,MATCH($A145,'4. PRODUCCIÓN'!$B$8:$B$32,0)),0)</f>
        <v>0</v>
      </c>
      <c r="J145" s="51" t="n">
        <f aca="false">E145*I145</f>
        <v>0</v>
      </c>
      <c r="K145" s="55" t="s">
        <v>249</v>
      </c>
    </row>
    <row r="146" customFormat="false" ht="15" hidden="false" customHeight="false" outlineLevel="0" collapsed="false">
      <c r="A146" s="50" t="n">
        <v>14</v>
      </c>
      <c r="B146" s="41" t="s">
        <v>302</v>
      </c>
      <c r="C146" s="50" t="s">
        <v>240</v>
      </c>
      <c r="D146" s="41" t="s">
        <v>108</v>
      </c>
      <c r="E146" s="51" t="n">
        <v>150</v>
      </c>
      <c r="F146" s="50" t="s">
        <v>90</v>
      </c>
      <c r="G146" s="52" t="n">
        <f aca="false">IFERROR(INDEX('1. INSUMOS'!$H$8:$H$98,MATCH($D146,'1. INSUMOS'!$B$8:$B$98,0)),0)</f>
        <v>0.052</v>
      </c>
      <c r="H146" s="53" t="n">
        <f aca="false">E146*G146</f>
        <v>7.8</v>
      </c>
      <c r="I146" s="54" t="n">
        <f aca="false">IFERROR(INDEX('4. PRODUCCIÓN'!$D$8:$D$32,MATCH($A146,'4. PRODUCCIÓN'!$B$8:$B$32,0)),0)</f>
        <v>0</v>
      </c>
      <c r="J146" s="51" t="n">
        <f aca="false">E146*I146</f>
        <v>0</v>
      </c>
      <c r="K146" s="55" t="s">
        <v>270</v>
      </c>
    </row>
    <row r="147" customFormat="false" ht="15" hidden="false" customHeight="false" outlineLevel="0" collapsed="false">
      <c r="A147" s="50" t="n">
        <v>14</v>
      </c>
      <c r="B147" s="41" t="s">
        <v>302</v>
      </c>
      <c r="C147" s="50" t="s">
        <v>240</v>
      </c>
      <c r="D147" s="41" t="s">
        <v>105</v>
      </c>
      <c r="E147" s="51" t="n">
        <v>100</v>
      </c>
      <c r="F147" s="50" t="s">
        <v>90</v>
      </c>
      <c r="G147" s="52" t="n">
        <f aca="false">IFERROR(INDEX('1. INSUMOS'!$H$8:$H$98,MATCH($D147,'1. INSUMOS'!$B$8:$B$98,0)),0)</f>
        <v>0.03</v>
      </c>
      <c r="H147" s="53" t="n">
        <f aca="false">E147*G147</f>
        <v>3</v>
      </c>
      <c r="I147" s="54" t="n">
        <f aca="false">IFERROR(INDEX('4. PRODUCCIÓN'!$D$8:$D$32,MATCH($A147,'4. PRODUCCIÓN'!$B$8:$B$32,0)),0)</f>
        <v>0</v>
      </c>
      <c r="J147" s="51" t="n">
        <f aca="false">E147*I147</f>
        <v>0</v>
      </c>
      <c r="K147" s="55" t="s">
        <v>105</v>
      </c>
    </row>
    <row r="148" customFormat="false" ht="15" hidden="false" customHeight="false" outlineLevel="0" collapsed="false">
      <c r="A148" s="50" t="n">
        <v>14</v>
      </c>
      <c r="B148" s="41" t="s">
        <v>302</v>
      </c>
      <c r="C148" s="50" t="s">
        <v>240</v>
      </c>
      <c r="D148" s="41" t="s">
        <v>142</v>
      </c>
      <c r="E148" s="51" t="n">
        <v>2</v>
      </c>
      <c r="F148" s="50" t="s">
        <v>144</v>
      </c>
      <c r="G148" s="52" t="n">
        <f aca="false">IFERROR(INDEX('1. INSUMOS'!$H$8:$H$98,MATCH($D148,'1. INSUMOS'!$B$8:$B$98,0)),0)</f>
        <v>3.2</v>
      </c>
      <c r="H148" s="53" t="n">
        <f aca="false">E148*G148</f>
        <v>6.4</v>
      </c>
      <c r="I148" s="54" t="n">
        <f aca="false">IFERROR(INDEX('4. PRODUCCIÓN'!$D$8:$D$32,MATCH($A148,'4. PRODUCCIÓN'!$B$8:$B$32,0)),0)</f>
        <v>0</v>
      </c>
      <c r="J148" s="51" t="n">
        <f aca="false">E148*I148</f>
        <v>0</v>
      </c>
      <c r="K148" s="55" t="s">
        <v>250</v>
      </c>
    </row>
    <row r="149" customFormat="false" ht="15" hidden="false" customHeight="false" outlineLevel="0" collapsed="false">
      <c r="A149" s="50" t="n">
        <v>14</v>
      </c>
      <c r="B149" s="41" t="s">
        <v>302</v>
      </c>
      <c r="C149" s="50" t="s">
        <v>240</v>
      </c>
      <c r="D149" s="41" t="s">
        <v>126</v>
      </c>
      <c r="E149" s="51" t="n">
        <v>300</v>
      </c>
      <c r="F149" s="50" t="s">
        <v>90</v>
      </c>
      <c r="G149" s="52" t="n">
        <f aca="false">IFERROR(INDEX('1. INSUMOS'!$H$8:$H$98,MATCH($D149,'1. INSUMOS'!$B$8:$B$98,0)),0)</f>
        <v>0.03</v>
      </c>
      <c r="H149" s="53" t="n">
        <f aca="false">E149*G149</f>
        <v>9</v>
      </c>
      <c r="I149" s="54" t="n">
        <f aca="false">IFERROR(INDEX('4. PRODUCCIÓN'!$D$8:$D$32,MATCH($A149,'4. PRODUCCIÓN'!$B$8:$B$32,0)),0)</f>
        <v>0</v>
      </c>
      <c r="J149" s="51" t="n">
        <f aca="false">E149*I149</f>
        <v>0</v>
      </c>
      <c r="K149" s="55" t="s">
        <v>126</v>
      </c>
    </row>
    <row r="150" customFormat="false" ht="15" hidden="false" customHeight="false" outlineLevel="0" collapsed="false">
      <c r="A150" s="50" t="n">
        <v>14</v>
      </c>
      <c r="B150" s="41" t="s">
        <v>302</v>
      </c>
      <c r="C150" s="50" t="s">
        <v>240</v>
      </c>
      <c r="D150" s="41" t="s">
        <v>130</v>
      </c>
      <c r="E150" s="51" t="n">
        <v>10</v>
      </c>
      <c r="F150" s="50" t="s">
        <v>90</v>
      </c>
      <c r="G150" s="52" t="n">
        <f aca="false">IFERROR(INDEX('1. INSUMOS'!$H$8:$H$98,MATCH($D150,'1. INSUMOS'!$B$8:$B$98,0)),0)</f>
        <v>0.09</v>
      </c>
      <c r="H150" s="53" t="n">
        <f aca="false">E150*G150</f>
        <v>0.9</v>
      </c>
      <c r="I150" s="54" t="n">
        <f aca="false">IFERROR(INDEX('4. PRODUCCIÓN'!$D$8:$D$32,MATCH($A150,'4. PRODUCCIÓN'!$B$8:$B$32,0)),0)</f>
        <v>0</v>
      </c>
      <c r="J150" s="51" t="n">
        <f aca="false">E150*I150</f>
        <v>0</v>
      </c>
      <c r="K150" s="55" t="s">
        <v>253</v>
      </c>
    </row>
    <row r="151" customFormat="false" ht="15" hidden="false" customHeight="false" outlineLevel="0" collapsed="false">
      <c r="A151" s="50" t="n">
        <v>14</v>
      </c>
      <c r="B151" s="41" t="s">
        <v>302</v>
      </c>
      <c r="C151" s="50" t="s">
        <v>240</v>
      </c>
      <c r="D151" s="41" t="s">
        <v>133</v>
      </c>
      <c r="E151" s="51" t="n">
        <v>5</v>
      </c>
      <c r="F151" s="50" t="s">
        <v>90</v>
      </c>
      <c r="G151" s="52" t="n">
        <f aca="false">IFERROR(INDEX('1. INSUMOS'!$H$8:$H$98,MATCH($D151,'1. INSUMOS'!$B$8:$B$98,0)),0)</f>
        <v>0.13</v>
      </c>
      <c r="H151" s="53" t="n">
        <f aca="false">E151*G151</f>
        <v>0.65</v>
      </c>
      <c r="I151" s="54" t="n">
        <f aca="false">IFERROR(INDEX('4. PRODUCCIÓN'!$D$8:$D$32,MATCH($A151,'4. PRODUCCIÓN'!$B$8:$B$32,0)),0)</f>
        <v>0</v>
      </c>
      <c r="J151" s="51" t="n">
        <f aca="false">E151*I151</f>
        <v>0</v>
      </c>
      <c r="K151" s="55" t="s">
        <v>133</v>
      </c>
    </row>
    <row r="152" customFormat="false" ht="15" hidden="false" customHeight="false" outlineLevel="0" collapsed="false">
      <c r="A152" s="50" t="n">
        <v>14</v>
      </c>
      <c r="B152" s="41" t="s">
        <v>302</v>
      </c>
      <c r="C152" s="50" t="s">
        <v>240</v>
      </c>
      <c r="D152" s="41" t="s">
        <v>195</v>
      </c>
      <c r="E152" s="51" t="n">
        <v>4</v>
      </c>
      <c r="F152" s="50" t="s">
        <v>90</v>
      </c>
      <c r="G152" s="52" t="n">
        <f aca="false">IFERROR(INDEX('1. INSUMOS'!$H$8:$H$98,MATCH($D152,'1. INSUMOS'!$B$8:$B$98,0)),0)</f>
        <v>0.02</v>
      </c>
      <c r="H152" s="53" t="n">
        <f aca="false">E152*G152</f>
        <v>0.08</v>
      </c>
      <c r="I152" s="54" t="n">
        <f aca="false">IFERROR(INDEX('4. PRODUCCIÓN'!$D$8:$D$32,MATCH($A152,'4. PRODUCCIÓN'!$B$8:$B$32,0)),0)</f>
        <v>0</v>
      </c>
      <c r="J152" s="51" t="n">
        <f aca="false">E152*I152</f>
        <v>0</v>
      </c>
      <c r="K152" s="55" t="s">
        <v>195</v>
      </c>
    </row>
    <row r="153" customFormat="false" ht="15" hidden="false" customHeight="false" outlineLevel="0" collapsed="false">
      <c r="A153" s="50" t="n">
        <v>14</v>
      </c>
      <c r="B153" s="41" t="s">
        <v>302</v>
      </c>
      <c r="C153" s="50" t="s">
        <v>240</v>
      </c>
      <c r="D153" s="41" t="s">
        <v>190</v>
      </c>
      <c r="E153" s="51" t="n">
        <v>80</v>
      </c>
      <c r="F153" s="50" t="s">
        <v>90</v>
      </c>
      <c r="G153" s="52" t="n">
        <f aca="false">IFERROR(INDEX('1. INSUMOS'!$H$8:$H$98,MATCH($D153,'1. INSUMOS'!$B$8:$B$98,0)),0)</f>
        <v>0.41</v>
      </c>
      <c r="H153" s="53" t="n">
        <f aca="false">E153*G153</f>
        <v>32.8</v>
      </c>
      <c r="I153" s="54" t="n">
        <f aca="false">IFERROR(INDEX('4. PRODUCCIÓN'!$D$8:$D$32,MATCH($A153,'4. PRODUCCIÓN'!$B$8:$B$32,0)),0)</f>
        <v>0</v>
      </c>
      <c r="J153" s="51" t="n">
        <f aca="false">E153*I153</f>
        <v>0</v>
      </c>
      <c r="K153" s="55" t="s">
        <v>303</v>
      </c>
    </row>
    <row r="154" customFormat="false" ht="15" hidden="false" customHeight="false" outlineLevel="0" collapsed="false">
      <c r="A154" s="50" t="n">
        <v>14</v>
      </c>
      <c r="B154" s="41" t="s">
        <v>302</v>
      </c>
      <c r="C154" s="50" t="s">
        <v>240</v>
      </c>
      <c r="D154" s="41" t="s">
        <v>201</v>
      </c>
      <c r="E154" s="51" t="n">
        <v>2</v>
      </c>
      <c r="F154" s="50" t="s">
        <v>90</v>
      </c>
      <c r="G154" s="52" t="n">
        <f aca="false">IFERROR(INDEX('1. INSUMOS'!$H$8:$H$98,MATCH($D154,'1. INSUMOS'!$B$8:$B$98,0)),0)</f>
        <v>0.46</v>
      </c>
      <c r="H154" s="53" t="n">
        <f aca="false">E154*G154</f>
        <v>0.92</v>
      </c>
      <c r="I154" s="54" t="n">
        <f aca="false">IFERROR(INDEX('4. PRODUCCIÓN'!$D$8:$D$32,MATCH($A154,'4. PRODUCCIÓN'!$B$8:$B$32,0)),0)</f>
        <v>0</v>
      </c>
      <c r="J154" s="51" t="n">
        <f aca="false">E154*I154</f>
        <v>0</v>
      </c>
      <c r="K154" s="55" t="s">
        <v>304</v>
      </c>
    </row>
    <row r="155" customFormat="false" ht="15" hidden="false" customHeight="false" outlineLevel="0" collapsed="false">
      <c r="A155" s="50" t="n">
        <v>14</v>
      </c>
      <c r="B155" s="41" t="s">
        <v>302</v>
      </c>
      <c r="C155" s="50" t="s">
        <v>240</v>
      </c>
      <c r="D155" s="41" t="s">
        <v>204</v>
      </c>
      <c r="E155" s="51" t="n">
        <v>1</v>
      </c>
      <c r="F155" s="50" t="s">
        <v>90</v>
      </c>
      <c r="G155" s="52" t="n">
        <f aca="false">IFERROR(INDEX('1. INSUMOS'!$H$8:$H$98,MATCH($D155,'1. INSUMOS'!$B$8:$B$98,0)),0)</f>
        <v>1.24</v>
      </c>
      <c r="H155" s="53" t="n">
        <f aca="false">E155*G155</f>
        <v>1.24</v>
      </c>
      <c r="I155" s="54" t="n">
        <f aca="false">IFERROR(INDEX('4. PRODUCCIÓN'!$D$8:$D$32,MATCH($A155,'4. PRODUCCIÓN'!$B$8:$B$32,0)),0)</f>
        <v>0</v>
      </c>
      <c r="J155" s="51" t="n">
        <f aca="false">E155*I155</f>
        <v>0</v>
      </c>
      <c r="K155" s="55" t="s">
        <v>204</v>
      </c>
    </row>
    <row r="156" customFormat="false" ht="15" hidden="false" customHeight="false" outlineLevel="0" collapsed="false">
      <c r="A156" s="44" t="n">
        <v>15</v>
      </c>
      <c r="B156" s="43" t="s">
        <v>305</v>
      </c>
      <c r="C156" s="44" t="s">
        <v>240</v>
      </c>
      <c r="D156" s="43" t="s">
        <v>88</v>
      </c>
      <c r="E156" s="45" t="n">
        <v>160</v>
      </c>
      <c r="F156" s="44" t="s">
        <v>90</v>
      </c>
      <c r="G156" s="46" t="n">
        <f aca="false">IFERROR(INDEX('1. INSUMOS'!$H$8:$H$98,MATCH($D156,'1. INSUMOS'!$B$8:$B$98,0)),0)</f>
        <v>0.21</v>
      </c>
      <c r="H156" s="47" t="n">
        <f aca="false">E156*G156</f>
        <v>33.6</v>
      </c>
      <c r="I156" s="48" t="n">
        <f aca="false">IFERROR(INDEX('4. PRODUCCIÓN'!$D$8:$D$32,MATCH($A156,'4. PRODUCCIÓN'!$B$8:$B$32,0)),0)</f>
        <v>0</v>
      </c>
      <c r="J156" s="45" t="n">
        <f aca="false">E156*I156</f>
        <v>0</v>
      </c>
      <c r="K156" s="49" t="s">
        <v>249</v>
      </c>
    </row>
    <row r="157" customFormat="false" ht="15" hidden="false" customHeight="false" outlineLevel="0" collapsed="false">
      <c r="A157" s="44" t="n">
        <v>15</v>
      </c>
      <c r="B157" s="43" t="s">
        <v>305</v>
      </c>
      <c r="C157" s="44" t="s">
        <v>240</v>
      </c>
      <c r="D157" s="43" t="s">
        <v>109</v>
      </c>
      <c r="E157" s="45" t="n">
        <v>150</v>
      </c>
      <c r="F157" s="44" t="s">
        <v>90</v>
      </c>
      <c r="G157" s="46" t="n">
        <f aca="false">IFERROR(INDEX('1. INSUMOS'!$H$8:$H$98,MATCH($D157,'1. INSUMOS'!$B$8:$B$98,0)),0)</f>
        <v>0.058</v>
      </c>
      <c r="H157" s="47" t="n">
        <f aca="false">E157*G157</f>
        <v>8.7</v>
      </c>
      <c r="I157" s="48" t="n">
        <f aca="false">IFERROR(INDEX('4. PRODUCCIÓN'!$D$8:$D$32,MATCH($A157,'4. PRODUCCIÓN'!$B$8:$B$32,0)),0)</f>
        <v>0</v>
      </c>
      <c r="J157" s="45" t="n">
        <f aca="false">E157*I157</f>
        <v>0</v>
      </c>
      <c r="K157" s="49" t="s">
        <v>109</v>
      </c>
    </row>
    <row r="158" customFormat="false" ht="15" hidden="false" customHeight="false" outlineLevel="0" collapsed="false">
      <c r="A158" s="44" t="n">
        <v>15</v>
      </c>
      <c r="B158" s="43" t="s">
        <v>305</v>
      </c>
      <c r="C158" s="44" t="s">
        <v>240</v>
      </c>
      <c r="D158" s="43" t="s">
        <v>105</v>
      </c>
      <c r="E158" s="45" t="n">
        <v>80</v>
      </c>
      <c r="F158" s="44" t="s">
        <v>90</v>
      </c>
      <c r="G158" s="46" t="n">
        <f aca="false">IFERROR(INDEX('1. INSUMOS'!$H$8:$H$98,MATCH($D158,'1. INSUMOS'!$B$8:$B$98,0)),0)</f>
        <v>0.03</v>
      </c>
      <c r="H158" s="47" t="n">
        <f aca="false">E158*G158</f>
        <v>2.4</v>
      </c>
      <c r="I158" s="48" t="n">
        <f aca="false">IFERROR(INDEX('4. PRODUCCIÓN'!$D$8:$D$32,MATCH($A158,'4. PRODUCCIÓN'!$B$8:$B$32,0)),0)</f>
        <v>0</v>
      </c>
      <c r="J158" s="45" t="n">
        <f aca="false">E158*I158</f>
        <v>0</v>
      </c>
      <c r="K158" s="49" t="s">
        <v>105</v>
      </c>
    </row>
    <row r="159" customFormat="false" ht="15" hidden="false" customHeight="false" outlineLevel="0" collapsed="false">
      <c r="A159" s="44" t="n">
        <v>15</v>
      </c>
      <c r="B159" s="43" t="s">
        <v>305</v>
      </c>
      <c r="C159" s="44" t="s">
        <v>240</v>
      </c>
      <c r="D159" s="43" t="s">
        <v>142</v>
      </c>
      <c r="E159" s="45" t="n">
        <v>1</v>
      </c>
      <c r="F159" s="44" t="s">
        <v>144</v>
      </c>
      <c r="G159" s="46" t="n">
        <f aca="false">IFERROR(INDEX('1. INSUMOS'!$H$8:$H$98,MATCH($D159,'1. INSUMOS'!$B$8:$B$98,0)),0)</f>
        <v>3.2</v>
      </c>
      <c r="H159" s="47" t="n">
        <f aca="false">E159*G159</f>
        <v>3.2</v>
      </c>
      <c r="I159" s="48" t="n">
        <f aca="false">IFERROR(INDEX('4. PRODUCCIÓN'!$D$8:$D$32,MATCH($A159,'4. PRODUCCIÓN'!$B$8:$B$32,0)),0)</f>
        <v>0</v>
      </c>
      <c r="J159" s="45" t="n">
        <f aca="false">E159*I159</f>
        <v>0</v>
      </c>
      <c r="K159" s="49" t="s">
        <v>306</v>
      </c>
    </row>
    <row r="160" customFormat="false" ht="15" hidden="false" customHeight="false" outlineLevel="0" collapsed="false">
      <c r="A160" s="44" t="n">
        <v>15</v>
      </c>
      <c r="B160" s="43" t="s">
        <v>305</v>
      </c>
      <c r="C160" s="44" t="s">
        <v>240</v>
      </c>
      <c r="D160" s="43" t="s">
        <v>192</v>
      </c>
      <c r="E160" s="45" t="n">
        <v>80</v>
      </c>
      <c r="F160" s="44" t="s">
        <v>90</v>
      </c>
      <c r="G160" s="46" t="n">
        <f aca="false">IFERROR(INDEX('1. INSUMOS'!$H$8:$H$98,MATCH($D160,'1. INSUMOS'!$B$8:$B$98,0)),0)</f>
        <v>0.032</v>
      </c>
      <c r="H160" s="47" t="n">
        <f aca="false">E160*G160</f>
        <v>2.56</v>
      </c>
      <c r="I160" s="48" t="n">
        <f aca="false">IFERROR(INDEX('4. PRODUCCIÓN'!$D$8:$D$32,MATCH($A160,'4. PRODUCCIÓN'!$B$8:$B$32,0)),0)</f>
        <v>0</v>
      </c>
      <c r="J160" s="45" t="n">
        <f aca="false">E160*I160</f>
        <v>0</v>
      </c>
      <c r="K160" s="49" t="s">
        <v>307</v>
      </c>
    </row>
    <row r="161" customFormat="false" ht="15" hidden="false" customHeight="false" outlineLevel="0" collapsed="false">
      <c r="A161" s="44" t="n">
        <v>15</v>
      </c>
      <c r="B161" s="43" t="s">
        <v>305</v>
      </c>
      <c r="C161" s="44" t="s">
        <v>240</v>
      </c>
      <c r="D161" s="43" t="s">
        <v>126</v>
      </c>
      <c r="E161" s="45" t="n">
        <v>320</v>
      </c>
      <c r="F161" s="44" t="s">
        <v>90</v>
      </c>
      <c r="G161" s="46" t="n">
        <f aca="false">IFERROR(INDEX('1. INSUMOS'!$H$8:$H$98,MATCH($D161,'1. INSUMOS'!$B$8:$B$98,0)),0)</f>
        <v>0.03</v>
      </c>
      <c r="H161" s="47" t="n">
        <f aca="false">E161*G161</f>
        <v>9.6</v>
      </c>
      <c r="I161" s="48" t="n">
        <f aca="false">IFERROR(INDEX('4. PRODUCCIÓN'!$D$8:$D$32,MATCH($A161,'4. PRODUCCIÓN'!$B$8:$B$32,0)),0)</f>
        <v>0</v>
      </c>
      <c r="J161" s="45" t="n">
        <f aca="false">E161*I161</f>
        <v>0</v>
      </c>
      <c r="K161" s="49" t="s">
        <v>308</v>
      </c>
    </row>
    <row r="162" customFormat="false" ht="15" hidden="false" customHeight="false" outlineLevel="0" collapsed="false">
      <c r="A162" s="44" t="n">
        <v>15</v>
      </c>
      <c r="B162" s="43" t="s">
        <v>305</v>
      </c>
      <c r="C162" s="44" t="s">
        <v>240</v>
      </c>
      <c r="D162" s="43" t="s">
        <v>130</v>
      </c>
      <c r="E162" s="45" t="n">
        <v>10</v>
      </c>
      <c r="F162" s="44" t="s">
        <v>90</v>
      </c>
      <c r="G162" s="46" t="n">
        <f aca="false">IFERROR(INDEX('1. INSUMOS'!$H$8:$H$98,MATCH($D162,'1. INSUMOS'!$B$8:$B$98,0)),0)</f>
        <v>0.09</v>
      </c>
      <c r="H162" s="47" t="n">
        <f aca="false">E162*G162</f>
        <v>0.9</v>
      </c>
      <c r="I162" s="48" t="n">
        <f aca="false">IFERROR(INDEX('4. PRODUCCIÓN'!$D$8:$D$32,MATCH($A162,'4. PRODUCCIÓN'!$B$8:$B$32,0)),0)</f>
        <v>0</v>
      </c>
      <c r="J162" s="45" t="n">
        <f aca="false">E162*I162</f>
        <v>0</v>
      </c>
      <c r="K162" s="49" t="s">
        <v>253</v>
      </c>
    </row>
    <row r="163" customFormat="false" ht="15" hidden="false" customHeight="false" outlineLevel="0" collapsed="false">
      <c r="A163" s="44" t="n">
        <v>15</v>
      </c>
      <c r="B163" s="43" t="s">
        <v>305</v>
      </c>
      <c r="C163" s="44" t="s">
        <v>240</v>
      </c>
      <c r="D163" s="43" t="s">
        <v>133</v>
      </c>
      <c r="E163" s="45" t="n">
        <v>5</v>
      </c>
      <c r="F163" s="44" t="s">
        <v>90</v>
      </c>
      <c r="G163" s="46" t="n">
        <f aca="false">IFERROR(INDEX('1. INSUMOS'!$H$8:$H$98,MATCH($D163,'1. INSUMOS'!$B$8:$B$98,0)),0)</f>
        <v>0.13</v>
      </c>
      <c r="H163" s="47" t="n">
        <f aca="false">E163*G163</f>
        <v>0.65</v>
      </c>
      <c r="I163" s="48" t="n">
        <f aca="false">IFERROR(INDEX('4. PRODUCCIÓN'!$D$8:$D$32,MATCH($A163,'4. PRODUCCIÓN'!$B$8:$B$32,0)),0)</f>
        <v>0</v>
      </c>
      <c r="J163" s="45" t="n">
        <f aca="false">E163*I163</f>
        <v>0</v>
      </c>
      <c r="K163" s="49" t="s">
        <v>133</v>
      </c>
    </row>
    <row r="164" customFormat="false" ht="15" hidden="false" customHeight="false" outlineLevel="0" collapsed="false">
      <c r="A164" s="44" t="n">
        <v>15</v>
      </c>
      <c r="B164" s="43" t="s">
        <v>305</v>
      </c>
      <c r="C164" s="44" t="s">
        <v>240</v>
      </c>
      <c r="D164" s="43" t="s">
        <v>195</v>
      </c>
      <c r="E164" s="45" t="n">
        <v>4</v>
      </c>
      <c r="F164" s="44" t="s">
        <v>90</v>
      </c>
      <c r="G164" s="46" t="n">
        <f aca="false">IFERROR(INDEX('1. INSUMOS'!$H$8:$H$98,MATCH($D164,'1. INSUMOS'!$B$8:$B$98,0)),0)</f>
        <v>0.02</v>
      </c>
      <c r="H164" s="47" t="n">
        <f aca="false">E164*G164</f>
        <v>0.08</v>
      </c>
      <c r="I164" s="48" t="n">
        <f aca="false">IFERROR(INDEX('4. PRODUCCIÓN'!$D$8:$D$32,MATCH($A164,'4. PRODUCCIÓN'!$B$8:$B$32,0)),0)</f>
        <v>0</v>
      </c>
      <c r="J164" s="45" t="n">
        <f aca="false">E164*I164</f>
        <v>0</v>
      </c>
      <c r="K164" s="49" t="s">
        <v>195</v>
      </c>
    </row>
    <row r="165" customFormat="false" ht="15" hidden="false" customHeight="false" outlineLevel="0" collapsed="false">
      <c r="A165" s="44" t="n">
        <v>15</v>
      </c>
      <c r="B165" s="43" t="s">
        <v>305</v>
      </c>
      <c r="C165" s="44" t="s">
        <v>240</v>
      </c>
      <c r="D165" s="43" t="s">
        <v>118</v>
      </c>
      <c r="E165" s="45" t="n">
        <v>120</v>
      </c>
      <c r="F165" s="44" t="s">
        <v>90</v>
      </c>
      <c r="G165" s="46" t="n">
        <f aca="false">IFERROR(INDEX('1. INSUMOS'!$H$8:$H$98,MATCH($D165,'1. INSUMOS'!$B$8:$B$98,0)),0)</f>
        <v>0.25</v>
      </c>
      <c r="H165" s="47" t="n">
        <f aca="false">E165*G165</f>
        <v>30</v>
      </c>
      <c r="I165" s="48" t="n">
        <f aca="false">IFERROR(INDEX('4. PRODUCCIÓN'!$D$8:$D$32,MATCH($A165,'4. PRODUCCIÓN'!$B$8:$B$32,0)),0)</f>
        <v>0</v>
      </c>
      <c r="J165" s="45" t="n">
        <f aca="false">E165*I165</f>
        <v>0</v>
      </c>
      <c r="K165" s="49" t="s">
        <v>309</v>
      </c>
    </row>
    <row r="166" customFormat="false" ht="15" hidden="false" customHeight="false" outlineLevel="0" collapsed="false">
      <c r="A166" s="44" t="n">
        <v>15</v>
      </c>
      <c r="B166" s="43" t="s">
        <v>305</v>
      </c>
      <c r="C166" s="44" t="s">
        <v>240</v>
      </c>
      <c r="D166" s="43" t="s">
        <v>148</v>
      </c>
      <c r="E166" s="45" t="n">
        <v>100</v>
      </c>
      <c r="F166" s="44" t="s">
        <v>90</v>
      </c>
      <c r="G166" s="46" t="n">
        <f aca="false">IFERROR(INDEX('1. INSUMOS'!$H$8:$H$98,MATCH($D166,'1. INSUMOS'!$B$8:$B$98,0)),0)</f>
        <v>0.265</v>
      </c>
      <c r="H166" s="47" t="n">
        <f aca="false">E166*G166</f>
        <v>26.5</v>
      </c>
      <c r="I166" s="48" t="n">
        <f aca="false">IFERROR(INDEX('4. PRODUCCIÓN'!$D$8:$D$32,MATCH($A166,'4. PRODUCCIÓN'!$B$8:$B$32,0)),0)</f>
        <v>0</v>
      </c>
      <c r="J166" s="45" t="n">
        <f aca="false">E166*I166</f>
        <v>0</v>
      </c>
      <c r="K166" s="49" t="s">
        <v>310</v>
      </c>
    </row>
    <row r="167" customFormat="false" ht="15" hidden="false" customHeight="false" outlineLevel="0" collapsed="false">
      <c r="A167" s="50" t="n">
        <v>16</v>
      </c>
      <c r="B167" s="41" t="s">
        <v>311</v>
      </c>
      <c r="C167" s="50" t="s">
        <v>240</v>
      </c>
      <c r="D167" s="41" t="s">
        <v>88</v>
      </c>
      <c r="E167" s="51" t="n">
        <v>180</v>
      </c>
      <c r="F167" s="50" t="s">
        <v>90</v>
      </c>
      <c r="G167" s="52" t="n">
        <f aca="false">IFERROR(INDEX('1. INSUMOS'!$H$8:$H$98,MATCH($D167,'1. INSUMOS'!$B$8:$B$98,0)),0)</f>
        <v>0.21</v>
      </c>
      <c r="H167" s="53" t="n">
        <f aca="false">E167*G167</f>
        <v>37.8</v>
      </c>
      <c r="I167" s="54" t="n">
        <f aca="false">IFERROR(INDEX('4. PRODUCCIÓN'!$D$8:$D$32,MATCH($A167,'4. PRODUCCIÓN'!$B$8:$B$32,0)),0)</f>
        <v>0</v>
      </c>
      <c r="J167" s="51" t="n">
        <f aca="false">E167*I167</f>
        <v>0</v>
      </c>
      <c r="K167" s="55" t="s">
        <v>249</v>
      </c>
    </row>
    <row r="168" customFormat="false" ht="15" hidden="false" customHeight="false" outlineLevel="0" collapsed="false">
      <c r="A168" s="50" t="n">
        <v>16</v>
      </c>
      <c r="B168" s="41" t="s">
        <v>311</v>
      </c>
      <c r="C168" s="50" t="s">
        <v>240</v>
      </c>
      <c r="D168" s="41" t="s">
        <v>108</v>
      </c>
      <c r="E168" s="51" t="n">
        <v>150</v>
      </c>
      <c r="F168" s="50" t="s">
        <v>90</v>
      </c>
      <c r="G168" s="52" t="n">
        <f aca="false">IFERROR(INDEX('1. INSUMOS'!$H$8:$H$98,MATCH($D168,'1. INSUMOS'!$B$8:$B$98,0)),0)</f>
        <v>0.052</v>
      </c>
      <c r="H168" s="53" t="n">
        <f aca="false">E168*G168</f>
        <v>7.8</v>
      </c>
      <c r="I168" s="54" t="n">
        <f aca="false">IFERROR(INDEX('4. PRODUCCIÓN'!$D$8:$D$32,MATCH($A168,'4. PRODUCCIÓN'!$B$8:$B$32,0)),0)</f>
        <v>0</v>
      </c>
      <c r="J168" s="51" t="n">
        <f aca="false">E168*I168</f>
        <v>0</v>
      </c>
      <c r="K168" s="55" t="s">
        <v>108</v>
      </c>
    </row>
    <row r="169" customFormat="false" ht="15" hidden="false" customHeight="false" outlineLevel="0" collapsed="false">
      <c r="A169" s="50" t="n">
        <v>16</v>
      </c>
      <c r="B169" s="41" t="s">
        <v>311</v>
      </c>
      <c r="C169" s="50" t="s">
        <v>240</v>
      </c>
      <c r="D169" s="41" t="s">
        <v>105</v>
      </c>
      <c r="E169" s="51" t="n">
        <v>100</v>
      </c>
      <c r="F169" s="50" t="s">
        <v>90</v>
      </c>
      <c r="G169" s="52" t="n">
        <f aca="false">IFERROR(INDEX('1. INSUMOS'!$H$8:$H$98,MATCH($D169,'1. INSUMOS'!$B$8:$B$98,0)),0)</f>
        <v>0.03</v>
      </c>
      <c r="H169" s="53" t="n">
        <f aca="false">E169*G169</f>
        <v>3</v>
      </c>
      <c r="I169" s="54" t="n">
        <f aca="false">IFERROR(INDEX('4. PRODUCCIÓN'!$D$8:$D$32,MATCH($A169,'4. PRODUCCIÓN'!$B$8:$B$32,0)),0)</f>
        <v>0</v>
      </c>
      <c r="J169" s="51" t="n">
        <f aca="false">E169*I169</f>
        <v>0</v>
      </c>
      <c r="K169" s="55" t="s">
        <v>105</v>
      </c>
    </row>
    <row r="170" customFormat="false" ht="15" hidden="false" customHeight="false" outlineLevel="0" collapsed="false">
      <c r="A170" s="50" t="n">
        <v>16</v>
      </c>
      <c r="B170" s="41" t="s">
        <v>311</v>
      </c>
      <c r="C170" s="50" t="s">
        <v>240</v>
      </c>
      <c r="D170" s="41" t="s">
        <v>142</v>
      </c>
      <c r="E170" s="51" t="n">
        <v>2</v>
      </c>
      <c r="F170" s="50" t="s">
        <v>144</v>
      </c>
      <c r="G170" s="52" t="n">
        <f aca="false">IFERROR(INDEX('1. INSUMOS'!$H$8:$H$98,MATCH($D170,'1. INSUMOS'!$B$8:$B$98,0)),0)</f>
        <v>3.2</v>
      </c>
      <c r="H170" s="53" t="n">
        <f aca="false">E170*G170</f>
        <v>6.4</v>
      </c>
      <c r="I170" s="54" t="n">
        <f aca="false">IFERROR(INDEX('4. PRODUCCIÓN'!$D$8:$D$32,MATCH($A170,'4. PRODUCCIÓN'!$B$8:$B$32,0)),0)</f>
        <v>0</v>
      </c>
      <c r="J170" s="51" t="n">
        <f aca="false">E170*I170</f>
        <v>0</v>
      </c>
      <c r="K170" s="55" t="s">
        <v>312</v>
      </c>
    </row>
    <row r="171" customFormat="false" ht="15" hidden="false" customHeight="false" outlineLevel="0" collapsed="false">
      <c r="A171" s="50" t="n">
        <v>16</v>
      </c>
      <c r="B171" s="41" t="s">
        <v>311</v>
      </c>
      <c r="C171" s="50" t="s">
        <v>240</v>
      </c>
      <c r="D171" s="41" t="s">
        <v>126</v>
      </c>
      <c r="E171" s="51" t="n">
        <v>320</v>
      </c>
      <c r="F171" s="50" t="s">
        <v>90</v>
      </c>
      <c r="G171" s="52" t="n">
        <f aca="false">IFERROR(INDEX('1. INSUMOS'!$H$8:$H$98,MATCH($D171,'1. INSUMOS'!$B$8:$B$98,0)),0)</f>
        <v>0.03</v>
      </c>
      <c r="H171" s="53" t="n">
        <f aca="false">E171*G171</f>
        <v>9.6</v>
      </c>
      <c r="I171" s="54" t="n">
        <f aca="false">IFERROR(INDEX('4. PRODUCCIÓN'!$D$8:$D$32,MATCH($A171,'4. PRODUCCIÓN'!$B$8:$B$32,0)),0)</f>
        <v>0</v>
      </c>
      <c r="J171" s="51" t="n">
        <f aca="false">E171*I171</f>
        <v>0</v>
      </c>
      <c r="K171" s="55" t="s">
        <v>251</v>
      </c>
    </row>
    <row r="172" customFormat="false" ht="15" hidden="false" customHeight="false" outlineLevel="0" collapsed="false">
      <c r="A172" s="50" t="n">
        <v>16</v>
      </c>
      <c r="B172" s="41" t="s">
        <v>311</v>
      </c>
      <c r="C172" s="50" t="s">
        <v>240</v>
      </c>
      <c r="D172" s="41" t="s">
        <v>130</v>
      </c>
      <c r="E172" s="51" t="n">
        <v>10</v>
      </c>
      <c r="F172" s="50" t="s">
        <v>90</v>
      </c>
      <c r="G172" s="52" t="n">
        <f aca="false">IFERROR(INDEX('1. INSUMOS'!$H$8:$H$98,MATCH($D172,'1. INSUMOS'!$B$8:$B$98,0)),0)</f>
        <v>0.09</v>
      </c>
      <c r="H172" s="53" t="n">
        <f aca="false">E172*G172</f>
        <v>0.9</v>
      </c>
      <c r="I172" s="54" t="n">
        <f aca="false">IFERROR(INDEX('4. PRODUCCIÓN'!$D$8:$D$32,MATCH($A172,'4. PRODUCCIÓN'!$B$8:$B$32,0)),0)</f>
        <v>0</v>
      </c>
      <c r="J172" s="51" t="n">
        <f aca="false">E172*I172</f>
        <v>0</v>
      </c>
      <c r="K172" s="55" t="s">
        <v>253</v>
      </c>
    </row>
    <row r="173" customFormat="false" ht="15" hidden="false" customHeight="false" outlineLevel="0" collapsed="false">
      <c r="A173" s="50" t="n">
        <v>16</v>
      </c>
      <c r="B173" s="41" t="s">
        <v>311</v>
      </c>
      <c r="C173" s="50" t="s">
        <v>240</v>
      </c>
      <c r="D173" s="41" t="s">
        <v>133</v>
      </c>
      <c r="E173" s="51" t="n">
        <v>5</v>
      </c>
      <c r="F173" s="50" t="s">
        <v>90</v>
      </c>
      <c r="G173" s="52" t="n">
        <f aca="false">IFERROR(INDEX('1. INSUMOS'!$H$8:$H$98,MATCH($D173,'1. INSUMOS'!$B$8:$B$98,0)),0)</f>
        <v>0.13</v>
      </c>
      <c r="H173" s="53" t="n">
        <f aca="false">E173*G173</f>
        <v>0.65</v>
      </c>
      <c r="I173" s="54" t="n">
        <f aca="false">IFERROR(INDEX('4. PRODUCCIÓN'!$D$8:$D$32,MATCH($A173,'4. PRODUCCIÓN'!$B$8:$B$32,0)),0)</f>
        <v>0</v>
      </c>
      <c r="J173" s="51" t="n">
        <f aca="false">E173*I173</f>
        <v>0</v>
      </c>
      <c r="K173" s="55" t="s">
        <v>133</v>
      </c>
    </row>
    <row r="174" customFormat="false" ht="15" hidden="false" customHeight="false" outlineLevel="0" collapsed="false">
      <c r="A174" s="50" t="n">
        <v>16</v>
      </c>
      <c r="B174" s="41" t="s">
        <v>311</v>
      </c>
      <c r="C174" s="50" t="s">
        <v>240</v>
      </c>
      <c r="D174" s="41" t="s">
        <v>195</v>
      </c>
      <c r="E174" s="51" t="n">
        <v>4</v>
      </c>
      <c r="F174" s="50" t="s">
        <v>90</v>
      </c>
      <c r="G174" s="52" t="n">
        <f aca="false">IFERROR(INDEX('1. INSUMOS'!$H$8:$H$98,MATCH($D174,'1. INSUMOS'!$B$8:$B$98,0)),0)</f>
        <v>0.02</v>
      </c>
      <c r="H174" s="53" t="n">
        <f aca="false">E174*G174</f>
        <v>0.08</v>
      </c>
      <c r="I174" s="54" t="n">
        <f aca="false">IFERROR(INDEX('4. PRODUCCIÓN'!$D$8:$D$32,MATCH($A174,'4. PRODUCCIÓN'!$B$8:$B$32,0)),0)</f>
        <v>0</v>
      </c>
      <c r="J174" s="51" t="n">
        <f aca="false">E174*I174</f>
        <v>0</v>
      </c>
      <c r="K174" s="55" t="s">
        <v>195</v>
      </c>
    </row>
    <row r="175" customFormat="false" ht="15" hidden="false" customHeight="false" outlineLevel="0" collapsed="false">
      <c r="A175" s="50" t="n">
        <v>16</v>
      </c>
      <c r="B175" s="41" t="s">
        <v>311</v>
      </c>
      <c r="C175" s="50" t="s">
        <v>240</v>
      </c>
      <c r="D175" s="41" t="s">
        <v>155</v>
      </c>
      <c r="E175" s="51" t="n">
        <v>150</v>
      </c>
      <c r="F175" s="50" t="s">
        <v>90</v>
      </c>
      <c r="G175" s="52" t="n">
        <f aca="false">IFERROR(INDEX('1. INSUMOS'!$H$8:$H$98,MATCH($D175,'1. INSUMOS'!$B$8:$B$98,0)),0)</f>
        <v>0.155</v>
      </c>
      <c r="H175" s="53" t="n">
        <f aca="false">E175*G175</f>
        <v>23.25</v>
      </c>
      <c r="I175" s="54" t="n">
        <f aca="false">IFERROR(INDEX('4. PRODUCCIÓN'!$D$8:$D$32,MATCH($A175,'4. PRODUCCIÓN'!$B$8:$B$32,0)),0)</f>
        <v>0</v>
      </c>
      <c r="J175" s="51" t="n">
        <f aca="false">E175*I175</f>
        <v>0</v>
      </c>
      <c r="K175" s="55" t="s">
        <v>155</v>
      </c>
    </row>
    <row r="176" customFormat="false" ht="15" hidden="false" customHeight="false" outlineLevel="0" collapsed="false">
      <c r="A176" s="50" t="n">
        <v>16</v>
      </c>
      <c r="B176" s="41" t="s">
        <v>311</v>
      </c>
      <c r="C176" s="50" t="s">
        <v>313</v>
      </c>
      <c r="D176" s="41" t="s">
        <v>161</v>
      </c>
      <c r="E176" s="51" t="n">
        <v>120</v>
      </c>
      <c r="F176" s="50" t="s">
        <v>90</v>
      </c>
      <c r="G176" s="52" t="n">
        <f aca="false">IFERROR(INDEX('1. INSUMOS'!$H$8:$H$98,MATCH($D176,'1. INSUMOS'!$B$8:$B$98,0)),0)</f>
        <v>0.237179487179487</v>
      </c>
      <c r="H176" s="53" t="n">
        <f aca="false">E176*G176</f>
        <v>28.4615384615385</v>
      </c>
      <c r="I176" s="54" t="n">
        <f aca="false">IFERROR(INDEX('4. PRODUCCIÓN'!$D$8:$D$32,MATCH($A176,'4. PRODUCCIÓN'!$B$8:$B$32,0)),0)</f>
        <v>0</v>
      </c>
      <c r="J176" s="51" t="n">
        <f aca="false">E176*I176</f>
        <v>0</v>
      </c>
      <c r="K176" s="55" t="s">
        <v>314</v>
      </c>
    </row>
    <row r="177" customFormat="false" ht="15" hidden="false" customHeight="false" outlineLevel="0" collapsed="false">
      <c r="A177" s="44" t="n">
        <v>17</v>
      </c>
      <c r="B177" s="43" t="s">
        <v>315</v>
      </c>
      <c r="C177" s="44" t="s">
        <v>240</v>
      </c>
      <c r="D177" s="43" t="s">
        <v>88</v>
      </c>
      <c r="E177" s="45" t="n">
        <v>180</v>
      </c>
      <c r="F177" s="44" t="s">
        <v>90</v>
      </c>
      <c r="G177" s="46" t="n">
        <f aca="false">IFERROR(INDEX('1. INSUMOS'!$H$8:$H$98,MATCH($D177,'1. INSUMOS'!$B$8:$B$98,0)),0)</f>
        <v>0.21</v>
      </c>
      <c r="H177" s="47" t="n">
        <f aca="false">E177*G177</f>
        <v>37.8</v>
      </c>
      <c r="I177" s="48" t="n">
        <f aca="false">IFERROR(INDEX('4. PRODUCCIÓN'!$D$8:$D$32,MATCH($A177,'4. PRODUCCIÓN'!$B$8:$B$32,0)),0)</f>
        <v>0</v>
      </c>
      <c r="J177" s="45" t="n">
        <f aca="false">E177*I177</f>
        <v>0</v>
      </c>
      <c r="K177" s="49" t="s">
        <v>249</v>
      </c>
    </row>
    <row r="178" customFormat="false" ht="15" hidden="false" customHeight="false" outlineLevel="0" collapsed="false">
      <c r="A178" s="44" t="n">
        <v>17</v>
      </c>
      <c r="B178" s="43" t="s">
        <v>315</v>
      </c>
      <c r="C178" s="44" t="s">
        <v>240</v>
      </c>
      <c r="D178" s="43" t="s">
        <v>108</v>
      </c>
      <c r="E178" s="45" t="n">
        <v>140</v>
      </c>
      <c r="F178" s="44" t="s">
        <v>90</v>
      </c>
      <c r="G178" s="46" t="n">
        <f aca="false">IFERROR(INDEX('1. INSUMOS'!$H$8:$H$98,MATCH($D178,'1. INSUMOS'!$B$8:$B$98,0)),0)</f>
        <v>0.052</v>
      </c>
      <c r="H178" s="47" t="n">
        <f aca="false">E178*G178</f>
        <v>7.28</v>
      </c>
      <c r="I178" s="48" t="n">
        <f aca="false">IFERROR(INDEX('4. PRODUCCIÓN'!$D$8:$D$32,MATCH($A178,'4. PRODUCCIÓN'!$B$8:$B$32,0)),0)</f>
        <v>0</v>
      </c>
      <c r="J178" s="45" t="n">
        <f aca="false">E178*I178</f>
        <v>0</v>
      </c>
      <c r="K178" s="49" t="s">
        <v>108</v>
      </c>
    </row>
    <row r="179" customFormat="false" ht="15" hidden="false" customHeight="false" outlineLevel="0" collapsed="false">
      <c r="A179" s="44" t="n">
        <v>17</v>
      </c>
      <c r="B179" s="43" t="s">
        <v>315</v>
      </c>
      <c r="C179" s="44" t="s">
        <v>240</v>
      </c>
      <c r="D179" s="43" t="s">
        <v>105</v>
      </c>
      <c r="E179" s="45" t="n">
        <v>110</v>
      </c>
      <c r="F179" s="44" t="s">
        <v>90</v>
      </c>
      <c r="G179" s="46" t="n">
        <f aca="false">IFERROR(INDEX('1. INSUMOS'!$H$8:$H$98,MATCH($D179,'1. INSUMOS'!$B$8:$B$98,0)),0)</f>
        <v>0.03</v>
      </c>
      <c r="H179" s="47" t="n">
        <f aca="false">E179*G179</f>
        <v>3.3</v>
      </c>
      <c r="I179" s="48" t="n">
        <f aca="false">IFERROR(INDEX('4. PRODUCCIÓN'!$D$8:$D$32,MATCH($A179,'4. PRODUCCIÓN'!$B$8:$B$32,0)),0)</f>
        <v>0</v>
      </c>
      <c r="J179" s="45" t="n">
        <f aca="false">E179*I179</f>
        <v>0</v>
      </c>
      <c r="K179" s="49" t="s">
        <v>105</v>
      </c>
    </row>
    <row r="180" customFormat="false" ht="15" hidden="false" customHeight="false" outlineLevel="0" collapsed="false">
      <c r="A180" s="44" t="n">
        <v>17</v>
      </c>
      <c r="B180" s="43" t="s">
        <v>315</v>
      </c>
      <c r="C180" s="44" t="s">
        <v>240</v>
      </c>
      <c r="D180" s="43" t="s">
        <v>142</v>
      </c>
      <c r="E180" s="45" t="n">
        <v>2</v>
      </c>
      <c r="F180" s="44" t="s">
        <v>144</v>
      </c>
      <c r="G180" s="46" t="n">
        <f aca="false">IFERROR(INDEX('1. INSUMOS'!$H$8:$H$98,MATCH($D180,'1. INSUMOS'!$B$8:$B$98,0)),0)</f>
        <v>3.2</v>
      </c>
      <c r="H180" s="47" t="n">
        <f aca="false">E180*G180</f>
        <v>6.4</v>
      </c>
      <c r="I180" s="48" t="n">
        <f aca="false">IFERROR(INDEX('4. PRODUCCIÓN'!$D$8:$D$32,MATCH($A180,'4. PRODUCCIÓN'!$B$8:$B$32,0)),0)</f>
        <v>0</v>
      </c>
      <c r="J180" s="45" t="n">
        <f aca="false">E180*I180</f>
        <v>0</v>
      </c>
      <c r="K180" s="49" t="s">
        <v>250</v>
      </c>
    </row>
    <row r="181" customFormat="false" ht="15" hidden="false" customHeight="false" outlineLevel="0" collapsed="false">
      <c r="A181" s="44" t="n">
        <v>17</v>
      </c>
      <c r="B181" s="43" t="s">
        <v>315</v>
      </c>
      <c r="C181" s="44" t="s">
        <v>240</v>
      </c>
      <c r="D181" s="43" t="s">
        <v>126</v>
      </c>
      <c r="E181" s="45" t="n">
        <v>310</v>
      </c>
      <c r="F181" s="44" t="s">
        <v>90</v>
      </c>
      <c r="G181" s="46" t="n">
        <f aca="false">IFERROR(INDEX('1. INSUMOS'!$H$8:$H$98,MATCH($D181,'1. INSUMOS'!$B$8:$B$98,0)),0)</f>
        <v>0.03</v>
      </c>
      <c r="H181" s="47" t="n">
        <f aca="false">E181*G181</f>
        <v>9.3</v>
      </c>
      <c r="I181" s="48" t="n">
        <f aca="false">IFERROR(INDEX('4. PRODUCCIÓN'!$D$8:$D$32,MATCH($A181,'4. PRODUCCIÓN'!$B$8:$B$32,0)),0)</f>
        <v>0</v>
      </c>
      <c r="J181" s="45" t="n">
        <f aca="false">E181*I181</f>
        <v>0</v>
      </c>
      <c r="K181" s="49" t="s">
        <v>126</v>
      </c>
    </row>
    <row r="182" customFormat="false" ht="15" hidden="false" customHeight="false" outlineLevel="0" collapsed="false">
      <c r="A182" s="44" t="n">
        <v>17</v>
      </c>
      <c r="B182" s="43" t="s">
        <v>315</v>
      </c>
      <c r="C182" s="44" t="s">
        <v>240</v>
      </c>
      <c r="D182" s="43" t="s">
        <v>130</v>
      </c>
      <c r="E182" s="45" t="n">
        <v>10</v>
      </c>
      <c r="F182" s="44" t="s">
        <v>90</v>
      </c>
      <c r="G182" s="46" t="n">
        <f aca="false">IFERROR(INDEX('1. INSUMOS'!$H$8:$H$98,MATCH($D182,'1. INSUMOS'!$B$8:$B$98,0)),0)</f>
        <v>0.09</v>
      </c>
      <c r="H182" s="47" t="n">
        <f aca="false">E182*G182</f>
        <v>0.9</v>
      </c>
      <c r="I182" s="48" t="n">
        <f aca="false">IFERROR(INDEX('4. PRODUCCIÓN'!$D$8:$D$32,MATCH($A182,'4. PRODUCCIÓN'!$B$8:$B$32,0)),0)</f>
        <v>0</v>
      </c>
      <c r="J182" s="45" t="n">
        <f aca="false">E182*I182</f>
        <v>0</v>
      </c>
      <c r="K182" s="49" t="s">
        <v>253</v>
      </c>
    </row>
    <row r="183" customFormat="false" ht="15" hidden="false" customHeight="false" outlineLevel="0" collapsed="false">
      <c r="A183" s="44" t="n">
        <v>17</v>
      </c>
      <c r="B183" s="43" t="s">
        <v>315</v>
      </c>
      <c r="C183" s="44" t="s">
        <v>240</v>
      </c>
      <c r="D183" s="43" t="s">
        <v>201</v>
      </c>
      <c r="E183" s="45" t="n">
        <v>5</v>
      </c>
      <c r="F183" s="44" t="s">
        <v>90</v>
      </c>
      <c r="G183" s="46" t="n">
        <f aca="false">IFERROR(INDEX('1. INSUMOS'!$H$8:$H$98,MATCH($D183,'1. INSUMOS'!$B$8:$B$98,0)),0)</f>
        <v>0.46</v>
      </c>
      <c r="H183" s="47" t="n">
        <f aca="false">E183*G183</f>
        <v>2.3</v>
      </c>
      <c r="I183" s="48" t="n">
        <f aca="false">IFERROR(INDEX('4. PRODUCCIÓN'!$D$8:$D$32,MATCH($A183,'4. PRODUCCIÓN'!$B$8:$B$32,0)),0)</f>
        <v>0</v>
      </c>
      <c r="J183" s="45" t="n">
        <f aca="false">E183*I183</f>
        <v>0</v>
      </c>
      <c r="K183" s="49" t="s">
        <v>201</v>
      </c>
    </row>
    <row r="184" customFormat="false" ht="15" hidden="false" customHeight="false" outlineLevel="0" collapsed="false">
      <c r="A184" s="44" t="n">
        <v>17</v>
      </c>
      <c r="B184" s="43" t="s">
        <v>315</v>
      </c>
      <c r="C184" s="44" t="s">
        <v>240</v>
      </c>
      <c r="D184" s="43" t="s">
        <v>202</v>
      </c>
      <c r="E184" s="45" t="n">
        <v>2</v>
      </c>
      <c r="F184" s="44" t="s">
        <v>90</v>
      </c>
      <c r="G184" s="46" t="n">
        <f aca="false">IFERROR(INDEX('1. INSUMOS'!$H$8:$H$98,MATCH($D184,'1. INSUMOS'!$B$8:$B$98,0)),0)</f>
        <v>0.56</v>
      </c>
      <c r="H184" s="47" t="n">
        <f aca="false">E184*G184</f>
        <v>1.12</v>
      </c>
      <c r="I184" s="48" t="n">
        <f aca="false">IFERROR(INDEX('4. PRODUCCIÓN'!$D$8:$D$32,MATCH($A184,'4. PRODUCCIÓN'!$B$8:$B$32,0)),0)</f>
        <v>0</v>
      </c>
      <c r="J184" s="45" t="n">
        <f aca="false">E184*I184</f>
        <v>0</v>
      </c>
      <c r="K184" s="49" t="s">
        <v>202</v>
      </c>
    </row>
    <row r="185" customFormat="false" ht="15" hidden="false" customHeight="false" outlineLevel="0" collapsed="false">
      <c r="A185" s="44" t="n">
        <v>17</v>
      </c>
      <c r="B185" s="43" t="s">
        <v>315</v>
      </c>
      <c r="C185" s="44" t="s">
        <v>240</v>
      </c>
      <c r="D185" s="43" t="s">
        <v>203</v>
      </c>
      <c r="E185" s="45" t="n">
        <v>1</v>
      </c>
      <c r="F185" s="44" t="s">
        <v>90</v>
      </c>
      <c r="G185" s="46" t="n">
        <f aca="false">IFERROR(INDEX('1. INSUMOS'!$H$8:$H$98,MATCH($D185,'1. INSUMOS'!$B$8:$B$98,0)),0)</f>
        <v>0.72</v>
      </c>
      <c r="H185" s="47" t="n">
        <f aca="false">E185*G185</f>
        <v>0.72</v>
      </c>
      <c r="I185" s="48" t="n">
        <f aca="false">IFERROR(INDEX('4. PRODUCCIÓN'!$D$8:$D$32,MATCH($A185,'4. PRODUCCIÓN'!$B$8:$B$32,0)),0)</f>
        <v>0</v>
      </c>
      <c r="J185" s="45" t="n">
        <f aca="false">E185*I185</f>
        <v>0</v>
      </c>
      <c r="K185" s="49" t="s">
        <v>203</v>
      </c>
    </row>
    <row r="186" customFormat="false" ht="15" hidden="false" customHeight="false" outlineLevel="0" collapsed="false">
      <c r="A186" s="44" t="n">
        <v>17</v>
      </c>
      <c r="B186" s="43" t="s">
        <v>315</v>
      </c>
      <c r="C186" s="44" t="s">
        <v>240</v>
      </c>
      <c r="D186" s="43" t="s">
        <v>133</v>
      </c>
      <c r="E186" s="45" t="n">
        <v>5</v>
      </c>
      <c r="F186" s="44" t="s">
        <v>90</v>
      </c>
      <c r="G186" s="46" t="n">
        <f aca="false">IFERROR(INDEX('1. INSUMOS'!$H$8:$H$98,MATCH($D186,'1. INSUMOS'!$B$8:$B$98,0)),0)</f>
        <v>0.13</v>
      </c>
      <c r="H186" s="47" t="n">
        <f aca="false">E186*G186</f>
        <v>0.65</v>
      </c>
      <c r="I186" s="48" t="n">
        <f aca="false">IFERROR(INDEX('4. PRODUCCIÓN'!$D$8:$D$32,MATCH($A186,'4. PRODUCCIÓN'!$B$8:$B$32,0)),0)</f>
        <v>0</v>
      </c>
      <c r="J186" s="45" t="n">
        <f aca="false">E186*I186</f>
        <v>0</v>
      </c>
      <c r="K186" s="49" t="s">
        <v>133</v>
      </c>
    </row>
    <row r="187" customFormat="false" ht="15" hidden="false" customHeight="false" outlineLevel="0" collapsed="false">
      <c r="A187" s="44" t="n">
        <v>17</v>
      </c>
      <c r="B187" s="43" t="s">
        <v>315</v>
      </c>
      <c r="C187" s="44" t="s">
        <v>240</v>
      </c>
      <c r="D187" s="43" t="s">
        <v>195</v>
      </c>
      <c r="E187" s="45" t="n">
        <v>4</v>
      </c>
      <c r="F187" s="44" t="s">
        <v>90</v>
      </c>
      <c r="G187" s="46" t="n">
        <f aca="false">IFERROR(INDEX('1. INSUMOS'!$H$8:$H$98,MATCH($D187,'1. INSUMOS'!$B$8:$B$98,0)),0)</f>
        <v>0.02</v>
      </c>
      <c r="H187" s="47" t="n">
        <f aca="false">E187*G187</f>
        <v>0.08</v>
      </c>
      <c r="I187" s="48" t="n">
        <f aca="false">IFERROR(INDEX('4. PRODUCCIÓN'!$D$8:$D$32,MATCH($A187,'4. PRODUCCIÓN'!$B$8:$B$32,0)),0)</f>
        <v>0</v>
      </c>
      <c r="J187" s="45" t="n">
        <f aca="false">E187*I187</f>
        <v>0</v>
      </c>
      <c r="K187" s="49" t="s">
        <v>195</v>
      </c>
    </row>
    <row r="188" customFormat="false" ht="15" hidden="false" customHeight="false" outlineLevel="0" collapsed="false">
      <c r="A188" s="44" t="n">
        <v>17</v>
      </c>
      <c r="B188" s="43" t="s">
        <v>315</v>
      </c>
      <c r="C188" s="44" t="s">
        <v>240</v>
      </c>
      <c r="D188" s="43" t="s">
        <v>137</v>
      </c>
      <c r="E188" s="45" t="n">
        <v>80</v>
      </c>
      <c r="F188" s="44" t="s">
        <v>90</v>
      </c>
      <c r="G188" s="46" t="n">
        <f aca="false">IFERROR(INDEX('1. INSUMOS'!$H$8:$H$98,MATCH($D188,'1. INSUMOS'!$B$8:$B$98,0)),0)</f>
        <v>0.312</v>
      </c>
      <c r="H188" s="47" t="n">
        <f aca="false">E188*G188</f>
        <v>24.96</v>
      </c>
      <c r="I188" s="48" t="n">
        <f aca="false">IFERROR(INDEX('4. PRODUCCIÓN'!$D$8:$D$32,MATCH($A188,'4. PRODUCCIÓN'!$B$8:$B$32,0)),0)</f>
        <v>0</v>
      </c>
      <c r="J188" s="45" t="n">
        <f aca="false">E188*I188</f>
        <v>0</v>
      </c>
      <c r="K188" s="49" t="s">
        <v>316</v>
      </c>
    </row>
    <row r="189" customFormat="false" ht="15" hidden="false" customHeight="false" outlineLevel="0" collapsed="false">
      <c r="A189" s="44" t="n">
        <v>17</v>
      </c>
      <c r="B189" s="43" t="s">
        <v>315</v>
      </c>
      <c r="C189" s="44" t="s">
        <v>240</v>
      </c>
      <c r="D189" s="43" t="s">
        <v>156</v>
      </c>
      <c r="E189" s="45" t="n">
        <v>80</v>
      </c>
      <c r="F189" s="44" t="s">
        <v>90</v>
      </c>
      <c r="G189" s="46" t="n">
        <f aca="false">IFERROR(INDEX('1. INSUMOS'!$H$8:$H$98,MATCH($D189,'1. INSUMOS'!$B$8:$B$98,0)),0)</f>
        <v>0.175</v>
      </c>
      <c r="H189" s="47" t="n">
        <f aca="false">E189*G189</f>
        <v>14</v>
      </c>
      <c r="I189" s="48" t="n">
        <f aca="false">IFERROR(INDEX('4. PRODUCCIÓN'!$D$8:$D$32,MATCH($A189,'4. PRODUCCIÓN'!$B$8:$B$32,0)),0)</f>
        <v>0</v>
      </c>
      <c r="J189" s="45" t="n">
        <f aca="false">E189*I189</f>
        <v>0</v>
      </c>
      <c r="K189" s="49" t="s">
        <v>156</v>
      </c>
    </row>
    <row r="190" customFormat="false" ht="15" hidden="false" customHeight="false" outlineLevel="0" collapsed="false">
      <c r="A190" s="44" t="n">
        <v>17</v>
      </c>
      <c r="B190" s="43" t="s">
        <v>315</v>
      </c>
      <c r="C190" s="44" t="s">
        <v>313</v>
      </c>
      <c r="D190" s="43" t="s">
        <v>165</v>
      </c>
      <c r="E190" s="45" t="n">
        <v>120</v>
      </c>
      <c r="F190" s="44" t="s">
        <v>90</v>
      </c>
      <c r="G190" s="46" t="n">
        <f aca="false">IFERROR(INDEX('1. INSUMOS'!$H$8:$H$98,MATCH($D190,'1. INSUMOS'!$B$8:$B$98,0)),0)</f>
        <v>0.3375</v>
      </c>
      <c r="H190" s="47" t="n">
        <f aca="false">E190*G190</f>
        <v>40.5</v>
      </c>
      <c r="I190" s="48" t="n">
        <f aca="false">IFERROR(INDEX('4. PRODUCCIÓN'!$D$8:$D$32,MATCH($A190,'4. PRODUCCIÓN'!$B$8:$B$32,0)),0)</f>
        <v>0</v>
      </c>
      <c r="J190" s="45" t="n">
        <f aca="false">E190*I190</f>
        <v>0</v>
      </c>
      <c r="K190" s="49" t="s">
        <v>317</v>
      </c>
    </row>
    <row r="191" customFormat="false" ht="15" hidden="false" customHeight="false" outlineLevel="0" collapsed="false">
      <c r="A191" s="50" t="n">
        <v>18</v>
      </c>
      <c r="B191" s="41" t="s">
        <v>318</v>
      </c>
      <c r="C191" s="50" t="s">
        <v>240</v>
      </c>
      <c r="D191" s="41" t="s">
        <v>88</v>
      </c>
      <c r="E191" s="51" t="n">
        <v>180</v>
      </c>
      <c r="F191" s="50" t="s">
        <v>90</v>
      </c>
      <c r="G191" s="52" t="n">
        <f aca="false">IFERROR(INDEX('1. INSUMOS'!$H$8:$H$98,MATCH($D191,'1. INSUMOS'!$B$8:$B$98,0)),0)</f>
        <v>0.21</v>
      </c>
      <c r="H191" s="53" t="n">
        <f aca="false">E191*G191</f>
        <v>37.8</v>
      </c>
      <c r="I191" s="54" t="n">
        <f aca="false">IFERROR(INDEX('4. PRODUCCIÓN'!$D$8:$D$32,MATCH($A191,'4. PRODUCCIÓN'!$B$8:$B$32,0)),0)</f>
        <v>0</v>
      </c>
      <c r="J191" s="51" t="n">
        <f aca="false">E191*I191</f>
        <v>0</v>
      </c>
      <c r="K191" s="55" t="s">
        <v>249</v>
      </c>
    </row>
    <row r="192" customFormat="false" ht="15" hidden="false" customHeight="false" outlineLevel="0" collapsed="false">
      <c r="A192" s="50" t="n">
        <v>18</v>
      </c>
      <c r="B192" s="41" t="s">
        <v>318</v>
      </c>
      <c r="C192" s="50" t="s">
        <v>240</v>
      </c>
      <c r="D192" s="41" t="s">
        <v>109</v>
      </c>
      <c r="E192" s="51" t="n">
        <v>130</v>
      </c>
      <c r="F192" s="50" t="s">
        <v>90</v>
      </c>
      <c r="G192" s="52" t="n">
        <f aca="false">IFERROR(INDEX('1. INSUMOS'!$H$8:$H$98,MATCH($D192,'1. INSUMOS'!$B$8:$B$98,0)),0)</f>
        <v>0.058</v>
      </c>
      <c r="H192" s="53" t="n">
        <f aca="false">E192*G192</f>
        <v>7.54</v>
      </c>
      <c r="I192" s="54" t="n">
        <f aca="false">IFERROR(INDEX('4. PRODUCCIÓN'!$D$8:$D$32,MATCH($A192,'4. PRODUCCIÓN'!$B$8:$B$32,0)),0)</f>
        <v>0</v>
      </c>
      <c r="J192" s="51" t="n">
        <f aca="false">E192*I192</f>
        <v>0</v>
      </c>
      <c r="K192" s="55" t="s">
        <v>109</v>
      </c>
    </row>
    <row r="193" customFormat="false" ht="15" hidden="false" customHeight="false" outlineLevel="0" collapsed="false">
      <c r="A193" s="50" t="n">
        <v>18</v>
      </c>
      <c r="B193" s="41" t="s">
        <v>318</v>
      </c>
      <c r="C193" s="50" t="s">
        <v>240</v>
      </c>
      <c r="D193" s="41" t="s">
        <v>105</v>
      </c>
      <c r="E193" s="51" t="n">
        <v>120</v>
      </c>
      <c r="F193" s="50" t="s">
        <v>90</v>
      </c>
      <c r="G193" s="52" t="n">
        <f aca="false">IFERROR(INDEX('1. INSUMOS'!$H$8:$H$98,MATCH($D193,'1. INSUMOS'!$B$8:$B$98,0)),0)</f>
        <v>0.03</v>
      </c>
      <c r="H193" s="53" t="n">
        <f aca="false">E193*G193</f>
        <v>3.6</v>
      </c>
      <c r="I193" s="54" t="n">
        <f aca="false">IFERROR(INDEX('4. PRODUCCIÓN'!$D$8:$D$32,MATCH($A193,'4. PRODUCCIÓN'!$B$8:$B$32,0)),0)</f>
        <v>0</v>
      </c>
      <c r="J193" s="51" t="n">
        <f aca="false">E193*I193</f>
        <v>0</v>
      </c>
      <c r="K193" s="55" t="s">
        <v>105</v>
      </c>
    </row>
    <row r="194" customFormat="false" ht="15" hidden="false" customHeight="false" outlineLevel="0" collapsed="false">
      <c r="A194" s="50" t="n">
        <v>18</v>
      </c>
      <c r="B194" s="41" t="s">
        <v>318</v>
      </c>
      <c r="C194" s="50" t="s">
        <v>240</v>
      </c>
      <c r="D194" s="41" t="s">
        <v>142</v>
      </c>
      <c r="E194" s="51" t="n">
        <v>2</v>
      </c>
      <c r="F194" s="50" t="s">
        <v>144</v>
      </c>
      <c r="G194" s="52" t="n">
        <f aca="false">IFERROR(INDEX('1. INSUMOS'!$H$8:$H$98,MATCH($D194,'1. INSUMOS'!$B$8:$B$98,0)),0)</f>
        <v>3.2</v>
      </c>
      <c r="H194" s="53" t="n">
        <f aca="false">E194*G194</f>
        <v>6.4</v>
      </c>
      <c r="I194" s="54" t="n">
        <f aca="false">IFERROR(INDEX('4. PRODUCCIÓN'!$D$8:$D$32,MATCH($A194,'4. PRODUCCIÓN'!$B$8:$B$32,0)),0)</f>
        <v>0</v>
      </c>
      <c r="J194" s="51" t="n">
        <f aca="false">E194*I194</f>
        <v>0</v>
      </c>
      <c r="K194" s="55" t="s">
        <v>250</v>
      </c>
    </row>
    <row r="195" customFormat="false" ht="15" hidden="false" customHeight="false" outlineLevel="0" collapsed="false">
      <c r="A195" s="50" t="n">
        <v>18</v>
      </c>
      <c r="B195" s="41" t="s">
        <v>318</v>
      </c>
      <c r="C195" s="50" t="s">
        <v>240</v>
      </c>
      <c r="D195" s="41" t="s">
        <v>126</v>
      </c>
      <c r="E195" s="51" t="n">
        <v>250</v>
      </c>
      <c r="F195" s="50" t="s">
        <v>90</v>
      </c>
      <c r="G195" s="52" t="n">
        <f aca="false">IFERROR(INDEX('1. INSUMOS'!$H$8:$H$98,MATCH($D195,'1. INSUMOS'!$B$8:$B$98,0)),0)</f>
        <v>0.03</v>
      </c>
      <c r="H195" s="53" t="n">
        <f aca="false">E195*G195</f>
        <v>7.5</v>
      </c>
      <c r="I195" s="54" t="n">
        <f aca="false">IFERROR(INDEX('4. PRODUCCIÓN'!$D$8:$D$32,MATCH($A195,'4. PRODUCCIÓN'!$B$8:$B$32,0)),0)</f>
        <v>0</v>
      </c>
      <c r="J195" s="51" t="n">
        <f aca="false">E195*I195</f>
        <v>0</v>
      </c>
      <c r="K195" s="55" t="s">
        <v>251</v>
      </c>
    </row>
    <row r="196" customFormat="false" ht="15" hidden="false" customHeight="false" outlineLevel="0" collapsed="false">
      <c r="A196" s="50" t="n">
        <v>18</v>
      </c>
      <c r="B196" s="41" t="s">
        <v>318</v>
      </c>
      <c r="C196" s="50" t="s">
        <v>240</v>
      </c>
      <c r="D196" s="41" t="s">
        <v>139</v>
      </c>
      <c r="E196" s="51" t="n">
        <v>60</v>
      </c>
      <c r="F196" s="50" t="s">
        <v>90</v>
      </c>
      <c r="G196" s="52" t="n">
        <f aca="false">IFERROR(INDEX('1. INSUMOS'!$H$8:$H$98,MATCH($D196,'1. INSUMOS'!$B$8:$B$98,0)),0)</f>
        <v>0.164705882352941</v>
      </c>
      <c r="H196" s="53" t="n">
        <f aca="false">E196*G196</f>
        <v>9.88235294117647</v>
      </c>
      <c r="I196" s="54" t="n">
        <f aca="false">IFERROR(INDEX('4. PRODUCCIÓN'!$D$8:$D$32,MATCH($A196,'4. PRODUCCIÓN'!$B$8:$B$32,0)),0)</f>
        <v>0</v>
      </c>
      <c r="J196" s="51" t="n">
        <f aca="false">E196*I196</f>
        <v>0</v>
      </c>
      <c r="K196" s="55" t="s">
        <v>319</v>
      </c>
    </row>
    <row r="197" customFormat="false" ht="15" hidden="false" customHeight="false" outlineLevel="0" collapsed="false">
      <c r="A197" s="50" t="n">
        <v>18</v>
      </c>
      <c r="B197" s="41" t="s">
        <v>318</v>
      </c>
      <c r="C197" s="50" t="s">
        <v>240</v>
      </c>
      <c r="D197" s="41" t="s">
        <v>130</v>
      </c>
      <c r="E197" s="51" t="n">
        <v>10</v>
      </c>
      <c r="F197" s="50" t="s">
        <v>90</v>
      </c>
      <c r="G197" s="52" t="n">
        <f aca="false">IFERROR(INDEX('1. INSUMOS'!$H$8:$H$98,MATCH($D197,'1. INSUMOS'!$B$8:$B$98,0)),0)</f>
        <v>0.09</v>
      </c>
      <c r="H197" s="53" t="n">
        <f aca="false">E197*G197</f>
        <v>0.9</v>
      </c>
      <c r="I197" s="54" t="n">
        <f aca="false">IFERROR(INDEX('4. PRODUCCIÓN'!$D$8:$D$32,MATCH($A197,'4. PRODUCCIÓN'!$B$8:$B$32,0)),0)</f>
        <v>0</v>
      </c>
      <c r="J197" s="51" t="n">
        <f aca="false">E197*I197</f>
        <v>0</v>
      </c>
      <c r="K197" s="55" t="s">
        <v>253</v>
      </c>
    </row>
    <row r="198" customFormat="false" ht="15" hidden="false" customHeight="false" outlineLevel="0" collapsed="false">
      <c r="A198" s="50" t="n">
        <v>18</v>
      </c>
      <c r="B198" s="41" t="s">
        <v>318</v>
      </c>
      <c r="C198" s="50" t="s">
        <v>240</v>
      </c>
      <c r="D198" s="41" t="s">
        <v>133</v>
      </c>
      <c r="E198" s="51" t="n">
        <v>5</v>
      </c>
      <c r="F198" s="50" t="s">
        <v>90</v>
      </c>
      <c r="G198" s="52" t="n">
        <f aca="false">IFERROR(INDEX('1. INSUMOS'!$H$8:$H$98,MATCH($D198,'1. INSUMOS'!$B$8:$B$98,0)),0)</f>
        <v>0.13</v>
      </c>
      <c r="H198" s="53" t="n">
        <f aca="false">E198*G198</f>
        <v>0.65</v>
      </c>
      <c r="I198" s="54" t="n">
        <f aca="false">IFERROR(INDEX('4. PRODUCCIÓN'!$D$8:$D$32,MATCH($A198,'4. PRODUCCIÓN'!$B$8:$B$32,0)),0)</f>
        <v>0</v>
      </c>
      <c r="J198" s="51" t="n">
        <f aca="false">E198*I198</f>
        <v>0</v>
      </c>
      <c r="K198" s="55" t="s">
        <v>133</v>
      </c>
    </row>
    <row r="199" customFormat="false" ht="15" hidden="false" customHeight="false" outlineLevel="0" collapsed="false">
      <c r="A199" s="50" t="n">
        <v>18</v>
      </c>
      <c r="B199" s="41" t="s">
        <v>318</v>
      </c>
      <c r="C199" s="50" t="s">
        <v>240</v>
      </c>
      <c r="D199" s="41" t="s">
        <v>195</v>
      </c>
      <c r="E199" s="51" t="n">
        <v>4</v>
      </c>
      <c r="F199" s="50" t="s">
        <v>90</v>
      </c>
      <c r="G199" s="52" t="n">
        <f aca="false">IFERROR(INDEX('1. INSUMOS'!$H$8:$H$98,MATCH($D199,'1. INSUMOS'!$B$8:$B$98,0)),0)</f>
        <v>0.02</v>
      </c>
      <c r="H199" s="53" t="n">
        <f aca="false">E199*G199</f>
        <v>0.08</v>
      </c>
      <c r="I199" s="54" t="n">
        <f aca="false">IFERROR(INDEX('4. PRODUCCIÓN'!$D$8:$D$32,MATCH($A199,'4. PRODUCCIÓN'!$B$8:$B$32,0)),0)</f>
        <v>0</v>
      </c>
      <c r="J199" s="51" t="n">
        <f aca="false">E199*I199</f>
        <v>0</v>
      </c>
      <c r="K199" s="55" t="s">
        <v>195</v>
      </c>
    </row>
    <row r="200" customFormat="false" ht="15" hidden="false" customHeight="false" outlineLevel="0" collapsed="false">
      <c r="A200" s="50" t="n">
        <v>18</v>
      </c>
      <c r="B200" s="41" t="s">
        <v>318</v>
      </c>
      <c r="C200" s="50" t="s">
        <v>240</v>
      </c>
      <c r="D200" s="41" t="s">
        <v>146</v>
      </c>
      <c r="E200" s="51" t="n">
        <v>150</v>
      </c>
      <c r="F200" s="50" t="s">
        <v>90</v>
      </c>
      <c r="G200" s="52" t="n">
        <f aca="false">IFERROR(INDEX('1. INSUMOS'!$H$8:$H$98,MATCH($D200,'1. INSUMOS'!$B$8:$B$98,0)),0)</f>
        <v>0.21</v>
      </c>
      <c r="H200" s="53" t="n">
        <f aca="false">E200*G200</f>
        <v>31.5</v>
      </c>
      <c r="I200" s="54" t="n">
        <f aca="false">IFERROR(INDEX('4. PRODUCCIÓN'!$D$8:$D$32,MATCH($A200,'4. PRODUCCIÓN'!$B$8:$B$32,0)),0)</f>
        <v>0</v>
      </c>
      <c r="J200" s="51" t="n">
        <f aca="false">E200*I200</f>
        <v>0</v>
      </c>
      <c r="K200" s="55" t="s">
        <v>284</v>
      </c>
    </row>
    <row r="201" customFormat="false" ht="15" hidden="false" customHeight="false" outlineLevel="0" collapsed="false">
      <c r="A201" s="44" t="n">
        <v>19</v>
      </c>
      <c r="B201" s="43" t="s">
        <v>320</v>
      </c>
      <c r="C201" s="44" t="s">
        <v>240</v>
      </c>
      <c r="D201" s="43" t="s">
        <v>88</v>
      </c>
      <c r="E201" s="45" t="n">
        <v>180</v>
      </c>
      <c r="F201" s="44" t="s">
        <v>90</v>
      </c>
      <c r="G201" s="46" t="n">
        <f aca="false">IFERROR(INDEX('1. INSUMOS'!$H$8:$H$98,MATCH($D201,'1. INSUMOS'!$B$8:$B$98,0)),0)</f>
        <v>0.21</v>
      </c>
      <c r="H201" s="47" t="n">
        <f aca="false">E201*G201</f>
        <v>37.8</v>
      </c>
      <c r="I201" s="48" t="n">
        <f aca="false">IFERROR(INDEX('4. PRODUCCIÓN'!$D$8:$D$32,MATCH($A201,'4. PRODUCCIÓN'!$B$8:$B$32,0)),0)</f>
        <v>0</v>
      </c>
      <c r="J201" s="45" t="n">
        <f aca="false">E201*I201</f>
        <v>0</v>
      </c>
      <c r="K201" s="49" t="s">
        <v>249</v>
      </c>
    </row>
    <row r="202" customFormat="false" ht="15" hidden="false" customHeight="false" outlineLevel="0" collapsed="false">
      <c r="A202" s="44" t="n">
        <v>19</v>
      </c>
      <c r="B202" s="43" t="s">
        <v>320</v>
      </c>
      <c r="C202" s="44" t="s">
        <v>240</v>
      </c>
      <c r="D202" s="43" t="s">
        <v>108</v>
      </c>
      <c r="E202" s="45" t="n">
        <v>150</v>
      </c>
      <c r="F202" s="44" t="s">
        <v>90</v>
      </c>
      <c r="G202" s="46" t="n">
        <f aca="false">IFERROR(INDEX('1. INSUMOS'!$H$8:$H$98,MATCH($D202,'1. INSUMOS'!$B$8:$B$98,0)),0)</f>
        <v>0.052</v>
      </c>
      <c r="H202" s="47" t="n">
        <f aca="false">E202*G202</f>
        <v>7.8</v>
      </c>
      <c r="I202" s="48" t="n">
        <f aca="false">IFERROR(INDEX('4. PRODUCCIÓN'!$D$8:$D$32,MATCH($A202,'4. PRODUCCIÓN'!$B$8:$B$32,0)),0)</f>
        <v>0</v>
      </c>
      <c r="J202" s="45" t="n">
        <f aca="false">E202*I202</f>
        <v>0</v>
      </c>
      <c r="K202" s="49" t="s">
        <v>108</v>
      </c>
    </row>
    <row r="203" customFormat="false" ht="15" hidden="false" customHeight="false" outlineLevel="0" collapsed="false">
      <c r="A203" s="44" t="n">
        <v>19</v>
      </c>
      <c r="B203" s="43" t="s">
        <v>320</v>
      </c>
      <c r="C203" s="44" t="s">
        <v>240</v>
      </c>
      <c r="D203" s="43" t="s">
        <v>105</v>
      </c>
      <c r="E203" s="45" t="n">
        <v>100</v>
      </c>
      <c r="F203" s="44" t="s">
        <v>90</v>
      </c>
      <c r="G203" s="46" t="n">
        <f aca="false">IFERROR(INDEX('1. INSUMOS'!$H$8:$H$98,MATCH($D203,'1. INSUMOS'!$B$8:$B$98,0)),0)</f>
        <v>0.03</v>
      </c>
      <c r="H203" s="47" t="n">
        <f aca="false">E203*G203</f>
        <v>3</v>
      </c>
      <c r="I203" s="48" t="n">
        <f aca="false">IFERROR(INDEX('4. PRODUCCIÓN'!$D$8:$D$32,MATCH($A203,'4. PRODUCCIÓN'!$B$8:$B$32,0)),0)</f>
        <v>0</v>
      </c>
      <c r="J203" s="45" t="n">
        <f aca="false">E203*I203</f>
        <v>0</v>
      </c>
      <c r="K203" s="49" t="s">
        <v>105</v>
      </c>
    </row>
    <row r="204" customFormat="false" ht="15" hidden="false" customHeight="false" outlineLevel="0" collapsed="false">
      <c r="A204" s="44" t="n">
        <v>19</v>
      </c>
      <c r="B204" s="43" t="s">
        <v>320</v>
      </c>
      <c r="C204" s="44" t="s">
        <v>240</v>
      </c>
      <c r="D204" s="43" t="s">
        <v>142</v>
      </c>
      <c r="E204" s="45" t="n">
        <v>2</v>
      </c>
      <c r="F204" s="44" t="s">
        <v>144</v>
      </c>
      <c r="G204" s="46" t="n">
        <f aca="false">IFERROR(INDEX('1. INSUMOS'!$H$8:$H$98,MATCH($D204,'1. INSUMOS'!$B$8:$B$98,0)),0)</f>
        <v>3.2</v>
      </c>
      <c r="H204" s="47" t="n">
        <f aca="false">E204*G204</f>
        <v>6.4</v>
      </c>
      <c r="I204" s="48" t="n">
        <f aca="false">IFERROR(INDEX('4. PRODUCCIÓN'!$D$8:$D$32,MATCH($A204,'4. PRODUCCIÓN'!$B$8:$B$32,0)),0)</f>
        <v>0</v>
      </c>
      <c r="J204" s="45" t="n">
        <f aca="false">E204*I204</f>
        <v>0</v>
      </c>
      <c r="K204" s="49" t="s">
        <v>250</v>
      </c>
    </row>
    <row r="205" customFormat="false" ht="15" hidden="false" customHeight="false" outlineLevel="0" collapsed="false">
      <c r="A205" s="44" t="n">
        <v>19</v>
      </c>
      <c r="B205" s="43" t="s">
        <v>320</v>
      </c>
      <c r="C205" s="44" t="s">
        <v>240</v>
      </c>
      <c r="D205" s="43" t="s">
        <v>126</v>
      </c>
      <c r="E205" s="45" t="n">
        <v>310</v>
      </c>
      <c r="F205" s="44" t="s">
        <v>90</v>
      </c>
      <c r="G205" s="46" t="n">
        <f aca="false">IFERROR(INDEX('1. INSUMOS'!$H$8:$H$98,MATCH($D205,'1. INSUMOS'!$B$8:$B$98,0)),0)</f>
        <v>0.03</v>
      </c>
      <c r="H205" s="47" t="n">
        <f aca="false">E205*G205</f>
        <v>9.3</v>
      </c>
      <c r="I205" s="48" t="n">
        <f aca="false">IFERROR(INDEX('4. PRODUCCIÓN'!$D$8:$D$32,MATCH($A205,'4. PRODUCCIÓN'!$B$8:$B$32,0)),0)</f>
        <v>0</v>
      </c>
      <c r="J205" s="45" t="n">
        <f aca="false">E205*I205</f>
        <v>0</v>
      </c>
      <c r="K205" s="49" t="s">
        <v>126</v>
      </c>
    </row>
    <row r="206" customFormat="false" ht="15" hidden="false" customHeight="false" outlineLevel="0" collapsed="false">
      <c r="A206" s="44" t="n">
        <v>19</v>
      </c>
      <c r="B206" s="43" t="s">
        <v>320</v>
      </c>
      <c r="C206" s="44" t="s">
        <v>240</v>
      </c>
      <c r="D206" s="43" t="s">
        <v>130</v>
      </c>
      <c r="E206" s="45" t="n">
        <v>10</v>
      </c>
      <c r="F206" s="44" t="s">
        <v>90</v>
      </c>
      <c r="G206" s="46" t="n">
        <f aca="false">IFERROR(INDEX('1. INSUMOS'!$H$8:$H$98,MATCH($D206,'1. INSUMOS'!$B$8:$B$98,0)),0)</f>
        <v>0.09</v>
      </c>
      <c r="H206" s="47" t="n">
        <f aca="false">E206*G206</f>
        <v>0.9</v>
      </c>
      <c r="I206" s="48" t="n">
        <f aca="false">IFERROR(INDEX('4. PRODUCCIÓN'!$D$8:$D$32,MATCH($A206,'4. PRODUCCIÓN'!$B$8:$B$32,0)),0)</f>
        <v>0</v>
      </c>
      <c r="J206" s="45" t="n">
        <f aca="false">E206*I206</f>
        <v>0</v>
      </c>
      <c r="K206" s="49" t="s">
        <v>253</v>
      </c>
    </row>
    <row r="207" customFormat="false" ht="15" hidden="false" customHeight="false" outlineLevel="0" collapsed="false">
      <c r="A207" s="44" t="n">
        <v>19</v>
      </c>
      <c r="B207" s="43" t="s">
        <v>320</v>
      </c>
      <c r="C207" s="44" t="s">
        <v>240</v>
      </c>
      <c r="D207" s="43" t="s">
        <v>133</v>
      </c>
      <c r="E207" s="45" t="n">
        <v>5</v>
      </c>
      <c r="F207" s="44" t="s">
        <v>90</v>
      </c>
      <c r="G207" s="46" t="n">
        <f aca="false">IFERROR(INDEX('1. INSUMOS'!$H$8:$H$98,MATCH($D207,'1. INSUMOS'!$B$8:$B$98,0)),0)</f>
        <v>0.13</v>
      </c>
      <c r="H207" s="47" t="n">
        <f aca="false">E207*G207</f>
        <v>0.65</v>
      </c>
      <c r="I207" s="48" t="n">
        <f aca="false">IFERROR(INDEX('4. PRODUCCIÓN'!$D$8:$D$32,MATCH($A207,'4. PRODUCCIÓN'!$B$8:$B$32,0)),0)</f>
        <v>0</v>
      </c>
      <c r="J207" s="45" t="n">
        <f aca="false">E207*I207</f>
        <v>0</v>
      </c>
      <c r="K207" s="49" t="s">
        <v>133</v>
      </c>
    </row>
    <row r="208" customFormat="false" ht="15" hidden="false" customHeight="false" outlineLevel="0" collapsed="false">
      <c r="A208" s="44" t="n">
        <v>19</v>
      </c>
      <c r="B208" s="43" t="s">
        <v>320</v>
      </c>
      <c r="C208" s="44" t="s">
        <v>240</v>
      </c>
      <c r="D208" s="43" t="s">
        <v>195</v>
      </c>
      <c r="E208" s="45" t="n">
        <v>4</v>
      </c>
      <c r="F208" s="44" t="s">
        <v>90</v>
      </c>
      <c r="G208" s="46" t="n">
        <f aca="false">IFERROR(INDEX('1. INSUMOS'!$H$8:$H$98,MATCH($D208,'1. INSUMOS'!$B$8:$B$98,0)),0)</f>
        <v>0.02</v>
      </c>
      <c r="H208" s="47" t="n">
        <f aca="false">E208*G208</f>
        <v>0.08</v>
      </c>
      <c r="I208" s="48" t="n">
        <f aca="false">IFERROR(INDEX('4. PRODUCCIÓN'!$D$8:$D$32,MATCH($A208,'4. PRODUCCIÓN'!$B$8:$B$32,0)),0)</f>
        <v>0</v>
      </c>
      <c r="J208" s="45" t="n">
        <f aca="false">E208*I208</f>
        <v>0</v>
      </c>
      <c r="K208" s="49" t="s">
        <v>195</v>
      </c>
    </row>
    <row r="209" customFormat="false" ht="15" hidden="false" customHeight="false" outlineLevel="0" collapsed="false">
      <c r="A209" s="44" t="n">
        <v>19</v>
      </c>
      <c r="B209" s="43" t="s">
        <v>320</v>
      </c>
      <c r="C209" s="44" t="s">
        <v>240</v>
      </c>
      <c r="D209" s="43" t="s">
        <v>169</v>
      </c>
      <c r="E209" s="45" t="n">
        <v>120</v>
      </c>
      <c r="F209" s="44" t="s">
        <v>90</v>
      </c>
      <c r="G209" s="46" t="n">
        <f aca="false">IFERROR(INDEX('1. INSUMOS'!$H$8:$H$98,MATCH($D209,'1. INSUMOS'!$B$8:$B$98,0)),0)</f>
        <v>0.45</v>
      </c>
      <c r="H209" s="47" t="n">
        <f aca="false">E209*G209</f>
        <v>54</v>
      </c>
      <c r="I209" s="48" t="n">
        <f aca="false">IFERROR(INDEX('4. PRODUCCIÓN'!$D$8:$D$32,MATCH($A209,'4. PRODUCCIÓN'!$B$8:$B$32,0)),0)</f>
        <v>0</v>
      </c>
      <c r="J209" s="45" t="n">
        <f aca="false">E209*I209</f>
        <v>0</v>
      </c>
      <c r="K209" s="49" t="s">
        <v>321</v>
      </c>
    </row>
    <row r="210" customFormat="false" ht="15" hidden="false" customHeight="false" outlineLevel="0" collapsed="false">
      <c r="A210" s="44" t="n">
        <v>19</v>
      </c>
      <c r="B210" s="43" t="s">
        <v>320</v>
      </c>
      <c r="C210" s="44" t="s">
        <v>240</v>
      </c>
      <c r="D210" s="43" t="s">
        <v>157</v>
      </c>
      <c r="E210" s="45" t="n">
        <v>50</v>
      </c>
      <c r="F210" s="44" t="s">
        <v>90</v>
      </c>
      <c r="G210" s="46" t="n">
        <f aca="false">IFERROR(INDEX('1. INSUMOS'!$H$8:$H$98,MATCH($D210,'1. INSUMOS'!$B$8:$B$98,0)),0)</f>
        <v>0.165</v>
      </c>
      <c r="H210" s="47" t="n">
        <f aca="false">E210*G210</f>
        <v>8.25</v>
      </c>
      <c r="I210" s="48" t="n">
        <f aca="false">IFERROR(INDEX('4. PRODUCCIÓN'!$D$8:$D$32,MATCH($A210,'4. PRODUCCIÓN'!$B$8:$B$32,0)),0)</f>
        <v>0</v>
      </c>
      <c r="J210" s="45" t="n">
        <f aca="false">E210*I210</f>
        <v>0</v>
      </c>
      <c r="K210" s="49" t="s">
        <v>157</v>
      </c>
    </row>
    <row r="211" customFormat="false" ht="15" hidden="false" customHeight="false" outlineLevel="0" collapsed="false">
      <c r="A211" s="44" t="n">
        <v>19</v>
      </c>
      <c r="B211" s="43" t="s">
        <v>320</v>
      </c>
      <c r="C211" s="44" t="s">
        <v>313</v>
      </c>
      <c r="D211" s="43" t="s">
        <v>116</v>
      </c>
      <c r="E211" s="45" t="n">
        <v>120</v>
      </c>
      <c r="F211" s="44" t="s">
        <v>90</v>
      </c>
      <c r="G211" s="46" t="n">
        <f aca="false">IFERROR(INDEX('1. INSUMOS'!$H$8:$H$98,MATCH($D211,'1. INSUMOS'!$B$8:$B$98,0)),0)</f>
        <v>0.153125</v>
      </c>
      <c r="H211" s="47" t="n">
        <f aca="false">E211*G211</f>
        <v>18.375</v>
      </c>
      <c r="I211" s="48" t="n">
        <f aca="false">IFERROR(INDEX('4. PRODUCCIÓN'!$D$8:$D$32,MATCH($A211,'4. PRODUCCIÓN'!$B$8:$B$32,0)),0)</f>
        <v>0</v>
      </c>
      <c r="J211" s="45" t="n">
        <f aca="false">E211*I211</f>
        <v>0</v>
      </c>
      <c r="K211" s="49" t="s">
        <v>322</v>
      </c>
    </row>
    <row r="212" customFormat="false" ht="15" hidden="false" customHeight="false" outlineLevel="0" collapsed="false">
      <c r="A212" s="50" t="n">
        <v>20</v>
      </c>
      <c r="B212" s="41" t="s">
        <v>323</v>
      </c>
      <c r="C212" s="50" t="s">
        <v>240</v>
      </c>
      <c r="D212" s="41" t="s">
        <v>88</v>
      </c>
      <c r="E212" s="51" t="n">
        <v>160</v>
      </c>
      <c r="F212" s="50" t="s">
        <v>90</v>
      </c>
      <c r="G212" s="52" t="n">
        <f aca="false">IFERROR(INDEX('1. INSUMOS'!$H$8:$H$98,MATCH($D212,'1. INSUMOS'!$B$8:$B$98,0)),0)</f>
        <v>0.21</v>
      </c>
      <c r="H212" s="53" t="n">
        <f aca="false">E212*G212</f>
        <v>33.6</v>
      </c>
      <c r="I212" s="54" t="n">
        <f aca="false">IFERROR(INDEX('4. PRODUCCIÓN'!$D$8:$D$32,MATCH($A212,'4. PRODUCCIÓN'!$B$8:$B$32,0)),0)</f>
        <v>0</v>
      </c>
      <c r="J212" s="51" t="n">
        <f aca="false">E212*I212</f>
        <v>0</v>
      </c>
      <c r="K212" s="55" t="s">
        <v>249</v>
      </c>
    </row>
    <row r="213" customFormat="false" ht="15" hidden="false" customHeight="false" outlineLevel="0" collapsed="false">
      <c r="A213" s="50" t="n">
        <v>20</v>
      </c>
      <c r="B213" s="41" t="s">
        <v>323</v>
      </c>
      <c r="C213" s="50" t="s">
        <v>240</v>
      </c>
      <c r="D213" s="41" t="s">
        <v>180</v>
      </c>
      <c r="E213" s="51" t="n">
        <v>50</v>
      </c>
      <c r="F213" s="50" t="s">
        <v>90</v>
      </c>
      <c r="G213" s="52" t="n">
        <f aca="false">IFERROR(INDEX('1. INSUMOS'!$H$8:$H$98,MATCH($D213,'1. INSUMOS'!$B$8:$B$98,0)),0)</f>
        <v>2.125</v>
      </c>
      <c r="H213" s="53" t="n">
        <f aca="false">E213*G213</f>
        <v>106.25</v>
      </c>
      <c r="I213" s="54" t="n">
        <f aca="false">IFERROR(INDEX('4. PRODUCCIÓN'!$D$8:$D$32,MATCH($A213,'4. PRODUCCIÓN'!$B$8:$B$32,0)),0)</f>
        <v>0</v>
      </c>
      <c r="J213" s="51" t="n">
        <f aca="false">E213*I213</f>
        <v>0</v>
      </c>
      <c r="K213" s="55" t="s">
        <v>324</v>
      </c>
    </row>
    <row r="214" customFormat="false" ht="15" hidden="false" customHeight="false" outlineLevel="0" collapsed="false">
      <c r="A214" s="50" t="n">
        <v>20</v>
      </c>
      <c r="B214" s="41" t="s">
        <v>323</v>
      </c>
      <c r="C214" s="50" t="s">
        <v>240</v>
      </c>
      <c r="D214" s="41" t="s">
        <v>108</v>
      </c>
      <c r="E214" s="51" t="n">
        <v>120</v>
      </c>
      <c r="F214" s="50" t="s">
        <v>90</v>
      </c>
      <c r="G214" s="52" t="n">
        <f aca="false">IFERROR(INDEX('1. INSUMOS'!$H$8:$H$98,MATCH($D214,'1. INSUMOS'!$B$8:$B$98,0)),0)</f>
        <v>0.052</v>
      </c>
      <c r="H214" s="53" t="n">
        <f aca="false">E214*G214</f>
        <v>6.24</v>
      </c>
      <c r="I214" s="54" t="n">
        <f aca="false">IFERROR(INDEX('4. PRODUCCIÓN'!$D$8:$D$32,MATCH($A214,'4. PRODUCCIÓN'!$B$8:$B$32,0)),0)</f>
        <v>0</v>
      </c>
      <c r="J214" s="51" t="n">
        <f aca="false">E214*I214</f>
        <v>0</v>
      </c>
      <c r="K214" s="55" t="s">
        <v>270</v>
      </c>
    </row>
    <row r="215" customFormat="false" ht="15" hidden="false" customHeight="false" outlineLevel="0" collapsed="false">
      <c r="A215" s="50" t="n">
        <v>20</v>
      </c>
      <c r="B215" s="41" t="s">
        <v>323</v>
      </c>
      <c r="C215" s="50" t="s">
        <v>240</v>
      </c>
      <c r="D215" s="41" t="s">
        <v>105</v>
      </c>
      <c r="E215" s="51" t="n">
        <v>120</v>
      </c>
      <c r="F215" s="50" t="s">
        <v>90</v>
      </c>
      <c r="G215" s="52" t="n">
        <f aca="false">IFERROR(INDEX('1. INSUMOS'!$H$8:$H$98,MATCH($D215,'1. INSUMOS'!$B$8:$B$98,0)),0)</f>
        <v>0.03</v>
      </c>
      <c r="H215" s="53" t="n">
        <f aca="false">E215*G215</f>
        <v>3.6</v>
      </c>
      <c r="I215" s="54" t="n">
        <f aca="false">IFERROR(INDEX('4. PRODUCCIÓN'!$D$8:$D$32,MATCH($A215,'4. PRODUCCIÓN'!$B$8:$B$32,0)),0)</f>
        <v>0</v>
      </c>
      <c r="J215" s="51" t="n">
        <f aca="false">E215*I215</f>
        <v>0</v>
      </c>
      <c r="K215" s="55" t="s">
        <v>105</v>
      </c>
    </row>
    <row r="216" customFormat="false" ht="15" hidden="false" customHeight="false" outlineLevel="0" collapsed="false">
      <c r="A216" s="50" t="n">
        <v>20</v>
      </c>
      <c r="B216" s="41" t="s">
        <v>323</v>
      </c>
      <c r="C216" s="50" t="s">
        <v>240</v>
      </c>
      <c r="D216" s="41" t="s">
        <v>142</v>
      </c>
      <c r="E216" s="51" t="n">
        <v>2</v>
      </c>
      <c r="F216" s="50" t="s">
        <v>144</v>
      </c>
      <c r="G216" s="52" t="n">
        <f aca="false">IFERROR(INDEX('1. INSUMOS'!$H$8:$H$98,MATCH($D216,'1. INSUMOS'!$B$8:$B$98,0)),0)</f>
        <v>3.2</v>
      </c>
      <c r="H216" s="53" t="n">
        <f aca="false">E216*G216</f>
        <v>6.4</v>
      </c>
      <c r="I216" s="54" t="n">
        <f aca="false">IFERROR(INDEX('4. PRODUCCIÓN'!$D$8:$D$32,MATCH($A216,'4. PRODUCCIÓN'!$B$8:$B$32,0)),0)</f>
        <v>0</v>
      </c>
      <c r="J216" s="51" t="n">
        <f aca="false">E216*I216</f>
        <v>0</v>
      </c>
      <c r="K216" s="55" t="s">
        <v>250</v>
      </c>
    </row>
    <row r="217" customFormat="false" ht="15" hidden="false" customHeight="false" outlineLevel="0" collapsed="false">
      <c r="A217" s="50" t="n">
        <v>20</v>
      </c>
      <c r="B217" s="41" t="s">
        <v>323</v>
      </c>
      <c r="C217" s="50" t="s">
        <v>240</v>
      </c>
      <c r="D217" s="41" t="s">
        <v>126</v>
      </c>
      <c r="E217" s="51" t="n">
        <v>300</v>
      </c>
      <c r="F217" s="50" t="s">
        <v>90</v>
      </c>
      <c r="G217" s="52" t="n">
        <f aca="false">IFERROR(INDEX('1. INSUMOS'!$H$8:$H$98,MATCH($D217,'1. INSUMOS'!$B$8:$B$98,0)),0)</f>
        <v>0.03</v>
      </c>
      <c r="H217" s="53" t="n">
        <f aca="false">E217*G217</f>
        <v>9</v>
      </c>
      <c r="I217" s="54" t="n">
        <f aca="false">IFERROR(INDEX('4. PRODUCCIÓN'!$D$8:$D$32,MATCH($A217,'4. PRODUCCIÓN'!$B$8:$B$32,0)),0)</f>
        <v>0</v>
      </c>
      <c r="J217" s="51" t="n">
        <f aca="false">E217*I217</f>
        <v>0</v>
      </c>
      <c r="K217" s="55" t="s">
        <v>126</v>
      </c>
    </row>
    <row r="218" customFormat="false" ht="15" hidden="false" customHeight="false" outlineLevel="0" collapsed="false">
      <c r="A218" s="50" t="n">
        <v>20</v>
      </c>
      <c r="B218" s="41" t="s">
        <v>323</v>
      </c>
      <c r="C218" s="50" t="s">
        <v>240</v>
      </c>
      <c r="D218" s="41" t="s">
        <v>130</v>
      </c>
      <c r="E218" s="51" t="n">
        <v>10</v>
      </c>
      <c r="F218" s="50" t="s">
        <v>90</v>
      </c>
      <c r="G218" s="52" t="n">
        <f aca="false">IFERROR(INDEX('1. INSUMOS'!$H$8:$H$98,MATCH($D218,'1. INSUMOS'!$B$8:$B$98,0)),0)</f>
        <v>0.09</v>
      </c>
      <c r="H218" s="53" t="n">
        <f aca="false">E218*G218</f>
        <v>0.9</v>
      </c>
      <c r="I218" s="54" t="n">
        <f aca="false">IFERROR(INDEX('4. PRODUCCIÓN'!$D$8:$D$32,MATCH($A218,'4. PRODUCCIÓN'!$B$8:$B$32,0)),0)</f>
        <v>0</v>
      </c>
      <c r="J218" s="51" t="n">
        <f aca="false">E218*I218</f>
        <v>0</v>
      </c>
      <c r="K218" s="55" t="s">
        <v>253</v>
      </c>
    </row>
    <row r="219" customFormat="false" ht="15" hidden="false" customHeight="false" outlineLevel="0" collapsed="false">
      <c r="A219" s="50" t="n">
        <v>20</v>
      </c>
      <c r="B219" s="41" t="s">
        <v>323</v>
      </c>
      <c r="C219" s="50" t="s">
        <v>240</v>
      </c>
      <c r="D219" s="41" t="s">
        <v>133</v>
      </c>
      <c r="E219" s="51" t="n">
        <v>5</v>
      </c>
      <c r="F219" s="50" t="s">
        <v>90</v>
      </c>
      <c r="G219" s="52" t="n">
        <f aca="false">IFERROR(INDEX('1. INSUMOS'!$H$8:$H$98,MATCH($D219,'1. INSUMOS'!$B$8:$B$98,0)),0)</f>
        <v>0.13</v>
      </c>
      <c r="H219" s="53" t="n">
        <f aca="false">E219*G219</f>
        <v>0.65</v>
      </c>
      <c r="I219" s="54" t="n">
        <f aca="false">IFERROR(INDEX('4. PRODUCCIÓN'!$D$8:$D$32,MATCH($A219,'4. PRODUCCIÓN'!$B$8:$B$32,0)),0)</f>
        <v>0</v>
      </c>
      <c r="J219" s="51" t="n">
        <f aca="false">E219*I219</f>
        <v>0</v>
      </c>
      <c r="K219" s="55" t="s">
        <v>133</v>
      </c>
    </row>
    <row r="220" customFormat="false" ht="15" hidden="false" customHeight="false" outlineLevel="0" collapsed="false">
      <c r="A220" s="50" t="n">
        <v>20</v>
      </c>
      <c r="B220" s="41" t="s">
        <v>323</v>
      </c>
      <c r="C220" s="50" t="s">
        <v>240</v>
      </c>
      <c r="D220" s="41" t="s">
        <v>195</v>
      </c>
      <c r="E220" s="51" t="n">
        <v>4</v>
      </c>
      <c r="F220" s="50" t="s">
        <v>90</v>
      </c>
      <c r="G220" s="52" t="n">
        <f aca="false">IFERROR(INDEX('1. INSUMOS'!$H$8:$H$98,MATCH($D220,'1. INSUMOS'!$B$8:$B$98,0)),0)</f>
        <v>0.02</v>
      </c>
      <c r="H220" s="53" t="n">
        <f aca="false">E220*G220</f>
        <v>0.08</v>
      </c>
      <c r="I220" s="54" t="n">
        <f aca="false">IFERROR(INDEX('4. PRODUCCIÓN'!$D$8:$D$32,MATCH($A220,'4. PRODUCCIÓN'!$B$8:$B$32,0)),0)</f>
        <v>0</v>
      </c>
      <c r="J220" s="51" t="n">
        <f aca="false">E220*I220</f>
        <v>0</v>
      </c>
      <c r="K220" s="55" t="s">
        <v>195</v>
      </c>
    </row>
    <row r="221" customFormat="false" ht="15" hidden="false" customHeight="false" outlineLevel="0" collapsed="false">
      <c r="A221" s="50" t="n">
        <v>20</v>
      </c>
      <c r="B221" s="41" t="s">
        <v>323</v>
      </c>
      <c r="C221" s="50" t="s">
        <v>240</v>
      </c>
      <c r="D221" s="41" t="s">
        <v>176</v>
      </c>
      <c r="E221" s="51" t="n">
        <v>80</v>
      </c>
      <c r="F221" s="50" t="s">
        <v>90</v>
      </c>
      <c r="G221" s="52" t="n">
        <f aca="false">IFERROR(INDEX('1. INSUMOS'!$H$8:$H$98,MATCH($D221,'1. INSUMOS'!$B$8:$B$98,0)),0)</f>
        <v>0.78</v>
      </c>
      <c r="H221" s="53" t="n">
        <f aca="false">E221*G221</f>
        <v>62.4</v>
      </c>
      <c r="I221" s="54" t="n">
        <f aca="false">IFERROR(INDEX('4. PRODUCCIÓN'!$D$8:$D$32,MATCH($A221,'4. PRODUCCIÓN'!$B$8:$B$32,0)),0)</f>
        <v>0</v>
      </c>
      <c r="J221" s="51" t="n">
        <f aca="false">E221*I221</f>
        <v>0</v>
      </c>
      <c r="K221" s="55" t="s">
        <v>325</v>
      </c>
    </row>
    <row r="222" customFormat="false" ht="15" hidden="false" customHeight="false" outlineLevel="0" collapsed="false">
      <c r="A222" s="50" t="n">
        <v>20</v>
      </c>
      <c r="B222" s="41" t="s">
        <v>323</v>
      </c>
      <c r="C222" s="50" t="s">
        <v>313</v>
      </c>
      <c r="D222" s="41" t="s">
        <v>149</v>
      </c>
      <c r="E222" s="51" t="n">
        <v>100</v>
      </c>
      <c r="F222" s="50" t="s">
        <v>90</v>
      </c>
      <c r="G222" s="52" t="n">
        <f aca="false">IFERROR(INDEX('1. INSUMOS'!$H$8:$H$98,MATCH($D222,'1. INSUMOS'!$B$8:$B$98,0)),0)</f>
        <v>0.235</v>
      </c>
      <c r="H222" s="53" t="n">
        <f aca="false">E222*G222</f>
        <v>23.5</v>
      </c>
      <c r="I222" s="54" t="n">
        <f aca="false">IFERROR(INDEX('4. PRODUCCIÓN'!$D$8:$D$32,MATCH($A222,'4. PRODUCCIÓN'!$B$8:$B$32,0)),0)</f>
        <v>0</v>
      </c>
      <c r="J222" s="51" t="n">
        <f aca="false">E222*I222</f>
        <v>0</v>
      </c>
      <c r="K222" s="55" t="s">
        <v>326</v>
      </c>
    </row>
    <row r="223" customFormat="false" ht="15" hidden="false" customHeight="false" outlineLevel="0" collapsed="false">
      <c r="A223" s="44" t="n">
        <v>21</v>
      </c>
      <c r="B223" s="43" t="s">
        <v>327</v>
      </c>
      <c r="C223" s="44" t="s">
        <v>240</v>
      </c>
      <c r="D223" s="43" t="s">
        <v>110</v>
      </c>
      <c r="E223" s="45" t="n">
        <v>30</v>
      </c>
      <c r="F223" s="44" t="s">
        <v>90</v>
      </c>
      <c r="G223" s="46" t="n">
        <f aca="false">IFERROR(INDEX('1. INSUMOS'!$H$8:$H$98,MATCH($D223,'1. INSUMOS'!$B$8:$B$98,0)),0)</f>
        <v>0.064</v>
      </c>
      <c r="H223" s="47" t="n">
        <f aca="false">E223*G223</f>
        <v>1.92</v>
      </c>
      <c r="I223" s="48" t="n">
        <f aca="false">IFERROR(INDEX('4. PRODUCCIÓN'!$D$8:$D$32,MATCH($A223,'4. PRODUCCIÓN'!$B$8:$B$32,0)),0)</f>
        <v>0</v>
      </c>
      <c r="J223" s="45" t="n">
        <f aca="false">E223*I223</f>
        <v>0</v>
      </c>
      <c r="K223" s="49" t="s">
        <v>328</v>
      </c>
    </row>
    <row r="224" customFormat="false" ht="15" hidden="false" customHeight="false" outlineLevel="0" collapsed="false">
      <c r="A224" s="44" t="n">
        <v>21</v>
      </c>
      <c r="B224" s="43" t="s">
        <v>327</v>
      </c>
      <c r="C224" s="44" t="s">
        <v>240</v>
      </c>
      <c r="D224" s="43" t="s">
        <v>88</v>
      </c>
      <c r="E224" s="45" t="n">
        <v>180</v>
      </c>
      <c r="F224" s="44" t="s">
        <v>90</v>
      </c>
      <c r="G224" s="46" t="n">
        <f aca="false">IFERROR(INDEX('1. INSUMOS'!$H$8:$H$98,MATCH($D224,'1. INSUMOS'!$B$8:$B$98,0)),0)</f>
        <v>0.21</v>
      </c>
      <c r="H224" s="47" t="n">
        <f aca="false">E224*G224</f>
        <v>37.8</v>
      </c>
      <c r="I224" s="48" t="n">
        <f aca="false">IFERROR(INDEX('4. PRODUCCIÓN'!$D$8:$D$32,MATCH($A224,'4. PRODUCCIÓN'!$B$8:$B$32,0)),0)</f>
        <v>0</v>
      </c>
      <c r="J224" s="45" t="n">
        <f aca="false">E224*I224</f>
        <v>0</v>
      </c>
      <c r="K224" s="49" t="s">
        <v>249</v>
      </c>
    </row>
    <row r="225" customFormat="false" ht="15" hidden="false" customHeight="false" outlineLevel="0" collapsed="false">
      <c r="A225" s="44" t="n">
        <v>21</v>
      </c>
      <c r="B225" s="43" t="s">
        <v>327</v>
      </c>
      <c r="C225" s="44" t="s">
        <v>240</v>
      </c>
      <c r="D225" s="43" t="s">
        <v>105</v>
      </c>
      <c r="E225" s="45" t="n">
        <v>150</v>
      </c>
      <c r="F225" s="44" t="s">
        <v>90</v>
      </c>
      <c r="G225" s="46" t="n">
        <f aca="false">IFERROR(INDEX('1. INSUMOS'!$H$8:$H$98,MATCH($D225,'1. INSUMOS'!$B$8:$B$98,0)),0)</f>
        <v>0.03</v>
      </c>
      <c r="H225" s="47" t="n">
        <f aca="false">E225*G225</f>
        <v>4.5</v>
      </c>
      <c r="I225" s="48" t="n">
        <f aca="false">IFERROR(INDEX('4. PRODUCCIÓN'!$D$8:$D$32,MATCH($A225,'4. PRODUCCIÓN'!$B$8:$B$32,0)),0)</f>
        <v>0</v>
      </c>
      <c r="J225" s="45" t="n">
        <f aca="false">E225*I225</f>
        <v>0</v>
      </c>
      <c r="K225" s="49" t="s">
        <v>105</v>
      </c>
    </row>
    <row r="226" customFormat="false" ht="15" hidden="false" customHeight="false" outlineLevel="0" collapsed="false">
      <c r="A226" s="44" t="n">
        <v>21</v>
      </c>
      <c r="B226" s="43" t="s">
        <v>327</v>
      </c>
      <c r="C226" s="44" t="s">
        <v>240</v>
      </c>
      <c r="D226" s="43" t="s">
        <v>108</v>
      </c>
      <c r="E226" s="45" t="n">
        <v>100</v>
      </c>
      <c r="F226" s="44" t="s">
        <v>90</v>
      </c>
      <c r="G226" s="46" t="n">
        <f aca="false">IFERROR(INDEX('1. INSUMOS'!$H$8:$H$98,MATCH($D226,'1. INSUMOS'!$B$8:$B$98,0)),0)</f>
        <v>0.052</v>
      </c>
      <c r="H226" s="47" t="n">
        <f aca="false">E226*G226</f>
        <v>5.2</v>
      </c>
      <c r="I226" s="48" t="n">
        <f aca="false">IFERROR(INDEX('4. PRODUCCIÓN'!$D$8:$D$32,MATCH($A226,'4. PRODUCCIÓN'!$B$8:$B$32,0)),0)</f>
        <v>0</v>
      </c>
      <c r="J226" s="45" t="n">
        <f aca="false">E226*I226</f>
        <v>0</v>
      </c>
      <c r="K226" s="49" t="s">
        <v>270</v>
      </c>
    </row>
    <row r="227" customFormat="false" ht="15" hidden="false" customHeight="false" outlineLevel="0" collapsed="false">
      <c r="A227" s="44" t="n">
        <v>21</v>
      </c>
      <c r="B227" s="43" t="s">
        <v>327</v>
      </c>
      <c r="C227" s="44" t="s">
        <v>240</v>
      </c>
      <c r="D227" s="43" t="s">
        <v>142</v>
      </c>
      <c r="E227" s="45" t="n">
        <v>2</v>
      </c>
      <c r="F227" s="44" t="s">
        <v>144</v>
      </c>
      <c r="G227" s="46" t="n">
        <f aca="false">IFERROR(INDEX('1. INSUMOS'!$H$8:$H$98,MATCH($D227,'1. INSUMOS'!$B$8:$B$98,0)),0)</f>
        <v>3.2</v>
      </c>
      <c r="H227" s="47" t="n">
        <f aca="false">E227*G227</f>
        <v>6.4</v>
      </c>
      <c r="I227" s="48" t="n">
        <f aca="false">IFERROR(INDEX('4. PRODUCCIÓN'!$D$8:$D$32,MATCH($A227,'4. PRODUCCIÓN'!$B$8:$B$32,0)),0)</f>
        <v>0</v>
      </c>
      <c r="J227" s="45" t="n">
        <f aca="false">E227*I227</f>
        <v>0</v>
      </c>
      <c r="K227" s="49" t="s">
        <v>250</v>
      </c>
    </row>
    <row r="228" customFormat="false" ht="15" hidden="false" customHeight="false" outlineLevel="0" collapsed="false">
      <c r="A228" s="44" t="n">
        <v>21</v>
      </c>
      <c r="B228" s="43" t="s">
        <v>327</v>
      </c>
      <c r="C228" s="44" t="s">
        <v>240</v>
      </c>
      <c r="D228" s="43" t="s">
        <v>126</v>
      </c>
      <c r="E228" s="45" t="n">
        <v>310</v>
      </c>
      <c r="F228" s="44" t="s">
        <v>90</v>
      </c>
      <c r="G228" s="46" t="n">
        <f aca="false">IFERROR(INDEX('1. INSUMOS'!$H$8:$H$98,MATCH($D228,'1. INSUMOS'!$B$8:$B$98,0)),0)</f>
        <v>0.03</v>
      </c>
      <c r="H228" s="47" t="n">
        <f aca="false">E228*G228</f>
        <v>9.3</v>
      </c>
      <c r="I228" s="48" t="n">
        <f aca="false">IFERROR(INDEX('4. PRODUCCIÓN'!$D$8:$D$32,MATCH($A228,'4. PRODUCCIÓN'!$B$8:$B$32,0)),0)</f>
        <v>0</v>
      </c>
      <c r="J228" s="45" t="n">
        <f aca="false">E228*I228</f>
        <v>0</v>
      </c>
      <c r="K228" s="49" t="s">
        <v>126</v>
      </c>
    </row>
    <row r="229" customFormat="false" ht="15" hidden="false" customHeight="false" outlineLevel="0" collapsed="false">
      <c r="A229" s="44" t="n">
        <v>21</v>
      </c>
      <c r="B229" s="43" t="s">
        <v>327</v>
      </c>
      <c r="C229" s="44" t="s">
        <v>240</v>
      </c>
      <c r="D229" s="43" t="s">
        <v>130</v>
      </c>
      <c r="E229" s="45" t="n">
        <v>10</v>
      </c>
      <c r="F229" s="44" t="s">
        <v>90</v>
      </c>
      <c r="G229" s="46" t="n">
        <f aca="false">IFERROR(INDEX('1. INSUMOS'!$H$8:$H$98,MATCH($D229,'1. INSUMOS'!$B$8:$B$98,0)),0)</f>
        <v>0.09</v>
      </c>
      <c r="H229" s="47" t="n">
        <f aca="false">E229*G229</f>
        <v>0.9</v>
      </c>
      <c r="I229" s="48" t="n">
        <f aca="false">IFERROR(INDEX('4. PRODUCCIÓN'!$D$8:$D$32,MATCH($A229,'4. PRODUCCIÓN'!$B$8:$B$32,0)),0)</f>
        <v>0</v>
      </c>
      <c r="J229" s="45" t="n">
        <f aca="false">E229*I229</f>
        <v>0</v>
      </c>
      <c r="K229" s="49" t="s">
        <v>253</v>
      </c>
    </row>
    <row r="230" customFormat="false" ht="15" hidden="false" customHeight="false" outlineLevel="0" collapsed="false">
      <c r="A230" s="44" t="n">
        <v>21</v>
      </c>
      <c r="B230" s="43" t="s">
        <v>327</v>
      </c>
      <c r="C230" s="44" t="s">
        <v>240</v>
      </c>
      <c r="D230" s="43" t="s">
        <v>133</v>
      </c>
      <c r="E230" s="45" t="n">
        <v>5</v>
      </c>
      <c r="F230" s="44" t="s">
        <v>90</v>
      </c>
      <c r="G230" s="46" t="n">
        <f aca="false">IFERROR(INDEX('1. INSUMOS'!$H$8:$H$98,MATCH($D230,'1. INSUMOS'!$B$8:$B$98,0)),0)</f>
        <v>0.13</v>
      </c>
      <c r="H230" s="47" t="n">
        <f aca="false">E230*G230</f>
        <v>0.65</v>
      </c>
      <c r="I230" s="48" t="n">
        <f aca="false">IFERROR(INDEX('4. PRODUCCIÓN'!$D$8:$D$32,MATCH($A230,'4. PRODUCCIÓN'!$B$8:$B$32,0)),0)</f>
        <v>0</v>
      </c>
      <c r="J230" s="45" t="n">
        <f aca="false">E230*I230</f>
        <v>0</v>
      </c>
      <c r="K230" s="49" t="s">
        <v>133</v>
      </c>
    </row>
    <row r="231" customFormat="false" ht="15" hidden="false" customHeight="false" outlineLevel="0" collapsed="false">
      <c r="A231" s="44" t="n">
        <v>21</v>
      </c>
      <c r="B231" s="43" t="s">
        <v>327</v>
      </c>
      <c r="C231" s="44" t="s">
        <v>240</v>
      </c>
      <c r="D231" s="43" t="s">
        <v>195</v>
      </c>
      <c r="E231" s="45" t="n">
        <v>4</v>
      </c>
      <c r="F231" s="44" t="s">
        <v>90</v>
      </c>
      <c r="G231" s="46" t="n">
        <f aca="false">IFERROR(INDEX('1. INSUMOS'!$H$8:$H$98,MATCH($D231,'1. INSUMOS'!$B$8:$B$98,0)),0)</f>
        <v>0.02</v>
      </c>
      <c r="H231" s="47" t="n">
        <f aca="false">E231*G231</f>
        <v>0.08</v>
      </c>
      <c r="I231" s="48" t="n">
        <f aca="false">IFERROR(INDEX('4. PRODUCCIÓN'!$D$8:$D$32,MATCH($A231,'4. PRODUCCIÓN'!$B$8:$B$32,0)),0)</f>
        <v>0</v>
      </c>
      <c r="J231" s="45" t="n">
        <f aca="false">E231*I231</f>
        <v>0</v>
      </c>
      <c r="K231" s="49" t="s">
        <v>195</v>
      </c>
    </row>
    <row r="232" customFormat="false" ht="15" hidden="false" customHeight="false" outlineLevel="0" collapsed="false">
      <c r="A232" s="44" t="n">
        <v>21</v>
      </c>
      <c r="B232" s="43" t="s">
        <v>327</v>
      </c>
      <c r="C232" s="44" t="s">
        <v>240</v>
      </c>
      <c r="D232" s="43" t="s">
        <v>185</v>
      </c>
      <c r="E232" s="45" t="n">
        <v>20</v>
      </c>
      <c r="F232" s="44" t="s">
        <v>90</v>
      </c>
      <c r="G232" s="46" t="n">
        <f aca="false">IFERROR(INDEX('1. INSUMOS'!$H$8:$H$98,MATCH($D232,'1. INSUMOS'!$B$8:$B$98,0)),0)</f>
        <v>1.95</v>
      </c>
      <c r="H232" s="47" t="n">
        <f aca="false">E232*G232</f>
        <v>39</v>
      </c>
      <c r="I232" s="48" t="n">
        <f aca="false">IFERROR(INDEX('4. PRODUCCIÓN'!$D$8:$D$32,MATCH($A232,'4. PRODUCCIÓN'!$B$8:$B$32,0)),0)</f>
        <v>0</v>
      </c>
      <c r="J232" s="45" t="n">
        <f aca="false">E232*I232</f>
        <v>0</v>
      </c>
      <c r="K232" s="49" t="s">
        <v>329</v>
      </c>
    </row>
    <row r="233" customFormat="false" ht="15" hidden="false" customHeight="false" outlineLevel="0" collapsed="false">
      <c r="A233" s="44" t="n">
        <v>21</v>
      </c>
      <c r="B233" s="43" t="s">
        <v>327</v>
      </c>
      <c r="C233" s="44" t="s">
        <v>240</v>
      </c>
      <c r="D233" s="43" t="s">
        <v>149</v>
      </c>
      <c r="E233" s="45" t="n">
        <v>100</v>
      </c>
      <c r="F233" s="44" t="s">
        <v>90</v>
      </c>
      <c r="G233" s="46" t="n">
        <f aca="false">IFERROR(INDEX('1. INSUMOS'!$H$8:$H$98,MATCH($D233,'1. INSUMOS'!$B$8:$B$98,0)),0)</f>
        <v>0.235</v>
      </c>
      <c r="H233" s="47" t="n">
        <f aca="false">E233*G233</f>
        <v>23.5</v>
      </c>
      <c r="I233" s="48" t="n">
        <f aca="false">IFERROR(INDEX('4. PRODUCCIÓN'!$D$8:$D$32,MATCH($A233,'4. PRODUCCIÓN'!$B$8:$B$32,0)),0)</f>
        <v>0</v>
      </c>
      <c r="J233" s="45" t="n">
        <f aca="false">E233*I233</f>
        <v>0</v>
      </c>
      <c r="K233" s="49" t="s">
        <v>272</v>
      </c>
    </row>
    <row r="234" customFormat="false" ht="15" hidden="false" customHeight="false" outlineLevel="0" collapsed="false">
      <c r="A234" s="44" t="n">
        <v>21</v>
      </c>
      <c r="B234" s="43" t="s">
        <v>327</v>
      </c>
      <c r="C234" s="44" t="s">
        <v>313</v>
      </c>
      <c r="D234" s="43" t="s">
        <v>92</v>
      </c>
      <c r="E234" s="45" t="n">
        <v>120</v>
      </c>
      <c r="F234" s="44" t="s">
        <v>90</v>
      </c>
      <c r="G234" s="46" t="n">
        <f aca="false">IFERROR(INDEX('1. INSUMOS'!$H$8:$H$98,MATCH($D234,'1. INSUMOS'!$B$8:$B$98,0)),0)</f>
        <v>0.185</v>
      </c>
      <c r="H234" s="47" t="n">
        <f aca="false">E234*G234</f>
        <v>22.2</v>
      </c>
      <c r="I234" s="48" t="n">
        <f aca="false">IFERROR(INDEX('4. PRODUCCIÓN'!$D$8:$D$32,MATCH($A234,'4. PRODUCCIÓN'!$B$8:$B$32,0)),0)</f>
        <v>0</v>
      </c>
      <c r="J234" s="45" t="n">
        <f aca="false">E234*I234</f>
        <v>0</v>
      </c>
      <c r="K234" s="49" t="s">
        <v>330</v>
      </c>
    </row>
    <row r="235" customFormat="false" ht="15" hidden="false" customHeight="false" outlineLevel="0" collapsed="false">
      <c r="A235" s="50" t="n">
        <v>22</v>
      </c>
      <c r="B235" s="41" t="s">
        <v>331</v>
      </c>
      <c r="C235" s="50" t="s">
        <v>240</v>
      </c>
      <c r="D235" s="41" t="s">
        <v>88</v>
      </c>
      <c r="E235" s="51" t="n">
        <v>180</v>
      </c>
      <c r="F235" s="50" t="s">
        <v>90</v>
      </c>
      <c r="G235" s="52" t="n">
        <f aca="false">IFERROR(INDEX('1. INSUMOS'!$H$8:$H$98,MATCH($D235,'1. INSUMOS'!$B$8:$B$98,0)),0)</f>
        <v>0.21</v>
      </c>
      <c r="H235" s="53" t="n">
        <f aca="false">E235*G235</f>
        <v>37.8</v>
      </c>
      <c r="I235" s="54" t="n">
        <f aca="false">IFERROR(INDEX('4. PRODUCCIÓN'!$D$8:$D$32,MATCH($A235,'4. PRODUCCIÓN'!$B$8:$B$32,0)),0)</f>
        <v>0</v>
      </c>
      <c r="J235" s="51" t="n">
        <f aca="false">E235*I235</f>
        <v>0</v>
      </c>
      <c r="K235" s="55" t="s">
        <v>249</v>
      </c>
    </row>
    <row r="236" customFormat="false" ht="15" hidden="false" customHeight="false" outlineLevel="0" collapsed="false">
      <c r="A236" s="50" t="n">
        <v>22</v>
      </c>
      <c r="B236" s="41" t="s">
        <v>331</v>
      </c>
      <c r="C236" s="50" t="s">
        <v>240</v>
      </c>
      <c r="D236" s="41" t="s">
        <v>108</v>
      </c>
      <c r="E236" s="51" t="n">
        <v>140</v>
      </c>
      <c r="F236" s="50" t="s">
        <v>90</v>
      </c>
      <c r="G236" s="52" t="n">
        <f aca="false">IFERROR(INDEX('1. INSUMOS'!$H$8:$H$98,MATCH($D236,'1. INSUMOS'!$B$8:$B$98,0)),0)</f>
        <v>0.052</v>
      </c>
      <c r="H236" s="53" t="n">
        <f aca="false">E236*G236</f>
        <v>7.28</v>
      </c>
      <c r="I236" s="54" t="n">
        <f aca="false">IFERROR(INDEX('4. PRODUCCIÓN'!$D$8:$D$32,MATCH($A236,'4. PRODUCCIÓN'!$B$8:$B$32,0)),0)</f>
        <v>0</v>
      </c>
      <c r="J236" s="51" t="n">
        <f aca="false">E236*I236</f>
        <v>0</v>
      </c>
      <c r="K236" s="55" t="s">
        <v>108</v>
      </c>
    </row>
    <row r="237" customFormat="false" ht="15" hidden="false" customHeight="false" outlineLevel="0" collapsed="false">
      <c r="A237" s="50" t="n">
        <v>22</v>
      </c>
      <c r="B237" s="41" t="s">
        <v>331</v>
      </c>
      <c r="C237" s="50" t="s">
        <v>240</v>
      </c>
      <c r="D237" s="41" t="s">
        <v>105</v>
      </c>
      <c r="E237" s="51" t="n">
        <v>110</v>
      </c>
      <c r="F237" s="50" t="s">
        <v>90</v>
      </c>
      <c r="G237" s="52" t="n">
        <f aca="false">IFERROR(INDEX('1. INSUMOS'!$H$8:$H$98,MATCH($D237,'1. INSUMOS'!$B$8:$B$98,0)),0)</f>
        <v>0.03</v>
      </c>
      <c r="H237" s="53" t="n">
        <f aca="false">E237*G237</f>
        <v>3.3</v>
      </c>
      <c r="I237" s="54" t="n">
        <f aca="false">IFERROR(INDEX('4. PRODUCCIÓN'!$D$8:$D$32,MATCH($A237,'4. PRODUCCIÓN'!$B$8:$B$32,0)),0)</f>
        <v>0</v>
      </c>
      <c r="J237" s="51" t="n">
        <f aca="false">E237*I237</f>
        <v>0</v>
      </c>
      <c r="K237" s="55" t="s">
        <v>105</v>
      </c>
    </row>
    <row r="238" customFormat="false" ht="15" hidden="false" customHeight="false" outlineLevel="0" collapsed="false">
      <c r="A238" s="50" t="n">
        <v>22</v>
      </c>
      <c r="B238" s="41" t="s">
        <v>331</v>
      </c>
      <c r="C238" s="50" t="s">
        <v>240</v>
      </c>
      <c r="D238" s="41" t="s">
        <v>142</v>
      </c>
      <c r="E238" s="51" t="n">
        <v>2</v>
      </c>
      <c r="F238" s="50" t="s">
        <v>144</v>
      </c>
      <c r="G238" s="52" t="n">
        <f aca="false">IFERROR(INDEX('1. INSUMOS'!$H$8:$H$98,MATCH($D238,'1. INSUMOS'!$B$8:$B$98,0)),0)</f>
        <v>3.2</v>
      </c>
      <c r="H238" s="53" t="n">
        <f aca="false">E238*G238</f>
        <v>6.4</v>
      </c>
      <c r="I238" s="54" t="n">
        <f aca="false">IFERROR(INDEX('4. PRODUCCIÓN'!$D$8:$D$32,MATCH($A238,'4. PRODUCCIÓN'!$B$8:$B$32,0)),0)</f>
        <v>0</v>
      </c>
      <c r="J238" s="51" t="n">
        <f aca="false">E238*I238</f>
        <v>0</v>
      </c>
      <c r="K238" s="55" t="s">
        <v>250</v>
      </c>
    </row>
    <row r="239" customFormat="false" ht="15" hidden="false" customHeight="false" outlineLevel="0" collapsed="false">
      <c r="A239" s="50" t="n">
        <v>22</v>
      </c>
      <c r="B239" s="41" t="s">
        <v>331</v>
      </c>
      <c r="C239" s="50" t="s">
        <v>240</v>
      </c>
      <c r="D239" s="41" t="s">
        <v>126</v>
      </c>
      <c r="E239" s="51" t="n">
        <v>290</v>
      </c>
      <c r="F239" s="50" t="s">
        <v>90</v>
      </c>
      <c r="G239" s="52" t="n">
        <f aca="false">IFERROR(INDEX('1. INSUMOS'!$H$8:$H$98,MATCH($D239,'1. INSUMOS'!$B$8:$B$98,0)),0)</f>
        <v>0.03</v>
      </c>
      <c r="H239" s="53" t="n">
        <f aca="false">E239*G239</f>
        <v>8.7</v>
      </c>
      <c r="I239" s="54" t="n">
        <f aca="false">IFERROR(INDEX('4. PRODUCCIÓN'!$D$8:$D$32,MATCH($A239,'4. PRODUCCIÓN'!$B$8:$B$32,0)),0)</f>
        <v>0</v>
      </c>
      <c r="J239" s="51" t="n">
        <f aca="false">E239*I239</f>
        <v>0</v>
      </c>
      <c r="K239" s="55" t="s">
        <v>126</v>
      </c>
    </row>
    <row r="240" customFormat="false" ht="15" hidden="false" customHeight="false" outlineLevel="0" collapsed="false">
      <c r="A240" s="50" t="n">
        <v>22</v>
      </c>
      <c r="B240" s="41" t="s">
        <v>331</v>
      </c>
      <c r="C240" s="50" t="s">
        <v>240</v>
      </c>
      <c r="D240" s="41" t="s">
        <v>160</v>
      </c>
      <c r="E240" s="51" t="n">
        <v>20</v>
      </c>
      <c r="F240" s="50" t="s">
        <v>90</v>
      </c>
      <c r="G240" s="52" t="n">
        <f aca="false">IFERROR(INDEX('1. INSUMOS'!$H$8:$H$98,MATCH($D240,'1. INSUMOS'!$B$8:$B$98,0)),0)</f>
        <v>0.244</v>
      </c>
      <c r="H240" s="53" t="n">
        <f aca="false">E240*G240</f>
        <v>4.88</v>
      </c>
      <c r="I240" s="54" t="n">
        <f aca="false">IFERROR(INDEX('4. PRODUCCIÓN'!$D$8:$D$32,MATCH($A240,'4. PRODUCCIÓN'!$B$8:$B$32,0)),0)</f>
        <v>0</v>
      </c>
      <c r="J240" s="51" t="n">
        <f aca="false">E240*I240</f>
        <v>0</v>
      </c>
      <c r="K240" s="55" t="s">
        <v>332</v>
      </c>
    </row>
    <row r="241" customFormat="false" ht="15" hidden="false" customHeight="false" outlineLevel="0" collapsed="false">
      <c r="A241" s="50" t="n">
        <v>22</v>
      </c>
      <c r="B241" s="41" t="s">
        <v>331</v>
      </c>
      <c r="C241" s="50" t="s">
        <v>240</v>
      </c>
      <c r="D241" s="41" t="s">
        <v>130</v>
      </c>
      <c r="E241" s="51" t="n">
        <v>10</v>
      </c>
      <c r="F241" s="50" t="s">
        <v>90</v>
      </c>
      <c r="G241" s="52" t="n">
        <f aca="false">IFERROR(INDEX('1. INSUMOS'!$H$8:$H$98,MATCH($D241,'1. INSUMOS'!$B$8:$B$98,0)),0)</f>
        <v>0.09</v>
      </c>
      <c r="H241" s="53" t="n">
        <f aca="false">E241*G241</f>
        <v>0.9</v>
      </c>
      <c r="I241" s="54" t="n">
        <f aca="false">IFERROR(INDEX('4. PRODUCCIÓN'!$D$8:$D$32,MATCH($A241,'4. PRODUCCIÓN'!$B$8:$B$32,0)),0)</f>
        <v>0</v>
      </c>
      <c r="J241" s="51" t="n">
        <f aca="false">E241*I241</f>
        <v>0</v>
      </c>
      <c r="K241" s="55" t="s">
        <v>253</v>
      </c>
    </row>
    <row r="242" customFormat="false" ht="15" hidden="false" customHeight="false" outlineLevel="0" collapsed="false">
      <c r="A242" s="50" t="n">
        <v>22</v>
      </c>
      <c r="B242" s="41" t="s">
        <v>331</v>
      </c>
      <c r="C242" s="50" t="s">
        <v>240</v>
      </c>
      <c r="D242" s="41" t="s">
        <v>133</v>
      </c>
      <c r="E242" s="51" t="n">
        <v>5</v>
      </c>
      <c r="F242" s="50" t="s">
        <v>90</v>
      </c>
      <c r="G242" s="52" t="n">
        <f aca="false">IFERROR(INDEX('1. INSUMOS'!$H$8:$H$98,MATCH($D242,'1. INSUMOS'!$B$8:$B$98,0)),0)</f>
        <v>0.13</v>
      </c>
      <c r="H242" s="53" t="n">
        <f aca="false">E242*G242</f>
        <v>0.65</v>
      </c>
      <c r="I242" s="54" t="n">
        <f aca="false">IFERROR(INDEX('4. PRODUCCIÓN'!$D$8:$D$32,MATCH($A242,'4. PRODUCCIÓN'!$B$8:$B$32,0)),0)</f>
        <v>0</v>
      </c>
      <c r="J242" s="51" t="n">
        <f aca="false">E242*I242</f>
        <v>0</v>
      </c>
      <c r="K242" s="55" t="s">
        <v>133</v>
      </c>
    </row>
    <row r="243" customFormat="false" ht="15" hidden="false" customHeight="false" outlineLevel="0" collapsed="false">
      <c r="A243" s="50" t="n">
        <v>22</v>
      </c>
      <c r="B243" s="41" t="s">
        <v>331</v>
      </c>
      <c r="C243" s="50" t="s">
        <v>240</v>
      </c>
      <c r="D243" s="41" t="s">
        <v>195</v>
      </c>
      <c r="E243" s="51" t="n">
        <v>4</v>
      </c>
      <c r="F243" s="50" t="s">
        <v>90</v>
      </c>
      <c r="G243" s="52" t="n">
        <f aca="false">IFERROR(INDEX('1. INSUMOS'!$H$8:$H$98,MATCH($D243,'1. INSUMOS'!$B$8:$B$98,0)),0)</f>
        <v>0.02</v>
      </c>
      <c r="H243" s="53" t="n">
        <f aca="false">E243*G243</f>
        <v>0.08</v>
      </c>
      <c r="I243" s="54" t="n">
        <f aca="false">IFERROR(INDEX('4. PRODUCCIÓN'!$D$8:$D$32,MATCH($A243,'4. PRODUCCIÓN'!$B$8:$B$32,0)),0)</f>
        <v>0</v>
      </c>
      <c r="J243" s="51" t="n">
        <f aca="false">E243*I243</f>
        <v>0</v>
      </c>
      <c r="K243" s="55" t="s">
        <v>195</v>
      </c>
    </row>
    <row r="244" customFormat="false" ht="15" hidden="false" customHeight="false" outlineLevel="0" collapsed="false">
      <c r="A244" s="50" t="n">
        <v>22</v>
      </c>
      <c r="B244" s="41" t="s">
        <v>331</v>
      </c>
      <c r="C244" s="50" t="s">
        <v>240</v>
      </c>
      <c r="D244" s="41" t="s">
        <v>153</v>
      </c>
      <c r="E244" s="51" t="n">
        <v>150</v>
      </c>
      <c r="F244" s="50" t="s">
        <v>90</v>
      </c>
      <c r="G244" s="52" t="n">
        <f aca="false">IFERROR(INDEX('1. INSUMOS'!$H$8:$H$98,MATCH($D244,'1. INSUMOS'!$B$8:$B$98,0)),0)</f>
        <v>0.55</v>
      </c>
      <c r="H244" s="53" t="n">
        <f aca="false">E244*G244</f>
        <v>82.5</v>
      </c>
      <c r="I244" s="54" t="n">
        <f aca="false">IFERROR(INDEX('4. PRODUCCIÓN'!$D$8:$D$32,MATCH($A244,'4. PRODUCCIÓN'!$B$8:$B$32,0)),0)</f>
        <v>0</v>
      </c>
      <c r="J244" s="51" t="n">
        <f aca="false">E244*I244</f>
        <v>0</v>
      </c>
      <c r="K244" s="55" t="s">
        <v>333</v>
      </c>
    </row>
    <row r="245" customFormat="false" ht="15" hidden="false" customHeight="false" outlineLevel="0" collapsed="false">
      <c r="A245" s="50" t="n">
        <v>22</v>
      </c>
      <c r="B245" s="41" t="s">
        <v>331</v>
      </c>
      <c r="C245" s="50" t="s">
        <v>313</v>
      </c>
      <c r="D245" s="41" t="s">
        <v>163</v>
      </c>
      <c r="E245" s="51" t="n">
        <v>120</v>
      </c>
      <c r="F245" s="50" t="s">
        <v>90</v>
      </c>
      <c r="G245" s="52" t="n">
        <f aca="false">IFERROR(INDEX('1. INSUMOS'!$H$8:$H$98,MATCH($D245,'1. INSUMOS'!$B$8:$B$98,0)),0)</f>
        <v>0.414285714285714</v>
      </c>
      <c r="H245" s="53" t="n">
        <f aca="false">E245*G245</f>
        <v>49.7142857142857</v>
      </c>
      <c r="I245" s="54" t="n">
        <f aca="false">IFERROR(INDEX('4. PRODUCCIÓN'!$D$8:$D$32,MATCH($A245,'4. PRODUCCIÓN'!$B$8:$B$32,0)),0)</f>
        <v>0</v>
      </c>
      <c r="J245" s="51" t="n">
        <f aca="false">E245*I245</f>
        <v>0</v>
      </c>
      <c r="K245" s="55" t="s">
        <v>334</v>
      </c>
    </row>
    <row r="246" customFormat="false" ht="15" hidden="false" customHeight="false" outlineLevel="0" collapsed="false">
      <c r="A246" s="44" t="n">
        <v>23</v>
      </c>
      <c r="B246" s="43" t="s">
        <v>335</v>
      </c>
      <c r="C246" s="44" t="s">
        <v>240</v>
      </c>
      <c r="D246" s="43" t="s">
        <v>88</v>
      </c>
      <c r="E246" s="45" t="n">
        <v>180</v>
      </c>
      <c r="F246" s="44" t="s">
        <v>90</v>
      </c>
      <c r="G246" s="46" t="n">
        <f aca="false">IFERROR(INDEX('1. INSUMOS'!$H$8:$H$98,MATCH($D246,'1. INSUMOS'!$B$8:$B$98,0)),0)</f>
        <v>0.21</v>
      </c>
      <c r="H246" s="47" t="n">
        <f aca="false">E246*G246</f>
        <v>37.8</v>
      </c>
      <c r="I246" s="48" t="n">
        <f aca="false">IFERROR(INDEX('4. PRODUCCIÓN'!$D$8:$D$32,MATCH($A246,'4. PRODUCCIÓN'!$B$8:$B$32,0)),0)</f>
        <v>0</v>
      </c>
      <c r="J246" s="45" t="n">
        <f aca="false">E246*I246</f>
        <v>0</v>
      </c>
      <c r="K246" s="49" t="s">
        <v>249</v>
      </c>
    </row>
    <row r="247" customFormat="false" ht="15" hidden="false" customHeight="false" outlineLevel="0" collapsed="false">
      <c r="A247" s="44" t="n">
        <v>23</v>
      </c>
      <c r="B247" s="43" t="s">
        <v>335</v>
      </c>
      <c r="C247" s="44" t="s">
        <v>240</v>
      </c>
      <c r="D247" s="43" t="s">
        <v>109</v>
      </c>
      <c r="E247" s="45" t="n">
        <v>160</v>
      </c>
      <c r="F247" s="44" t="s">
        <v>90</v>
      </c>
      <c r="G247" s="46" t="n">
        <f aca="false">IFERROR(INDEX('1. INSUMOS'!$H$8:$H$98,MATCH($D247,'1. INSUMOS'!$B$8:$B$98,0)),0)</f>
        <v>0.058</v>
      </c>
      <c r="H247" s="47" t="n">
        <f aca="false">E247*G247</f>
        <v>9.28</v>
      </c>
      <c r="I247" s="48" t="n">
        <f aca="false">IFERROR(INDEX('4. PRODUCCIÓN'!$D$8:$D$32,MATCH($A247,'4. PRODUCCIÓN'!$B$8:$B$32,0)),0)</f>
        <v>0</v>
      </c>
      <c r="J247" s="45" t="n">
        <f aca="false">E247*I247</f>
        <v>0</v>
      </c>
      <c r="K247" s="49" t="s">
        <v>336</v>
      </c>
    </row>
    <row r="248" customFormat="false" ht="15" hidden="false" customHeight="false" outlineLevel="0" collapsed="false">
      <c r="A248" s="44" t="n">
        <v>23</v>
      </c>
      <c r="B248" s="43" t="s">
        <v>335</v>
      </c>
      <c r="C248" s="44" t="s">
        <v>240</v>
      </c>
      <c r="D248" s="43" t="s">
        <v>105</v>
      </c>
      <c r="E248" s="45" t="n">
        <v>90</v>
      </c>
      <c r="F248" s="44" t="s">
        <v>90</v>
      </c>
      <c r="G248" s="46" t="n">
        <f aca="false">IFERROR(INDEX('1. INSUMOS'!$H$8:$H$98,MATCH($D248,'1. INSUMOS'!$B$8:$B$98,0)),0)</f>
        <v>0.03</v>
      </c>
      <c r="H248" s="47" t="n">
        <f aca="false">E248*G248</f>
        <v>2.7</v>
      </c>
      <c r="I248" s="48" t="n">
        <f aca="false">IFERROR(INDEX('4. PRODUCCIÓN'!$D$8:$D$32,MATCH($A248,'4. PRODUCCIÓN'!$B$8:$B$32,0)),0)</f>
        <v>0</v>
      </c>
      <c r="J248" s="45" t="n">
        <f aca="false">E248*I248</f>
        <v>0</v>
      </c>
      <c r="K248" s="49" t="s">
        <v>105</v>
      </c>
    </row>
    <row r="249" customFormat="false" ht="15" hidden="false" customHeight="false" outlineLevel="0" collapsed="false">
      <c r="A249" s="44" t="n">
        <v>23</v>
      </c>
      <c r="B249" s="43" t="s">
        <v>335</v>
      </c>
      <c r="C249" s="44" t="s">
        <v>240</v>
      </c>
      <c r="D249" s="43" t="s">
        <v>142</v>
      </c>
      <c r="E249" s="45" t="n">
        <v>2</v>
      </c>
      <c r="F249" s="44" t="s">
        <v>144</v>
      </c>
      <c r="G249" s="46" t="n">
        <f aca="false">IFERROR(INDEX('1. INSUMOS'!$H$8:$H$98,MATCH($D249,'1. INSUMOS'!$B$8:$B$98,0)),0)</f>
        <v>3.2</v>
      </c>
      <c r="H249" s="47" t="n">
        <f aca="false">E249*G249</f>
        <v>6.4</v>
      </c>
      <c r="I249" s="48" t="n">
        <f aca="false">IFERROR(INDEX('4. PRODUCCIÓN'!$D$8:$D$32,MATCH($A249,'4. PRODUCCIÓN'!$B$8:$B$32,0)),0)</f>
        <v>0</v>
      </c>
      <c r="J249" s="45" t="n">
        <f aca="false">E249*I249</f>
        <v>0</v>
      </c>
      <c r="K249" s="49" t="s">
        <v>250</v>
      </c>
    </row>
    <row r="250" customFormat="false" ht="15" hidden="false" customHeight="false" outlineLevel="0" collapsed="false">
      <c r="A250" s="44" t="n">
        <v>23</v>
      </c>
      <c r="B250" s="43" t="s">
        <v>335</v>
      </c>
      <c r="C250" s="44" t="s">
        <v>240</v>
      </c>
      <c r="D250" s="43" t="s">
        <v>126</v>
      </c>
      <c r="E250" s="45" t="n">
        <v>310</v>
      </c>
      <c r="F250" s="44" t="s">
        <v>90</v>
      </c>
      <c r="G250" s="46" t="n">
        <f aca="false">IFERROR(INDEX('1. INSUMOS'!$H$8:$H$98,MATCH($D250,'1. INSUMOS'!$B$8:$B$98,0)),0)</f>
        <v>0.03</v>
      </c>
      <c r="H250" s="47" t="n">
        <f aca="false">E250*G250</f>
        <v>9.3</v>
      </c>
      <c r="I250" s="48" t="n">
        <f aca="false">IFERROR(INDEX('4. PRODUCCIÓN'!$D$8:$D$32,MATCH($A250,'4. PRODUCCIÓN'!$B$8:$B$32,0)),0)</f>
        <v>0</v>
      </c>
      <c r="J250" s="45" t="n">
        <f aca="false">E250*I250</f>
        <v>0</v>
      </c>
      <c r="K250" s="49" t="s">
        <v>126</v>
      </c>
    </row>
    <row r="251" customFormat="false" ht="15" hidden="false" customHeight="false" outlineLevel="0" collapsed="false">
      <c r="A251" s="44" t="n">
        <v>23</v>
      </c>
      <c r="B251" s="43" t="s">
        <v>335</v>
      </c>
      <c r="C251" s="44" t="s">
        <v>240</v>
      </c>
      <c r="D251" s="43" t="s">
        <v>130</v>
      </c>
      <c r="E251" s="45" t="n">
        <v>10</v>
      </c>
      <c r="F251" s="44" t="s">
        <v>90</v>
      </c>
      <c r="G251" s="46" t="n">
        <f aca="false">IFERROR(INDEX('1. INSUMOS'!$H$8:$H$98,MATCH($D251,'1. INSUMOS'!$B$8:$B$98,0)),0)</f>
        <v>0.09</v>
      </c>
      <c r="H251" s="47" t="n">
        <f aca="false">E251*G251</f>
        <v>0.9</v>
      </c>
      <c r="I251" s="48" t="n">
        <f aca="false">IFERROR(INDEX('4. PRODUCCIÓN'!$D$8:$D$32,MATCH($A251,'4. PRODUCCIÓN'!$B$8:$B$32,0)),0)</f>
        <v>0</v>
      </c>
      <c r="J251" s="45" t="n">
        <f aca="false">E251*I251</f>
        <v>0</v>
      </c>
      <c r="K251" s="49" t="s">
        <v>253</v>
      </c>
    </row>
    <row r="252" customFormat="false" ht="15" hidden="false" customHeight="false" outlineLevel="0" collapsed="false">
      <c r="A252" s="44" t="n">
        <v>23</v>
      </c>
      <c r="B252" s="43" t="s">
        <v>335</v>
      </c>
      <c r="C252" s="44" t="s">
        <v>240</v>
      </c>
      <c r="D252" s="43" t="s">
        <v>133</v>
      </c>
      <c r="E252" s="45" t="n">
        <v>5</v>
      </c>
      <c r="F252" s="44" t="s">
        <v>90</v>
      </c>
      <c r="G252" s="46" t="n">
        <f aca="false">IFERROR(INDEX('1. INSUMOS'!$H$8:$H$98,MATCH($D252,'1. INSUMOS'!$B$8:$B$98,0)),0)</f>
        <v>0.13</v>
      </c>
      <c r="H252" s="47" t="n">
        <f aca="false">E252*G252</f>
        <v>0.65</v>
      </c>
      <c r="I252" s="48" t="n">
        <f aca="false">IFERROR(INDEX('4. PRODUCCIÓN'!$D$8:$D$32,MATCH($A252,'4. PRODUCCIÓN'!$B$8:$B$32,0)),0)</f>
        <v>0</v>
      </c>
      <c r="J252" s="45" t="n">
        <f aca="false">E252*I252</f>
        <v>0</v>
      </c>
      <c r="K252" s="49" t="s">
        <v>133</v>
      </c>
    </row>
    <row r="253" customFormat="false" ht="15" hidden="false" customHeight="false" outlineLevel="0" collapsed="false">
      <c r="A253" s="44" t="n">
        <v>23</v>
      </c>
      <c r="B253" s="43" t="s">
        <v>335</v>
      </c>
      <c r="C253" s="44" t="s">
        <v>240</v>
      </c>
      <c r="D253" s="43" t="s">
        <v>195</v>
      </c>
      <c r="E253" s="45" t="n">
        <v>4</v>
      </c>
      <c r="F253" s="44" t="s">
        <v>90</v>
      </c>
      <c r="G253" s="46" t="n">
        <f aca="false">IFERROR(INDEX('1. INSUMOS'!$H$8:$H$98,MATCH($D253,'1. INSUMOS'!$B$8:$B$98,0)),0)</f>
        <v>0.02</v>
      </c>
      <c r="H253" s="47" t="n">
        <f aca="false">E253*G253</f>
        <v>0.08</v>
      </c>
      <c r="I253" s="48" t="n">
        <f aca="false">IFERROR(INDEX('4. PRODUCCIÓN'!$D$8:$D$32,MATCH($A253,'4. PRODUCCIÓN'!$B$8:$B$32,0)),0)</f>
        <v>0</v>
      </c>
      <c r="J253" s="45" t="n">
        <f aca="false">E253*I253</f>
        <v>0</v>
      </c>
      <c r="K253" s="49" t="s">
        <v>195</v>
      </c>
    </row>
    <row r="254" customFormat="false" ht="15" hidden="false" customHeight="false" outlineLevel="0" collapsed="false">
      <c r="A254" s="44" t="n">
        <v>23</v>
      </c>
      <c r="B254" s="43" t="s">
        <v>335</v>
      </c>
      <c r="C254" s="44" t="s">
        <v>240</v>
      </c>
      <c r="D254" s="43" t="s">
        <v>141</v>
      </c>
      <c r="E254" s="45" t="n">
        <v>80</v>
      </c>
      <c r="F254" s="44" t="s">
        <v>90</v>
      </c>
      <c r="G254" s="46" t="n">
        <f aca="false">IFERROR(INDEX('1. INSUMOS'!$H$8:$H$98,MATCH($D254,'1. INSUMOS'!$B$8:$B$98,0)),0)</f>
        <v>0.26</v>
      </c>
      <c r="H254" s="47" t="n">
        <f aca="false">E254*G254</f>
        <v>20.8</v>
      </c>
      <c r="I254" s="48" t="n">
        <f aca="false">IFERROR(INDEX('4. PRODUCCIÓN'!$D$8:$D$32,MATCH($A254,'4. PRODUCCIÓN'!$B$8:$B$32,0)),0)</f>
        <v>0</v>
      </c>
      <c r="J254" s="45" t="n">
        <f aca="false">E254*I254</f>
        <v>0</v>
      </c>
      <c r="K254" s="49" t="s">
        <v>337</v>
      </c>
    </row>
    <row r="255" customFormat="false" ht="15" hidden="false" customHeight="false" outlineLevel="0" collapsed="false">
      <c r="A255" s="44" t="n">
        <v>23</v>
      </c>
      <c r="B255" s="43" t="s">
        <v>335</v>
      </c>
      <c r="C255" s="44" t="s">
        <v>240</v>
      </c>
      <c r="D255" s="43" t="s">
        <v>155</v>
      </c>
      <c r="E255" s="45" t="n">
        <v>100</v>
      </c>
      <c r="F255" s="44" t="s">
        <v>90</v>
      </c>
      <c r="G255" s="46" t="n">
        <f aca="false">IFERROR(INDEX('1. INSUMOS'!$H$8:$H$98,MATCH($D255,'1. INSUMOS'!$B$8:$B$98,0)),0)</f>
        <v>0.155</v>
      </c>
      <c r="H255" s="47" t="n">
        <f aca="false">E255*G255</f>
        <v>15.5</v>
      </c>
      <c r="I255" s="48" t="n">
        <f aca="false">IFERROR(INDEX('4. PRODUCCIÓN'!$D$8:$D$32,MATCH($A255,'4. PRODUCCIÓN'!$B$8:$B$32,0)),0)</f>
        <v>0</v>
      </c>
      <c r="J255" s="45" t="n">
        <f aca="false">E255*I255</f>
        <v>0</v>
      </c>
      <c r="K255" s="49" t="s">
        <v>155</v>
      </c>
    </row>
    <row r="256" customFormat="false" ht="15" hidden="false" customHeight="false" outlineLevel="0" collapsed="false">
      <c r="A256" s="44" t="n">
        <v>23</v>
      </c>
      <c r="B256" s="43" t="s">
        <v>335</v>
      </c>
      <c r="C256" s="44" t="s">
        <v>313</v>
      </c>
      <c r="D256" s="43" t="s">
        <v>116</v>
      </c>
      <c r="E256" s="45" t="n">
        <v>120</v>
      </c>
      <c r="F256" s="44" t="s">
        <v>90</v>
      </c>
      <c r="G256" s="46" t="n">
        <f aca="false">IFERROR(INDEX('1. INSUMOS'!$H$8:$H$98,MATCH($D256,'1. INSUMOS'!$B$8:$B$98,0)),0)</f>
        <v>0.153125</v>
      </c>
      <c r="H256" s="47" t="n">
        <f aca="false">E256*G256</f>
        <v>18.375</v>
      </c>
      <c r="I256" s="48" t="n">
        <f aca="false">IFERROR(INDEX('4. PRODUCCIÓN'!$D$8:$D$32,MATCH($A256,'4. PRODUCCIÓN'!$B$8:$B$32,0)),0)</f>
        <v>0</v>
      </c>
      <c r="J256" s="45" t="n">
        <f aca="false">E256*I256</f>
        <v>0</v>
      </c>
      <c r="K256" s="49" t="s">
        <v>338</v>
      </c>
    </row>
    <row r="257" customFormat="false" ht="15" hidden="false" customHeight="false" outlineLevel="0" collapsed="false">
      <c r="A257" s="44" t="n">
        <v>23</v>
      </c>
      <c r="B257" s="43" t="s">
        <v>335</v>
      </c>
      <c r="C257" s="44" t="s">
        <v>246</v>
      </c>
      <c r="D257" s="43" t="s">
        <v>197</v>
      </c>
      <c r="E257" s="45" t="n">
        <v>2</v>
      </c>
      <c r="F257" s="44" t="s">
        <v>90</v>
      </c>
      <c r="G257" s="46" t="n">
        <f aca="false">IFERROR(INDEX('1. INSUMOS'!$H$8:$H$98,MATCH($D257,'1. INSUMOS'!$B$8:$B$98,0)),0)</f>
        <v>0.5</v>
      </c>
      <c r="H257" s="47" t="n">
        <f aca="false">E257*G257</f>
        <v>1</v>
      </c>
      <c r="I257" s="48" t="n">
        <f aca="false">IFERROR(INDEX('4. PRODUCCIÓN'!$D$8:$D$32,MATCH($A257,'4. PRODUCCIÓN'!$B$8:$B$32,0)),0)</f>
        <v>0</v>
      </c>
      <c r="J257" s="45" t="n">
        <f aca="false">E257*I257</f>
        <v>0</v>
      </c>
      <c r="K257" s="49" t="s">
        <v>339</v>
      </c>
    </row>
    <row r="258" customFormat="false" ht="15" hidden="false" customHeight="false" outlineLevel="0" collapsed="false">
      <c r="A258" s="50" t="n">
        <v>24</v>
      </c>
      <c r="B258" s="41" t="s">
        <v>340</v>
      </c>
      <c r="C258" s="50" t="s">
        <v>240</v>
      </c>
      <c r="D258" s="41" t="s">
        <v>88</v>
      </c>
      <c r="E258" s="51" t="n">
        <v>170</v>
      </c>
      <c r="F258" s="50" t="s">
        <v>90</v>
      </c>
      <c r="G258" s="52" t="n">
        <f aca="false">IFERROR(INDEX('1. INSUMOS'!$H$8:$H$98,MATCH($D258,'1. INSUMOS'!$B$8:$B$98,0)),0)</f>
        <v>0.21</v>
      </c>
      <c r="H258" s="53" t="n">
        <f aca="false">E258*G258</f>
        <v>35.7</v>
      </c>
      <c r="I258" s="54" t="n">
        <f aca="false">IFERROR(INDEX('4. PRODUCCIÓN'!$D$8:$D$32,MATCH($A258,'4. PRODUCCIÓN'!$B$8:$B$32,0)),0)</f>
        <v>0</v>
      </c>
      <c r="J258" s="51" t="n">
        <f aca="false">E258*I258</f>
        <v>0</v>
      </c>
      <c r="K258" s="55" t="s">
        <v>249</v>
      </c>
    </row>
    <row r="259" customFormat="false" ht="15" hidden="false" customHeight="false" outlineLevel="0" collapsed="false">
      <c r="A259" s="50" t="n">
        <v>24</v>
      </c>
      <c r="B259" s="41" t="s">
        <v>340</v>
      </c>
      <c r="C259" s="50" t="s">
        <v>240</v>
      </c>
      <c r="D259" s="41" t="s">
        <v>108</v>
      </c>
      <c r="E259" s="51" t="n">
        <v>150</v>
      </c>
      <c r="F259" s="50" t="s">
        <v>90</v>
      </c>
      <c r="G259" s="52" t="n">
        <f aca="false">IFERROR(INDEX('1. INSUMOS'!$H$8:$H$98,MATCH($D259,'1. INSUMOS'!$B$8:$B$98,0)),0)</f>
        <v>0.052</v>
      </c>
      <c r="H259" s="53" t="n">
        <f aca="false">E259*G259</f>
        <v>7.8</v>
      </c>
      <c r="I259" s="54" t="n">
        <f aca="false">IFERROR(INDEX('4. PRODUCCIÓN'!$D$8:$D$32,MATCH($A259,'4. PRODUCCIÓN'!$B$8:$B$32,0)),0)</f>
        <v>0</v>
      </c>
      <c r="J259" s="51" t="n">
        <f aca="false">E259*I259</f>
        <v>0</v>
      </c>
      <c r="K259" s="55" t="s">
        <v>108</v>
      </c>
    </row>
    <row r="260" customFormat="false" ht="15" hidden="false" customHeight="false" outlineLevel="0" collapsed="false">
      <c r="A260" s="50" t="n">
        <v>24</v>
      </c>
      <c r="B260" s="41" t="s">
        <v>340</v>
      </c>
      <c r="C260" s="50" t="s">
        <v>240</v>
      </c>
      <c r="D260" s="41" t="s">
        <v>105</v>
      </c>
      <c r="E260" s="51" t="n">
        <v>100</v>
      </c>
      <c r="F260" s="50" t="s">
        <v>90</v>
      </c>
      <c r="G260" s="52" t="n">
        <f aca="false">IFERROR(INDEX('1. INSUMOS'!$H$8:$H$98,MATCH($D260,'1. INSUMOS'!$B$8:$B$98,0)),0)</f>
        <v>0.03</v>
      </c>
      <c r="H260" s="53" t="n">
        <f aca="false">E260*G260</f>
        <v>3</v>
      </c>
      <c r="I260" s="54" t="n">
        <f aca="false">IFERROR(INDEX('4. PRODUCCIÓN'!$D$8:$D$32,MATCH($A260,'4. PRODUCCIÓN'!$B$8:$B$32,0)),0)</f>
        <v>0</v>
      </c>
      <c r="J260" s="51" t="n">
        <f aca="false">E260*I260</f>
        <v>0</v>
      </c>
      <c r="K260" s="55" t="s">
        <v>105</v>
      </c>
    </row>
    <row r="261" customFormat="false" ht="15" hidden="false" customHeight="false" outlineLevel="0" collapsed="false">
      <c r="A261" s="50" t="n">
        <v>24</v>
      </c>
      <c r="B261" s="41" t="s">
        <v>340</v>
      </c>
      <c r="C261" s="50" t="s">
        <v>240</v>
      </c>
      <c r="D261" s="41" t="s">
        <v>142</v>
      </c>
      <c r="E261" s="51" t="n">
        <v>2</v>
      </c>
      <c r="F261" s="50" t="s">
        <v>144</v>
      </c>
      <c r="G261" s="52" t="n">
        <f aca="false">IFERROR(INDEX('1. INSUMOS'!$H$8:$H$98,MATCH($D261,'1. INSUMOS'!$B$8:$B$98,0)),0)</f>
        <v>3.2</v>
      </c>
      <c r="H261" s="53" t="n">
        <f aca="false">E261*G261</f>
        <v>6.4</v>
      </c>
      <c r="I261" s="54" t="n">
        <f aca="false">IFERROR(INDEX('4. PRODUCCIÓN'!$D$8:$D$32,MATCH($A261,'4. PRODUCCIÓN'!$B$8:$B$32,0)),0)</f>
        <v>0</v>
      </c>
      <c r="J261" s="51" t="n">
        <f aca="false">E261*I261</f>
        <v>0</v>
      </c>
      <c r="K261" s="55" t="s">
        <v>250</v>
      </c>
    </row>
    <row r="262" customFormat="false" ht="15" hidden="false" customHeight="false" outlineLevel="0" collapsed="false">
      <c r="A262" s="50" t="n">
        <v>24</v>
      </c>
      <c r="B262" s="41" t="s">
        <v>340</v>
      </c>
      <c r="C262" s="50" t="s">
        <v>240</v>
      </c>
      <c r="D262" s="41" t="s">
        <v>126</v>
      </c>
      <c r="E262" s="51" t="n">
        <v>250</v>
      </c>
      <c r="F262" s="50" t="s">
        <v>90</v>
      </c>
      <c r="G262" s="52" t="n">
        <f aca="false">IFERROR(INDEX('1. INSUMOS'!$H$8:$H$98,MATCH($D262,'1. INSUMOS'!$B$8:$B$98,0)),0)</f>
        <v>0.03</v>
      </c>
      <c r="H262" s="53" t="n">
        <f aca="false">E262*G262</f>
        <v>7.5</v>
      </c>
      <c r="I262" s="54" t="n">
        <f aca="false">IFERROR(INDEX('4. PRODUCCIÓN'!$D$8:$D$32,MATCH($A262,'4. PRODUCCIÓN'!$B$8:$B$32,0)),0)</f>
        <v>0</v>
      </c>
      <c r="J262" s="51" t="n">
        <f aca="false">E262*I262</f>
        <v>0</v>
      </c>
      <c r="K262" s="55" t="s">
        <v>126</v>
      </c>
    </row>
    <row r="263" customFormat="false" ht="15" hidden="false" customHeight="false" outlineLevel="0" collapsed="false">
      <c r="A263" s="50" t="n">
        <v>24</v>
      </c>
      <c r="B263" s="41" t="s">
        <v>340</v>
      </c>
      <c r="C263" s="50" t="s">
        <v>240</v>
      </c>
      <c r="D263" s="41" t="s">
        <v>129</v>
      </c>
      <c r="E263" s="51" t="n">
        <v>50</v>
      </c>
      <c r="F263" s="50" t="s">
        <v>90</v>
      </c>
      <c r="G263" s="52" t="n">
        <f aca="false">IFERROR(INDEX('1. INSUMOS'!$H$8:$H$98,MATCH($D263,'1. INSUMOS'!$B$8:$B$98,0)),0)</f>
        <v>0.62</v>
      </c>
      <c r="H263" s="53" t="n">
        <f aca="false">E263*G263</f>
        <v>31</v>
      </c>
      <c r="I263" s="54" t="n">
        <f aca="false">IFERROR(INDEX('4. PRODUCCIÓN'!$D$8:$D$32,MATCH($A263,'4. PRODUCCIÓN'!$B$8:$B$32,0)),0)</f>
        <v>0</v>
      </c>
      <c r="J263" s="51" t="n">
        <f aca="false">E263*I263</f>
        <v>0</v>
      </c>
      <c r="K263" s="55" t="s">
        <v>341</v>
      </c>
    </row>
    <row r="264" customFormat="false" ht="15" hidden="false" customHeight="false" outlineLevel="0" collapsed="false">
      <c r="A264" s="50" t="n">
        <v>24</v>
      </c>
      <c r="B264" s="41" t="s">
        <v>340</v>
      </c>
      <c r="C264" s="50" t="s">
        <v>240</v>
      </c>
      <c r="D264" s="41" t="s">
        <v>159</v>
      </c>
      <c r="E264" s="51" t="n">
        <v>20</v>
      </c>
      <c r="F264" s="50" t="s">
        <v>90</v>
      </c>
      <c r="G264" s="52" t="n">
        <f aca="false">IFERROR(INDEX('1. INSUMOS'!$H$8:$H$98,MATCH($D264,'1. INSUMOS'!$B$8:$B$98,0)),0)</f>
        <v>0.276</v>
      </c>
      <c r="H264" s="53" t="n">
        <f aca="false">E264*G264</f>
        <v>5.52</v>
      </c>
      <c r="I264" s="54" t="n">
        <f aca="false">IFERROR(INDEX('4. PRODUCCIÓN'!$D$8:$D$32,MATCH($A264,'4. PRODUCCIÓN'!$B$8:$B$32,0)),0)</f>
        <v>0</v>
      </c>
      <c r="J264" s="51" t="n">
        <f aca="false">E264*I264</f>
        <v>0</v>
      </c>
      <c r="K264" s="55" t="s">
        <v>159</v>
      </c>
    </row>
    <row r="265" customFormat="false" ht="15" hidden="false" customHeight="false" outlineLevel="0" collapsed="false">
      <c r="A265" s="50" t="n">
        <v>24</v>
      </c>
      <c r="B265" s="41" t="s">
        <v>340</v>
      </c>
      <c r="C265" s="50" t="s">
        <v>240</v>
      </c>
      <c r="D265" s="41" t="s">
        <v>130</v>
      </c>
      <c r="E265" s="51" t="n">
        <v>10</v>
      </c>
      <c r="F265" s="50" t="s">
        <v>90</v>
      </c>
      <c r="G265" s="52" t="n">
        <f aca="false">IFERROR(INDEX('1. INSUMOS'!$H$8:$H$98,MATCH($D265,'1. INSUMOS'!$B$8:$B$98,0)),0)</f>
        <v>0.09</v>
      </c>
      <c r="H265" s="53" t="n">
        <f aca="false">E265*G265</f>
        <v>0.9</v>
      </c>
      <c r="I265" s="54" t="n">
        <f aca="false">IFERROR(INDEX('4. PRODUCCIÓN'!$D$8:$D$32,MATCH($A265,'4. PRODUCCIÓN'!$B$8:$B$32,0)),0)</f>
        <v>0</v>
      </c>
      <c r="J265" s="51" t="n">
        <f aca="false">E265*I265</f>
        <v>0</v>
      </c>
      <c r="K265" s="55" t="s">
        <v>253</v>
      </c>
    </row>
    <row r="266" customFormat="false" ht="15" hidden="false" customHeight="false" outlineLevel="0" collapsed="false">
      <c r="A266" s="50" t="n">
        <v>24</v>
      </c>
      <c r="B266" s="41" t="s">
        <v>340</v>
      </c>
      <c r="C266" s="50" t="s">
        <v>240</v>
      </c>
      <c r="D266" s="41" t="s">
        <v>133</v>
      </c>
      <c r="E266" s="51" t="n">
        <v>5</v>
      </c>
      <c r="F266" s="50" t="s">
        <v>90</v>
      </c>
      <c r="G266" s="52" t="n">
        <f aca="false">IFERROR(INDEX('1. INSUMOS'!$H$8:$H$98,MATCH($D266,'1. INSUMOS'!$B$8:$B$98,0)),0)</f>
        <v>0.13</v>
      </c>
      <c r="H266" s="53" t="n">
        <f aca="false">E266*G266</f>
        <v>0.65</v>
      </c>
      <c r="I266" s="54" t="n">
        <f aca="false">IFERROR(INDEX('4. PRODUCCIÓN'!$D$8:$D$32,MATCH($A266,'4. PRODUCCIÓN'!$B$8:$B$32,0)),0)</f>
        <v>0</v>
      </c>
      <c r="J266" s="51" t="n">
        <f aca="false">E266*I266</f>
        <v>0</v>
      </c>
      <c r="K266" s="55" t="s">
        <v>133</v>
      </c>
    </row>
    <row r="267" customFormat="false" ht="15" hidden="false" customHeight="false" outlineLevel="0" collapsed="false">
      <c r="A267" s="50" t="n">
        <v>24</v>
      </c>
      <c r="B267" s="41" t="s">
        <v>340</v>
      </c>
      <c r="C267" s="50" t="s">
        <v>240</v>
      </c>
      <c r="D267" s="41" t="s">
        <v>195</v>
      </c>
      <c r="E267" s="51" t="n">
        <v>4</v>
      </c>
      <c r="F267" s="50" t="s">
        <v>90</v>
      </c>
      <c r="G267" s="52" t="n">
        <f aca="false">IFERROR(INDEX('1. INSUMOS'!$H$8:$H$98,MATCH($D267,'1. INSUMOS'!$B$8:$B$98,0)),0)</f>
        <v>0.02</v>
      </c>
      <c r="H267" s="53" t="n">
        <f aca="false">E267*G267</f>
        <v>0.08</v>
      </c>
      <c r="I267" s="54" t="n">
        <f aca="false">IFERROR(INDEX('4. PRODUCCIÓN'!$D$8:$D$32,MATCH($A267,'4. PRODUCCIÓN'!$B$8:$B$32,0)),0)</f>
        <v>0</v>
      </c>
      <c r="J267" s="51" t="n">
        <f aca="false">E267*I267</f>
        <v>0</v>
      </c>
      <c r="K267" s="55" t="s">
        <v>195</v>
      </c>
    </row>
    <row r="268" customFormat="false" ht="15" hidden="false" customHeight="false" outlineLevel="0" collapsed="false">
      <c r="A268" s="50" t="n">
        <v>24</v>
      </c>
      <c r="B268" s="41" t="s">
        <v>340</v>
      </c>
      <c r="C268" s="50" t="s">
        <v>240</v>
      </c>
      <c r="D268" s="41" t="s">
        <v>175</v>
      </c>
      <c r="E268" s="51" t="n">
        <v>100</v>
      </c>
      <c r="F268" s="50" t="s">
        <v>90</v>
      </c>
      <c r="G268" s="52" t="n">
        <f aca="false">IFERROR(INDEX('1. INSUMOS'!$H$8:$H$98,MATCH($D268,'1. INSUMOS'!$B$8:$B$98,0)),0)</f>
        <v>0.53</v>
      </c>
      <c r="H268" s="53" t="n">
        <f aca="false">E268*G268</f>
        <v>53</v>
      </c>
      <c r="I268" s="54" t="n">
        <f aca="false">IFERROR(INDEX('4. PRODUCCIÓN'!$D$8:$D$32,MATCH($A268,'4. PRODUCCIÓN'!$B$8:$B$32,0)),0)</f>
        <v>0</v>
      </c>
      <c r="J268" s="51" t="n">
        <f aca="false">E268*I268</f>
        <v>0</v>
      </c>
      <c r="K268" s="55" t="s">
        <v>342</v>
      </c>
    </row>
    <row r="269" customFormat="false" ht="15" hidden="false" customHeight="false" outlineLevel="0" collapsed="false">
      <c r="A269" s="50" t="n">
        <v>24</v>
      </c>
      <c r="B269" s="41" t="s">
        <v>340</v>
      </c>
      <c r="C269" s="50" t="s">
        <v>313</v>
      </c>
      <c r="D269" s="41" t="s">
        <v>146</v>
      </c>
      <c r="E269" s="51" t="n">
        <v>90</v>
      </c>
      <c r="F269" s="50" t="s">
        <v>90</v>
      </c>
      <c r="G269" s="52" t="n">
        <f aca="false">IFERROR(INDEX('1. INSUMOS'!$H$8:$H$98,MATCH($D269,'1. INSUMOS'!$B$8:$B$98,0)),0)</f>
        <v>0.21</v>
      </c>
      <c r="H269" s="53" t="n">
        <f aca="false">E269*G269</f>
        <v>18.9</v>
      </c>
      <c r="I269" s="54" t="n">
        <f aca="false">IFERROR(INDEX('4. PRODUCCIÓN'!$D$8:$D$32,MATCH($A269,'4. PRODUCCIÓN'!$B$8:$B$32,0)),0)</f>
        <v>0</v>
      </c>
      <c r="J269" s="51" t="n">
        <f aca="false">E269*I269</f>
        <v>0</v>
      </c>
      <c r="K269" s="55" t="s">
        <v>343</v>
      </c>
    </row>
    <row r="270" customFormat="false" ht="15" hidden="false" customHeight="false" outlineLevel="0" collapsed="false">
      <c r="A270" s="44" t="n">
        <v>25</v>
      </c>
      <c r="B270" s="43" t="s">
        <v>344</v>
      </c>
      <c r="C270" s="44" t="s">
        <v>240</v>
      </c>
      <c r="D270" s="43" t="s">
        <v>88</v>
      </c>
      <c r="E270" s="45" t="n">
        <v>180</v>
      </c>
      <c r="F270" s="44" t="s">
        <v>90</v>
      </c>
      <c r="G270" s="46" t="n">
        <f aca="false">IFERROR(INDEX('1. INSUMOS'!$H$8:$H$98,MATCH($D270,'1. INSUMOS'!$B$8:$B$98,0)),0)</f>
        <v>0.21</v>
      </c>
      <c r="H270" s="47" t="n">
        <f aca="false">E270*G270</f>
        <v>37.8</v>
      </c>
      <c r="I270" s="48" t="n">
        <f aca="false">IFERROR(INDEX('4. PRODUCCIÓN'!$D$8:$D$32,MATCH($A270,'4. PRODUCCIÓN'!$B$8:$B$32,0)),0)</f>
        <v>0</v>
      </c>
      <c r="J270" s="45" t="n">
        <f aca="false">E270*I270</f>
        <v>0</v>
      </c>
      <c r="K270" s="49" t="s">
        <v>249</v>
      </c>
    </row>
    <row r="271" customFormat="false" ht="15" hidden="false" customHeight="false" outlineLevel="0" collapsed="false">
      <c r="A271" s="44" t="n">
        <v>25</v>
      </c>
      <c r="B271" s="43" t="s">
        <v>344</v>
      </c>
      <c r="C271" s="44" t="s">
        <v>240</v>
      </c>
      <c r="D271" s="43" t="s">
        <v>108</v>
      </c>
      <c r="E271" s="45" t="n">
        <v>120</v>
      </c>
      <c r="F271" s="44" t="s">
        <v>90</v>
      </c>
      <c r="G271" s="46" t="n">
        <f aca="false">IFERROR(INDEX('1. INSUMOS'!$H$8:$H$98,MATCH($D271,'1. INSUMOS'!$B$8:$B$98,0)),0)</f>
        <v>0.052</v>
      </c>
      <c r="H271" s="47" t="n">
        <f aca="false">E271*G271</f>
        <v>6.24</v>
      </c>
      <c r="I271" s="48" t="n">
        <f aca="false">IFERROR(INDEX('4. PRODUCCIÓN'!$D$8:$D$32,MATCH($A271,'4. PRODUCCIÓN'!$B$8:$B$32,0)),0)</f>
        <v>0</v>
      </c>
      <c r="J271" s="45" t="n">
        <f aca="false">E271*I271</f>
        <v>0</v>
      </c>
      <c r="K271" s="49" t="s">
        <v>270</v>
      </c>
    </row>
    <row r="272" customFormat="false" ht="15" hidden="false" customHeight="false" outlineLevel="0" collapsed="false">
      <c r="A272" s="44" t="n">
        <v>25</v>
      </c>
      <c r="B272" s="43" t="s">
        <v>344</v>
      </c>
      <c r="C272" s="44" t="s">
        <v>240</v>
      </c>
      <c r="D272" s="43" t="s">
        <v>105</v>
      </c>
      <c r="E272" s="45" t="n">
        <v>120</v>
      </c>
      <c r="F272" s="44" t="s">
        <v>90</v>
      </c>
      <c r="G272" s="46" t="n">
        <f aca="false">IFERROR(INDEX('1. INSUMOS'!$H$8:$H$98,MATCH($D272,'1. INSUMOS'!$B$8:$B$98,0)),0)</f>
        <v>0.03</v>
      </c>
      <c r="H272" s="47" t="n">
        <f aca="false">E272*G272</f>
        <v>3.6</v>
      </c>
      <c r="I272" s="48" t="n">
        <f aca="false">IFERROR(INDEX('4. PRODUCCIÓN'!$D$8:$D$32,MATCH($A272,'4. PRODUCCIÓN'!$B$8:$B$32,0)),0)</f>
        <v>0</v>
      </c>
      <c r="J272" s="45" t="n">
        <f aca="false">E272*I272</f>
        <v>0</v>
      </c>
      <c r="K272" s="49" t="s">
        <v>105</v>
      </c>
    </row>
    <row r="273" customFormat="false" ht="15" hidden="false" customHeight="false" outlineLevel="0" collapsed="false">
      <c r="A273" s="44" t="n">
        <v>25</v>
      </c>
      <c r="B273" s="43" t="s">
        <v>344</v>
      </c>
      <c r="C273" s="44" t="s">
        <v>240</v>
      </c>
      <c r="D273" s="43" t="s">
        <v>142</v>
      </c>
      <c r="E273" s="45" t="n">
        <v>2</v>
      </c>
      <c r="F273" s="44" t="s">
        <v>144</v>
      </c>
      <c r="G273" s="46" t="n">
        <f aca="false">IFERROR(INDEX('1. INSUMOS'!$H$8:$H$98,MATCH($D273,'1. INSUMOS'!$B$8:$B$98,0)),0)</f>
        <v>3.2</v>
      </c>
      <c r="H273" s="47" t="n">
        <f aca="false">E273*G273</f>
        <v>6.4</v>
      </c>
      <c r="I273" s="48" t="n">
        <f aca="false">IFERROR(INDEX('4. PRODUCCIÓN'!$D$8:$D$32,MATCH($A273,'4. PRODUCCIÓN'!$B$8:$B$32,0)),0)</f>
        <v>0</v>
      </c>
      <c r="J273" s="45" t="n">
        <f aca="false">E273*I273</f>
        <v>0</v>
      </c>
      <c r="K273" s="49" t="s">
        <v>250</v>
      </c>
    </row>
    <row r="274" customFormat="false" ht="15" hidden="false" customHeight="false" outlineLevel="0" collapsed="false">
      <c r="A274" s="44" t="n">
        <v>25</v>
      </c>
      <c r="B274" s="43" t="s">
        <v>344</v>
      </c>
      <c r="C274" s="44" t="s">
        <v>240</v>
      </c>
      <c r="D274" s="43" t="s">
        <v>126</v>
      </c>
      <c r="E274" s="45" t="n">
        <v>300</v>
      </c>
      <c r="F274" s="44" t="s">
        <v>90</v>
      </c>
      <c r="G274" s="46" t="n">
        <f aca="false">IFERROR(INDEX('1. INSUMOS'!$H$8:$H$98,MATCH($D274,'1. INSUMOS'!$B$8:$B$98,0)),0)</f>
        <v>0.03</v>
      </c>
      <c r="H274" s="47" t="n">
        <f aca="false">E274*G274</f>
        <v>9</v>
      </c>
      <c r="I274" s="48" t="n">
        <f aca="false">IFERROR(INDEX('4. PRODUCCIÓN'!$D$8:$D$32,MATCH($A274,'4. PRODUCCIÓN'!$B$8:$B$32,0)),0)</f>
        <v>0</v>
      </c>
      <c r="J274" s="45" t="n">
        <f aca="false">E274*I274</f>
        <v>0</v>
      </c>
      <c r="K274" s="49" t="s">
        <v>126</v>
      </c>
    </row>
    <row r="275" customFormat="false" ht="15" hidden="false" customHeight="false" outlineLevel="0" collapsed="false">
      <c r="A275" s="44" t="n">
        <v>25</v>
      </c>
      <c r="B275" s="43" t="s">
        <v>344</v>
      </c>
      <c r="C275" s="44" t="s">
        <v>240</v>
      </c>
      <c r="D275" s="43" t="s">
        <v>210</v>
      </c>
      <c r="E275" s="45" t="n">
        <v>20</v>
      </c>
      <c r="F275" s="44" t="s">
        <v>90</v>
      </c>
      <c r="G275" s="46" t="n">
        <f aca="false">IFERROR(INDEX('1. INSUMOS'!$H$8:$H$98,MATCH($D275,'1. INSUMOS'!$B$8:$B$98,0)),0)</f>
        <v>2.65</v>
      </c>
      <c r="H275" s="47" t="n">
        <f aca="false">E275*G275</f>
        <v>53</v>
      </c>
      <c r="I275" s="48" t="n">
        <f aca="false">IFERROR(INDEX('4. PRODUCCIÓN'!$D$8:$D$32,MATCH($A275,'4. PRODUCCIÓN'!$B$8:$B$32,0)),0)</f>
        <v>0</v>
      </c>
      <c r="J275" s="45" t="n">
        <f aca="false">E275*I275</f>
        <v>0</v>
      </c>
      <c r="K275" s="49" t="s">
        <v>345</v>
      </c>
    </row>
    <row r="276" customFormat="false" ht="15" hidden="false" customHeight="false" outlineLevel="0" collapsed="false">
      <c r="A276" s="44" t="n">
        <v>25</v>
      </c>
      <c r="B276" s="43" t="s">
        <v>344</v>
      </c>
      <c r="C276" s="44" t="s">
        <v>240</v>
      </c>
      <c r="D276" s="43" t="s">
        <v>130</v>
      </c>
      <c r="E276" s="45" t="n">
        <v>10</v>
      </c>
      <c r="F276" s="44" t="s">
        <v>90</v>
      </c>
      <c r="G276" s="46" t="n">
        <f aca="false">IFERROR(INDEX('1. INSUMOS'!$H$8:$H$98,MATCH($D276,'1. INSUMOS'!$B$8:$B$98,0)),0)</f>
        <v>0.09</v>
      </c>
      <c r="H276" s="47" t="n">
        <f aca="false">E276*G276</f>
        <v>0.9</v>
      </c>
      <c r="I276" s="48" t="n">
        <f aca="false">IFERROR(INDEX('4. PRODUCCIÓN'!$D$8:$D$32,MATCH($A276,'4. PRODUCCIÓN'!$B$8:$B$32,0)),0)</f>
        <v>0</v>
      </c>
      <c r="J276" s="45" t="n">
        <f aca="false">E276*I276</f>
        <v>0</v>
      </c>
      <c r="K276" s="49" t="s">
        <v>253</v>
      </c>
    </row>
    <row r="277" customFormat="false" ht="15" hidden="false" customHeight="false" outlineLevel="0" collapsed="false">
      <c r="A277" s="44" t="n">
        <v>25</v>
      </c>
      <c r="B277" s="43" t="s">
        <v>344</v>
      </c>
      <c r="C277" s="44" t="s">
        <v>240</v>
      </c>
      <c r="D277" s="43" t="s">
        <v>133</v>
      </c>
      <c r="E277" s="45" t="n">
        <v>5</v>
      </c>
      <c r="F277" s="44" t="s">
        <v>90</v>
      </c>
      <c r="G277" s="46" t="n">
        <f aca="false">IFERROR(INDEX('1. INSUMOS'!$H$8:$H$98,MATCH($D277,'1. INSUMOS'!$B$8:$B$98,0)),0)</f>
        <v>0.13</v>
      </c>
      <c r="H277" s="47" t="n">
        <f aca="false">E277*G277</f>
        <v>0.65</v>
      </c>
      <c r="I277" s="48" t="n">
        <f aca="false">IFERROR(INDEX('4. PRODUCCIÓN'!$D$8:$D$32,MATCH($A277,'4. PRODUCCIÓN'!$B$8:$B$32,0)),0)</f>
        <v>0</v>
      </c>
      <c r="J277" s="45" t="n">
        <f aca="false">E277*I277</f>
        <v>0</v>
      </c>
      <c r="K277" s="49" t="s">
        <v>133</v>
      </c>
    </row>
    <row r="278" customFormat="false" ht="15" hidden="false" customHeight="false" outlineLevel="0" collapsed="false">
      <c r="A278" s="44" t="n">
        <v>25</v>
      </c>
      <c r="B278" s="43" t="s">
        <v>344</v>
      </c>
      <c r="C278" s="44" t="s">
        <v>240</v>
      </c>
      <c r="D278" s="43" t="s">
        <v>195</v>
      </c>
      <c r="E278" s="45" t="n">
        <v>4</v>
      </c>
      <c r="F278" s="44" t="s">
        <v>90</v>
      </c>
      <c r="G278" s="46" t="n">
        <f aca="false">IFERROR(INDEX('1. INSUMOS'!$H$8:$H$98,MATCH($D278,'1. INSUMOS'!$B$8:$B$98,0)),0)</f>
        <v>0.02</v>
      </c>
      <c r="H278" s="47" t="n">
        <f aca="false">E278*G278</f>
        <v>0.08</v>
      </c>
      <c r="I278" s="48" t="n">
        <f aca="false">IFERROR(INDEX('4. PRODUCCIÓN'!$D$8:$D$32,MATCH($A278,'4. PRODUCCIÓN'!$B$8:$B$32,0)),0)</f>
        <v>0</v>
      </c>
      <c r="J278" s="45" t="n">
        <f aca="false">E278*I278</f>
        <v>0</v>
      </c>
      <c r="K278" s="49" t="s">
        <v>195</v>
      </c>
    </row>
    <row r="279" customFormat="false" ht="15" hidden="false" customHeight="false" outlineLevel="0" collapsed="false">
      <c r="A279" s="44" t="n">
        <v>25</v>
      </c>
      <c r="B279" s="43" t="s">
        <v>344</v>
      </c>
      <c r="C279" s="44" t="s">
        <v>240</v>
      </c>
      <c r="D279" s="43" t="s">
        <v>156</v>
      </c>
      <c r="E279" s="45" t="n">
        <v>100</v>
      </c>
      <c r="F279" s="44" t="s">
        <v>90</v>
      </c>
      <c r="G279" s="46" t="n">
        <f aca="false">IFERROR(INDEX('1. INSUMOS'!$H$8:$H$98,MATCH($D279,'1. INSUMOS'!$B$8:$B$98,0)),0)</f>
        <v>0.175</v>
      </c>
      <c r="H279" s="47" t="n">
        <f aca="false">E279*G279</f>
        <v>17.5</v>
      </c>
      <c r="I279" s="48" t="n">
        <f aca="false">IFERROR(INDEX('4. PRODUCCIÓN'!$D$8:$D$32,MATCH($A279,'4. PRODUCCIÓN'!$B$8:$B$32,0)),0)</f>
        <v>0</v>
      </c>
      <c r="J279" s="45" t="n">
        <f aca="false">E279*I279</f>
        <v>0</v>
      </c>
      <c r="K279" s="49" t="s">
        <v>346</v>
      </c>
    </row>
    <row r="280" customFormat="false" ht="15" hidden="false" customHeight="false" outlineLevel="0" collapsed="false">
      <c r="A280" s="44" t="n">
        <v>25</v>
      </c>
      <c r="B280" s="43" t="s">
        <v>344</v>
      </c>
      <c r="C280" s="44" t="s">
        <v>313</v>
      </c>
      <c r="D280" s="43" t="s">
        <v>149</v>
      </c>
      <c r="E280" s="45" t="n">
        <v>120</v>
      </c>
      <c r="F280" s="44" t="s">
        <v>90</v>
      </c>
      <c r="G280" s="46" t="n">
        <f aca="false">IFERROR(INDEX('1. INSUMOS'!$H$8:$H$98,MATCH($D280,'1. INSUMOS'!$B$8:$B$98,0)),0)</f>
        <v>0.235</v>
      </c>
      <c r="H280" s="47" t="n">
        <f aca="false">E280*G280</f>
        <v>28.2</v>
      </c>
      <c r="I280" s="48" t="n">
        <f aca="false">IFERROR(INDEX('4. PRODUCCIÓN'!$D$8:$D$32,MATCH($A280,'4. PRODUCCIÓN'!$B$8:$B$32,0)),0)</f>
        <v>0</v>
      </c>
      <c r="J280" s="45" t="n">
        <f aca="false">E280*I280</f>
        <v>0</v>
      </c>
      <c r="K280" s="49" t="s">
        <v>347</v>
      </c>
    </row>
    <row r="281" customFormat="false" ht="15" hidden="false" customHeight="false" outlineLevel="0" collapsed="false">
      <c r="A281" s="50" t="n">
        <v>26</v>
      </c>
      <c r="B281" s="41" t="s">
        <v>348</v>
      </c>
      <c r="C281" s="50" t="s">
        <v>240</v>
      </c>
      <c r="D281" s="41" t="s">
        <v>88</v>
      </c>
      <c r="E281" s="51" t="n">
        <v>180</v>
      </c>
      <c r="F281" s="50" t="s">
        <v>90</v>
      </c>
      <c r="G281" s="52" t="n">
        <f aca="false">IFERROR(INDEX('1. INSUMOS'!$H$8:$H$98,MATCH($D281,'1. INSUMOS'!$B$8:$B$98,0)),0)</f>
        <v>0.21</v>
      </c>
      <c r="H281" s="53" t="n">
        <f aca="false">E281*G281</f>
        <v>37.8</v>
      </c>
      <c r="I281" s="54" t="n">
        <f aca="false">IFERROR(INDEX('4. PRODUCCIÓN'!$D$8:$D$32,MATCH($A281,'4. PRODUCCIÓN'!$B$8:$B$32,0)),0)</f>
        <v>0</v>
      </c>
      <c r="J281" s="51" t="n">
        <f aca="false">E281*I281</f>
        <v>0</v>
      </c>
      <c r="K281" s="55" t="s">
        <v>249</v>
      </c>
    </row>
    <row r="282" customFormat="false" ht="15" hidden="false" customHeight="false" outlineLevel="0" collapsed="false">
      <c r="A282" s="50" t="n">
        <v>26</v>
      </c>
      <c r="B282" s="41" t="s">
        <v>348</v>
      </c>
      <c r="C282" s="50" t="s">
        <v>240</v>
      </c>
      <c r="D282" s="41" t="s">
        <v>108</v>
      </c>
      <c r="E282" s="51" t="n">
        <v>140</v>
      </c>
      <c r="F282" s="50" t="s">
        <v>90</v>
      </c>
      <c r="G282" s="52" t="n">
        <f aca="false">IFERROR(INDEX('1. INSUMOS'!$H$8:$H$98,MATCH($D282,'1. INSUMOS'!$B$8:$B$98,0)),0)</f>
        <v>0.052</v>
      </c>
      <c r="H282" s="53" t="n">
        <f aca="false">E282*G282</f>
        <v>7.28</v>
      </c>
      <c r="I282" s="54" t="n">
        <f aca="false">IFERROR(INDEX('4. PRODUCCIÓN'!$D$8:$D$32,MATCH($A282,'4. PRODUCCIÓN'!$B$8:$B$32,0)),0)</f>
        <v>0</v>
      </c>
      <c r="J282" s="51" t="n">
        <f aca="false">E282*I282</f>
        <v>0</v>
      </c>
      <c r="K282" s="55" t="s">
        <v>108</v>
      </c>
    </row>
    <row r="283" customFormat="false" ht="15" hidden="false" customHeight="false" outlineLevel="0" collapsed="false">
      <c r="A283" s="50" t="n">
        <v>26</v>
      </c>
      <c r="B283" s="41" t="s">
        <v>348</v>
      </c>
      <c r="C283" s="50" t="s">
        <v>240</v>
      </c>
      <c r="D283" s="41" t="s">
        <v>105</v>
      </c>
      <c r="E283" s="51" t="n">
        <v>110</v>
      </c>
      <c r="F283" s="50" t="s">
        <v>90</v>
      </c>
      <c r="G283" s="52" t="n">
        <f aca="false">IFERROR(INDEX('1. INSUMOS'!$H$8:$H$98,MATCH($D283,'1. INSUMOS'!$B$8:$B$98,0)),0)</f>
        <v>0.03</v>
      </c>
      <c r="H283" s="53" t="n">
        <f aca="false">E283*G283</f>
        <v>3.3</v>
      </c>
      <c r="I283" s="54" t="n">
        <f aca="false">IFERROR(INDEX('4. PRODUCCIÓN'!$D$8:$D$32,MATCH($A283,'4. PRODUCCIÓN'!$B$8:$B$32,0)),0)</f>
        <v>0</v>
      </c>
      <c r="J283" s="51" t="n">
        <f aca="false">E283*I283</f>
        <v>0</v>
      </c>
      <c r="K283" s="55" t="s">
        <v>105</v>
      </c>
    </row>
    <row r="284" customFormat="false" ht="15" hidden="false" customHeight="false" outlineLevel="0" collapsed="false">
      <c r="A284" s="50" t="n">
        <v>26</v>
      </c>
      <c r="B284" s="41" t="s">
        <v>348</v>
      </c>
      <c r="C284" s="50" t="s">
        <v>240</v>
      </c>
      <c r="D284" s="41" t="s">
        <v>142</v>
      </c>
      <c r="E284" s="51" t="n">
        <v>2</v>
      </c>
      <c r="F284" s="50" t="s">
        <v>144</v>
      </c>
      <c r="G284" s="52" t="n">
        <f aca="false">IFERROR(INDEX('1. INSUMOS'!$H$8:$H$98,MATCH($D284,'1. INSUMOS'!$B$8:$B$98,0)),0)</f>
        <v>3.2</v>
      </c>
      <c r="H284" s="53" t="n">
        <f aca="false">E284*G284</f>
        <v>6.4</v>
      </c>
      <c r="I284" s="54" t="n">
        <f aca="false">IFERROR(INDEX('4. PRODUCCIÓN'!$D$8:$D$32,MATCH($A284,'4. PRODUCCIÓN'!$B$8:$B$32,0)),0)</f>
        <v>0</v>
      </c>
      <c r="J284" s="51" t="n">
        <f aca="false">E284*I284</f>
        <v>0</v>
      </c>
      <c r="K284" s="55" t="s">
        <v>250</v>
      </c>
    </row>
    <row r="285" customFormat="false" ht="15" hidden="false" customHeight="false" outlineLevel="0" collapsed="false">
      <c r="A285" s="50" t="n">
        <v>26</v>
      </c>
      <c r="B285" s="41" t="s">
        <v>348</v>
      </c>
      <c r="C285" s="50" t="s">
        <v>240</v>
      </c>
      <c r="D285" s="41" t="s">
        <v>219</v>
      </c>
      <c r="E285" s="51" t="n">
        <v>15</v>
      </c>
      <c r="F285" s="50" t="s">
        <v>101</v>
      </c>
      <c r="G285" s="52" t="n">
        <f aca="false">IFERROR(INDEX('1. INSUMOS'!$H$8:$H$98,MATCH($D285,'1. INSUMOS'!$B$8:$B$98,0)),0)</f>
        <v>0.816666666666667</v>
      </c>
      <c r="H285" s="53" t="n">
        <f aca="false">E285*G285</f>
        <v>12.25</v>
      </c>
      <c r="I285" s="54" t="n">
        <f aca="false">IFERROR(INDEX('4. PRODUCCIÓN'!$D$8:$D$32,MATCH($A285,'4. PRODUCCIÓN'!$B$8:$B$32,0)),0)</f>
        <v>0</v>
      </c>
      <c r="J285" s="51" t="n">
        <f aca="false">E285*I285</f>
        <v>0</v>
      </c>
      <c r="K285" s="55" t="s">
        <v>349</v>
      </c>
    </row>
    <row r="286" customFormat="false" ht="15" hidden="false" customHeight="false" outlineLevel="0" collapsed="false">
      <c r="A286" s="50" t="n">
        <v>26</v>
      </c>
      <c r="B286" s="41" t="s">
        <v>348</v>
      </c>
      <c r="C286" s="50" t="s">
        <v>240</v>
      </c>
      <c r="D286" s="41" t="s">
        <v>126</v>
      </c>
      <c r="E286" s="51" t="n">
        <v>300</v>
      </c>
      <c r="F286" s="50" t="s">
        <v>90</v>
      </c>
      <c r="G286" s="52" t="n">
        <f aca="false">IFERROR(INDEX('1. INSUMOS'!$H$8:$H$98,MATCH($D286,'1. INSUMOS'!$B$8:$B$98,0)),0)</f>
        <v>0.03</v>
      </c>
      <c r="H286" s="53" t="n">
        <f aca="false">E286*G286</f>
        <v>9</v>
      </c>
      <c r="I286" s="54" t="n">
        <f aca="false">IFERROR(INDEX('4. PRODUCCIÓN'!$D$8:$D$32,MATCH($A286,'4. PRODUCCIÓN'!$B$8:$B$32,0)),0)</f>
        <v>0</v>
      </c>
      <c r="J286" s="51" t="n">
        <f aca="false">E286*I286</f>
        <v>0</v>
      </c>
      <c r="K286" s="55" t="s">
        <v>126</v>
      </c>
    </row>
    <row r="287" customFormat="false" ht="15" hidden="false" customHeight="false" outlineLevel="0" collapsed="false">
      <c r="A287" s="50" t="n">
        <v>26</v>
      </c>
      <c r="B287" s="41" t="s">
        <v>348</v>
      </c>
      <c r="C287" s="50" t="s">
        <v>240</v>
      </c>
      <c r="D287" s="41" t="s">
        <v>130</v>
      </c>
      <c r="E287" s="51" t="n">
        <v>10</v>
      </c>
      <c r="F287" s="50" t="s">
        <v>90</v>
      </c>
      <c r="G287" s="52" t="n">
        <f aca="false">IFERROR(INDEX('1. INSUMOS'!$H$8:$H$98,MATCH($D287,'1. INSUMOS'!$B$8:$B$98,0)),0)</f>
        <v>0.09</v>
      </c>
      <c r="H287" s="53" t="n">
        <f aca="false">E287*G287</f>
        <v>0.9</v>
      </c>
      <c r="I287" s="54" t="n">
        <f aca="false">IFERROR(INDEX('4. PRODUCCIÓN'!$D$8:$D$32,MATCH($A287,'4. PRODUCCIÓN'!$B$8:$B$32,0)),0)</f>
        <v>0</v>
      </c>
      <c r="J287" s="51" t="n">
        <f aca="false">E287*I287</f>
        <v>0</v>
      </c>
      <c r="K287" s="55" t="s">
        <v>253</v>
      </c>
    </row>
    <row r="288" customFormat="false" ht="15" hidden="false" customHeight="false" outlineLevel="0" collapsed="false">
      <c r="A288" s="50" t="n">
        <v>26</v>
      </c>
      <c r="B288" s="41" t="s">
        <v>348</v>
      </c>
      <c r="C288" s="50" t="s">
        <v>240</v>
      </c>
      <c r="D288" s="41" t="s">
        <v>159</v>
      </c>
      <c r="E288" s="51" t="n">
        <v>15</v>
      </c>
      <c r="F288" s="50" t="s">
        <v>90</v>
      </c>
      <c r="G288" s="52" t="n">
        <f aca="false">IFERROR(INDEX('1. INSUMOS'!$H$8:$H$98,MATCH($D288,'1. INSUMOS'!$B$8:$B$98,0)),0)</f>
        <v>0.276</v>
      </c>
      <c r="H288" s="53" t="n">
        <f aca="false">E288*G288</f>
        <v>4.14</v>
      </c>
      <c r="I288" s="54" t="n">
        <f aca="false">IFERROR(INDEX('4. PRODUCCIÓN'!$D$8:$D$32,MATCH($A288,'4. PRODUCCIÓN'!$B$8:$B$32,0)),0)</f>
        <v>0</v>
      </c>
      <c r="J288" s="51" t="n">
        <f aca="false">E288*I288</f>
        <v>0</v>
      </c>
      <c r="K288" s="55" t="s">
        <v>350</v>
      </c>
    </row>
    <row r="289" customFormat="false" ht="15" hidden="false" customHeight="false" outlineLevel="0" collapsed="false">
      <c r="A289" s="50" t="n">
        <v>26</v>
      </c>
      <c r="B289" s="41" t="s">
        <v>348</v>
      </c>
      <c r="C289" s="50" t="s">
        <v>240</v>
      </c>
      <c r="D289" s="41" t="s">
        <v>133</v>
      </c>
      <c r="E289" s="51" t="n">
        <v>5</v>
      </c>
      <c r="F289" s="50" t="s">
        <v>90</v>
      </c>
      <c r="G289" s="52" t="n">
        <f aca="false">IFERROR(INDEX('1. INSUMOS'!$H$8:$H$98,MATCH($D289,'1. INSUMOS'!$B$8:$B$98,0)),0)</f>
        <v>0.13</v>
      </c>
      <c r="H289" s="53" t="n">
        <f aca="false">E289*G289</f>
        <v>0.65</v>
      </c>
      <c r="I289" s="54" t="n">
        <f aca="false">IFERROR(INDEX('4. PRODUCCIÓN'!$D$8:$D$32,MATCH($A289,'4. PRODUCCIÓN'!$B$8:$B$32,0)),0)</f>
        <v>0</v>
      </c>
      <c r="J289" s="51" t="n">
        <f aca="false">E289*I289</f>
        <v>0</v>
      </c>
      <c r="K289" s="55" t="s">
        <v>133</v>
      </c>
    </row>
    <row r="290" customFormat="false" ht="15" hidden="false" customHeight="false" outlineLevel="0" collapsed="false">
      <c r="A290" s="50" t="n">
        <v>26</v>
      </c>
      <c r="B290" s="41" t="s">
        <v>348</v>
      </c>
      <c r="C290" s="50" t="s">
        <v>240</v>
      </c>
      <c r="D290" s="41" t="s">
        <v>195</v>
      </c>
      <c r="E290" s="51" t="n">
        <v>4</v>
      </c>
      <c r="F290" s="50" t="s">
        <v>90</v>
      </c>
      <c r="G290" s="52" t="n">
        <f aca="false">IFERROR(INDEX('1. INSUMOS'!$H$8:$H$98,MATCH($D290,'1. INSUMOS'!$B$8:$B$98,0)),0)</f>
        <v>0.02</v>
      </c>
      <c r="H290" s="53" t="n">
        <f aca="false">E290*G290</f>
        <v>0.08</v>
      </c>
      <c r="I290" s="54" t="n">
        <f aca="false">IFERROR(INDEX('4. PRODUCCIÓN'!$D$8:$D$32,MATCH($A290,'4. PRODUCCIÓN'!$B$8:$B$32,0)),0)</f>
        <v>0</v>
      </c>
      <c r="J290" s="51" t="n">
        <f aca="false">E290*I290</f>
        <v>0</v>
      </c>
      <c r="K290" s="55" t="s">
        <v>195</v>
      </c>
    </row>
    <row r="291" customFormat="false" ht="15" hidden="false" customHeight="false" outlineLevel="0" collapsed="false">
      <c r="A291" s="50" t="n">
        <v>26</v>
      </c>
      <c r="B291" s="41" t="s">
        <v>348</v>
      </c>
      <c r="C291" s="50" t="s">
        <v>313</v>
      </c>
      <c r="D291" s="41" t="s">
        <v>94</v>
      </c>
      <c r="E291" s="51" t="n">
        <v>120</v>
      </c>
      <c r="F291" s="50" t="s">
        <v>90</v>
      </c>
      <c r="G291" s="52" t="n">
        <f aca="false">IFERROR(INDEX('1. INSUMOS'!$H$8:$H$98,MATCH($D291,'1. INSUMOS'!$B$8:$B$98,0)),0)</f>
        <v>0.36</v>
      </c>
      <c r="H291" s="53" t="n">
        <f aca="false">E291*G291</f>
        <v>43.2</v>
      </c>
      <c r="I291" s="54" t="n">
        <f aca="false">IFERROR(INDEX('4. PRODUCCIÓN'!$D$8:$D$32,MATCH($A291,'4. PRODUCCIÓN'!$B$8:$B$32,0)),0)</f>
        <v>0</v>
      </c>
      <c r="J291" s="51" t="n">
        <f aca="false">E291*I291</f>
        <v>0</v>
      </c>
      <c r="K291" s="55" t="s">
        <v>351</v>
      </c>
    </row>
    <row r="292" customFormat="false" ht="15" hidden="false" customHeight="false" outlineLevel="0" collapsed="false">
      <c r="A292" s="50" t="n">
        <v>26</v>
      </c>
      <c r="B292" s="41" t="s">
        <v>348</v>
      </c>
      <c r="C292" s="50" t="s">
        <v>246</v>
      </c>
      <c r="D292" s="41" t="s">
        <v>159</v>
      </c>
      <c r="E292" s="51" t="n">
        <v>5</v>
      </c>
      <c r="F292" s="50" t="s">
        <v>90</v>
      </c>
      <c r="G292" s="52" t="n">
        <f aca="false">IFERROR(INDEX('1. INSUMOS'!$H$8:$H$98,MATCH($D292,'1. INSUMOS'!$B$8:$B$98,0)),0)</f>
        <v>0.276</v>
      </c>
      <c r="H292" s="53" t="n">
        <f aca="false">E292*G292</f>
        <v>1.38</v>
      </c>
      <c r="I292" s="54" t="n">
        <f aca="false">IFERROR(INDEX('4. PRODUCCIÓN'!$D$8:$D$32,MATCH($A292,'4. PRODUCCIÓN'!$B$8:$B$32,0)),0)</f>
        <v>0</v>
      </c>
      <c r="J292" s="51" t="n">
        <f aca="false">E292*I292</f>
        <v>0</v>
      </c>
      <c r="K292" s="55" t="s">
        <v>352</v>
      </c>
    </row>
    <row r="293" customFormat="false" ht="15" hidden="false" customHeight="false" outlineLevel="0" collapsed="false">
      <c r="A293" s="44" t="n">
        <v>27</v>
      </c>
      <c r="B293" s="43" t="s">
        <v>353</v>
      </c>
      <c r="C293" s="44" t="s">
        <v>240</v>
      </c>
      <c r="D293" s="43" t="s">
        <v>88</v>
      </c>
      <c r="E293" s="45" t="n">
        <v>180</v>
      </c>
      <c r="F293" s="44" t="s">
        <v>90</v>
      </c>
      <c r="G293" s="46" t="n">
        <f aca="false">IFERROR(INDEX('1. INSUMOS'!$H$8:$H$98,MATCH($D293,'1. INSUMOS'!$B$8:$B$98,0)),0)</f>
        <v>0.21</v>
      </c>
      <c r="H293" s="47" t="n">
        <f aca="false">E293*G293</f>
        <v>37.8</v>
      </c>
      <c r="I293" s="48" t="n">
        <f aca="false">IFERROR(INDEX('4. PRODUCCIÓN'!$D$8:$D$32,MATCH($A293,'4. PRODUCCIÓN'!$B$8:$B$32,0)),0)</f>
        <v>0</v>
      </c>
      <c r="J293" s="45" t="n">
        <f aca="false">E293*I293</f>
        <v>0</v>
      </c>
      <c r="K293" s="49" t="s">
        <v>249</v>
      </c>
    </row>
    <row r="294" customFormat="false" ht="15" hidden="false" customHeight="false" outlineLevel="0" collapsed="false">
      <c r="A294" s="44" t="n">
        <v>27</v>
      </c>
      <c r="B294" s="43" t="s">
        <v>353</v>
      </c>
      <c r="C294" s="44" t="s">
        <v>240</v>
      </c>
      <c r="D294" s="43" t="s">
        <v>105</v>
      </c>
      <c r="E294" s="45" t="n">
        <v>140</v>
      </c>
      <c r="F294" s="44" t="s">
        <v>90</v>
      </c>
      <c r="G294" s="46" t="n">
        <f aca="false">IFERROR(INDEX('1. INSUMOS'!$H$8:$H$98,MATCH($D294,'1. INSUMOS'!$B$8:$B$98,0)),0)</f>
        <v>0.03</v>
      </c>
      <c r="H294" s="47" t="n">
        <f aca="false">E294*G294</f>
        <v>4.2</v>
      </c>
      <c r="I294" s="48" t="n">
        <f aca="false">IFERROR(INDEX('4. PRODUCCIÓN'!$D$8:$D$32,MATCH($A294,'4. PRODUCCIÓN'!$B$8:$B$32,0)),0)</f>
        <v>0</v>
      </c>
      <c r="J294" s="45" t="n">
        <f aca="false">E294*I294</f>
        <v>0</v>
      </c>
      <c r="K294" s="49" t="s">
        <v>105</v>
      </c>
    </row>
    <row r="295" customFormat="false" ht="15" hidden="false" customHeight="false" outlineLevel="0" collapsed="false">
      <c r="A295" s="44" t="n">
        <v>27</v>
      </c>
      <c r="B295" s="43" t="s">
        <v>353</v>
      </c>
      <c r="C295" s="44" t="s">
        <v>240</v>
      </c>
      <c r="D295" s="43" t="s">
        <v>108</v>
      </c>
      <c r="E295" s="45" t="n">
        <v>100</v>
      </c>
      <c r="F295" s="44" t="s">
        <v>90</v>
      </c>
      <c r="G295" s="46" t="n">
        <f aca="false">IFERROR(INDEX('1. INSUMOS'!$H$8:$H$98,MATCH($D295,'1. INSUMOS'!$B$8:$B$98,0)),0)</f>
        <v>0.052</v>
      </c>
      <c r="H295" s="47" t="n">
        <f aca="false">E295*G295</f>
        <v>5.2</v>
      </c>
      <c r="I295" s="48" t="n">
        <f aca="false">IFERROR(INDEX('4. PRODUCCIÓN'!$D$8:$D$32,MATCH($A295,'4. PRODUCCIÓN'!$B$8:$B$32,0)),0)</f>
        <v>0</v>
      </c>
      <c r="J295" s="45" t="n">
        <f aca="false">E295*I295</f>
        <v>0</v>
      </c>
      <c r="K295" s="49" t="s">
        <v>108</v>
      </c>
    </row>
    <row r="296" customFormat="false" ht="15" hidden="false" customHeight="false" outlineLevel="0" collapsed="false">
      <c r="A296" s="44" t="n">
        <v>27</v>
      </c>
      <c r="B296" s="43" t="s">
        <v>353</v>
      </c>
      <c r="C296" s="44" t="s">
        <v>240</v>
      </c>
      <c r="D296" s="43" t="s">
        <v>142</v>
      </c>
      <c r="E296" s="45" t="n">
        <v>2</v>
      </c>
      <c r="F296" s="44" t="s">
        <v>144</v>
      </c>
      <c r="G296" s="46" t="n">
        <f aca="false">IFERROR(INDEX('1. INSUMOS'!$H$8:$H$98,MATCH($D296,'1. INSUMOS'!$B$8:$B$98,0)),0)</f>
        <v>3.2</v>
      </c>
      <c r="H296" s="47" t="n">
        <f aca="false">E296*G296</f>
        <v>6.4</v>
      </c>
      <c r="I296" s="48" t="n">
        <f aca="false">IFERROR(INDEX('4. PRODUCCIÓN'!$D$8:$D$32,MATCH($A296,'4. PRODUCCIÓN'!$B$8:$B$32,0)),0)</f>
        <v>0</v>
      </c>
      <c r="J296" s="45" t="n">
        <f aca="false">E296*I296</f>
        <v>0</v>
      </c>
      <c r="K296" s="49" t="s">
        <v>250</v>
      </c>
    </row>
    <row r="297" customFormat="false" ht="15" hidden="false" customHeight="false" outlineLevel="0" collapsed="false">
      <c r="A297" s="44" t="n">
        <v>27</v>
      </c>
      <c r="B297" s="43" t="s">
        <v>353</v>
      </c>
      <c r="C297" s="44" t="s">
        <v>240</v>
      </c>
      <c r="D297" s="43" t="s">
        <v>126</v>
      </c>
      <c r="E297" s="45" t="n">
        <v>250</v>
      </c>
      <c r="F297" s="44" t="s">
        <v>90</v>
      </c>
      <c r="G297" s="46" t="n">
        <f aca="false">IFERROR(INDEX('1. INSUMOS'!$H$8:$H$98,MATCH($D297,'1. INSUMOS'!$B$8:$B$98,0)),0)</f>
        <v>0.03</v>
      </c>
      <c r="H297" s="47" t="n">
        <f aca="false">E297*G297</f>
        <v>7.5</v>
      </c>
      <c r="I297" s="48" t="n">
        <f aca="false">IFERROR(INDEX('4. PRODUCCIÓN'!$D$8:$D$32,MATCH($A297,'4. PRODUCCIÓN'!$B$8:$B$32,0)),0)</f>
        <v>0</v>
      </c>
      <c r="J297" s="45" t="n">
        <f aca="false">E297*I297</f>
        <v>0</v>
      </c>
      <c r="K297" s="49" t="s">
        <v>126</v>
      </c>
    </row>
    <row r="298" customFormat="false" ht="15" hidden="false" customHeight="false" outlineLevel="0" collapsed="false">
      <c r="A298" s="44" t="n">
        <v>27</v>
      </c>
      <c r="B298" s="43" t="s">
        <v>353</v>
      </c>
      <c r="C298" s="44" t="s">
        <v>240</v>
      </c>
      <c r="D298" s="43" t="s">
        <v>139</v>
      </c>
      <c r="E298" s="45" t="n">
        <v>70</v>
      </c>
      <c r="F298" s="44" t="s">
        <v>90</v>
      </c>
      <c r="G298" s="46" t="n">
        <f aca="false">IFERROR(INDEX('1. INSUMOS'!$H$8:$H$98,MATCH($D298,'1. INSUMOS'!$B$8:$B$98,0)),0)</f>
        <v>0.164705882352941</v>
      </c>
      <c r="H298" s="47" t="n">
        <f aca="false">E298*G298</f>
        <v>11.5294117647059</v>
      </c>
      <c r="I298" s="48" t="n">
        <f aca="false">IFERROR(INDEX('4. PRODUCCIÓN'!$D$8:$D$32,MATCH($A298,'4. PRODUCCIÓN'!$B$8:$B$32,0)),0)</f>
        <v>0</v>
      </c>
      <c r="J298" s="45" t="n">
        <f aca="false">E298*I298</f>
        <v>0</v>
      </c>
      <c r="K298" s="49" t="s">
        <v>354</v>
      </c>
    </row>
    <row r="299" customFormat="false" ht="15" hidden="false" customHeight="false" outlineLevel="0" collapsed="false">
      <c r="A299" s="44" t="n">
        <v>27</v>
      </c>
      <c r="B299" s="43" t="s">
        <v>353</v>
      </c>
      <c r="C299" s="44" t="s">
        <v>240</v>
      </c>
      <c r="D299" s="43" t="s">
        <v>130</v>
      </c>
      <c r="E299" s="45" t="n">
        <v>10</v>
      </c>
      <c r="F299" s="44" t="s">
        <v>90</v>
      </c>
      <c r="G299" s="46" t="n">
        <f aca="false">IFERROR(INDEX('1. INSUMOS'!$H$8:$H$98,MATCH($D299,'1. INSUMOS'!$B$8:$B$98,0)),0)</f>
        <v>0.09</v>
      </c>
      <c r="H299" s="47" t="n">
        <f aca="false">E299*G299</f>
        <v>0.9</v>
      </c>
      <c r="I299" s="48" t="n">
        <f aca="false">IFERROR(INDEX('4. PRODUCCIÓN'!$D$8:$D$32,MATCH($A299,'4. PRODUCCIÓN'!$B$8:$B$32,0)),0)</f>
        <v>0</v>
      </c>
      <c r="J299" s="45" t="n">
        <f aca="false">E299*I299</f>
        <v>0</v>
      </c>
      <c r="K299" s="49" t="s">
        <v>253</v>
      </c>
    </row>
    <row r="300" customFormat="false" ht="15" hidden="false" customHeight="false" outlineLevel="0" collapsed="false">
      <c r="A300" s="44" t="n">
        <v>27</v>
      </c>
      <c r="B300" s="43" t="s">
        <v>353</v>
      </c>
      <c r="C300" s="44" t="s">
        <v>240</v>
      </c>
      <c r="D300" s="43" t="s">
        <v>133</v>
      </c>
      <c r="E300" s="45" t="n">
        <v>5</v>
      </c>
      <c r="F300" s="44" t="s">
        <v>90</v>
      </c>
      <c r="G300" s="46" t="n">
        <f aca="false">IFERROR(INDEX('1. INSUMOS'!$H$8:$H$98,MATCH($D300,'1. INSUMOS'!$B$8:$B$98,0)),0)</f>
        <v>0.13</v>
      </c>
      <c r="H300" s="47" t="n">
        <f aca="false">E300*G300</f>
        <v>0.65</v>
      </c>
      <c r="I300" s="48" t="n">
        <f aca="false">IFERROR(INDEX('4. PRODUCCIÓN'!$D$8:$D$32,MATCH($A300,'4. PRODUCCIÓN'!$B$8:$B$32,0)),0)</f>
        <v>0</v>
      </c>
      <c r="J300" s="45" t="n">
        <f aca="false">E300*I300</f>
        <v>0</v>
      </c>
      <c r="K300" s="49" t="s">
        <v>133</v>
      </c>
    </row>
    <row r="301" customFormat="false" ht="15" hidden="false" customHeight="false" outlineLevel="0" collapsed="false">
      <c r="A301" s="44" t="n">
        <v>27</v>
      </c>
      <c r="B301" s="43" t="s">
        <v>353</v>
      </c>
      <c r="C301" s="44" t="s">
        <v>240</v>
      </c>
      <c r="D301" s="43" t="s">
        <v>195</v>
      </c>
      <c r="E301" s="45" t="n">
        <v>4</v>
      </c>
      <c r="F301" s="44" t="s">
        <v>90</v>
      </c>
      <c r="G301" s="46" t="n">
        <f aca="false">IFERROR(INDEX('1. INSUMOS'!$H$8:$H$98,MATCH($D301,'1. INSUMOS'!$B$8:$B$98,0)),0)</f>
        <v>0.02</v>
      </c>
      <c r="H301" s="47" t="n">
        <f aca="false">E301*G301</f>
        <v>0.08</v>
      </c>
      <c r="I301" s="48" t="n">
        <f aca="false">IFERROR(INDEX('4. PRODUCCIÓN'!$D$8:$D$32,MATCH($A301,'4. PRODUCCIÓN'!$B$8:$B$32,0)),0)</f>
        <v>0</v>
      </c>
      <c r="J301" s="45" t="n">
        <f aca="false">E301*I301</f>
        <v>0</v>
      </c>
      <c r="K301" s="49" t="s">
        <v>195</v>
      </c>
    </row>
    <row r="302" customFormat="false" ht="15" hidden="false" customHeight="false" outlineLevel="0" collapsed="false">
      <c r="A302" s="44" t="n">
        <v>27</v>
      </c>
      <c r="B302" s="43" t="s">
        <v>353</v>
      </c>
      <c r="C302" s="44" t="s">
        <v>240</v>
      </c>
      <c r="D302" s="43" t="s">
        <v>149</v>
      </c>
      <c r="E302" s="45" t="n">
        <v>100</v>
      </c>
      <c r="F302" s="44" t="s">
        <v>90</v>
      </c>
      <c r="G302" s="46" t="n">
        <f aca="false">IFERROR(INDEX('1. INSUMOS'!$H$8:$H$98,MATCH($D302,'1. INSUMOS'!$B$8:$B$98,0)),0)</f>
        <v>0.235</v>
      </c>
      <c r="H302" s="47" t="n">
        <f aca="false">E302*G302</f>
        <v>23.5</v>
      </c>
      <c r="I302" s="48" t="n">
        <f aca="false">IFERROR(INDEX('4. PRODUCCIÓN'!$D$8:$D$32,MATCH($A302,'4. PRODUCCIÓN'!$B$8:$B$32,0)),0)</f>
        <v>0</v>
      </c>
      <c r="J302" s="45" t="n">
        <f aca="false">E302*I302</f>
        <v>0</v>
      </c>
      <c r="K302" s="49" t="s">
        <v>355</v>
      </c>
    </row>
    <row r="303" customFormat="false" ht="15" hidden="false" customHeight="false" outlineLevel="0" collapsed="false">
      <c r="A303" s="44" t="n">
        <v>27</v>
      </c>
      <c r="B303" s="43" t="s">
        <v>353</v>
      </c>
      <c r="C303" s="44" t="s">
        <v>313</v>
      </c>
      <c r="D303" s="43" t="s">
        <v>98</v>
      </c>
      <c r="E303" s="45" t="n">
        <v>100</v>
      </c>
      <c r="F303" s="44" t="s">
        <v>90</v>
      </c>
      <c r="G303" s="46" t="n">
        <f aca="false">IFERROR(INDEX('1. INSUMOS'!$H$8:$H$98,MATCH($D303,'1. INSUMOS'!$B$8:$B$98,0)),0)</f>
        <v>0.0856423173803527</v>
      </c>
      <c r="H303" s="47" t="n">
        <f aca="false">E303*G303</f>
        <v>8.56423173803526</v>
      </c>
      <c r="I303" s="48" t="n">
        <f aca="false">IFERROR(INDEX('4. PRODUCCIÓN'!$D$8:$D$32,MATCH($A303,'4. PRODUCCIÓN'!$B$8:$B$32,0)),0)</f>
        <v>0</v>
      </c>
      <c r="J303" s="45" t="n">
        <f aca="false">E303*I303</f>
        <v>0</v>
      </c>
      <c r="K303" s="49" t="s">
        <v>356</v>
      </c>
    </row>
    <row r="304" customFormat="false" ht="15" hidden="false" customHeight="false" outlineLevel="0" collapsed="false">
      <c r="A304" s="50" t="n">
        <v>28</v>
      </c>
      <c r="B304" s="41" t="s">
        <v>357</v>
      </c>
      <c r="C304" s="50" t="s">
        <v>240</v>
      </c>
      <c r="D304" s="41" t="s">
        <v>88</v>
      </c>
      <c r="E304" s="51" t="n">
        <v>180</v>
      </c>
      <c r="F304" s="50" t="s">
        <v>90</v>
      </c>
      <c r="G304" s="52" t="n">
        <f aca="false">IFERROR(INDEX('1. INSUMOS'!$H$8:$H$98,MATCH($D304,'1. INSUMOS'!$B$8:$B$98,0)),0)</f>
        <v>0.21</v>
      </c>
      <c r="H304" s="53" t="n">
        <f aca="false">E304*G304</f>
        <v>37.8</v>
      </c>
      <c r="I304" s="54" t="n">
        <f aca="false">IFERROR(INDEX('4. PRODUCCIÓN'!$D$8:$D$32,MATCH($A304,'4. PRODUCCIÓN'!$B$8:$B$32,0)),0)</f>
        <v>0</v>
      </c>
      <c r="J304" s="51" t="n">
        <f aca="false">E304*I304</f>
        <v>0</v>
      </c>
      <c r="K304" s="55" t="s">
        <v>249</v>
      </c>
    </row>
    <row r="305" customFormat="false" ht="15" hidden="false" customHeight="false" outlineLevel="0" collapsed="false">
      <c r="A305" s="50" t="n">
        <v>28</v>
      </c>
      <c r="B305" s="41" t="s">
        <v>357</v>
      </c>
      <c r="C305" s="50" t="s">
        <v>240</v>
      </c>
      <c r="D305" s="41" t="s">
        <v>105</v>
      </c>
      <c r="E305" s="51" t="n">
        <v>200</v>
      </c>
      <c r="F305" s="50" t="s">
        <v>90</v>
      </c>
      <c r="G305" s="52" t="n">
        <f aca="false">IFERROR(INDEX('1. INSUMOS'!$H$8:$H$98,MATCH($D305,'1. INSUMOS'!$B$8:$B$98,0)),0)</f>
        <v>0.03</v>
      </c>
      <c r="H305" s="53" t="n">
        <f aca="false">E305*G305</f>
        <v>6</v>
      </c>
      <c r="I305" s="54" t="n">
        <f aca="false">IFERROR(INDEX('4. PRODUCCIÓN'!$D$8:$D$32,MATCH($A305,'4. PRODUCCIÓN'!$B$8:$B$32,0)),0)</f>
        <v>0</v>
      </c>
      <c r="J305" s="51" t="n">
        <f aca="false">E305*I305</f>
        <v>0</v>
      </c>
      <c r="K305" s="55" t="s">
        <v>105</v>
      </c>
    </row>
    <row r="306" customFormat="false" ht="15" hidden="false" customHeight="false" outlineLevel="0" collapsed="false">
      <c r="A306" s="50" t="n">
        <v>28</v>
      </c>
      <c r="B306" s="41" t="s">
        <v>357</v>
      </c>
      <c r="C306" s="50" t="s">
        <v>240</v>
      </c>
      <c r="D306" s="41" t="s">
        <v>108</v>
      </c>
      <c r="E306" s="51" t="n">
        <v>50</v>
      </c>
      <c r="F306" s="50" t="s">
        <v>90</v>
      </c>
      <c r="G306" s="52" t="n">
        <f aca="false">IFERROR(INDEX('1. INSUMOS'!$H$8:$H$98,MATCH($D306,'1. INSUMOS'!$B$8:$B$98,0)),0)</f>
        <v>0.052</v>
      </c>
      <c r="H306" s="53" t="n">
        <f aca="false">E306*G306</f>
        <v>2.6</v>
      </c>
      <c r="I306" s="54" t="n">
        <f aca="false">IFERROR(INDEX('4. PRODUCCIÓN'!$D$8:$D$32,MATCH($A306,'4. PRODUCCIÓN'!$B$8:$B$32,0)),0)</f>
        <v>0</v>
      </c>
      <c r="J306" s="51" t="n">
        <f aca="false">E306*I306</f>
        <v>0</v>
      </c>
      <c r="K306" s="55" t="s">
        <v>270</v>
      </c>
    </row>
    <row r="307" customFormat="false" ht="15" hidden="false" customHeight="false" outlineLevel="0" collapsed="false">
      <c r="A307" s="50" t="n">
        <v>28</v>
      </c>
      <c r="B307" s="41" t="s">
        <v>357</v>
      </c>
      <c r="C307" s="50" t="s">
        <v>240</v>
      </c>
      <c r="D307" s="41" t="s">
        <v>142</v>
      </c>
      <c r="E307" s="51" t="n">
        <v>2</v>
      </c>
      <c r="F307" s="50" t="s">
        <v>144</v>
      </c>
      <c r="G307" s="52" t="n">
        <f aca="false">IFERROR(INDEX('1. INSUMOS'!$H$8:$H$98,MATCH($D307,'1. INSUMOS'!$B$8:$B$98,0)),0)</f>
        <v>3.2</v>
      </c>
      <c r="H307" s="53" t="n">
        <f aca="false">E307*G307</f>
        <v>6.4</v>
      </c>
      <c r="I307" s="54" t="n">
        <f aca="false">IFERROR(INDEX('4. PRODUCCIÓN'!$D$8:$D$32,MATCH($A307,'4. PRODUCCIÓN'!$B$8:$B$32,0)),0)</f>
        <v>0</v>
      </c>
      <c r="J307" s="51" t="n">
        <f aca="false">E307*I307</f>
        <v>0</v>
      </c>
      <c r="K307" s="55" t="s">
        <v>250</v>
      </c>
    </row>
    <row r="308" customFormat="false" ht="15" hidden="false" customHeight="false" outlineLevel="0" collapsed="false">
      <c r="A308" s="50" t="n">
        <v>28</v>
      </c>
      <c r="B308" s="41" t="s">
        <v>357</v>
      </c>
      <c r="C308" s="50" t="s">
        <v>240</v>
      </c>
      <c r="D308" s="41" t="s">
        <v>126</v>
      </c>
      <c r="E308" s="51" t="n">
        <v>320</v>
      </c>
      <c r="F308" s="50" t="s">
        <v>90</v>
      </c>
      <c r="G308" s="52" t="n">
        <f aca="false">IFERROR(INDEX('1. INSUMOS'!$H$8:$H$98,MATCH($D308,'1. INSUMOS'!$B$8:$B$98,0)),0)</f>
        <v>0.03</v>
      </c>
      <c r="H308" s="53" t="n">
        <f aca="false">E308*G308</f>
        <v>9.6</v>
      </c>
      <c r="I308" s="54" t="n">
        <f aca="false">IFERROR(INDEX('4. PRODUCCIÓN'!$D$8:$D$32,MATCH($A308,'4. PRODUCCIÓN'!$B$8:$B$32,0)),0)</f>
        <v>0</v>
      </c>
      <c r="J308" s="51" t="n">
        <f aca="false">E308*I308</f>
        <v>0</v>
      </c>
      <c r="K308" s="55" t="s">
        <v>126</v>
      </c>
    </row>
    <row r="309" customFormat="false" ht="15" hidden="false" customHeight="false" outlineLevel="0" collapsed="false">
      <c r="A309" s="50" t="n">
        <v>28</v>
      </c>
      <c r="B309" s="41" t="s">
        <v>357</v>
      </c>
      <c r="C309" s="50" t="s">
        <v>240</v>
      </c>
      <c r="D309" s="41" t="s">
        <v>130</v>
      </c>
      <c r="E309" s="51" t="n">
        <v>10</v>
      </c>
      <c r="F309" s="50" t="s">
        <v>90</v>
      </c>
      <c r="G309" s="52" t="n">
        <f aca="false">IFERROR(INDEX('1. INSUMOS'!$H$8:$H$98,MATCH($D309,'1. INSUMOS'!$B$8:$B$98,0)),0)</f>
        <v>0.09</v>
      </c>
      <c r="H309" s="53" t="n">
        <f aca="false">E309*G309</f>
        <v>0.9</v>
      </c>
      <c r="I309" s="54" t="n">
        <f aca="false">IFERROR(INDEX('4. PRODUCCIÓN'!$D$8:$D$32,MATCH($A309,'4. PRODUCCIÓN'!$B$8:$B$32,0)),0)</f>
        <v>0</v>
      </c>
      <c r="J309" s="51" t="n">
        <f aca="false">E309*I309</f>
        <v>0</v>
      </c>
      <c r="K309" s="55" t="s">
        <v>253</v>
      </c>
    </row>
    <row r="310" customFormat="false" ht="15" hidden="false" customHeight="false" outlineLevel="0" collapsed="false">
      <c r="A310" s="50" t="n">
        <v>28</v>
      </c>
      <c r="B310" s="41" t="s">
        <v>357</v>
      </c>
      <c r="C310" s="50" t="s">
        <v>240</v>
      </c>
      <c r="D310" s="41" t="s">
        <v>201</v>
      </c>
      <c r="E310" s="51" t="n">
        <v>8</v>
      </c>
      <c r="F310" s="50" t="s">
        <v>90</v>
      </c>
      <c r="G310" s="52" t="n">
        <f aca="false">IFERROR(INDEX('1. INSUMOS'!$H$8:$H$98,MATCH($D310,'1. INSUMOS'!$B$8:$B$98,0)),0)</f>
        <v>0.46</v>
      </c>
      <c r="H310" s="53" t="n">
        <f aca="false">E310*G310</f>
        <v>3.68</v>
      </c>
      <c r="I310" s="54" t="n">
        <f aca="false">IFERROR(INDEX('4. PRODUCCIÓN'!$D$8:$D$32,MATCH($A310,'4. PRODUCCIÓN'!$B$8:$B$32,0)),0)</f>
        <v>0</v>
      </c>
      <c r="J310" s="51" t="n">
        <f aca="false">E310*I310</f>
        <v>0</v>
      </c>
      <c r="K310" s="55" t="s">
        <v>201</v>
      </c>
    </row>
    <row r="311" customFormat="false" ht="15" hidden="false" customHeight="false" outlineLevel="0" collapsed="false">
      <c r="A311" s="50" t="n">
        <v>28</v>
      </c>
      <c r="B311" s="41" t="s">
        <v>357</v>
      </c>
      <c r="C311" s="50" t="s">
        <v>240</v>
      </c>
      <c r="D311" s="41" t="s">
        <v>133</v>
      </c>
      <c r="E311" s="51" t="n">
        <v>5</v>
      </c>
      <c r="F311" s="50" t="s">
        <v>90</v>
      </c>
      <c r="G311" s="52" t="n">
        <f aca="false">IFERROR(INDEX('1. INSUMOS'!$H$8:$H$98,MATCH($D311,'1. INSUMOS'!$B$8:$B$98,0)),0)</f>
        <v>0.13</v>
      </c>
      <c r="H311" s="53" t="n">
        <f aca="false">E311*G311</f>
        <v>0.65</v>
      </c>
      <c r="I311" s="54" t="n">
        <f aca="false">IFERROR(INDEX('4. PRODUCCIÓN'!$D$8:$D$32,MATCH($A311,'4. PRODUCCIÓN'!$B$8:$B$32,0)),0)</f>
        <v>0</v>
      </c>
      <c r="J311" s="51" t="n">
        <f aca="false">E311*I311</f>
        <v>0</v>
      </c>
      <c r="K311" s="55" t="s">
        <v>133</v>
      </c>
    </row>
    <row r="312" customFormat="false" ht="15" hidden="false" customHeight="false" outlineLevel="0" collapsed="false">
      <c r="A312" s="50" t="n">
        <v>28</v>
      </c>
      <c r="B312" s="41" t="s">
        <v>357</v>
      </c>
      <c r="C312" s="50" t="s">
        <v>240</v>
      </c>
      <c r="D312" s="41" t="s">
        <v>195</v>
      </c>
      <c r="E312" s="51" t="n">
        <v>4</v>
      </c>
      <c r="F312" s="50" t="s">
        <v>90</v>
      </c>
      <c r="G312" s="52" t="n">
        <f aca="false">IFERROR(INDEX('1. INSUMOS'!$H$8:$H$98,MATCH($D312,'1. INSUMOS'!$B$8:$B$98,0)),0)</f>
        <v>0.02</v>
      </c>
      <c r="H312" s="53" t="n">
        <f aca="false">E312*G312</f>
        <v>0.08</v>
      </c>
      <c r="I312" s="54" t="n">
        <f aca="false">IFERROR(INDEX('4. PRODUCCIÓN'!$D$8:$D$32,MATCH($A312,'4. PRODUCCIÓN'!$B$8:$B$32,0)),0)</f>
        <v>0</v>
      </c>
      <c r="J312" s="51" t="n">
        <f aca="false">E312*I312</f>
        <v>0</v>
      </c>
      <c r="K312" s="55" t="s">
        <v>195</v>
      </c>
    </row>
    <row r="313" customFormat="false" ht="15" hidden="false" customHeight="false" outlineLevel="0" collapsed="false">
      <c r="A313" s="50" t="n">
        <v>28</v>
      </c>
      <c r="B313" s="41" t="s">
        <v>357</v>
      </c>
      <c r="C313" s="50" t="s">
        <v>313</v>
      </c>
      <c r="D313" s="41" t="s">
        <v>116</v>
      </c>
      <c r="E313" s="51" t="n">
        <v>120</v>
      </c>
      <c r="F313" s="50" t="s">
        <v>90</v>
      </c>
      <c r="G313" s="52" t="n">
        <f aca="false">IFERROR(INDEX('1. INSUMOS'!$H$8:$H$98,MATCH($D313,'1. INSUMOS'!$B$8:$B$98,0)),0)</f>
        <v>0.153125</v>
      </c>
      <c r="H313" s="53" t="n">
        <f aca="false">E313*G313</f>
        <v>18.375</v>
      </c>
      <c r="I313" s="54" t="n">
        <f aca="false">IFERROR(INDEX('4. PRODUCCIÓN'!$D$8:$D$32,MATCH($A313,'4. PRODUCCIÓN'!$B$8:$B$32,0)),0)</f>
        <v>0</v>
      </c>
      <c r="J313" s="51" t="n">
        <f aca="false">E313*I313</f>
        <v>0</v>
      </c>
      <c r="K313" s="55" t="s">
        <v>358</v>
      </c>
    </row>
    <row r="314" customFormat="false" ht="15" hidden="false" customHeight="false" outlineLevel="0" collapsed="false">
      <c r="A314" s="44" t="n">
        <v>29</v>
      </c>
      <c r="B314" s="43" t="s">
        <v>359</v>
      </c>
      <c r="C314" s="44" t="s">
        <v>240</v>
      </c>
      <c r="D314" s="43" t="s">
        <v>88</v>
      </c>
      <c r="E314" s="45" t="n">
        <v>180</v>
      </c>
      <c r="F314" s="44" t="s">
        <v>90</v>
      </c>
      <c r="G314" s="46" t="n">
        <f aca="false">IFERROR(INDEX('1. INSUMOS'!$H$8:$H$98,MATCH($D314,'1. INSUMOS'!$B$8:$B$98,0)),0)</f>
        <v>0.21</v>
      </c>
      <c r="H314" s="47" t="n">
        <f aca="false">E314*G314</f>
        <v>37.8</v>
      </c>
      <c r="I314" s="48" t="n">
        <f aca="false">IFERROR(INDEX('4. PRODUCCIÓN'!$D$8:$D$32,MATCH($A314,'4. PRODUCCIÓN'!$B$8:$B$32,0)),0)</f>
        <v>0</v>
      </c>
      <c r="J314" s="45" t="n">
        <f aca="false">E314*I314</f>
        <v>0</v>
      </c>
      <c r="K314" s="49" t="s">
        <v>249</v>
      </c>
    </row>
    <row r="315" customFormat="false" ht="15" hidden="false" customHeight="false" outlineLevel="0" collapsed="false">
      <c r="A315" s="44" t="n">
        <v>29</v>
      </c>
      <c r="B315" s="43" t="s">
        <v>359</v>
      </c>
      <c r="C315" s="44" t="s">
        <v>240</v>
      </c>
      <c r="D315" s="43" t="s">
        <v>105</v>
      </c>
      <c r="E315" s="45" t="n">
        <v>160</v>
      </c>
      <c r="F315" s="44" t="s">
        <v>90</v>
      </c>
      <c r="G315" s="46" t="n">
        <f aca="false">IFERROR(INDEX('1. INSUMOS'!$H$8:$H$98,MATCH($D315,'1. INSUMOS'!$B$8:$B$98,0)),0)</f>
        <v>0.03</v>
      </c>
      <c r="H315" s="47" t="n">
        <f aca="false">E315*G315</f>
        <v>4.8</v>
      </c>
      <c r="I315" s="48" t="n">
        <f aca="false">IFERROR(INDEX('4. PRODUCCIÓN'!$D$8:$D$32,MATCH($A315,'4. PRODUCCIÓN'!$B$8:$B$32,0)),0)</f>
        <v>0</v>
      </c>
      <c r="J315" s="45" t="n">
        <f aca="false">E315*I315</f>
        <v>0</v>
      </c>
      <c r="K315" s="49" t="s">
        <v>105</v>
      </c>
    </row>
    <row r="316" customFormat="false" ht="15" hidden="false" customHeight="false" outlineLevel="0" collapsed="false">
      <c r="A316" s="44" t="n">
        <v>29</v>
      </c>
      <c r="B316" s="43" t="s">
        <v>359</v>
      </c>
      <c r="C316" s="44" t="s">
        <v>240</v>
      </c>
      <c r="D316" s="43" t="s">
        <v>108</v>
      </c>
      <c r="E316" s="45" t="n">
        <v>80</v>
      </c>
      <c r="F316" s="44" t="s">
        <v>90</v>
      </c>
      <c r="G316" s="46" t="n">
        <f aca="false">IFERROR(INDEX('1. INSUMOS'!$H$8:$H$98,MATCH($D316,'1. INSUMOS'!$B$8:$B$98,0)),0)</f>
        <v>0.052</v>
      </c>
      <c r="H316" s="47" t="n">
        <f aca="false">E316*G316</f>
        <v>4.16</v>
      </c>
      <c r="I316" s="48" t="n">
        <f aca="false">IFERROR(INDEX('4. PRODUCCIÓN'!$D$8:$D$32,MATCH($A316,'4. PRODUCCIÓN'!$B$8:$B$32,0)),0)</f>
        <v>0</v>
      </c>
      <c r="J316" s="45" t="n">
        <f aca="false">E316*I316</f>
        <v>0</v>
      </c>
      <c r="K316" s="49" t="s">
        <v>108</v>
      </c>
    </row>
    <row r="317" customFormat="false" ht="15" hidden="false" customHeight="false" outlineLevel="0" collapsed="false">
      <c r="A317" s="44" t="n">
        <v>29</v>
      </c>
      <c r="B317" s="43" t="s">
        <v>359</v>
      </c>
      <c r="C317" s="44" t="s">
        <v>240</v>
      </c>
      <c r="D317" s="43" t="s">
        <v>142</v>
      </c>
      <c r="E317" s="45" t="n">
        <v>2</v>
      </c>
      <c r="F317" s="44" t="s">
        <v>144</v>
      </c>
      <c r="G317" s="46" t="n">
        <f aca="false">IFERROR(INDEX('1. INSUMOS'!$H$8:$H$98,MATCH($D317,'1. INSUMOS'!$B$8:$B$98,0)),0)</f>
        <v>3.2</v>
      </c>
      <c r="H317" s="47" t="n">
        <f aca="false">E317*G317</f>
        <v>6.4</v>
      </c>
      <c r="I317" s="48" t="n">
        <f aca="false">IFERROR(INDEX('4. PRODUCCIÓN'!$D$8:$D$32,MATCH($A317,'4. PRODUCCIÓN'!$B$8:$B$32,0)),0)</f>
        <v>0</v>
      </c>
      <c r="J317" s="45" t="n">
        <f aca="false">E317*I317</f>
        <v>0</v>
      </c>
      <c r="K317" s="49" t="s">
        <v>250</v>
      </c>
    </row>
    <row r="318" customFormat="false" ht="15" hidden="false" customHeight="false" outlineLevel="0" collapsed="false">
      <c r="A318" s="44" t="n">
        <v>29</v>
      </c>
      <c r="B318" s="43" t="s">
        <v>359</v>
      </c>
      <c r="C318" s="44" t="s">
        <v>240</v>
      </c>
      <c r="D318" s="43" t="s">
        <v>217</v>
      </c>
      <c r="E318" s="45" t="n">
        <v>10</v>
      </c>
      <c r="F318" s="44" t="s">
        <v>101</v>
      </c>
      <c r="G318" s="46" t="n">
        <f aca="false">IFERROR(INDEX('1. INSUMOS'!$H$8:$H$98,MATCH($D318,'1. INSUMOS'!$B$8:$B$98,0)),0)</f>
        <v>0.74</v>
      </c>
      <c r="H318" s="47" t="n">
        <f aca="false">E318*G318</f>
        <v>7.4</v>
      </c>
      <c r="I318" s="48" t="n">
        <f aca="false">IFERROR(INDEX('4. PRODUCCIÓN'!$D$8:$D$32,MATCH($A318,'4. PRODUCCIÓN'!$B$8:$B$32,0)),0)</f>
        <v>0</v>
      </c>
      <c r="J318" s="45" t="n">
        <f aca="false">E318*I318</f>
        <v>0</v>
      </c>
      <c r="K318" s="49" t="s">
        <v>360</v>
      </c>
    </row>
    <row r="319" customFormat="false" ht="15" hidden="false" customHeight="false" outlineLevel="0" collapsed="false">
      <c r="A319" s="44" t="n">
        <v>29</v>
      </c>
      <c r="B319" s="43" t="s">
        <v>359</v>
      </c>
      <c r="C319" s="44" t="s">
        <v>240</v>
      </c>
      <c r="D319" s="43" t="s">
        <v>126</v>
      </c>
      <c r="E319" s="45" t="n">
        <v>320</v>
      </c>
      <c r="F319" s="44" t="s">
        <v>90</v>
      </c>
      <c r="G319" s="46" t="n">
        <f aca="false">IFERROR(INDEX('1. INSUMOS'!$H$8:$H$98,MATCH($D319,'1. INSUMOS'!$B$8:$B$98,0)),0)</f>
        <v>0.03</v>
      </c>
      <c r="H319" s="47" t="n">
        <f aca="false">E319*G319</f>
        <v>9.6</v>
      </c>
      <c r="I319" s="48" t="n">
        <f aca="false">IFERROR(INDEX('4. PRODUCCIÓN'!$D$8:$D$32,MATCH($A319,'4. PRODUCCIÓN'!$B$8:$B$32,0)),0)</f>
        <v>0</v>
      </c>
      <c r="J319" s="45" t="n">
        <f aca="false">E319*I319</f>
        <v>0</v>
      </c>
      <c r="K319" s="49" t="s">
        <v>361</v>
      </c>
    </row>
    <row r="320" customFormat="false" ht="15" hidden="false" customHeight="false" outlineLevel="0" collapsed="false">
      <c r="A320" s="44" t="n">
        <v>29</v>
      </c>
      <c r="B320" s="43" t="s">
        <v>359</v>
      </c>
      <c r="C320" s="44" t="s">
        <v>240</v>
      </c>
      <c r="D320" s="43" t="s">
        <v>130</v>
      </c>
      <c r="E320" s="45" t="n">
        <v>15</v>
      </c>
      <c r="F320" s="44" t="s">
        <v>90</v>
      </c>
      <c r="G320" s="46" t="n">
        <f aca="false">IFERROR(INDEX('1. INSUMOS'!$H$8:$H$98,MATCH($D320,'1. INSUMOS'!$B$8:$B$98,0)),0)</f>
        <v>0.09</v>
      </c>
      <c r="H320" s="47" t="n">
        <f aca="false">E320*G320</f>
        <v>1.35</v>
      </c>
      <c r="I320" s="48" t="n">
        <f aca="false">IFERROR(INDEX('4. PRODUCCIÓN'!$D$8:$D$32,MATCH($A320,'4. PRODUCCIÓN'!$B$8:$B$32,0)),0)</f>
        <v>0</v>
      </c>
      <c r="J320" s="45" t="n">
        <f aca="false">E320*I320</f>
        <v>0</v>
      </c>
      <c r="K320" s="49" t="s">
        <v>362</v>
      </c>
    </row>
    <row r="321" customFormat="false" ht="15" hidden="false" customHeight="false" outlineLevel="0" collapsed="false">
      <c r="A321" s="44" t="n">
        <v>29</v>
      </c>
      <c r="B321" s="43" t="s">
        <v>359</v>
      </c>
      <c r="C321" s="44" t="s">
        <v>240</v>
      </c>
      <c r="D321" s="43" t="s">
        <v>133</v>
      </c>
      <c r="E321" s="45" t="n">
        <v>5</v>
      </c>
      <c r="F321" s="44" t="s">
        <v>90</v>
      </c>
      <c r="G321" s="46" t="n">
        <f aca="false">IFERROR(INDEX('1. INSUMOS'!$H$8:$H$98,MATCH($D321,'1. INSUMOS'!$B$8:$B$98,0)),0)</f>
        <v>0.13</v>
      </c>
      <c r="H321" s="47" t="n">
        <f aca="false">E321*G321</f>
        <v>0.65</v>
      </c>
      <c r="I321" s="48" t="n">
        <f aca="false">IFERROR(INDEX('4. PRODUCCIÓN'!$D$8:$D$32,MATCH($A321,'4. PRODUCCIÓN'!$B$8:$B$32,0)),0)</f>
        <v>0</v>
      </c>
      <c r="J321" s="45" t="n">
        <f aca="false">E321*I321</f>
        <v>0</v>
      </c>
      <c r="K321" s="49" t="s">
        <v>133</v>
      </c>
    </row>
    <row r="322" customFormat="false" ht="15" hidden="false" customHeight="false" outlineLevel="0" collapsed="false">
      <c r="A322" s="44" t="n">
        <v>29</v>
      </c>
      <c r="B322" s="43" t="s">
        <v>359</v>
      </c>
      <c r="C322" s="44" t="s">
        <v>240</v>
      </c>
      <c r="D322" s="43" t="s">
        <v>195</v>
      </c>
      <c r="E322" s="45" t="n">
        <v>4</v>
      </c>
      <c r="F322" s="44" t="s">
        <v>90</v>
      </c>
      <c r="G322" s="46" t="n">
        <f aca="false">IFERROR(INDEX('1. INSUMOS'!$H$8:$H$98,MATCH($D322,'1. INSUMOS'!$B$8:$B$98,0)),0)</f>
        <v>0.02</v>
      </c>
      <c r="H322" s="47" t="n">
        <f aca="false">E322*G322</f>
        <v>0.08</v>
      </c>
      <c r="I322" s="48" t="n">
        <f aca="false">IFERROR(INDEX('4. PRODUCCIÓN'!$D$8:$D$32,MATCH($A322,'4. PRODUCCIÓN'!$B$8:$B$32,0)),0)</f>
        <v>0</v>
      </c>
      <c r="J322" s="45" t="n">
        <f aca="false">E322*I322</f>
        <v>0</v>
      </c>
      <c r="K322" s="49" t="s">
        <v>195</v>
      </c>
    </row>
    <row r="323" customFormat="false" ht="15" hidden="false" customHeight="false" outlineLevel="0" collapsed="false">
      <c r="A323" s="44" t="n">
        <v>29</v>
      </c>
      <c r="B323" s="43" t="s">
        <v>359</v>
      </c>
      <c r="C323" s="44" t="s">
        <v>240</v>
      </c>
      <c r="D323" s="43" t="s">
        <v>156</v>
      </c>
      <c r="E323" s="45" t="n">
        <v>100</v>
      </c>
      <c r="F323" s="44" t="s">
        <v>90</v>
      </c>
      <c r="G323" s="46" t="n">
        <f aca="false">IFERROR(INDEX('1. INSUMOS'!$H$8:$H$98,MATCH($D323,'1. INSUMOS'!$B$8:$B$98,0)),0)</f>
        <v>0.175</v>
      </c>
      <c r="H323" s="47" t="n">
        <f aca="false">E323*G323</f>
        <v>17.5</v>
      </c>
      <c r="I323" s="48" t="n">
        <f aca="false">IFERROR(INDEX('4. PRODUCCIÓN'!$D$8:$D$32,MATCH($A323,'4. PRODUCCIÓN'!$B$8:$B$32,0)),0)</f>
        <v>0</v>
      </c>
      <c r="J323" s="45" t="n">
        <f aca="false">E323*I323</f>
        <v>0</v>
      </c>
      <c r="K323" s="49" t="s">
        <v>363</v>
      </c>
    </row>
    <row r="324" customFormat="false" ht="15" hidden="false" customHeight="false" outlineLevel="0" collapsed="false">
      <c r="A324" s="50" t="n">
        <v>30</v>
      </c>
      <c r="B324" s="41" t="s">
        <v>364</v>
      </c>
      <c r="C324" s="50" t="s">
        <v>240</v>
      </c>
      <c r="D324" s="41" t="s">
        <v>88</v>
      </c>
      <c r="E324" s="51" t="n">
        <v>180</v>
      </c>
      <c r="F324" s="50" t="s">
        <v>90</v>
      </c>
      <c r="G324" s="52" t="n">
        <f aca="false">IFERROR(INDEX('1. INSUMOS'!$H$8:$H$98,MATCH($D324,'1. INSUMOS'!$B$8:$B$98,0)),0)</f>
        <v>0.21</v>
      </c>
      <c r="H324" s="53" t="n">
        <f aca="false">E324*G324</f>
        <v>37.8</v>
      </c>
      <c r="I324" s="54" t="n">
        <f aca="false">IFERROR(INDEX('4. PRODUCCIÓN'!$D$8:$D$32,MATCH($A324,'4. PRODUCCIÓN'!$B$8:$B$32,0)),0)</f>
        <v>0</v>
      </c>
      <c r="J324" s="51" t="n">
        <f aca="false">E324*I324</f>
        <v>0</v>
      </c>
      <c r="K324" s="55" t="s">
        <v>249</v>
      </c>
    </row>
    <row r="325" customFormat="false" ht="15" hidden="false" customHeight="false" outlineLevel="0" collapsed="false">
      <c r="A325" s="50" t="n">
        <v>30</v>
      </c>
      <c r="B325" s="41" t="s">
        <v>364</v>
      </c>
      <c r="C325" s="50" t="s">
        <v>240</v>
      </c>
      <c r="D325" s="41" t="s">
        <v>108</v>
      </c>
      <c r="E325" s="51" t="n">
        <v>160</v>
      </c>
      <c r="F325" s="50" t="s">
        <v>90</v>
      </c>
      <c r="G325" s="52" t="n">
        <f aca="false">IFERROR(INDEX('1. INSUMOS'!$H$8:$H$98,MATCH($D325,'1. INSUMOS'!$B$8:$B$98,0)),0)</f>
        <v>0.052</v>
      </c>
      <c r="H325" s="53" t="n">
        <f aca="false">E325*G325</f>
        <v>8.32</v>
      </c>
      <c r="I325" s="54" t="n">
        <f aca="false">IFERROR(INDEX('4. PRODUCCIÓN'!$D$8:$D$32,MATCH($A325,'4. PRODUCCIÓN'!$B$8:$B$32,0)),0)</f>
        <v>0</v>
      </c>
      <c r="J325" s="51" t="n">
        <f aca="false">E325*I325</f>
        <v>0</v>
      </c>
      <c r="K325" s="55" t="s">
        <v>108</v>
      </c>
    </row>
    <row r="326" customFormat="false" ht="15" hidden="false" customHeight="false" outlineLevel="0" collapsed="false">
      <c r="A326" s="50" t="n">
        <v>30</v>
      </c>
      <c r="B326" s="41" t="s">
        <v>364</v>
      </c>
      <c r="C326" s="50" t="s">
        <v>240</v>
      </c>
      <c r="D326" s="41" t="s">
        <v>105</v>
      </c>
      <c r="E326" s="51" t="n">
        <v>80</v>
      </c>
      <c r="F326" s="50" t="s">
        <v>90</v>
      </c>
      <c r="G326" s="52" t="n">
        <f aca="false">IFERROR(INDEX('1. INSUMOS'!$H$8:$H$98,MATCH($D326,'1. INSUMOS'!$B$8:$B$98,0)),0)</f>
        <v>0.03</v>
      </c>
      <c r="H326" s="53" t="n">
        <f aca="false">E326*G326</f>
        <v>2.4</v>
      </c>
      <c r="I326" s="54" t="n">
        <f aca="false">IFERROR(INDEX('4. PRODUCCIÓN'!$D$8:$D$32,MATCH($A326,'4. PRODUCCIÓN'!$B$8:$B$32,0)),0)</f>
        <v>0</v>
      </c>
      <c r="J326" s="51" t="n">
        <f aca="false">E326*I326</f>
        <v>0</v>
      </c>
      <c r="K326" s="55" t="s">
        <v>105</v>
      </c>
    </row>
    <row r="327" customFormat="false" ht="15" hidden="false" customHeight="false" outlineLevel="0" collapsed="false">
      <c r="A327" s="50" t="n">
        <v>30</v>
      </c>
      <c r="B327" s="41" t="s">
        <v>364</v>
      </c>
      <c r="C327" s="50" t="s">
        <v>240</v>
      </c>
      <c r="D327" s="41" t="s">
        <v>142</v>
      </c>
      <c r="E327" s="51" t="n">
        <v>2</v>
      </c>
      <c r="F327" s="50" t="s">
        <v>144</v>
      </c>
      <c r="G327" s="52" t="n">
        <f aca="false">IFERROR(INDEX('1. INSUMOS'!$H$8:$H$98,MATCH($D327,'1. INSUMOS'!$B$8:$B$98,0)),0)</f>
        <v>3.2</v>
      </c>
      <c r="H327" s="53" t="n">
        <f aca="false">E327*G327</f>
        <v>6.4</v>
      </c>
      <c r="I327" s="54" t="n">
        <f aca="false">IFERROR(INDEX('4. PRODUCCIÓN'!$D$8:$D$32,MATCH($A327,'4. PRODUCCIÓN'!$B$8:$B$32,0)),0)</f>
        <v>0</v>
      </c>
      <c r="J327" s="51" t="n">
        <f aca="false">E327*I327</f>
        <v>0</v>
      </c>
      <c r="K327" s="55" t="s">
        <v>250</v>
      </c>
    </row>
    <row r="328" customFormat="false" ht="15" hidden="false" customHeight="false" outlineLevel="0" collapsed="false">
      <c r="A328" s="50" t="n">
        <v>30</v>
      </c>
      <c r="B328" s="41" t="s">
        <v>364</v>
      </c>
      <c r="C328" s="50" t="s">
        <v>240</v>
      </c>
      <c r="D328" s="41" t="s">
        <v>126</v>
      </c>
      <c r="E328" s="51" t="n">
        <v>310</v>
      </c>
      <c r="F328" s="50" t="s">
        <v>90</v>
      </c>
      <c r="G328" s="52" t="n">
        <f aca="false">IFERROR(INDEX('1. INSUMOS'!$H$8:$H$98,MATCH($D328,'1. INSUMOS'!$B$8:$B$98,0)),0)</f>
        <v>0.03</v>
      </c>
      <c r="H328" s="53" t="n">
        <f aca="false">E328*G328</f>
        <v>9.3</v>
      </c>
      <c r="I328" s="54" t="n">
        <f aca="false">IFERROR(INDEX('4. PRODUCCIÓN'!$D$8:$D$32,MATCH($A328,'4. PRODUCCIÓN'!$B$8:$B$32,0)),0)</f>
        <v>0</v>
      </c>
      <c r="J328" s="51" t="n">
        <f aca="false">E328*I328</f>
        <v>0</v>
      </c>
      <c r="K328" s="55" t="s">
        <v>126</v>
      </c>
    </row>
    <row r="329" customFormat="false" ht="15" hidden="false" customHeight="false" outlineLevel="0" collapsed="false">
      <c r="A329" s="50" t="n">
        <v>30</v>
      </c>
      <c r="B329" s="41" t="s">
        <v>364</v>
      </c>
      <c r="C329" s="50" t="s">
        <v>240</v>
      </c>
      <c r="D329" s="41" t="s">
        <v>130</v>
      </c>
      <c r="E329" s="51" t="n">
        <v>10</v>
      </c>
      <c r="F329" s="50" t="s">
        <v>90</v>
      </c>
      <c r="G329" s="52" t="n">
        <f aca="false">IFERROR(INDEX('1. INSUMOS'!$H$8:$H$98,MATCH($D329,'1. INSUMOS'!$B$8:$B$98,0)),0)</f>
        <v>0.09</v>
      </c>
      <c r="H329" s="53" t="n">
        <f aca="false">E329*G329</f>
        <v>0.9</v>
      </c>
      <c r="I329" s="54" t="n">
        <f aca="false">IFERROR(INDEX('4. PRODUCCIÓN'!$D$8:$D$32,MATCH($A329,'4. PRODUCCIÓN'!$B$8:$B$32,0)),0)</f>
        <v>0</v>
      </c>
      <c r="J329" s="51" t="n">
        <f aca="false">E329*I329</f>
        <v>0</v>
      </c>
      <c r="K329" s="55" t="s">
        <v>253</v>
      </c>
    </row>
    <row r="330" customFormat="false" ht="15" hidden="false" customHeight="false" outlineLevel="0" collapsed="false">
      <c r="A330" s="50" t="n">
        <v>30</v>
      </c>
      <c r="B330" s="41" t="s">
        <v>364</v>
      </c>
      <c r="C330" s="50" t="s">
        <v>240</v>
      </c>
      <c r="D330" s="41" t="s">
        <v>133</v>
      </c>
      <c r="E330" s="51" t="n">
        <v>5</v>
      </c>
      <c r="F330" s="50" t="s">
        <v>90</v>
      </c>
      <c r="G330" s="52" t="n">
        <f aca="false">IFERROR(INDEX('1. INSUMOS'!$H$8:$H$98,MATCH($D330,'1. INSUMOS'!$B$8:$B$98,0)),0)</f>
        <v>0.13</v>
      </c>
      <c r="H330" s="53" t="n">
        <f aca="false">E330*G330</f>
        <v>0.65</v>
      </c>
      <c r="I330" s="54" t="n">
        <f aca="false">IFERROR(INDEX('4. PRODUCCIÓN'!$D$8:$D$32,MATCH($A330,'4. PRODUCCIÓN'!$B$8:$B$32,0)),0)</f>
        <v>0</v>
      </c>
      <c r="J330" s="51" t="n">
        <f aca="false">E330*I330</f>
        <v>0</v>
      </c>
      <c r="K330" s="55" t="s">
        <v>133</v>
      </c>
    </row>
    <row r="331" customFormat="false" ht="15" hidden="false" customHeight="false" outlineLevel="0" collapsed="false">
      <c r="A331" s="50" t="n">
        <v>30</v>
      </c>
      <c r="B331" s="41" t="s">
        <v>364</v>
      </c>
      <c r="C331" s="50" t="s">
        <v>240</v>
      </c>
      <c r="D331" s="41" t="s">
        <v>195</v>
      </c>
      <c r="E331" s="51" t="n">
        <v>4</v>
      </c>
      <c r="F331" s="50" t="s">
        <v>90</v>
      </c>
      <c r="G331" s="52" t="n">
        <f aca="false">IFERROR(INDEX('1. INSUMOS'!$H$8:$H$98,MATCH($D331,'1. INSUMOS'!$B$8:$B$98,0)),0)</f>
        <v>0.02</v>
      </c>
      <c r="H331" s="53" t="n">
        <f aca="false">E331*G331</f>
        <v>0.08</v>
      </c>
      <c r="I331" s="54" t="n">
        <f aca="false">IFERROR(INDEX('4. PRODUCCIÓN'!$D$8:$D$32,MATCH($A331,'4. PRODUCCIÓN'!$B$8:$B$32,0)),0)</f>
        <v>0</v>
      </c>
      <c r="J331" s="51" t="n">
        <f aca="false">E331*I331</f>
        <v>0</v>
      </c>
      <c r="K331" s="55" t="s">
        <v>195</v>
      </c>
    </row>
    <row r="332" customFormat="false" ht="15" hidden="false" customHeight="false" outlineLevel="0" collapsed="false">
      <c r="A332" s="44" t="n">
        <v>31</v>
      </c>
      <c r="B332" s="43" t="s">
        <v>365</v>
      </c>
      <c r="C332" s="44" t="s">
        <v>240</v>
      </c>
      <c r="D332" s="43" t="s">
        <v>88</v>
      </c>
      <c r="E332" s="45" t="n">
        <v>180</v>
      </c>
      <c r="F332" s="44" t="s">
        <v>90</v>
      </c>
      <c r="G332" s="46" t="n">
        <f aca="false">IFERROR(INDEX('1. INSUMOS'!$H$8:$H$98,MATCH($D332,'1. INSUMOS'!$B$8:$B$98,0)),0)</f>
        <v>0.21</v>
      </c>
      <c r="H332" s="47" t="n">
        <f aca="false">E332*G332</f>
        <v>37.8</v>
      </c>
      <c r="I332" s="48" t="n">
        <f aca="false">IFERROR(INDEX('4. PRODUCCIÓN'!$D$8:$D$32,MATCH($A332,'4. PRODUCCIÓN'!$B$8:$B$32,0)),0)</f>
        <v>0</v>
      </c>
      <c r="J332" s="45" t="n">
        <f aca="false">E332*I332</f>
        <v>0</v>
      </c>
      <c r="K332" s="49" t="s">
        <v>249</v>
      </c>
    </row>
    <row r="333" customFormat="false" ht="15" hidden="false" customHeight="false" outlineLevel="0" collapsed="false">
      <c r="A333" s="44" t="n">
        <v>31</v>
      </c>
      <c r="B333" s="43" t="s">
        <v>365</v>
      </c>
      <c r="C333" s="44" t="s">
        <v>240</v>
      </c>
      <c r="D333" s="43" t="s">
        <v>105</v>
      </c>
      <c r="E333" s="45" t="n">
        <v>150</v>
      </c>
      <c r="F333" s="44" t="s">
        <v>90</v>
      </c>
      <c r="G333" s="46" t="n">
        <f aca="false">IFERROR(INDEX('1. INSUMOS'!$H$8:$H$98,MATCH($D333,'1. INSUMOS'!$B$8:$B$98,0)),0)</f>
        <v>0.03</v>
      </c>
      <c r="H333" s="47" t="n">
        <f aca="false">E333*G333</f>
        <v>4.5</v>
      </c>
      <c r="I333" s="48" t="n">
        <f aca="false">IFERROR(INDEX('4. PRODUCCIÓN'!$D$8:$D$32,MATCH($A333,'4. PRODUCCIÓN'!$B$8:$B$32,0)),0)</f>
        <v>0</v>
      </c>
      <c r="J333" s="45" t="n">
        <f aca="false">E333*I333</f>
        <v>0</v>
      </c>
      <c r="K333" s="49" t="s">
        <v>105</v>
      </c>
    </row>
    <row r="334" customFormat="false" ht="15" hidden="false" customHeight="false" outlineLevel="0" collapsed="false">
      <c r="A334" s="44" t="n">
        <v>31</v>
      </c>
      <c r="B334" s="43" t="s">
        <v>365</v>
      </c>
      <c r="C334" s="44" t="s">
        <v>240</v>
      </c>
      <c r="D334" s="43" t="s">
        <v>108</v>
      </c>
      <c r="E334" s="45" t="n">
        <v>100</v>
      </c>
      <c r="F334" s="44" t="s">
        <v>90</v>
      </c>
      <c r="G334" s="46" t="n">
        <f aca="false">IFERROR(INDEX('1. INSUMOS'!$H$8:$H$98,MATCH($D334,'1. INSUMOS'!$B$8:$B$98,0)),0)</f>
        <v>0.052</v>
      </c>
      <c r="H334" s="47" t="n">
        <f aca="false">E334*G334</f>
        <v>5.2</v>
      </c>
      <c r="I334" s="48" t="n">
        <f aca="false">IFERROR(INDEX('4. PRODUCCIÓN'!$D$8:$D$32,MATCH($A334,'4. PRODUCCIÓN'!$B$8:$B$32,0)),0)</f>
        <v>0</v>
      </c>
      <c r="J334" s="45" t="n">
        <f aca="false">E334*I334</f>
        <v>0</v>
      </c>
      <c r="K334" s="49" t="s">
        <v>270</v>
      </c>
    </row>
    <row r="335" customFormat="false" ht="15" hidden="false" customHeight="false" outlineLevel="0" collapsed="false">
      <c r="A335" s="44" t="n">
        <v>31</v>
      </c>
      <c r="B335" s="43" t="s">
        <v>365</v>
      </c>
      <c r="C335" s="44" t="s">
        <v>240</v>
      </c>
      <c r="D335" s="43" t="s">
        <v>142</v>
      </c>
      <c r="E335" s="45" t="n">
        <v>2</v>
      </c>
      <c r="F335" s="44" t="s">
        <v>144</v>
      </c>
      <c r="G335" s="46" t="n">
        <f aca="false">IFERROR(INDEX('1. INSUMOS'!$H$8:$H$98,MATCH($D335,'1. INSUMOS'!$B$8:$B$98,0)),0)</f>
        <v>3.2</v>
      </c>
      <c r="H335" s="47" t="n">
        <f aca="false">E335*G335</f>
        <v>6.4</v>
      </c>
      <c r="I335" s="48" t="n">
        <f aca="false">IFERROR(INDEX('4. PRODUCCIÓN'!$D$8:$D$32,MATCH($A335,'4. PRODUCCIÓN'!$B$8:$B$32,0)),0)</f>
        <v>0</v>
      </c>
      <c r="J335" s="45" t="n">
        <f aca="false">E335*I335</f>
        <v>0</v>
      </c>
      <c r="K335" s="49" t="s">
        <v>250</v>
      </c>
    </row>
    <row r="336" customFormat="false" ht="15" hidden="false" customHeight="false" outlineLevel="0" collapsed="false">
      <c r="A336" s="44" t="n">
        <v>31</v>
      </c>
      <c r="B336" s="43" t="s">
        <v>365</v>
      </c>
      <c r="C336" s="44" t="s">
        <v>240</v>
      </c>
      <c r="D336" s="43" t="s">
        <v>217</v>
      </c>
      <c r="E336" s="45" t="n">
        <v>5</v>
      </c>
      <c r="F336" s="44" t="s">
        <v>101</v>
      </c>
      <c r="G336" s="46" t="n">
        <f aca="false">IFERROR(INDEX('1. INSUMOS'!$H$8:$H$98,MATCH($D336,'1. INSUMOS'!$B$8:$B$98,0)),0)</f>
        <v>0.74</v>
      </c>
      <c r="H336" s="47" t="n">
        <f aca="false">E336*G336</f>
        <v>3.7</v>
      </c>
      <c r="I336" s="48" t="n">
        <f aca="false">IFERROR(INDEX('4. PRODUCCIÓN'!$D$8:$D$32,MATCH($A336,'4. PRODUCCIÓN'!$B$8:$B$32,0)),0)</f>
        <v>0</v>
      </c>
      <c r="J336" s="45" t="n">
        <f aca="false">E336*I336</f>
        <v>0</v>
      </c>
      <c r="K336" s="49" t="s">
        <v>360</v>
      </c>
    </row>
    <row r="337" customFormat="false" ht="15" hidden="false" customHeight="false" outlineLevel="0" collapsed="false">
      <c r="A337" s="44" t="n">
        <v>31</v>
      </c>
      <c r="B337" s="43" t="s">
        <v>365</v>
      </c>
      <c r="C337" s="44" t="s">
        <v>240</v>
      </c>
      <c r="D337" s="43" t="s">
        <v>126</v>
      </c>
      <c r="E337" s="45" t="n">
        <v>310</v>
      </c>
      <c r="F337" s="44" t="s">
        <v>90</v>
      </c>
      <c r="G337" s="46" t="n">
        <f aca="false">IFERROR(INDEX('1. INSUMOS'!$H$8:$H$98,MATCH($D337,'1. INSUMOS'!$B$8:$B$98,0)),0)</f>
        <v>0.03</v>
      </c>
      <c r="H337" s="47" t="n">
        <f aca="false">E337*G337</f>
        <v>9.3</v>
      </c>
      <c r="I337" s="48" t="n">
        <f aca="false">IFERROR(INDEX('4. PRODUCCIÓN'!$D$8:$D$32,MATCH($A337,'4. PRODUCCIÓN'!$B$8:$B$32,0)),0)</f>
        <v>0</v>
      </c>
      <c r="J337" s="45" t="n">
        <f aca="false">E337*I337</f>
        <v>0</v>
      </c>
      <c r="K337" s="49" t="s">
        <v>126</v>
      </c>
    </row>
    <row r="338" customFormat="false" ht="15" hidden="false" customHeight="false" outlineLevel="0" collapsed="false">
      <c r="A338" s="44" t="n">
        <v>31</v>
      </c>
      <c r="B338" s="43" t="s">
        <v>365</v>
      </c>
      <c r="C338" s="44" t="s">
        <v>240</v>
      </c>
      <c r="D338" s="43" t="s">
        <v>130</v>
      </c>
      <c r="E338" s="45" t="n">
        <v>10</v>
      </c>
      <c r="F338" s="44" t="s">
        <v>90</v>
      </c>
      <c r="G338" s="46" t="n">
        <f aca="false">IFERROR(INDEX('1. INSUMOS'!$H$8:$H$98,MATCH($D338,'1. INSUMOS'!$B$8:$B$98,0)),0)</f>
        <v>0.09</v>
      </c>
      <c r="H338" s="47" t="n">
        <f aca="false">E338*G338</f>
        <v>0.9</v>
      </c>
      <c r="I338" s="48" t="n">
        <f aca="false">IFERROR(INDEX('4. PRODUCCIÓN'!$D$8:$D$32,MATCH($A338,'4. PRODUCCIÓN'!$B$8:$B$32,0)),0)</f>
        <v>0</v>
      </c>
      <c r="J338" s="45" t="n">
        <f aca="false">E338*I338</f>
        <v>0</v>
      </c>
      <c r="K338" s="49" t="s">
        <v>253</v>
      </c>
    </row>
    <row r="339" customFormat="false" ht="15" hidden="false" customHeight="false" outlineLevel="0" collapsed="false">
      <c r="A339" s="44" t="n">
        <v>31</v>
      </c>
      <c r="B339" s="43" t="s">
        <v>365</v>
      </c>
      <c r="C339" s="44" t="s">
        <v>240</v>
      </c>
      <c r="D339" s="43" t="s">
        <v>133</v>
      </c>
      <c r="E339" s="45" t="n">
        <v>5</v>
      </c>
      <c r="F339" s="44" t="s">
        <v>90</v>
      </c>
      <c r="G339" s="46" t="n">
        <f aca="false">IFERROR(INDEX('1. INSUMOS'!$H$8:$H$98,MATCH($D339,'1. INSUMOS'!$B$8:$B$98,0)),0)</f>
        <v>0.13</v>
      </c>
      <c r="H339" s="47" t="n">
        <f aca="false">E339*G339</f>
        <v>0.65</v>
      </c>
      <c r="I339" s="48" t="n">
        <f aca="false">IFERROR(INDEX('4. PRODUCCIÓN'!$D$8:$D$32,MATCH($A339,'4. PRODUCCIÓN'!$B$8:$B$32,0)),0)</f>
        <v>0</v>
      </c>
      <c r="J339" s="45" t="n">
        <f aca="false">E339*I339</f>
        <v>0</v>
      </c>
      <c r="K339" s="49" t="s">
        <v>133</v>
      </c>
    </row>
    <row r="340" customFormat="false" ht="15" hidden="false" customHeight="false" outlineLevel="0" collapsed="false">
      <c r="A340" s="44" t="n">
        <v>31</v>
      </c>
      <c r="B340" s="43" t="s">
        <v>365</v>
      </c>
      <c r="C340" s="44" t="s">
        <v>240</v>
      </c>
      <c r="D340" s="43" t="s">
        <v>195</v>
      </c>
      <c r="E340" s="45" t="n">
        <v>4</v>
      </c>
      <c r="F340" s="44" t="s">
        <v>90</v>
      </c>
      <c r="G340" s="46" t="n">
        <f aca="false">IFERROR(INDEX('1. INSUMOS'!$H$8:$H$98,MATCH($D340,'1. INSUMOS'!$B$8:$B$98,0)),0)</f>
        <v>0.02</v>
      </c>
      <c r="H340" s="47" t="n">
        <f aca="false">E340*G340</f>
        <v>0.08</v>
      </c>
      <c r="I340" s="48" t="n">
        <f aca="false">IFERROR(INDEX('4. PRODUCCIÓN'!$D$8:$D$32,MATCH($A340,'4. PRODUCCIÓN'!$B$8:$B$32,0)),0)</f>
        <v>0</v>
      </c>
      <c r="J340" s="45" t="n">
        <f aca="false">E340*I340</f>
        <v>0</v>
      </c>
      <c r="K340" s="49" t="s">
        <v>195</v>
      </c>
    </row>
    <row r="341" customFormat="false" ht="15" hidden="false" customHeight="false" outlineLevel="0" collapsed="false">
      <c r="A341" s="44" t="n">
        <v>31</v>
      </c>
      <c r="B341" s="43" t="s">
        <v>365</v>
      </c>
      <c r="C341" s="44" t="s">
        <v>240</v>
      </c>
      <c r="D341" s="43" t="s">
        <v>151</v>
      </c>
      <c r="E341" s="45" t="n">
        <v>120</v>
      </c>
      <c r="F341" s="44" t="s">
        <v>90</v>
      </c>
      <c r="G341" s="46" t="n">
        <f aca="false">IFERROR(INDEX('1. INSUMOS'!$H$8:$H$98,MATCH($D341,'1. INSUMOS'!$B$8:$B$98,0)),0)</f>
        <v>0.64</v>
      </c>
      <c r="H341" s="47" t="n">
        <f aca="false">E341*G341</f>
        <v>76.8</v>
      </c>
      <c r="I341" s="48" t="n">
        <f aca="false">IFERROR(INDEX('4. PRODUCCIÓN'!$D$8:$D$32,MATCH($A341,'4. PRODUCCIÓN'!$B$8:$B$32,0)),0)</f>
        <v>0</v>
      </c>
      <c r="J341" s="45" t="n">
        <f aca="false">E341*I341</f>
        <v>0</v>
      </c>
      <c r="K341" s="49" t="s">
        <v>366</v>
      </c>
    </row>
    <row r="342" customFormat="false" ht="15" hidden="false" customHeight="false" outlineLevel="0" collapsed="false">
      <c r="A342" s="44" t="n">
        <v>31</v>
      </c>
      <c r="B342" s="43" t="s">
        <v>365</v>
      </c>
      <c r="C342" s="44" t="s">
        <v>240</v>
      </c>
      <c r="D342" s="43" t="s">
        <v>187</v>
      </c>
      <c r="E342" s="45" t="n">
        <v>30</v>
      </c>
      <c r="F342" s="44" t="s">
        <v>90</v>
      </c>
      <c r="G342" s="46" t="n">
        <f aca="false">IFERROR(INDEX('1. INSUMOS'!$H$8:$H$98,MATCH($D342,'1. INSUMOS'!$B$8:$B$98,0)),0)</f>
        <v>1.75</v>
      </c>
      <c r="H342" s="47" t="n">
        <f aca="false">E342*G342</f>
        <v>52.5</v>
      </c>
      <c r="I342" s="48" t="n">
        <f aca="false">IFERROR(INDEX('4. PRODUCCIÓN'!$D$8:$D$32,MATCH($A342,'4. PRODUCCIÓN'!$B$8:$B$32,0)),0)</f>
        <v>0</v>
      </c>
      <c r="J342" s="45" t="n">
        <f aca="false">E342*I342</f>
        <v>0</v>
      </c>
      <c r="K342" s="49" t="s">
        <v>367</v>
      </c>
    </row>
    <row r="343" customFormat="false" ht="15" hidden="false" customHeight="false" outlineLevel="0" collapsed="false">
      <c r="A343" s="44" t="n">
        <v>31</v>
      </c>
      <c r="B343" s="43" t="s">
        <v>365</v>
      </c>
      <c r="C343" s="44" t="s">
        <v>240</v>
      </c>
      <c r="D343" s="43" t="s">
        <v>156</v>
      </c>
      <c r="E343" s="45" t="n">
        <v>50</v>
      </c>
      <c r="F343" s="44" t="s">
        <v>90</v>
      </c>
      <c r="G343" s="46" t="n">
        <f aca="false">IFERROR(INDEX('1. INSUMOS'!$H$8:$H$98,MATCH($D343,'1. INSUMOS'!$B$8:$B$98,0)),0)</f>
        <v>0.175</v>
      </c>
      <c r="H343" s="47" t="n">
        <f aca="false">E343*G343</f>
        <v>8.75</v>
      </c>
      <c r="I343" s="48" t="n">
        <f aca="false">IFERROR(INDEX('4. PRODUCCIÓN'!$D$8:$D$32,MATCH($A343,'4. PRODUCCIÓN'!$B$8:$B$32,0)),0)</f>
        <v>0</v>
      </c>
      <c r="J343" s="45" t="n">
        <f aca="false">E343*I343</f>
        <v>0</v>
      </c>
      <c r="K343" s="49" t="s">
        <v>368</v>
      </c>
    </row>
    <row r="344" customFormat="false" ht="15" hidden="false" customHeight="false" outlineLevel="0" collapsed="false">
      <c r="A344" s="50" t="n">
        <v>32</v>
      </c>
      <c r="B344" s="41" t="s">
        <v>369</v>
      </c>
      <c r="C344" s="50" t="s">
        <v>240</v>
      </c>
      <c r="D344" s="41" t="s">
        <v>88</v>
      </c>
      <c r="E344" s="51" t="n">
        <v>180</v>
      </c>
      <c r="F344" s="50" t="s">
        <v>90</v>
      </c>
      <c r="G344" s="52" t="n">
        <f aca="false">IFERROR(INDEX('1. INSUMOS'!$H$8:$H$98,MATCH($D344,'1. INSUMOS'!$B$8:$B$98,0)),0)</f>
        <v>0.21</v>
      </c>
      <c r="H344" s="53" t="n">
        <f aca="false">E344*G344</f>
        <v>37.8</v>
      </c>
      <c r="I344" s="54" t="n">
        <f aca="false">IFERROR(INDEX('4. PRODUCCIÓN'!$D$8:$D$32,MATCH($A344,'4. PRODUCCIÓN'!$B$8:$B$32,0)),0)</f>
        <v>0</v>
      </c>
      <c r="J344" s="51" t="n">
        <f aca="false">E344*I344</f>
        <v>0</v>
      </c>
      <c r="K344" s="55" t="s">
        <v>249</v>
      </c>
    </row>
    <row r="345" customFormat="false" ht="15" hidden="false" customHeight="false" outlineLevel="0" collapsed="false">
      <c r="A345" s="50" t="n">
        <v>32</v>
      </c>
      <c r="B345" s="41" t="s">
        <v>369</v>
      </c>
      <c r="C345" s="50" t="s">
        <v>240</v>
      </c>
      <c r="D345" s="41" t="s">
        <v>105</v>
      </c>
      <c r="E345" s="51" t="n">
        <v>150</v>
      </c>
      <c r="F345" s="50" t="s">
        <v>90</v>
      </c>
      <c r="G345" s="52" t="n">
        <f aca="false">IFERROR(INDEX('1. INSUMOS'!$H$8:$H$98,MATCH($D345,'1. INSUMOS'!$B$8:$B$98,0)),0)</f>
        <v>0.03</v>
      </c>
      <c r="H345" s="53" t="n">
        <f aca="false">E345*G345</f>
        <v>4.5</v>
      </c>
      <c r="I345" s="54" t="n">
        <f aca="false">IFERROR(INDEX('4. PRODUCCIÓN'!$D$8:$D$32,MATCH($A345,'4. PRODUCCIÓN'!$B$8:$B$32,0)),0)</f>
        <v>0</v>
      </c>
      <c r="J345" s="51" t="n">
        <f aca="false">E345*I345</f>
        <v>0</v>
      </c>
      <c r="K345" s="55" t="s">
        <v>105</v>
      </c>
    </row>
    <row r="346" customFormat="false" ht="15" hidden="false" customHeight="false" outlineLevel="0" collapsed="false">
      <c r="A346" s="50" t="n">
        <v>32</v>
      </c>
      <c r="B346" s="41" t="s">
        <v>369</v>
      </c>
      <c r="C346" s="50" t="s">
        <v>240</v>
      </c>
      <c r="D346" s="41" t="s">
        <v>108</v>
      </c>
      <c r="E346" s="51" t="n">
        <v>100</v>
      </c>
      <c r="F346" s="50" t="s">
        <v>90</v>
      </c>
      <c r="G346" s="52" t="n">
        <f aca="false">IFERROR(INDEX('1. INSUMOS'!$H$8:$H$98,MATCH($D346,'1. INSUMOS'!$B$8:$B$98,0)),0)</f>
        <v>0.052</v>
      </c>
      <c r="H346" s="53" t="n">
        <f aca="false">E346*G346</f>
        <v>5.2</v>
      </c>
      <c r="I346" s="54" t="n">
        <f aca="false">IFERROR(INDEX('4. PRODUCCIÓN'!$D$8:$D$32,MATCH($A346,'4. PRODUCCIÓN'!$B$8:$B$32,0)),0)</f>
        <v>0</v>
      </c>
      <c r="J346" s="51" t="n">
        <f aca="false">E346*I346</f>
        <v>0</v>
      </c>
      <c r="K346" s="55" t="s">
        <v>108</v>
      </c>
    </row>
    <row r="347" customFormat="false" ht="15" hidden="false" customHeight="false" outlineLevel="0" collapsed="false">
      <c r="A347" s="50" t="n">
        <v>32</v>
      </c>
      <c r="B347" s="41" t="s">
        <v>369</v>
      </c>
      <c r="C347" s="50" t="s">
        <v>240</v>
      </c>
      <c r="D347" s="41" t="s">
        <v>142</v>
      </c>
      <c r="E347" s="51" t="n">
        <v>2</v>
      </c>
      <c r="F347" s="50" t="s">
        <v>144</v>
      </c>
      <c r="G347" s="52" t="n">
        <f aca="false">IFERROR(INDEX('1. INSUMOS'!$H$8:$H$98,MATCH($D347,'1. INSUMOS'!$B$8:$B$98,0)),0)</f>
        <v>3.2</v>
      </c>
      <c r="H347" s="53" t="n">
        <f aca="false">E347*G347</f>
        <v>6.4</v>
      </c>
      <c r="I347" s="54" t="n">
        <f aca="false">IFERROR(INDEX('4. PRODUCCIÓN'!$D$8:$D$32,MATCH($A347,'4. PRODUCCIÓN'!$B$8:$B$32,0)),0)</f>
        <v>0</v>
      </c>
      <c r="J347" s="51" t="n">
        <f aca="false">E347*I347</f>
        <v>0</v>
      </c>
      <c r="K347" s="55" t="s">
        <v>250</v>
      </c>
    </row>
    <row r="348" customFormat="false" ht="15" hidden="false" customHeight="false" outlineLevel="0" collapsed="false">
      <c r="A348" s="50" t="n">
        <v>32</v>
      </c>
      <c r="B348" s="41" t="s">
        <v>369</v>
      </c>
      <c r="C348" s="50" t="s">
        <v>240</v>
      </c>
      <c r="D348" s="41" t="s">
        <v>223</v>
      </c>
      <c r="E348" s="51" t="n">
        <v>5</v>
      </c>
      <c r="F348" s="50" t="s">
        <v>101</v>
      </c>
      <c r="G348" s="52" t="n">
        <f aca="false">IFERROR(INDEX('1. INSUMOS'!$H$8:$H$98,MATCH($D348,'1. INSUMOS'!$B$8:$B$98,0)),0)</f>
        <v>2.4</v>
      </c>
      <c r="H348" s="53" t="n">
        <f aca="false">E348*G348</f>
        <v>12</v>
      </c>
      <c r="I348" s="54" t="n">
        <f aca="false">IFERROR(INDEX('4. PRODUCCIÓN'!$D$8:$D$32,MATCH($A348,'4. PRODUCCIÓN'!$B$8:$B$32,0)),0)</f>
        <v>0</v>
      </c>
      <c r="J348" s="51" t="n">
        <f aca="false">E348*I348</f>
        <v>0</v>
      </c>
      <c r="K348" s="55" t="s">
        <v>370</v>
      </c>
    </row>
    <row r="349" customFormat="false" ht="15" hidden="false" customHeight="false" outlineLevel="0" collapsed="false">
      <c r="A349" s="50" t="n">
        <v>32</v>
      </c>
      <c r="B349" s="41" t="s">
        <v>369</v>
      </c>
      <c r="C349" s="50" t="s">
        <v>240</v>
      </c>
      <c r="D349" s="41" t="s">
        <v>126</v>
      </c>
      <c r="E349" s="51" t="n">
        <v>300</v>
      </c>
      <c r="F349" s="50" t="s">
        <v>90</v>
      </c>
      <c r="G349" s="52" t="n">
        <f aca="false">IFERROR(INDEX('1. INSUMOS'!$H$8:$H$98,MATCH($D349,'1. INSUMOS'!$B$8:$B$98,0)),0)</f>
        <v>0.03</v>
      </c>
      <c r="H349" s="53" t="n">
        <f aca="false">E349*G349</f>
        <v>9</v>
      </c>
      <c r="I349" s="54" t="n">
        <f aca="false">IFERROR(INDEX('4. PRODUCCIÓN'!$D$8:$D$32,MATCH($A349,'4. PRODUCCIÓN'!$B$8:$B$32,0)),0)</f>
        <v>0</v>
      </c>
      <c r="J349" s="51" t="n">
        <f aca="false">E349*I349</f>
        <v>0</v>
      </c>
      <c r="K349" s="55" t="s">
        <v>126</v>
      </c>
    </row>
    <row r="350" customFormat="false" ht="15" hidden="false" customHeight="false" outlineLevel="0" collapsed="false">
      <c r="A350" s="50" t="n">
        <v>32</v>
      </c>
      <c r="B350" s="41" t="s">
        <v>369</v>
      </c>
      <c r="C350" s="50" t="s">
        <v>240</v>
      </c>
      <c r="D350" s="41" t="s">
        <v>160</v>
      </c>
      <c r="E350" s="51" t="n">
        <v>15</v>
      </c>
      <c r="F350" s="50" t="s">
        <v>90</v>
      </c>
      <c r="G350" s="52" t="n">
        <f aca="false">IFERROR(INDEX('1. INSUMOS'!$H$8:$H$98,MATCH($D350,'1. INSUMOS'!$B$8:$B$98,0)),0)</f>
        <v>0.244</v>
      </c>
      <c r="H350" s="53" t="n">
        <f aca="false">E350*G350</f>
        <v>3.66</v>
      </c>
      <c r="I350" s="54" t="n">
        <f aca="false">IFERROR(INDEX('4. PRODUCCIÓN'!$D$8:$D$32,MATCH($A350,'4. PRODUCCIÓN'!$B$8:$B$32,0)),0)</f>
        <v>0</v>
      </c>
      <c r="J350" s="51" t="n">
        <f aca="false">E350*I350</f>
        <v>0</v>
      </c>
      <c r="K350" s="55" t="s">
        <v>371</v>
      </c>
    </row>
    <row r="351" customFormat="false" ht="15" hidden="false" customHeight="false" outlineLevel="0" collapsed="false">
      <c r="A351" s="50" t="n">
        <v>32</v>
      </c>
      <c r="B351" s="41" t="s">
        <v>369</v>
      </c>
      <c r="C351" s="50" t="s">
        <v>240</v>
      </c>
      <c r="D351" s="41" t="s">
        <v>130</v>
      </c>
      <c r="E351" s="51" t="n">
        <v>10</v>
      </c>
      <c r="F351" s="50" t="s">
        <v>90</v>
      </c>
      <c r="G351" s="52" t="n">
        <f aca="false">IFERROR(INDEX('1. INSUMOS'!$H$8:$H$98,MATCH($D351,'1. INSUMOS'!$B$8:$B$98,0)),0)</f>
        <v>0.09</v>
      </c>
      <c r="H351" s="53" t="n">
        <f aca="false">E351*G351</f>
        <v>0.9</v>
      </c>
      <c r="I351" s="54" t="n">
        <f aca="false">IFERROR(INDEX('4. PRODUCCIÓN'!$D$8:$D$32,MATCH($A351,'4. PRODUCCIÓN'!$B$8:$B$32,0)),0)</f>
        <v>0</v>
      </c>
      <c r="J351" s="51" t="n">
        <f aca="false">E351*I351</f>
        <v>0</v>
      </c>
      <c r="K351" s="55" t="s">
        <v>253</v>
      </c>
    </row>
    <row r="352" customFormat="false" ht="15" hidden="false" customHeight="false" outlineLevel="0" collapsed="false">
      <c r="A352" s="50" t="n">
        <v>32</v>
      </c>
      <c r="B352" s="41" t="s">
        <v>369</v>
      </c>
      <c r="C352" s="50" t="s">
        <v>240</v>
      </c>
      <c r="D352" s="41" t="s">
        <v>133</v>
      </c>
      <c r="E352" s="51" t="n">
        <v>5</v>
      </c>
      <c r="F352" s="50" t="s">
        <v>90</v>
      </c>
      <c r="G352" s="52" t="n">
        <f aca="false">IFERROR(INDEX('1. INSUMOS'!$H$8:$H$98,MATCH($D352,'1. INSUMOS'!$B$8:$B$98,0)),0)</f>
        <v>0.13</v>
      </c>
      <c r="H352" s="53" t="n">
        <f aca="false">E352*G352</f>
        <v>0.65</v>
      </c>
      <c r="I352" s="54" t="n">
        <f aca="false">IFERROR(INDEX('4. PRODUCCIÓN'!$D$8:$D$32,MATCH($A352,'4. PRODUCCIÓN'!$B$8:$B$32,0)),0)</f>
        <v>0</v>
      </c>
      <c r="J352" s="51" t="n">
        <f aca="false">E352*I352</f>
        <v>0</v>
      </c>
      <c r="K352" s="55" t="s">
        <v>133</v>
      </c>
    </row>
    <row r="353" customFormat="false" ht="15" hidden="false" customHeight="false" outlineLevel="0" collapsed="false">
      <c r="A353" s="50" t="n">
        <v>32</v>
      </c>
      <c r="B353" s="41" t="s">
        <v>369</v>
      </c>
      <c r="C353" s="50" t="s">
        <v>240</v>
      </c>
      <c r="D353" s="41" t="s">
        <v>195</v>
      </c>
      <c r="E353" s="51" t="n">
        <v>4</v>
      </c>
      <c r="F353" s="50" t="s">
        <v>90</v>
      </c>
      <c r="G353" s="52" t="n">
        <f aca="false">IFERROR(INDEX('1. INSUMOS'!$H$8:$H$98,MATCH($D353,'1. INSUMOS'!$B$8:$B$98,0)),0)</f>
        <v>0.02</v>
      </c>
      <c r="H353" s="53" t="n">
        <f aca="false">E353*G353</f>
        <v>0.08</v>
      </c>
      <c r="I353" s="54" t="n">
        <f aca="false">IFERROR(INDEX('4. PRODUCCIÓN'!$D$8:$D$32,MATCH($A353,'4. PRODUCCIÓN'!$B$8:$B$32,0)),0)</f>
        <v>0</v>
      </c>
      <c r="J353" s="51" t="n">
        <f aca="false">E353*I353</f>
        <v>0</v>
      </c>
      <c r="K353" s="55" t="s">
        <v>195</v>
      </c>
    </row>
    <row r="354" customFormat="false" ht="15" hidden="false" customHeight="false" outlineLevel="0" collapsed="false">
      <c r="A354" s="50" t="n">
        <v>32</v>
      </c>
      <c r="B354" s="41" t="s">
        <v>369</v>
      </c>
      <c r="C354" s="50" t="s">
        <v>240</v>
      </c>
      <c r="D354" s="41" t="s">
        <v>149</v>
      </c>
      <c r="E354" s="51" t="n">
        <v>120</v>
      </c>
      <c r="F354" s="50" t="s">
        <v>90</v>
      </c>
      <c r="G354" s="52" t="n">
        <f aca="false">IFERROR(INDEX('1. INSUMOS'!$H$8:$H$98,MATCH($D354,'1. INSUMOS'!$B$8:$B$98,0)),0)</f>
        <v>0.235</v>
      </c>
      <c r="H354" s="53" t="n">
        <f aca="false">E354*G354</f>
        <v>28.2</v>
      </c>
      <c r="I354" s="54" t="n">
        <f aca="false">IFERROR(INDEX('4. PRODUCCIÓN'!$D$8:$D$32,MATCH($A354,'4. PRODUCCIÓN'!$B$8:$B$32,0)),0)</f>
        <v>0</v>
      </c>
      <c r="J354" s="51" t="n">
        <f aca="false">E354*I354</f>
        <v>0</v>
      </c>
      <c r="K354" s="55" t="s">
        <v>272</v>
      </c>
    </row>
    <row r="355" customFormat="false" ht="15" hidden="false" customHeight="false" outlineLevel="0" collapsed="false">
      <c r="A355" s="50" t="n">
        <v>32</v>
      </c>
      <c r="B355" s="41" t="s">
        <v>369</v>
      </c>
      <c r="C355" s="50" t="s">
        <v>313</v>
      </c>
      <c r="D355" s="41" t="s">
        <v>124</v>
      </c>
      <c r="E355" s="51" t="n">
        <v>120</v>
      </c>
      <c r="F355" s="50" t="s">
        <v>90</v>
      </c>
      <c r="G355" s="52" t="n">
        <f aca="false">IFERROR(INDEX('1. INSUMOS'!$H$8:$H$98,MATCH($D355,'1. INSUMOS'!$B$8:$B$98,0)),0)</f>
        <v>0.293333333333333</v>
      </c>
      <c r="H355" s="53" t="n">
        <f aca="false">E355*G355</f>
        <v>35.2</v>
      </c>
      <c r="I355" s="54" t="n">
        <f aca="false">IFERROR(INDEX('4. PRODUCCIÓN'!$D$8:$D$32,MATCH($A355,'4. PRODUCCIÓN'!$B$8:$B$32,0)),0)</f>
        <v>0</v>
      </c>
      <c r="J355" s="51" t="n">
        <f aca="false">E355*I355</f>
        <v>0</v>
      </c>
      <c r="K355" s="55" t="s">
        <v>372</v>
      </c>
    </row>
    <row r="356" customFormat="false" ht="15" hidden="false" customHeight="false" outlineLevel="0" collapsed="false">
      <c r="A356" s="44" t="n">
        <v>33</v>
      </c>
      <c r="B356" s="43" t="s">
        <v>373</v>
      </c>
      <c r="C356" s="44" t="s">
        <v>240</v>
      </c>
      <c r="D356" s="43" t="s">
        <v>88</v>
      </c>
      <c r="E356" s="45" t="n">
        <v>180</v>
      </c>
      <c r="F356" s="44" t="s">
        <v>90</v>
      </c>
      <c r="G356" s="46" t="n">
        <f aca="false">IFERROR(INDEX('1. INSUMOS'!$H$8:$H$98,MATCH($D356,'1. INSUMOS'!$B$8:$B$98,0)),0)</f>
        <v>0.21</v>
      </c>
      <c r="H356" s="47" t="n">
        <f aca="false">E356*G356</f>
        <v>37.8</v>
      </c>
      <c r="I356" s="48" t="n">
        <f aca="false">IFERROR(INDEX('4. PRODUCCIÓN'!$D$8:$D$32,MATCH($A356,'4. PRODUCCIÓN'!$B$8:$B$32,0)),0)</f>
        <v>0</v>
      </c>
      <c r="J356" s="45" t="n">
        <f aca="false">E356*I356</f>
        <v>0</v>
      </c>
      <c r="K356" s="49" t="s">
        <v>249</v>
      </c>
    </row>
    <row r="357" customFormat="false" ht="15" hidden="false" customHeight="false" outlineLevel="0" collapsed="false">
      <c r="A357" s="44" t="n">
        <v>33</v>
      </c>
      <c r="B357" s="43" t="s">
        <v>373</v>
      </c>
      <c r="C357" s="44" t="s">
        <v>240</v>
      </c>
      <c r="D357" s="43" t="s">
        <v>108</v>
      </c>
      <c r="E357" s="45" t="n">
        <v>150</v>
      </c>
      <c r="F357" s="44" t="s">
        <v>90</v>
      </c>
      <c r="G357" s="46" t="n">
        <f aca="false">IFERROR(INDEX('1. INSUMOS'!$H$8:$H$98,MATCH($D357,'1. INSUMOS'!$B$8:$B$98,0)),0)</f>
        <v>0.052</v>
      </c>
      <c r="H357" s="47" t="n">
        <f aca="false">E357*G357</f>
        <v>7.8</v>
      </c>
      <c r="I357" s="48" t="n">
        <f aca="false">IFERROR(INDEX('4. PRODUCCIÓN'!$D$8:$D$32,MATCH($A357,'4. PRODUCCIÓN'!$B$8:$B$32,0)),0)</f>
        <v>0</v>
      </c>
      <c r="J357" s="45" t="n">
        <f aca="false">E357*I357</f>
        <v>0</v>
      </c>
      <c r="K357" s="49" t="s">
        <v>270</v>
      </c>
    </row>
    <row r="358" customFormat="false" ht="15" hidden="false" customHeight="false" outlineLevel="0" collapsed="false">
      <c r="A358" s="44" t="n">
        <v>33</v>
      </c>
      <c r="B358" s="43" t="s">
        <v>373</v>
      </c>
      <c r="C358" s="44" t="s">
        <v>240</v>
      </c>
      <c r="D358" s="43" t="s">
        <v>105</v>
      </c>
      <c r="E358" s="45" t="n">
        <v>100</v>
      </c>
      <c r="F358" s="44" t="s">
        <v>90</v>
      </c>
      <c r="G358" s="46" t="n">
        <f aca="false">IFERROR(INDEX('1. INSUMOS'!$H$8:$H$98,MATCH($D358,'1. INSUMOS'!$B$8:$B$98,0)),0)</f>
        <v>0.03</v>
      </c>
      <c r="H358" s="47" t="n">
        <f aca="false">E358*G358</f>
        <v>3</v>
      </c>
      <c r="I358" s="48" t="n">
        <f aca="false">IFERROR(INDEX('4. PRODUCCIÓN'!$D$8:$D$32,MATCH($A358,'4. PRODUCCIÓN'!$B$8:$B$32,0)),0)</f>
        <v>0</v>
      </c>
      <c r="J358" s="45" t="n">
        <f aca="false">E358*I358</f>
        <v>0</v>
      </c>
      <c r="K358" s="49" t="s">
        <v>105</v>
      </c>
    </row>
    <row r="359" customFormat="false" ht="15" hidden="false" customHeight="false" outlineLevel="0" collapsed="false">
      <c r="A359" s="44" t="n">
        <v>33</v>
      </c>
      <c r="B359" s="43" t="s">
        <v>373</v>
      </c>
      <c r="C359" s="44" t="s">
        <v>240</v>
      </c>
      <c r="D359" s="43" t="s">
        <v>142</v>
      </c>
      <c r="E359" s="45" t="n">
        <v>2</v>
      </c>
      <c r="F359" s="44" t="s">
        <v>144</v>
      </c>
      <c r="G359" s="46" t="n">
        <f aca="false">IFERROR(INDEX('1. INSUMOS'!$H$8:$H$98,MATCH($D359,'1. INSUMOS'!$B$8:$B$98,0)),0)</f>
        <v>3.2</v>
      </c>
      <c r="H359" s="47" t="n">
        <f aca="false">E359*G359</f>
        <v>6.4</v>
      </c>
      <c r="I359" s="48" t="n">
        <f aca="false">IFERROR(INDEX('4. PRODUCCIÓN'!$D$8:$D$32,MATCH($A359,'4. PRODUCCIÓN'!$B$8:$B$32,0)),0)</f>
        <v>0</v>
      </c>
      <c r="J359" s="45" t="n">
        <f aca="false">E359*I359</f>
        <v>0</v>
      </c>
      <c r="K359" s="49" t="s">
        <v>250</v>
      </c>
    </row>
    <row r="360" customFormat="false" ht="15" hidden="false" customHeight="false" outlineLevel="0" collapsed="false">
      <c r="A360" s="44" t="n">
        <v>33</v>
      </c>
      <c r="B360" s="43" t="s">
        <v>373</v>
      </c>
      <c r="C360" s="44" t="s">
        <v>240</v>
      </c>
      <c r="D360" s="43" t="s">
        <v>221</v>
      </c>
      <c r="E360" s="45" t="n">
        <v>5</v>
      </c>
      <c r="F360" s="44" t="s">
        <v>101</v>
      </c>
      <c r="G360" s="46" t="n">
        <f aca="false">IFERROR(INDEX('1. INSUMOS'!$H$8:$H$98,MATCH($D360,'1. INSUMOS'!$B$8:$B$98,0)),0)</f>
        <v>0.6</v>
      </c>
      <c r="H360" s="47" t="n">
        <f aca="false">E360*G360</f>
        <v>3</v>
      </c>
      <c r="I360" s="48" t="n">
        <f aca="false">IFERROR(INDEX('4. PRODUCCIÓN'!$D$8:$D$32,MATCH($A360,'4. PRODUCCIÓN'!$B$8:$B$32,0)),0)</f>
        <v>0</v>
      </c>
      <c r="J360" s="45" t="n">
        <f aca="false">E360*I360</f>
        <v>0</v>
      </c>
      <c r="K360" s="49" t="s">
        <v>374</v>
      </c>
    </row>
    <row r="361" customFormat="false" ht="15" hidden="false" customHeight="false" outlineLevel="0" collapsed="false">
      <c r="A361" s="44" t="n">
        <v>33</v>
      </c>
      <c r="B361" s="43" t="s">
        <v>373</v>
      </c>
      <c r="C361" s="44" t="s">
        <v>240</v>
      </c>
      <c r="D361" s="43" t="s">
        <v>126</v>
      </c>
      <c r="E361" s="45" t="n">
        <v>300</v>
      </c>
      <c r="F361" s="44" t="s">
        <v>90</v>
      </c>
      <c r="G361" s="46" t="n">
        <f aca="false">IFERROR(INDEX('1. INSUMOS'!$H$8:$H$98,MATCH($D361,'1. INSUMOS'!$B$8:$B$98,0)),0)</f>
        <v>0.03</v>
      </c>
      <c r="H361" s="47" t="n">
        <f aca="false">E361*G361</f>
        <v>9</v>
      </c>
      <c r="I361" s="48" t="n">
        <f aca="false">IFERROR(INDEX('4. PRODUCCIÓN'!$D$8:$D$32,MATCH($A361,'4. PRODUCCIÓN'!$B$8:$B$32,0)),0)</f>
        <v>0</v>
      </c>
      <c r="J361" s="45" t="n">
        <f aca="false">E361*I361</f>
        <v>0</v>
      </c>
      <c r="K361" s="49" t="s">
        <v>126</v>
      </c>
    </row>
    <row r="362" customFormat="false" ht="15" hidden="false" customHeight="false" outlineLevel="0" collapsed="false">
      <c r="A362" s="44" t="n">
        <v>33</v>
      </c>
      <c r="B362" s="43" t="s">
        <v>373</v>
      </c>
      <c r="C362" s="44" t="s">
        <v>240</v>
      </c>
      <c r="D362" s="43" t="s">
        <v>130</v>
      </c>
      <c r="E362" s="45" t="n">
        <v>10</v>
      </c>
      <c r="F362" s="44" t="s">
        <v>90</v>
      </c>
      <c r="G362" s="46" t="n">
        <f aca="false">IFERROR(INDEX('1. INSUMOS'!$H$8:$H$98,MATCH($D362,'1. INSUMOS'!$B$8:$B$98,0)),0)</f>
        <v>0.09</v>
      </c>
      <c r="H362" s="47" t="n">
        <f aca="false">E362*G362</f>
        <v>0.9</v>
      </c>
      <c r="I362" s="48" t="n">
        <f aca="false">IFERROR(INDEX('4. PRODUCCIÓN'!$D$8:$D$32,MATCH($A362,'4. PRODUCCIÓN'!$B$8:$B$32,0)),0)</f>
        <v>0</v>
      </c>
      <c r="J362" s="45" t="n">
        <f aca="false">E362*I362</f>
        <v>0</v>
      </c>
      <c r="K362" s="49" t="s">
        <v>253</v>
      </c>
    </row>
    <row r="363" customFormat="false" ht="15" hidden="false" customHeight="false" outlineLevel="0" collapsed="false">
      <c r="A363" s="44" t="n">
        <v>33</v>
      </c>
      <c r="B363" s="43" t="s">
        <v>373</v>
      </c>
      <c r="C363" s="44" t="s">
        <v>240</v>
      </c>
      <c r="D363" s="43" t="s">
        <v>133</v>
      </c>
      <c r="E363" s="45" t="n">
        <v>5</v>
      </c>
      <c r="F363" s="44" t="s">
        <v>90</v>
      </c>
      <c r="G363" s="46" t="n">
        <f aca="false">IFERROR(INDEX('1. INSUMOS'!$H$8:$H$98,MATCH($D363,'1. INSUMOS'!$B$8:$B$98,0)),0)</f>
        <v>0.13</v>
      </c>
      <c r="H363" s="47" t="n">
        <f aca="false">E363*G363</f>
        <v>0.65</v>
      </c>
      <c r="I363" s="48" t="n">
        <f aca="false">IFERROR(INDEX('4. PRODUCCIÓN'!$D$8:$D$32,MATCH($A363,'4. PRODUCCIÓN'!$B$8:$B$32,0)),0)</f>
        <v>0</v>
      </c>
      <c r="J363" s="45" t="n">
        <f aca="false">E363*I363</f>
        <v>0</v>
      </c>
      <c r="K363" s="49" t="s">
        <v>133</v>
      </c>
    </row>
    <row r="364" customFormat="false" ht="15" hidden="false" customHeight="false" outlineLevel="0" collapsed="false">
      <c r="A364" s="44" t="n">
        <v>33</v>
      </c>
      <c r="B364" s="43" t="s">
        <v>373</v>
      </c>
      <c r="C364" s="44" t="s">
        <v>240</v>
      </c>
      <c r="D364" s="43" t="s">
        <v>195</v>
      </c>
      <c r="E364" s="45" t="n">
        <v>4</v>
      </c>
      <c r="F364" s="44" t="s">
        <v>90</v>
      </c>
      <c r="G364" s="46" t="n">
        <f aca="false">IFERROR(INDEX('1. INSUMOS'!$H$8:$H$98,MATCH($D364,'1. INSUMOS'!$B$8:$B$98,0)),0)</f>
        <v>0.02</v>
      </c>
      <c r="H364" s="47" t="n">
        <f aca="false">E364*G364</f>
        <v>0.08</v>
      </c>
      <c r="I364" s="48" t="n">
        <f aca="false">IFERROR(INDEX('4. PRODUCCIÓN'!$D$8:$D$32,MATCH($A364,'4. PRODUCCIÓN'!$B$8:$B$32,0)),0)</f>
        <v>0</v>
      </c>
      <c r="J364" s="45" t="n">
        <f aca="false">E364*I364</f>
        <v>0</v>
      </c>
      <c r="K364" s="49" t="s">
        <v>195</v>
      </c>
    </row>
    <row r="365" customFormat="false" ht="15" hidden="false" customHeight="false" outlineLevel="0" collapsed="false">
      <c r="A365" s="44" t="n">
        <v>33</v>
      </c>
      <c r="B365" s="43" t="s">
        <v>373</v>
      </c>
      <c r="C365" s="44" t="s">
        <v>240</v>
      </c>
      <c r="D365" s="43" t="s">
        <v>179</v>
      </c>
      <c r="E365" s="45" t="n">
        <v>60</v>
      </c>
      <c r="F365" s="44" t="s">
        <v>90</v>
      </c>
      <c r="G365" s="46" t="n">
        <f aca="false">IFERROR(INDEX('1. INSUMOS'!$H$8:$H$98,MATCH($D365,'1. INSUMOS'!$B$8:$B$98,0)),0)</f>
        <v>0.136</v>
      </c>
      <c r="H365" s="47" t="n">
        <f aca="false">E365*G365</f>
        <v>8.16</v>
      </c>
      <c r="I365" s="48" t="n">
        <f aca="false">IFERROR(INDEX('4. PRODUCCIÓN'!$D$8:$D$32,MATCH($A365,'4. PRODUCCIÓN'!$B$8:$B$32,0)),0)</f>
        <v>0</v>
      </c>
      <c r="J365" s="45" t="n">
        <f aca="false">E365*I365</f>
        <v>0</v>
      </c>
      <c r="K365" s="49" t="s">
        <v>375</v>
      </c>
    </row>
    <row r="366" customFormat="false" ht="15" hidden="false" customHeight="false" outlineLevel="0" collapsed="false">
      <c r="A366" s="44" t="n">
        <v>33</v>
      </c>
      <c r="B366" s="43" t="s">
        <v>373</v>
      </c>
      <c r="C366" s="44" t="s">
        <v>240</v>
      </c>
      <c r="D366" s="43" t="s">
        <v>189</v>
      </c>
      <c r="E366" s="45" t="n">
        <v>80</v>
      </c>
      <c r="F366" s="44" t="s">
        <v>90</v>
      </c>
      <c r="G366" s="46" t="n">
        <f aca="false">IFERROR(INDEX('1. INSUMOS'!$H$8:$H$98,MATCH($D366,'1. INSUMOS'!$B$8:$B$98,0)),0)</f>
        <v>0.352</v>
      </c>
      <c r="H366" s="47" t="n">
        <f aca="false">E366*G366</f>
        <v>28.16</v>
      </c>
      <c r="I366" s="48" t="n">
        <f aca="false">IFERROR(INDEX('4. PRODUCCIÓN'!$D$8:$D$32,MATCH($A366,'4. PRODUCCIÓN'!$B$8:$B$32,0)),0)</f>
        <v>0</v>
      </c>
      <c r="J366" s="45" t="n">
        <f aca="false">E366*I366</f>
        <v>0</v>
      </c>
      <c r="K366" s="49" t="s">
        <v>376</v>
      </c>
    </row>
    <row r="367" customFormat="false" ht="15" hidden="false" customHeight="false" outlineLevel="0" collapsed="false">
      <c r="A367" s="44" t="n">
        <v>33</v>
      </c>
      <c r="B367" s="43" t="s">
        <v>373</v>
      </c>
      <c r="C367" s="44" t="s">
        <v>240</v>
      </c>
      <c r="D367" s="43" t="s">
        <v>149</v>
      </c>
      <c r="E367" s="45" t="n">
        <v>100</v>
      </c>
      <c r="F367" s="44" t="s">
        <v>90</v>
      </c>
      <c r="G367" s="46" t="n">
        <f aca="false">IFERROR(INDEX('1. INSUMOS'!$H$8:$H$98,MATCH($D367,'1. INSUMOS'!$B$8:$B$98,0)),0)</f>
        <v>0.235</v>
      </c>
      <c r="H367" s="47" t="n">
        <f aca="false">E367*G367</f>
        <v>23.5</v>
      </c>
      <c r="I367" s="48" t="n">
        <f aca="false">IFERROR(INDEX('4. PRODUCCIÓN'!$D$8:$D$32,MATCH($A367,'4. PRODUCCIÓN'!$B$8:$B$32,0)),0)</f>
        <v>0</v>
      </c>
      <c r="J367" s="45" t="n">
        <f aca="false">E367*I367</f>
        <v>0</v>
      </c>
      <c r="K367" s="49" t="s">
        <v>272</v>
      </c>
    </row>
    <row r="368" customFormat="false" ht="15" hidden="false" customHeight="false" outlineLevel="0" collapsed="false">
      <c r="A368" s="50" t="n">
        <v>34</v>
      </c>
      <c r="B368" s="41" t="s">
        <v>377</v>
      </c>
      <c r="C368" s="50" t="s">
        <v>240</v>
      </c>
      <c r="D368" s="41" t="s">
        <v>88</v>
      </c>
      <c r="E368" s="51" t="n">
        <v>180</v>
      </c>
      <c r="F368" s="50" t="s">
        <v>90</v>
      </c>
      <c r="G368" s="52" t="n">
        <f aca="false">IFERROR(INDEX('1. INSUMOS'!$H$8:$H$98,MATCH($D368,'1. INSUMOS'!$B$8:$B$98,0)),0)</f>
        <v>0.21</v>
      </c>
      <c r="H368" s="53" t="n">
        <f aca="false">E368*G368</f>
        <v>37.8</v>
      </c>
      <c r="I368" s="54" t="n">
        <f aca="false">IFERROR(INDEX('4. PRODUCCIÓN'!$D$8:$D$32,MATCH($A368,'4. PRODUCCIÓN'!$B$8:$B$32,0)),0)</f>
        <v>0</v>
      </c>
      <c r="J368" s="51" t="n">
        <f aca="false">E368*I368</f>
        <v>0</v>
      </c>
      <c r="K368" s="55" t="s">
        <v>249</v>
      </c>
    </row>
    <row r="369" customFormat="false" ht="15" hidden="false" customHeight="false" outlineLevel="0" collapsed="false">
      <c r="A369" s="50" t="n">
        <v>34</v>
      </c>
      <c r="B369" s="41" t="s">
        <v>377</v>
      </c>
      <c r="C369" s="50" t="s">
        <v>240</v>
      </c>
      <c r="D369" s="41" t="s">
        <v>105</v>
      </c>
      <c r="E369" s="51" t="n">
        <v>150</v>
      </c>
      <c r="F369" s="50" t="s">
        <v>90</v>
      </c>
      <c r="G369" s="52" t="n">
        <f aca="false">IFERROR(INDEX('1. INSUMOS'!$H$8:$H$98,MATCH($D369,'1. INSUMOS'!$B$8:$B$98,0)),0)</f>
        <v>0.03</v>
      </c>
      <c r="H369" s="53" t="n">
        <f aca="false">E369*G369</f>
        <v>4.5</v>
      </c>
      <c r="I369" s="54" t="n">
        <f aca="false">IFERROR(INDEX('4. PRODUCCIÓN'!$D$8:$D$32,MATCH($A369,'4. PRODUCCIÓN'!$B$8:$B$32,0)),0)</f>
        <v>0</v>
      </c>
      <c r="J369" s="51" t="n">
        <f aca="false">E369*I369</f>
        <v>0</v>
      </c>
      <c r="K369" s="55" t="s">
        <v>105</v>
      </c>
    </row>
    <row r="370" customFormat="false" ht="15" hidden="false" customHeight="false" outlineLevel="0" collapsed="false">
      <c r="A370" s="50" t="n">
        <v>34</v>
      </c>
      <c r="B370" s="41" t="s">
        <v>377</v>
      </c>
      <c r="C370" s="50" t="s">
        <v>240</v>
      </c>
      <c r="D370" s="41" t="s">
        <v>108</v>
      </c>
      <c r="E370" s="51" t="n">
        <v>100</v>
      </c>
      <c r="F370" s="50" t="s">
        <v>90</v>
      </c>
      <c r="G370" s="52" t="n">
        <f aca="false">IFERROR(INDEX('1. INSUMOS'!$H$8:$H$98,MATCH($D370,'1. INSUMOS'!$B$8:$B$98,0)),0)</f>
        <v>0.052</v>
      </c>
      <c r="H370" s="53" t="n">
        <f aca="false">E370*G370</f>
        <v>5.2</v>
      </c>
      <c r="I370" s="54" t="n">
        <f aca="false">IFERROR(INDEX('4. PRODUCCIÓN'!$D$8:$D$32,MATCH($A370,'4. PRODUCCIÓN'!$B$8:$B$32,0)),0)</f>
        <v>0</v>
      </c>
      <c r="J370" s="51" t="n">
        <f aca="false">E370*I370</f>
        <v>0</v>
      </c>
      <c r="K370" s="55" t="s">
        <v>108</v>
      </c>
    </row>
    <row r="371" customFormat="false" ht="15" hidden="false" customHeight="false" outlineLevel="0" collapsed="false">
      <c r="A371" s="50" t="n">
        <v>34</v>
      </c>
      <c r="B371" s="41" t="s">
        <v>377</v>
      </c>
      <c r="C371" s="50" t="s">
        <v>240</v>
      </c>
      <c r="D371" s="41" t="s">
        <v>142</v>
      </c>
      <c r="E371" s="51" t="n">
        <v>2</v>
      </c>
      <c r="F371" s="50" t="s">
        <v>144</v>
      </c>
      <c r="G371" s="52" t="n">
        <f aca="false">IFERROR(INDEX('1. INSUMOS'!$H$8:$H$98,MATCH($D371,'1. INSUMOS'!$B$8:$B$98,0)),0)</f>
        <v>3.2</v>
      </c>
      <c r="H371" s="53" t="n">
        <f aca="false">E371*G371</f>
        <v>6.4</v>
      </c>
      <c r="I371" s="54" t="n">
        <f aca="false">IFERROR(INDEX('4. PRODUCCIÓN'!$D$8:$D$32,MATCH($A371,'4. PRODUCCIÓN'!$B$8:$B$32,0)),0)</f>
        <v>0</v>
      </c>
      <c r="J371" s="51" t="n">
        <f aca="false">E371*I371</f>
        <v>0</v>
      </c>
      <c r="K371" s="55" t="s">
        <v>250</v>
      </c>
    </row>
    <row r="372" customFormat="false" ht="15" hidden="false" customHeight="false" outlineLevel="0" collapsed="false">
      <c r="A372" s="50" t="n">
        <v>34</v>
      </c>
      <c r="B372" s="41" t="s">
        <v>377</v>
      </c>
      <c r="C372" s="50" t="s">
        <v>240</v>
      </c>
      <c r="D372" s="41" t="s">
        <v>126</v>
      </c>
      <c r="E372" s="51" t="n">
        <v>310</v>
      </c>
      <c r="F372" s="50" t="s">
        <v>90</v>
      </c>
      <c r="G372" s="52" t="n">
        <f aca="false">IFERROR(INDEX('1. INSUMOS'!$H$8:$H$98,MATCH($D372,'1. INSUMOS'!$B$8:$B$98,0)),0)</f>
        <v>0.03</v>
      </c>
      <c r="H372" s="53" t="n">
        <f aca="false">E372*G372</f>
        <v>9.3</v>
      </c>
      <c r="I372" s="54" t="n">
        <f aca="false">IFERROR(INDEX('4. PRODUCCIÓN'!$D$8:$D$32,MATCH($A372,'4. PRODUCCIÓN'!$B$8:$B$32,0)),0)</f>
        <v>0</v>
      </c>
      <c r="J372" s="51" t="n">
        <f aca="false">E372*I372</f>
        <v>0</v>
      </c>
      <c r="K372" s="55" t="s">
        <v>126</v>
      </c>
    </row>
    <row r="373" customFormat="false" ht="15" hidden="false" customHeight="false" outlineLevel="0" collapsed="false">
      <c r="A373" s="50" t="n">
        <v>34</v>
      </c>
      <c r="B373" s="41" t="s">
        <v>377</v>
      </c>
      <c r="C373" s="50" t="s">
        <v>240</v>
      </c>
      <c r="D373" s="41" t="s">
        <v>130</v>
      </c>
      <c r="E373" s="51" t="n">
        <v>10</v>
      </c>
      <c r="F373" s="50" t="s">
        <v>90</v>
      </c>
      <c r="G373" s="52" t="n">
        <f aca="false">IFERROR(INDEX('1. INSUMOS'!$H$8:$H$98,MATCH($D373,'1. INSUMOS'!$B$8:$B$98,0)),0)</f>
        <v>0.09</v>
      </c>
      <c r="H373" s="53" t="n">
        <f aca="false">E373*G373</f>
        <v>0.9</v>
      </c>
      <c r="I373" s="54" t="n">
        <f aca="false">IFERROR(INDEX('4. PRODUCCIÓN'!$D$8:$D$32,MATCH($A373,'4. PRODUCCIÓN'!$B$8:$B$32,0)),0)</f>
        <v>0</v>
      </c>
      <c r="J373" s="51" t="n">
        <f aca="false">E373*I373</f>
        <v>0</v>
      </c>
      <c r="K373" s="55" t="s">
        <v>253</v>
      </c>
    </row>
    <row r="374" customFormat="false" ht="15" hidden="false" customHeight="false" outlineLevel="0" collapsed="false">
      <c r="A374" s="50" t="n">
        <v>34</v>
      </c>
      <c r="B374" s="41" t="s">
        <v>377</v>
      </c>
      <c r="C374" s="50" t="s">
        <v>240</v>
      </c>
      <c r="D374" s="41" t="s">
        <v>133</v>
      </c>
      <c r="E374" s="51" t="n">
        <v>5</v>
      </c>
      <c r="F374" s="50" t="s">
        <v>90</v>
      </c>
      <c r="G374" s="52" t="n">
        <f aca="false">IFERROR(INDEX('1. INSUMOS'!$H$8:$H$98,MATCH($D374,'1. INSUMOS'!$B$8:$B$98,0)),0)</f>
        <v>0.13</v>
      </c>
      <c r="H374" s="53" t="n">
        <f aca="false">E374*G374</f>
        <v>0.65</v>
      </c>
      <c r="I374" s="54" t="n">
        <f aca="false">IFERROR(INDEX('4. PRODUCCIÓN'!$D$8:$D$32,MATCH($A374,'4. PRODUCCIÓN'!$B$8:$B$32,0)),0)</f>
        <v>0</v>
      </c>
      <c r="J374" s="51" t="n">
        <f aca="false">E374*I374</f>
        <v>0</v>
      </c>
      <c r="K374" s="55" t="s">
        <v>133</v>
      </c>
    </row>
    <row r="375" customFormat="false" ht="15" hidden="false" customHeight="false" outlineLevel="0" collapsed="false">
      <c r="A375" s="50" t="n">
        <v>34</v>
      </c>
      <c r="B375" s="41" t="s">
        <v>377</v>
      </c>
      <c r="C375" s="50" t="s">
        <v>240</v>
      </c>
      <c r="D375" s="41" t="s">
        <v>195</v>
      </c>
      <c r="E375" s="51" t="n">
        <v>2</v>
      </c>
      <c r="F375" s="50" t="s">
        <v>90</v>
      </c>
      <c r="G375" s="52" t="n">
        <f aca="false">IFERROR(INDEX('1. INSUMOS'!$H$8:$H$98,MATCH($D375,'1. INSUMOS'!$B$8:$B$98,0)),0)</f>
        <v>0.02</v>
      </c>
      <c r="H375" s="53" t="n">
        <f aca="false">E375*G375</f>
        <v>0.04</v>
      </c>
      <c r="I375" s="54" t="n">
        <f aca="false">IFERROR(INDEX('4. PRODUCCIÓN'!$D$8:$D$32,MATCH($A375,'4. PRODUCCIÓN'!$B$8:$B$32,0)),0)</f>
        <v>0</v>
      </c>
      <c r="J375" s="51" t="n">
        <f aca="false">E375*I375</f>
        <v>0</v>
      </c>
      <c r="K375" s="55" t="s">
        <v>195</v>
      </c>
    </row>
    <row r="376" customFormat="false" ht="15" hidden="false" customHeight="false" outlineLevel="0" collapsed="false">
      <c r="A376" s="50" t="n">
        <v>34</v>
      </c>
      <c r="B376" s="41" t="s">
        <v>377</v>
      </c>
      <c r="C376" s="50" t="s">
        <v>240</v>
      </c>
      <c r="D376" s="41" t="s">
        <v>188</v>
      </c>
      <c r="E376" s="51" t="n">
        <v>80</v>
      </c>
      <c r="F376" s="50" t="s">
        <v>90</v>
      </c>
      <c r="G376" s="52" t="n">
        <f aca="false">IFERROR(INDEX('1. INSUMOS'!$H$8:$H$98,MATCH($D376,'1. INSUMOS'!$B$8:$B$98,0)),0)</f>
        <v>0.392</v>
      </c>
      <c r="H376" s="53" t="n">
        <f aca="false">E376*G376</f>
        <v>31.36</v>
      </c>
      <c r="I376" s="54" t="n">
        <f aca="false">IFERROR(INDEX('4. PRODUCCIÓN'!$D$8:$D$32,MATCH($A376,'4. PRODUCCIÓN'!$B$8:$B$32,0)),0)</f>
        <v>0</v>
      </c>
      <c r="J376" s="51" t="n">
        <f aca="false">E376*I376</f>
        <v>0</v>
      </c>
      <c r="K376" s="55" t="s">
        <v>378</v>
      </c>
    </row>
    <row r="377" customFormat="false" ht="15" hidden="false" customHeight="false" outlineLevel="0" collapsed="false">
      <c r="A377" s="50" t="n">
        <v>34</v>
      </c>
      <c r="B377" s="41" t="s">
        <v>377</v>
      </c>
      <c r="C377" s="50" t="s">
        <v>313</v>
      </c>
      <c r="D377" s="41" t="s">
        <v>123</v>
      </c>
      <c r="E377" s="51" t="n">
        <v>120</v>
      </c>
      <c r="F377" s="50" t="s">
        <v>90</v>
      </c>
      <c r="G377" s="52" t="n">
        <f aca="false">IFERROR(INDEX('1. INSUMOS'!$H$8:$H$98,MATCH($D377,'1. INSUMOS'!$B$8:$B$98,0)),0)</f>
        <v>0.136</v>
      </c>
      <c r="H377" s="53" t="n">
        <f aca="false">E377*G377</f>
        <v>16.32</v>
      </c>
      <c r="I377" s="54" t="n">
        <f aca="false">IFERROR(INDEX('4. PRODUCCIÓN'!$D$8:$D$32,MATCH($A377,'4. PRODUCCIÓN'!$B$8:$B$32,0)),0)</f>
        <v>0</v>
      </c>
      <c r="J377" s="51" t="n">
        <f aca="false">E377*I377</f>
        <v>0</v>
      </c>
      <c r="K377" s="55" t="s">
        <v>379</v>
      </c>
    </row>
    <row r="378" customFormat="false" ht="15" hidden="false" customHeight="false" outlineLevel="0" collapsed="false">
      <c r="A378" s="44" t="n">
        <v>35</v>
      </c>
      <c r="B378" s="43" t="s">
        <v>380</v>
      </c>
      <c r="C378" s="44" t="s">
        <v>240</v>
      </c>
      <c r="D378" s="43" t="s">
        <v>88</v>
      </c>
      <c r="E378" s="45" t="n">
        <v>180</v>
      </c>
      <c r="F378" s="44" t="s">
        <v>90</v>
      </c>
      <c r="G378" s="46" t="n">
        <f aca="false">IFERROR(INDEX('1. INSUMOS'!$H$8:$H$98,MATCH($D378,'1. INSUMOS'!$B$8:$B$98,0)),0)</f>
        <v>0.21</v>
      </c>
      <c r="H378" s="47" t="n">
        <f aca="false">E378*G378</f>
        <v>37.8</v>
      </c>
      <c r="I378" s="48" t="n">
        <f aca="false">IFERROR(INDEX('4. PRODUCCIÓN'!$D$8:$D$32,MATCH($A378,'4. PRODUCCIÓN'!$B$8:$B$32,0)),0)</f>
        <v>0</v>
      </c>
      <c r="J378" s="45" t="n">
        <f aca="false">E378*I378</f>
        <v>0</v>
      </c>
      <c r="K378" s="49" t="s">
        <v>249</v>
      </c>
    </row>
    <row r="379" customFormat="false" ht="15" hidden="false" customHeight="false" outlineLevel="0" collapsed="false">
      <c r="A379" s="44" t="n">
        <v>35</v>
      </c>
      <c r="B379" s="43" t="s">
        <v>380</v>
      </c>
      <c r="C379" s="44" t="s">
        <v>240</v>
      </c>
      <c r="D379" s="43" t="s">
        <v>105</v>
      </c>
      <c r="E379" s="45" t="n">
        <v>160</v>
      </c>
      <c r="F379" s="44" t="s">
        <v>90</v>
      </c>
      <c r="G379" s="46" t="n">
        <f aca="false">IFERROR(INDEX('1. INSUMOS'!$H$8:$H$98,MATCH($D379,'1. INSUMOS'!$B$8:$B$98,0)),0)</f>
        <v>0.03</v>
      </c>
      <c r="H379" s="47" t="n">
        <f aca="false">E379*G379</f>
        <v>4.8</v>
      </c>
      <c r="I379" s="48" t="n">
        <f aca="false">IFERROR(INDEX('4. PRODUCCIÓN'!$D$8:$D$32,MATCH($A379,'4. PRODUCCIÓN'!$B$8:$B$32,0)),0)</f>
        <v>0</v>
      </c>
      <c r="J379" s="45" t="n">
        <f aca="false">E379*I379</f>
        <v>0</v>
      </c>
      <c r="K379" s="49" t="s">
        <v>105</v>
      </c>
    </row>
    <row r="380" customFormat="false" ht="15" hidden="false" customHeight="false" outlineLevel="0" collapsed="false">
      <c r="A380" s="44" t="n">
        <v>35</v>
      </c>
      <c r="B380" s="43" t="s">
        <v>380</v>
      </c>
      <c r="C380" s="44" t="s">
        <v>240</v>
      </c>
      <c r="D380" s="43" t="s">
        <v>108</v>
      </c>
      <c r="E380" s="45" t="n">
        <v>90</v>
      </c>
      <c r="F380" s="44" t="s">
        <v>90</v>
      </c>
      <c r="G380" s="46" t="n">
        <f aca="false">IFERROR(INDEX('1. INSUMOS'!$H$8:$H$98,MATCH($D380,'1. INSUMOS'!$B$8:$B$98,0)),0)</f>
        <v>0.052</v>
      </c>
      <c r="H380" s="47" t="n">
        <f aca="false">E380*G380</f>
        <v>4.68</v>
      </c>
      <c r="I380" s="48" t="n">
        <f aca="false">IFERROR(INDEX('4. PRODUCCIÓN'!$D$8:$D$32,MATCH($A380,'4. PRODUCCIÓN'!$B$8:$B$32,0)),0)</f>
        <v>0</v>
      </c>
      <c r="J380" s="45" t="n">
        <f aca="false">E380*I380</f>
        <v>0</v>
      </c>
      <c r="K380" s="49" t="s">
        <v>270</v>
      </c>
    </row>
    <row r="381" customFormat="false" ht="15" hidden="false" customHeight="false" outlineLevel="0" collapsed="false">
      <c r="A381" s="44" t="n">
        <v>35</v>
      </c>
      <c r="B381" s="43" t="s">
        <v>380</v>
      </c>
      <c r="C381" s="44" t="s">
        <v>240</v>
      </c>
      <c r="D381" s="43" t="s">
        <v>142</v>
      </c>
      <c r="E381" s="45" t="n">
        <v>2</v>
      </c>
      <c r="F381" s="44" t="s">
        <v>144</v>
      </c>
      <c r="G381" s="46" t="n">
        <f aca="false">IFERROR(INDEX('1. INSUMOS'!$H$8:$H$98,MATCH($D381,'1. INSUMOS'!$B$8:$B$98,0)),0)</f>
        <v>3.2</v>
      </c>
      <c r="H381" s="47" t="n">
        <f aca="false">E381*G381</f>
        <v>6.4</v>
      </c>
      <c r="I381" s="48" t="n">
        <f aca="false">IFERROR(INDEX('4. PRODUCCIÓN'!$D$8:$D$32,MATCH($A381,'4. PRODUCCIÓN'!$B$8:$B$32,0)),0)</f>
        <v>0</v>
      </c>
      <c r="J381" s="45" t="n">
        <f aca="false">E381*I381</f>
        <v>0</v>
      </c>
      <c r="K381" s="49" t="s">
        <v>250</v>
      </c>
    </row>
    <row r="382" customFormat="false" ht="15" hidden="false" customHeight="false" outlineLevel="0" collapsed="false">
      <c r="A382" s="44" t="n">
        <v>35</v>
      </c>
      <c r="B382" s="43" t="s">
        <v>380</v>
      </c>
      <c r="C382" s="44" t="s">
        <v>240</v>
      </c>
      <c r="D382" s="43" t="s">
        <v>126</v>
      </c>
      <c r="E382" s="45" t="n">
        <v>310</v>
      </c>
      <c r="F382" s="44" t="s">
        <v>90</v>
      </c>
      <c r="G382" s="46" t="n">
        <f aca="false">IFERROR(INDEX('1. INSUMOS'!$H$8:$H$98,MATCH($D382,'1. INSUMOS'!$B$8:$B$98,0)),0)</f>
        <v>0.03</v>
      </c>
      <c r="H382" s="47" t="n">
        <f aca="false">E382*G382</f>
        <v>9.3</v>
      </c>
      <c r="I382" s="48" t="n">
        <f aca="false">IFERROR(INDEX('4. PRODUCCIÓN'!$D$8:$D$32,MATCH($A382,'4. PRODUCCIÓN'!$B$8:$B$32,0)),0)</f>
        <v>0</v>
      </c>
      <c r="J382" s="45" t="n">
        <f aca="false">E382*I382</f>
        <v>0</v>
      </c>
      <c r="K382" s="49" t="s">
        <v>126</v>
      </c>
    </row>
    <row r="383" customFormat="false" ht="15" hidden="false" customHeight="false" outlineLevel="0" collapsed="false">
      <c r="A383" s="44" t="n">
        <v>35</v>
      </c>
      <c r="B383" s="43" t="s">
        <v>380</v>
      </c>
      <c r="C383" s="44" t="s">
        <v>240</v>
      </c>
      <c r="D383" s="43" t="s">
        <v>130</v>
      </c>
      <c r="E383" s="45" t="n">
        <v>10</v>
      </c>
      <c r="F383" s="44" t="s">
        <v>90</v>
      </c>
      <c r="G383" s="46" t="n">
        <f aca="false">IFERROR(INDEX('1. INSUMOS'!$H$8:$H$98,MATCH($D383,'1. INSUMOS'!$B$8:$B$98,0)),0)</f>
        <v>0.09</v>
      </c>
      <c r="H383" s="47" t="n">
        <f aca="false">E383*G383</f>
        <v>0.9</v>
      </c>
      <c r="I383" s="48" t="n">
        <f aca="false">IFERROR(INDEX('4. PRODUCCIÓN'!$D$8:$D$32,MATCH($A383,'4. PRODUCCIÓN'!$B$8:$B$32,0)),0)</f>
        <v>0</v>
      </c>
      <c r="J383" s="45" t="n">
        <f aca="false">E383*I383</f>
        <v>0</v>
      </c>
      <c r="K383" s="49" t="s">
        <v>253</v>
      </c>
    </row>
    <row r="384" customFormat="false" ht="15" hidden="false" customHeight="false" outlineLevel="0" collapsed="false">
      <c r="A384" s="44" t="n">
        <v>35</v>
      </c>
      <c r="B384" s="43" t="s">
        <v>380</v>
      </c>
      <c r="C384" s="44" t="s">
        <v>240</v>
      </c>
      <c r="D384" s="43" t="s">
        <v>133</v>
      </c>
      <c r="E384" s="45" t="n">
        <v>5</v>
      </c>
      <c r="F384" s="44" t="s">
        <v>90</v>
      </c>
      <c r="G384" s="46" t="n">
        <f aca="false">IFERROR(INDEX('1. INSUMOS'!$H$8:$H$98,MATCH($D384,'1. INSUMOS'!$B$8:$B$98,0)),0)</f>
        <v>0.13</v>
      </c>
      <c r="H384" s="47" t="n">
        <f aca="false">E384*G384</f>
        <v>0.65</v>
      </c>
      <c r="I384" s="48" t="n">
        <f aca="false">IFERROR(INDEX('4. PRODUCCIÓN'!$D$8:$D$32,MATCH($A384,'4. PRODUCCIÓN'!$B$8:$B$32,0)),0)</f>
        <v>0</v>
      </c>
      <c r="J384" s="45" t="n">
        <f aca="false">E384*I384</f>
        <v>0</v>
      </c>
      <c r="K384" s="49" t="s">
        <v>133</v>
      </c>
    </row>
    <row r="385" customFormat="false" ht="15" hidden="false" customHeight="false" outlineLevel="0" collapsed="false">
      <c r="A385" s="44" t="n">
        <v>35</v>
      </c>
      <c r="B385" s="43" t="s">
        <v>380</v>
      </c>
      <c r="C385" s="44" t="s">
        <v>240</v>
      </c>
      <c r="D385" s="43" t="s">
        <v>195</v>
      </c>
      <c r="E385" s="45" t="n">
        <v>4</v>
      </c>
      <c r="F385" s="44" t="s">
        <v>90</v>
      </c>
      <c r="G385" s="46" t="n">
        <f aca="false">IFERROR(INDEX('1. INSUMOS'!$H$8:$H$98,MATCH($D385,'1. INSUMOS'!$B$8:$B$98,0)),0)</f>
        <v>0.02</v>
      </c>
      <c r="H385" s="47" t="n">
        <f aca="false">E385*G385</f>
        <v>0.08</v>
      </c>
      <c r="I385" s="48" t="n">
        <f aca="false">IFERROR(INDEX('4. PRODUCCIÓN'!$D$8:$D$32,MATCH($A385,'4. PRODUCCIÓN'!$B$8:$B$32,0)),0)</f>
        <v>0</v>
      </c>
      <c r="J385" s="45" t="n">
        <f aca="false">E385*I385</f>
        <v>0</v>
      </c>
      <c r="K385" s="49" t="s">
        <v>195</v>
      </c>
    </row>
    <row r="386" customFormat="false" ht="15" hidden="false" customHeight="false" outlineLevel="0" collapsed="false">
      <c r="A386" s="44" t="n">
        <v>35</v>
      </c>
      <c r="B386" s="43" t="s">
        <v>380</v>
      </c>
      <c r="C386" s="44" t="s">
        <v>240</v>
      </c>
      <c r="D386" s="43" t="s">
        <v>149</v>
      </c>
      <c r="E386" s="45" t="n">
        <v>80</v>
      </c>
      <c r="F386" s="44" t="s">
        <v>90</v>
      </c>
      <c r="G386" s="46" t="n">
        <f aca="false">IFERROR(INDEX('1. INSUMOS'!$H$8:$H$98,MATCH($D386,'1. INSUMOS'!$B$8:$B$98,0)),0)</f>
        <v>0.235</v>
      </c>
      <c r="H386" s="47" t="n">
        <f aca="false">E386*G386</f>
        <v>18.8</v>
      </c>
      <c r="I386" s="48" t="n">
        <f aca="false">IFERROR(INDEX('4. PRODUCCIÓN'!$D$8:$D$32,MATCH($A386,'4. PRODUCCIÓN'!$B$8:$B$32,0)),0)</f>
        <v>0</v>
      </c>
      <c r="J386" s="45" t="n">
        <f aca="false">E386*I386</f>
        <v>0</v>
      </c>
      <c r="K386" s="49" t="s">
        <v>272</v>
      </c>
    </row>
    <row r="387" customFormat="false" ht="15" hidden="false" customHeight="false" outlineLevel="0" collapsed="false">
      <c r="A387" s="44" t="n">
        <v>35</v>
      </c>
      <c r="B387" s="43" t="s">
        <v>380</v>
      </c>
      <c r="C387" s="44" t="s">
        <v>313</v>
      </c>
      <c r="D387" s="43" t="s">
        <v>149</v>
      </c>
      <c r="E387" s="45" t="n">
        <v>90</v>
      </c>
      <c r="F387" s="44" t="s">
        <v>90</v>
      </c>
      <c r="G387" s="46" t="n">
        <f aca="false">IFERROR(INDEX('1. INSUMOS'!$H$8:$H$98,MATCH($D387,'1. INSUMOS'!$B$8:$B$98,0)),0)</f>
        <v>0.235</v>
      </c>
      <c r="H387" s="47" t="n">
        <f aca="false">E387*G387</f>
        <v>21.15</v>
      </c>
      <c r="I387" s="48" t="n">
        <f aca="false">IFERROR(INDEX('4. PRODUCCIÓN'!$D$8:$D$32,MATCH($A387,'4. PRODUCCIÓN'!$B$8:$B$32,0)),0)</f>
        <v>0</v>
      </c>
      <c r="J387" s="45" t="n">
        <f aca="false">E387*I387</f>
        <v>0</v>
      </c>
      <c r="K387" s="49" t="s">
        <v>381</v>
      </c>
    </row>
    <row r="388" customFormat="false" ht="15" hidden="false" customHeight="false" outlineLevel="0" collapsed="false">
      <c r="A388" s="50" t="n">
        <v>36</v>
      </c>
      <c r="B388" s="41" t="s">
        <v>382</v>
      </c>
      <c r="C388" s="50" t="s">
        <v>240</v>
      </c>
      <c r="D388" s="41" t="s">
        <v>88</v>
      </c>
      <c r="E388" s="51" t="n">
        <v>170</v>
      </c>
      <c r="F388" s="50" t="s">
        <v>90</v>
      </c>
      <c r="G388" s="52" t="n">
        <f aca="false">IFERROR(INDEX('1. INSUMOS'!$H$8:$H$98,MATCH($D388,'1. INSUMOS'!$B$8:$B$98,0)),0)</f>
        <v>0.21</v>
      </c>
      <c r="H388" s="53" t="n">
        <f aca="false">E388*G388</f>
        <v>35.7</v>
      </c>
      <c r="I388" s="54" t="n">
        <f aca="false">IFERROR(INDEX('4. PRODUCCIÓN'!$D$8:$D$32,MATCH($A388,'4. PRODUCCIÓN'!$B$8:$B$32,0)),0)</f>
        <v>0</v>
      </c>
      <c r="J388" s="51" t="n">
        <f aca="false">E388*I388</f>
        <v>0</v>
      </c>
      <c r="K388" s="55" t="s">
        <v>249</v>
      </c>
    </row>
    <row r="389" customFormat="false" ht="15" hidden="false" customHeight="false" outlineLevel="0" collapsed="false">
      <c r="A389" s="50" t="n">
        <v>36</v>
      </c>
      <c r="B389" s="41" t="s">
        <v>382</v>
      </c>
      <c r="C389" s="50" t="s">
        <v>240</v>
      </c>
      <c r="D389" s="41" t="s">
        <v>109</v>
      </c>
      <c r="E389" s="51" t="n">
        <v>120</v>
      </c>
      <c r="F389" s="50" t="s">
        <v>90</v>
      </c>
      <c r="G389" s="52" t="n">
        <f aca="false">IFERROR(INDEX('1. INSUMOS'!$H$8:$H$98,MATCH($D389,'1. INSUMOS'!$B$8:$B$98,0)),0)</f>
        <v>0.058</v>
      </c>
      <c r="H389" s="53" t="n">
        <f aca="false">E389*G389</f>
        <v>6.96</v>
      </c>
      <c r="I389" s="54" t="n">
        <f aca="false">IFERROR(INDEX('4. PRODUCCIÓN'!$D$8:$D$32,MATCH($A389,'4. PRODUCCIÓN'!$B$8:$B$32,0)),0)</f>
        <v>0</v>
      </c>
      <c r="J389" s="51" t="n">
        <f aca="false">E389*I389</f>
        <v>0</v>
      </c>
      <c r="K389" s="55" t="s">
        <v>383</v>
      </c>
    </row>
    <row r="390" customFormat="false" ht="15" hidden="false" customHeight="false" outlineLevel="0" collapsed="false">
      <c r="A390" s="50" t="n">
        <v>36</v>
      </c>
      <c r="B390" s="41" t="s">
        <v>382</v>
      </c>
      <c r="C390" s="50" t="s">
        <v>240</v>
      </c>
      <c r="D390" s="41" t="s">
        <v>114</v>
      </c>
      <c r="E390" s="51" t="n">
        <v>60</v>
      </c>
      <c r="F390" s="50" t="s">
        <v>90</v>
      </c>
      <c r="G390" s="52" t="n">
        <f aca="false">IFERROR(INDEX('1. INSUMOS'!$H$8:$H$98,MATCH($D390,'1. INSUMOS'!$B$8:$B$98,0)),0)</f>
        <v>0.144</v>
      </c>
      <c r="H390" s="53" t="n">
        <f aca="false">E390*G390</f>
        <v>8.64</v>
      </c>
      <c r="I390" s="54" t="n">
        <f aca="false">IFERROR(INDEX('4. PRODUCCIÓN'!$D$8:$D$32,MATCH($A390,'4. PRODUCCIÓN'!$B$8:$B$32,0)),0)</f>
        <v>0</v>
      </c>
      <c r="J390" s="51" t="n">
        <f aca="false">E390*I390</f>
        <v>0</v>
      </c>
      <c r="K390" s="55" t="s">
        <v>384</v>
      </c>
    </row>
    <row r="391" customFormat="false" ht="15" hidden="false" customHeight="false" outlineLevel="0" collapsed="false">
      <c r="A391" s="50" t="n">
        <v>36</v>
      </c>
      <c r="B391" s="41" t="s">
        <v>382</v>
      </c>
      <c r="C391" s="50" t="s">
        <v>240</v>
      </c>
      <c r="D391" s="41" t="s">
        <v>142</v>
      </c>
      <c r="E391" s="51" t="n">
        <v>1</v>
      </c>
      <c r="F391" s="50" t="s">
        <v>144</v>
      </c>
      <c r="G391" s="52" t="n">
        <f aca="false">IFERROR(INDEX('1. INSUMOS'!$H$8:$H$98,MATCH($D391,'1. INSUMOS'!$B$8:$B$98,0)),0)</f>
        <v>3.2</v>
      </c>
      <c r="H391" s="53" t="n">
        <f aca="false">E391*G391</f>
        <v>3.2</v>
      </c>
      <c r="I391" s="54" t="n">
        <f aca="false">IFERROR(INDEX('4. PRODUCCIÓN'!$D$8:$D$32,MATCH($A391,'4. PRODUCCIÓN'!$B$8:$B$32,0)),0)</f>
        <v>0</v>
      </c>
      <c r="J391" s="51" t="n">
        <f aca="false">E391*I391</f>
        <v>0</v>
      </c>
      <c r="K391" s="55" t="s">
        <v>385</v>
      </c>
    </row>
    <row r="392" customFormat="false" ht="15" hidden="false" customHeight="false" outlineLevel="0" collapsed="false">
      <c r="A392" s="50" t="n">
        <v>36</v>
      </c>
      <c r="B392" s="41" t="s">
        <v>382</v>
      </c>
      <c r="C392" s="50" t="s">
        <v>240</v>
      </c>
      <c r="D392" s="41" t="s">
        <v>126</v>
      </c>
      <c r="E392" s="51" t="n">
        <v>320</v>
      </c>
      <c r="F392" s="50" t="s">
        <v>90</v>
      </c>
      <c r="G392" s="52" t="n">
        <f aca="false">IFERROR(INDEX('1. INSUMOS'!$H$8:$H$98,MATCH($D392,'1. INSUMOS'!$B$8:$B$98,0)),0)</f>
        <v>0.03</v>
      </c>
      <c r="H392" s="53" t="n">
        <f aca="false">E392*G392</f>
        <v>9.6</v>
      </c>
      <c r="I392" s="54" t="n">
        <f aca="false">IFERROR(INDEX('4. PRODUCCIÓN'!$D$8:$D$32,MATCH($A392,'4. PRODUCCIÓN'!$B$8:$B$32,0)),0)</f>
        <v>0</v>
      </c>
      <c r="J392" s="51" t="n">
        <f aca="false">E392*I392</f>
        <v>0</v>
      </c>
      <c r="K392" s="55" t="s">
        <v>126</v>
      </c>
    </row>
    <row r="393" customFormat="false" ht="15" hidden="false" customHeight="false" outlineLevel="0" collapsed="false">
      <c r="A393" s="50" t="n">
        <v>36</v>
      </c>
      <c r="B393" s="41" t="s">
        <v>382</v>
      </c>
      <c r="C393" s="50" t="s">
        <v>240</v>
      </c>
      <c r="D393" s="41" t="s">
        <v>130</v>
      </c>
      <c r="E393" s="51" t="n">
        <v>10</v>
      </c>
      <c r="F393" s="50" t="s">
        <v>90</v>
      </c>
      <c r="G393" s="52" t="n">
        <f aca="false">IFERROR(INDEX('1. INSUMOS'!$H$8:$H$98,MATCH($D393,'1. INSUMOS'!$B$8:$B$98,0)),0)</f>
        <v>0.09</v>
      </c>
      <c r="H393" s="53" t="n">
        <f aca="false">E393*G393</f>
        <v>0.9</v>
      </c>
      <c r="I393" s="54" t="n">
        <f aca="false">IFERROR(INDEX('4. PRODUCCIÓN'!$D$8:$D$32,MATCH($A393,'4. PRODUCCIÓN'!$B$8:$B$32,0)),0)</f>
        <v>0</v>
      </c>
      <c r="J393" s="51" t="n">
        <f aca="false">E393*I393</f>
        <v>0</v>
      </c>
      <c r="K393" s="55" t="s">
        <v>253</v>
      </c>
    </row>
    <row r="394" customFormat="false" ht="15" hidden="false" customHeight="false" outlineLevel="0" collapsed="false">
      <c r="A394" s="50" t="n">
        <v>36</v>
      </c>
      <c r="B394" s="41" t="s">
        <v>382</v>
      </c>
      <c r="C394" s="50" t="s">
        <v>240</v>
      </c>
      <c r="D394" s="41" t="s">
        <v>202</v>
      </c>
      <c r="E394" s="51" t="n">
        <v>6</v>
      </c>
      <c r="F394" s="50" t="s">
        <v>90</v>
      </c>
      <c r="G394" s="52" t="n">
        <f aca="false">IFERROR(INDEX('1. INSUMOS'!$H$8:$H$98,MATCH($D394,'1. INSUMOS'!$B$8:$B$98,0)),0)</f>
        <v>0.56</v>
      </c>
      <c r="H394" s="53" t="n">
        <f aca="false">E394*G394</f>
        <v>3.36</v>
      </c>
      <c r="I394" s="54" t="n">
        <f aca="false">IFERROR(INDEX('4. PRODUCCIÓN'!$D$8:$D$32,MATCH($A394,'4. PRODUCCIÓN'!$B$8:$B$32,0)),0)</f>
        <v>0</v>
      </c>
      <c r="J394" s="51" t="n">
        <f aca="false">E394*I394</f>
        <v>0</v>
      </c>
      <c r="K394" s="55" t="s">
        <v>202</v>
      </c>
    </row>
    <row r="395" customFormat="false" ht="15" hidden="false" customHeight="false" outlineLevel="0" collapsed="false">
      <c r="A395" s="50" t="n">
        <v>36</v>
      </c>
      <c r="B395" s="41" t="s">
        <v>382</v>
      </c>
      <c r="C395" s="50" t="s">
        <v>240</v>
      </c>
      <c r="D395" s="41" t="s">
        <v>201</v>
      </c>
      <c r="E395" s="51" t="n">
        <v>4</v>
      </c>
      <c r="F395" s="50" t="s">
        <v>90</v>
      </c>
      <c r="G395" s="52" t="n">
        <f aca="false">IFERROR(INDEX('1. INSUMOS'!$H$8:$H$98,MATCH($D395,'1. INSUMOS'!$B$8:$B$98,0)),0)</f>
        <v>0.46</v>
      </c>
      <c r="H395" s="53" t="n">
        <f aca="false">E395*G395</f>
        <v>1.84</v>
      </c>
      <c r="I395" s="54" t="n">
        <f aca="false">IFERROR(INDEX('4. PRODUCCIÓN'!$D$8:$D$32,MATCH($A395,'4. PRODUCCIÓN'!$B$8:$B$32,0)),0)</f>
        <v>0</v>
      </c>
      <c r="J395" s="51" t="n">
        <f aca="false">E395*I395</f>
        <v>0</v>
      </c>
      <c r="K395" s="55" t="s">
        <v>201</v>
      </c>
    </row>
    <row r="396" customFormat="false" ht="15" hidden="false" customHeight="false" outlineLevel="0" collapsed="false">
      <c r="A396" s="50" t="n">
        <v>36</v>
      </c>
      <c r="B396" s="41" t="s">
        <v>382</v>
      </c>
      <c r="C396" s="50" t="s">
        <v>240</v>
      </c>
      <c r="D396" s="41" t="s">
        <v>203</v>
      </c>
      <c r="E396" s="51" t="n">
        <v>1</v>
      </c>
      <c r="F396" s="50" t="s">
        <v>90</v>
      </c>
      <c r="G396" s="52" t="n">
        <f aca="false">IFERROR(INDEX('1. INSUMOS'!$H$8:$H$98,MATCH($D396,'1. INSUMOS'!$B$8:$B$98,0)),0)</f>
        <v>0.72</v>
      </c>
      <c r="H396" s="53" t="n">
        <f aca="false">E396*G396</f>
        <v>0.72</v>
      </c>
      <c r="I396" s="54" t="n">
        <f aca="false">IFERROR(INDEX('4. PRODUCCIÓN'!$D$8:$D$32,MATCH($A396,'4. PRODUCCIÓN'!$B$8:$B$32,0)),0)</f>
        <v>0</v>
      </c>
      <c r="J396" s="51" t="n">
        <f aca="false">E396*I396</f>
        <v>0</v>
      </c>
      <c r="K396" s="55" t="s">
        <v>203</v>
      </c>
    </row>
    <row r="397" customFormat="false" ht="15" hidden="false" customHeight="false" outlineLevel="0" collapsed="false">
      <c r="A397" s="50" t="n">
        <v>36</v>
      </c>
      <c r="B397" s="41" t="s">
        <v>382</v>
      </c>
      <c r="C397" s="50" t="s">
        <v>240</v>
      </c>
      <c r="D397" s="41" t="s">
        <v>133</v>
      </c>
      <c r="E397" s="51" t="n">
        <v>5</v>
      </c>
      <c r="F397" s="50" t="s">
        <v>90</v>
      </c>
      <c r="G397" s="52" t="n">
        <f aca="false">IFERROR(INDEX('1. INSUMOS'!$H$8:$H$98,MATCH($D397,'1. INSUMOS'!$B$8:$B$98,0)),0)</f>
        <v>0.13</v>
      </c>
      <c r="H397" s="53" t="n">
        <f aca="false">E397*G397</f>
        <v>0.65</v>
      </c>
      <c r="I397" s="54" t="n">
        <f aca="false">IFERROR(INDEX('4. PRODUCCIÓN'!$D$8:$D$32,MATCH($A397,'4. PRODUCCIÓN'!$B$8:$B$32,0)),0)</f>
        <v>0</v>
      </c>
      <c r="J397" s="51" t="n">
        <f aca="false">E397*I397</f>
        <v>0</v>
      </c>
      <c r="K397" s="55" t="s">
        <v>386</v>
      </c>
    </row>
    <row r="398" customFormat="false" ht="15" hidden="false" customHeight="false" outlineLevel="0" collapsed="false">
      <c r="A398" s="50" t="n">
        <v>36</v>
      </c>
      <c r="B398" s="41" t="s">
        <v>382</v>
      </c>
      <c r="C398" s="50" t="s">
        <v>240</v>
      </c>
      <c r="D398" s="41" t="s">
        <v>195</v>
      </c>
      <c r="E398" s="51" t="n">
        <v>4</v>
      </c>
      <c r="F398" s="50" t="s">
        <v>90</v>
      </c>
      <c r="G398" s="52" t="n">
        <f aca="false">IFERROR(INDEX('1. INSUMOS'!$H$8:$H$98,MATCH($D398,'1. INSUMOS'!$B$8:$B$98,0)),0)</f>
        <v>0.02</v>
      </c>
      <c r="H398" s="53" t="n">
        <f aca="false">E398*G398</f>
        <v>0.08</v>
      </c>
      <c r="I398" s="54" t="n">
        <f aca="false">IFERROR(INDEX('4. PRODUCCIÓN'!$D$8:$D$32,MATCH($A398,'4. PRODUCCIÓN'!$B$8:$B$32,0)),0)</f>
        <v>0</v>
      </c>
      <c r="J398" s="51" t="n">
        <f aca="false">E398*I398</f>
        <v>0</v>
      </c>
      <c r="K398" s="55" t="s">
        <v>195</v>
      </c>
    </row>
    <row r="399" customFormat="false" ht="15" hidden="false" customHeight="false" outlineLevel="0" collapsed="false">
      <c r="A399" s="50" t="n">
        <v>36</v>
      </c>
      <c r="B399" s="41" t="s">
        <v>382</v>
      </c>
      <c r="C399" s="50" t="s">
        <v>240</v>
      </c>
      <c r="D399" s="41" t="s">
        <v>149</v>
      </c>
      <c r="E399" s="51" t="n">
        <v>120</v>
      </c>
      <c r="F399" s="50" t="s">
        <v>90</v>
      </c>
      <c r="G399" s="52" t="n">
        <f aca="false">IFERROR(INDEX('1. INSUMOS'!$H$8:$H$98,MATCH($D399,'1. INSUMOS'!$B$8:$B$98,0)),0)</f>
        <v>0.235</v>
      </c>
      <c r="H399" s="53" t="n">
        <f aca="false">E399*G399</f>
        <v>28.2</v>
      </c>
      <c r="I399" s="54" t="n">
        <f aca="false">IFERROR(INDEX('4. PRODUCCIÓN'!$D$8:$D$32,MATCH($A399,'4. PRODUCCIÓN'!$B$8:$B$32,0)),0)</f>
        <v>0</v>
      </c>
      <c r="J399" s="51" t="n">
        <f aca="false">E399*I399</f>
        <v>0</v>
      </c>
      <c r="K399" s="55" t="s">
        <v>387</v>
      </c>
    </row>
    <row r="400" customFormat="false" ht="15" hidden="false" customHeight="false" outlineLevel="0" collapsed="false">
      <c r="A400" s="44" t="n">
        <v>37</v>
      </c>
      <c r="B400" s="43" t="s">
        <v>388</v>
      </c>
      <c r="C400" s="44" t="s">
        <v>240</v>
      </c>
      <c r="D400" s="43" t="s">
        <v>88</v>
      </c>
      <c r="E400" s="45" t="n">
        <v>180</v>
      </c>
      <c r="F400" s="44" t="s">
        <v>90</v>
      </c>
      <c r="G400" s="46" t="n">
        <f aca="false">IFERROR(INDEX('1. INSUMOS'!$H$8:$H$98,MATCH($D400,'1. INSUMOS'!$B$8:$B$98,0)),0)</f>
        <v>0.21</v>
      </c>
      <c r="H400" s="47" t="n">
        <f aca="false">E400*G400</f>
        <v>37.8</v>
      </c>
      <c r="I400" s="48" t="n">
        <f aca="false">IFERROR(INDEX('4. PRODUCCIÓN'!$D$8:$D$32,MATCH($A400,'4. PRODUCCIÓN'!$B$8:$B$32,0)),0)</f>
        <v>0</v>
      </c>
      <c r="J400" s="45" t="n">
        <f aca="false">E400*I400</f>
        <v>0</v>
      </c>
      <c r="K400" s="49" t="s">
        <v>249</v>
      </c>
    </row>
    <row r="401" customFormat="false" ht="15" hidden="false" customHeight="false" outlineLevel="0" collapsed="false">
      <c r="A401" s="44" t="n">
        <v>37</v>
      </c>
      <c r="B401" s="43" t="s">
        <v>388</v>
      </c>
      <c r="C401" s="44" t="s">
        <v>240</v>
      </c>
      <c r="D401" s="43" t="s">
        <v>105</v>
      </c>
      <c r="E401" s="45" t="n">
        <v>150</v>
      </c>
      <c r="F401" s="44" t="s">
        <v>90</v>
      </c>
      <c r="G401" s="46" t="n">
        <f aca="false">IFERROR(INDEX('1. INSUMOS'!$H$8:$H$98,MATCH($D401,'1. INSUMOS'!$B$8:$B$98,0)),0)</f>
        <v>0.03</v>
      </c>
      <c r="H401" s="47" t="n">
        <f aca="false">E401*G401</f>
        <v>4.5</v>
      </c>
      <c r="I401" s="48" t="n">
        <f aca="false">IFERROR(INDEX('4. PRODUCCIÓN'!$D$8:$D$32,MATCH($A401,'4. PRODUCCIÓN'!$B$8:$B$32,0)),0)</f>
        <v>0</v>
      </c>
      <c r="J401" s="45" t="n">
        <f aca="false">E401*I401</f>
        <v>0</v>
      </c>
      <c r="K401" s="49" t="s">
        <v>105</v>
      </c>
    </row>
    <row r="402" customFormat="false" ht="15" hidden="false" customHeight="false" outlineLevel="0" collapsed="false">
      <c r="A402" s="44" t="n">
        <v>37</v>
      </c>
      <c r="B402" s="43" t="s">
        <v>388</v>
      </c>
      <c r="C402" s="44" t="s">
        <v>240</v>
      </c>
      <c r="D402" s="43" t="s">
        <v>108</v>
      </c>
      <c r="E402" s="45" t="n">
        <v>100</v>
      </c>
      <c r="F402" s="44" t="s">
        <v>90</v>
      </c>
      <c r="G402" s="46" t="n">
        <f aca="false">IFERROR(INDEX('1. INSUMOS'!$H$8:$H$98,MATCH($D402,'1. INSUMOS'!$B$8:$B$98,0)),0)</f>
        <v>0.052</v>
      </c>
      <c r="H402" s="47" t="n">
        <f aca="false">E402*G402</f>
        <v>5.2</v>
      </c>
      <c r="I402" s="48" t="n">
        <f aca="false">IFERROR(INDEX('4. PRODUCCIÓN'!$D$8:$D$32,MATCH($A402,'4. PRODUCCIÓN'!$B$8:$B$32,0)),0)</f>
        <v>0</v>
      </c>
      <c r="J402" s="45" t="n">
        <f aca="false">E402*I402</f>
        <v>0</v>
      </c>
      <c r="K402" s="49" t="s">
        <v>108</v>
      </c>
    </row>
    <row r="403" customFormat="false" ht="15" hidden="false" customHeight="false" outlineLevel="0" collapsed="false">
      <c r="A403" s="44" t="n">
        <v>37</v>
      </c>
      <c r="B403" s="43" t="s">
        <v>388</v>
      </c>
      <c r="C403" s="44" t="s">
        <v>240</v>
      </c>
      <c r="D403" s="43" t="s">
        <v>142</v>
      </c>
      <c r="E403" s="45" t="n">
        <v>2</v>
      </c>
      <c r="F403" s="44" t="s">
        <v>144</v>
      </c>
      <c r="G403" s="46" t="n">
        <f aca="false">IFERROR(INDEX('1. INSUMOS'!$H$8:$H$98,MATCH($D403,'1. INSUMOS'!$B$8:$B$98,0)),0)</f>
        <v>3.2</v>
      </c>
      <c r="H403" s="47" t="n">
        <f aca="false">E403*G403</f>
        <v>6.4</v>
      </c>
      <c r="I403" s="48" t="n">
        <f aca="false">IFERROR(INDEX('4. PRODUCCIÓN'!$D$8:$D$32,MATCH($A403,'4. PRODUCCIÓN'!$B$8:$B$32,0)),0)</f>
        <v>0</v>
      </c>
      <c r="J403" s="45" t="n">
        <f aca="false">E403*I403</f>
        <v>0</v>
      </c>
      <c r="K403" s="49" t="s">
        <v>250</v>
      </c>
    </row>
    <row r="404" customFormat="false" ht="15" hidden="false" customHeight="false" outlineLevel="0" collapsed="false">
      <c r="A404" s="44" t="n">
        <v>37</v>
      </c>
      <c r="B404" s="43" t="s">
        <v>388</v>
      </c>
      <c r="C404" s="44" t="s">
        <v>240</v>
      </c>
      <c r="D404" s="43" t="s">
        <v>126</v>
      </c>
      <c r="E404" s="45" t="n">
        <v>260</v>
      </c>
      <c r="F404" s="44" t="s">
        <v>90</v>
      </c>
      <c r="G404" s="46" t="n">
        <f aca="false">IFERROR(INDEX('1. INSUMOS'!$H$8:$H$98,MATCH($D404,'1. INSUMOS'!$B$8:$B$98,0)),0)</f>
        <v>0.03</v>
      </c>
      <c r="H404" s="47" t="n">
        <f aca="false">E404*G404</f>
        <v>7.8</v>
      </c>
      <c r="I404" s="48" t="n">
        <f aca="false">IFERROR(INDEX('4. PRODUCCIÓN'!$D$8:$D$32,MATCH($A404,'4. PRODUCCIÓN'!$B$8:$B$32,0)),0)</f>
        <v>0</v>
      </c>
      <c r="J404" s="45" t="n">
        <f aca="false">E404*I404</f>
        <v>0</v>
      </c>
      <c r="K404" s="49" t="s">
        <v>126</v>
      </c>
    </row>
    <row r="405" customFormat="false" ht="15" hidden="false" customHeight="false" outlineLevel="0" collapsed="false">
      <c r="A405" s="44" t="n">
        <v>37</v>
      </c>
      <c r="B405" s="43" t="s">
        <v>388</v>
      </c>
      <c r="C405" s="44" t="s">
        <v>240</v>
      </c>
      <c r="D405" s="43" t="s">
        <v>159</v>
      </c>
      <c r="E405" s="45" t="n">
        <v>40</v>
      </c>
      <c r="F405" s="44" t="s">
        <v>90</v>
      </c>
      <c r="G405" s="46" t="n">
        <f aca="false">IFERROR(INDEX('1. INSUMOS'!$H$8:$H$98,MATCH($D405,'1. INSUMOS'!$B$8:$B$98,0)),0)</f>
        <v>0.276</v>
      </c>
      <c r="H405" s="47" t="n">
        <f aca="false">E405*G405</f>
        <v>11.04</v>
      </c>
      <c r="I405" s="48" t="n">
        <f aca="false">IFERROR(INDEX('4. PRODUCCIÓN'!$D$8:$D$32,MATCH($A405,'4. PRODUCCIÓN'!$B$8:$B$32,0)),0)</f>
        <v>0</v>
      </c>
      <c r="J405" s="45" t="n">
        <f aca="false">E405*I405</f>
        <v>0</v>
      </c>
      <c r="K405" s="49" t="s">
        <v>389</v>
      </c>
    </row>
    <row r="406" customFormat="false" ht="15" hidden="false" customHeight="false" outlineLevel="0" collapsed="false">
      <c r="A406" s="44" t="n">
        <v>37</v>
      </c>
      <c r="B406" s="43" t="s">
        <v>388</v>
      </c>
      <c r="C406" s="44" t="s">
        <v>240</v>
      </c>
      <c r="D406" s="43" t="s">
        <v>130</v>
      </c>
      <c r="E406" s="45" t="n">
        <v>10</v>
      </c>
      <c r="F406" s="44" t="s">
        <v>90</v>
      </c>
      <c r="G406" s="46" t="n">
        <f aca="false">IFERROR(INDEX('1. INSUMOS'!$H$8:$H$98,MATCH($D406,'1. INSUMOS'!$B$8:$B$98,0)),0)</f>
        <v>0.09</v>
      </c>
      <c r="H406" s="47" t="n">
        <f aca="false">E406*G406</f>
        <v>0.9</v>
      </c>
      <c r="I406" s="48" t="n">
        <f aca="false">IFERROR(INDEX('4. PRODUCCIÓN'!$D$8:$D$32,MATCH($A406,'4. PRODUCCIÓN'!$B$8:$B$32,0)),0)</f>
        <v>0</v>
      </c>
      <c r="J406" s="45" t="n">
        <f aca="false">E406*I406</f>
        <v>0</v>
      </c>
      <c r="K406" s="49" t="s">
        <v>253</v>
      </c>
    </row>
    <row r="407" customFormat="false" ht="15" hidden="false" customHeight="false" outlineLevel="0" collapsed="false">
      <c r="A407" s="44" t="n">
        <v>37</v>
      </c>
      <c r="B407" s="43" t="s">
        <v>388</v>
      </c>
      <c r="C407" s="44" t="s">
        <v>240</v>
      </c>
      <c r="D407" s="43" t="s">
        <v>201</v>
      </c>
      <c r="E407" s="45" t="n">
        <v>6</v>
      </c>
      <c r="F407" s="44" t="s">
        <v>90</v>
      </c>
      <c r="G407" s="46" t="n">
        <f aca="false">IFERROR(INDEX('1. INSUMOS'!$H$8:$H$98,MATCH($D407,'1. INSUMOS'!$B$8:$B$98,0)),0)</f>
        <v>0.46</v>
      </c>
      <c r="H407" s="47" t="n">
        <f aca="false">E407*G407</f>
        <v>2.76</v>
      </c>
      <c r="I407" s="48" t="n">
        <f aca="false">IFERROR(INDEX('4. PRODUCCIÓN'!$D$8:$D$32,MATCH($A407,'4. PRODUCCIÓN'!$B$8:$B$32,0)),0)</f>
        <v>0</v>
      </c>
      <c r="J407" s="45" t="n">
        <f aca="false">E407*I407</f>
        <v>0</v>
      </c>
      <c r="K407" s="49" t="s">
        <v>201</v>
      </c>
    </row>
    <row r="408" customFormat="false" ht="15" hidden="false" customHeight="false" outlineLevel="0" collapsed="false">
      <c r="A408" s="44" t="n">
        <v>37</v>
      </c>
      <c r="B408" s="43" t="s">
        <v>388</v>
      </c>
      <c r="C408" s="44" t="s">
        <v>240</v>
      </c>
      <c r="D408" s="43" t="s">
        <v>207</v>
      </c>
      <c r="E408" s="45" t="n">
        <v>1</v>
      </c>
      <c r="F408" s="44" t="s">
        <v>90</v>
      </c>
      <c r="G408" s="46" t="n">
        <f aca="false">IFERROR(INDEX('1. INSUMOS'!$H$8:$H$98,MATCH($D408,'1. INSUMOS'!$B$8:$B$98,0)),0)</f>
        <v>0.46</v>
      </c>
      <c r="H408" s="47" t="n">
        <f aca="false">E408*G408</f>
        <v>0.46</v>
      </c>
      <c r="I408" s="48" t="n">
        <f aca="false">IFERROR(INDEX('4. PRODUCCIÓN'!$D$8:$D$32,MATCH($A408,'4. PRODUCCIÓN'!$B$8:$B$32,0)),0)</f>
        <v>0</v>
      </c>
      <c r="J408" s="45" t="n">
        <f aca="false">E408*I408</f>
        <v>0</v>
      </c>
      <c r="K408" s="49" t="s">
        <v>390</v>
      </c>
    </row>
    <row r="409" customFormat="false" ht="15" hidden="false" customHeight="false" outlineLevel="0" collapsed="false">
      <c r="A409" s="44" t="n">
        <v>37</v>
      </c>
      <c r="B409" s="43" t="s">
        <v>388</v>
      </c>
      <c r="C409" s="44" t="s">
        <v>240</v>
      </c>
      <c r="D409" s="43" t="s">
        <v>133</v>
      </c>
      <c r="E409" s="45" t="n">
        <v>5</v>
      </c>
      <c r="F409" s="44" t="s">
        <v>90</v>
      </c>
      <c r="G409" s="46" t="n">
        <f aca="false">IFERROR(INDEX('1. INSUMOS'!$H$8:$H$98,MATCH($D409,'1. INSUMOS'!$B$8:$B$98,0)),0)</f>
        <v>0.13</v>
      </c>
      <c r="H409" s="47" t="n">
        <f aca="false">E409*G409</f>
        <v>0.65</v>
      </c>
      <c r="I409" s="48" t="n">
        <f aca="false">IFERROR(INDEX('4. PRODUCCIÓN'!$D$8:$D$32,MATCH($A409,'4. PRODUCCIÓN'!$B$8:$B$32,0)),0)</f>
        <v>0</v>
      </c>
      <c r="J409" s="45" t="n">
        <f aca="false">E409*I409</f>
        <v>0</v>
      </c>
      <c r="K409" s="49" t="s">
        <v>133</v>
      </c>
    </row>
    <row r="410" customFormat="false" ht="15" hidden="false" customHeight="false" outlineLevel="0" collapsed="false">
      <c r="A410" s="44" t="n">
        <v>37</v>
      </c>
      <c r="B410" s="43" t="s">
        <v>388</v>
      </c>
      <c r="C410" s="44" t="s">
        <v>240</v>
      </c>
      <c r="D410" s="43" t="s">
        <v>195</v>
      </c>
      <c r="E410" s="45" t="n">
        <v>4</v>
      </c>
      <c r="F410" s="44" t="s">
        <v>90</v>
      </c>
      <c r="G410" s="46" t="n">
        <f aca="false">IFERROR(INDEX('1. INSUMOS'!$H$8:$H$98,MATCH($D410,'1. INSUMOS'!$B$8:$B$98,0)),0)</f>
        <v>0.02</v>
      </c>
      <c r="H410" s="47" t="n">
        <f aca="false">E410*G410</f>
        <v>0.08</v>
      </c>
      <c r="I410" s="48" t="n">
        <f aca="false">IFERROR(INDEX('4. PRODUCCIÓN'!$D$8:$D$32,MATCH($A410,'4. PRODUCCIÓN'!$B$8:$B$32,0)),0)</f>
        <v>0</v>
      </c>
      <c r="J410" s="45" t="n">
        <f aca="false">E410*I410</f>
        <v>0</v>
      </c>
      <c r="K410" s="49" t="s">
        <v>195</v>
      </c>
    </row>
    <row r="411" customFormat="false" ht="15" hidden="false" customHeight="false" outlineLevel="0" collapsed="false">
      <c r="A411" s="44" t="n">
        <v>37</v>
      </c>
      <c r="B411" s="43" t="s">
        <v>388</v>
      </c>
      <c r="C411" s="44" t="s">
        <v>240</v>
      </c>
      <c r="D411" s="43" t="s">
        <v>146</v>
      </c>
      <c r="E411" s="45" t="n">
        <v>80</v>
      </c>
      <c r="F411" s="44" t="s">
        <v>90</v>
      </c>
      <c r="G411" s="46" t="n">
        <f aca="false">IFERROR(INDEX('1. INSUMOS'!$H$8:$H$98,MATCH($D411,'1. INSUMOS'!$B$8:$B$98,0)),0)</f>
        <v>0.21</v>
      </c>
      <c r="H411" s="47" t="n">
        <f aca="false">E411*G411</f>
        <v>16.8</v>
      </c>
      <c r="I411" s="48" t="n">
        <f aca="false">IFERROR(INDEX('4. PRODUCCIÓN'!$D$8:$D$32,MATCH($A411,'4. PRODUCCIÓN'!$B$8:$B$32,0)),0)</f>
        <v>0</v>
      </c>
      <c r="J411" s="45" t="n">
        <f aca="false">E411*I411</f>
        <v>0</v>
      </c>
      <c r="K411" s="49" t="s">
        <v>284</v>
      </c>
    </row>
    <row r="412" customFormat="false" ht="15" hidden="false" customHeight="false" outlineLevel="0" collapsed="false">
      <c r="A412" s="44" t="n">
        <v>37</v>
      </c>
      <c r="B412" s="43" t="s">
        <v>388</v>
      </c>
      <c r="C412" s="44" t="s">
        <v>240</v>
      </c>
      <c r="D412" s="43" t="s">
        <v>121</v>
      </c>
      <c r="E412" s="45" t="n">
        <v>50</v>
      </c>
      <c r="F412" s="44" t="s">
        <v>90</v>
      </c>
      <c r="G412" s="46" t="n">
        <f aca="false">IFERROR(INDEX('1. INSUMOS'!$H$8:$H$98,MATCH($D412,'1. INSUMOS'!$B$8:$B$98,0)),0)</f>
        <v>0.192</v>
      </c>
      <c r="H412" s="47" t="n">
        <f aca="false">E412*G412</f>
        <v>9.6</v>
      </c>
      <c r="I412" s="48" t="n">
        <f aca="false">IFERROR(INDEX('4. PRODUCCIÓN'!$D$8:$D$32,MATCH($A412,'4. PRODUCCIÓN'!$B$8:$B$32,0)),0)</f>
        <v>0</v>
      </c>
      <c r="J412" s="45" t="n">
        <f aca="false">E412*I412</f>
        <v>0</v>
      </c>
      <c r="K412" s="49" t="s">
        <v>391</v>
      </c>
    </row>
    <row r="413" customFormat="false" ht="15" hidden="false" customHeight="false" outlineLevel="0" collapsed="false">
      <c r="A413" s="50" t="n">
        <v>38</v>
      </c>
      <c r="B413" s="41" t="s">
        <v>392</v>
      </c>
      <c r="C413" s="50" t="s">
        <v>240</v>
      </c>
      <c r="D413" s="41" t="s">
        <v>88</v>
      </c>
      <c r="E413" s="51" t="n">
        <v>180</v>
      </c>
      <c r="F413" s="50" t="s">
        <v>90</v>
      </c>
      <c r="G413" s="52" t="n">
        <f aca="false">IFERROR(INDEX('1. INSUMOS'!$H$8:$H$98,MATCH($D413,'1. INSUMOS'!$B$8:$B$98,0)),0)</f>
        <v>0.21</v>
      </c>
      <c r="H413" s="53" t="n">
        <f aca="false">E413*G413</f>
        <v>37.8</v>
      </c>
      <c r="I413" s="54" t="n">
        <f aca="false">IFERROR(INDEX('4. PRODUCCIÓN'!$D$8:$D$32,MATCH($A413,'4. PRODUCCIÓN'!$B$8:$B$32,0)),0)</f>
        <v>0</v>
      </c>
      <c r="J413" s="51" t="n">
        <f aca="false">E413*I413</f>
        <v>0</v>
      </c>
      <c r="K413" s="55" t="s">
        <v>249</v>
      </c>
    </row>
    <row r="414" customFormat="false" ht="15" hidden="false" customHeight="false" outlineLevel="0" collapsed="false">
      <c r="A414" s="50" t="n">
        <v>38</v>
      </c>
      <c r="B414" s="41" t="s">
        <v>392</v>
      </c>
      <c r="C414" s="50" t="s">
        <v>240</v>
      </c>
      <c r="D414" s="41" t="s">
        <v>108</v>
      </c>
      <c r="E414" s="51" t="n">
        <v>160</v>
      </c>
      <c r="F414" s="50" t="s">
        <v>90</v>
      </c>
      <c r="G414" s="52" t="n">
        <f aca="false">IFERROR(INDEX('1. INSUMOS'!$H$8:$H$98,MATCH($D414,'1. INSUMOS'!$B$8:$B$98,0)),0)</f>
        <v>0.052</v>
      </c>
      <c r="H414" s="53" t="n">
        <f aca="false">E414*G414</f>
        <v>8.32</v>
      </c>
      <c r="I414" s="54" t="n">
        <f aca="false">IFERROR(INDEX('4. PRODUCCIÓN'!$D$8:$D$32,MATCH($A414,'4. PRODUCCIÓN'!$B$8:$B$32,0)),0)</f>
        <v>0</v>
      </c>
      <c r="J414" s="51" t="n">
        <f aca="false">E414*I414</f>
        <v>0</v>
      </c>
      <c r="K414" s="55" t="s">
        <v>108</v>
      </c>
    </row>
    <row r="415" customFormat="false" ht="15" hidden="false" customHeight="false" outlineLevel="0" collapsed="false">
      <c r="A415" s="50" t="n">
        <v>38</v>
      </c>
      <c r="B415" s="41" t="s">
        <v>392</v>
      </c>
      <c r="C415" s="50" t="s">
        <v>240</v>
      </c>
      <c r="D415" s="41" t="s">
        <v>105</v>
      </c>
      <c r="E415" s="51" t="n">
        <v>90</v>
      </c>
      <c r="F415" s="50" t="s">
        <v>90</v>
      </c>
      <c r="G415" s="52" t="n">
        <f aca="false">IFERROR(INDEX('1. INSUMOS'!$H$8:$H$98,MATCH($D415,'1. INSUMOS'!$B$8:$B$98,0)),0)</f>
        <v>0.03</v>
      </c>
      <c r="H415" s="53" t="n">
        <f aca="false">E415*G415</f>
        <v>2.7</v>
      </c>
      <c r="I415" s="54" t="n">
        <f aca="false">IFERROR(INDEX('4. PRODUCCIÓN'!$D$8:$D$32,MATCH($A415,'4. PRODUCCIÓN'!$B$8:$B$32,0)),0)</f>
        <v>0</v>
      </c>
      <c r="J415" s="51" t="n">
        <f aca="false">E415*I415</f>
        <v>0</v>
      </c>
      <c r="K415" s="55" t="s">
        <v>105</v>
      </c>
    </row>
    <row r="416" customFormat="false" ht="15" hidden="false" customHeight="false" outlineLevel="0" collapsed="false">
      <c r="A416" s="50" t="n">
        <v>38</v>
      </c>
      <c r="B416" s="41" t="s">
        <v>392</v>
      </c>
      <c r="C416" s="50" t="s">
        <v>240</v>
      </c>
      <c r="D416" s="41" t="s">
        <v>142</v>
      </c>
      <c r="E416" s="51" t="n">
        <v>2</v>
      </c>
      <c r="F416" s="50" t="s">
        <v>144</v>
      </c>
      <c r="G416" s="52" t="n">
        <f aca="false">IFERROR(INDEX('1. INSUMOS'!$H$8:$H$98,MATCH($D416,'1. INSUMOS'!$B$8:$B$98,0)),0)</f>
        <v>3.2</v>
      </c>
      <c r="H416" s="53" t="n">
        <f aca="false">E416*G416</f>
        <v>6.4</v>
      </c>
      <c r="I416" s="54" t="n">
        <f aca="false">IFERROR(INDEX('4. PRODUCCIÓN'!$D$8:$D$32,MATCH($A416,'4. PRODUCCIÓN'!$B$8:$B$32,0)),0)</f>
        <v>0</v>
      </c>
      <c r="J416" s="51" t="n">
        <f aca="false">E416*I416</f>
        <v>0</v>
      </c>
      <c r="K416" s="55" t="s">
        <v>250</v>
      </c>
    </row>
    <row r="417" customFormat="false" ht="15" hidden="false" customHeight="false" outlineLevel="0" collapsed="false">
      <c r="A417" s="50" t="n">
        <v>38</v>
      </c>
      <c r="B417" s="41" t="s">
        <v>392</v>
      </c>
      <c r="C417" s="50" t="s">
        <v>240</v>
      </c>
      <c r="D417" s="41" t="s">
        <v>219</v>
      </c>
      <c r="E417" s="51" t="n">
        <v>5</v>
      </c>
      <c r="F417" s="50" t="s">
        <v>101</v>
      </c>
      <c r="G417" s="52" t="n">
        <f aca="false">IFERROR(INDEX('1. INSUMOS'!$H$8:$H$98,MATCH($D417,'1. INSUMOS'!$B$8:$B$98,0)),0)</f>
        <v>0.816666666666667</v>
      </c>
      <c r="H417" s="53" t="n">
        <f aca="false">E417*G417</f>
        <v>4.08333333333333</v>
      </c>
      <c r="I417" s="54" t="n">
        <f aca="false">IFERROR(INDEX('4. PRODUCCIÓN'!$D$8:$D$32,MATCH($A417,'4. PRODUCCIÓN'!$B$8:$B$32,0)),0)</f>
        <v>0</v>
      </c>
      <c r="J417" s="51" t="n">
        <f aca="false">E417*I417</f>
        <v>0</v>
      </c>
      <c r="K417" s="55" t="s">
        <v>393</v>
      </c>
    </row>
    <row r="418" customFormat="false" ht="15" hidden="false" customHeight="false" outlineLevel="0" collapsed="false">
      <c r="A418" s="50" t="n">
        <v>38</v>
      </c>
      <c r="B418" s="41" t="s">
        <v>392</v>
      </c>
      <c r="C418" s="50" t="s">
        <v>240</v>
      </c>
      <c r="D418" s="41" t="s">
        <v>126</v>
      </c>
      <c r="E418" s="51" t="n">
        <v>260</v>
      </c>
      <c r="F418" s="50" t="s">
        <v>90</v>
      </c>
      <c r="G418" s="52" t="n">
        <f aca="false">IFERROR(INDEX('1. INSUMOS'!$H$8:$H$98,MATCH($D418,'1. INSUMOS'!$B$8:$B$98,0)),0)</f>
        <v>0.03</v>
      </c>
      <c r="H418" s="53" t="n">
        <f aca="false">E418*G418</f>
        <v>7.8</v>
      </c>
      <c r="I418" s="54" t="n">
        <f aca="false">IFERROR(INDEX('4. PRODUCCIÓN'!$D$8:$D$32,MATCH($A418,'4. PRODUCCIÓN'!$B$8:$B$32,0)),0)</f>
        <v>0</v>
      </c>
      <c r="J418" s="51" t="n">
        <f aca="false">E418*I418</f>
        <v>0</v>
      </c>
      <c r="K418" s="55" t="s">
        <v>126</v>
      </c>
    </row>
    <row r="419" customFormat="false" ht="15" hidden="false" customHeight="false" outlineLevel="0" collapsed="false">
      <c r="A419" s="50" t="n">
        <v>38</v>
      </c>
      <c r="B419" s="41" t="s">
        <v>392</v>
      </c>
      <c r="C419" s="50" t="s">
        <v>240</v>
      </c>
      <c r="D419" s="41" t="s">
        <v>159</v>
      </c>
      <c r="E419" s="51" t="n">
        <v>40</v>
      </c>
      <c r="F419" s="50" t="s">
        <v>90</v>
      </c>
      <c r="G419" s="52" t="n">
        <f aca="false">IFERROR(INDEX('1. INSUMOS'!$H$8:$H$98,MATCH($D419,'1. INSUMOS'!$B$8:$B$98,0)),0)</f>
        <v>0.276</v>
      </c>
      <c r="H419" s="53" t="n">
        <f aca="false">E419*G419</f>
        <v>11.04</v>
      </c>
      <c r="I419" s="54" t="n">
        <f aca="false">IFERROR(INDEX('4. PRODUCCIÓN'!$D$8:$D$32,MATCH($A419,'4. PRODUCCIÓN'!$B$8:$B$32,0)),0)</f>
        <v>0</v>
      </c>
      <c r="J419" s="51" t="n">
        <f aca="false">E419*I419</f>
        <v>0</v>
      </c>
      <c r="K419" s="55" t="s">
        <v>394</v>
      </c>
    </row>
    <row r="420" customFormat="false" ht="15" hidden="false" customHeight="false" outlineLevel="0" collapsed="false">
      <c r="A420" s="50" t="n">
        <v>38</v>
      </c>
      <c r="B420" s="41" t="s">
        <v>392</v>
      </c>
      <c r="C420" s="50" t="s">
        <v>240</v>
      </c>
      <c r="D420" s="41" t="s">
        <v>130</v>
      </c>
      <c r="E420" s="51" t="n">
        <v>10</v>
      </c>
      <c r="F420" s="50" t="s">
        <v>90</v>
      </c>
      <c r="G420" s="52" t="n">
        <f aca="false">IFERROR(INDEX('1. INSUMOS'!$H$8:$H$98,MATCH($D420,'1. INSUMOS'!$B$8:$B$98,0)),0)</f>
        <v>0.09</v>
      </c>
      <c r="H420" s="53" t="n">
        <f aca="false">E420*G420</f>
        <v>0.9</v>
      </c>
      <c r="I420" s="54" t="n">
        <f aca="false">IFERROR(INDEX('4. PRODUCCIÓN'!$D$8:$D$32,MATCH($A420,'4. PRODUCCIÓN'!$B$8:$B$32,0)),0)</f>
        <v>0</v>
      </c>
      <c r="J420" s="51" t="n">
        <f aca="false">E420*I420</f>
        <v>0</v>
      </c>
      <c r="K420" s="55" t="s">
        <v>253</v>
      </c>
    </row>
    <row r="421" customFormat="false" ht="15" hidden="false" customHeight="false" outlineLevel="0" collapsed="false">
      <c r="A421" s="50" t="n">
        <v>38</v>
      </c>
      <c r="B421" s="41" t="s">
        <v>392</v>
      </c>
      <c r="C421" s="50" t="s">
        <v>240</v>
      </c>
      <c r="D421" s="41" t="s">
        <v>133</v>
      </c>
      <c r="E421" s="51" t="n">
        <v>5</v>
      </c>
      <c r="F421" s="50" t="s">
        <v>90</v>
      </c>
      <c r="G421" s="52" t="n">
        <f aca="false">IFERROR(INDEX('1. INSUMOS'!$H$8:$H$98,MATCH($D421,'1. INSUMOS'!$B$8:$B$98,0)),0)</f>
        <v>0.13</v>
      </c>
      <c r="H421" s="53" t="n">
        <f aca="false">E421*G421</f>
        <v>0.65</v>
      </c>
      <c r="I421" s="54" t="n">
        <f aca="false">IFERROR(INDEX('4. PRODUCCIÓN'!$D$8:$D$32,MATCH($A421,'4. PRODUCCIÓN'!$B$8:$B$32,0)),0)</f>
        <v>0</v>
      </c>
      <c r="J421" s="51" t="n">
        <f aca="false">E421*I421</f>
        <v>0</v>
      </c>
      <c r="K421" s="55" t="s">
        <v>133</v>
      </c>
    </row>
    <row r="422" customFormat="false" ht="15" hidden="false" customHeight="false" outlineLevel="0" collapsed="false">
      <c r="A422" s="50" t="n">
        <v>38</v>
      </c>
      <c r="B422" s="41" t="s">
        <v>392</v>
      </c>
      <c r="C422" s="50" t="s">
        <v>240</v>
      </c>
      <c r="D422" s="41" t="s">
        <v>195</v>
      </c>
      <c r="E422" s="51" t="n">
        <v>4</v>
      </c>
      <c r="F422" s="50" t="s">
        <v>90</v>
      </c>
      <c r="G422" s="52" t="n">
        <f aca="false">IFERROR(INDEX('1. INSUMOS'!$H$8:$H$98,MATCH($D422,'1. INSUMOS'!$B$8:$B$98,0)),0)</f>
        <v>0.02</v>
      </c>
      <c r="H422" s="53" t="n">
        <f aca="false">E422*G422</f>
        <v>0.08</v>
      </c>
      <c r="I422" s="54" t="n">
        <f aca="false">IFERROR(INDEX('4. PRODUCCIÓN'!$D$8:$D$32,MATCH($A422,'4. PRODUCCIÓN'!$B$8:$B$32,0)),0)</f>
        <v>0</v>
      </c>
      <c r="J422" s="51" t="n">
        <f aca="false">E422*I422</f>
        <v>0</v>
      </c>
      <c r="K422" s="55" t="s">
        <v>195</v>
      </c>
    </row>
    <row r="423" customFormat="false" ht="15" hidden="false" customHeight="false" outlineLevel="0" collapsed="false">
      <c r="A423" s="50" t="n">
        <v>38</v>
      </c>
      <c r="B423" s="41" t="s">
        <v>392</v>
      </c>
      <c r="C423" s="50" t="s">
        <v>240</v>
      </c>
      <c r="D423" s="41" t="s">
        <v>148</v>
      </c>
      <c r="E423" s="51" t="n">
        <v>80</v>
      </c>
      <c r="F423" s="50" t="s">
        <v>90</v>
      </c>
      <c r="G423" s="52" t="n">
        <f aca="false">IFERROR(INDEX('1. INSUMOS'!$H$8:$H$98,MATCH($D423,'1. INSUMOS'!$B$8:$B$98,0)),0)</f>
        <v>0.265</v>
      </c>
      <c r="H423" s="53" t="n">
        <f aca="false">E423*G423</f>
        <v>21.2</v>
      </c>
      <c r="I423" s="54" t="n">
        <f aca="false">IFERROR(INDEX('4. PRODUCCIÓN'!$D$8:$D$32,MATCH($A423,'4. PRODUCCIÓN'!$B$8:$B$32,0)),0)</f>
        <v>0</v>
      </c>
      <c r="J423" s="51" t="n">
        <f aca="false">E423*I423</f>
        <v>0</v>
      </c>
      <c r="K423" s="55" t="s">
        <v>310</v>
      </c>
    </row>
    <row r="424" customFormat="false" ht="15" hidden="false" customHeight="false" outlineLevel="0" collapsed="false">
      <c r="A424" s="50" t="n">
        <v>38</v>
      </c>
      <c r="B424" s="41" t="s">
        <v>392</v>
      </c>
      <c r="C424" s="50" t="s">
        <v>240</v>
      </c>
      <c r="D424" s="41" t="s">
        <v>119</v>
      </c>
      <c r="E424" s="51" t="n">
        <v>60</v>
      </c>
      <c r="F424" s="50" t="s">
        <v>90</v>
      </c>
      <c r="G424" s="52" t="n">
        <f aca="false">IFERROR(INDEX('1. INSUMOS'!$H$8:$H$98,MATCH($D424,'1. INSUMOS'!$B$8:$B$98,0)),0)</f>
        <v>0.25</v>
      </c>
      <c r="H424" s="53" t="n">
        <f aca="false">E424*G424</f>
        <v>15</v>
      </c>
      <c r="I424" s="54" t="n">
        <f aca="false">IFERROR(INDEX('4. PRODUCCIÓN'!$D$8:$D$32,MATCH($A424,'4. PRODUCCIÓN'!$B$8:$B$32,0)),0)</f>
        <v>0</v>
      </c>
      <c r="J424" s="51" t="n">
        <f aca="false">E424*I424</f>
        <v>0</v>
      </c>
      <c r="K424" s="55" t="s">
        <v>395</v>
      </c>
    </row>
    <row r="425" customFormat="false" ht="15" hidden="false" customHeight="false" outlineLevel="0" collapsed="false">
      <c r="A425" s="44" t="n">
        <v>39</v>
      </c>
      <c r="B425" s="43" t="s">
        <v>396</v>
      </c>
      <c r="C425" s="44" t="s">
        <v>240</v>
      </c>
      <c r="D425" s="43" t="s">
        <v>88</v>
      </c>
      <c r="E425" s="45" t="n">
        <v>180</v>
      </c>
      <c r="F425" s="44" t="s">
        <v>90</v>
      </c>
      <c r="G425" s="46" t="n">
        <f aca="false">IFERROR(INDEX('1. INSUMOS'!$H$8:$H$98,MATCH($D425,'1. INSUMOS'!$B$8:$B$98,0)),0)</f>
        <v>0.21</v>
      </c>
      <c r="H425" s="47" t="n">
        <f aca="false">E425*G425</f>
        <v>37.8</v>
      </c>
      <c r="I425" s="48" t="n">
        <f aca="false">IFERROR(INDEX('4. PRODUCCIÓN'!$D$8:$D$32,MATCH($A425,'4. PRODUCCIÓN'!$B$8:$B$32,0)),0)</f>
        <v>0</v>
      </c>
      <c r="J425" s="45" t="n">
        <f aca="false">E425*I425</f>
        <v>0</v>
      </c>
      <c r="K425" s="49" t="s">
        <v>249</v>
      </c>
    </row>
    <row r="426" customFormat="false" ht="15" hidden="false" customHeight="false" outlineLevel="0" collapsed="false">
      <c r="A426" s="44" t="n">
        <v>39</v>
      </c>
      <c r="B426" s="43" t="s">
        <v>396</v>
      </c>
      <c r="C426" s="44" t="s">
        <v>240</v>
      </c>
      <c r="D426" s="43" t="s">
        <v>105</v>
      </c>
      <c r="E426" s="45" t="n">
        <v>150</v>
      </c>
      <c r="F426" s="44" t="s">
        <v>90</v>
      </c>
      <c r="G426" s="46" t="n">
        <f aca="false">IFERROR(INDEX('1. INSUMOS'!$H$8:$H$98,MATCH($D426,'1. INSUMOS'!$B$8:$B$98,0)),0)</f>
        <v>0.03</v>
      </c>
      <c r="H426" s="47" t="n">
        <f aca="false">E426*G426</f>
        <v>4.5</v>
      </c>
      <c r="I426" s="48" t="n">
        <f aca="false">IFERROR(INDEX('4. PRODUCCIÓN'!$D$8:$D$32,MATCH($A426,'4. PRODUCCIÓN'!$B$8:$B$32,0)),0)</f>
        <v>0</v>
      </c>
      <c r="J426" s="45" t="n">
        <f aca="false">E426*I426</f>
        <v>0</v>
      </c>
      <c r="K426" s="49" t="s">
        <v>105</v>
      </c>
    </row>
    <row r="427" customFormat="false" ht="15" hidden="false" customHeight="false" outlineLevel="0" collapsed="false">
      <c r="A427" s="44" t="n">
        <v>39</v>
      </c>
      <c r="B427" s="43" t="s">
        <v>396</v>
      </c>
      <c r="C427" s="44" t="s">
        <v>240</v>
      </c>
      <c r="D427" s="43" t="s">
        <v>108</v>
      </c>
      <c r="E427" s="45" t="n">
        <v>70</v>
      </c>
      <c r="F427" s="44" t="s">
        <v>90</v>
      </c>
      <c r="G427" s="46" t="n">
        <f aca="false">IFERROR(INDEX('1. INSUMOS'!$H$8:$H$98,MATCH($D427,'1. INSUMOS'!$B$8:$B$98,0)),0)</f>
        <v>0.052</v>
      </c>
      <c r="H427" s="47" t="n">
        <f aca="false">E427*G427</f>
        <v>3.64</v>
      </c>
      <c r="I427" s="48" t="n">
        <f aca="false">IFERROR(INDEX('4. PRODUCCIÓN'!$D$8:$D$32,MATCH($A427,'4. PRODUCCIÓN'!$B$8:$B$32,0)),0)</f>
        <v>0</v>
      </c>
      <c r="J427" s="45" t="n">
        <f aca="false">E427*I427</f>
        <v>0</v>
      </c>
      <c r="K427" s="49" t="s">
        <v>108</v>
      </c>
    </row>
    <row r="428" customFormat="false" ht="15" hidden="false" customHeight="false" outlineLevel="0" collapsed="false">
      <c r="A428" s="44" t="n">
        <v>39</v>
      </c>
      <c r="B428" s="43" t="s">
        <v>396</v>
      </c>
      <c r="C428" s="44" t="s">
        <v>240</v>
      </c>
      <c r="D428" s="43" t="s">
        <v>142</v>
      </c>
      <c r="E428" s="45" t="n">
        <v>2</v>
      </c>
      <c r="F428" s="44" t="s">
        <v>144</v>
      </c>
      <c r="G428" s="46" t="n">
        <f aca="false">IFERROR(INDEX('1. INSUMOS'!$H$8:$H$98,MATCH($D428,'1. INSUMOS'!$B$8:$B$98,0)),0)</f>
        <v>3.2</v>
      </c>
      <c r="H428" s="47" t="n">
        <f aca="false">E428*G428</f>
        <v>6.4</v>
      </c>
      <c r="I428" s="48" t="n">
        <f aca="false">IFERROR(INDEX('4. PRODUCCIÓN'!$D$8:$D$32,MATCH($A428,'4. PRODUCCIÓN'!$B$8:$B$32,0)),0)</f>
        <v>0</v>
      </c>
      <c r="J428" s="45" t="n">
        <f aca="false">E428*I428</f>
        <v>0</v>
      </c>
      <c r="K428" s="49" t="s">
        <v>250</v>
      </c>
    </row>
    <row r="429" customFormat="false" ht="15" hidden="false" customHeight="false" outlineLevel="0" collapsed="false">
      <c r="A429" s="44" t="n">
        <v>39</v>
      </c>
      <c r="B429" s="43" t="s">
        <v>396</v>
      </c>
      <c r="C429" s="44" t="s">
        <v>240</v>
      </c>
      <c r="D429" s="43" t="s">
        <v>126</v>
      </c>
      <c r="E429" s="45" t="n">
        <v>220</v>
      </c>
      <c r="F429" s="44" t="s">
        <v>90</v>
      </c>
      <c r="G429" s="46" t="n">
        <f aca="false">IFERROR(INDEX('1. INSUMOS'!$H$8:$H$98,MATCH($D429,'1. INSUMOS'!$B$8:$B$98,0)),0)</f>
        <v>0.03</v>
      </c>
      <c r="H429" s="47" t="n">
        <f aca="false">E429*G429</f>
        <v>6.6</v>
      </c>
      <c r="I429" s="48" t="n">
        <f aca="false">IFERROR(INDEX('4. PRODUCCIÓN'!$D$8:$D$32,MATCH($A429,'4. PRODUCCIÓN'!$B$8:$B$32,0)),0)</f>
        <v>0</v>
      </c>
      <c r="J429" s="45" t="n">
        <f aca="false">E429*I429</f>
        <v>0</v>
      </c>
      <c r="K429" s="49" t="s">
        <v>251</v>
      </c>
    </row>
    <row r="430" customFormat="false" ht="15" hidden="false" customHeight="false" outlineLevel="0" collapsed="false">
      <c r="A430" s="44" t="n">
        <v>39</v>
      </c>
      <c r="B430" s="43" t="s">
        <v>396</v>
      </c>
      <c r="C430" s="44" t="s">
        <v>240</v>
      </c>
      <c r="D430" s="43" t="s">
        <v>128</v>
      </c>
      <c r="E430" s="45" t="n">
        <v>80</v>
      </c>
      <c r="F430" s="44" t="s">
        <v>90</v>
      </c>
      <c r="G430" s="46" t="n">
        <f aca="false">IFERROR(INDEX('1. INSUMOS'!$H$8:$H$98,MATCH($D430,'1. INSUMOS'!$B$8:$B$98,0)),0)</f>
        <v>0.026</v>
      </c>
      <c r="H430" s="47" t="n">
        <f aca="false">E430*G430</f>
        <v>2.08</v>
      </c>
      <c r="I430" s="48" t="n">
        <f aca="false">IFERROR(INDEX('4. PRODUCCIÓN'!$D$8:$D$32,MATCH($A430,'4. PRODUCCIÓN'!$B$8:$B$32,0)),0)</f>
        <v>0</v>
      </c>
      <c r="J430" s="45" t="n">
        <f aca="false">E430*I430</f>
        <v>0</v>
      </c>
      <c r="K430" s="49" t="s">
        <v>397</v>
      </c>
    </row>
    <row r="431" customFormat="false" ht="15" hidden="false" customHeight="false" outlineLevel="0" collapsed="false">
      <c r="A431" s="44" t="n">
        <v>39</v>
      </c>
      <c r="B431" s="43" t="s">
        <v>396</v>
      </c>
      <c r="C431" s="44" t="s">
        <v>240</v>
      </c>
      <c r="D431" s="43" t="s">
        <v>130</v>
      </c>
      <c r="E431" s="45" t="n">
        <v>10</v>
      </c>
      <c r="F431" s="44" t="s">
        <v>90</v>
      </c>
      <c r="G431" s="46" t="n">
        <f aca="false">IFERROR(INDEX('1. INSUMOS'!$H$8:$H$98,MATCH($D431,'1. INSUMOS'!$B$8:$B$98,0)),0)</f>
        <v>0.09</v>
      </c>
      <c r="H431" s="47" t="n">
        <f aca="false">E431*G431</f>
        <v>0.9</v>
      </c>
      <c r="I431" s="48" t="n">
        <f aca="false">IFERROR(INDEX('4. PRODUCCIÓN'!$D$8:$D$32,MATCH($A431,'4. PRODUCCIÓN'!$B$8:$B$32,0)),0)</f>
        <v>0</v>
      </c>
      <c r="J431" s="45" t="n">
        <f aca="false">E431*I431</f>
        <v>0</v>
      </c>
      <c r="K431" s="49" t="s">
        <v>253</v>
      </c>
    </row>
    <row r="432" customFormat="false" ht="15" hidden="false" customHeight="false" outlineLevel="0" collapsed="false">
      <c r="A432" s="44" t="n">
        <v>39</v>
      </c>
      <c r="B432" s="43" t="s">
        <v>396</v>
      </c>
      <c r="C432" s="44" t="s">
        <v>240</v>
      </c>
      <c r="D432" s="43" t="s">
        <v>133</v>
      </c>
      <c r="E432" s="45" t="n">
        <v>5</v>
      </c>
      <c r="F432" s="44" t="s">
        <v>90</v>
      </c>
      <c r="G432" s="46" t="n">
        <f aca="false">IFERROR(INDEX('1. INSUMOS'!$H$8:$H$98,MATCH($D432,'1. INSUMOS'!$B$8:$B$98,0)),0)</f>
        <v>0.13</v>
      </c>
      <c r="H432" s="47" t="n">
        <f aca="false">E432*G432</f>
        <v>0.65</v>
      </c>
      <c r="I432" s="48" t="n">
        <f aca="false">IFERROR(INDEX('4. PRODUCCIÓN'!$D$8:$D$32,MATCH($A432,'4. PRODUCCIÓN'!$B$8:$B$32,0)),0)</f>
        <v>0</v>
      </c>
      <c r="J432" s="45" t="n">
        <f aca="false">E432*I432</f>
        <v>0</v>
      </c>
      <c r="K432" s="49" t="s">
        <v>133</v>
      </c>
    </row>
    <row r="433" customFormat="false" ht="15" hidden="false" customHeight="false" outlineLevel="0" collapsed="false">
      <c r="A433" s="44" t="n">
        <v>39</v>
      </c>
      <c r="B433" s="43" t="s">
        <v>396</v>
      </c>
      <c r="C433" s="44" t="s">
        <v>240</v>
      </c>
      <c r="D433" s="43" t="s">
        <v>195</v>
      </c>
      <c r="E433" s="45" t="n">
        <v>4</v>
      </c>
      <c r="F433" s="44" t="s">
        <v>90</v>
      </c>
      <c r="G433" s="46" t="n">
        <f aca="false">IFERROR(INDEX('1. INSUMOS'!$H$8:$H$98,MATCH($D433,'1. INSUMOS'!$B$8:$B$98,0)),0)</f>
        <v>0.02</v>
      </c>
      <c r="H433" s="47" t="n">
        <f aca="false">E433*G433</f>
        <v>0.08</v>
      </c>
      <c r="I433" s="48" t="n">
        <f aca="false">IFERROR(INDEX('4. PRODUCCIÓN'!$D$8:$D$32,MATCH($A433,'4. PRODUCCIÓN'!$B$8:$B$32,0)),0)</f>
        <v>0</v>
      </c>
      <c r="J433" s="45" t="n">
        <f aca="false">E433*I433</f>
        <v>0</v>
      </c>
      <c r="K433" s="49" t="s">
        <v>195</v>
      </c>
    </row>
    <row r="434" customFormat="false" ht="15" hidden="false" customHeight="false" outlineLevel="0" collapsed="false">
      <c r="A434" s="44" t="n">
        <v>39</v>
      </c>
      <c r="B434" s="43" t="s">
        <v>396</v>
      </c>
      <c r="C434" s="44" t="s">
        <v>240</v>
      </c>
      <c r="D434" s="43" t="s">
        <v>184</v>
      </c>
      <c r="E434" s="45" t="n">
        <v>100</v>
      </c>
      <c r="F434" s="44" t="s">
        <v>90</v>
      </c>
      <c r="G434" s="46" t="n">
        <f aca="false">IFERROR(INDEX('1. INSUMOS'!$H$8:$H$98,MATCH($D434,'1. INSUMOS'!$B$8:$B$98,0)),0)</f>
        <v>0.124</v>
      </c>
      <c r="H434" s="47" t="n">
        <f aca="false">E434*G434</f>
        <v>12.4</v>
      </c>
      <c r="I434" s="48" t="n">
        <f aca="false">IFERROR(INDEX('4. PRODUCCIÓN'!$D$8:$D$32,MATCH($A434,'4. PRODUCCIÓN'!$B$8:$B$32,0)),0)</f>
        <v>0</v>
      </c>
      <c r="J434" s="45" t="n">
        <f aca="false">E434*I434</f>
        <v>0</v>
      </c>
      <c r="K434" s="49" t="s">
        <v>398</v>
      </c>
    </row>
    <row r="435" customFormat="false" ht="15" hidden="false" customHeight="false" outlineLevel="0" collapsed="false">
      <c r="A435" s="44" t="n">
        <v>39</v>
      </c>
      <c r="B435" s="43" t="s">
        <v>396</v>
      </c>
      <c r="C435" s="44" t="s">
        <v>240</v>
      </c>
      <c r="D435" s="43" t="s">
        <v>149</v>
      </c>
      <c r="E435" s="45" t="n">
        <v>80</v>
      </c>
      <c r="F435" s="44" t="s">
        <v>90</v>
      </c>
      <c r="G435" s="46" t="n">
        <f aca="false">IFERROR(INDEX('1. INSUMOS'!$H$8:$H$98,MATCH($D435,'1. INSUMOS'!$B$8:$B$98,0)),0)</f>
        <v>0.235</v>
      </c>
      <c r="H435" s="47" t="n">
        <f aca="false">E435*G435</f>
        <v>18.8</v>
      </c>
      <c r="I435" s="48" t="n">
        <f aca="false">IFERROR(INDEX('4. PRODUCCIÓN'!$D$8:$D$32,MATCH($A435,'4. PRODUCCIÓN'!$B$8:$B$32,0)),0)</f>
        <v>0</v>
      </c>
      <c r="J435" s="45" t="n">
        <f aca="false">E435*I435</f>
        <v>0</v>
      </c>
      <c r="K435" s="49" t="s">
        <v>399</v>
      </c>
    </row>
    <row r="436" customFormat="false" ht="15" hidden="false" customHeight="false" outlineLevel="0" collapsed="false">
      <c r="A436" s="50" t="n">
        <v>40</v>
      </c>
      <c r="B436" s="41" t="s">
        <v>400</v>
      </c>
      <c r="C436" s="50" t="s">
        <v>240</v>
      </c>
      <c r="D436" s="41" t="s">
        <v>88</v>
      </c>
      <c r="E436" s="51" t="n">
        <v>180</v>
      </c>
      <c r="F436" s="50" t="s">
        <v>90</v>
      </c>
      <c r="G436" s="52" t="n">
        <f aca="false">IFERROR(INDEX('1. INSUMOS'!$H$8:$H$98,MATCH($D436,'1. INSUMOS'!$B$8:$B$98,0)),0)</f>
        <v>0.21</v>
      </c>
      <c r="H436" s="53" t="n">
        <f aca="false">E436*G436</f>
        <v>37.8</v>
      </c>
      <c r="I436" s="54" t="n">
        <f aca="false">IFERROR(INDEX('4. PRODUCCIÓN'!$D$8:$D$32,MATCH($A436,'4. PRODUCCIÓN'!$B$8:$B$32,0)),0)</f>
        <v>0</v>
      </c>
      <c r="J436" s="51" t="n">
        <f aca="false">E436*I436</f>
        <v>0</v>
      </c>
      <c r="K436" s="55" t="s">
        <v>249</v>
      </c>
    </row>
    <row r="437" customFormat="false" ht="15" hidden="false" customHeight="false" outlineLevel="0" collapsed="false">
      <c r="A437" s="50" t="n">
        <v>40</v>
      </c>
      <c r="B437" s="41" t="s">
        <v>400</v>
      </c>
      <c r="C437" s="50" t="s">
        <v>240</v>
      </c>
      <c r="D437" s="41" t="s">
        <v>105</v>
      </c>
      <c r="E437" s="51" t="n">
        <v>160</v>
      </c>
      <c r="F437" s="50" t="s">
        <v>90</v>
      </c>
      <c r="G437" s="52" t="n">
        <f aca="false">IFERROR(INDEX('1. INSUMOS'!$H$8:$H$98,MATCH($D437,'1. INSUMOS'!$B$8:$B$98,0)),0)</f>
        <v>0.03</v>
      </c>
      <c r="H437" s="53" t="n">
        <f aca="false">E437*G437</f>
        <v>4.8</v>
      </c>
      <c r="I437" s="54" t="n">
        <f aca="false">IFERROR(INDEX('4. PRODUCCIÓN'!$D$8:$D$32,MATCH($A437,'4. PRODUCCIÓN'!$B$8:$B$32,0)),0)</f>
        <v>0</v>
      </c>
      <c r="J437" s="51" t="n">
        <f aca="false">E437*I437</f>
        <v>0</v>
      </c>
      <c r="K437" s="55" t="s">
        <v>105</v>
      </c>
    </row>
    <row r="438" customFormat="false" ht="15" hidden="false" customHeight="false" outlineLevel="0" collapsed="false">
      <c r="A438" s="50" t="n">
        <v>40</v>
      </c>
      <c r="B438" s="41" t="s">
        <v>400</v>
      </c>
      <c r="C438" s="50" t="s">
        <v>240</v>
      </c>
      <c r="D438" s="41" t="s">
        <v>108</v>
      </c>
      <c r="E438" s="51" t="n">
        <v>80</v>
      </c>
      <c r="F438" s="50" t="s">
        <v>90</v>
      </c>
      <c r="G438" s="52" t="n">
        <f aca="false">IFERROR(INDEX('1. INSUMOS'!$H$8:$H$98,MATCH($D438,'1. INSUMOS'!$B$8:$B$98,0)),0)</f>
        <v>0.052</v>
      </c>
      <c r="H438" s="53" t="n">
        <f aca="false">E438*G438</f>
        <v>4.16</v>
      </c>
      <c r="I438" s="54" t="n">
        <f aca="false">IFERROR(INDEX('4. PRODUCCIÓN'!$D$8:$D$32,MATCH($A438,'4. PRODUCCIÓN'!$B$8:$B$32,0)),0)</f>
        <v>0</v>
      </c>
      <c r="J438" s="51" t="n">
        <f aca="false">E438*I438</f>
        <v>0</v>
      </c>
      <c r="K438" s="55" t="s">
        <v>108</v>
      </c>
    </row>
    <row r="439" customFormat="false" ht="15" hidden="false" customHeight="false" outlineLevel="0" collapsed="false">
      <c r="A439" s="50" t="n">
        <v>40</v>
      </c>
      <c r="B439" s="41" t="s">
        <v>400</v>
      </c>
      <c r="C439" s="50" t="s">
        <v>240</v>
      </c>
      <c r="D439" s="41" t="s">
        <v>142</v>
      </c>
      <c r="E439" s="51" t="n">
        <v>2</v>
      </c>
      <c r="F439" s="50" t="s">
        <v>144</v>
      </c>
      <c r="G439" s="52" t="n">
        <f aca="false">IFERROR(INDEX('1. INSUMOS'!$H$8:$H$98,MATCH($D439,'1. INSUMOS'!$B$8:$B$98,0)),0)</f>
        <v>3.2</v>
      </c>
      <c r="H439" s="53" t="n">
        <f aca="false">E439*G439</f>
        <v>6.4</v>
      </c>
      <c r="I439" s="54" t="n">
        <f aca="false">IFERROR(INDEX('4. PRODUCCIÓN'!$D$8:$D$32,MATCH($A439,'4. PRODUCCIÓN'!$B$8:$B$32,0)),0)</f>
        <v>0</v>
      </c>
      <c r="J439" s="51" t="n">
        <f aca="false">E439*I439</f>
        <v>0</v>
      </c>
      <c r="K439" s="55" t="s">
        <v>250</v>
      </c>
    </row>
    <row r="440" customFormat="false" ht="15" hidden="false" customHeight="false" outlineLevel="0" collapsed="false">
      <c r="A440" s="50" t="n">
        <v>40</v>
      </c>
      <c r="B440" s="41" t="s">
        <v>400</v>
      </c>
      <c r="C440" s="50" t="s">
        <v>240</v>
      </c>
      <c r="D440" s="41" t="s">
        <v>222</v>
      </c>
      <c r="E440" s="51" t="n">
        <v>4</v>
      </c>
      <c r="F440" s="50" t="s">
        <v>101</v>
      </c>
      <c r="G440" s="52" t="n">
        <f aca="false">IFERROR(INDEX('1. INSUMOS'!$H$8:$H$98,MATCH($D440,'1. INSUMOS'!$B$8:$B$98,0)),0)</f>
        <v>0.616666666666667</v>
      </c>
      <c r="H440" s="53" t="n">
        <f aca="false">E440*G440</f>
        <v>2.46666666666667</v>
      </c>
      <c r="I440" s="54" t="n">
        <f aca="false">IFERROR(INDEX('4. PRODUCCIÓN'!$D$8:$D$32,MATCH($A440,'4. PRODUCCIÓN'!$B$8:$B$32,0)),0)</f>
        <v>0</v>
      </c>
      <c r="J440" s="51" t="n">
        <f aca="false">E440*I440</f>
        <v>0</v>
      </c>
      <c r="K440" s="55" t="s">
        <v>401</v>
      </c>
    </row>
    <row r="441" customFormat="false" ht="15" hidden="false" customHeight="false" outlineLevel="0" collapsed="false">
      <c r="A441" s="50" t="n">
        <v>40</v>
      </c>
      <c r="B441" s="41" t="s">
        <v>400</v>
      </c>
      <c r="C441" s="50" t="s">
        <v>240</v>
      </c>
      <c r="D441" s="41" t="s">
        <v>126</v>
      </c>
      <c r="E441" s="51" t="n">
        <v>320</v>
      </c>
      <c r="F441" s="50" t="s">
        <v>90</v>
      </c>
      <c r="G441" s="52" t="n">
        <f aca="false">IFERROR(INDEX('1. INSUMOS'!$H$8:$H$98,MATCH($D441,'1. INSUMOS'!$B$8:$B$98,0)),0)</f>
        <v>0.03</v>
      </c>
      <c r="H441" s="53" t="n">
        <f aca="false">E441*G441</f>
        <v>9.6</v>
      </c>
      <c r="I441" s="54" t="n">
        <f aca="false">IFERROR(INDEX('4. PRODUCCIÓN'!$D$8:$D$32,MATCH($A441,'4. PRODUCCIÓN'!$B$8:$B$32,0)),0)</f>
        <v>0</v>
      </c>
      <c r="J441" s="51" t="n">
        <f aca="false">E441*I441</f>
        <v>0</v>
      </c>
      <c r="K441" s="55" t="s">
        <v>126</v>
      </c>
    </row>
    <row r="442" customFormat="false" ht="15" hidden="false" customHeight="false" outlineLevel="0" collapsed="false">
      <c r="A442" s="50" t="n">
        <v>40</v>
      </c>
      <c r="B442" s="41" t="s">
        <v>400</v>
      </c>
      <c r="C442" s="50" t="s">
        <v>240</v>
      </c>
      <c r="D442" s="41" t="s">
        <v>130</v>
      </c>
      <c r="E442" s="51" t="n">
        <v>10</v>
      </c>
      <c r="F442" s="50" t="s">
        <v>90</v>
      </c>
      <c r="G442" s="52" t="n">
        <f aca="false">IFERROR(INDEX('1. INSUMOS'!$H$8:$H$98,MATCH($D442,'1. INSUMOS'!$B$8:$B$98,0)),0)</f>
        <v>0.09</v>
      </c>
      <c r="H442" s="53" t="n">
        <f aca="false">E442*G442</f>
        <v>0.9</v>
      </c>
      <c r="I442" s="54" t="n">
        <f aca="false">IFERROR(INDEX('4. PRODUCCIÓN'!$D$8:$D$32,MATCH($A442,'4. PRODUCCIÓN'!$B$8:$B$32,0)),0)</f>
        <v>0</v>
      </c>
      <c r="J442" s="51" t="n">
        <f aca="false">E442*I442</f>
        <v>0</v>
      </c>
      <c r="K442" s="55" t="s">
        <v>253</v>
      </c>
    </row>
    <row r="443" customFormat="false" ht="15" hidden="false" customHeight="false" outlineLevel="0" collapsed="false">
      <c r="A443" s="50" t="n">
        <v>40</v>
      </c>
      <c r="B443" s="41" t="s">
        <v>400</v>
      </c>
      <c r="C443" s="50" t="s">
        <v>240</v>
      </c>
      <c r="D443" s="41" t="s">
        <v>133</v>
      </c>
      <c r="E443" s="51" t="n">
        <v>5</v>
      </c>
      <c r="F443" s="50" t="s">
        <v>90</v>
      </c>
      <c r="G443" s="52" t="n">
        <f aca="false">IFERROR(INDEX('1. INSUMOS'!$H$8:$H$98,MATCH($D443,'1. INSUMOS'!$B$8:$B$98,0)),0)</f>
        <v>0.13</v>
      </c>
      <c r="H443" s="53" t="n">
        <f aca="false">E443*G443</f>
        <v>0.65</v>
      </c>
      <c r="I443" s="54" t="n">
        <f aca="false">IFERROR(INDEX('4. PRODUCCIÓN'!$D$8:$D$32,MATCH($A443,'4. PRODUCCIÓN'!$B$8:$B$32,0)),0)</f>
        <v>0</v>
      </c>
      <c r="J443" s="51" t="n">
        <f aca="false">E443*I443</f>
        <v>0</v>
      </c>
      <c r="K443" s="55" t="s">
        <v>133</v>
      </c>
    </row>
    <row r="444" customFormat="false" ht="15" hidden="false" customHeight="false" outlineLevel="0" collapsed="false">
      <c r="A444" s="50" t="n">
        <v>40</v>
      </c>
      <c r="B444" s="41" t="s">
        <v>400</v>
      </c>
      <c r="C444" s="50" t="s">
        <v>240</v>
      </c>
      <c r="D444" s="41" t="s">
        <v>195</v>
      </c>
      <c r="E444" s="51" t="n">
        <v>4</v>
      </c>
      <c r="F444" s="50" t="s">
        <v>90</v>
      </c>
      <c r="G444" s="52" t="n">
        <f aca="false">IFERROR(INDEX('1. INSUMOS'!$H$8:$H$98,MATCH($D444,'1. INSUMOS'!$B$8:$B$98,0)),0)</f>
        <v>0.02</v>
      </c>
      <c r="H444" s="53" t="n">
        <f aca="false">E444*G444</f>
        <v>0.08</v>
      </c>
      <c r="I444" s="54" t="n">
        <f aca="false">IFERROR(INDEX('4. PRODUCCIÓN'!$D$8:$D$32,MATCH($A444,'4. PRODUCCIÓN'!$B$8:$B$32,0)),0)</f>
        <v>0</v>
      </c>
      <c r="J444" s="51" t="n">
        <f aca="false">E444*I444</f>
        <v>0</v>
      </c>
      <c r="K444" s="55" t="s">
        <v>195</v>
      </c>
    </row>
    <row r="445" customFormat="false" ht="15" hidden="false" customHeight="false" outlineLevel="0" collapsed="false">
      <c r="A445" s="50" t="n">
        <v>40</v>
      </c>
      <c r="B445" s="41" t="s">
        <v>400</v>
      </c>
      <c r="C445" s="50" t="s">
        <v>240</v>
      </c>
      <c r="D445" s="41" t="s">
        <v>149</v>
      </c>
      <c r="E445" s="51" t="n">
        <v>100</v>
      </c>
      <c r="F445" s="50" t="s">
        <v>90</v>
      </c>
      <c r="G445" s="52" t="n">
        <f aca="false">IFERROR(INDEX('1. INSUMOS'!$H$8:$H$98,MATCH($D445,'1. INSUMOS'!$B$8:$B$98,0)),0)</f>
        <v>0.235</v>
      </c>
      <c r="H445" s="53" t="n">
        <f aca="false">E445*G445</f>
        <v>23.5</v>
      </c>
      <c r="I445" s="54" t="n">
        <f aca="false">IFERROR(INDEX('4. PRODUCCIÓN'!$D$8:$D$32,MATCH($A445,'4. PRODUCCIÓN'!$B$8:$B$32,0)),0)</f>
        <v>0</v>
      </c>
      <c r="J445" s="51" t="n">
        <f aca="false">E445*I445</f>
        <v>0</v>
      </c>
      <c r="K445" s="55" t="s">
        <v>272</v>
      </c>
    </row>
    <row r="446" customFormat="false" ht="15" hidden="false" customHeight="false" outlineLevel="0" collapsed="false">
      <c r="A446" s="44" t="n">
        <v>41</v>
      </c>
      <c r="B446" s="43" t="s">
        <v>402</v>
      </c>
      <c r="C446" s="44" t="s">
        <v>240</v>
      </c>
      <c r="D446" s="43" t="s">
        <v>88</v>
      </c>
      <c r="E446" s="45" t="n">
        <v>170</v>
      </c>
      <c r="F446" s="44" t="s">
        <v>90</v>
      </c>
      <c r="G446" s="46" t="n">
        <f aca="false">IFERROR(INDEX('1. INSUMOS'!$H$8:$H$98,MATCH($D446,'1. INSUMOS'!$B$8:$B$98,0)),0)</f>
        <v>0.21</v>
      </c>
      <c r="H446" s="47" t="n">
        <f aca="false">E446*G446</f>
        <v>35.7</v>
      </c>
      <c r="I446" s="48" t="n">
        <f aca="false">IFERROR(INDEX('4. PRODUCCIÓN'!$D$8:$D$32,MATCH($A446,'4. PRODUCCIÓN'!$B$8:$B$32,0)),0)</f>
        <v>0</v>
      </c>
      <c r="J446" s="45" t="n">
        <f aca="false">E446*I446</f>
        <v>0</v>
      </c>
      <c r="K446" s="49" t="s">
        <v>249</v>
      </c>
    </row>
    <row r="447" customFormat="false" ht="15" hidden="false" customHeight="false" outlineLevel="0" collapsed="false">
      <c r="A447" s="44" t="n">
        <v>41</v>
      </c>
      <c r="B447" s="43" t="s">
        <v>402</v>
      </c>
      <c r="C447" s="44" t="s">
        <v>240</v>
      </c>
      <c r="D447" s="43" t="s">
        <v>216</v>
      </c>
      <c r="E447" s="45" t="n">
        <v>40</v>
      </c>
      <c r="F447" s="44" t="s">
        <v>90</v>
      </c>
      <c r="G447" s="46" t="n">
        <f aca="false">IFERROR(INDEX('1. INSUMOS'!$H$8:$H$98,MATCH($D447,'1. INSUMOS'!$B$8:$B$98,0)),0)</f>
        <v>0.3875</v>
      </c>
      <c r="H447" s="47" t="n">
        <f aca="false">E447*G447</f>
        <v>15.5</v>
      </c>
      <c r="I447" s="48" t="n">
        <f aca="false">IFERROR(INDEX('4. PRODUCCIÓN'!$D$8:$D$32,MATCH($A447,'4. PRODUCCIÓN'!$B$8:$B$32,0)),0)</f>
        <v>0</v>
      </c>
      <c r="J447" s="45" t="n">
        <f aca="false">E447*I447</f>
        <v>0</v>
      </c>
      <c r="K447" s="49" t="s">
        <v>403</v>
      </c>
    </row>
    <row r="448" customFormat="false" ht="15" hidden="false" customHeight="false" outlineLevel="0" collapsed="false">
      <c r="A448" s="44" t="n">
        <v>41</v>
      </c>
      <c r="B448" s="43" t="s">
        <v>402</v>
      </c>
      <c r="C448" s="44" t="s">
        <v>240</v>
      </c>
      <c r="D448" s="43" t="s">
        <v>108</v>
      </c>
      <c r="E448" s="45" t="n">
        <v>120</v>
      </c>
      <c r="F448" s="44" t="s">
        <v>90</v>
      </c>
      <c r="G448" s="46" t="n">
        <f aca="false">IFERROR(INDEX('1. INSUMOS'!$H$8:$H$98,MATCH($D448,'1. INSUMOS'!$B$8:$B$98,0)),0)</f>
        <v>0.052</v>
      </c>
      <c r="H448" s="47" t="n">
        <f aca="false">E448*G448</f>
        <v>6.24</v>
      </c>
      <c r="I448" s="48" t="n">
        <f aca="false">IFERROR(INDEX('4. PRODUCCIÓN'!$D$8:$D$32,MATCH($A448,'4. PRODUCCIÓN'!$B$8:$B$32,0)),0)</f>
        <v>0</v>
      </c>
      <c r="J448" s="45" t="n">
        <f aca="false">E448*I448</f>
        <v>0</v>
      </c>
      <c r="K448" s="49" t="s">
        <v>270</v>
      </c>
    </row>
    <row r="449" customFormat="false" ht="15" hidden="false" customHeight="false" outlineLevel="0" collapsed="false">
      <c r="A449" s="44" t="n">
        <v>41</v>
      </c>
      <c r="B449" s="43" t="s">
        <v>402</v>
      </c>
      <c r="C449" s="44" t="s">
        <v>240</v>
      </c>
      <c r="D449" s="43" t="s">
        <v>105</v>
      </c>
      <c r="E449" s="45" t="n">
        <v>100</v>
      </c>
      <c r="F449" s="44" t="s">
        <v>90</v>
      </c>
      <c r="G449" s="46" t="n">
        <f aca="false">IFERROR(INDEX('1. INSUMOS'!$H$8:$H$98,MATCH($D449,'1. INSUMOS'!$B$8:$B$98,0)),0)</f>
        <v>0.03</v>
      </c>
      <c r="H449" s="47" t="n">
        <f aca="false">E449*G449</f>
        <v>3</v>
      </c>
      <c r="I449" s="48" t="n">
        <f aca="false">IFERROR(INDEX('4. PRODUCCIÓN'!$D$8:$D$32,MATCH($A449,'4. PRODUCCIÓN'!$B$8:$B$32,0)),0)</f>
        <v>0</v>
      </c>
      <c r="J449" s="45" t="n">
        <f aca="false">E449*I449</f>
        <v>0</v>
      </c>
      <c r="K449" s="49" t="s">
        <v>105</v>
      </c>
    </row>
    <row r="450" customFormat="false" ht="15" hidden="false" customHeight="false" outlineLevel="0" collapsed="false">
      <c r="A450" s="44" t="n">
        <v>41</v>
      </c>
      <c r="B450" s="43" t="s">
        <v>402</v>
      </c>
      <c r="C450" s="44" t="s">
        <v>240</v>
      </c>
      <c r="D450" s="43" t="s">
        <v>142</v>
      </c>
      <c r="E450" s="45" t="n">
        <v>2</v>
      </c>
      <c r="F450" s="44" t="s">
        <v>144</v>
      </c>
      <c r="G450" s="46" t="n">
        <f aca="false">IFERROR(INDEX('1. INSUMOS'!$H$8:$H$98,MATCH($D450,'1. INSUMOS'!$B$8:$B$98,0)),0)</f>
        <v>3.2</v>
      </c>
      <c r="H450" s="47" t="n">
        <f aca="false">E450*G450</f>
        <v>6.4</v>
      </c>
      <c r="I450" s="48" t="n">
        <f aca="false">IFERROR(INDEX('4. PRODUCCIÓN'!$D$8:$D$32,MATCH($A450,'4. PRODUCCIÓN'!$B$8:$B$32,0)),0)</f>
        <v>0</v>
      </c>
      <c r="J450" s="45" t="n">
        <f aca="false">E450*I450</f>
        <v>0</v>
      </c>
      <c r="K450" s="49" t="s">
        <v>250</v>
      </c>
    </row>
    <row r="451" customFormat="false" ht="15" hidden="false" customHeight="false" outlineLevel="0" collapsed="false">
      <c r="A451" s="44" t="n">
        <v>41</v>
      </c>
      <c r="B451" s="43" t="s">
        <v>402</v>
      </c>
      <c r="C451" s="44" t="s">
        <v>240</v>
      </c>
      <c r="D451" s="43" t="s">
        <v>126</v>
      </c>
      <c r="E451" s="45" t="n">
        <v>310</v>
      </c>
      <c r="F451" s="44" t="s">
        <v>90</v>
      </c>
      <c r="G451" s="46" t="n">
        <f aca="false">IFERROR(INDEX('1. INSUMOS'!$H$8:$H$98,MATCH($D451,'1. INSUMOS'!$B$8:$B$98,0)),0)</f>
        <v>0.03</v>
      </c>
      <c r="H451" s="47" t="n">
        <f aca="false">E451*G451</f>
        <v>9.3</v>
      </c>
      <c r="I451" s="48" t="n">
        <f aca="false">IFERROR(INDEX('4. PRODUCCIÓN'!$D$8:$D$32,MATCH($A451,'4. PRODUCCIÓN'!$B$8:$B$32,0)),0)</f>
        <v>0</v>
      </c>
      <c r="J451" s="45" t="n">
        <f aca="false">E451*I451</f>
        <v>0</v>
      </c>
      <c r="K451" s="49" t="s">
        <v>126</v>
      </c>
    </row>
    <row r="452" customFormat="false" ht="15" hidden="false" customHeight="false" outlineLevel="0" collapsed="false">
      <c r="A452" s="44" t="n">
        <v>41</v>
      </c>
      <c r="B452" s="43" t="s">
        <v>402</v>
      </c>
      <c r="C452" s="44" t="s">
        <v>240</v>
      </c>
      <c r="D452" s="43" t="s">
        <v>130</v>
      </c>
      <c r="E452" s="45" t="n">
        <v>10</v>
      </c>
      <c r="F452" s="44" t="s">
        <v>90</v>
      </c>
      <c r="G452" s="46" t="n">
        <f aca="false">IFERROR(INDEX('1. INSUMOS'!$H$8:$H$98,MATCH($D452,'1. INSUMOS'!$B$8:$B$98,0)),0)</f>
        <v>0.09</v>
      </c>
      <c r="H452" s="47" t="n">
        <f aca="false">E452*G452</f>
        <v>0.9</v>
      </c>
      <c r="I452" s="48" t="n">
        <f aca="false">IFERROR(INDEX('4. PRODUCCIÓN'!$D$8:$D$32,MATCH($A452,'4. PRODUCCIÓN'!$B$8:$B$32,0)),0)</f>
        <v>0</v>
      </c>
      <c r="J452" s="45" t="n">
        <f aca="false">E452*I452</f>
        <v>0</v>
      </c>
      <c r="K452" s="49" t="s">
        <v>253</v>
      </c>
    </row>
    <row r="453" customFormat="false" ht="15" hidden="false" customHeight="false" outlineLevel="0" collapsed="false">
      <c r="A453" s="44" t="n">
        <v>41</v>
      </c>
      <c r="B453" s="43" t="s">
        <v>402</v>
      </c>
      <c r="C453" s="44" t="s">
        <v>240</v>
      </c>
      <c r="D453" s="43" t="s">
        <v>133</v>
      </c>
      <c r="E453" s="45" t="n">
        <v>5</v>
      </c>
      <c r="F453" s="44" t="s">
        <v>90</v>
      </c>
      <c r="G453" s="46" t="n">
        <f aca="false">IFERROR(INDEX('1. INSUMOS'!$H$8:$H$98,MATCH($D453,'1. INSUMOS'!$B$8:$B$98,0)),0)</f>
        <v>0.13</v>
      </c>
      <c r="H453" s="47" t="n">
        <f aca="false">E453*G453</f>
        <v>0.65</v>
      </c>
      <c r="I453" s="48" t="n">
        <f aca="false">IFERROR(INDEX('4. PRODUCCIÓN'!$D$8:$D$32,MATCH($A453,'4. PRODUCCIÓN'!$B$8:$B$32,0)),0)</f>
        <v>0</v>
      </c>
      <c r="J453" s="45" t="n">
        <f aca="false">E453*I453</f>
        <v>0</v>
      </c>
      <c r="K453" s="49" t="s">
        <v>133</v>
      </c>
    </row>
    <row r="454" customFormat="false" ht="15" hidden="false" customHeight="false" outlineLevel="0" collapsed="false">
      <c r="A454" s="44" t="n">
        <v>41</v>
      </c>
      <c r="B454" s="43" t="s">
        <v>402</v>
      </c>
      <c r="C454" s="44" t="s">
        <v>240</v>
      </c>
      <c r="D454" s="43" t="s">
        <v>195</v>
      </c>
      <c r="E454" s="45" t="n">
        <v>2</v>
      </c>
      <c r="F454" s="44" t="s">
        <v>90</v>
      </c>
      <c r="G454" s="46" t="n">
        <f aca="false">IFERROR(INDEX('1. INSUMOS'!$H$8:$H$98,MATCH($D454,'1. INSUMOS'!$B$8:$B$98,0)),0)</f>
        <v>0.02</v>
      </c>
      <c r="H454" s="47" t="n">
        <f aca="false">E454*G454</f>
        <v>0.04</v>
      </c>
      <c r="I454" s="48" t="n">
        <f aca="false">IFERROR(INDEX('4. PRODUCCIÓN'!$D$8:$D$32,MATCH($A454,'4. PRODUCCIÓN'!$B$8:$B$32,0)),0)</f>
        <v>0</v>
      </c>
      <c r="J454" s="45" t="n">
        <f aca="false">E454*I454</f>
        <v>0</v>
      </c>
      <c r="K454" s="49" t="s">
        <v>404</v>
      </c>
    </row>
    <row r="455" customFormat="false" ht="15" hidden="false" customHeight="false" outlineLevel="0" collapsed="false">
      <c r="A455" s="44" t="n">
        <v>41</v>
      </c>
      <c r="B455" s="43" t="s">
        <v>402</v>
      </c>
      <c r="C455" s="44" t="s">
        <v>240</v>
      </c>
      <c r="D455" s="43" t="s">
        <v>152</v>
      </c>
      <c r="E455" s="45" t="n">
        <v>120</v>
      </c>
      <c r="F455" s="44" t="s">
        <v>90</v>
      </c>
      <c r="G455" s="46" t="n">
        <f aca="false">IFERROR(INDEX('1. INSUMOS'!$H$8:$H$98,MATCH($D455,'1. INSUMOS'!$B$8:$B$98,0)),0)</f>
        <v>0.68</v>
      </c>
      <c r="H455" s="47" t="n">
        <f aca="false">E455*G455</f>
        <v>81.6</v>
      </c>
      <c r="I455" s="48" t="n">
        <f aca="false">IFERROR(INDEX('4. PRODUCCIÓN'!$D$8:$D$32,MATCH($A455,'4. PRODUCCIÓN'!$B$8:$B$32,0)),0)</f>
        <v>0</v>
      </c>
      <c r="J455" s="45" t="n">
        <f aca="false">E455*I455</f>
        <v>0</v>
      </c>
      <c r="K455" s="49" t="s">
        <v>405</v>
      </c>
    </row>
    <row r="456" customFormat="false" ht="15" hidden="false" customHeight="false" outlineLevel="0" collapsed="false">
      <c r="A456" s="44" t="n">
        <v>41</v>
      </c>
      <c r="B456" s="43" t="s">
        <v>402</v>
      </c>
      <c r="C456" s="44" t="s">
        <v>240</v>
      </c>
      <c r="D456" s="43" t="s">
        <v>178</v>
      </c>
      <c r="E456" s="45" t="n">
        <v>15</v>
      </c>
      <c r="F456" s="44" t="s">
        <v>90</v>
      </c>
      <c r="G456" s="46" t="n">
        <f aca="false">IFERROR(INDEX('1. INSUMOS'!$H$8:$H$98,MATCH($D456,'1. INSUMOS'!$B$8:$B$98,0)),0)</f>
        <v>0.192</v>
      </c>
      <c r="H456" s="47" t="n">
        <f aca="false">E456*G456</f>
        <v>2.88</v>
      </c>
      <c r="I456" s="48" t="n">
        <f aca="false">IFERROR(INDEX('4. PRODUCCIÓN'!$D$8:$D$32,MATCH($A456,'4. PRODUCCIÓN'!$B$8:$B$32,0)),0)</f>
        <v>0</v>
      </c>
      <c r="J456" s="45" t="n">
        <f aca="false">E456*I456</f>
        <v>0</v>
      </c>
      <c r="K456" s="49" t="s">
        <v>406</v>
      </c>
    </row>
    <row r="457" customFormat="false" ht="15" hidden="false" customHeight="false" outlineLevel="0" collapsed="false">
      <c r="A457" s="50" t="n">
        <v>42</v>
      </c>
      <c r="B457" s="41" t="s">
        <v>407</v>
      </c>
      <c r="C457" s="50" t="s">
        <v>240</v>
      </c>
      <c r="D457" s="41" t="s">
        <v>88</v>
      </c>
      <c r="E457" s="51" t="n">
        <v>120</v>
      </c>
      <c r="F457" s="50" t="s">
        <v>90</v>
      </c>
      <c r="G457" s="52" t="n">
        <f aca="false">IFERROR(INDEX('1. INSUMOS'!$H$8:$H$98,MATCH($D457,'1. INSUMOS'!$B$8:$B$98,0)),0)</f>
        <v>0.21</v>
      </c>
      <c r="H457" s="53" t="n">
        <f aca="false">E457*G457</f>
        <v>25.2</v>
      </c>
      <c r="I457" s="54" t="n">
        <f aca="false">IFERROR(INDEX('4. PRODUCCIÓN'!$D$8:$D$32,MATCH($A457,'4. PRODUCCIÓN'!$B$8:$B$32,0)),0)</f>
        <v>0</v>
      </c>
      <c r="J457" s="51" t="n">
        <f aca="false">E457*I457</f>
        <v>0</v>
      </c>
      <c r="K457" s="55" t="s">
        <v>249</v>
      </c>
    </row>
    <row r="458" customFormat="false" ht="15" hidden="false" customHeight="false" outlineLevel="0" collapsed="false">
      <c r="A458" s="50" t="n">
        <v>42</v>
      </c>
      <c r="B458" s="41" t="s">
        <v>407</v>
      </c>
      <c r="C458" s="50" t="s">
        <v>240</v>
      </c>
      <c r="D458" s="41" t="s">
        <v>100</v>
      </c>
      <c r="E458" s="51" t="n">
        <v>60</v>
      </c>
      <c r="F458" s="50" t="s">
        <v>101</v>
      </c>
      <c r="G458" s="52" t="n">
        <f aca="false">IFERROR(INDEX('1. INSUMOS'!$H$8:$H$98,MATCH($D458,'1. INSUMOS'!$B$8:$B$98,0)),0)</f>
        <v>0.3</v>
      </c>
      <c r="H458" s="53" t="n">
        <f aca="false">E458*G458</f>
        <v>18</v>
      </c>
      <c r="I458" s="54" t="n">
        <f aca="false">IFERROR(INDEX('4. PRODUCCIÓN'!$D$8:$D$32,MATCH($A458,'4. PRODUCCIÓN'!$B$8:$B$32,0)),0)</f>
        <v>0</v>
      </c>
      <c r="J458" s="51" t="n">
        <f aca="false">E458*I458</f>
        <v>0</v>
      </c>
      <c r="K458" s="55" t="s">
        <v>408</v>
      </c>
    </row>
    <row r="459" customFormat="false" ht="15" hidden="false" customHeight="false" outlineLevel="0" collapsed="false">
      <c r="A459" s="50" t="n">
        <v>42</v>
      </c>
      <c r="B459" s="41" t="s">
        <v>407</v>
      </c>
      <c r="C459" s="50" t="s">
        <v>240</v>
      </c>
      <c r="D459" s="41" t="s">
        <v>109</v>
      </c>
      <c r="E459" s="51" t="n">
        <v>150</v>
      </c>
      <c r="F459" s="50" t="s">
        <v>90</v>
      </c>
      <c r="G459" s="52" t="n">
        <f aca="false">IFERROR(INDEX('1. INSUMOS'!$H$8:$H$98,MATCH($D459,'1. INSUMOS'!$B$8:$B$98,0)),0)</f>
        <v>0.058</v>
      </c>
      <c r="H459" s="53" t="n">
        <f aca="false">E459*G459</f>
        <v>8.7</v>
      </c>
      <c r="I459" s="54" t="n">
        <f aca="false">IFERROR(INDEX('4. PRODUCCIÓN'!$D$8:$D$32,MATCH($A459,'4. PRODUCCIÓN'!$B$8:$B$32,0)),0)</f>
        <v>0</v>
      </c>
      <c r="J459" s="51" t="n">
        <f aca="false">E459*I459</f>
        <v>0</v>
      </c>
      <c r="K459" s="55" t="s">
        <v>109</v>
      </c>
    </row>
    <row r="460" customFormat="false" ht="15" hidden="false" customHeight="false" outlineLevel="0" collapsed="false">
      <c r="A460" s="50" t="n">
        <v>42</v>
      </c>
      <c r="B460" s="41" t="s">
        <v>407</v>
      </c>
      <c r="C460" s="50" t="s">
        <v>240</v>
      </c>
      <c r="D460" s="41" t="s">
        <v>105</v>
      </c>
      <c r="E460" s="51" t="n">
        <v>90</v>
      </c>
      <c r="F460" s="50" t="s">
        <v>90</v>
      </c>
      <c r="G460" s="52" t="n">
        <f aca="false">IFERROR(INDEX('1. INSUMOS'!$H$8:$H$98,MATCH($D460,'1. INSUMOS'!$B$8:$B$98,0)),0)</f>
        <v>0.03</v>
      </c>
      <c r="H460" s="53" t="n">
        <f aca="false">E460*G460</f>
        <v>2.7</v>
      </c>
      <c r="I460" s="54" t="n">
        <f aca="false">IFERROR(INDEX('4. PRODUCCIÓN'!$D$8:$D$32,MATCH($A460,'4. PRODUCCIÓN'!$B$8:$B$32,0)),0)</f>
        <v>0</v>
      </c>
      <c r="J460" s="51" t="n">
        <f aca="false">E460*I460</f>
        <v>0</v>
      </c>
      <c r="K460" s="55" t="s">
        <v>105</v>
      </c>
    </row>
    <row r="461" customFormat="false" ht="15" hidden="false" customHeight="false" outlineLevel="0" collapsed="false">
      <c r="A461" s="50" t="n">
        <v>42</v>
      </c>
      <c r="B461" s="41" t="s">
        <v>407</v>
      </c>
      <c r="C461" s="50" t="s">
        <v>240</v>
      </c>
      <c r="D461" s="41" t="s">
        <v>142</v>
      </c>
      <c r="E461" s="51" t="n">
        <v>2</v>
      </c>
      <c r="F461" s="50" t="s">
        <v>144</v>
      </c>
      <c r="G461" s="52" t="n">
        <f aca="false">IFERROR(INDEX('1. INSUMOS'!$H$8:$H$98,MATCH($D461,'1. INSUMOS'!$B$8:$B$98,0)),0)</f>
        <v>3.2</v>
      </c>
      <c r="H461" s="53" t="n">
        <f aca="false">E461*G461</f>
        <v>6.4</v>
      </c>
      <c r="I461" s="54" t="n">
        <f aca="false">IFERROR(INDEX('4. PRODUCCIÓN'!$D$8:$D$32,MATCH($A461,'4. PRODUCCIÓN'!$B$8:$B$32,0)),0)</f>
        <v>0</v>
      </c>
      <c r="J461" s="51" t="n">
        <f aca="false">E461*I461</f>
        <v>0</v>
      </c>
      <c r="K461" s="55" t="s">
        <v>250</v>
      </c>
    </row>
    <row r="462" customFormat="false" ht="15" hidden="false" customHeight="false" outlineLevel="0" collapsed="false">
      <c r="A462" s="50" t="n">
        <v>42</v>
      </c>
      <c r="B462" s="41" t="s">
        <v>407</v>
      </c>
      <c r="C462" s="50" t="s">
        <v>240</v>
      </c>
      <c r="D462" s="41" t="s">
        <v>213</v>
      </c>
      <c r="E462" s="51" t="n">
        <v>4</v>
      </c>
      <c r="F462" s="50" t="s">
        <v>90</v>
      </c>
      <c r="G462" s="52" t="n">
        <f aca="false">IFERROR(INDEX('1. INSUMOS'!$H$8:$H$98,MATCH($D462,'1. INSUMOS'!$B$8:$B$98,0)),0)</f>
        <v>0.5</v>
      </c>
      <c r="H462" s="53" t="n">
        <f aca="false">E462*G462</f>
        <v>2</v>
      </c>
      <c r="I462" s="54" t="n">
        <f aca="false">IFERROR(INDEX('4. PRODUCCIÓN'!$D$8:$D$32,MATCH($A462,'4. PRODUCCIÓN'!$B$8:$B$32,0)),0)</f>
        <v>0</v>
      </c>
      <c r="J462" s="51" t="n">
        <f aca="false">E462*I462</f>
        <v>0</v>
      </c>
      <c r="K462" s="55" t="s">
        <v>409</v>
      </c>
    </row>
    <row r="463" customFormat="false" ht="15" hidden="false" customHeight="false" outlineLevel="0" collapsed="false">
      <c r="A463" s="50" t="n">
        <v>42</v>
      </c>
      <c r="B463" s="41" t="s">
        <v>407</v>
      </c>
      <c r="C463" s="50" t="s">
        <v>240</v>
      </c>
      <c r="D463" s="41" t="s">
        <v>126</v>
      </c>
      <c r="E463" s="51" t="n">
        <v>320</v>
      </c>
      <c r="F463" s="50" t="s">
        <v>90</v>
      </c>
      <c r="G463" s="52" t="n">
        <f aca="false">IFERROR(INDEX('1. INSUMOS'!$H$8:$H$98,MATCH($D463,'1. INSUMOS'!$B$8:$B$98,0)),0)</f>
        <v>0.03</v>
      </c>
      <c r="H463" s="53" t="n">
        <f aca="false">E463*G463</f>
        <v>9.6</v>
      </c>
      <c r="I463" s="54" t="n">
        <f aca="false">IFERROR(INDEX('4. PRODUCCIÓN'!$D$8:$D$32,MATCH($A463,'4. PRODUCCIÓN'!$B$8:$B$32,0)),0)</f>
        <v>0</v>
      </c>
      <c r="J463" s="51" t="n">
        <f aca="false">E463*I463</f>
        <v>0</v>
      </c>
      <c r="K463" s="55" t="s">
        <v>410</v>
      </c>
    </row>
    <row r="464" customFormat="false" ht="15" hidden="false" customHeight="false" outlineLevel="0" collapsed="false">
      <c r="A464" s="50" t="n">
        <v>42</v>
      </c>
      <c r="B464" s="41" t="s">
        <v>407</v>
      </c>
      <c r="C464" s="50" t="s">
        <v>240</v>
      </c>
      <c r="D464" s="41" t="s">
        <v>130</v>
      </c>
      <c r="E464" s="51" t="n">
        <v>10</v>
      </c>
      <c r="F464" s="50" t="s">
        <v>90</v>
      </c>
      <c r="G464" s="52" t="n">
        <f aca="false">IFERROR(INDEX('1. INSUMOS'!$H$8:$H$98,MATCH($D464,'1. INSUMOS'!$B$8:$B$98,0)),0)</f>
        <v>0.09</v>
      </c>
      <c r="H464" s="53" t="n">
        <f aca="false">E464*G464</f>
        <v>0.9</v>
      </c>
      <c r="I464" s="54" t="n">
        <f aca="false">IFERROR(INDEX('4. PRODUCCIÓN'!$D$8:$D$32,MATCH($A464,'4. PRODUCCIÓN'!$B$8:$B$32,0)),0)</f>
        <v>0</v>
      </c>
      <c r="J464" s="51" t="n">
        <f aca="false">E464*I464</f>
        <v>0</v>
      </c>
      <c r="K464" s="55" t="s">
        <v>253</v>
      </c>
    </row>
    <row r="465" customFormat="false" ht="15" hidden="false" customHeight="false" outlineLevel="0" collapsed="false">
      <c r="A465" s="50" t="n">
        <v>42</v>
      </c>
      <c r="B465" s="41" t="s">
        <v>407</v>
      </c>
      <c r="C465" s="50" t="s">
        <v>240</v>
      </c>
      <c r="D465" s="41" t="s">
        <v>133</v>
      </c>
      <c r="E465" s="51" t="n">
        <v>5</v>
      </c>
      <c r="F465" s="50" t="s">
        <v>90</v>
      </c>
      <c r="G465" s="52" t="n">
        <f aca="false">IFERROR(INDEX('1. INSUMOS'!$H$8:$H$98,MATCH($D465,'1. INSUMOS'!$B$8:$B$98,0)),0)</f>
        <v>0.13</v>
      </c>
      <c r="H465" s="53" t="n">
        <f aca="false">E465*G465</f>
        <v>0.65</v>
      </c>
      <c r="I465" s="54" t="n">
        <f aca="false">IFERROR(INDEX('4. PRODUCCIÓN'!$D$8:$D$32,MATCH($A465,'4. PRODUCCIÓN'!$B$8:$B$32,0)),0)</f>
        <v>0</v>
      </c>
      <c r="J465" s="51" t="n">
        <f aca="false">E465*I465</f>
        <v>0</v>
      </c>
      <c r="K465" s="55" t="s">
        <v>133</v>
      </c>
    </row>
    <row r="466" customFormat="false" ht="15" hidden="false" customHeight="false" outlineLevel="0" collapsed="false">
      <c r="A466" s="50" t="n">
        <v>42</v>
      </c>
      <c r="B466" s="41" t="s">
        <v>407</v>
      </c>
      <c r="C466" s="50" t="s">
        <v>240</v>
      </c>
      <c r="D466" s="41" t="s">
        <v>195</v>
      </c>
      <c r="E466" s="51" t="n">
        <v>4</v>
      </c>
      <c r="F466" s="50" t="s">
        <v>90</v>
      </c>
      <c r="G466" s="52" t="n">
        <f aca="false">IFERROR(INDEX('1. INSUMOS'!$H$8:$H$98,MATCH($D466,'1. INSUMOS'!$B$8:$B$98,0)),0)</f>
        <v>0.02</v>
      </c>
      <c r="H466" s="53" t="n">
        <f aca="false">E466*G466</f>
        <v>0.08</v>
      </c>
      <c r="I466" s="54" t="n">
        <f aca="false">IFERROR(INDEX('4. PRODUCCIÓN'!$D$8:$D$32,MATCH($A466,'4. PRODUCCIÓN'!$B$8:$B$32,0)),0)</f>
        <v>0</v>
      </c>
      <c r="J466" s="51" t="n">
        <f aca="false">E466*I466</f>
        <v>0</v>
      </c>
      <c r="K466" s="55" t="s">
        <v>195</v>
      </c>
    </row>
    <row r="467" customFormat="false" ht="15" hidden="false" customHeight="false" outlineLevel="0" collapsed="false">
      <c r="A467" s="50" t="n">
        <v>42</v>
      </c>
      <c r="B467" s="41" t="s">
        <v>407</v>
      </c>
      <c r="C467" s="50" t="s">
        <v>240</v>
      </c>
      <c r="D467" s="41" t="s">
        <v>148</v>
      </c>
      <c r="E467" s="51" t="n">
        <v>150</v>
      </c>
      <c r="F467" s="50" t="s">
        <v>90</v>
      </c>
      <c r="G467" s="52" t="n">
        <f aca="false">IFERROR(INDEX('1. INSUMOS'!$H$8:$H$98,MATCH($D467,'1. INSUMOS'!$B$8:$B$98,0)),0)</f>
        <v>0.265</v>
      </c>
      <c r="H467" s="53" t="n">
        <f aca="false">E467*G467</f>
        <v>39.75</v>
      </c>
      <c r="I467" s="54" t="n">
        <f aca="false">IFERROR(INDEX('4. PRODUCCIÓN'!$D$8:$D$32,MATCH($A467,'4. PRODUCCIÓN'!$B$8:$B$32,0)),0)</f>
        <v>0</v>
      </c>
      <c r="J467" s="51" t="n">
        <f aca="false">E467*I467</f>
        <v>0</v>
      </c>
      <c r="K467" s="55" t="s">
        <v>411</v>
      </c>
    </row>
    <row r="468" customFormat="false" ht="15" hidden="false" customHeight="false" outlineLevel="0" collapsed="false">
      <c r="A468" s="50" t="n">
        <v>42</v>
      </c>
      <c r="B468" s="41" t="s">
        <v>407</v>
      </c>
      <c r="C468" s="50" t="s">
        <v>246</v>
      </c>
      <c r="D468" s="41" t="s">
        <v>197</v>
      </c>
      <c r="E468" s="51" t="n">
        <v>2</v>
      </c>
      <c r="F468" s="50" t="s">
        <v>90</v>
      </c>
      <c r="G468" s="52" t="n">
        <f aca="false">IFERROR(INDEX('1. INSUMOS'!$H$8:$H$98,MATCH($D468,'1. INSUMOS'!$B$8:$B$98,0)),0)</f>
        <v>0.5</v>
      </c>
      <c r="H468" s="53" t="n">
        <f aca="false">E468*G468</f>
        <v>1</v>
      </c>
      <c r="I468" s="54" t="n">
        <f aca="false">IFERROR(INDEX('4. PRODUCCIÓN'!$D$8:$D$32,MATCH($A468,'4. PRODUCCIÓN'!$B$8:$B$32,0)),0)</f>
        <v>0</v>
      </c>
      <c r="J468" s="51" t="n">
        <f aca="false">E468*I468</f>
        <v>0</v>
      </c>
      <c r="K468" s="55" t="s">
        <v>412</v>
      </c>
    </row>
    <row r="469" customFormat="false" ht="15" hidden="false" customHeight="false" outlineLevel="0" collapsed="false">
      <c r="A469" s="44" t="n">
        <v>43</v>
      </c>
      <c r="B469" s="43" t="s">
        <v>413</v>
      </c>
      <c r="C469" s="44" t="s">
        <v>240</v>
      </c>
      <c r="D469" s="43" t="s">
        <v>88</v>
      </c>
      <c r="E469" s="45" t="n">
        <v>170</v>
      </c>
      <c r="F469" s="44" t="s">
        <v>90</v>
      </c>
      <c r="G469" s="46" t="n">
        <f aca="false">IFERROR(INDEX('1. INSUMOS'!$H$8:$H$98,MATCH($D469,'1. INSUMOS'!$B$8:$B$98,0)),0)</f>
        <v>0.21</v>
      </c>
      <c r="H469" s="47" t="n">
        <f aca="false">E469*G469</f>
        <v>35.7</v>
      </c>
      <c r="I469" s="48" t="n">
        <f aca="false">IFERROR(INDEX('4. PRODUCCIÓN'!$D$8:$D$32,MATCH($A469,'4. PRODUCCIÓN'!$B$8:$B$32,0)),0)</f>
        <v>0</v>
      </c>
      <c r="J469" s="45" t="n">
        <f aca="false">E469*I469</f>
        <v>0</v>
      </c>
      <c r="K469" s="49" t="s">
        <v>249</v>
      </c>
    </row>
    <row r="470" customFormat="false" ht="15" hidden="false" customHeight="false" outlineLevel="0" collapsed="false">
      <c r="A470" s="44" t="n">
        <v>43</v>
      </c>
      <c r="B470" s="43" t="s">
        <v>413</v>
      </c>
      <c r="C470" s="44" t="s">
        <v>240</v>
      </c>
      <c r="D470" s="43" t="s">
        <v>108</v>
      </c>
      <c r="E470" s="45" t="n">
        <v>140</v>
      </c>
      <c r="F470" s="44" t="s">
        <v>90</v>
      </c>
      <c r="G470" s="46" t="n">
        <f aca="false">IFERROR(INDEX('1. INSUMOS'!$H$8:$H$98,MATCH($D470,'1. INSUMOS'!$B$8:$B$98,0)),0)</f>
        <v>0.052</v>
      </c>
      <c r="H470" s="47" t="n">
        <f aca="false">E470*G470</f>
        <v>7.28</v>
      </c>
      <c r="I470" s="48" t="n">
        <f aca="false">IFERROR(INDEX('4. PRODUCCIÓN'!$D$8:$D$32,MATCH($A470,'4. PRODUCCIÓN'!$B$8:$B$32,0)),0)</f>
        <v>0</v>
      </c>
      <c r="J470" s="45" t="n">
        <f aca="false">E470*I470</f>
        <v>0</v>
      </c>
      <c r="K470" s="49" t="s">
        <v>108</v>
      </c>
    </row>
    <row r="471" customFormat="false" ht="15" hidden="false" customHeight="false" outlineLevel="0" collapsed="false">
      <c r="A471" s="44" t="n">
        <v>43</v>
      </c>
      <c r="B471" s="43" t="s">
        <v>413</v>
      </c>
      <c r="C471" s="44" t="s">
        <v>240</v>
      </c>
      <c r="D471" s="43" t="s">
        <v>105</v>
      </c>
      <c r="E471" s="45" t="n">
        <v>100</v>
      </c>
      <c r="F471" s="44" t="s">
        <v>90</v>
      </c>
      <c r="G471" s="46" t="n">
        <f aca="false">IFERROR(INDEX('1. INSUMOS'!$H$8:$H$98,MATCH($D471,'1. INSUMOS'!$B$8:$B$98,0)),0)</f>
        <v>0.03</v>
      </c>
      <c r="H471" s="47" t="n">
        <f aca="false">E471*G471</f>
        <v>3</v>
      </c>
      <c r="I471" s="48" t="n">
        <f aca="false">IFERROR(INDEX('4. PRODUCCIÓN'!$D$8:$D$32,MATCH($A471,'4. PRODUCCIÓN'!$B$8:$B$32,0)),0)</f>
        <v>0</v>
      </c>
      <c r="J471" s="45" t="n">
        <f aca="false">E471*I471</f>
        <v>0</v>
      </c>
      <c r="K471" s="49" t="s">
        <v>105</v>
      </c>
    </row>
    <row r="472" customFormat="false" ht="15" hidden="false" customHeight="false" outlineLevel="0" collapsed="false">
      <c r="A472" s="44" t="n">
        <v>43</v>
      </c>
      <c r="B472" s="43" t="s">
        <v>413</v>
      </c>
      <c r="C472" s="44" t="s">
        <v>240</v>
      </c>
      <c r="D472" s="43" t="s">
        <v>142</v>
      </c>
      <c r="E472" s="45" t="n">
        <v>2</v>
      </c>
      <c r="F472" s="44" t="s">
        <v>144</v>
      </c>
      <c r="G472" s="46" t="n">
        <f aca="false">IFERROR(INDEX('1. INSUMOS'!$H$8:$H$98,MATCH($D472,'1. INSUMOS'!$B$8:$B$98,0)),0)</f>
        <v>3.2</v>
      </c>
      <c r="H472" s="47" t="n">
        <f aca="false">E472*G472</f>
        <v>6.4</v>
      </c>
      <c r="I472" s="48" t="n">
        <f aca="false">IFERROR(INDEX('4. PRODUCCIÓN'!$D$8:$D$32,MATCH($A472,'4. PRODUCCIÓN'!$B$8:$B$32,0)),0)</f>
        <v>0</v>
      </c>
      <c r="J472" s="45" t="n">
        <f aca="false">E472*I472</f>
        <v>0</v>
      </c>
      <c r="K472" s="49" t="s">
        <v>250</v>
      </c>
    </row>
    <row r="473" customFormat="false" ht="15" hidden="false" customHeight="false" outlineLevel="0" collapsed="false">
      <c r="A473" s="44" t="n">
        <v>43</v>
      </c>
      <c r="B473" s="43" t="s">
        <v>413</v>
      </c>
      <c r="C473" s="44" t="s">
        <v>240</v>
      </c>
      <c r="D473" s="43" t="s">
        <v>126</v>
      </c>
      <c r="E473" s="45" t="n">
        <v>310</v>
      </c>
      <c r="F473" s="44" t="s">
        <v>90</v>
      </c>
      <c r="G473" s="46" t="n">
        <f aca="false">IFERROR(INDEX('1. INSUMOS'!$H$8:$H$98,MATCH($D473,'1. INSUMOS'!$B$8:$B$98,0)),0)</f>
        <v>0.03</v>
      </c>
      <c r="H473" s="47" t="n">
        <f aca="false">E473*G473</f>
        <v>9.3</v>
      </c>
      <c r="I473" s="48" t="n">
        <f aca="false">IFERROR(INDEX('4. PRODUCCIÓN'!$D$8:$D$32,MATCH($A473,'4. PRODUCCIÓN'!$B$8:$B$32,0)),0)</f>
        <v>0</v>
      </c>
      <c r="J473" s="45" t="n">
        <f aca="false">E473*I473</f>
        <v>0</v>
      </c>
      <c r="K473" s="49" t="s">
        <v>126</v>
      </c>
    </row>
    <row r="474" customFormat="false" ht="15" hidden="false" customHeight="false" outlineLevel="0" collapsed="false">
      <c r="A474" s="44" t="n">
        <v>43</v>
      </c>
      <c r="B474" s="43" t="s">
        <v>413</v>
      </c>
      <c r="C474" s="44" t="s">
        <v>240</v>
      </c>
      <c r="D474" s="43" t="s">
        <v>130</v>
      </c>
      <c r="E474" s="45" t="n">
        <v>10</v>
      </c>
      <c r="F474" s="44" t="s">
        <v>90</v>
      </c>
      <c r="G474" s="46" t="n">
        <f aca="false">IFERROR(INDEX('1. INSUMOS'!$H$8:$H$98,MATCH($D474,'1. INSUMOS'!$B$8:$B$98,0)),0)</f>
        <v>0.09</v>
      </c>
      <c r="H474" s="47" t="n">
        <f aca="false">E474*G474</f>
        <v>0.9</v>
      </c>
      <c r="I474" s="48" t="n">
        <f aca="false">IFERROR(INDEX('4. PRODUCCIÓN'!$D$8:$D$32,MATCH($A474,'4. PRODUCCIÓN'!$B$8:$B$32,0)),0)</f>
        <v>0</v>
      </c>
      <c r="J474" s="45" t="n">
        <f aca="false">E474*I474</f>
        <v>0</v>
      </c>
      <c r="K474" s="49" t="s">
        <v>253</v>
      </c>
    </row>
    <row r="475" customFormat="false" ht="15" hidden="false" customHeight="false" outlineLevel="0" collapsed="false">
      <c r="A475" s="44" t="n">
        <v>43</v>
      </c>
      <c r="B475" s="43" t="s">
        <v>413</v>
      </c>
      <c r="C475" s="44" t="s">
        <v>240</v>
      </c>
      <c r="D475" s="43" t="s">
        <v>133</v>
      </c>
      <c r="E475" s="45" t="n">
        <v>5</v>
      </c>
      <c r="F475" s="44" t="s">
        <v>90</v>
      </c>
      <c r="G475" s="46" t="n">
        <f aca="false">IFERROR(INDEX('1. INSUMOS'!$H$8:$H$98,MATCH($D475,'1. INSUMOS'!$B$8:$B$98,0)),0)</f>
        <v>0.13</v>
      </c>
      <c r="H475" s="47" t="n">
        <f aca="false">E475*G475</f>
        <v>0.65</v>
      </c>
      <c r="I475" s="48" t="n">
        <f aca="false">IFERROR(INDEX('4. PRODUCCIÓN'!$D$8:$D$32,MATCH($A475,'4. PRODUCCIÓN'!$B$8:$B$32,0)),0)</f>
        <v>0</v>
      </c>
      <c r="J475" s="45" t="n">
        <f aca="false">E475*I475</f>
        <v>0</v>
      </c>
      <c r="K475" s="49" t="s">
        <v>133</v>
      </c>
    </row>
    <row r="476" customFormat="false" ht="15" hidden="false" customHeight="false" outlineLevel="0" collapsed="false">
      <c r="A476" s="44" t="n">
        <v>43</v>
      </c>
      <c r="B476" s="43" t="s">
        <v>413</v>
      </c>
      <c r="C476" s="44" t="s">
        <v>240</v>
      </c>
      <c r="D476" s="43" t="s">
        <v>195</v>
      </c>
      <c r="E476" s="45" t="n">
        <v>3</v>
      </c>
      <c r="F476" s="44" t="s">
        <v>90</v>
      </c>
      <c r="G476" s="46" t="n">
        <f aca="false">IFERROR(INDEX('1. INSUMOS'!$H$8:$H$98,MATCH($D476,'1. INSUMOS'!$B$8:$B$98,0)),0)</f>
        <v>0.02</v>
      </c>
      <c r="H476" s="47" t="n">
        <f aca="false">E476*G476</f>
        <v>0.06</v>
      </c>
      <c r="I476" s="48" t="n">
        <f aca="false">IFERROR(INDEX('4. PRODUCCIÓN'!$D$8:$D$32,MATCH($A476,'4. PRODUCCIÓN'!$B$8:$B$32,0)),0)</f>
        <v>0</v>
      </c>
      <c r="J476" s="45" t="n">
        <f aca="false">E476*I476</f>
        <v>0</v>
      </c>
      <c r="K476" s="49" t="s">
        <v>195</v>
      </c>
    </row>
    <row r="477" customFormat="false" ht="15" hidden="false" customHeight="false" outlineLevel="0" collapsed="false">
      <c r="A477" s="44" t="n">
        <v>43</v>
      </c>
      <c r="B477" s="43" t="s">
        <v>413</v>
      </c>
      <c r="C477" s="44" t="s">
        <v>240</v>
      </c>
      <c r="D477" s="43" t="s">
        <v>96</v>
      </c>
      <c r="E477" s="45" t="n">
        <v>40</v>
      </c>
      <c r="F477" s="44" t="s">
        <v>90</v>
      </c>
      <c r="G477" s="46" t="n">
        <f aca="false">IFERROR(INDEX('1. INSUMOS'!$H$8:$H$98,MATCH($D477,'1. INSUMOS'!$B$8:$B$98,0)),0)</f>
        <v>0.58</v>
      </c>
      <c r="H477" s="47" t="n">
        <f aca="false">E477*G477</f>
        <v>23.2</v>
      </c>
      <c r="I477" s="48" t="n">
        <f aca="false">IFERROR(INDEX('4. PRODUCCIÓN'!$D$8:$D$32,MATCH($A477,'4. PRODUCCIÓN'!$B$8:$B$32,0)),0)</f>
        <v>0</v>
      </c>
      <c r="J477" s="45" t="n">
        <f aca="false">E477*I477</f>
        <v>0</v>
      </c>
      <c r="K477" s="49" t="s">
        <v>414</v>
      </c>
    </row>
    <row r="478" customFormat="false" ht="15" hidden="false" customHeight="false" outlineLevel="0" collapsed="false">
      <c r="A478" s="44" t="n">
        <v>43</v>
      </c>
      <c r="B478" s="43" t="s">
        <v>413</v>
      </c>
      <c r="C478" s="44" t="s">
        <v>240</v>
      </c>
      <c r="D478" s="43" t="s">
        <v>191</v>
      </c>
      <c r="E478" s="45" t="n">
        <v>70</v>
      </c>
      <c r="F478" s="44" t="s">
        <v>90</v>
      </c>
      <c r="G478" s="46" t="n">
        <f aca="false">IFERROR(INDEX('1. INSUMOS'!$H$8:$H$98,MATCH($D478,'1. INSUMOS'!$B$8:$B$98,0)),0)</f>
        <v>0.5</v>
      </c>
      <c r="H478" s="47" t="n">
        <f aca="false">E478*G478</f>
        <v>35</v>
      </c>
      <c r="I478" s="48" t="n">
        <f aca="false">IFERROR(INDEX('4. PRODUCCIÓN'!$D$8:$D$32,MATCH($A478,'4. PRODUCCIÓN'!$B$8:$B$32,0)),0)</f>
        <v>0</v>
      </c>
      <c r="J478" s="45" t="n">
        <f aca="false">E478*I478</f>
        <v>0</v>
      </c>
      <c r="K478" s="49" t="s">
        <v>415</v>
      </c>
    </row>
    <row r="479" customFormat="false" ht="15" hidden="false" customHeight="false" outlineLevel="0" collapsed="false">
      <c r="A479" s="44" t="n">
        <v>43</v>
      </c>
      <c r="B479" s="43" t="s">
        <v>413</v>
      </c>
      <c r="C479" s="44" t="s">
        <v>240</v>
      </c>
      <c r="D479" s="43" t="s">
        <v>171</v>
      </c>
      <c r="E479" s="45" t="n">
        <v>60</v>
      </c>
      <c r="F479" s="44" t="s">
        <v>90</v>
      </c>
      <c r="G479" s="46" t="n">
        <f aca="false">IFERROR(INDEX('1. INSUMOS'!$H$8:$H$98,MATCH($D479,'1. INSUMOS'!$B$8:$B$98,0)),0)</f>
        <v>0.54</v>
      </c>
      <c r="H479" s="47" t="n">
        <f aca="false">E479*G479</f>
        <v>32.4</v>
      </c>
      <c r="I479" s="48" t="n">
        <f aca="false">IFERROR(INDEX('4. PRODUCCIÓN'!$D$8:$D$32,MATCH($A479,'4. PRODUCCIÓN'!$B$8:$B$32,0)),0)</f>
        <v>0</v>
      </c>
      <c r="J479" s="45" t="n">
        <f aca="false">E479*I479</f>
        <v>0</v>
      </c>
      <c r="K479" s="49" t="s">
        <v>416</v>
      </c>
    </row>
    <row r="480" customFormat="false" ht="15" hidden="false" customHeight="false" outlineLevel="0" collapsed="false">
      <c r="A480" s="50" t="n">
        <v>44</v>
      </c>
      <c r="B480" s="41" t="s">
        <v>417</v>
      </c>
      <c r="C480" s="50" t="s">
        <v>240</v>
      </c>
      <c r="D480" s="41" t="s">
        <v>88</v>
      </c>
      <c r="E480" s="51" t="n">
        <v>170</v>
      </c>
      <c r="F480" s="50" t="s">
        <v>90</v>
      </c>
      <c r="G480" s="52" t="n">
        <f aca="false">IFERROR(INDEX('1. INSUMOS'!$H$8:$H$98,MATCH($D480,'1. INSUMOS'!$B$8:$B$98,0)),0)</f>
        <v>0.21</v>
      </c>
      <c r="H480" s="53" t="n">
        <f aca="false">E480*G480</f>
        <v>35.7</v>
      </c>
      <c r="I480" s="54" t="n">
        <f aca="false">IFERROR(INDEX('4. PRODUCCIÓN'!$D$8:$D$32,MATCH($A480,'4. PRODUCCIÓN'!$B$8:$B$32,0)),0)</f>
        <v>0</v>
      </c>
      <c r="J480" s="51" t="n">
        <f aca="false">E480*I480</f>
        <v>0</v>
      </c>
      <c r="K480" s="55" t="s">
        <v>249</v>
      </c>
    </row>
    <row r="481" customFormat="false" ht="15" hidden="false" customHeight="false" outlineLevel="0" collapsed="false">
      <c r="A481" s="50" t="n">
        <v>44</v>
      </c>
      <c r="B481" s="41" t="s">
        <v>417</v>
      </c>
      <c r="C481" s="50" t="s">
        <v>240</v>
      </c>
      <c r="D481" s="41" t="s">
        <v>109</v>
      </c>
      <c r="E481" s="51" t="n">
        <v>160</v>
      </c>
      <c r="F481" s="50" t="s">
        <v>90</v>
      </c>
      <c r="G481" s="52" t="n">
        <f aca="false">IFERROR(INDEX('1. INSUMOS'!$H$8:$H$98,MATCH($D481,'1. INSUMOS'!$B$8:$B$98,0)),0)</f>
        <v>0.058</v>
      </c>
      <c r="H481" s="53" t="n">
        <f aca="false">E481*G481</f>
        <v>9.28</v>
      </c>
      <c r="I481" s="54" t="n">
        <f aca="false">IFERROR(INDEX('4. PRODUCCIÓN'!$D$8:$D$32,MATCH($A481,'4. PRODUCCIÓN'!$B$8:$B$32,0)),0)</f>
        <v>0</v>
      </c>
      <c r="J481" s="51" t="n">
        <f aca="false">E481*I481</f>
        <v>0</v>
      </c>
      <c r="K481" s="55" t="s">
        <v>109</v>
      </c>
    </row>
    <row r="482" customFormat="false" ht="15" hidden="false" customHeight="false" outlineLevel="0" collapsed="false">
      <c r="A482" s="50" t="n">
        <v>44</v>
      </c>
      <c r="B482" s="41" t="s">
        <v>417</v>
      </c>
      <c r="C482" s="50" t="s">
        <v>240</v>
      </c>
      <c r="D482" s="41" t="s">
        <v>105</v>
      </c>
      <c r="E482" s="51" t="n">
        <v>80</v>
      </c>
      <c r="F482" s="50" t="s">
        <v>90</v>
      </c>
      <c r="G482" s="52" t="n">
        <f aca="false">IFERROR(INDEX('1. INSUMOS'!$H$8:$H$98,MATCH($D482,'1. INSUMOS'!$B$8:$B$98,0)),0)</f>
        <v>0.03</v>
      </c>
      <c r="H482" s="53" t="n">
        <f aca="false">E482*G482</f>
        <v>2.4</v>
      </c>
      <c r="I482" s="54" t="n">
        <f aca="false">IFERROR(INDEX('4. PRODUCCIÓN'!$D$8:$D$32,MATCH($A482,'4. PRODUCCIÓN'!$B$8:$B$32,0)),0)</f>
        <v>0</v>
      </c>
      <c r="J482" s="51" t="n">
        <f aca="false">E482*I482</f>
        <v>0</v>
      </c>
      <c r="K482" s="55" t="s">
        <v>105</v>
      </c>
    </row>
    <row r="483" customFormat="false" ht="15" hidden="false" customHeight="false" outlineLevel="0" collapsed="false">
      <c r="A483" s="50" t="n">
        <v>44</v>
      </c>
      <c r="B483" s="41" t="s">
        <v>417</v>
      </c>
      <c r="C483" s="50" t="s">
        <v>240</v>
      </c>
      <c r="D483" s="41" t="s">
        <v>142</v>
      </c>
      <c r="E483" s="51" t="n">
        <v>2</v>
      </c>
      <c r="F483" s="50" t="s">
        <v>144</v>
      </c>
      <c r="G483" s="52" t="n">
        <f aca="false">IFERROR(INDEX('1. INSUMOS'!$H$8:$H$98,MATCH($D483,'1. INSUMOS'!$B$8:$B$98,0)),0)</f>
        <v>3.2</v>
      </c>
      <c r="H483" s="53" t="n">
        <f aca="false">E483*G483</f>
        <v>6.4</v>
      </c>
      <c r="I483" s="54" t="n">
        <f aca="false">IFERROR(INDEX('4. PRODUCCIÓN'!$D$8:$D$32,MATCH($A483,'4. PRODUCCIÓN'!$B$8:$B$32,0)),0)</f>
        <v>0</v>
      </c>
      <c r="J483" s="51" t="n">
        <f aca="false">E483*I483</f>
        <v>0</v>
      </c>
      <c r="K483" s="55" t="s">
        <v>250</v>
      </c>
    </row>
    <row r="484" customFormat="false" ht="15" hidden="false" customHeight="false" outlineLevel="0" collapsed="false">
      <c r="A484" s="50" t="n">
        <v>44</v>
      </c>
      <c r="B484" s="41" t="s">
        <v>417</v>
      </c>
      <c r="C484" s="50" t="s">
        <v>240</v>
      </c>
      <c r="D484" s="41" t="s">
        <v>126</v>
      </c>
      <c r="E484" s="51" t="n">
        <v>310</v>
      </c>
      <c r="F484" s="50" t="s">
        <v>90</v>
      </c>
      <c r="G484" s="52" t="n">
        <f aca="false">IFERROR(INDEX('1. INSUMOS'!$H$8:$H$98,MATCH($D484,'1. INSUMOS'!$B$8:$B$98,0)),0)</f>
        <v>0.03</v>
      </c>
      <c r="H484" s="53" t="n">
        <f aca="false">E484*G484</f>
        <v>9.3</v>
      </c>
      <c r="I484" s="54" t="n">
        <f aca="false">IFERROR(INDEX('4. PRODUCCIÓN'!$D$8:$D$32,MATCH($A484,'4. PRODUCCIÓN'!$B$8:$B$32,0)),0)</f>
        <v>0</v>
      </c>
      <c r="J484" s="51" t="n">
        <f aca="false">E484*I484</f>
        <v>0</v>
      </c>
      <c r="K484" s="55" t="s">
        <v>126</v>
      </c>
    </row>
    <row r="485" customFormat="false" ht="15" hidden="false" customHeight="false" outlineLevel="0" collapsed="false">
      <c r="A485" s="50" t="n">
        <v>44</v>
      </c>
      <c r="B485" s="41" t="s">
        <v>417</v>
      </c>
      <c r="C485" s="50" t="s">
        <v>240</v>
      </c>
      <c r="D485" s="41" t="s">
        <v>130</v>
      </c>
      <c r="E485" s="51" t="n">
        <v>10</v>
      </c>
      <c r="F485" s="50" t="s">
        <v>90</v>
      </c>
      <c r="G485" s="52" t="n">
        <f aca="false">IFERROR(INDEX('1. INSUMOS'!$H$8:$H$98,MATCH($D485,'1. INSUMOS'!$B$8:$B$98,0)),0)</f>
        <v>0.09</v>
      </c>
      <c r="H485" s="53" t="n">
        <f aca="false">E485*G485</f>
        <v>0.9</v>
      </c>
      <c r="I485" s="54" t="n">
        <f aca="false">IFERROR(INDEX('4. PRODUCCIÓN'!$D$8:$D$32,MATCH($A485,'4. PRODUCCIÓN'!$B$8:$B$32,0)),0)</f>
        <v>0</v>
      </c>
      <c r="J485" s="51" t="n">
        <f aca="false">E485*I485</f>
        <v>0</v>
      </c>
      <c r="K485" s="55" t="s">
        <v>253</v>
      </c>
    </row>
    <row r="486" customFormat="false" ht="15" hidden="false" customHeight="false" outlineLevel="0" collapsed="false">
      <c r="A486" s="50" t="n">
        <v>44</v>
      </c>
      <c r="B486" s="41" t="s">
        <v>417</v>
      </c>
      <c r="C486" s="50" t="s">
        <v>240</v>
      </c>
      <c r="D486" s="41" t="s">
        <v>133</v>
      </c>
      <c r="E486" s="51" t="n">
        <v>5</v>
      </c>
      <c r="F486" s="50" t="s">
        <v>90</v>
      </c>
      <c r="G486" s="52" t="n">
        <f aca="false">IFERROR(INDEX('1. INSUMOS'!$H$8:$H$98,MATCH($D486,'1. INSUMOS'!$B$8:$B$98,0)),0)</f>
        <v>0.13</v>
      </c>
      <c r="H486" s="53" t="n">
        <f aca="false">E486*G486</f>
        <v>0.65</v>
      </c>
      <c r="I486" s="54" t="n">
        <f aca="false">IFERROR(INDEX('4. PRODUCCIÓN'!$D$8:$D$32,MATCH($A486,'4. PRODUCCIÓN'!$B$8:$B$32,0)),0)</f>
        <v>0</v>
      </c>
      <c r="J486" s="51" t="n">
        <f aca="false">E486*I486</f>
        <v>0</v>
      </c>
      <c r="K486" s="55" t="s">
        <v>133</v>
      </c>
    </row>
    <row r="487" customFormat="false" ht="15" hidden="false" customHeight="false" outlineLevel="0" collapsed="false">
      <c r="A487" s="50" t="n">
        <v>44</v>
      </c>
      <c r="B487" s="41" t="s">
        <v>417</v>
      </c>
      <c r="C487" s="50" t="s">
        <v>240</v>
      </c>
      <c r="D487" s="41" t="s">
        <v>195</v>
      </c>
      <c r="E487" s="51" t="n">
        <v>4</v>
      </c>
      <c r="F487" s="50" t="s">
        <v>90</v>
      </c>
      <c r="G487" s="52" t="n">
        <f aca="false">IFERROR(INDEX('1. INSUMOS'!$H$8:$H$98,MATCH($D487,'1. INSUMOS'!$B$8:$B$98,0)),0)</f>
        <v>0.02</v>
      </c>
      <c r="H487" s="53" t="n">
        <f aca="false">E487*G487</f>
        <v>0.08</v>
      </c>
      <c r="I487" s="54" t="n">
        <f aca="false">IFERROR(INDEX('4. PRODUCCIÓN'!$D$8:$D$32,MATCH($A487,'4. PRODUCCIÓN'!$B$8:$B$32,0)),0)</f>
        <v>0</v>
      </c>
      <c r="J487" s="51" t="n">
        <f aca="false">E487*I487</f>
        <v>0</v>
      </c>
      <c r="K487" s="55" t="s">
        <v>195</v>
      </c>
    </row>
    <row r="488" customFormat="false" ht="15" hidden="false" customHeight="false" outlineLevel="0" collapsed="false">
      <c r="A488" s="50" t="n">
        <v>44</v>
      </c>
      <c r="B488" s="41" t="s">
        <v>417</v>
      </c>
      <c r="C488" s="50" t="s">
        <v>240</v>
      </c>
      <c r="D488" s="41" t="s">
        <v>150</v>
      </c>
      <c r="E488" s="51" t="n">
        <v>120</v>
      </c>
      <c r="F488" s="50" t="s">
        <v>90</v>
      </c>
      <c r="G488" s="52" t="n">
        <f aca="false">IFERROR(INDEX('1. INSUMOS'!$H$8:$H$98,MATCH($D488,'1. INSUMOS'!$B$8:$B$98,0)),0)</f>
        <v>0.22</v>
      </c>
      <c r="H488" s="53" t="n">
        <f aca="false">E488*G488</f>
        <v>26.4</v>
      </c>
      <c r="I488" s="54" t="n">
        <f aca="false">IFERROR(INDEX('4. PRODUCCIÓN'!$D$8:$D$32,MATCH($A488,'4. PRODUCCIÓN'!$B$8:$B$32,0)),0)</f>
        <v>0</v>
      </c>
      <c r="J488" s="51" t="n">
        <f aca="false">E488*I488</f>
        <v>0</v>
      </c>
      <c r="K488" s="55" t="s">
        <v>285</v>
      </c>
    </row>
    <row r="489" customFormat="false" ht="15" hidden="false" customHeight="false" outlineLevel="0" collapsed="false">
      <c r="A489" s="44" t="n">
        <v>45</v>
      </c>
      <c r="B489" s="43" t="s">
        <v>418</v>
      </c>
      <c r="C489" s="44" t="s">
        <v>240</v>
      </c>
      <c r="D489" s="43" t="s">
        <v>88</v>
      </c>
      <c r="E489" s="45" t="n">
        <v>180</v>
      </c>
      <c r="F489" s="44" t="s">
        <v>90</v>
      </c>
      <c r="G489" s="46" t="n">
        <f aca="false">IFERROR(INDEX('1. INSUMOS'!$H$8:$H$98,MATCH($D489,'1. INSUMOS'!$B$8:$B$98,0)),0)</f>
        <v>0.21</v>
      </c>
      <c r="H489" s="47" t="n">
        <f aca="false">E489*G489</f>
        <v>37.8</v>
      </c>
      <c r="I489" s="48" t="n">
        <f aca="false">IFERROR(INDEX('4. PRODUCCIÓN'!$D$8:$D$32,MATCH($A489,'4. PRODUCCIÓN'!$B$8:$B$32,0)),0)</f>
        <v>0</v>
      </c>
      <c r="J489" s="45" t="n">
        <f aca="false">E489*I489</f>
        <v>0</v>
      </c>
      <c r="K489" s="49" t="s">
        <v>249</v>
      </c>
    </row>
    <row r="490" customFormat="false" ht="15" hidden="false" customHeight="false" outlineLevel="0" collapsed="false">
      <c r="A490" s="44" t="n">
        <v>45</v>
      </c>
      <c r="B490" s="43" t="s">
        <v>418</v>
      </c>
      <c r="C490" s="44" t="s">
        <v>240</v>
      </c>
      <c r="D490" s="43" t="s">
        <v>109</v>
      </c>
      <c r="E490" s="45" t="n">
        <v>150</v>
      </c>
      <c r="F490" s="44" t="s">
        <v>90</v>
      </c>
      <c r="G490" s="46" t="n">
        <f aca="false">IFERROR(INDEX('1. INSUMOS'!$H$8:$H$98,MATCH($D490,'1. INSUMOS'!$B$8:$B$98,0)),0)</f>
        <v>0.058</v>
      </c>
      <c r="H490" s="47" t="n">
        <f aca="false">E490*G490</f>
        <v>8.7</v>
      </c>
      <c r="I490" s="48" t="n">
        <f aca="false">IFERROR(INDEX('4. PRODUCCIÓN'!$D$8:$D$32,MATCH($A490,'4. PRODUCCIÓN'!$B$8:$B$32,0)),0)</f>
        <v>0</v>
      </c>
      <c r="J490" s="45" t="n">
        <f aca="false">E490*I490</f>
        <v>0</v>
      </c>
      <c r="K490" s="49" t="s">
        <v>109</v>
      </c>
    </row>
    <row r="491" customFormat="false" ht="15" hidden="false" customHeight="false" outlineLevel="0" collapsed="false">
      <c r="A491" s="44" t="n">
        <v>45</v>
      </c>
      <c r="B491" s="43" t="s">
        <v>418</v>
      </c>
      <c r="C491" s="44" t="s">
        <v>240</v>
      </c>
      <c r="D491" s="43" t="s">
        <v>105</v>
      </c>
      <c r="E491" s="45" t="n">
        <v>100</v>
      </c>
      <c r="F491" s="44" t="s">
        <v>90</v>
      </c>
      <c r="G491" s="46" t="n">
        <f aca="false">IFERROR(INDEX('1. INSUMOS'!$H$8:$H$98,MATCH($D491,'1. INSUMOS'!$B$8:$B$98,0)),0)</f>
        <v>0.03</v>
      </c>
      <c r="H491" s="47" t="n">
        <f aca="false">E491*G491</f>
        <v>3</v>
      </c>
      <c r="I491" s="48" t="n">
        <f aca="false">IFERROR(INDEX('4. PRODUCCIÓN'!$D$8:$D$32,MATCH($A491,'4. PRODUCCIÓN'!$B$8:$B$32,0)),0)</f>
        <v>0</v>
      </c>
      <c r="J491" s="45" t="n">
        <f aca="false">E491*I491</f>
        <v>0</v>
      </c>
      <c r="K491" s="49" t="s">
        <v>105</v>
      </c>
    </row>
    <row r="492" customFormat="false" ht="15" hidden="false" customHeight="false" outlineLevel="0" collapsed="false">
      <c r="A492" s="44" t="n">
        <v>45</v>
      </c>
      <c r="B492" s="43" t="s">
        <v>418</v>
      </c>
      <c r="C492" s="44" t="s">
        <v>240</v>
      </c>
      <c r="D492" s="43" t="s">
        <v>142</v>
      </c>
      <c r="E492" s="45" t="n">
        <v>2</v>
      </c>
      <c r="F492" s="44" t="s">
        <v>144</v>
      </c>
      <c r="G492" s="46" t="n">
        <f aca="false">IFERROR(INDEX('1. INSUMOS'!$H$8:$H$98,MATCH($D492,'1. INSUMOS'!$B$8:$B$98,0)),0)</f>
        <v>3.2</v>
      </c>
      <c r="H492" s="47" t="n">
        <f aca="false">E492*G492</f>
        <v>6.4</v>
      </c>
      <c r="I492" s="48" t="n">
        <f aca="false">IFERROR(INDEX('4. PRODUCCIÓN'!$D$8:$D$32,MATCH($A492,'4. PRODUCCIÓN'!$B$8:$B$32,0)),0)</f>
        <v>0</v>
      </c>
      <c r="J492" s="45" t="n">
        <f aca="false">E492*I492</f>
        <v>0</v>
      </c>
      <c r="K492" s="49" t="s">
        <v>250</v>
      </c>
    </row>
    <row r="493" customFormat="false" ht="15" hidden="false" customHeight="false" outlineLevel="0" collapsed="false">
      <c r="A493" s="44" t="n">
        <v>45</v>
      </c>
      <c r="B493" s="43" t="s">
        <v>418</v>
      </c>
      <c r="C493" s="44" t="s">
        <v>240</v>
      </c>
      <c r="D493" s="43" t="s">
        <v>103</v>
      </c>
      <c r="E493" s="45" t="n">
        <v>10</v>
      </c>
      <c r="F493" s="44" t="s">
        <v>101</v>
      </c>
      <c r="G493" s="46" t="n">
        <f aca="false">IFERROR(INDEX('1. INSUMOS'!$H$8:$H$98,MATCH($D493,'1. INSUMOS'!$B$8:$B$98,0)),0)</f>
        <v>5.2</v>
      </c>
      <c r="H493" s="47" t="n">
        <f aca="false">E493*G493</f>
        <v>52</v>
      </c>
      <c r="I493" s="48" t="n">
        <f aca="false">IFERROR(INDEX('4. PRODUCCIÓN'!$D$8:$D$32,MATCH($A493,'4. PRODUCCIÓN'!$B$8:$B$32,0)),0)</f>
        <v>0</v>
      </c>
      <c r="J493" s="45" t="n">
        <f aca="false">E493*I493</f>
        <v>0</v>
      </c>
      <c r="K493" s="49" t="s">
        <v>419</v>
      </c>
    </row>
    <row r="494" customFormat="false" ht="15" hidden="false" customHeight="false" outlineLevel="0" collapsed="false">
      <c r="A494" s="44" t="n">
        <v>45</v>
      </c>
      <c r="B494" s="43" t="s">
        <v>418</v>
      </c>
      <c r="C494" s="44" t="s">
        <v>240</v>
      </c>
      <c r="D494" s="43" t="s">
        <v>126</v>
      </c>
      <c r="E494" s="45" t="n">
        <v>300</v>
      </c>
      <c r="F494" s="44" t="s">
        <v>90</v>
      </c>
      <c r="G494" s="46" t="n">
        <f aca="false">IFERROR(INDEX('1. INSUMOS'!$H$8:$H$98,MATCH($D494,'1. INSUMOS'!$B$8:$B$98,0)),0)</f>
        <v>0.03</v>
      </c>
      <c r="H494" s="47" t="n">
        <f aca="false">E494*G494</f>
        <v>9</v>
      </c>
      <c r="I494" s="48" t="n">
        <f aca="false">IFERROR(INDEX('4. PRODUCCIÓN'!$D$8:$D$32,MATCH($A494,'4. PRODUCCIÓN'!$B$8:$B$32,0)),0)</f>
        <v>0</v>
      </c>
      <c r="J494" s="45" t="n">
        <f aca="false">E494*I494</f>
        <v>0</v>
      </c>
      <c r="K494" s="49" t="s">
        <v>126</v>
      </c>
    </row>
    <row r="495" customFormat="false" ht="15" hidden="false" customHeight="false" outlineLevel="0" collapsed="false">
      <c r="A495" s="44" t="n">
        <v>45</v>
      </c>
      <c r="B495" s="43" t="s">
        <v>418</v>
      </c>
      <c r="C495" s="44" t="s">
        <v>240</v>
      </c>
      <c r="D495" s="43" t="s">
        <v>130</v>
      </c>
      <c r="E495" s="45" t="n">
        <v>10</v>
      </c>
      <c r="F495" s="44" t="s">
        <v>90</v>
      </c>
      <c r="G495" s="46" t="n">
        <f aca="false">IFERROR(INDEX('1. INSUMOS'!$H$8:$H$98,MATCH($D495,'1. INSUMOS'!$B$8:$B$98,0)),0)</f>
        <v>0.09</v>
      </c>
      <c r="H495" s="47" t="n">
        <f aca="false">E495*G495</f>
        <v>0.9</v>
      </c>
      <c r="I495" s="48" t="n">
        <f aca="false">IFERROR(INDEX('4. PRODUCCIÓN'!$D$8:$D$32,MATCH($A495,'4. PRODUCCIÓN'!$B$8:$B$32,0)),0)</f>
        <v>0</v>
      </c>
      <c r="J495" s="45" t="n">
        <f aca="false">E495*I495</f>
        <v>0</v>
      </c>
      <c r="K495" s="49" t="s">
        <v>253</v>
      </c>
    </row>
    <row r="496" customFormat="false" ht="15" hidden="false" customHeight="false" outlineLevel="0" collapsed="false">
      <c r="A496" s="44" t="n">
        <v>45</v>
      </c>
      <c r="B496" s="43" t="s">
        <v>418</v>
      </c>
      <c r="C496" s="44" t="s">
        <v>240</v>
      </c>
      <c r="D496" s="43" t="s">
        <v>133</v>
      </c>
      <c r="E496" s="45" t="n">
        <v>5</v>
      </c>
      <c r="F496" s="44" t="s">
        <v>90</v>
      </c>
      <c r="G496" s="46" t="n">
        <f aca="false">IFERROR(INDEX('1. INSUMOS'!$H$8:$H$98,MATCH($D496,'1. INSUMOS'!$B$8:$B$98,0)),0)</f>
        <v>0.13</v>
      </c>
      <c r="H496" s="47" t="n">
        <f aca="false">E496*G496</f>
        <v>0.65</v>
      </c>
      <c r="I496" s="48" t="n">
        <f aca="false">IFERROR(INDEX('4. PRODUCCIÓN'!$D$8:$D$32,MATCH($A496,'4. PRODUCCIÓN'!$B$8:$B$32,0)),0)</f>
        <v>0</v>
      </c>
      <c r="J496" s="45" t="n">
        <f aca="false">E496*I496</f>
        <v>0</v>
      </c>
      <c r="K496" s="49" t="s">
        <v>133</v>
      </c>
    </row>
    <row r="497" customFormat="false" ht="15" hidden="false" customHeight="false" outlineLevel="0" collapsed="false">
      <c r="A497" s="44" t="n">
        <v>45</v>
      </c>
      <c r="B497" s="43" t="s">
        <v>418</v>
      </c>
      <c r="C497" s="44" t="s">
        <v>240</v>
      </c>
      <c r="D497" s="43" t="s">
        <v>195</v>
      </c>
      <c r="E497" s="45" t="n">
        <v>4</v>
      </c>
      <c r="F497" s="44" t="s">
        <v>90</v>
      </c>
      <c r="G497" s="46" t="n">
        <f aca="false">IFERROR(INDEX('1. INSUMOS'!$H$8:$H$98,MATCH($D497,'1. INSUMOS'!$B$8:$B$98,0)),0)</f>
        <v>0.02</v>
      </c>
      <c r="H497" s="47" t="n">
        <f aca="false">E497*G497</f>
        <v>0.08</v>
      </c>
      <c r="I497" s="48" t="n">
        <f aca="false">IFERROR(INDEX('4. PRODUCCIÓN'!$D$8:$D$32,MATCH($A497,'4. PRODUCCIÓN'!$B$8:$B$32,0)),0)</f>
        <v>0</v>
      </c>
      <c r="J497" s="45" t="n">
        <f aca="false">E497*I497</f>
        <v>0</v>
      </c>
      <c r="K497" s="49" t="s">
        <v>195</v>
      </c>
    </row>
    <row r="498" customFormat="false" ht="15" hidden="false" customHeight="false" outlineLevel="0" collapsed="false">
      <c r="A498" s="44" t="n">
        <v>45</v>
      </c>
      <c r="B498" s="43" t="s">
        <v>418</v>
      </c>
      <c r="C498" s="44" t="s">
        <v>240</v>
      </c>
      <c r="D498" s="43" t="s">
        <v>146</v>
      </c>
      <c r="E498" s="45" t="n">
        <v>150</v>
      </c>
      <c r="F498" s="44" t="s">
        <v>90</v>
      </c>
      <c r="G498" s="46" t="n">
        <f aca="false">IFERROR(INDEX('1. INSUMOS'!$H$8:$H$98,MATCH($D498,'1. INSUMOS'!$B$8:$B$98,0)),0)</f>
        <v>0.21</v>
      </c>
      <c r="H498" s="47" t="n">
        <f aca="false">E498*G498</f>
        <v>31.5</v>
      </c>
      <c r="I498" s="48" t="n">
        <f aca="false">IFERROR(INDEX('4. PRODUCCIÓN'!$D$8:$D$32,MATCH($A498,'4. PRODUCCIÓN'!$B$8:$B$32,0)),0)</f>
        <v>0</v>
      </c>
      <c r="J498" s="45" t="n">
        <f aca="false">E498*I498</f>
        <v>0</v>
      </c>
      <c r="K498" s="49" t="s">
        <v>420</v>
      </c>
    </row>
    <row r="499" customFormat="false" ht="15" hidden="false" customHeight="false" outlineLevel="0" collapsed="false">
      <c r="A499" s="44" t="n">
        <v>45</v>
      </c>
      <c r="B499" s="43" t="s">
        <v>418</v>
      </c>
      <c r="C499" s="44" t="s">
        <v>246</v>
      </c>
      <c r="D499" s="43" t="s">
        <v>197</v>
      </c>
      <c r="E499" s="45" t="n">
        <v>2</v>
      </c>
      <c r="F499" s="44" t="s">
        <v>90</v>
      </c>
      <c r="G499" s="46" t="n">
        <f aca="false">IFERROR(INDEX('1. INSUMOS'!$H$8:$H$98,MATCH($D499,'1. INSUMOS'!$B$8:$B$98,0)),0)</f>
        <v>0.5</v>
      </c>
      <c r="H499" s="47" t="n">
        <f aca="false">E499*G499</f>
        <v>1</v>
      </c>
      <c r="I499" s="48" t="n">
        <f aca="false">IFERROR(INDEX('4. PRODUCCIÓN'!$D$8:$D$32,MATCH($A499,'4. PRODUCCIÓN'!$B$8:$B$32,0)),0)</f>
        <v>0</v>
      </c>
      <c r="J499" s="45" t="n">
        <f aca="false">E499*I499</f>
        <v>0</v>
      </c>
      <c r="K499" s="49" t="s">
        <v>421</v>
      </c>
    </row>
    <row r="500" customFormat="false" ht="15" hidden="false" customHeight="false" outlineLevel="0" collapsed="false">
      <c r="A500" s="50" t="n">
        <v>46</v>
      </c>
      <c r="B500" s="41" t="s">
        <v>422</v>
      </c>
      <c r="C500" s="50" t="s">
        <v>240</v>
      </c>
      <c r="D500" s="41" t="s">
        <v>88</v>
      </c>
      <c r="E500" s="51" t="n">
        <v>180</v>
      </c>
      <c r="F500" s="50" t="s">
        <v>90</v>
      </c>
      <c r="G500" s="52" t="n">
        <f aca="false">IFERROR(INDEX('1. INSUMOS'!$H$8:$H$98,MATCH($D500,'1. INSUMOS'!$B$8:$B$98,0)),0)</f>
        <v>0.21</v>
      </c>
      <c r="H500" s="53" t="n">
        <f aca="false">E500*G500</f>
        <v>37.8</v>
      </c>
      <c r="I500" s="54" t="n">
        <f aca="false">IFERROR(INDEX('4. PRODUCCIÓN'!$D$8:$D$32,MATCH($A500,'4. PRODUCCIÓN'!$B$8:$B$32,0)),0)</f>
        <v>0</v>
      </c>
      <c r="J500" s="51" t="n">
        <f aca="false">E500*I500</f>
        <v>0</v>
      </c>
      <c r="K500" s="55" t="s">
        <v>249</v>
      </c>
    </row>
    <row r="501" customFormat="false" ht="15" hidden="false" customHeight="false" outlineLevel="0" collapsed="false">
      <c r="A501" s="50" t="n">
        <v>46</v>
      </c>
      <c r="B501" s="41" t="s">
        <v>422</v>
      </c>
      <c r="C501" s="50" t="s">
        <v>240</v>
      </c>
      <c r="D501" s="41" t="s">
        <v>108</v>
      </c>
      <c r="E501" s="51" t="n">
        <v>120</v>
      </c>
      <c r="F501" s="50" t="s">
        <v>90</v>
      </c>
      <c r="G501" s="52" t="n">
        <f aca="false">IFERROR(INDEX('1. INSUMOS'!$H$8:$H$98,MATCH($D501,'1. INSUMOS'!$B$8:$B$98,0)),0)</f>
        <v>0.052</v>
      </c>
      <c r="H501" s="53" t="n">
        <f aca="false">E501*G501</f>
        <v>6.24</v>
      </c>
      <c r="I501" s="54" t="n">
        <f aca="false">IFERROR(INDEX('4. PRODUCCIÓN'!$D$8:$D$32,MATCH($A501,'4. PRODUCCIÓN'!$B$8:$B$32,0)),0)</f>
        <v>0</v>
      </c>
      <c r="J501" s="51" t="n">
        <f aca="false">E501*I501</f>
        <v>0</v>
      </c>
      <c r="K501" s="55" t="s">
        <v>270</v>
      </c>
    </row>
    <row r="502" customFormat="false" ht="15" hidden="false" customHeight="false" outlineLevel="0" collapsed="false">
      <c r="A502" s="50" t="n">
        <v>46</v>
      </c>
      <c r="B502" s="41" t="s">
        <v>422</v>
      </c>
      <c r="C502" s="50" t="s">
        <v>240</v>
      </c>
      <c r="D502" s="41" t="s">
        <v>105</v>
      </c>
      <c r="E502" s="51" t="n">
        <v>120</v>
      </c>
      <c r="F502" s="50" t="s">
        <v>90</v>
      </c>
      <c r="G502" s="52" t="n">
        <f aca="false">IFERROR(INDEX('1. INSUMOS'!$H$8:$H$98,MATCH($D502,'1. INSUMOS'!$B$8:$B$98,0)),0)</f>
        <v>0.03</v>
      </c>
      <c r="H502" s="53" t="n">
        <f aca="false">E502*G502</f>
        <v>3.6</v>
      </c>
      <c r="I502" s="54" t="n">
        <f aca="false">IFERROR(INDEX('4. PRODUCCIÓN'!$D$8:$D$32,MATCH($A502,'4. PRODUCCIÓN'!$B$8:$B$32,0)),0)</f>
        <v>0</v>
      </c>
      <c r="J502" s="51" t="n">
        <f aca="false">E502*I502</f>
        <v>0</v>
      </c>
      <c r="K502" s="55" t="s">
        <v>105</v>
      </c>
    </row>
    <row r="503" customFormat="false" ht="15" hidden="false" customHeight="false" outlineLevel="0" collapsed="false">
      <c r="A503" s="50" t="n">
        <v>46</v>
      </c>
      <c r="B503" s="41" t="s">
        <v>422</v>
      </c>
      <c r="C503" s="50" t="s">
        <v>240</v>
      </c>
      <c r="D503" s="41" t="s">
        <v>142</v>
      </c>
      <c r="E503" s="51" t="n">
        <v>2</v>
      </c>
      <c r="F503" s="50" t="s">
        <v>144</v>
      </c>
      <c r="G503" s="52" t="n">
        <f aca="false">IFERROR(INDEX('1. INSUMOS'!$H$8:$H$98,MATCH($D503,'1. INSUMOS'!$B$8:$B$98,0)),0)</f>
        <v>3.2</v>
      </c>
      <c r="H503" s="53" t="n">
        <f aca="false">E503*G503</f>
        <v>6.4</v>
      </c>
      <c r="I503" s="54" t="n">
        <f aca="false">IFERROR(INDEX('4. PRODUCCIÓN'!$D$8:$D$32,MATCH($A503,'4. PRODUCCIÓN'!$B$8:$B$32,0)),0)</f>
        <v>0</v>
      </c>
      <c r="J503" s="51" t="n">
        <f aca="false">E503*I503</f>
        <v>0</v>
      </c>
      <c r="K503" s="55" t="s">
        <v>250</v>
      </c>
    </row>
    <row r="504" customFormat="false" ht="15" hidden="false" customHeight="false" outlineLevel="0" collapsed="false">
      <c r="A504" s="50" t="n">
        <v>46</v>
      </c>
      <c r="B504" s="41" t="s">
        <v>422</v>
      </c>
      <c r="C504" s="50" t="s">
        <v>240</v>
      </c>
      <c r="D504" s="41" t="s">
        <v>226</v>
      </c>
      <c r="E504" s="51" t="n">
        <v>10</v>
      </c>
      <c r="F504" s="50" t="s">
        <v>101</v>
      </c>
      <c r="G504" s="52" t="n">
        <f aca="false">IFERROR(INDEX('1. INSUMOS'!$H$8:$H$98,MATCH($D504,'1. INSUMOS'!$B$8:$B$98,0)),0)</f>
        <v>1.95</v>
      </c>
      <c r="H504" s="53" t="n">
        <f aca="false">E504*G504</f>
        <v>19.5</v>
      </c>
      <c r="I504" s="54" t="n">
        <f aca="false">IFERROR(INDEX('4. PRODUCCIÓN'!$D$8:$D$32,MATCH($A504,'4. PRODUCCIÓN'!$B$8:$B$32,0)),0)</f>
        <v>0</v>
      </c>
      <c r="J504" s="51" t="n">
        <f aca="false">E504*I504</f>
        <v>0</v>
      </c>
      <c r="K504" s="55" t="s">
        <v>423</v>
      </c>
    </row>
    <row r="505" customFormat="false" ht="15" hidden="false" customHeight="false" outlineLevel="0" collapsed="false">
      <c r="A505" s="50" t="n">
        <v>46</v>
      </c>
      <c r="B505" s="41" t="s">
        <v>422</v>
      </c>
      <c r="C505" s="50" t="s">
        <v>240</v>
      </c>
      <c r="D505" s="41" t="s">
        <v>126</v>
      </c>
      <c r="E505" s="51" t="n">
        <v>300</v>
      </c>
      <c r="F505" s="50" t="s">
        <v>90</v>
      </c>
      <c r="G505" s="52" t="n">
        <f aca="false">IFERROR(INDEX('1. INSUMOS'!$H$8:$H$98,MATCH($D505,'1. INSUMOS'!$B$8:$B$98,0)),0)</f>
        <v>0.03</v>
      </c>
      <c r="H505" s="53" t="n">
        <f aca="false">E505*G505</f>
        <v>9</v>
      </c>
      <c r="I505" s="54" t="n">
        <f aca="false">IFERROR(INDEX('4. PRODUCCIÓN'!$D$8:$D$32,MATCH($A505,'4. PRODUCCIÓN'!$B$8:$B$32,0)),0)</f>
        <v>0</v>
      </c>
      <c r="J505" s="51" t="n">
        <f aca="false">E505*I505</f>
        <v>0</v>
      </c>
      <c r="K505" s="55" t="s">
        <v>126</v>
      </c>
    </row>
    <row r="506" customFormat="false" ht="15" hidden="false" customHeight="false" outlineLevel="0" collapsed="false">
      <c r="A506" s="50" t="n">
        <v>46</v>
      </c>
      <c r="B506" s="41" t="s">
        <v>422</v>
      </c>
      <c r="C506" s="50" t="s">
        <v>240</v>
      </c>
      <c r="D506" s="41" t="s">
        <v>210</v>
      </c>
      <c r="E506" s="51" t="n">
        <v>20</v>
      </c>
      <c r="F506" s="50" t="s">
        <v>90</v>
      </c>
      <c r="G506" s="52" t="n">
        <f aca="false">IFERROR(INDEX('1. INSUMOS'!$H$8:$H$98,MATCH($D506,'1. INSUMOS'!$B$8:$B$98,0)),0)</f>
        <v>2.65</v>
      </c>
      <c r="H506" s="53" t="n">
        <f aca="false">E506*G506</f>
        <v>53</v>
      </c>
      <c r="I506" s="54" t="n">
        <f aca="false">IFERROR(INDEX('4. PRODUCCIÓN'!$D$8:$D$32,MATCH($A506,'4. PRODUCCIÓN'!$B$8:$B$32,0)),0)</f>
        <v>0</v>
      </c>
      <c r="J506" s="51" t="n">
        <f aca="false">E506*I506</f>
        <v>0</v>
      </c>
      <c r="K506" s="55" t="s">
        <v>424</v>
      </c>
    </row>
    <row r="507" customFormat="false" ht="15" hidden="false" customHeight="false" outlineLevel="0" collapsed="false">
      <c r="A507" s="50" t="n">
        <v>46</v>
      </c>
      <c r="B507" s="41" t="s">
        <v>422</v>
      </c>
      <c r="C507" s="50" t="s">
        <v>240</v>
      </c>
      <c r="D507" s="41" t="s">
        <v>130</v>
      </c>
      <c r="E507" s="51" t="n">
        <v>10</v>
      </c>
      <c r="F507" s="50" t="s">
        <v>90</v>
      </c>
      <c r="G507" s="52" t="n">
        <f aca="false">IFERROR(INDEX('1. INSUMOS'!$H$8:$H$98,MATCH($D507,'1. INSUMOS'!$B$8:$B$98,0)),0)</f>
        <v>0.09</v>
      </c>
      <c r="H507" s="53" t="n">
        <f aca="false">E507*G507</f>
        <v>0.9</v>
      </c>
      <c r="I507" s="54" t="n">
        <f aca="false">IFERROR(INDEX('4. PRODUCCIÓN'!$D$8:$D$32,MATCH($A507,'4. PRODUCCIÓN'!$B$8:$B$32,0)),0)</f>
        <v>0</v>
      </c>
      <c r="J507" s="51" t="n">
        <f aca="false">E507*I507</f>
        <v>0</v>
      </c>
      <c r="K507" s="55" t="s">
        <v>253</v>
      </c>
    </row>
    <row r="508" customFormat="false" ht="15" hidden="false" customHeight="false" outlineLevel="0" collapsed="false">
      <c r="A508" s="50" t="n">
        <v>46</v>
      </c>
      <c r="B508" s="41" t="s">
        <v>422</v>
      </c>
      <c r="C508" s="50" t="s">
        <v>240</v>
      </c>
      <c r="D508" s="41" t="s">
        <v>133</v>
      </c>
      <c r="E508" s="51" t="n">
        <v>5</v>
      </c>
      <c r="F508" s="50" t="s">
        <v>90</v>
      </c>
      <c r="G508" s="52" t="n">
        <f aca="false">IFERROR(INDEX('1. INSUMOS'!$H$8:$H$98,MATCH($D508,'1. INSUMOS'!$B$8:$B$98,0)),0)</f>
        <v>0.13</v>
      </c>
      <c r="H508" s="53" t="n">
        <f aca="false">E508*G508</f>
        <v>0.65</v>
      </c>
      <c r="I508" s="54" t="n">
        <f aca="false">IFERROR(INDEX('4. PRODUCCIÓN'!$D$8:$D$32,MATCH($A508,'4. PRODUCCIÓN'!$B$8:$B$32,0)),0)</f>
        <v>0</v>
      </c>
      <c r="J508" s="51" t="n">
        <f aca="false">E508*I508</f>
        <v>0</v>
      </c>
      <c r="K508" s="55" t="s">
        <v>133</v>
      </c>
    </row>
    <row r="509" customFormat="false" ht="15" hidden="false" customHeight="false" outlineLevel="0" collapsed="false">
      <c r="A509" s="50" t="n">
        <v>46</v>
      </c>
      <c r="B509" s="41" t="s">
        <v>422</v>
      </c>
      <c r="C509" s="50" t="s">
        <v>240</v>
      </c>
      <c r="D509" s="41" t="s">
        <v>195</v>
      </c>
      <c r="E509" s="51" t="n">
        <v>4</v>
      </c>
      <c r="F509" s="50" t="s">
        <v>90</v>
      </c>
      <c r="G509" s="52" t="n">
        <f aca="false">IFERROR(INDEX('1. INSUMOS'!$H$8:$H$98,MATCH($D509,'1. INSUMOS'!$B$8:$B$98,0)),0)</f>
        <v>0.02</v>
      </c>
      <c r="H509" s="53" t="n">
        <f aca="false">E509*G509</f>
        <v>0.08</v>
      </c>
      <c r="I509" s="54" t="n">
        <f aca="false">IFERROR(INDEX('4. PRODUCCIÓN'!$D$8:$D$32,MATCH($A509,'4. PRODUCCIÓN'!$B$8:$B$32,0)),0)</f>
        <v>0</v>
      </c>
      <c r="J509" s="51" t="n">
        <f aca="false">E509*I509</f>
        <v>0</v>
      </c>
      <c r="K509" s="55" t="s">
        <v>195</v>
      </c>
    </row>
    <row r="510" customFormat="false" ht="15" hidden="false" customHeight="false" outlineLevel="0" collapsed="false">
      <c r="A510" s="50" t="n">
        <v>46</v>
      </c>
      <c r="B510" s="41" t="s">
        <v>422</v>
      </c>
      <c r="C510" s="50" t="s">
        <v>240</v>
      </c>
      <c r="D510" s="41" t="s">
        <v>152</v>
      </c>
      <c r="E510" s="51" t="n">
        <v>120</v>
      </c>
      <c r="F510" s="50" t="s">
        <v>90</v>
      </c>
      <c r="G510" s="52" t="n">
        <f aca="false">IFERROR(INDEX('1. INSUMOS'!$H$8:$H$98,MATCH($D510,'1. INSUMOS'!$B$8:$B$98,0)),0)</f>
        <v>0.68</v>
      </c>
      <c r="H510" s="53" t="n">
        <f aca="false">E510*G510</f>
        <v>81.6</v>
      </c>
      <c r="I510" s="54" t="n">
        <f aca="false">IFERROR(INDEX('4. PRODUCCIÓN'!$D$8:$D$32,MATCH($A510,'4. PRODUCCIÓN'!$B$8:$B$32,0)),0)</f>
        <v>0</v>
      </c>
      <c r="J510" s="51" t="n">
        <f aca="false">E510*I510</f>
        <v>0</v>
      </c>
      <c r="K510" s="55" t="s">
        <v>425</v>
      </c>
    </row>
    <row r="511" customFormat="false" ht="15" hidden="false" customHeight="false" outlineLevel="0" collapsed="false">
      <c r="A511" s="44" t="n">
        <v>47</v>
      </c>
      <c r="B511" s="43" t="s">
        <v>426</v>
      </c>
      <c r="C511" s="44" t="s">
        <v>240</v>
      </c>
      <c r="D511" s="43" t="s">
        <v>88</v>
      </c>
      <c r="E511" s="45" t="n">
        <v>190</v>
      </c>
      <c r="F511" s="44" t="s">
        <v>90</v>
      </c>
      <c r="G511" s="46" t="n">
        <f aca="false">IFERROR(INDEX('1. INSUMOS'!$H$8:$H$98,MATCH($D511,'1. INSUMOS'!$B$8:$B$98,0)),0)</f>
        <v>0.21</v>
      </c>
      <c r="H511" s="47" t="n">
        <f aca="false">E511*G511</f>
        <v>39.9</v>
      </c>
      <c r="I511" s="48" t="n">
        <f aca="false">IFERROR(INDEX('4. PRODUCCIÓN'!$D$8:$D$32,MATCH($A511,'4. PRODUCCIÓN'!$B$8:$B$32,0)),0)</f>
        <v>0</v>
      </c>
      <c r="J511" s="45" t="n">
        <f aca="false">E511*I511</f>
        <v>0</v>
      </c>
      <c r="K511" s="49" t="s">
        <v>427</v>
      </c>
    </row>
    <row r="512" customFormat="false" ht="15" hidden="false" customHeight="false" outlineLevel="0" collapsed="false">
      <c r="A512" s="44" t="n">
        <v>47</v>
      </c>
      <c r="B512" s="43" t="s">
        <v>426</v>
      </c>
      <c r="C512" s="44" t="s">
        <v>240</v>
      </c>
      <c r="D512" s="43" t="s">
        <v>212</v>
      </c>
      <c r="E512" s="45" t="n">
        <v>10</v>
      </c>
      <c r="F512" s="44" t="s">
        <v>90</v>
      </c>
      <c r="G512" s="46" t="n">
        <f aca="false">IFERROR(INDEX('1. INSUMOS'!$H$8:$H$98,MATCH($D512,'1. INSUMOS'!$B$8:$B$98,0)),0)</f>
        <v>1.35</v>
      </c>
      <c r="H512" s="47" t="n">
        <f aca="false">E512*G512</f>
        <v>13.5</v>
      </c>
      <c r="I512" s="48" t="n">
        <f aca="false">IFERROR(INDEX('4. PRODUCCIÓN'!$D$8:$D$32,MATCH($A512,'4. PRODUCCIÓN'!$B$8:$B$32,0)),0)</f>
        <v>0</v>
      </c>
      <c r="J512" s="45" t="n">
        <f aca="false">E512*I512</f>
        <v>0</v>
      </c>
      <c r="K512" s="49" t="s">
        <v>428</v>
      </c>
    </row>
    <row r="513" customFormat="false" ht="15" hidden="false" customHeight="false" outlineLevel="0" collapsed="false">
      <c r="A513" s="44" t="n">
        <v>47</v>
      </c>
      <c r="B513" s="43" t="s">
        <v>426</v>
      </c>
      <c r="C513" s="44" t="s">
        <v>240</v>
      </c>
      <c r="D513" s="43" t="s">
        <v>105</v>
      </c>
      <c r="E513" s="45" t="n">
        <v>150</v>
      </c>
      <c r="F513" s="44" t="s">
        <v>90</v>
      </c>
      <c r="G513" s="46" t="n">
        <f aca="false">IFERROR(INDEX('1. INSUMOS'!$H$8:$H$98,MATCH($D513,'1. INSUMOS'!$B$8:$B$98,0)),0)</f>
        <v>0.03</v>
      </c>
      <c r="H513" s="47" t="n">
        <f aca="false">E513*G513</f>
        <v>4.5</v>
      </c>
      <c r="I513" s="48" t="n">
        <f aca="false">IFERROR(INDEX('4. PRODUCCIÓN'!$D$8:$D$32,MATCH($A513,'4. PRODUCCIÓN'!$B$8:$B$32,0)),0)</f>
        <v>0</v>
      </c>
      <c r="J513" s="45" t="n">
        <f aca="false">E513*I513</f>
        <v>0</v>
      </c>
      <c r="K513" s="49" t="s">
        <v>105</v>
      </c>
    </row>
    <row r="514" customFormat="false" ht="15" hidden="false" customHeight="false" outlineLevel="0" collapsed="false">
      <c r="A514" s="44" t="n">
        <v>47</v>
      </c>
      <c r="B514" s="43" t="s">
        <v>426</v>
      </c>
      <c r="C514" s="44" t="s">
        <v>240</v>
      </c>
      <c r="D514" s="43" t="s">
        <v>108</v>
      </c>
      <c r="E514" s="45" t="n">
        <v>100</v>
      </c>
      <c r="F514" s="44" t="s">
        <v>90</v>
      </c>
      <c r="G514" s="46" t="n">
        <f aca="false">IFERROR(INDEX('1. INSUMOS'!$H$8:$H$98,MATCH($D514,'1. INSUMOS'!$B$8:$B$98,0)),0)</f>
        <v>0.052</v>
      </c>
      <c r="H514" s="47" t="n">
        <f aca="false">E514*G514</f>
        <v>5.2</v>
      </c>
      <c r="I514" s="48" t="n">
        <f aca="false">IFERROR(INDEX('4. PRODUCCIÓN'!$D$8:$D$32,MATCH($A514,'4. PRODUCCIÓN'!$B$8:$B$32,0)),0)</f>
        <v>0</v>
      </c>
      <c r="J514" s="45" t="n">
        <f aca="false">E514*I514</f>
        <v>0</v>
      </c>
      <c r="K514" s="49" t="s">
        <v>270</v>
      </c>
    </row>
    <row r="515" customFormat="false" ht="15" hidden="false" customHeight="false" outlineLevel="0" collapsed="false">
      <c r="A515" s="44" t="n">
        <v>47</v>
      </c>
      <c r="B515" s="43" t="s">
        <v>426</v>
      </c>
      <c r="C515" s="44" t="s">
        <v>240</v>
      </c>
      <c r="D515" s="43" t="s">
        <v>142</v>
      </c>
      <c r="E515" s="45" t="n">
        <v>2</v>
      </c>
      <c r="F515" s="44" t="s">
        <v>144</v>
      </c>
      <c r="G515" s="46" t="n">
        <f aca="false">IFERROR(INDEX('1. INSUMOS'!$H$8:$H$98,MATCH($D515,'1. INSUMOS'!$B$8:$B$98,0)),0)</f>
        <v>3.2</v>
      </c>
      <c r="H515" s="47" t="n">
        <f aca="false">E515*G515</f>
        <v>6.4</v>
      </c>
      <c r="I515" s="48" t="n">
        <f aca="false">IFERROR(INDEX('4. PRODUCCIÓN'!$D$8:$D$32,MATCH($A515,'4. PRODUCCIÓN'!$B$8:$B$32,0)),0)</f>
        <v>0</v>
      </c>
      <c r="J515" s="45" t="n">
        <f aca="false">E515*I515</f>
        <v>0</v>
      </c>
      <c r="K515" s="49" t="s">
        <v>250</v>
      </c>
    </row>
    <row r="516" customFormat="false" ht="15" hidden="false" customHeight="false" outlineLevel="0" collapsed="false">
      <c r="A516" s="44" t="n">
        <v>47</v>
      </c>
      <c r="B516" s="43" t="s">
        <v>426</v>
      </c>
      <c r="C516" s="44" t="s">
        <v>240</v>
      </c>
      <c r="D516" s="43" t="s">
        <v>126</v>
      </c>
      <c r="E516" s="45" t="n">
        <v>310</v>
      </c>
      <c r="F516" s="44" t="s">
        <v>90</v>
      </c>
      <c r="G516" s="46" t="n">
        <f aca="false">IFERROR(INDEX('1. INSUMOS'!$H$8:$H$98,MATCH($D516,'1. INSUMOS'!$B$8:$B$98,0)),0)</f>
        <v>0.03</v>
      </c>
      <c r="H516" s="47" t="n">
        <f aca="false">E516*G516</f>
        <v>9.3</v>
      </c>
      <c r="I516" s="48" t="n">
        <f aca="false">IFERROR(INDEX('4. PRODUCCIÓN'!$D$8:$D$32,MATCH($A516,'4. PRODUCCIÓN'!$B$8:$B$32,0)),0)</f>
        <v>0</v>
      </c>
      <c r="J516" s="45" t="n">
        <f aca="false">E516*I516</f>
        <v>0</v>
      </c>
      <c r="K516" s="49" t="s">
        <v>126</v>
      </c>
    </row>
    <row r="517" customFormat="false" ht="15" hidden="false" customHeight="false" outlineLevel="0" collapsed="false">
      <c r="A517" s="44" t="n">
        <v>47</v>
      </c>
      <c r="B517" s="43" t="s">
        <v>426</v>
      </c>
      <c r="C517" s="44" t="s">
        <v>240</v>
      </c>
      <c r="D517" s="43" t="s">
        <v>130</v>
      </c>
      <c r="E517" s="45" t="n">
        <v>10</v>
      </c>
      <c r="F517" s="44" t="s">
        <v>90</v>
      </c>
      <c r="G517" s="46" t="n">
        <f aca="false">IFERROR(INDEX('1. INSUMOS'!$H$8:$H$98,MATCH($D517,'1. INSUMOS'!$B$8:$B$98,0)),0)</f>
        <v>0.09</v>
      </c>
      <c r="H517" s="47" t="n">
        <f aca="false">E517*G517</f>
        <v>0.9</v>
      </c>
      <c r="I517" s="48" t="n">
        <f aca="false">IFERROR(INDEX('4. PRODUCCIÓN'!$D$8:$D$32,MATCH($A517,'4. PRODUCCIÓN'!$B$8:$B$32,0)),0)</f>
        <v>0</v>
      </c>
      <c r="J517" s="45" t="n">
        <f aca="false">E517*I517</f>
        <v>0</v>
      </c>
      <c r="K517" s="49" t="s">
        <v>253</v>
      </c>
    </row>
    <row r="518" customFormat="false" ht="15" hidden="false" customHeight="false" outlineLevel="0" collapsed="false">
      <c r="A518" s="44" t="n">
        <v>47</v>
      </c>
      <c r="B518" s="43" t="s">
        <v>426</v>
      </c>
      <c r="C518" s="44" t="s">
        <v>240</v>
      </c>
      <c r="D518" s="43" t="s">
        <v>133</v>
      </c>
      <c r="E518" s="45" t="n">
        <v>5</v>
      </c>
      <c r="F518" s="44" t="s">
        <v>90</v>
      </c>
      <c r="G518" s="46" t="n">
        <f aca="false">IFERROR(INDEX('1. INSUMOS'!$H$8:$H$98,MATCH($D518,'1. INSUMOS'!$B$8:$B$98,0)),0)</f>
        <v>0.13</v>
      </c>
      <c r="H518" s="47" t="n">
        <f aca="false">E518*G518</f>
        <v>0.65</v>
      </c>
      <c r="I518" s="48" t="n">
        <f aca="false">IFERROR(INDEX('4. PRODUCCIÓN'!$D$8:$D$32,MATCH($A518,'4. PRODUCCIÓN'!$B$8:$B$32,0)),0)</f>
        <v>0</v>
      </c>
      <c r="J518" s="45" t="n">
        <f aca="false">E518*I518</f>
        <v>0</v>
      </c>
      <c r="K518" s="49" t="s">
        <v>133</v>
      </c>
    </row>
    <row r="519" customFormat="false" ht="15" hidden="false" customHeight="false" outlineLevel="0" collapsed="false">
      <c r="A519" s="44" t="n">
        <v>47</v>
      </c>
      <c r="B519" s="43" t="s">
        <v>426</v>
      </c>
      <c r="C519" s="44" t="s">
        <v>240</v>
      </c>
      <c r="D519" s="43" t="s">
        <v>195</v>
      </c>
      <c r="E519" s="45" t="n">
        <v>4</v>
      </c>
      <c r="F519" s="44" t="s">
        <v>90</v>
      </c>
      <c r="G519" s="46" t="n">
        <f aca="false">IFERROR(INDEX('1. INSUMOS'!$H$8:$H$98,MATCH($D519,'1. INSUMOS'!$B$8:$B$98,0)),0)</f>
        <v>0.02</v>
      </c>
      <c r="H519" s="47" t="n">
        <f aca="false">E519*G519</f>
        <v>0.08</v>
      </c>
      <c r="I519" s="48" t="n">
        <f aca="false">IFERROR(INDEX('4. PRODUCCIÓN'!$D$8:$D$32,MATCH($A519,'4. PRODUCCIÓN'!$B$8:$B$32,0)),0)</f>
        <v>0</v>
      </c>
      <c r="J519" s="45" t="n">
        <f aca="false">E519*I519</f>
        <v>0</v>
      </c>
      <c r="K519" s="49" t="s">
        <v>195</v>
      </c>
    </row>
    <row r="520" customFormat="false" ht="15" hidden="false" customHeight="false" outlineLevel="0" collapsed="false">
      <c r="A520" s="44" t="n">
        <v>47</v>
      </c>
      <c r="B520" s="43" t="s">
        <v>426</v>
      </c>
      <c r="C520" s="44" t="s">
        <v>240</v>
      </c>
      <c r="D520" s="43" t="s">
        <v>208</v>
      </c>
      <c r="E520" s="45" t="n">
        <v>2</v>
      </c>
      <c r="F520" s="44" t="s">
        <v>90</v>
      </c>
      <c r="G520" s="46" t="n">
        <f aca="false">IFERROR(INDEX('1. INSUMOS'!$H$8:$H$98,MATCH($D520,'1. INSUMOS'!$B$8:$B$98,0)),0)</f>
        <v>2.5</v>
      </c>
      <c r="H520" s="47" t="n">
        <f aca="false">E520*G520</f>
        <v>5</v>
      </c>
      <c r="I520" s="48" t="n">
        <f aca="false">IFERROR(INDEX('4. PRODUCCIÓN'!$D$8:$D$32,MATCH($A520,'4. PRODUCCIÓN'!$B$8:$B$32,0)),0)</f>
        <v>0</v>
      </c>
      <c r="J520" s="45" t="n">
        <f aca="false">E520*I520</f>
        <v>0</v>
      </c>
      <c r="K520" s="49" t="s">
        <v>429</v>
      </c>
    </row>
    <row r="521" customFormat="false" ht="15" hidden="false" customHeight="false" outlineLevel="0" collapsed="false">
      <c r="A521" s="44" t="n">
        <v>47</v>
      </c>
      <c r="B521" s="43" t="s">
        <v>426</v>
      </c>
      <c r="C521" s="44" t="s">
        <v>240</v>
      </c>
      <c r="D521" s="43" t="s">
        <v>149</v>
      </c>
      <c r="E521" s="45" t="n">
        <v>100</v>
      </c>
      <c r="F521" s="44" t="s">
        <v>90</v>
      </c>
      <c r="G521" s="46" t="n">
        <f aca="false">IFERROR(INDEX('1. INSUMOS'!$H$8:$H$98,MATCH($D521,'1. INSUMOS'!$B$8:$B$98,0)),0)</f>
        <v>0.235</v>
      </c>
      <c r="H521" s="47" t="n">
        <f aca="false">E521*G521</f>
        <v>23.5</v>
      </c>
      <c r="I521" s="48" t="n">
        <f aca="false">IFERROR(INDEX('4. PRODUCCIÓN'!$D$8:$D$32,MATCH($A521,'4. PRODUCCIÓN'!$B$8:$B$32,0)),0)</f>
        <v>0</v>
      </c>
      <c r="J521" s="45" t="n">
        <f aca="false">E521*I521</f>
        <v>0</v>
      </c>
      <c r="K521" s="49" t="s">
        <v>272</v>
      </c>
    </row>
    <row r="522" customFormat="false" ht="15" hidden="false" customHeight="false" outlineLevel="0" collapsed="false">
      <c r="A522" s="50" t="n">
        <v>48</v>
      </c>
      <c r="B522" s="41" t="s">
        <v>430</v>
      </c>
      <c r="C522" s="50" t="s">
        <v>240</v>
      </c>
      <c r="D522" s="41" t="s">
        <v>88</v>
      </c>
      <c r="E522" s="51" t="n">
        <v>180</v>
      </c>
      <c r="F522" s="50" t="s">
        <v>90</v>
      </c>
      <c r="G522" s="52" t="n">
        <f aca="false">IFERROR(INDEX('1. INSUMOS'!$H$8:$H$98,MATCH($D522,'1. INSUMOS'!$B$8:$B$98,0)),0)</f>
        <v>0.21</v>
      </c>
      <c r="H522" s="53" t="n">
        <f aca="false">E522*G522</f>
        <v>37.8</v>
      </c>
      <c r="I522" s="54" t="n">
        <f aca="false">IFERROR(INDEX('4. PRODUCCIÓN'!$D$8:$D$32,MATCH($A522,'4. PRODUCCIÓN'!$B$8:$B$32,0)),0)</f>
        <v>0</v>
      </c>
      <c r="J522" s="51" t="n">
        <f aca="false">E522*I522</f>
        <v>0</v>
      </c>
      <c r="K522" s="55" t="s">
        <v>249</v>
      </c>
    </row>
    <row r="523" customFormat="false" ht="15" hidden="false" customHeight="false" outlineLevel="0" collapsed="false">
      <c r="A523" s="50" t="n">
        <v>48</v>
      </c>
      <c r="B523" s="41" t="s">
        <v>430</v>
      </c>
      <c r="C523" s="50" t="s">
        <v>240</v>
      </c>
      <c r="D523" s="41" t="s">
        <v>112</v>
      </c>
      <c r="E523" s="51" t="n">
        <v>120</v>
      </c>
      <c r="F523" s="50" t="s">
        <v>90</v>
      </c>
      <c r="G523" s="52" t="n">
        <f aca="false">IFERROR(INDEX('1. INSUMOS'!$H$8:$H$98,MATCH($D523,'1. INSUMOS'!$B$8:$B$98,0)),0)</f>
        <v>0.048</v>
      </c>
      <c r="H523" s="53" t="n">
        <f aca="false">E523*G523</f>
        <v>5.76</v>
      </c>
      <c r="I523" s="54" t="n">
        <f aca="false">IFERROR(INDEX('4. PRODUCCIÓN'!$D$8:$D$32,MATCH($A523,'4. PRODUCCIÓN'!$B$8:$B$32,0)),0)</f>
        <v>0</v>
      </c>
      <c r="J523" s="51" t="n">
        <f aca="false">E523*I523</f>
        <v>0</v>
      </c>
      <c r="K523" s="55" t="s">
        <v>431</v>
      </c>
    </row>
    <row r="524" customFormat="false" ht="15" hidden="false" customHeight="false" outlineLevel="0" collapsed="false">
      <c r="A524" s="50" t="n">
        <v>48</v>
      </c>
      <c r="B524" s="41" t="s">
        <v>430</v>
      </c>
      <c r="C524" s="50" t="s">
        <v>240</v>
      </c>
      <c r="D524" s="41" t="s">
        <v>105</v>
      </c>
      <c r="E524" s="51" t="n">
        <v>100</v>
      </c>
      <c r="F524" s="50" t="s">
        <v>90</v>
      </c>
      <c r="G524" s="52" t="n">
        <f aca="false">IFERROR(INDEX('1. INSUMOS'!$H$8:$H$98,MATCH($D524,'1. INSUMOS'!$B$8:$B$98,0)),0)</f>
        <v>0.03</v>
      </c>
      <c r="H524" s="53" t="n">
        <f aca="false">E524*G524</f>
        <v>3</v>
      </c>
      <c r="I524" s="54" t="n">
        <f aca="false">IFERROR(INDEX('4. PRODUCCIÓN'!$D$8:$D$32,MATCH($A524,'4. PRODUCCIÓN'!$B$8:$B$32,0)),0)</f>
        <v>0</v>
      </c>
      <c r="J524" s="51" t="n">
        <f aca="false">E524*I524</f>
        <v>0</v>
      </c>
      <c r="K524" s="55" t="s">
        <v>105</v>
      </c>
    </row>
    <row r="525" customFormat="false" ht="15" hidden="false" customHeight="false" outlineLevel="0" collapsed="false">
      <c r="A525" s="50" t="n">
        <v>48</v>
      </c>
      <c r="B525" s="41" t="s">
        <v>430</v>
      </c>
      <c r="C525" s="50" t="s">
        <v>240</v>
      </c>
      <c r="D525" s="41" t="s">
        <v>142</v>
      </c>
      <c r="E525" s="51" t="n">
        <v>2</v>
      </c>
      <c r="F525" s="50" t="s">
        <v>144</v>
      </c>
      <c r="G525" s="52" t="n">
        <f aca="false">IFERROR(INDEX('1. INSUMOS'!$H$8:$H$98,MATCH($D525,'1. INSUMOS'!$B$8:$B$98,0)),0)</f>
        <v>3.2</v>
      </c>
      <c r="H525" s="53" t="n">
        <f aca="false">E525*G525</f>
        <v>6.4</v>
      </c>
      <c r="I525" s="54" t="n">
        <f aca="false">IFERROR(INDEX('4. PRODUCCIÓN'!$D$8:$D$32,MATCH($A525,'4. PRODUCCIÓN'!$B$8:$B$32,0)),0)</f>
        <v>0</v>
      </c>
      <c r="J525" s="51" t="n">
        <f aca="false">E525*I525</f>
        <v>0</v>
      </c>
      <c r="K525" s="55" t="s">
        <v>250</v>
      </c>
    </row>
    <row r="526" customFormat="false" ht="15" hidden="false" customHeight="false" outlineLevel="0" collapsed="false">
      <c r="A526" s="50" t="n">
        <v>48</v>
      </c>
      <c r="B526" s="41" t="s">
        <v>430</v>
      </c>
      <c r="C526" s="50" t="s">
        <v>240</v>
      </c>
      <c r="D526" s="41" t="s">
        <v>219</v>
      </c>
      <c r="E526" s="51" t="n">
        <v>15</v>
      </c>
      <c r="F526" s="50" t="s">
        <v>101</v>
      </c>
      <c r="G526" s="52" t="n">
        <f aca="false">IFERROR(INDEX('1. INSUMOS'!$H$8:$H$98,MATCH($D526,'1. INSUMOS'!$B$8:$B$98,0)),0)</f>
        <v>0.816666666666667</v>
      </c>
      <c r="H526" s="53" t="n">
        <f aca="false">E526*G526</f>
        <v>12.25</v>
      </c>
      <c r="I526" s="54" t="n">
        <f aca="false">IFERROR(INDEX('4. PRODUCCIÓN'!$D$8:$D$32,MATCH($A526,'4. PRODUCCIÓN'!$B$8:$B$32,0)),0)</f>
        <v>0</v>
      </c>
      <c r="J526" s="51" t="n">
        <f aca="false">E526*I526</f>
        <v>0</v>
      </c>
      <c r="K526" s="55" t="s">
        <v>432</v>
      </c>
    </row>
    <row r="527" customFormat="false" ht="15" hidden="false" customHeight="false" outlineLevel="0" collapsed="false">
      <c r="A527" s="50" t="n">
        <v>48</v>
      </c>
      <c r="B527" s="41" t="s">
        <v>430</v>
      </c>
      <c r="C527" s="50" t="s">
        <v>240</v>
      </c>
      <c r="D527" s="41" t="s">
        <v>126</v>
      </c>
      <c r="E527" s="51" t="n">
        <v>320</v>
      </c>
      <c r="F527" s="50" t="s">
        <v>90</v>
      </c>
      <c r="G527" s="52" t="n">
        <f aca="false">IFERROR(INDEX('1. INSUMOS'!$H$8:$H$98,MATCH($D527,'1. INSUMOS'!$B$8:$B$98,0)),0)</f>
        <v>0.03</v>
      </c>
      <c r="H527" s="53" t="n">
        <f aca="false">E527*G527</f>
        <v>9.6</v>
      </c>
      <c r="I527" s="54" t="n">
        <f aca="false">IFERROR(INDEX('4. PRODUCCIÓN'!$D$8:$D$32,MATCH($A527,'4. PRODUCCIÓN'!$B$8:$B$32,0)),0)</f>
        <v>0</v>
      </c>
      <c r="J527" s="51" t="n">
        <f aca="false">E527*I527</f>
        <v>0</v>
      </c>
      <c r="K527" s="55" t="s">
        <v>126</v>
      </c>
    </row>
    <row r="528" customFormat="false" ht="15" hidden="false" customHeight="false" outlineLevel="0" collapsed="false">
      <c r="A528" s="50" t="n">
        <v>48</v>
      </c>
      <c r="B528" s="41" t="s">
        <v>430</v>
      </c>
      <c r="C528" s="50" t="s">
        <v>240</v>
      </c>
      <c r="D528" s="41" t="s">
        <v>130</v>
      </c>
      <c r="E528" s="51" t="n">
        <v>10</v>
      </c>
      <c r="F528" s="50" t="s">
        <v>90</v>
      </c>
      <c r="G528" s="52" t="n">
        <f aca="false">IFERROR(INDEX('1. INSUMOS'!$H$8:$H$98,MATCH($D528,'1. INSUMOS'!$B$8:$B$98,0)),0)</f>
        <v>0.09</v>
      </c>
      <c r="H528" s="53" t="n">
        <f aca="false">E528*G528</f>
        <v>0.9</v>
      </c>
      <c r="I528" s="54" t="n">
        <f aca="false">IFERROR(INDEX('4. PRODUCCIÓN'!$D$8:$D$32,MATCH($A528,'4. PRODUCCIÓN'!$B$8:$B$32,0)),0)</f>
        <v>0</v>
      </c>
      <c r="J528" s="51" t="n">
        <f aca="false">E528*I528</f>
        <v>0</v>
      </c>
      <c r="K528" s="55" t="s">
        <v>253</v>
      </c>
    </row>
    <row r="529" customFormat="false" ht="15" hidden="false" customHeight="false" outlineLevel="0" collapsed="false">
      <c r="A529" s="50" t="n">
        <v>48</v>
      </c>
      <c r="B529" s="41" t="s">
        <v>430</v>
      </c>
      <c r="C529" s="50" t="s">
        <v>240</v>
      </c>
      <c r="D529" s="41" t="s">
        <v>201</v>
      </c>
      <c r="E529" s="51" t="n">
        <v>4</v>
      </c>
      <c r="F529" s="50" t="s">
        <v>90</v>
      </c>
      <c r="G529" s="52" t="n">
        <f aca="false">IFERROR(INDEX('1. INSUMOS'!$H$8:$H$98,MATCH($D529,'1. INSUMOS'!$B$8:$B$98,0)),0)</f>
        <v>0.46</v>
      </c>
      <c r="H529" s="53" t="n">
        <f aca="false">E529*G529</f>
        <v>1.84</v>
      </c>
      <c r="I529" s="54" t="n">
        <f aca="false">IFERROR(INDEX('4. PRODUCCIÓN'!$D$8:$D$32,MATCH($A529,'4. PRODUCCIÓN'!$B$8:$B$32,0)),0)</f>
        <v>0</v>
      </c>
      <c r="J529" s="51" t="n">
        <f aca="false">E529*I529</f>
        <v>0</v>
      </c>
      <c r="K529" s="55" t="s">
        <v>201</v>
      </c>
    </row>
    <row r="530" customFormat="false" ht="15" hidden="false" customHeight="false" outlineLevel="0" collapsed="false">
      <c r="A530" s="50" t="n">
        <v>48</v>
      </c>
      <c r="B530" s="41" t="s">
        <v>430</v>
      </c>
      <c r="C530" s="50" t="s">
        <v>240</v>
      </c>
      <c r="D530" s="41" t="s">
        <v>203</v>
      </c>
      <c r="E530" s="51" t="n">
        <v>1</v>
      </c>
      <c r="F530" s="50" t="s">
        <v>90</v>
      </c>
      <c r="G530" s="52" t="n">
        <f aca="false">IFERROR(INDEX('1. INSUMOS'!$H$8:$H$98,MATCH($D530,'1. INSUMOS'!$B$8:$B$98,0)),0)</f>
        <v>0.72</v>
      </c>
      <c r="H530" s="53" t="n">
        <f aca="false">E530*G530</f>
        <v>0.72</v>
      </c>
      <c r="I530" s="54" t="n">
        <f aca="false">IFERROR(INDEX('4. PRODUCCIÓN'!$D$8:$D$32,MATCH($A530,'4. PRODUCCIÓN'!$B$8:$B$32,0)),0)</f>
        <v>0</v>
      </c>
      <c r="J530" s="51" t="n">
        <f aca="false">E530*I530</f>
        <v>0</v>
      </c>
      <c r="K530" s="55" t="s">
        <v>203</v>
      </c>
    </row>
    <row r="531" customFormat="false" ht="15" hidden="false" customHeight="false" outlineLevel="0" collapsed="false">
      <c r="A531" s="50" t="n">
        <v>48</v>
      </c>
      <c r="B531" s="41" t="s">
        <v>430</v>
      </c>
      <c r="C531" s="50" t="s">
        <v>240</v>
      </c>
      <c r="D531" s="41" t="s">
        <v>205</v>
      </c>
      <c r="E531" s="51" t="n">
        <v>1</v>
      </c>
      <c r="F531" s="50" t="s">
        <v>90</v>
      </c>
      <c r="G531" s="52" t="n">
        <f aca="false">IFERROR(INDEX('1. INSUMOS'!$H$8:$H$98,MATCH($D531,'1. INSUMOS'!$B$8:$B$98,0)),0)</f>
        <v>1.36</v>
      </c>
      <c r="H531" s="53" t="n">
        <f aca="false">E531*G531</f>
        <v>1.36</v>
      </c>
      <c r="I531" s="54" t="n">
        <f aca="false">IFERROR(INDEX('4. PRODUCCIÓN'!$D$8:$D$32,MATCH($A531,'4. PRODUCCIÓN'!$B$8:$B$32,0)),0)</f>
        <v>0</v>
      </c>
      <c r="J531" s="51" t="n">
        <f aca="false">E531*I531</f>
        <v>0</v>
      </c>
      <c r="K531" s="55" t="s">
        <v>205</v>
      </c>
    </row>
    <row r="532" customFormat="false" ht="15" hidden="false" customHeight="false" outlineLevel="0" collapsed="false">
      <c r="A532" s="50" t="n">
        <v>48</v>
      </c>
      <c r="B532" s="41" t="s">
        <v>430</v>
      </c>
      <c r="C532" s="50" t="s">
        <v>240</v>
      </c>
      <c r="D532" s="41" t="s">
        <v>133</v>
      </c>
      <c r="E532" s="51" t="n">
        <v>5</v>
      </c>
      <c r="F532" s="50" t="s">
        <v>90</v>
      </c>
      <c r="G532" s="52" t="n">
        <f aca="false">IFERROR(INDEX('1. INSUMOS'!$H$8:$H$98,MATCH($D532,'1. INSUMOS'!$B$8:$B$98,0)),0)</f>
        <v>0.13</v>
      </c>
      <c r="H532" s="53" t="n">
        <f aca="false">E532*G532</f>
        <v>0.65</v>
      </c>
      <c r="I532" s="54" t="n">
        <f aca="false">IFERROR(INDEX('4. PRODUCCIÓN'!$D$8:$D$32,MATCH($A532,'4. PRODUCCIÓN'!$B$8:$B$32,0)),0)</f>
        <v>0</v>
      </c>
      <c r="J532" s="51" t="n">
        <f aca="false">E532*I532</f>
        <v>0</v>
      </c>
      <c r="K532" s="55" t="s">
        <v>133</v>
      </c>
    </row>
    <row r="533" customFormat="false" ht="15" hidden="false" customHeight="false" outlineLevel="0" collapsed="false">
      <c r="A533" s="50" t="n">
        <v>48</v>
      </c>
      <c r="B533" s="41" t="s">
        <v>430</v>
      </c>
      <c r="C533" s="50" t="s">
        <v>240</v>
      </c>
      <c r="D533" s="41" t="s">
        <v>195</v>
      </c>
      <c r="E533" s="51" t="n">
        <v>4</v>
      </c>
      <c r="F533" s="50" t="s">
        <v>90</v>
      </c>
      <c r="G533" s="52" t="n">
        <f aca="false">IFERROR(INDEX('1. INSUMOS'!$H$8:$H$98,MATCH($D533,'1. INSUMOS'!$B$8:$B$98,0)),0)</f>
        <v>0.02</v>
      </c>
      <c r="H533" s="53" t="n">
        <f aca="false">E533*G533</f>
        <v>0.08</v>
      </c>
      <c r="I533" s="54" t="n">
        <f aca="false">IFERROR(INDEX('4. PRODUCCIÓN'!$D$8:$D$32,MATCH($A533,'4. PRODUCCIÓN'!$B$8:$B$32,0)),0)</f>
        <v>0</v>
      </c>
      <c r="J533" s="51" t="n">
        <f aca="false">E533*I533</f>
        <v>0</v>
      </c>
      <c r="K533" s="55" t="s">
        <v>195</v>
      </c>
    </row>
    <row r="534" customFormat="false" ht="15" hidden="false" customHeight="false" outlineLevel="0" collapsed="false">
      <c r="A534" s="50" t="n">
        <v>48</v>
      </c>
      <c r="B534" s="41" t="s">
        <v>430</v>
      </c>
      <c r="C534" s="50" t="s">
        <v>240</v>
      </c>
      <c r="D534" s="41" t="s">
        <v>146</v>
      </c>
      <c r="E534" s="51" t="n">
        <v>100</v>
      </c>
      <c r="F534" s="50" t="s">
        <v>90</v>
      </c>
      <c r="G534" s="52" t="n">
        <f aca="false">IFERROR(INDEX('1. INSUMOS'!$H$8:$H$98,MATCH($D534,'1. INSUMOS'!$B$8:$B$98,0)),0)</f>
        <v>0.21</v>
      </c>
      <c r="H534" s="53" t="n">
        <f aca="false">E534*G534</f>
        <v>21</v>
      </c>
      <c r="I534" s="54" t="n">
        <f aca="false">IFERROR(INDEX('4. PRODUCCIÓN'!$D$8:$D$32,MATCH($A534,'4. PRODUCCIÓN'!$B$8:$B$32,0)),0)</f>
        <v>0</v>
      </c>
      <c r="J534" s="51" t="n">
        <f aca="false">E534*I534</f>
        <v>0</v>
      </c>
      <c r="K534" s="55" t="s">
        <v>284</v>
      </c>
    </row>
    <row r="535" customFormat="false" ht="15" hidden="false" customHeight="false" outlineLevel="0" collapsed="false">
      <c r="A535" s="44" t="n">
        <v>49</v>
      </c>
      <c r="B535" s="43" t="s">
        <v>433</v>
      </c>
      <c r="C535" s="44" t="s">
        <v>240</v>
      </c>
      <c r="D535" s="43" t="s">
        <v>88</v>
      </c>
      <c r="E535" s="45" t="n">
        <v>180</v>
      </c>
      <c r="F535" s="44" t="s">
        <v>90</v>
      </c>
      <c r="G535" s="46" t="n">
        <f aca="false">IFERROR(INDEX('1. INSUMOS'!$H$8:$H$98,MATCH($D535,'1. INSUMOS'!$B$8:$B$98,0)),0)</f>
        <v>0.21</v>
      </c>
      <c r="H535" s="47" t="n">
        <f aca="false">E535*G535</f>
        <v>37.8</v>
      </c>
      <c r="I535" s="48" t="n">
        <f aca="false">IFERROR(INDEX('4. PRODUCCIÓN'!$D$8:$D$32,MATCH($A535,'4. PRODUCCIÓN'!$B$8:$B$32,0)),0)</f>
        <v>0</v>
      </c>
      <c r="J535" s="45" t="n">
        <f aca="false">E535*I535</f>
        <v>0</v>
      </c>
      <c r="K535" s="49" t="s">
        <v>249</v>
      </c>
    </row>
    <row r="536" customFormat="false" ht="15" hidden="false" customHeight="false" outlineLevel="0" collapsed="false">
      <c r="A536" s="44" t="n">
        <v>49</v>
      </c>
      <c r="B536" s="43" t="s">
        <v>433</v>
      </c>
      <c r="C536" s="44" t="s">
        <v>240</v>
      </c>
      <c r="D536" s="43" t="s">
        <v>109</v>
      </c>
      <c r="E536" s="45" t="n">
        <v>170</v>
      </c>
      <c r="F536" s="44" t="s">
        <v>90</v>
      </c>
      <c r="G536" s="46" t="n">
        <f aca="false">IFERROR(INDEX('1. INSUMOS'!$H$8:$H$98,MATCH($D536,'1. INSUMOS'!$B$8:$B$98,0)),0)</f>
        <v>0.058</v>
      </c>
      <c r="H536" s="47" t="n">
        <f aca="false">E536*G536</f>
        <v>9.86</v>
      </c>
      <c r="I536" s="48" t="n">
        <f aca="false">IFERROR(INDEX('4. PRODUCCIÓN'!$D$8:$D$32,MATCH($A536,'4. PRODUCCIÓN'!$B$8:$B$32,0)),0)</f>
        <v>0</v>
      </c>
      <c r="J536" s="45" t="n">
        <f aca="false">E536*I536</f>
        <v>0</v>
      </c>
      <c r="K536" s="49" t="s">
        <v>109</v>
      </c>
    </row>
    <row r="537" customFormat="false" ht="15" hidden="false" customHeight="false" outlineLevel="0" collapsed="false">
      <c r="A537" s="44" t="n">
        <v>49</v>
      </c>
      <c r="B537" s="43" t="s">
        <v>433</v>
      </c>
      <c r="C537" s="44" t="s">
        <v>240</v>
      </c>
      <c r="D537" s="43" t="s">
        <v>105</v>
      </c>
      <c r="E537" s="45" t="n">
        <v>90</v>
      </c>
      <c r="F537" s="44" t="s">
        <v>90</v>
      </c>
      <c r="G537" s="46" t="n">
        <f aca="false">IFERROR(INDEX('1. INSUMOS'!$H$8:$H$98,MATCH($D537,'1. INSUMOS'!$B$8:$B$98,0)),0)</f>
        <v>0.03</v>
      </c>
      <c r="H537" s="47" t="n">
        <f aca="false">E537*G537</f>
        <v>2.7</v>
      </c>
      <c r="I537" s="48" t="n">
        <f aca="false">IFERROR(INDEX('4. PRODUCCIÓN'!$D$8:$D$32,MATCH($A537,'4. PRODUCCIÓN'!$B$8:$B$32,0)),0)</f>
        <v>0</v>
      </c>
      <c r="J537" s="45" t="n">
        <f aca="false">E537*I537</f>
        <v>0</v>
      </c>
      <c r="K537" s="49" t="s">
        <v>105</v>
      </c>
    </row>
    <row r="538" customFormat="false" ht="15" hidden="false" customHeight="false" outlineLevel="0" collapsed="false">
      <c r="A538" s="44" t="n">
        <v>49</v>
      </c>
      <c r="B538" s="43" t="s">
        <v>433</v>
      </c>
      <c r="C538" s="44" t="s">
        <v>240</v>
      </c>
      <c r="D538" s="43" t="s">
        <v>142</v>
      </c>
      <c r="E538" s="45" t="n">
        <v>2</v>
      </c>
      <c r="F538" s="44" t="s">
        <v>144</v>
      </c>
      <c r="G538" s="46" t="n">
        <f aca="false">IFERROR(INDEX('1. INSUMOS'!$H$8:$H$98,MATCH($D538,'1. INSUMOS'!$B$8:$B$98,0)),0)</f>
        <v>3.2</v>
      </c>
      <c r="H538" s="47" t="n">
        <f aca="false">E538*G538</f>
        <v>6.4</v>
      </c>
      <c r="I538" s="48" t="n">
        <f aca="false">IFERROR(INDEX('4. PRODUCCIÓN'!$D$8:$D$32,MATCH($A538,'4. PRODUCCIÓN'!$B$8:$B$32,0)),0)</f>
        <v>0</v>
      </c>
      <c r="J538" s="45" t="n">
        <f aca="false">E538*I538</f>
        <v>0</v>
      </c>
      <c r="K538" s="49" t="s">
        <v>250</v>
      </c>
    </row>
    <row r="539" customFormat="false" ht="15" hidden="false" customHeight="false" outlineLevel="0" collapsed="false">
      <c r="A539" s="44" t="n">
        <v>49</v>
      </c>
      <c r="B539" s="43" t="s">
        <v>433</v>
      </c>
      <c r="C539" s="44" t="s">
        <v>240</v>
      </c>
      <c r="D539" s="43" t="s">
        <v>126</v>
      </c>
      <c r="E539" s="45" t="n">
        <v>250</v>
      </c>
      <c r="F539" s="44" t="s">
        <v>90</v>
      </c>
      <c r="G539" s="46" t="n">
        <f aca="false">IFERROR(INDEX('1. INSUMOS'!$H$8:$H$98,MATCH($D539,'1. INSUMOS'!$B$8:$B$98,0)),0)</f>
        <v>0.03</v>
      </c>
      <c r="H539" s="47" t="n">
        <f aca="false">E539*G539</f>
        <v>7.5</v>
      </c>
      <c r="I539" s="48" t="n">
        <f aca="false">IFERROR(INDEX('4. PRODUCCIÓN'!$D$8:$D$32,MATCH($A539,'4. PRODUCCIÓN'!$B$8:$B$32,0)),0)</f>
        <v>0</v>
      </c>
      <c r="J539" s="45" t="n">
        <f aca="false">E539*I539</f>
        <v>0</v>
      </c>
      <c r="K539" s="49" t="s">
        <v>126</v>
      </c>
    </row>
    <row r="540" customFormat="false" ht="15" hidden="false" customHeight="false" outlineLevel="0" collapsed="false">
      <c r="A540" s="44" t="n">
        <v>49</v>
      </c>
      <c r="B540" s="43" t="s">
        <v>433</v>
      </c>
      <c r="C540" s="44" t="s">
        <v>240</v>
      </c>
      <c r="D540" s="43" t="s">
        <v>159</v>
      </c>
      <c r="E540" s="45" t="n">
        <v>50</v>
      </c>
      <c r="F540" s="44" t="s">
        <v>90</v>
      </c>
      <c r="G540" s="46" t="n">
        <f aca="false">IFERROR(INDEX('1. INSUMOS'!$H$8:$H$98,MATCH($D540,'1. INSUMOS'!$B$8:$B$98,0)),0)</f>
        <v>0.276</v>
      </c>
      <c r="H540" s="47" t="n">
        <f aca="false">E540*G540</f>
        <v>13.8</v>
      </c>
      <c r="I540" s="48" t="n">
        <f aca="false">IFERROR(INDEX('4. PRODUCCIÓN'!$D$8:$D$32,MATCH($A540,'4. PRODUCCIÓN'!$B$8:$B$32,0)),0)</f>
        <v>0</v>
      </c>
      <c r="J540" s="45" t="n">
        <f aca="false">E540*I540</f>
        <v>0</v>
      </c>
      <c r="K540" s="49" t="s">
        <v>283</v>
      </c>
    </row>
    <row r="541" customFormat="false" ht="15" hidden="false" customHeight="false" outlineLevel="0" collapsed="false">
      <c r="A541" s="44" t="n">
        <v>49</v>
      </c>
      <c r="B541" s="43" t="s">
        <v>433</v>
      </c>
      <c r="C541" s="44" t="s">
        <v>240</v>
      </c>
      <c r="D541" s="43" t="s">
        <v>130</v>
      </c>
      <c r="E541" s="45" t="n">
        <v>10</v>
      </c>
      <c r="F541" s="44" t="s">
        <v>90</v>
      </c>
      <c r="G541" s="46" t="n">
        <f aca="false">IFERROR(INDEX('1. INSUMOS'!$H$8:$H$98,MATCH($D541,'1. INSUMOS'!$B$8:$B$98,0)),0)</f>
        <v>0.09</v>
      </c>
      <c r="H541" s="47" t="n">
        <f aca="false">E541*G541</f>
        <v>0.9</v>
      </c>
      <c r="I541" s="48" t="n">
        <f aca="false">IFERROR(INDEX('4. PRODUCCIÓN'!$D$8:$D$32,MATCH($A541,'4. PRODUCCIÓN'!$B$8:$B$32,0)),0)</f>
        <v>0</v>
      </c>
      <c r="J541" s="45" t="n">
        <f aca="false">E541*I541</f>
        <v>0</v>
      </c>
      <c r="K541" s="49" t="s">
        <v>253</v>
      </c>
    </row>
    <row r="542" customFormat="false" ht="15" hidden="false" customHeight="false" outlineLevel="0" collapsed="false">
      <c r="A542" s="44" t="n">
        <v>49</v>
      </c>
      <c r="B542" s="43" t="s">
        <v>433</v>
      </c>
      <c r="C542" s="44" t="s">
        <v>240</v>
      </c>
      <c r="D542" s="43" t="s">
        <v>206</v>
      </c>
      <c r="E542" s="45" t="n">
        <v>8</v>
      </c>
      <c r="F542" s="44" t="s">
        <v>90</v>
      </c>
      <c r="G542" s="46" t="n">
        <f aca="false">IFERROR(INDEX('1. INSUMOS'!$H$8:$H$98,MATCH($D542,'1. INSUMOS'!$B$8:$B$98,0)),0)</f>
        <v>0.42</v>
      </c>
      <c r="H542" s="47" t="n">
        <f aca="false">E542*G542</f>
        <v>3.36</v>
      </c>
      <c r="I542" s="48" t="n">
        <f aca="false">IFERROR(INDEX('4. PRODUCCIÓN'!$D$8:$D$32,MATCH($A542,'4. PRODUCCIÓN'!$B$8:$B$32,0)),0)</f>
        <v>0</v>
      </c>
      <c r="J542" s="45" t="n">
        <f aca="false">E542*I542</f>
        <v>0</v>
      </c>
      <c r="K542" s="49" t="s">
        <v>434</v>
      </c>
    </row>
    <row r="543" customFormat="false" ht="15" hidden="false" customHeight="false" outlineLevel="0" collapsed="false">
      <c r="A543" s="44" t="n">
        <v>49</v>
      </c>
      <c r="B543" s="43" t="s">
        <v>433</v>
      </c>
      <c r="C543" s="44" t="s">
        <v>240</v>
      </c>
      <c r="D543" s="43" t="s">
        <v>133</v>
      </c>
      <c r="E543" s="45" t="n">
        <v>5</v>
      </c>
      <c r="F543" s="44" t="s">
        <v>90</v>
      </c>
      <c r="G543" s="46" t="n">
        <f aca="false">IFERROR(INDEX('1. INSUMOS'!$H$8:$H$98,MATCH($D543,'1. INSUMOS'!$B$8:$B$98,0)),0)</f>
        <v>0.13</v>
      </c>
      <c r="H543" s="47" t="n">
        <f aca="false">E543*G543</f>
        <v>0.65</v>
      </c>
      <c r="I543" s="48" t="n">
        <f aca="false">IFERROR(INDEX('4. PRODUCCIÓN'!$D$8:$D$32,MATCH($A543,'4. PRODUCCIÓN'!$B$8:$B$32,0)),0)</f>
        <v>0</v>
      </c>
      <c r="J543" s="45" t="n">
        <f aca="false">E543*I543</f>
        <v>0</v>
      </c>
      <c r="K543" s="49" t="s">
        <v>133</v>
      </c>
    </row>
    <row r="544" customFormat="false" ht="15" hidden="false" customHeight="false" outlineLevel="0" collapsed="false">
      <c r="A544" s="44" t="n">
        <v>49</v>
      </c>
      <c r="B544" s="43" t="s">
        <v>433</v>
      </c>
      <c r="C544" s="44" t="s">
        <v>240</v>
      </c>
      <c r="D544" s="43" t="s">
        <v>195</v>
      </c>
      <c r="E544" s="45" t="n">
        <v>4</v>
      </c>
      <c r="F544" s="44" t="s">
        <v>90</v>
      </c>
      <c r="G544" s="46" t="n">
        <f aca="false">IFERROR(INDEX('1. INSUMOS'!$H$8:$H$98,MATCH($D544,'1. INSUMOS'!$B$8:$B$98,0)),0)</f>
        <v>0.02</v>
      </c>
      <c r="H544" s="47" t="n">
        <f aca="false">E544*G544</f>
        <v>0.08</v>
      </c>
      <c r="I544" s="48" t="n">
        <f aca="false">IFERROR(INDEX('4. PRODUCCIÓN'!$D$8:$D$32,MATCH($A544,'4. PRODUCCIÓN'!$B$8:$B$32,0)),0)</f>
        <v>0</v>
      </c>
      <c r="J544" s="45" t="n">
        <f aca="false">E544*I544</f>
        <v>0</v>
      </c>
      <c r="K544" s="49" t="s">
        <v>195</v>
      </c>
    </row>
    <row r="545" customFormat="false" ht="15" hidden="false" customHeight="false" outlineLevel="0" collapsed="false">
      <c r="A545" s="44" t="n">
        <v>49</v>
      </c>
      <c r="B545" s="43" t="s">
        <v>433</v>
      </c>
      <c r="C545" s="44" t="s">
        <v>240</v>
      </c>
      <c r="D545" s="43" t="s">
        <v>174</v>
      </c>
      <c r="E545" s="45" t="n">
        <v>100</v>
      </c>
      <c r="F545" s="44" t="s">
        <v>90</v>
      </c>
      <c r="G545" s="46" t="n">
        <f aca="false">IFERROR(INDEX('1. INSUMOS'!$H$8:$H$98,MATCH($D545,'1. INSUMOS'!$B$8:$B$98,0)),0)</f>
        <v>0.74</v>
      </c>
      <c r="H545" s="47" t="n">
        <f aca="false">E545*G545</f>
        <v>74</v>
      </c>
      <c r="I545" s="48" t="n">
        <f aca="false">IFERROR(INDEX('4. PRODUCCIÓN'!$D$8:$D$32,MATCH($A545,'4. PRODUCCIÓN'!$B$8:$B$32,0)),0)</f>
        <v>0</v>
      </c>
      <c r="J545" s="45" t="n">
        <f aca="false">E545*I545</f>
        <v>0</v>
      </c>
      <c r="K545" s="49" t="s">
        <v>435</v>
      </c>
    </row>
    <row r="546" customFormat="false" ht="15" hidden="false" customHeight="false" outlineLevel="0" collapsed="false">
      <c r="A546" s="44" t="n">
        <v>49</v>
      </c>
      <c r="B546" s="43" t="s">
        <v>433</v>
      </c>
      <c r="C546" s="44" t="s">
        <v>240</v>
      </c>
      <c r="D546" s="43" t="s">
        <v>148</v>
      </c>
      <c r="E546" s="45" t="n">
        <v>80</v>
      </c>
      <c r="F546" s="44" t="s">
        <v>90</v>
      </c>
      <c r="G546" s="46" t="n">
        <f aca="false">IFERROR(INDEX('1. INSUMOS'!$H$8:$H$98,MATCH($D546,'1. INSUMOS'!$B$8:$B$98,0)),0)</f>
        <v>0.265</v>
      </c>
      <c r="H546" s="47" t="n">
        <f aca="false">E546*G546</f>
        <v>21.2</v>
      </c>
      <c r="I546" s="48" t="n">
        <f aca="false">IFERROR(INDEX('4. PRODUCCIÓN'!$D$8:$D$32,MATCH($A546,'4. PRODUCCIÓN'!$B$8:$B$32,0)),0)</f>
        <v>0</v>
      </c>
      <c r="J546" s="45" t="n">
        <f aca="false">E546*I546</f>
        <v>0</v>
      </c>
      <c r="K546" s="49" t="s">
        <v>310</v>
      </c>
    </row>
    <row r="547" customFormat="false" ht="15" hidden="false" customHeight="false" outlineLevel="0" collapsed="false">
      <c r="A547" s="50" t="n">
        <v>50</v>
      </c>
      <c r="B547" s="41" t="s">
        <v>436</v>
      </c>
      <c r="C547" s="50" t="s">
        <v>240</v>
      </c>
      <c r="D547" s="41" t="s">
        <v>88</v>
      </c>
      <c r="E547" s="51" t="n">
        <v>180</v>
      </c>
      <c r="F547" s="50" t="s">
        <v>90</v>
      </c>
      <c r="G547" s="52" t="n">
        <f aca="false">IFERROR(INDEX('1. INSUMOS'!$H$8:$H$98,MATCH($D547,'1. INSUMOS'!$B$8:$B$98,0)),0)</f>
        <v>0.21</v>
      </c>
      <c r="H547" s="53" t="n">
        <f aca="false">E547*G547</f>
        <v>37.8</v>
      </c>
      <c r="I547" s="54" t="n">
        <f aca="false">IFERROR(INDEX('4. PRODUCCIÓN'!$D$8:$D$32,MATCH($A547,'4. PRODUCCIÓN'!$B$8:$B$32,0)),0)</f>
        <v>0</v>
      </c>
      <c r="J547" s="51" t="n">
        <f aca="false">E547*I547</f>
        <v>0</v>
      </c>
      <c r="K547" s="55" t="s">
        <v>249</v>
      </c>
    </row>
    <row r="548" customFormat="false" ht="15" hidden="false" customHeight="false" outlineLevel="0" collapsed="false">
      <c r="A548" s="50" t="n">
        <v>50</v>
      </c>
      <c r="B548" s="41" t="s">
        <v>436</v>
      </c>
      <c r="C548" s="50" t="s">
        <v>240</v>
      </c>
      <c r="D548" s="41" t="s">
        <v>109</v>
      </c>
      <c r="E548" s="51" t="n">
        <v>160</v>
      </c>
      <c r="F548" s="50" t="s">
        <v>90</v>
      </c>
      <c r="G548" s="52" t="n">
        <f aca="false">IFERROR(INDEX('1. INSUMOS'!$H$8:$H$98,MATCH($D548,'1. INSUMOS'!$B$8:$B$98,0)),0)</f>
        <v>0.058</v>
      </c>
      <c r="H548" s="53" t="n">
        <f aca="false">E548*G548</f>
        <v>9.28</v>
      </c>
      <c r="I548" s="54" t="n">
        <f aca="false">IFERROR(INDEX('4. PRODUCCIÓN'!$D$8:$D$32,MATCH($A548,'4. PRODUCCIÓN'!$B$8:$B$32,0)),0)</f>
        <v>0</v>
      </c>
      <c r="J548" s="51" t="n">
        <f aca="false">E548*I548</f>
        <v>0</v>
      </c>
      <c r="K548" s="55" t="s">
        <v>109</v>
      </c>
    </row>
    <row r="549" customFormat="false" ht="15" hidden="false" customHeight="false" outlineLevel="0" collapsed="false">
      <c r="A549" s="50" t="n">
        <v>50</v>
      </c>
      <c r="B549" s="41" t="s">
        <v>436</v>
      </c>
      <c r="C549" s="50" t="s">
        <v>240</v>
      </c>
      <c r="D549" s="41" t="s">
        <v>105</v>
      </c>
      <c r="E549" s="51" t="n">
        <v>80</v>
      </c>
      <c r="F549" s="50" t="s">
        <v>90</v>
      </c>
      <c r="G549" s="52" t="n">
        <f aca="false">IFERROR(INDEX('1. INSUMOS'!$H$8:$H$98,MATCH($D549,'1. INSUMOS'!$B$8:$B$98,0)),0)</f>
        <v>0.03</v>
      </c>
      <c r="H549" s="53" t="n">
        <f aca="false">E549*G549</f>
        <v>2.4</v>
      </c>
      <c r="I549" s="54" t="n">
        <f aca="false">IFERROR(INDEX('4. PRODUCCIÓN'!$D$8:$D$32,MATCH($A549,'4. PRODUCCIÓN'!$B$8:$B$32,0)),0)</f>
        <v>0</v>
      </c>
      <c r="J549" s="51" t="n">
        <f aca="false">E549*I549</f>
        <v>0</v>
      </c>
      <c r="K549" s="55" t="s">
        <v>105</v>
      </c>
    </row>
    <row r="550" customFormat="false" ht="15" hidden="false" customHeight="false" outlineLevel="0" collapsed="false">
      <c r="A550" s="50" t="n">
        <v>50</v>
      </c>
      <c r="B550" s="41" t="s">
        <v>436</v>
      </c>
      <c r="C550" s="50" t="s">
        <v>240</v>
      </c>
      <c r="D550" s="41" t="s">
        <v>142</v>
      </c>
      <c r="E550" s="51" t="n">
        <v>2</v>
      </c>
      <c r="F550" s="50" t="s">
        <v>144</v>
      </c>
      <c r="G550" s="52" t="n">
        <f aca="false">IFERROR(INDEX('1. INSUMOS'!$H$8:$H$98,MATCH($D550,'1. INSUMOS'!$B$8:$B$98,0)),0)</f>
        <v>3.2</v>
      </c>
      <c r="H550" s="53" t="n">
        <f aca="false">E550*G550</f>
        <v>6.4</v>
      </c>
      <c r="I550" s="54" t="n">
        <f aca="false">IFERROR(INDEX('4. PRODUCCIÓN'!$D$8:$D$32,MATCH($A550,'4. PRODUCCIÓN'!$B$8:$B$32,0)),0)</f>
        <v>0</v>
      </c>
      <c r="J550" s="51" t="n">
        <f aca="false">E550*I550</f>
        <v>0</v>
      </c>
      <c r="K550" s="55" t="s">
        <v>250</v>
      </c>
    </row>
    <row r="551" customFormat="false" ht="15" hidden="false" customHeight="false" outlineLevel="0" collapsed="false">
      <c r="A551" s="50" t="n">
        <v>50</v>
      </c>
      <c r="B551" s="41" t="s">
        <v>436</v>
      </c>
      <c r="C551" s="50" t="s">
        <v>240</v>
      </c>
      <c r="D551" s="41" t="s">
        <v>215</v>
      </c>
      <c r="E551" s="51" t="n">
        <v>20</v>
      </c>
      <c r="F551" s="50" t="s">
        <v>90</v>
      </c>
      <c r="G551" s="52" t="n">
        <f aca="false">IFERROR(INDEX('1. INSUMOS'!$H$8:$H$98,MATCH($D551,'1. INSUMOS'!$B$8:$B$98,0)),0)</f>
        <v>1.85</v>
      </c>
      <c r="H551" s="53" t="n">
        <f aca="false">E551*G551</f>
        <v>37</v>
      </c>
      <c r="I551" s="54" t="n">
        <f aca="false">IFERROR(INDEX('4. PRODUCCIÓN'!$D$8:$D$32,MATCH($A551,'4. PRODUCCIÓN'!$B$8:$B$32,0)),0)</f>
        <v>0</v>
      </c>
      <c r="J551" s="51" t="n">
        <f aca="false">E551*I551</f>
        <v>0</v>
      </c>
      <c r="K551" s="55" t="s">
        <v>437</v>
      </c>
    </row>
    <row r="552" customFormat="false" ht="15" hidden="false" customHeight="false" outlineLevel="0" collapsed="false">
      <c r="A552" s="50" t="n">
        <v>50</v>
      </c>
      <c r="B552" s="41" t="s">
        <v>436</v>
      </c>
      <c r="C552" s="50" t="s">
        <v>240</v>
      </c>
      <c r="D552" s="41" t="s">
        <v>126</v>
      </c>
      <c r="E552" s="51" t="n">
        <v>310</v>
      </c>
      <c r="F552" s="50" t="s">
        <v>90</v>
      </c>
      <c r="G552" s="52" t="n">
        <f aca="false">IFERROR(INDEX('1. INSUMOS'!$H$8:$H$98,MATCH($D552,'1. INSUMOS'!$B$8:$B$98,0)),0)</f>
        <v>0.03</v>
      </c>
      <c r="H552" s="53" t="n">
        <f aca="false">E552*G552</f>
        <v>9.3</v>
      </c>
      <c r="I552" s="54" t="n">
        <f aca="false">IFERROR(INDEX('4. PRODUCCIÓN'!$D$8:$D$32,MATCH($A552,'4. PRODUCCIÓN'!$B$8:$B$32,0)),0)</f>
        <v>0</v>
      </c>
      <c r="J552" s="51" t="n">
        <f aca="false">E552*I552</f>
        <v>0</v>
      </c>
      <c r="K552" s="55" t="s">
        <v>126</v>
      </c>
    </row>
    <row r="553" customFormat="false" ht="15" hidden="false" customHeight="false" outlineLevel="0" collapsed="false">
      <c r="A553" s="50" t="n">
        <v>50</v>
      </c>
      <c r="B553" s="41" t="s">
        <v>436</v>
      </c>
      <c r="C553" s="50" t="s">
        <v>240</v>
      </c>
      <c r="D553" s="41" t="s">
        <v>130</v>
      </c>
      <c r="E553" s="51" t="n">
        <v>10</v>
      </c>
      <c r="F553" s="50" t="s">
        <v>90</v>
      </c>
      <c r="G553" s="52" t="n">
        <f aca="false">IFERROR(INDEX('1. INSUMOS'!$H$8:$H$98,MATCH($D553,'1. INSUMOS'!$B$8:$B$98,0)),0)</f>
        <v>0.09</v>
      </c>
      <c r="H553" s="53" t="n">
        <f aca="false">E553*G553</f>
        <v>0.9</v>
      </c>
      <c r="I553" s="54" t="n">
        <f aca="false">IFERROR(INDEX('4. PRODUCCIÓN'!$D$8:$D$32,MATCH($A553,'4. PRODUCCIÓN'!$B$8:$B$32,0)),0)</f>
        <v>0</v>
      </c>
      <c r="J553" s="51" t="n">
        <f aca="false">E553*I553</f>
        <v>0</v>
      </c>
      <c r="K553" s="55" t="s">
        <v>253</v>
      </c>
    </row>
    <row r="554" customFormat="false" ht="15" hidden="false" customHeight="false" outlineLevel="0" collapsed="false">
      <c r="A554" s="50" t="n">
        <v>50</v>
      </c>
      <c r="B554" s="41" t="s">
        <v>436</v>
      </c>
      <c r="C554" s="50" t="s">
        <v>240</v>
      </c>
      <c r="D554" s="41" t="s">
        <v>133</v>
      </c>
      <c r="E554" s="51" t="n">
        <v>5</v>
      </c>
      <c r="F554" s="50" t="s">
        <v>90</v>
      </c>
      <c r="G554" s="52" t="n">
        <f aca="false">IFERROR(INDEX('1. INSUMOS'!$H$8:$H$98,MATCH($D554,'1. INSUMOS'!$B$8:$B$98,0)),0)</f>
        <v>0.13</v>
      </c>
      <c r="H554" s="53" t="n">
        <f aca="false">E554*G554</f>
        <v>0.65</v>
      </c>
      <c r="I554" s="54" t="n">
        <f aca="false">IFERROR(INDEX('4. PRODUCCIÓN'!$D$8:$D$32,MATCH($A554,'4. PRODUCCIÓN'!$B$8:$B$32,0)),0)</f>
        <v>0</v>
      </c>
      <c r="J554" s="51" t="n">
        <f aca="false">E554*I554</f>
        <v>0</v>
      </c>
      <c r="K554" s="55" t="s">
        <v>133</v>
      </c>
    </row>
    <row r="555" customFormat="false" ht="15" hidden="false" customHeight="false" outlineLevel="0" collapsed="false">
      <c r="A555" s="50" t="n">
        <v>50</v>
      </c>
      <c r="B555" s="41" t="s">
        <v>436</v>
      </c>
      <c r="C555" s="50" t="s">
        <v>240</v>
      </c>
      <c r="D555" s="41" t="s">
        <v>195</v>
      </c>
      <c r="E555" s="51" t="n">
        <v>2</v>
      </c>
      <c r="F555" s="50" t="s">
        <v>90</v>
      </c>
      <c r="G555" s="52" t="n">
        <f aca="false">IFERROR(INDEX('1. INSUMOS'!$H$8:$H$98,MATCH($D555,'1. INSUMOS'!$B$8:$B$98,0)),0)</f>
        <v>0.02</v>
      </c>
      <c r="H555" s="53" t="n">
        <f aca="false">E555*G555</f>
        <v>0.04</v>
      </c>
      <c r="I555" s="54" t="n">
        <f aca="false">IFERROR(INDEX('4. PRODUCCIÓN'!$D$8:$D$32,MATCH($A555,'4. PRODUCCIÓN'!$B$8:$B$32,0)),0)</f>
        <v>0</v>
      </c>
      <c r="J555" s="51" t="n">
        <f aca="false">E555*I555</f>
        <v>0</v>
      </c>
      <c r="K555" s="55" t="s">
        <v>195</v>
      </c>
    </row>
    <row r="556" customFormat="false" ht="15" hidden="false" customHeight="false" outlineLevel="0" collapsed="false">
      <c r="A556" s="50" t="n">
        <v>50</v>
      </c>
      <c r="B556" s="41" t="s">
        <v>436</v>
      </c>
      <c r="C556" s="50" t="s">
        <v>240</v>
      </c>
      <c r="D556" s="41" t="s">
        <v>148</v>
      </c>
      <c r="E556" s="51" t="n">
        <v>150</v>
      </c>
      <c r="F556" s="50" t="s">
        <v>90</v>
      </c>
      <c r="G556" s="52" t="n">
        <f aca="false">IFERROR(INDEX('1. INSUMOS'!$H$8:$H$98,MATCH($D556,'1. INSUMOS'!$B$8:$B$98,0)),0)</f>
        <v>0.265</v>
      </c>
      <c r="H556" s="53" t="n">
        <f aca="false">E556*G556</f>
        <v>39.75</v>
      </c>
      <c r="I556" s="54" t="n">
        <f aca="false">IFERROR(INDEX('4. PRODUCCIÓN'!$D$8:$D$32,MATCH($A556,'4. PRODUCCIÓN'!$B$8:$B$32,0)),0)</f>
        <v>0</v>
      </c>
      <c r="J556" s="51" t="n">
        <f aca="false">E556*I556</f>
        <v>0</v>
      </c>
      <c r="K556" s="55" t="s">
        <v>438</v>
      </c>
    </row>
    <row r="557" customFormat="false" ht="15" hidden="false" customHeight="false" outlineLevel="0" collapsed="false">
      <c r="A557" s="50" t="n">
        <v>50</v>
      </c>
      <c r="B557" s="41" t="s">
        <v>436</v>
      </c>
      <c r="C557" s="50" t="s">
        <v>246</v>
      </c>
      <c r="D557" s="41" t="s">
        <v>199</v>
      </c>
      <c r="E557" s="51" t="n">
        <v>2</v>
      </c>
      <c r="F557" s="50" t="s">
        <v>90</v>
      </c>
      <c r="G557" s="52" t="n">
        <f aca="false">IFERROR(INDEX('1. INSUMOS'!$H$8:$H$98,MATCH($D557,'1. INSUMOS'!$B$8:$B$98,0)),0)</f>
        <v>0.95</v>
      </c>
      <c r="H557" s="53" t="n">
        <f aca="false">E557*G557</f>
        <v>1.9</v>
      </c>
      <c r="I557" s="54" t="n">
        <f aca="false">IFERROR(INDEX('4. PRODUCCIÓN'!$D$8:$D$32,MATCH($A557,'4. PRODUCCIÓN'!$B$8:$B$32,0)),0)</f>
        <v>0</v>
      </c>
      <c r="J557" s="51" t="n">
        <f aca="false">E557*I557</f>
        <v>0</v>
      </c>
      <c r="K557" s="55" t="s">
        <v>439</v>
      </c>
    </row>
  </sheetData>
  <autoFilter ref="A7:K557"/>
  <mergeCells count="3">
    <mergeCell ref="A1:K1"/>
    <mergeCell ref="A2:K2"/>
    <mergeCell ref="A3:K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2E7E"/>
    <pageSetUpPr fitToPage="true"/>
  </sheetPr>
  <dimension ref="A1:Z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5"/>
    <col collapsed="false" customWidth="true" hidden="false" outlineLevel="0" max="15" min="14" style="0" width="14"/>
    <col collapsed="false" customWidth="true" hidden="false" outlineLevel="0" max="16" min="16" style="0" width="13"/>
    <col collapsed="false" customWidth="true" hidden="false" outlineLevel="0" max="17" min="17" style="0" width="11"/>
    <col collapsed="false" customWidth="true" hidden="false" outlineLevel="0" max="18" min="18" style="0" width="14"/>
    <col collapsed="false" customWidth="true" hidden="false" outlineLevel="0" max="20" min="19" style="0" width="13"/>
    <col collapsed="false" customWidth="true" hidden="false" outlineLevel="0" max="21" min="21" style="0" width="32"/>
    <col collapsed="false" customWidth="true" hidden="false" outlineLevel="0" max="22" min="22" style="0" width="22"/>
    <col collapsed="false" customWidth="true" hidden="false" outlineLevel="0" max="24" min="23" style="0" width="26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30" hidden="false" customHeight="true" outlineLevel="0" collapsed="false">
      <c r="A2" s="2" t="s">
        <v>440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8" hidden="false" customHeight="true" outlineLevel="0" collapsed="false">
      <c r="A3" s="3" t="s">
        <v>441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3.7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7" customFormat="false" ht="42" hidden="false" customHeight="true" outlineLevel="0" collapsed="false">
      <c r="A7" s="34" t="s">
        <v>79</v>
      </c>
      <c r="B7" s="34" t="s">
        <v>442</v>
      </c>
      <c r="C7" s="34" t="s">
        <v>39</v>
      </c>
      <c r="D7" s="34" t="s">
        <v>443</v>
      </c>
      <c r="E7" s="34" t="s">
        <v>444</v>
      </c>
      <c r="F7" s="34" t="s">
        <v>445</v>
      </c>
      <c r="G7" s="34" t="s">
        <v>446</v>
      </c>
      <c r="H7" s="34" t="s">
        <v>447</v>
      </c>
      <c r="I7" s="34" t="s">
        <v>448</v>
      </c>
      <c r="J7" s="34" t="s">
        <v>449</v>
      </c>
      <c r="K7" s="34" t="s">
        <v>450</v>
      </c>
      <c r="L7" s="34" t="s">
        <v>451</v>
      </c>
      <c r="M7" s="34" t="s">
        <v>452</v>
      </c>
      <c r="N7" s="34" t="s">
        <v>453</v>
      </c>
      <c r="O7" s="34" t="s">
        <v>454</v>
      </c>
      <c r="P7" s="34" t="s">
        <v>455</v>
      </c>
      <c r="Q7" s="34" t="s">
        <v>456</v>
      </c>
      <c r="R7" s="34" t="s">
        <v>457</v>
      </c>
      <c r="S7" s="34" t="s">
        <v>458</v>
      </c>
      <c r="T7" s="34" t="s">
        <v>459</v>
      </c>
      <c r="U7" s="34" t="s">
        <v>72</v>
      </c>
      <c r="V7" s="34" t="s">
        <v>460</v>
      </c>
      <c r="W7" s="34" t="s">
        <v>74</v>
      </c>
      <c r="X7" s="34" t="s">
        <v>75</v>
      </c>
    </row>
    <row r="8" customFormat="false" ht="32.8" hidden="false" customHeight="false" outlineLevel="0" collapsed="false">
      <c r="A8" s="56" t="n">
        <v>1</v>
      </c>
      <c r="B8" s="16" t="s">
        <v>34</v>
      </c>
      <c r="C8" s="43" t="s">
        <v>461</v>
      </c>
      <c r="D8" s="56" t="n">
        <v>6</v>
      </c>
      <c r="E8" s="57" t="n">
        <f aca="false">SUMIFS('2. RECETAS'!$H$8:$H$557,'2. RECETAS'!$A$8:$A$557,$A8)</f>
        <v>120.03</v>
      </c>
      <c r="F8" s="57" t="n">
        <f aca="false">IF(D8=0,0,E8/D8)</f>
        <v>20.005</v>
      </c>
      <c r="G8" s="58" t="n">
        <f aca="false">PANEL!$C$7</f>
        <v>6</v>
      </c>
      <c r="H8" s="58" t="n">
        <f aca="false">PANEL!$C$8</f>
        <v>2</v>
      </c>
      <c r="I8" s="58" t="n">
        <f aca="false">PANEL!$C$11</f>
        <v>4</v>
      </c>
      <c r="J8" s="57" t="n">
        <f aca="false">F8+G8+H8+I8</f>
        <v>32.005</v>
      </c>
      <c r="K8" s="57" t="n">
        <f aca="false">J8*PANEL!$C$12</f>
        <v>2.5604</v>
      </c>
      <c r="L8" s="58" t="n">
        <f aca="false">PANEL!$C$15</f>
        <v>10</v>
      </c>
      <c r="M8" s="59" t="n">
        <f aca="false">J8+K8+L8</f>
        <v>44.5654</v>
      </c>
      <c r="N8" s="57" t="n">
        <f aca="false">IF(PANEL!$C$16&gt;=1,0,M8/(1-PANEL!$C$16))</f>
        <v>111.4135</v>
      </c>
      <c r="O8" s="60" t="n">
        <f aca="false">IF(PANEL!$C$18&lt;=0,N8,CEILING(N8,PANEL!$C$18))</f>
        <v>115</v>
      </c>
      <c r="P8" s="57" t="n">
        <f aca="false">O8-M8</f>
        <v>70.4346</v>
      </c>
      <c r="Q8" s="61" t="n">
        <f aca="false">IF(O8=0,0,P8/O8)</f>
        <v>0.612474782608696</v>
      </c>
      <c r="R8" s="60" t="n">
        <f aca="false">IF(PANEL!$C$17&gt;=1,0,IF(PANEL!$C$18&lt;=0,M8/(1-PANEL!$C$17),CEILING(M8/(1-PANEL!$C$17),PANEL!$C$18)))</f>
        <v>70</v>
      </c>
      <c r="S8" s="57" t="n">
        <f aca="false">R8-M8</f>
        <v>25.4346</v>
      </c>
      <c r="T8" s="57" t="n">
        <f aca="false">O8*(1+PANEL!$C$19)</f>
        <v>133.4</v>
      </c>
      <c r="U8" s="62" t="s">
        <v>462</v>
      </c>
      <c r="V8" s="62" t="s">
        <v>463</v>
      </c>
      <c r="W8" s="62" t="s">
        <v>464</v>
      </c>
      <c r="X8" s="62" t="s">
        <v>465</v>
      </c>
    </row>
    <row r="9" customFormat="false" ht="32.8" hidden="false" customHeight="false" outlineLevel="0" collapsed="false">
      <c r="A9" s="56" t="n">
        <v>2</v>
      </c>
      <c r="B9" s="16" t="s">
        <v>248</v>
      </c>
      <c r="C9" s="43" t="s">
        <v>461</v>
      </c>
      <c r="D9" s="56" t="n">
        <v>6</v>
      </c>
      <c r="E9" s="57" t="n">
        <f aca="false">SUMIFS('2. RECETAS'!$H$8:$H$557,'2. RECETAS'!$A$8:$A$557,$A9)</f>
        <v>136.1</v>
      </c>
      <c r="F9" s="57" t="n">
        <f aca="false">IF(D9=0,0,E9/D9)</f>
        <v>22.6833333333333</v>
      </c>
      <c r="G9" s="58" t="n">
        <f aca="false">PANEL!$C$7</f>
        <v>6</v>
      </c>
      <c r="H9" s="58" t="n">
        <f aca="false">PANEL!$C$8</f>
        <v>2</v>
      </c>
      <c r="I9" s="58" t="n">
        <f aca="false">PANEL!$C$11</f>
        <v>4</v>
      </c>
      <c r="J9" s="57" t="n">
        <f aca="false">F9+G9+H9+I9</f>
        <v>34.6833333333333</v>
      </c>
      <c r="K9" s="57" t="n">
        <f aca="false">J9*PANEL!$C$12</f>
        <v>2.77466666666667</v>
      </c>
      <c r="L9" s="58" t="n">
        <f aca="false">PANEL!$C$15</f>
        <v>10</v>
      </c>
      <c r="M9" s="59" t="n">
        <f aca="false">J9+K9+L9</f>
        <v>47.458</v>
      </c>
      <c r="N9" s="57" t="n">
        <f aca="false">IF(PANEL!$C$16&gt;=1,0,M9/(1-PANEL!$C$16))</f>
        <v>118.645</v>
      </c>
      <c r="O9" s="60" t="n">
        <f aca="false">IF(PANEL!$C$18&lt;=0,N9,CEILING(N9,PANEL!$C$18))</f>
        <v>120</v>
      </c>
      <c r="P9" s="57" t="n">
        <f aca="false">O9-M9</f>
        <v>72.542</v>
      </c>
      <c r="Q9" s="61" t="n">
        <f aca="false">IF(O9=0,0,P9/O9)</f>
        <v>0.604516666666667</v>
      </c>
      <c r="R9" s="60" t="n">
        <f aca="false">IF(PANEL!$C$17&gt;=1,0,IF(PANEL!$C$18&lt;=0,M9/(1-PANEL!$C$17),CEILING(M9/(1-PANEL!$C$17),PANEL!$C$18)))</f>
        <v>75</v>
      </c>
      <c r="S9" s="57" t="n">
        <f aca="false">R9-M9</f>
        <v>27.542</v>
      </c>
      <c r="T9" s="57" t="n">
        <f aca="false">O9*(1+PANEL!$C$19)</f>
        <v>139.2</v>
      </c>
      <c r="U9" s="62" t="s">
        <v>466</v>
      </c>
      <c r="V9" s="62" t="s">
        <v>467</v>
      </c>
      <c r="W9" s="62" t="s">
        <v>468</v>
      </c>
      <c r="X9" s="62" t="s">
        <v>469</v>
      </c>
    </row>
    <row r="10" customFormat="false" ht="22.35" hidden="false" customHeight="false" outlineLevel="0" collapsed="false">
      <c r="A10" s="56" t="n">
        <v>3</v>
      </c>
      <c r="B10" s="16" t="s">
        <v>255</v>
      </c>
      <c r="C10" s="43" t="s">
        <v>461</v>
      </c>
      <c r="D10" s="56" t="n">
        <v>6</v>
      </c>
      <c r="E10" s="57" t="n">
        <f aca="false">SUMIFS('2. RECETAS'!$H$8:$H$557,'2. RECETAS'!$A$8:$A$557,$A10)</f>
        <v>168.15</v>
      </c>
      <c r="F10" s="57" t="n">
        <f aca="false">IF(D10=0,0,E10/D10)</f>
        <v>28.025</v>
      </c>
      <c r="G10" s="58" t="n">
        <f aca="false">PANEL!$C$7</f>
        <v>6</v>
      </c>
      <c r="H10" s="58" t="n">
        <f aca="false">PANEL!$C$8</f>
        <v>2</v>
      </c>
      <c r="I10" s="58" t="n">
        <f aca="false">PANEL!$C$11</f>
        <v>4</v>
      </c>
      <c r="J10" s="57" t="n">
        <f aca="false">F10+G10+H10+I10</f>
        <v>40.025</v>
      </c>
      <c r="K10" s="57" t="n">
        <f aca="false">J10*PANEL!$C$12</f>
        <v>3.202</v>
      </c>
      <c r="L10" s="58" t="n">
        <f aca="false">PANEL!$C$15</f>
        <v>10</v>
      </c>
      <c r="M10" s="59" t="n">
        <f aca="false">J10+K10+L10</f>
        <v>53.227</v>
      </c>
      <c r="N10" s="57" t="n">
        <f aca="false">IF(PANEL!$C$16&gt;=1,0,M10/(1-PANEL!$C$16))</f>
        <v>133.0675</v>
      </c>
      <c r="O10" s="60" t="n">
        <f aca="false">IF(PANEL!$C$18&lt;=0,N10,CEILING(N10,PANEL!$C$18))</f>
        <v>135</v>
      </c>
      <c r="P10" s="57" t="n">
        <f aca="false">O10-M10</f>
        <v>81.773</v>
      </c>
      <c r="Q10" s="61" t="n">
        <f aca="false">IF(O10=0,0,P10/O10)</f>
        <v>0.605725925925926</v>
      </c>
      <c r="R10" s="60" t="n">
        <f aca="false">IF(PANEL!$C$17&gt;=1,0,IF(PANEL!$C$18&lt;=0,M10/(1-PANEL!$C$17),CEILING(M10/(1-PANEL!$C$17),PANEL!$C$18)))</f>
        <v>85</v>
      </c>
      <c r="S10" s="57" t="n">
        <f aca="false">R10-M10</f>
        <v>31.773</v>
      </c>
      <c r="T10" s="57" t="n">
        <f aca="false">O10*(1+PANEL!$C$19)</f>
        <v>156.6</v>
      </c>
      <c r="U10" s="62" t="s">
        <v>470</v>
      </c>
      <c r="V10" s="62" t="s">
        <v>471</v>
      </c>
      <c r="W10" s="62" t="s">
        <v>472</v>
      </c>
      <c r="X10" s="62" t="s">
        <v>469</v>
      </c>
    </row>
    <row r="11" customFormat="false" ht="32.8" hidden="false" customHeight="false" outlineLevel="0" collapsed="false">
      <c r="A11" s="56" t="n">
        <v>4</v>
      </c>
      <c r="B11" s="16" t="s">
        <v>260</v>
      </c>
      <c r="C11" s="43" t="s">
        <v>461</v>
      </c>
      <c r="D11" s="56" t="n">
        <v>6</v>
      </c>
      <c r="E11" s="57" t="n">
        <f aca="false">SUMIFS('2. RECETAS'!$H$8:$H$557,'2. RECETAS'!$A$8:$A$557,$A11)</f>
        <v>113.8</v>
      </c>
      <c r="F11" s="57" t="n">
        <f aca="false">IF(D11=0,0,E11/D11)</f>
        <v>18.9666666666667</v>
      </c>
      <c r="G11" s="58" t="n">
        <f aca="false">PANEL!$C$7</f>
        <v>6</v>
      </c>
      <c r="H11" s="58" t="n">
        <f aca="false">PANEL!$C$8</f>
        <v>2</v>
      </c>
      <c r="I11" s="58" t="n">
        <f aca="false">PANEL!$C$11</f>
        <v>4</v>
      </c>
      <c r="J11" s="57" t="n">
        <f aca="false">F11+G11+H11+I11</f>
        <v>30.9666666666667</v>
      </c>
      <c r="K11" s="57" t="n">
        <f aca="false">J11*PANEL!$C$12</f>
        <v>2.47733333333333</v>
      </c>
      <c r="L11" s="58" t="n">
        <f aca="false">PANEL!$C$15</f>
        <v>10</v>
      </c>
      <c r="M11" s="59" t="n">
        <f aca="false">J11+K11+L11</f>
        <v>43.444</v>
      </c>
      <c r="N11" s="57" t="n">
        <f aca="false">IF(PANEL!$C$16&gt;=1,0,M11/(1-PANEL!$C$16))</f>
        <v>108.61</v>
      </c>
      <c r="O11" s="60" t="n">
        <f aca="false">IF(PANEL!$C$18&lt;=0,N11,CEILING(N11,PANEL!$C$18))</f>
        <v>110</v>
      </c>
      <c r="P11" s="57" t="n">
        <f aca="false">O11-M11</f>
        <v>66.556</v>
      </c>
      <c r="Q11" s="61" t="n">
        <f aca="false">IF(O11=0,0,P11/O11)</f>
        <v>0.605054545454546</v>
      </c>
      <c r="R11" s="60" t="n">
        <f aca="false">IF(PANEL!$C$17&gt;=1,0,IF(PANEL!$C$18&lt;=0,M11/(1-PANEL!$C$17),CEILING(M11/(1-PANEL!$C$17),PANEL!$C$18)))</f>
        <v>70</v>
      </c>
      <c r="S11" s="57" t="n">
        <f aca="false">R11-M11</f>
        <v>26.556</v>
      </c>
      <c r="T11" s="57" t="n">
        <f aca="false">O11*(1+PANEL!$C$19)</f>
        <v>127.6</v>
      </c>
      <c r="U11" s="62" t="s">
        <v>473</v>
      </c>
      <c r="V11" s="62" t="s">
        <v>474</v>
      </c>
      <c r="W11" s="62" t="s">
        <v>475</v>
      </c>
      <c r="X11" s="62" t="s">
        <v>476</v>
      </c>
    </row>
    <row r="12" customFormat="false" ht="22.35" hidden="false" customHeight="false" outlineLevel="0" collapsed="false">
      <c r="A12" s="56" t="n">
        <v>5</v>
      </c>
      <c r="B12" s="16" t="s">
        <v>264</v>
      </c>
      <c r="C12" s="43" t="s">
        <v>461</v>
      </c>
      <c r="D12" s="56" t="n">
        <v>6</v>
      </c>
      <c r="E12" s="57" t="n">
        <f aca="false">SUMIFS('2. RECETAS'!$H$8:$H$557,'2. RECETAS'!$A$8:$A$557,$A12)</f>
        <v>181.97</v>
      </c>
      <c r="F12" s="57" t="n">
        <f aca="false">IF(D12=0,0,E12/D12)</f>
        <v>30.3283333333333</v>
      </c>
      <c r="G12" s="58" t="n">
        <f aca="false">PANEL!$C$7</f>
        <v>6</v>
      </c>
      <c r="H12" s="58" t="n">
        <f aca="false">PANEL!$C$8</f>
        <v>2</v>
      </c>
      <c r="I12" s="58" t="n">
        <f aca="false">PANEL!$C$11</f>
        <v>4</v>
      </c>
      <c r="J12" s="57" t="n">
        <f aca="false">F12+G12+H12+I12</f>
        <v>42.3283333333333</v>
      </c>
      <c r="K12" s="57" t="n">
        <f aca="false">J12*PANEL!$C$12</f>
        <v>3.38626666666667</v>
      </c>
      <c r="L12" s="58" t="n">
        <f aca="false">PANEL!$C$15</f>
        <v>10</v>
      </c>
      <c r="M12" s="59" t="n">
        <f aca="false">J12+K12+L12</f>
        <v>55.7146</v>
      </c>
      <c r="N12" s="57" t="n">
        <f aca="false">IF(PANEL!$C$16&gt;=1,0,M12/(1-PANEL!$C$16))</f>
        <v>139.2865</v>
      </c>
      <c r="O12" s="60" t="n">
        <f aca="false">IF(PANEL!$C$18&lt;=0,N12,CEILING(N12,PANEL!$C$18))</f>
        <v>140</v>
      </c>
      <c r="P12" s="57" t="n">
        <f aca="false">O12-M12</f>
        <v>84.2854</v>
      </c>
      <c r="Q12" s="61" t="n">
        <f aca="false">IF(O12=0,0,P12/O12)</f>
        <v>0.602038571428572</v>
      </c>
      <c r="R12" s="60" t="n">
        <f aca="false">IF(PANEL!$C$17&gt;=1,0,IF(PANEL!$C$18&lt;=0,M12/(1-PANEL!$C$17),CEILING(M12/(1-PANEL!$C$17),PANEL!$C$18)))</f>
        <v>90</v>
      </c>
      <c r="S12" s="57" t="n">
        <f aca="false">R12-M12</f>
        <v>34.2854</v>
      </c>
      <c r="T12" s="57" t="n">
        <f aca="false">O12*(1+PANEL!$C$19)</f>
        <v>162.4</v>
      </c>
      <c r="U12" s="62" t="s">
        <v>477</v>
      </c>
      <c r="V12" s="62" t="s">
        <v>474</v>
      </c>
      <c r="W12" s="62" t="s">
        <v>464</v>
      </c>
      <c r="X12" s="62" t="s">
        <v>478</v>
      </c>
    </row>
    <row r="13" customFormat="false" ht="22.35" hidden="false" customHeight="false" outlineLevel="0" collapsed="false">
      <c r="A13" s="56" t="n">
        <v>6</v>
      </c>
      <c r="B13" s="16" t="s">
        <v>269</v>
      </c>
      <c r="C13" s="43" t="s">
        <v>461</v>
      </c>
      <c r="D13" s="56" t="n">
        <v>6</v>
      </c>
      <c r="E13" s="57" t="n">
        <f aca="false">SUMIFS('2. RECETAS'!$H$8:$H$557,'2. RECETAS'!$A$8:$A$557,$A13)</f>
        <v>217.36</v>
      </c>
      <c r="F13" s="57" t="n">
        <f aca="false">IF(D13=0,0,E13/D13)</f>
        <v>36.2266666666667</v>
      </c>
      <c r="G13" s="58" t="n">
        <f aca="false">PANEL!$C$7</f>
        <v>6</v>
      </c>
      <c r="H13" s="58" t="n">
        <f aca="false">PANEL!$C$8</f>
        <v>2</v>
      </c>
      <c r="I13" s="58" t="n">
        <f aca="false">PANEL!$C$11</f>
        <v>4</v>
      </c>
      <c r="J13" s="57" t="n">
        <f aca="false">F13+G13+H13+I13</f>
        <v>48.2266666666667</v>
      </c>
      <c r="K13" s="57" t="n">
        <f aca="false">J13*PANEL!$C$12</f>
        <v>3.85813333333333</v>
      </c>
      <c r="L13" s="58" t="n">
        <f aca="false">PANEL!$C$15</f>
        <v>10</v>
      </c>
      <c r="M13" s="59" t="n">
        <f aca="false">J13+K13+L13</f>
        <v>62.0848</v>
      </c>
      <c r="N13" s="57" t="n">
        <f aca="false">IF(PANEL!$C$16&gt;=1,0,M13/(1-PANEL!$C$16))</f>
        <v>155.212</v>
      </c>
      <c r="O13" s="60" t="n">
        <f aca="false">IF(PANEL!$C$18&lt;=0,N13,CEILING(N13,PANEL!$C$18))</f>
        <v>160</v>
      </c>
      <c r="P13" s="57" t="n">
        <f aca="false">O13-M13</f>
        <v>97.9152</v>
      </c>
      <c r="Q13" s="61" t="n">
        <f aca="false">IF(O13=0,0,P13/O13)</f>
        <v>0.61197</v>
      </c>
      <c r="R13" s="60" t="n">
        <f aca="false">IF(PANEL!$C$17&gt;=1,0,IF(PANEL!$C$18&lt;=0,M13/(1-PANEL!$C$17),CEILING(M13/(1-PANEL!$C$17),PANEL!$C$18)))</f>
        <v>100</v>
      </c>
      <c r="S13" s="57" t="n">
        <f aca="false">R13-M13</f>
        <v>37.9152</v>
      </c>
      <c r="T13" s="57" t="n">
        <f aca="false">O13*(1+PANEL!$C$19)</f>
        <v>185.6</v>
      </c>
      <c r="U13" s="62" t="s">
        <v>479</v>
      </c>
      <c r="V13" s="62" t="s">
        <v>480</v>
      </c>
      <c r="W13" s="62" t="s">
        <v>464</v>
      </c>
      <c r="X13" s="62" t="s">
        <v>481</v>
      </c>
    </row>
    <row r="14" customFormat="false" ht="15" hidden="false" customHeight="false" outlineLevel="0" collapsed="false">
      <c r="A14" s="56" t="n">
        <v>7</v>
      </c>
      <c r="B14" s="16" t="s">
        <v>273</v>
      </c>
      <c r="C14" s="43" t="s">
        <v>461</v>
      </c>
      <c r="D14" s="56" t="n">
        <v>6</v>
      </c>
      <c r="E14" s="57" t="n">
        <f aca="false">SUMIFS('2. RECETAS'!$H$8:$H$557,'2. RECETAS'!$A$8:$A$557,$A14)</f>
        <v>70.03</v>
      </c>
      <c r="F14" s="57" t="n">
        <f aca="false">IF(D14=0,0,E14/D14)</f>
        <v>11.6716666666667</v>
      </c>
      <c r="G14" s="58" t="n">
        <f aca="false">PANEL!$C$7</f>
        <v>6</v>
      </c>
      <c r="H14" s="58" t="n">
        <f aca="false">PANEL!$C$8</f>
        <v>2</v>
      </c>
      <c r="I14" s="58" t="n">
        <f aca="false">PANEL!$C$11</f>
        <v>4</v>
      </c>
      <c r="J14" s="57" t="n">
        <f aca="false">F14+G14+H14+I14</f>
        <v>23.6716666666667</v>
      </c>
      <c r="K14" s="57" t="n">
        <f aca="false">J14*PANEL!$C$12</f>
        <v>1.89373333333333</v>
      </c>
      <c r="L14" s="58" t="n">
        <f aca="false">PANEL!$C$15</f>
        <v>10</v>
      </c>
      <c r="M14" s="59" t="n">
        <f aca="false">J14+K14+L14</f>
        <v>35.5654</v>
      </c>
      <c r="N14" s="57" t="n">
        <f aca="false">IF(PANEL!$C$16&gt;=1,0,M14/(1-PANEL!$C$16))</f>
        <v>88.9135</v>
      </c>
      <c r="O14" s="60" t="n">
        <f aca="false">IF(PANEL!$C$18&lt;=0,N14,CEILING(N14,PANEL!$C$18))</f>
        <v>90</v>
      </c>
      <c r="P14" s="57" t="n">
        <f aca="false">O14-M14</f>
        <v>54.4346</v>
      </c>
      <c r="Q14" s="61" t="n">
        <f aca="false">IF(O14=0,0,P14/O14)</f>
        <v>0.604828888888889</v>
      </c>
      <c r="R14" s="60" t="n">
        <f aca="false">IF(PANEL!$C$17&gt;=1,0,IF(PANEL!$C$18&lt;=0,M14/(1-PANEL!$C$17),CEILING(M14/(1-PANEL!$C$17),PANEL!$C$18)))</f>
        <v>55</v>
      </c>
      <c r="S14" s="57" t="n">
        <f aca="false">R14-M14</f>
        <v>19.4346</v>
      </c>
      <c r="T14" s="57" t="n">
        <f aca="false">O14*(1+PANEL!$C$19)</f>
        <v>104.4</v>
      </c>
      <c r="U14" s="62" t="s">
        <v>482</v>
      </c>
      <c r="V14" s="62" t="s">
        <v>474</v>
      </c>
      <c r="W14" s="62" t="s">
        <v>472</v>
      </c>
      <c r="X14" s="62" t="s">
        <v>478</v>
      </c>
    </row>
    <row r="15" customFormat="false" ht="15" hidden="false" customHeight="false" outlineLevel="0" collapsed="false">
      <c r="A15" s="56" t="n">
        <v>8</v>
      </c>
      <c r="B15" s="16" t="s">
        <v>274</v>
      </c>
      <c r="C15" s="43" t="s">
        <v>461</v>
      </c>
      <c r="D15" s="56" t="n">
        <v>6</v>
      </c>
      <c r="E15" s="57" t="n">
        <f aca="false">SUMIFS('2. RECETAS'!$H$8:$H$557,'2. RECETAS'!$A$8:$A$557,$A15)</f>
        <v>127.02</v>
      </c>
      <c r="F15" s="57" t="n">
        <f aca="false">IF(D15=0,0,E15/D15)</f>
        <v>21.17</v>
      </c>
      <c r="G15" s="58" t="n">
        <f aca="false">PANEL!$C$7</f>
        <v>6</v>
      </c>
      <c r="H15" s="58" t="n">
        <f aca="false">PANEL!$C$8</f>
        <v>2</v>
      </c>
      <c r="I15" s="58" t="n">
        <f aca="false">PANEL!$C$11</f>
        <v>4</v>
      </c>
      <c r="J15" s="57" t="n">
        <f aca="false">F15+G15+H15+I15</f>
        <v>33.17</v>
      </c>
      <c r="K15" s="57" t="n">
        <f aca="false">J15*PANEL!$C$12</f>
        <v>2.6536</v>
      </c>
      <c r="L15" s="58" t="n">
        <f aca="false">PANEL!$C$15</f>
        <v>10</v>
      </c>
      <c r="M15" s="59" t="n">
        <f aca="false">J15+K15+L15</f>
        <v>45.8236</v>
      </c>
      <c r="N15" s="57" t="n">
        <f aca="false">IF(PANEL!$C$16&gt;=1,0,M15/(1-PANEL!$C$16))</f>
        <v>114.559</v>
      </c>
      <c r="O15" s="60" t="n">
        <f aca="false">IF(PANEL!$C$18&lt;=0,N15,CEILING(N15,PANEL!$C$18))</f>
        <v>115</v>
      </c>
      <c r="P15" s="57" t="n">
        <f aca="false">O15-M15</f>
        <v>69.1764</v>
      </c>
      <c r="Q15" s="61" t="n">
        <f aca="false">IF(O15=0,0,P15/O15)</f>
        <v>0.601533913043478</v>
      </c>
      <c r="R15" s="60" t="n">
        <f aca="false">IF(PANEL!$C$17&gt;=1,0,IF(PANEL!$C$18&lt;=0,M15/(1-PANEL!$C$17),CEILING(M15/(1-PANEL!$C$17),PANEL!$C$18)))</f>
        <v>75</v>
      </c>
      <c r="S15" s="57" t="n">
        <f aca="false">R15-M15</f>
        <v>29.1764</v>
      </c>
      <c r="T15" s="57" t="n">
        <f aca="false">O15*(1+PANEL!$C$19)</f>
        <v>133.4</v>
      </c>
      <c r="U15" s="62" t="s">
        <v>483</v>
      </c>
      <c r="V15" s="62" t="s">
        <v>474</v>
      </c>
      <c r="W15" s="62" t="s">
        <v>472</v>
      </c>
      <c r="X15" s="62" t="s">
        <v>484</v>
      </c>
    </row>
    <row r="16" customFormat="false" ht="15" hidden="false" customHeight="false" outlineLevel="0" collapsed="false">
      <c r="A16" s="56" t="n">
        <v>9</v>
      </c>
      <c r="B16" s="16" t="s">
        <v>278</v>
      </c>
      <c r="C16" s="43" t="s">
        <v>461</v>
      </c>
      <c r="D16" s="56" t="n">
        <v>6</v>
      </c>
      <c r="E16" s="57" t="n">
        <f aca="false">SUMIFS('2. RECETAS'!$H$8:$H$557,'2. RECETAS'!$A$8:$A$557,$A16)</f>
        <v>105.03</v>
      </c>
      <c r="F16" s="57" t="n">
        <f aca="false">IF(D16=0,0,E16/D16)</f>
        <v>17.505</v>
      </c>
      <c r="G16" s="58" t="n">
        <f aca="false">PANEL!$C$7</f>
        <v>6</v>
      </c>
      <c r="H16" s="58" t="n">
        <f aca="false">PANEL!$C$8</f>
        <v>2</v>
      </c>
      <c r="I16" s="58" t="n">
        <f aca="false">PANEL!$C$11</f>
        <v>4</v>
      </c>
      <c r="J16" s="57" t="n">
        <f aca="false">F16+G16+H16+I16</f>
        <v>29.505</v>
      </c>
      <c r="K16" s="57" t="n">
        <f aca="false">J16*PANEL!$C$12</f>
        <v>2.3604</v>
      </c>
      <c r="L16" s="58" t="n">
        <f aca="false">PANEL!$C$15</f>
        <v>10</v>
      </c>
      <c r="M16" s="59" t="n">
        <f aca="false">J16+K16+L16</f>
        <v>41.8654</v>
      </c>
      <c r="N16" s="57" t="n">
        <f aca="false">IF(PANEL!$C$16&gt;=1,0,M16/(1-PANEL!$C$16))</f>
        <v>104.6635</v>
      </c>
      <c r="O16" s="60" t="n">
        <f aca="false">IF(PANEL!$C$18&lt;=0,N16,CEILING(N16,PANEL!$C$18))</f>
        <v>105</v>
      </c>
      <c r="P16" s="57" t="n">
        <f aca="false">O16-M16</f>
        <v>63.1346</v>
      </c>
      <c r="Q16" s="61" t="n">
        <f aca="false">IF(O16=0,0,P16/O16)</f>
        <v>0.601281904761905</v>
      </c>
      <c r="R16" s="60" t="n">
        <f aca="false">IF(PANEL!$C$17&gt;=1,0,IF(PANEL!$C$18&lt;=0,M16/(1-PANEL!$C$17),CEILING(M16/(1-PANEL!$C$17),PANEL!$C$18)))</f>
        <v>65</v>
      </c>
      <c r="S16" s="57" t="n">
        <f aca="false">R16-M16</f>
        <v>23.1346</v>
      </c>
      <c r="T16" s="57" t="n">
        <f aca="false">O16*(1+PANEL!$C$19)</f>
        <v>121.8</v>
      </c>
      <c r="U16" s="62" t="s">
        <v>485</v>
      </c>
      <c r="V16" s="62" t="s">
        <v>474</v>
      </c>
      <c r="W16" s="62" t="s">
        <v>475</v>
      </c>
      <c r="X16" s="62" t="s">
        <v>486</v>
      </c>
    </row>
    <row r="17" customFormat="false" ht="22.35" hidden="false" customHeight="false" outlineLevel="0" collapsed="false">
      <c r="A17" s="56" t="n">
        <v>10</v>
      </c>
      <c r="B17" s="16" t="s">
        <v>282</v>
      </c>
      <c r="C17" s="43" t="s">
        <v>461</v>
      </c>
      <c r="D17" s="56" t="n">
        <v>6</v>
      </c>
      <c r="E17" s="57" t="n">
        <f aca="false">SUMIFS('2. RECETAS'!$H$8:$H$557,'2. RECETAS'!$A$8:$A$557,$A17)</f>
        <v>135.63</v>
      </c>
      <c r="F17" s="57" t="n">
        <f aca="false">IF(D17=0,0,E17/D17)</f>
        <v>22.605</v>
      </c>
      <c r="G17" s="58" t="n">
        <f aca="false">PANEL!$C$7</f>
        <v>6</v>
      </c>
      <c r="H17" s="58" t="n">
        <f aca="false">PANEL!$C$8</f>
        <v>2</v>
      </c>
      <c r="I17" s="58" t="n">
        <f aca="false">PANEL!$C$11</f>
        <v>4</v>
      </c>
      <c r="J17" s="57" t="n">
        <f aca="false">F17+G17+H17+I17</f>
        <v>34.605</v>
      </c>
      <c r="K17" s="57" t="n">
        <f aca="false">J17*PANEL!$C$12</f>
        <v>2.7684</v>
      </c>
      <c r="L17" s="58" t="n">
        <f aca="false">PANEL!$C$15</f>
        <v>10</v>
      </c>
      <c r="M17" s="59" t="n">
        <f aca="false">J17+K17+L17</f>
        <v>47.3734</v>
      </c>
      <c r="N17" s="57" t="n">
        <f aca="false">IF(PANEL!$C$16&gt;=1,0,M17/(1-PANEL!$C$16))</f>
        <v>118.4335</v>
      </c>
      <c r="O17" s="60" t="n">
        <f aca="false">IF(PANEL!$C$18&lt;=0,N17,CEILING(N17,PANEL!$C$18))</f>
        <v>120</v>
      </c>
      <c r="P17" s="57" t="n">
        <f aca="false">O17-M17</f>
        <v>72.6266</v>
      </c>
      <c r="Q17" s="61" t="n">
        <f aca="false">IF(O17=0,0,P17/O17)</f>
        <v>0.605221666666667</v>
      </c>
      <c r="R17" s="60" t="n">
        <f aca="false">IF(PANEL!$C$17&gt;=1,0,IF(PANEL!$C$18&lt;=0,M17/(1-PANEL!$C$17),CEILING(M17/(1-PANEL!$C$17),PANEL!$C$18)))</f>
        <v>75</v>
      </c>
      <c r="S17" s="57" t="n">
        <f aca="false">R17-M17</f>
        <v>27.6266</v>
      </c>
      <c r="T17" s="57" t="n">
        <f aca="false">O17*(1+PANEL!$C$19)</f>
        <v>139.2</v>
      </c>
      <c r="U17" s="62" t="s">
        <v>487</v>
      </c>
      <c r="V17" s="62" t="s">
        <v>480</v>
      </c>
      <c r="W17" s="62" t="s">
        <v>464</v>
      </c>
      <c r="X17" s="62" t="s">
        <v>478</v>
      </c>
    </row>
    <row r="18" customFormat="false" ht="15" hidden="false" customHeight="false" outlineLevel="0" collapsed="false">
      <c r="A18" s="56" t="n">
        <v>11</v>
      </c>
      <c r="B18" s="16" t="s">
        <v>286</v>
      </c>
      <c r="C18" s="43" t="s">
        <v>461</v>
      </c>
      <c r="D18" s="56" t="n">
        <v>6</v>
      </c>
      <c r="E18" s="57" t="n">
        <f aca="false">SUMIFS('2. RECETAS'!$H$8:$H$557,'2. RECETAS'!$A$8:$A$557,$A18)</f>
        <v>103.48</v>
      </c>
      <c r="F18" s="57" t="n">
        <f aca="false">IF(D18=0,0,E18/D18)</f>
        <v>17.2466666666667</v>
      </c>
      <c r="G18" s="58" t="n">
        <f aca="false">PANEL!$C$7</f>
        <v>6</v>
      </c>
      <c r="H18" s="58" t="n">
        <f aca="false">PANEL!$C$8</f>
        <v>2</v>
      </c>
      <c r="I18" s="58" t="n">
        <f aca="false">PANEL!$C$11</f>
        <v>4</v>
      </c>
      <c r="J18" s="57" t="n">
        <f aca="false">F18+G18+H18+I18</f>
        <v>29.2466666666667</v>
      </c>
      <c r="K18" s="57" t="n">
        <f aca="false">J18*PANEL!$C$12</f>
        <v>2.33973333333333</v>
      </c>
      <c r="L18" s="58" t="n">
        <f aca="false">PANEL!$C$15</f>
        <v>10</v>
      </c>
      <c r="M18" s="59" t="n">
        <f aca="false">J18+K18+L18</f>
        <v>41.5864</v>
      </c>
      <c r="N18" s="57" t="n">
        <f aca="false">IF(PANEL!$C$16&gt;=1,0,M18/(1-PANEL!$C$16))</f>
        <v>103.966</v>
      </c>
      <c r="O18" s="60" t="n">
        <f aca="false">IF(PANEL!$C$18&lt;=0,N18,CEILING(N18,PANEL!$C$18))</f>
        <v>105</v>
      </c>
      <c r="P18" s="57" t="n">
        <f aca="false">O18-M18</f>
        <v>63.4136</v>
      </c>
      <c r="Q18" s="61" t="n">
        <f aca="false">IF(O18=0,0,P18/O18)</f>
        <v>0.603939047619048</v>
      </c>
      <c r="R18" s="60" t="n">
        <f aca="false">IF(PANEL!$C$17&gt;=1,0,IF(PANEL!$C$18&lt;=0,M18/(1-PANEL!$C$17),CEILING(M18/(1-PANEL!$C$17),PANEL!$C$18)))</f>
        <v>65</v>
      </c>
      <c r="S18" s="57" t="n">
        <f aca="false">R18-M18</f>
        <v>23.4136</v>
      </c>
      <c r="T18" s="57" t="n">
        <f aca="false">O18*(1+PANEL!$C$19)</f>
        <v>121.8</v>
      </c>
      <c r="U18" s="62" t="s">
        <v>488</v>
      </c>
      <c r="V18" s="62" t="s">
        <v>474</v>
      </c>
      <c r="W18" s="62" t="s">
        <v>464</v>
      </c>
      <c r="X18" s="62"/>
    </row>
    <row r="19" customFormat="false" ht="22.35" hidden="false" customHeight="false" outlineLevel="0" collapsed="false">
      <c r="A19" s="56" t="n">
        <v>12</v>
      </c>
      <c r="B19" s="16" t="s">
        <v>296</v>
      </c>
      <c r="C19" s="43" t="s">
        <v>461</v>
      </c>
      <c r="D19" s="56" t="n">
        <v>6</v>
      </c>
      <c r="E19" s="57" t="n">
        <f aca="false">SUMIFS('2. RECETAS'!$H$8:$H$557,'2. RECETAS'!$A$8:$A$557,$A19)</f>
        <v>104.13</v>
      </c>
      <c r="F19" s="57" t="n">
        <f aca="false">IF(D19=0,0,E19/D19)</f>
        <v>17.355</v>
      </c>
      <c r="G19" s="58" t="n">
        <f aca="false">PANEL!$C$7</f>
        <v>6</v>
      </c>
      <c r="H19" s="58" t="n">
        <f aca="false">PANEL!$C$8</f>
        <v>2</v>
      </c>
      <c r="I19" s="58" t="n">
        <f aca="false">PANEL!$C$11</f>
        <v>4</v>
      </c>
      <c r="J19" s="57" t="n">
        <f aca="false">F19+G19+H19+I19</f>
        <v>29.355</v>
      </c>
      <c r="K19" s="57" t="n">
        <f aca="false">J19*PANEL!$C$12</f>
        <v>2.3484</v>
      </c>
      <c r="L19" s="58" t="n">
        <f aca="false">PANEL!$C$15</f>
        <v>10</v>
      </c>
      <c r="M19" s="59" t="n">
        <f aca="false">J19+K19+L19</f>
        <v>41.7034</v>
      </c>
      <c r="N19" s="57" t="n">
        <f aca="false">IF(PANEL!$C$16&gt;=1,0,M19/(1-PANEL!$C$16))</f>
        <v>104.2585</v>
      </c>
      <c r="O19" s="60" t="n">
        <f aca="false">IF(PANEL!$C$18&lt;=0,N19,CEILING(N19,PANEL!$C$18))</f>
        <v>105</v>
      </c>
      <c r="P19" s="57" t="n">
        <f aca="false">O19-M19</f>
        <v>63.2966</v>
      </c>
      <c r="Q19" s="61" t="n">
        <f aca="false">IF(O19=0,0,P19/O19)</f>
        <v>0.602824761904762</v>
      </c>
      <c r="R19" s="60" t="n">
        <f aca="false">IF(PANEL!$C$17&gt;=1,0,IF(PANEL!$C$18&lt;=0,M19/(1-PANEL!$C$17),CEILING(M19/(1-PANEL!$C$17),PANEL!$C$18)))</f>
        <v>65</v>
      </c>
      <c r="S19" s="57" t="n">
        <f aca="false">R19-M19</f>
        <v>23.2966</v>
      </c>
      <c r="T19" s="57" t="n">
        <f aca="false">O19*(1+PANEL!$C$19)</f>
        <v>121.8</v>
      </c>
      <c r="U19" s="62" t="s">
        <v>489</v>
      </c>
      <c r="V19" s="62" t="s">
        <v>474</v>
      </c>
      <c r="W19" s="62" t="s">
        <v>475</v>
      </c>
      <c r="X19" s="62"/>
    </row>
    <row r="20" customFormat="false" ht="15" hidden="false" customHeight="false" outlineLevel="0" collapsed="false">
      <c r="A20" s="56" t="n">
        <v>13</v>
      </c>
      <c r="B20" s="16" t="s">
        <v>301</v>
      </c>
      <c r="C20" s="43" t="s">
        <v>461</v>
      </c>
      <c r="D20" s="56" t="n">
        <v>6</v>
      </c>
      <c r="E20" s="57" t="n">
        <f aca="false">SUMIFS('2. RECETAS'!$H$8:$H$557,'2. RECETAS'!$A$8:$A$557,$A20)</f>
        <v>64.83</v>
      </c>
      <c r="F20" s="57" t="n">
        <f aca="false">IF(D20=0,0,E20/D20)</f>
        <v>10.805</v>
      </c>
      <c r="G20" s="58" t="n">
        <f aca="false">PANEL!$C$7</f>
        <v>6</v>
      </c>
      <c r="H20" s="58" t="n">
        <f aca="false">PANEL!$C$8</f>
        <v>2</v>
      </c>
      <c r="I20" s="58" t="n">
        <f aca="false">PANEL!$C$11</f>
        <v>4</v>
      </c>
      <c r="J20" s="57" t="n">
        <f aca="false">F20+G20+H20+I20</f>
        <v>22.805</v>
      </c>
      <c r="K20" s="57" t="n">
        <f aca="false">J20*PANEL!$C$12</f>
        <v>1.8244</v>
      </c>
      <c r="L20" s="58" t="n">
        <f aca="false">PANEL!$C$15</f>
        <v>10</v>
      </c>
      <c r="M20" s="59" t="n">
        <f aca="false">J20+K20+L20</f>
        <v>34.6294</v>
      </c>
      <c r="N20" s="57" t="n">
        <f aca="false">IF(PANEL!$C$16&gt;=1,0,M20/(1-PANEL!$C$16))</f>
        <v>86.5735</v>
      </c>
      <c r="O20" s="60" t="n">
        <f aca="false">IF(PANEL!$C$18&lt;=0,N20,CEILING(N20,PANEL!$C$18))</f>
        <v>90</v>
      </c>
      <c r="P20" s="57" t="n">
        <f aca="false">O20-M20</f>
        <v>55.3706</v>
      </c>
      <c r="Q20" s="61" t="n">
        <f aca="false">IF(O20=0,0,P20/O20)</f>
        <v>0.615228888888889</v>
      </c>
      <c r="R20" s="60" t="n">
        <f aca="false">IF(PANEL!$C$17&gt;=1,0,IF(PANEL!$C$18&lt;=0,M20/(1-PANEL!$C$17),CEILING(M20/(1-PANEL!$C$17),PANEL!$C$18)))</f>
        <v>55</v>
      </c>
      <c r="S20" s="57" t="n">
        <f aca="false">R20-M20</f>
        <v>20.3706</v>
      </c>
      <c r="T20" s="57" t="n">
        <f aca="false">O20*(1+PANEL!$C$19)</f>
        <v>104.4</v>
      </c>
      <c r="U20" s="62" t="s">
        <v>490</v>
      </c>
      <c r="V20" s="62" t="s">
        <v>474</v>
      </c>
      <c r="W20" s="62" t="s">
        <v>472</v>
      </c>
      <c r="X20" s="62"/>
    </row>
    <row r="21" customFormat="false" ht="22.35" hidden="false" customHeight="false" outlineLevel="0" collapsed="false">
      <c r="A21" s="56" t="n">
        <v>14</v>
      </c>
      <c r="B21" s="16" t="s">
        <v>302</v>
      </c>
      <c r="C21" s="43" t="s">
        <v>461</v>
      </c>
      <c r="D21" s="56" t="n">
        <v>6</v>
      </c>
      <c r="E21" s="57" t="n">
        <f aca="false">SUMIFS('2. RECETAS'!$H$8:$H$557,'2. RECETAS'!$A$8:$A$557,$A21)</f>
        <v>100.59</v>
      </c>
      <c r="F21" s="57" t="n">
        <f aca="false">IF(D21=0,0,E21/D21)</f>
        <v>16.765</v>
      </c>
      <c r="G21" s="58" t="n">
        <f aca="false">PANEL!$C$7</f>
        <v>6</v>
      </c>
      <c r="H21" s="58" t="n">
        <f aca="false">PANEL!$C$8</f>
        <v>2</v>
      </c>
      <c r="I21" s="58" t="n">
        <f aca="false">PANEL!$C$11</f>
        <v>4</v>
      </c>
      <c r="J21" s="57" t="n">
        <f aca="false">F21+G21+H21+I21</f>
        <v>28.765</v>
      </c>
      <c r="K21" s="57" t="n">
        <f aca="false">J21*PANEL!$C$12</f>
        <v>2.3012</v>
      </c>
      <c r="L21" s="58" t="n">
        <f aca="false">PANEL!$C$15</f>
        <v>10</v>
      </c>
      <c r="M21" s="59" t="n">
        <f aca="false">J21+K21+L21</f>
        <v>41.0662</v>
      </c>
      <c r="N21" s="57" t="n">
        <f aca="false">IF(PANEL!$C$16&gt;=1,0,M21/(1-PANEL!$C$16))</f>
        <v>102.6655</v>
      </c>
      <c r="O21" s="60" t="n">
        <f aca="false">IF(PANEL!$C$18&lt;=0,N21,CEILING(N21,PANEL!$C$18))</f>
        <v>105</v>
      </c>
      <c r="P21" s="57" t="n">
        <f aca="false">O21-M21</f>
        <v>63.9338</v>
      </c>
      <c r="Q21" s="61" t="n">
        <f aca="false">IF(O21=0,0,P21/O21)</f>
        <v>0.608893333333333</v>
      </c>
      <c r="R21" s="60" t="n">
        <f aca="false">IF(PANEL!$C$17&gt;=1,0,IF(PANEL!$C$18&lt;=0,M21/(1-PANEL!$C$17),CEILING(M21/(1-PANEL!$C$17),PANEL!$C$18)))</f>
        <v>65</v>
      </c>
      <c r="S21" s="57" t="n">
        <f aca="false">R21-M21</f>
        <v>23.9338</v>
      </c>
      <c r="T21" s="57" t="n">
        <f aca="false">O21*(1+PANEL!$C$19)</f>
        <v>121.8</v>
      </c>
      <c r="U21" s="62" t="s">
        <v>491</v>
      </c>
      <c r="V21" s="62" t="s">
        <v>474</v>
      </c>
      <c r="W21" s="62" t="s">
        <v>475</v>
      </c>
      <c r="X21" s="62"/>
    </row>
    <row r="22" customFormat="false" ht="15" hidden="false" customHeight="false" outlineLevel="0" collapsed="false">
      <c r="A22" s="56" t="n">
        <v>15</v>
      </c>
      <c r="B22" s="16" t="s">
        <v>305</v>
      </c>
      <c r="C22" s="43" t="s">
        <v>461</v>
      </c>
      <c r="D22" s="56" t="n">
        <v>6</v>
      </c>
      <c r="E22" s="57" t="n">
        <f aca="false">SUMIFS('2. RECETAS'!$H$8:$H$557,'2. RECETAS'!$A$8:$A$557,$A22)</f>
        <v>118.19</v>
      </c>
      <c r="F22" s="57" t="n">
        <f aca="false">IF(D22=0,0,E22/D22)</f>
        <v>19.6983333333333</v>
      </c>
      <c r="G22" s="58" t="n">
        <f aca="false">PANEL!$C$7</f>
        <v>6</v>
      </c>
      <c r="H22" s="58" t="n">
        <f aca="false">PANEL!$C$8</f>
        <v>2</v>
      </c>
      <c r="I22" s="58" t="n">
        <f aca="false">PANEL!$C$11</f>
        <v>4</v>
      </c>
      <c r="J22" s="57" t="n">
        <f aca="false">F22+G22+H22+I22</f>
        <v>31.6983333333333</v>
      </c>
      <c r="K22" s="57" t="n">
        <f aca="false">J22*PANEL!$C$12</f>
        <v>2.53586666666667</v>
      </c>
      <c r="L22" s="58" t="n">
        <f aca="false">PANEL!$C$15</f>
        <v>10</v>
      </c>
      <c r="M22" s="59" t="n">
        <f aca="false">J22+K22+L22</f>
        <v>44.2342</v>
      </c>
      <c r="N22" s="57" t="n">
        <f aca="false">IF(PANEL!$C$16&gt;=1,0,M22/(1-PANEL!$C$16))</f>
        <v>110.5855</v>
      </c>
      <c r="O22" s="60" t="n">
        <f aca="false">IF(PANEL!$C$18&lt;=0,N22,CEILING(N22,PANEL!$C$18))</f>
        <v>115</v>
      </c>
      <c r="P22" s="57" t="n">
        <f aca="false">O22-M22</f>
        <v>70.7658</v>
      </c>
      <c r="Q22" s="61" t="n">
        <f aca="false">IF(O22=0,0,P22/O22)</f>
        <v>0.615354782608696</v>
      </c>
      <c r="R22" s="60" t="n">
        <f aca="false">IF(PANEL!$C$17&gt;=1,0,IF(PANEL!$C$18&lt;=0,M22/(1-PANEL!$C$17),CEILING(M22/(1-PANEL!$C$17),PANEL!$C$18)))</f>
        <v>70</v>
      </c>
      <c r="S22" s="57" t="n">
        <f aca="false">R22-M22</f>
        <v>25.7658</v>
      </c>
      <c r="T22" s="57" t="n">
        <f aca="false">O22*(1+PANEL!$C$19)</f>
        <v>133.4</v>
      </c>
      <c r="U22" s="62" t="s">
        <v>492</v>
      </c>
      <c r="V22" s="62" t="s">
        <v>474</v>
      </c>
      <c r="W22" s="62" t="s">
        <v>475</v>
      </c>
      <c r="X22" s="62"/>
    </row>
    <row r="23" customFormat="false" ht="32.8" hidden="false" customHeight="false" outlineLevel="0" collapsed="false">
      <c r="A23" s="56" t="n">
        <v>16</v>
      </c>
      <c r="B23" s="16" t="s">
        <v>311</v>
      </c>
      <c r="C23" s="43" t="s">
        <v>493</v>
      </c>
      <c r="D23" s="56" t="n">
        <v>6</v>
      </c>
      <c r="E23" s="57" t="n">
        <f aca="false">SUMIFS('2. RECETAS'!$H$8:$H$557,'2. RECETAS'!$A$8:$A$557,$A23)</f>
        <v>117.941538461538</v>
      </c>
      <c r="F23" s="57" t="n">
        <f aca="false">IF(D23=0,0,E23/D23)</f>
        <v>19.6569230769231</v>
      </c>
      <c r="G23" s="58" t="n">
        <f aca="false">PANEL!$C$7</f>
        <v>6</v>
      </c>
      <c r="H23" s="58" t="n">
        <f aca="false">PANEL!$C$8</f>
        <v>2</v>
      </c>
      <c r="I23" s="58" t="n">
        <f aca="false">PANEL!$C$11</f>
        <v>4</v>
      </c>
      <c r="J23" s="57" t="n">
        <f aca="false">F23+G23+H23+I23</f>
        <v>31.6569230769231</v>
      </c>
      <c r="K23" s="57" t="n">
        <f aca="false">J23*PANEL!$C$12</f>
        <v>2.53255384615385</v>
      </c>
      <c r="L23" s="58" t="n">
        <f aca="false">PANEL!$C$15</f>
        <v>10</v>
      </c>
      <c r="M23" s="59" t="n">
        <f aca="false">J23+K23+L23</f>
        <v>44.1894769230769</v>
      </c>
      <c r="N23" s="57" t="n">
        <f aca="false">IF(PANEL!$C$16&gt;=1,0,M23/(1-PANEL!$C$16))</f>
        <v>110.473692307692</v>
      </c>
      <c r="O23" s="60" t="n">
        <f aca="false">IF(PANEL!$C$18&lt;=0,N23,CEILING(N23,PANEL!$C$18))</f>
        <v>115</v>
      </c>
      <c r="P23" s="57" t="n">
        <f aca="false">O23-M23</f>
        <v>70.8105230769231</v>
      </c>
      <c r="Q23" s="61" t="n">
        <f aca="false">IF(O23=0,0,P23/O23)</f>
        <v>0.615743678929766</v>
      </c>
      <c r="R23" s="60" t="n">
        <f aca="false">IF(PANEL!$C$17&gt;=1,0,IF(PANEL!$C$18&lt;=0,M23/(1-PANEL!$C$17),CEILING(M23/(1-PANEL!$C$17),PANEL!$C$18)))</f>
        <v>70</v>
      </c>
      <c r="S23" s="57" t="n">
        <f aca="false">R23-M23</f>
        <v>25.8105230769231</v>
      </c>
      <c r="T23" s="57" t="n">
        <f aca="false">O23*(1+PANEL!$C$19)</f>
        <v>133.4</v>
      </c>
      <c r="U23" s="62" t="s">
        <v>494</v>
      </c>
      <c r="V23" s="62" t="s">
        <v>467</v>
      </c>
      <c r="W23" s="62" t="s">
        <v>495</v>
      </c>
      <c r="X23" s="62" t="s">
        <v>496</v>
      </c>
    </row>
    <row r="24" customFormat="false" ht="22.35" hidden="false" customHeight="false" outlineLevel="0" collapsed="false">
      <c r="A24" s="56" t="n">
        <v>17</v>
      </c>
      <c r="B24" s="16" t="s">
        <v>315</v>
      </c>
      <c r="C24" s="43" t="s">
        <v>493</v>
      </c>
      <c r="D24" s="56" t="n">
        <v>6</v>
      </c>
      <c r="E24" s="57" t="n">
        <f aca="false">SUMIFS('2. RECETAS'!$H$8:$H$557,'2. RECETAS'!$A$8:$A$557,$A24)</f>
        <v>149.31</v>
      </c>
      <c r="F24" s="57" t="n">
        <f aca="false">IF(D24=0,0,E24/D24)</f>
        <v>24.885</v>
      </c>
      <c r="G24" s="58" t="n">
        <f aca="false">PANEL!$C$7</f>
        <v>6</v>
      </c>
      <c r="H24" s="58" t="n">
        <f aca="false">PANEL!$C$8</f>
        <v>2</v>
      </c>
      <c r="I24" s="58" t="n">
        <f aca="false">PANEL!$C$11</f>
        <v>4</v>
      </c>
      <c r="J24" s="57" t="n">
        <f aca="false">F24+G24+H24+I24</f>
        <v>36.885</v>
      </c>
      <c r="K24" s="57" t="n">
        <f aca="false">J24*PANEL!$C$12</f>
        <v>2.9508</v>
      </c>
      <c r="L24" s="58" t="n">
        <f aca="false">PANEL!$C$15</f>
        <v>10</v>
      </c>
      <c r="M24" s="59" t="n">
        <f aca="false">J24+K24+L24</f>
        <v>49.8358</v>
      </c>
      <c r="N24" s="57" t="n">
        <f aca="false">IF(PANEL!$C$16&gt;=1,0,M24/(1-PANEL!$C$16))</f>
        <v>124.5895</v>
      </c>
      <c r="O24" s="60" t="n">
        <f aca="false">IF(PANEL!$C$18&lt;=0,N24,CEILING(N24,PANEL!$C$18))</f>
        <v>125</v>
      </c>
      <c r="P24" s="57" t="n">
        <f aca="false">O24-M24</f>
        <v>75.1642</v>
      </c>
      <c r="Q24" s="61" t="n">
        <f aca="false">IF(O24=0,0,P24/O24)</f>
        <v>0.6013136</v>
      </c>
      <c r="R24" s="60" t="n">
        <f aca="false">IF(PANEL!$C$17&gt;=1,0,IF(PANEL!$C$18&lt;=0,M24/(1-PANEL!$C$17),CEILING(M24/(1-PANEL!$C$17),PANEL!$C$18)))</f>
        <v>80</v>
      </c>
      <c r="S24" s="57" t="n">
        <f aca="false">R24-M24</f>
        <v>30.1642</v>
      </c>
      <c r="T24" s="57" t="n">
        <f aca="false">O24*(1+PANEL!$C$19)</f>
        <v>145</v>
      </c>
      <c r="U24" s="62" t="s">
        <v>497</v>
      </c>
      <c r="V24" s="62" t="s">
        <v>480</v>
      </c>
      <c r="W24" s="62" t="s">
        <v>464</v>
      </c>
      <c r="X24" s="62"/>
    </row>
    <row r="25" customFormat="false" ht="22.35" hidden="false" customHeight="false" outlineLevel="0" collapsed="false">
      <c r="A25" s="56" t="n">
        <v>18</v>
      </c>
      <c r="B25" s="16" t="s">
        <v>318</v>
      </c>
      <c r="C25" s="43" t="s">
        <v>493</v>
      </c>
      <c r="D25" s="56" t="n">
        <v>6</v>
      </c>
      <c r="E25" s="57" t="n">
        <f aca="false">SUMIFS('2. RECETAS'!$H$8:$H$557,'2. RECETAS'!$A$8:$A$557,$A25)</f>
        <v>105.852352941176</v>
      </c>
      <c r="F25" s="57" t="n">
        <f aca="false">IF(D25=0,0,E25/D25)</f>
        <v>17.6420588235294</v>
      </c>
      <c r="G25" s="58" t="n">
        <f aca="false">PANEL!$C$7</f>
        <v>6</v>
      </c>
      <c r="H25" s="58" t="n">
        <f aca="false">PANEL!$C$8</f>
        <v>2</v>
      </c>
      <c r="I25" s="58" t="n">
        <f aca="false">PANEL!$C$11</f>
        <v>4</v>
      </c>
      <c r="J25" s="57" t="n">
        <f aca="false">F25+G25+H25+I25</f>
        <v>29.6420588235294</v>
      </c>
      <c r="K25" s="57" t="n">
        <f aca="false">J25*PANEL!$C$12</f>
        <v>2.37136470588235</v>
      </c>
      <c r="L25" s="58" t="n">
        <f aca="false">PANEL!$C$15</f>
        <v>10</v>
      </c>
      <c r="M25" s="59" t="n">
        <f aca="false">J25+K25+L25</f>
        <v>42.0134235294118</v>
      </c>
      <c r="N25" s="57" t="n">
        <f aca="false">IF(PANEL!$C$16&gt;=1,0,M25/(1-PANEL!$C$16))</f>
        <v>105.033558823529</v>
      </c>
      <c r="O25" s="60" t="n">
        <f aca="false">IF(PANEL!$C$18&lt;=0,N25,CEILING(N25,PANEL!$C$18))</f>
        <v>110</v>
      </c>
      <c r="P25" s="57" t="n">
        <f aca="false">O25-M25</f>
        <v>67.9865764705882</v>
      </c>
      <c r="Q25" s="61" t="n">
        <f aca="false">IF(O25=0,0,P25/O25)</f>
        <v>0.618059786096257</v>
      </c>
      <c r="R25" s="60" t="n">
        <f aca="false">IF(PANEL!$C$17&gt;=1,0,IF(PANEL!$C$18&lt;=0,M25/(1-PANEL!$C$17),CEILING(M25/(1-PANEL!$C$17),PANEL!$C$18)))</f>
        <v>65</v>
      </c>
      <c r="S25" s="57" t="n">
        <f aca="false">R25-M25</f>
        <v>22.9865764705882</v>
      </c>
      <c r="T25" s="57" t="n">
        <f aca="false">O25*(1+PANEL!$C$19)</f>
        <v>127.6</v>
      </c>
      <c r="U25" s="62" t="s">
        <v>498</v>
      </c>
      <c r="V25" s="62" t="s">
        <v>467</v>
      </c>
      <c r="W25" s="62" t="s">
        <v>499</v>
      </c>
      <c r="X25" s="62" t="s">
        <v>500</v>
      </c>
    </row>
    <row r="26" customFormat="false" ht="22.35" hidden="false" customHeight="false" outlineLevel="0" collapsed="false">
      <c r="A26" s="56" t="n">
        <v>19</v>
      </c>
      <c r="B26" s="16" t="s">
        <v>320</v>
      </c>
      <c r="C26" s="43" t="s">
        <v>493</v>
      </c>
      <c r="D26" s="56" t="n">
        <v>6</v>
      </c>
      <c r="E26" s="57" t="n">
        <f aca="false">SUMIFS('2. RECETAS'!$H$8:$H$557,'2. RECETAS'!$A$8:$A$557,$A26)</f>
        <v>146.555</v>
      </c>
      <c r="F26" s="57" t="n">
        <f aca="false">IF(D26=0,0,E26/D26)</f>
        <v>24.4258333333333</v>
      </c>
      <c r="G26" s="58" t="n">
        <f aca="false">PANEL!$C$7</f>
        <v>6</v>
      </c>
      <c r="H26" s="58" t="n">
        <f aca="false">PANEL!$C$8</f>
        <v>2</v>
      </c>
      <c r="I26" s="58" t="n">
        <f aca="false">PANEL!$C$11</f>
        <v>4</v>
      </c>
      <c r="J26" s="57" t="n">
        <f aca="false">F26+G26+H26+I26</f>
        <v>36.4258333333333</v>
      </c>
      <c r="K26" s="57" t="n">
        <f aca="false">J26*PANEL!$C$12</f>
        <v>2.91406666666667</v>
      </c>
      <c r="L26" s="58" t="n">
        <f aca="false">PANEL!$C$15</f>
        <v>10</v>
      </c>
      <c r="M26" s="59" t="n">
        <f aca="false">J26+K26+L26</f>
        <v>49.3399</v>
      </c>
      <c r="N26" s="57" t="n">
        <f aca="false">IF(PANEL!$C$16&gt;=1,0,M26/(1-PANEL!$C$16))</f>
        <v>123.34975</v>
      </c>
      <c r="O26" s="60" t="n">
        <f aca="false">IF(PANEL!$C$18&lt;=0,N26,CEILING(N26,PANEL!$C$18))</f>
        <v>125</v>
      </c>
      <c r="P26" s="57" t="n">
        <f aca="false">O26-M26</f>
        <v>75.6601</v>
      </c>
      <c r="Q26" s="61" t="n">
        <f aca="false">IF(O26=0,0,P26/O26)</f>
        <v>0.6052808</v>
      </c>
      <c r="R26" s="60" t="n">
        <f aca="false">IF(PANEL!$C$17&gt;=1,0,IF(PANEL!$C$18&lt;=0,M26/(1-PANEL!$C$17),CEILING(M26/(1-PANEL!$C$17),PANEL!$C$18)))</f>
        <v>80</v>
      </c>
      <c r="S26" s="57" t="n">
        <f aca="false">R26-M26</f>
        <v>30.6601</v>
      </c>
      <c r="T26" s="57" t="n">
        <f aca="false">O26*(1+PANEL!$C$19)</f>
        <v>145</v>
      </c>
      <c r="U26" s="62" t="s">
        <v>501</v>
      </c>
      <c r="V26" s="62" t="s">
        <v>474</v>
      </c>
      <c r="W26" s="62" t="s">
        <v>472</v>
      </c>
      <c r="X26" s="62"/>
    </row>
    <row r="27" customFormat="false" ht="22.35" hidden="false" customHeight="false" outlineLevel="0" collapsed="false">
      <c r="A27" s="56" t="n">
        <v>20</v>
      </c>
      <c r="B27" s="16" t="s">
        <v>323</v>
      </c>
      <c r="C27" s="43" t="s">
        <v>493</v>
      </c>
      <c r="D27" s="56" t="n">
        <v>6</v>
      </c>
      <c r="E27" s="57" t="n">
        <f aca="false">SUMIFS('2. RECETAS'!$H$8:$H$557,'2. RECETAS'!$A$8:$A$557,$A27)</f>
        <v>252.62</v>
      </c>
      <c r="F27" s="57" t="n">
        <f aca="false">IF(D27=0,0,E27/D27)</f>
        <v>42.1033333333333</v>
      </c>
      <c r="G27" s="58" t="n">
        <f aca="false">PANEL!$C$7</f>
        <v>6</v>
      </c>
      <c r="H27" s="58" t="n">
        <f aca="false">PANEL!$C$8</f>
        <v>2</v>
      </c>
      <c r="I27" s="58" t="n">
        <f aca="false">PANEL!$C$11</f>
        <v>4</v>
      </c>
      <c r="J27" s="57" t="n">
        <f aca="false">F27+G27+H27+I27</f>
        <v>54.1033333333333</v>
      </c>
      <c r="K27" s="57" t="n">
        <f aca="false">J27*PANEL!$C$12</f>
        <v>4.32826666666667</v>
      </c>
      <c r="L27" s="58" t="n">
        <f aca="false">PANEL!$C$15</f>
        <v>10</v>
      </c>
      <c r="M27" s="59" t="n">
        <f aca="false">J27+K27+L27</f>
        <v>68.4316</v>
      </c>
      <c r="N27" s="57" t="n">
        <f aca="false">IF(PANEL!$C$16&gt;=1,0,M27/(1-PANEL!$C$16))</f>
        <v>171.079</v>
      </c>
      <c r="O27" s="60" t="n">
        <f aca="false">IF(PANEL!$C$18&lt;=0,N27,CEILING(N27,PANEL!$C$18))</f>
        <v>175</v>
      </c>
      <c r="P27" s="57" t="n">
        <f aca="false">O27-M27</f>
        <v>106.5684</v>
      </c>
      <c r="Q27" s="61" t="n">
        <f aca="false">IF(O27=0,0,P27/O27)</f>
        <v>0.608962285714286</v>
      </c>
      <c r="R27" s="60" t="n">
        <f aca="false">IF(PANEL!$C$17&gt;=1,0,IF(PANEL!$C$18&lt;=0,M27/(1-PANEL!$C$17),CEILING(M27/(1-PANEL!$C$17),PANEL!$C$18)))</f>
        <v>110</v>
      </c>
      <c r="S27" s="57" t="n">
        <f aca="false">R27-M27</f>
        <v>41.5684</v>
      </c>
      <c r="T27" s="57" t="n">
        <f aca="false">O27*(1+PANEL!$C$19)</f>
        <v>203</v>
      </c>
      <c r="U27" s="62" t="s">
        <v>502</v>
      </c>
      <c r="V27" s="62" t="s">
        <v>474</v>
      </c>
      <c r="W27" s="62" t="s">
        <v>464</v>
      </c>
      <c r="X27" s="62"/>
    </row>
    <row r="28" customFormat="false" ht="22.35" hidden="false" customHeight="false" outlineLevel="0" collapsed="false">
      <c r="A28" s="56" t="n">
        <v>21</v>
      </c>
      <c r="B28" s="16" t="s">
        <v>327</v>
      </c>
      <c r="C28" s="43" t="s">
        <v>493</v>
      </c>
      <c r="D28" s="56" t="n">
        <v>6</v>
      </c>
      <c r="E28" s="57" t="n">
        <f aca="false">SUMIFS('2. RECETAS'!$H$8:$H$557,'2. RECETAS'!$A$8:$A$557,$A28)</f>
        <v>151.45</v>
      </c>
      <c r="F28" s="57" t="n">
        <f aca="false">IF(D28=0,0,E28/D28)</f>
        <v>25.2416666666667</v>
      </c>
      <c r="G28" s="58" t="n">
        <f aca="false">PANEL!$C$7</f>
        <v>6</v>
      </c>
      <c r="H28" s="58" t="n">
        <f aca="false">PANEL!$C$8</f>
        <v>2</v>
      </c>
      <c r="I28" s="58" t="n">
        <f aca="false">PANEL!$C$11</f>
        <v>4</v>
      </c>
      <c r="J28" s="57" t="n">
        <f aca="false">F28+G28+H28+I28</f>
        <v>37.2416666666667</v>
      </c>
      <c r="K28" s="57" t="n">
        <f aca="false">J28*PANEL!$C$12</f>
        <v>2.97933333333333</v>
      </c>
      <c r="L28" s="58" t="n">
        <f aca="false">PANEL!$C$15</f>
        <v>10</v>
      </c>
      <c r="M28" s="59" t="n">
        <f aca="false">J28+K28+L28</f>
        <v>50.221</v>
      </c>
      <c r="N28" s="57" t="n">
        <f aca="false">IF(PANEL!$C$16&gt;=1,0,M28/(1-PANEL!$C$16))</f>
        <v>125.5525</v>
      </c>
      <c r="O28" s="60" t="n">
        <f aca="false">IF(PANEL!$C$18&lt;=0,N28,CEILING(N28,PANEL!$C$18))</f>
        <v>130</v>
      </c>
      <c r="P28" s="57" t="n">
        <f aca="false">O28-M28</f>
        <v>79.779</v>
      </c>
      <c r="Q28" s="61" t="n">
        <f aca="false">IF(O28=0,0,P28/O28)</f>
        <v>0.613684615384616</v>
      </c>
      <c r="R28" s="60" t="n">
        <f aca="false">IF(PANEL!$C$17&gt;=1,0,IF(PANEL!$C$18&lt;=0,M28/(1-PANEL!$C$17),CEILING(M28/(1-PANEL!$C$17),PANEL!$C$18)))</f>
        <v>80</v>
      </c>
      <c r="S28" s="57" t="n">
        <f aca="false">R28-M28</f>
        <v>29.779</v>
      </c>
      <c r="T28" s="57" t="n">
        <f aca="false">O28*(1+PANEL!$C$19)</f>
        <v>150.8</v>
      </c>
      <c r="U28" s="62" t="s">
        <v>503</v>
      </c>
      <c r="V28" s="62" t="s">
        <v>474</v>
      </c>
      <c r="W28" s="62" t="s">
        <v>472</v>
      </c>
      <c r="X28" s="62"/>
    </row>
    <row r="29" customFormat="false" ht="22.35" hidden="false" customHeight="false" outlineLevel="0" collapsed="false">
      <c r="A29" s="56" t="n">
        <v>22</v>
      </c>
      <c r="B29" s="16" t="s">
        <v>331</v>
      </c>
      <c r="C29" s="43" t="s">
        <v>493</v>
      </c>
      <c r="D29" s="56" t="n">
        <v>6</v>
      </c>
      <c r="E29" s="57" t="n">
        <f aca="false">SUMIFS('2. RECETAS'!$H$8:$H$557,'2. RECETAS'!$A$8:$A$557,$A29)</f>
        <v>202.204285714286</v>
      </c>
      <c r="F29" s="57" t="n">
        <f aca="false">IF(D29=0,0,E29/D29)</f>
        <v>33.7007142857143</v>
      </c>
      <c r="G29" s="58" t="n">
        <f aca="false">PANEL!$C$7</f>
        <v>6</v>
      </c>
      <c r="H29" s="58" t="n">
        <f aca="false">PANEL!$C$8</f>
        <v>2</v>
      </c>
      <c r="I29" s="58" t="n">
        <f aca="false">PANEL!$C$11</f>
        <v>4</v>
      </c>
      <c r="J29" s="57" t="n">
        <f aca="false">F29+G29+H29+I29</f>
        <v>45.7007142857143</v>
      </c>
      <c r="K29" s="57" t="n">
        <f aca="false">J29*PANEL!$C$12</f>
        <v>3.65605714285714</v>
      </c>
      <c r="L29" s="58" t="n">
        <f aca="false">PANEL!$C$15</f>
        <v>10</v>
      </c>
      <c r="M29" s="59" t="n">
        <f aca="false">J29+K29+L29</f>
        <v>59.3567714285714</v>
      </c>
      <c r="N29" s="57" t="n">
        <f aca="false">IF(PANEL!$C$16&gt;=1,0,M29/(1-PANEL!$C$16))</f>
        <v>148.391928571429</v>
      </c>
      <c r="O29" s="60" t="n">
        <f aca="false">IF(PANEL!$C$18&lt;=0,N29,CEILING(N29,PANEL!$C$18))</f>
        <v>150</v>
      </c>
      <c r="P29" s="57" t="n">
        <f aca="false">O29-M29</f>
        <v>90.6432285714286</v>
      </c>
      <c r="Q29" s="61" t="n">
        <f aca="false">IF(O29=0,0,P29/O29)</f>
        <v>0.604288190476191</v>
      </c>
      <c r="R29" s="60" t="n">
        <f aca="false">IF(PANEL!$C$17&gt;=1,0,IF(PANEL!$C$18&lt;=0,M29/(1-PANEL!$C$17),CEILING(M29/(1-PANEL!$C$17),PANEL!$C$18)))</f>
        <v>95</v>
      </c>
      <c r="S29" s="57" t="n">
        <f aca="false">R29-M29</f>
        <v>35.6432285714286</v>
      </c>
      <c r="T29" s="57" t="n">
        <f aca="false">O29*(1+PANEL!$C$19)</f>
        <v>174</v>
      </c>
      <c r="U29" s="62" t="s">
        <v>504</v>
      </c>
      <c r="V29" s="62" t="s">
        <v>474</v>
      </c>
      <c r="W29" s="62" t="s">
        <v>464</v>
      </c>
      <c r="X29" s="62"/>
    </row>
    <row r="30" customFormat="false" ht="15" hidden="false" customHeight="false" outlineLevel="0" collapsed="false">
      <c r="A30" s="56" t="n">
        <v>23</v>
      </c>
      <c r="B30" s="16" t="s">
        <v>335</v>
      </c>
      <c r="C30" s="43" t="s">
        <v>493</v>
      </c>
      <c r="D30" s="56" t="n">
        <v>6</v>
      </c>
      <c r="E30" s="57" t="n">
        <f aca="false">SUMIFS('2. RECETAS'!$H$8:$H$557,'2. RECETAS'!$A$8:$A$557,$A30)</f>
        <v>122.785</v>
      </c>
      <c r="F30" s="57" t="n">
        <f aca="false">IF(D30=0,0,E30/D30)</f>
        <v>20.4641666666667</v>
      </c>
      <c r="G30" s="58" t="n">
        <f aca="false">PANEL!$C$7</f>
        <v>6</v>
      </c>
      <c r="H30" s="58" t="n">
        <f aca="false">PANEL!$C$8</f>
        <v>2</v>
      </c>
      <c r="I30" s="58" t="n">
        <f aca="false">PANEL!$C$11</f>
        <v>4</v>
      </c>
      <c r="J30" s="57" t="n">
        <f aca="false">F30+G30+H30+I30</f>
        <v>32.4641666666667</v>
      </c>
      <c r="K30" s="57" t="n">
        <f aca="false">J30*PANEL!$C$12</f>
        <v>2.59713333333333</v>
      </c>
      <c r="L30" s="58" t="n">
        <f aca="false">PANEL!$C$15</f>
        <v>10</v>
      </c>
      <c r="M30" s="59" t="n">
        <f aca="false">J30+K30+L30</f>
        <v>45.0613</v>
      </c>
      <c r="N30" s="57" t="n">
        <f aca="false">IF(PANEL!$C$16&gt;=1,0,M30/(1-PANEL!$C$16))</f>
        <v>112.65325</v>
      </c>
      <c r="O30" s="60" t="n">
        <f aca="false">IF(PANEL!$C$18&lt;=0,N30,CEILING(N30,PANEL!$C$18))</f>
        <v>115</v>
      </c>
      <c r="P30" s="57" t="n">
        <f aca="false">O30-M30</f>
        <v>69.9387</v>
      </c>
      <c r="Q30" s="61" t="n">
        <f aca="false">IF(O30=0,0,P30/O30)</f>
        <v>0.608162608695652</v>
      </c>
      <c r="R30" s="60" t="n">
        <f aca="false">IF(PANEL!$C$17&gt;=1,0,IF(PANEL!$C$18&lt;=0,M30/(1-PANEL!$C$17),CEILING(M30/(1-PANEL!$C$17),PANEL!$C$18)))</f>
        <v>70</v>
      </c>
      <c r="S30" s="57" t="n">
        <f aca="false">R30-M30</f>
        <v>24.9387</v>
      </c>
      <c r="T30" s="57" t="n">
        <f aca="false">O30*(1+PANEL!$C$19)</f>
        <v>133.4</v>
      </c>
      <c r="U30" s="62" t="s">
        <v>505</v>
      </c>
      <c r="V30" s="62" t="s">
        <v>474</v>
      </c>
      <c r="W30" s="62" t="s">
        <v>472</v>
      </c>
      <c r="X30" s="62"/>
    </row>
    <row r="31" customFormat="false" ht="22.35" hidden="false" customHeight="false" outlineLevel="0" collapsed="false">
      <c r="A31" s="56" t="n">
        <v>24</v>
      </c>
      <c r="B31" s="16" t="s">
        <v>340</v>
      </c>
      <c r="C31" s="43" t="s">
        <v>493</v>
      </c>
      <c r="D31" s="56" t="n">
        <v>6</v>
      </c>
      <c r="E31" s="57" t="n">
        <f aca="false">SUMIFS('2. RECETAS'!$H$8:$H$557,'2. RECETAS'!$A$8:$A$557,$A31)</f>
        <v>170.45</v>
      </c>
      <c r="F31" s="57" t="n">
        <f aca="false">IF(D31=0,0,E31/D31)</f>
        <v>28.4083333333333</v>
      </c>
      <c r="G31" s="58" t="n">
        <f aca="false">PANEL!$C$7</f>
        <v>6</v>
      </c>
      <c r="H31" s="58" t="n">
        <f aca="false">PANEL!$C$8</f>
        <v>2</v>
      </c>
      <c r="I31" s="58" t="n">
        <f aca="false">PANEL!$C$11</f>
        <v>4</v>
      </c>
      <c r="J31" s="57" t="n">
        <f aca="false">F31+G31+H31+I31</f>
        <v>40.4083333333333</v>
      </c>
      <c r="K31" s="57" t="n">
        <f aca="false">J31*PANEL!$C$12</f>
        <v>3.23266666666667</v>
      </c>
      <c r="L31" s="58" t="n">
        <f aca="false">PANEL!$C$15</f>
        <v>10</v>
      </c>
      <c r="M31" s="59" t="n">
        <f aca="false">J31+K31+L31</f>
        <v>53.641</v>
      </c>
      <c r="N31" s="57" t="n">
        <f aca="false">IF(PANEL!$C$16&gt;=1,0,M31/(1-PANEL!$C$16))</f>
        <v>134.1025</v>
      </c>
      <c r="O31" s="60" t="n">
        <f aca="false">IF(PANEL!$C$18&lt;=0,N31,CEILING(N31,PANEL!$C$18))</f>
        <v>135</v>
      </c>
      <c r="P31" s="57" t="n">
        <f aca="false">O31-M31</f>
        <v>81.359</v>
      </c>
      <c r="Q31" s="61" t="n">
        <f aca="false">IF(O31=0,0,P31/O31)</f>
        <v>0.602659259259259</v>
      </c>
      <c r="R31" s="60" t="n">
        <f aca="false">IF(PANEL!$C$17&gt;=1,0,IF(PANEL!$C$18&lt;=0,M31/(1-PANEL!$C$17),CEILING(M31/(1-PANEL!$C$17),PANEL!$C$18)))</f>
        <v>85</v>
      </c>
      <c r="S31" s="57" t="n">
        <f aca="false">R31-M31</f>
        <v>31.359</v>
      </c>
      <c r="T31" s="57" t="n">
        <f aca="false">O31*(1+PANEL!$C$19)</f>
        <v>156.6</v>
      </c>
      <c r="U31" s="62" t="s">
        <v>506</v>
      </c>
      <c r="V31" s="62" t="s">
        <v>474</v>
      </c>
      <c r="W31" s="62" t="s">
        <v>464</v>
      </c>
      <c r="X31" s="62"/>
    </row>
    <row r="32" customFormat="false" ht="32.8" hidden="false" customHeight="false" outlineLevel="0" collapsed="false">
      <c r="A32" s="56" t="n">
        <v>25</v>
      </c>
      <c r="B32" s="16" t="s">
        <v>344</v>
      </c>
      <c r="C32" s="43" t="s">
        <v>493</v>
      </c>
      <c r="D32" s="56" t="n">
        <v>6</v>
      </c>
      <c r="E32" s="57" t="n">
        <f aca="false">SUMIFS('2. RECETAS'!$H$8:$H$557,'2. RECETAS'!$A$8:$A$557,$A32)</f>
        <v>163.37</v>
      </c>
      <c r="F32" s="57" t="n">
        <f aca="false">IF(D32=0,0,E32/D32)</f>
        <v>27.2283333333333</v>
      </c>
      <c r="G32" s="58" t="n">
        <f aca="false">PANEL!$C$7</f>
        <v>6</v>
      </c>
      <c r="H32" s="58" t="n">
        <f aca="false">PANEL!$C$8</f>
        <v>2</v>
      </c>
      <c r="I32" s="58" t="n">
        <f aca="false">PANEL!$C$11</f>
        <v>4</v>
      </c>
      <c r="J32" s="57" t="n">
        <f aca="false">F32+G32+H32+I32</f>
        <v>39.2283333333333</v>
      </c>
      <c r="K32" s="57" t="n">
        <f aca="false">J32*PANEL!$C$12</f>
        <v>3.13826666666667</v>
      </c>
      <c r="L32" s="58" t="n">
        <f aca="false">PANEL!$C$15</f>
        <v>10</v>
      </c>
      <c r="M32" s="59" t="n">
        <f aca="false">J32+K32+L32</f>
        <v>52.3666</v>
      </c>
      <c r="N32" s="57" t="n">
        <f aca="false">IF(PANEL!$C$16&gt;=1,0,M32/(1-PANEL!$C$16))</f>
        <v>130.9165</v>
      </c>
      <c r="O32" s="60" t="n">
        <f aca="false">IF(PANEL!$C$18&lt;=0,N32,CEILING(N32,PANEL!$C$18))</f>
        <v>135</v>
      </c>
      <c r="P32" s="57" t="n">
        <f aca="false">O32-M32</f>
        <v>82.6334</v>
      </c>
      <c r="Q32" s="61" t="n">
        <f aca="false">IF(O32=0,0,P32/O32)</f>
        <v>0.612099259259259</v>
      </c>
      <c r="R32" s="60" t="n">
        <f aca="false">IF(PANEL!$C$17&gt;=1,0,IF(PANEL!$C$18&lt;=0,M32/(1-PANEL!$C$17),CEILING(M32/(1-PANEL!$C$17),PANEL!$C$18)))</f>
        <v>85</v>
      </c>
      <c r="S32" s="57" t="n">
        <f aca="false">R32-M32</f>
        <v>32.6334</v>
      </c>
      <c r="T32" s="57" t="n">
        <f aca="false">O32*(1+PANEL!$C$19)</f>
        <v>156.6</v>
      </c>
      <c r="U32" s="62" t="s">
        <v>507</v>
      </c>
      <c r="V32" s="62" t="s">
        <v>508</v>
      </c>
      <c r="W32" s="62" t="s">
        <v>472</v>
      </c>
      <c r="X32" s="62"/>
    </row>
    <row r="33" customFormat="false" ht="22.35" hidden="false" customHeight="false" outlineLevel="0" collapsed="false">
      <c r="A33" s="56" t="n">
        <v>26</v>
      </c>
      <c r="B33" s="16" t="s">
        <v>348</v>
      </c>
      <c r="C33" s="43" t="s">
        <v>509</v>
      </c>
      <c r="D33" s="56" t="n">
        <v>6</v>
      </c>
      <c r="E33" s="57" t="n">
        <f aca="false">SUMIFS('2. RECETAS'!$H$8:$H$557,'2. RECETAS'!$A$8:$A$557,$A33)</f>
        <v>126.38</v>
      </c>
      <c r="F33" s="57" t="n">
        <f aca="false">IF(D33=0,0,E33/D33)</f>
        <v>21.0633333333333</v>
      </c>
      <c r="G33" s="58" t="n">
        <f aca="false">PANEL!$C$7</f>
        <v>6</v>
      </c>
      <c r="H33" s="58" t="n">
        <f aca="false">PANEL!$C$8</f>
        <v>2</v>
      </c>
      <c r="I33" s="58" t="n">
        <f aca="false">PANEL!$C$11</f>
        <v>4</v>
      </c>
      <c r="J33" s="57" t="n">
        <f aca="false">F33+G33+H33+I33</f>
        <v>33.0633333333333</v>
      </c>
      <c r="K33" s="57" t="n">
        <f aca="false">J33*PANEL!$C$12</f>
        <v>2.64506666666667</v>
      </c>
      <c r="L33" s="58" t="n">
        <f aca="false">PANEL!$C$15</f>
        <v>10</v>
      </c>
      <c r="M33" s="59" t="n">
        <f aca="false">J33+K33+L33</f>
        <v>45.7084</v>
      </c>
      <c r="N33" s="57" t="n">
        <f aca="false">IF(PANEL!$C$16&gt;=1,0,M33/(1-PANEL!$C$16))</f>
        <v>114.271</v>
      </c>
      <c r="O33" s="60" t="n">
        <f aca="false">IF(PANEL!$C$18&lt;=0,N33,CEILING(N33,PANEL!$C$18))</f>
        <v>115</v>
      </c>
      <c r="P33" s="57" t="n">
        <f aca="false">O33-M33</f>
        <v>69.2916</v>
      </c>
      <c r="Q33" s="61" t="n">
        <f aca="false">IF(O33=0,0,P33/O33)</f>
        <v>0.602535652173913</v>
      </c>
      <c r="R33" s="60" t="n">
        <f aca="false">IF(PANEL!$C$17&gt;=1,0,IF(PANEL!$C$18&lt;=0,M33/(1-PANEL!$C$17),CEILING(M33/(1-PANEL!$C$17),PANEL!$C$18)))</f>
        <v>75</v>
      </c>
      <c r="S33" s="57" t="n">
        <f aca="false">R33-M33</f>
        <v>29.2916</v>
      </c>
      <c r="T33" s="57" t="n">
        <f aca="false">O33*(1+PANEL!$C$19)</f>
        <v>133.4</v>
      </c>
      <c r="U33" s="62" t="s">
        <v>510</v>
      </c>
      <c r="V33" s="62" t="s">
        <v>474</v>
      </c>
      <c r="W33" s="62" t="s">
        <v>472</v>
      </c>
      <c r="X33" s="62"/>
    </row>
    <row r="34" customFormat="false" ht="22.35" hidden="false" customHeight="false" outlineLevel="0" collapsed="false">
      <c r="A34" s="56" t="n">
        <v>27</v>
      </c>
      <c r="B34" s="16" t="s">
        <v>353</v>
      </c>
      <c r="C34" s="43" t="s">
        <v>509</v>
      </c>
      <c r="D34" s="56" t="n">
        <v>6</v>
      </c>
      <c r="E34" s="57" t="n">
        <f aca="false">SUMIFS('2. RECETAS'!$H$8:$H$557,'2. RECETAS'!$A$8:$A$557,$A34)</f>
        <v>106.323643502741</v>
      </c>
      <c r="F34" s="57" t="n">
        <f aca="false">IF(D34=0,0,E34/D34)</f>
        <v>17.7206072504569</v>
      </c>
      <c r="G34" s="58" t="n">
        <f aca="false">PANEL!$C$7</f>
        <v>6</v>
      </c>
      <c r="H34" s="58" t="n">
        <f aca="false">PANEL!$C$8</f>
        <v>2</v>
      </c>
      <c r="I34" s="58" t="n">
        <f aca="false">PANEL!$C$11</f>
        <v>4</v>
      </c>
      <c r="J34" s="57" t="n">
        <f aca="false">F34+G34+H34+I34</f>
        <v>29.7206072504569</v>
      </c>
      <c r="K34" s="57" t="n">
        <f aca="false">J34*PANEL!$C$12</f>
        <v>2.37764858003655</v>
      </c>
      <c r="L34" s="58" t="n">
        <f aca="false">PANEL!$C$15</f>
        <v>10</v>
      </c>
      <c r="M34" s="59" t="n">
        <f aca="false">J34+K34+L34</f>
        <v>42.0982558304934</v>
      </c>
      <c r="N34" s="57" t="n">
        <f aca="false">IF(PANEL!$C$16&gt;=1,0,M34/(1-PANEL!$C$16))</f>
        <v>105.245639576234</v>
      </c>
      <c r="O34" s="60" t="n">
        <f aca="false">IF(PANEL!$C$18&lt;=0,N34,CEILING(N34,PANEL!$C$18))</f>
        <v>110</v>
      </c>
      <c r="P34" s="57" t="n">
        <f aca="false">O34-M34</f>
        <v>67.9017441695066</v>
      </c>
      <c r="Q34" s="61" t="n">
        <f aca="false">IF(O34=0,0,P34/O34)</f>
        <v>0.617288583359151</v>
      </c>
      <c r="R34" s="60" t="n">
        <f aca="false">IF(PANEL!$C$17&gt;=1,0,IF(PANEL!$C$18&lt;=0,M34/(1-PANEL!$C$17),CEILING(M34/(1-PANEL!$C$17),PANEL!$C$18)))</f>
        <v>65</v>
      </c>
      <c r="S34" s="57" t="n">
        <f aca="false">R34-M34</f>
        <v>22.9017441695066</v>
      </c>
      <c r="T34" s="57" t="n">
        <f aca="false">O34*(1+PANEL!$C$19)</f>
        <v>127.6</v>
      </c>
      <c r="U34" s="62" t="s">
        <v>511</v>
      </c>
      <c r="V34" s="62" t="s">
        <v>474</v>
      </c>
      <c r="W34" s="62" t="s">
        <v>464</v>
      </c>
      <c r="X34" s="62"/>
    </row>
    <row r="35" customFormat="false" ht="22.35" hidden="false" customHeight="false" outlineLevel="0" collapsed="false">
      <c r="A35" s="56" t="n">
        <v>28</v>
      </c>
      <c r="B35" s="16" t="s">
        <v>357</v>
      </c>
      <c r="C35" s="43" t="s">
        <v>509</v>
      </c>
      <c r="D35" s="56" t="n">
        <v>6</v>
      </c>
      <c r="E35" s="57" t="n">
        <f aca="false">SUMIFS('2. RECETAS'!$H$8:$H$557,'2. RECETAS'!$A$8:$A$557,$A35)</f>
        <v>86.085</v>
      </c>
      <c r="F35" s="57" t="n">
        <f aca="false">IF(D35=0,0,E35/D35)</f>
        <v>14.3475</v>
      </c>
      <c r="G35" s="58" t="n">
        <f aca="false">PANEL!$C$7</f>
        <v>6</v>
      </c>
      <c r="H35" s="58" t="n">
        <f aca="false">PANEL!$C$8</f>
        <v>2</v>
      </c>
      <c r="I35" s="58" t="n">
        <f aca="false">PANEL!$C$11</f>
        <v>4</v>
      </c>
      <c r="J35" s="57" t="n">
        <f aca="false">F35+G35+H35+I35</f>
        <v>26.3475</v>
      </c>
      <c r="K35" s="57" t="n">
        <f aca="false">J35*PANEL!$C$12</f>
        <v>2.1078</v>
      </c>
      <c r="L35" s="58" t="n">
        <f aca="false">PANEL!$C$15</f>
        <v>10</v>
      </c>
      <c r="M35" s="59" t="n">
        <f aca="false">J35+K35+L35</f>
        <v>38.4553</v>
      </c>
      <c r="N35" s="57" t="n">
        <f aca="false">IF(PANEL!$C$16&gt;=1,0,M35/(1-PANEL!$C$16))</f>
        <v>96.13825</v>
      </c>
      <c r="O35" s="60" t="n">
        <f aca="false">IF(PANEL!$C$18&lt;=0,N35,CEILING(N35,PANEL!$C$18))</f>
        <v>100</v>
      </c>
      <c r="P35" s="57" t="n">
        <f aca="false">O35-M35</f>
        <v>61.5447</v>
      </c>
      <c r="Q35" s="61" t="n">
        <f aca="false">IF(O35=0,0,P35/O35)</f>
        <v>0.615447</v>
      </c>
      <c r="R35" s="60" t="n">
        <f aca="false">IF(PANEL!$C$17&gt;=1,0,IF(PANEL!$C$18&lt;=0,M35/(1-PANEL!$C$17),CEILING(M35/(1-PANEL!$C$17),PANEL!$C$18)))</f>
        <v>60</v>
      </c>
      <c r="S35" s="57" t="n">
        <f aca="false">R35-M35</f>
        <v>21.5447</v>
      </c>
      <c r="T35" s="57" t="n">
        <f aca="false">O35*(1+PANEL!$C$19)</f>
        <v>116</v>
      </c>
      <c r="U35" s="62" t="s">
        <v>512</v>
      </c>
      <c r="V35" s="62" t="s">
        <v>480</v>
      </c>
      <c r="W35" s="62" t="s">
        <v>472</v>
      </c>
      <c r="X35" s="62"/>
    </row>
    <row r="36" customFormat="false" ht="22.35" hidden="false" customHeight="false" outlineLevel="0" collapsed="false">
      <c r="A36" s="56" t="n">
        <v>29</v>
      </c>
      <c r="B36" s="16" t="s">
        <v>359</v>
      </c>
      <c r="C36" s="43" t="s">
        <v>509</v>
      </c>
      <c r="D36" s="56" t="n">
        <v>6</v>
      </c>
      <c r="E36" s="57" t="n">
        <f aca="false">SUMIFS('2. RECETAS'!$H$8:$H$557,'2. RECETAS'!$A$8:$A$557,$A36)</f>
        <v>89.74</v>
      </c>
      <c r="F36" s="57" t="n">
        <f aca="false">IF(D36=0,0,E36/D36)</f>
        <v>14.9566666666667</v>
      </c>
      <c r="G36" s="58" t="n">
        <f aca="false">PANEL!$C$7</f>
        <v>6</v>
      </c>
      <c r="H36" s="58" t="n">
        <f aca="false">PANEL!$C$8</f>
        <v>2</v>
      </c>
      <c r="I36" s="58" t="n">
        <f aca="false">PANEL!$C$11</f>
        <v>4</v>
      </c>
      <c r="J36" s="57" t="n">
        <f aca="false">F36+G36+H36+I36</f>
        <v>26.9566666666667</v>
      </c>
      <c r="K36" s="57" t="n">
        <f aca="false">J36*PANEL!$C$12</f>
        <v>2.15653333333333</v>
      </c>
      <c r="L36" s="58" t="n">
        <f aca="false">PANEL!$C$15</f>
        <v>10</v>
      </c>
      <c r="M36" s="59" t="n">
        <f aca="false">J36+K36+L36</f>
        <v>39.1132</v>
      </c>
      <c r="N36" s="57" t="n">
        <f aca="false">IF(PANEL!$C$16&gt;=1,0,M36/(1-PANEL!$C$16))</f>
        <v>97.783</v>
      </c>
      <c r="O36" s="60" t="n">
        <f aca="false">IF(PANEL!$C$18&lt;=0,N36,CEILING(N36,PANEL!$C$18))</f>
        <v>100</v>
      </c>
      <c r="P36" s="57" t="n">
        <f aca="false">O36-M36</f>
        <v>60.8868</v>
      </c>
      <c r="Q36" s="61" t="n">
        <f aca="false">IF(O36=0,0,P36/O36)</f>
        <v>0.608868</v>
      </c>
      <c r="R36" s="60" t="n">
        <f aca="false">IF(PANEL!$C$17&gt;=1,0,IF(PANEL!$C$18&lt;=0,M36/(1-PANEL!$C$17),CEILING(M36/(1-PANEL!$C$17),PANEL!$C$18)))</f>
        <v>65</v>
      </c>
      <c r="S36" s="57" t="n">
        <f aca="false">R36-M36</f>
        <v>25.8868</v>
      </c>
      <c r="T36" s="57" t="n">
        <f aca="false">O36*(1+PANEL!$C$19)</f>
        <v>116</v>
      </c>
      <c r="U36" s="62" t="s">
        <v>513</v>
      </c>
      <c r="V36" s="62" t="s">
        <v>474</v>
      </c>
      <c r="W36" s="62" t="s">
        <v>475</v>
      </c>
      <c r="X36" s="62"/>
    </row>
    <row r="37" customFormat="false" ht="15" hidden="false" customHeight="false" outlineLevel="0" collapsed="false">
      <c r="A37" s="56" t="n">
        <v>30</v>
      </c>
      <c r="B37" s="16" t="s">
        <v>364</v>
      </c>
      <c r="C37" s="43" t="s">
        <v>509</v>
      </c>
      <c r="D37" s="56" t="n">
        <v>6</v>
      </c>
      <c r="E37" s="57" t="n">
        <f aca="false">SUMIFS('2. RECETAS'!$H$8:$H$557,'2. RECETAS'!$A$8:$A$557,$A37)</f>
        <v>65.85</v>
      </c>
      <c r="F37" s="57" t="n">
        <f aca="false">IF(D37=0,0,E37/D37)</f>
        <v>10.975</v>
      </c>
      <c r="G37" s="58" t="n">
        <f aca="false">PANEL!$C$7</f>
        <v>6</v>
      </c>
      <c r="H37" s="58" t="n">
        <f aca="false">PANEL!$C$8</f>
        <v>2</v>
      </c>
      <c r="I37" s="58" t="n">
        <f aca="false">PANEL!$C$11</f>
        <v>4</v>
      </c>
      <c r="J37" s="57" t="n">
        <f aca="false">F37+G37+H37+I37</f>
        <v>22.975</v>
      </c>
      <c r="K37" s="57" t="n">
        <f aca="false">J37*PANEL!$C$12</f>
        <v>1.838</v>
      </c>
      <c r="L37" s="58" t="n">
        <f aca="false">PANEL!$C$15</f>
        <v>10</v>
      </c>
      <c r="M37" s="59" t="n">
        <f aca="false">J37+K37+L37</f>
        <v>34.813</v>
      </c>
      <c r="N37" s="57" t="n">
        <f aca="false">IF(PANEL!$C$16&gt;=1,0,M37/(1-PANEL!$C$16))</f>
        <v>87.0325</v>
      </c>
      <c r="O37" s="60" t="n">
        <f aca="false">IF(PANEL!$C$18&lt;=0,N37,CEILING(N37,PANEL!$C$18))</f>
        <v>90</v>
      </c>
      <c r="P37" s="57" t="n">
        <f aca="false">O37-M37</f>
        <v>55.187</v>
      </c>
      <c r="Q37" s="61" t="n">
        <f aca="false">IF(O37=0,0,P37/O37)</f>
        <v>0.613188888888889</v>
      </c>
      <c r="R37" s="60" t="n">
        <f aca="false">IF(PANEL!$C$17&gt;=1,0,IF(PANEL!$C$18&lt;=0,M37/(1-PANEL!$C$17),CEILING(M37/(1-PANEL!$C$17),PANEL!$C$18)))</f>
        <v>55</v>
      </c>
      <c r="S37" s="57" t="n">
        <f aca="false">R37-M37</f>
        <v>20.187</v>
      </c>
      <c r="T37" s="57" t="n">
        <f aca="false">O37*(1+PANEL!$C$19)</f>
        <v>104.4</v>
      </c>
      <c r="U37" s="62" t="s">
        <v>514</v>
      </c>
      <c r="V37" s="62" t="s">
        <v>474</v>
      </c>
      <c r="W37" s="62" t="s">
        <v>475</v>
      </c>
      <c r="X37" s="62"/>
    </row>
    <row r="38" customFormat="false" ht="32.8" hidden="false" customHeight="false" outlineLevel="0" collapsed="false">
      <c r="A38" s="56" t="n">
        <v>31</v>
      </c>
      <c r="B38" s="16" t="s">
        <v>365</v>
      </c>
      <c r="C38" s="43" t="s">
        <v>509</v>
      </c>
      <c r="D38" s="56" t="n">
        <v>6</v>
      </c>
      <c r="E38" s="57" t="n">
        <f aca="false">SUMIFS('2. RECETAS'!$H$8:$H$557,'2. RECETAS'!$A$8:$A$557,$A38)</f>
        <v>206.58</v>
      </c>
      <c r="F38" s="57" t="n">
        <f aca="false">IF(D38=0,0,E38/D38)</f>
        <v>34.43</v>
      </c>
      <c r="G38" s="58" t="n">
        <f aca="false">PANEL!$C$7</f>
        <v>6</v>
      </c>
      <c r="H38" s="58" t="n">
        <f aca="false">PANEL!$C$8</f>
        <v>2</v>
      </c>
      <c r="I38" s="58" t="n">
        <f aca="false">PANEL!$C$11</f>
        <v>4</v>
      </c>
      <c r="J38" s="57" t="n">
        <f aca="false">F38+G38+H38+I38</f>
        <v>46.43</v>
      </c>
      <c r="K38" s="57" t="n">
        <f aca="false">J38*PANEL!$C$12</f>
        <v>3.7144</v>
      </c>
      <c r="L38" s="58" t="n">
        <f aca="false">PANEL!$C$15</f>
        <v>10</v>
      </c>
      <c r="M38" s="59" t="n">
        <f aca="false">J38+K38+L38</f>
        <v>60.1444</v>
      </c>
      <c r="N38" s="57" t="n">
        <f aca="false">IF(PANEL!$C$16&gt;=1,0,M38/(1-PANEL!$C$16))</f>
        <v>150.361</v>
      </c>
      <c r="O38" s="60" t="n">
        <f aca="false">IF(PANEL!$C$18&lt;=0,N38,CEILING(N38,PANEL!$C$18))</f>
        <v>155</v>
      </c>
      <c r="P38" s="57" t="n">
        <f aca="false">O38-M38</f>
        <v>94.8556</v>
      </c>
      <c r="Q38" s="61" t="n">
        <f aca="false">IF(O38=0,0,P38/O38)</f>
        <v>0.611971612903226</v>
      </c>
      <c r="R38" s="60" t="n">
        <f aca="false">IF(PANEL!$C$17&gt;=1,0,IF(PANEL!$C$18&lt;=0,M38/(1-PANEL!$C$17),CEILING(M38/(1-PANEL!$C$17),PANEL!$C$18)))</f>
        <v>95</v>
      </c>
      <c r="S38" s="57" t="n">
        <f aca="false">R38-M38</f>
        <v>34.8556</v>
      </c>
      <c r="T38" s="57" t="n">
        <f aca="false">O38*(1+PANEL!$C$19)</f>
        <v>179.8</v>
      </c>
      <c r="U38" s="62" t="s">
        <v>515</v>
      </c>
      <c r="V38" s="62" t="s">
        <v>516</v>
      </c>
      <c r="W38" s="62" t="s">
        <v>464</v>
      </c>
      <c r="X38" s="62"/>
    </row>
    <row r="39" customFormat="false" ht="22.35" hidden="false" customHeight="false" outlineLevel="0" collapsed="false">
      <c r="A39" s="56" t="n">
        <v>32</v>
      </c>
      <c r="B39" s="16" t="s">
        <v>369</v>
      </c>
      <c r="C39" s="43" t="s">
        <v>509</v>
      </c>
      <c r="D39" s="56" t="n">
        <v>6</v>
      </c>
      <c r="E39" s="57" t="n">
        <f aca="false">SUMIFS('2. RECETAS'!$H$8:$H$557,'2. RECETAS'!$A$8:$A$557,$A39)</f>
        <v>143.59</v>
      </c>
      <c r="F39" s="57" t="n">
        <f aca="false">IF(D39=0,0,E39/D39)</f>
        <v>23.9316666666667</v>
      </c>
      <c r="G39" s="58" t="n">
        <f aca="false">PANEL!$C$7</f>
        <v>6</v>
      </c>
      <c r="H39" s="58" t="n">
        <f aca="false">PANEL!$C$8</f>
        <v>2</v>
      </c>
      <c r="I39" s="58" t="n">
        <f aca="false">PANEL!$C$11</f>
        <v>4</v>
      </c>
      <c r="J39" s="57" t="n">
        <f aca="false">F39+G39+H39+I39</f>
        <v>35.9316666666667</v>
      </c>
      <c r="K39" s="57" t="n">
        <f aca="false">J39*PANEL!$C$12</f>
        <v>2.87453333333333</v>
      </c>
      <c r="L39" s="58" t="n">
        <f aca="false">PANEL!$C$15</f>
        <v>10</v>
      </c>
      <c r="M39" s="59" t="n">
        <f aca="false">J39+K39+L39</f>
        <v>48.8062</v>
      </c>
      <c r="N39" s="57" t="n">
        <f aca="false">IF(PANEL!$C$16&gt;=1,0,M39/(1-PANEL!$C$16))</f>
        <v>122.0155</v>
      </c>
      <c r="O39" s="60" t="n">
        <f aca="false">IF(PANEL!$C$18&lt;=0,N39,CEILING(N39,PANEL!$C$18))</f>
        <v>125</v>
      </c>
      <c r="P39" s="57" t="n">
        <f aca="false">O39-M39</f>
        <v>76.1938</v>
      </c>
      <c r="Q39" s="61" t="n">
        <f aca="false">IF(O39=0,0,P39/O39)</f>
        <v>0.6095504</v>
      </c>
      <c r="R39" s="60" t="n">
        <f aca="false">IF(PANEL!$C$17&gt;=1,0,IF(PANEL!$C$18&lt;=0,M39/(1-PANEL!$C$17),CEILING(M39/(1-PANEL!$C$17),PANEL!$C$18)))</f>
        <v>80</v>
      </c>
      <c r="S39" s="57" t="n">
        <f aca="false">R39-M39</f>
        <v>31.1938</v>
      </c>
      <c r="T39" s="57" t="n">
        <f aca="false">O39*(1+PANEL!$C$19)</f>
        <v>145</v>
      </c>
      <c r="U39" s="62" t="s">
        <v>517</v>
      </c>
      <c r="V39" s="62" t="s">
        <v>474</v>
      </c>
      <c r="W39" s="62" t="s">
        <v>472</v>
      </c>
      <c r="X39" s="62"/>
    </row>
    <row r="40" customFormat="false" ht="15" hidden="false" customHeight="false" outlineLevel="0" collapsed="false">
      <c r="A40" s="56" t="n">
        <v>33</v>
      </c>
      <c r="B40" s="16" t="s">
        <v>373</v>
      </c>
      <c r="C40" s="43" t="s">
        <v>509</v>
      </c>
      <c r="D40" s="56" t="n">
        <v>6</v>
      </c>
      <c r="E40" s="57" t="n">
        <f aca="false">SUMIFS('2. RECETAS'!$H$8:$H$557,'2. RECETAS'!$A$8:$A$557,$A40)</f>
        <v>128.45</v>
      </c>
      <c r="F40" s="57" t="n">
        <f aca="false">IF(D40=0,0,E40/D40)</f>
        <v>21.4083333333333</v>
      </c>
      <c r="G40" s="58" t="n">
        <f aca="false">PANEL!$C$7</f>
        <v>6</v>
      </c>
      <c r="H40" s="58" t="n">
        <f aca="false">PANEL!$C$8</f>
        <v>2</v>
      </c>
      <c r="I40" s="58" t="n">
        <f aca="false">PANEL!$C$11</f>
        <v>4</v>
      </c>
      <c r="J40" s="57" t="n">
        <f aca="false">F40+G40+H40+I40</f>
        <v>33.4083333333333</v>
      </c>
      <c r="K40" s="57" t="n">
        <f aca="false">J40*PANEL!$C$12</f>
        <v>2.67266666666667</v>
      </c>
      <c r="L40" s="58" t="n">
        <f aca="false">PANEL!$C$15</f>
        <v>10</v>
      </c>
      <c r="M40" s="59" t="n">
        <f aca="false">J40+K40+L40</f>
        <v>46.081</v>
      </c>
      <c r="N40" s="57" t="n">
        <f aca="false">IF(PANEL!$C$16&gt;=1,0,M40/(1-PANEL!$C$16))</f>
        <v>115.2025</v>
      </c>
      <c r="O40" s="60" t="n">
        <f aca="false">IF(PANEL!$C$18&lt;=0,N40,CEILING(N40,PANEL!$C$18))</f>
        <v>120</v>
      </c>
      <c r="P40" s="57" t="n">
        <f aca="false">O40-M40</f>
        <v>73.919</v>
      </c>
      <c r="Q40" s="61" t="n">
        <f aca="false">IF(O40=0,0,P40/O40)</f>
        <v>0.615991666666667</v>
      </c>
      <c r="R40" s="60" t="n">
        <f aca="false">IF(PANEL!$C$17&gt;=1,0,IF(PANEL!$C$18&lt;=0,M40/(1-PANEL!$C$17),CEILING(M40/(1-PANEL!$C$17),PANEL!$C$18)))</f>
        <v>75</v>
      </c>
      <c r="S40" s="57" t="n">
        <f aca="false">R40-M40</f>
        <v>28.919</v>
      </c>
      <c r="T40" s="57" t="n">
        <f aca="false">O40*(1+PANEL!$C$19)</f>
        <v>139.2</v>
      </c>
      <c r="U40" s="62" t="s">
        <v>518</v>
      </c>
      <c r="V40" s="62" t="s">
        <v>474</v>
      </c>
      <c r="W40" s="62" t="s">
        <v>472</v>
      </c>
      <c r="X40" s="62"/>
    </row>
    <row r="41" customFormat="false" ht="22.35" hidden="false" customHeight="false" outlineLevel="0" collapsed="false">
      <c r="A41" s="56" t="n">
        <v>34</v>
      </c>
      <c r="B41" s="16" t="s">
        <v>377</v>
      </c>
      <c r="C41" s="43" t="s">
        <v>509</v>
      </c>
      <c r="D41" s="56" t="n">
        <v>6</v>
      </c>
      <c r="E41" s="57" t="n">
        <f aca="false">SUMIFS('2. RECETAS'!$H$8:$H$557,'2. RECETAS'!$A$8:$A$557,$A41)</f>
        <v>112.47</v>
      </c>
      <c r="F41" s="57" t="n">
        <f aca="false">IF(D41=0,0,E41/D41)</f>
        <v>18.745</v>
      </c>
      <c r="G41" s="58" t="n">
        <f aca="false">PANEL!$C$7</f>
        <v>6</v>
      </c>
      <c r="H41" s="58" t="n">
        <f aca="false">PANEL!$C$8</f>
        <v>2</v>
      </c>
      <c r="I41" s="58" t="n">
        <f aca="false">PANEL!$C$11</f>
        <v>4</v>
      </c>
      <c r="J41" s="57" t="n">
        <f aca="false">F41+G41+H41+I41</f>
        <v>30.745</v>
      </c>
      <c r="K41" s="57" t="n">
        <f aca="false">J41*PANEL!$C$12</f>
        <v>2.4596</v>
      </c>
      <c r="L41" s="58" t="n">
        <f aca="false">PANEL!$C$15</f>
        <v>10</v>
      </c>
      <c r="M41" s="59" t="n">
        <f aca="false">J41+K41+L41</f>
        <v>43.2046</v>
      </c>
      <c r="N41" s="57" t="n">
        <f aca="false">IF(PANEL!$C$16&gt;=1,0,M41/(1-PANEL!$C$16))</f>
        <v>108.0115</v>
      </c>
      <c r="O41" s="60" t="n">
        <f aca="false">IF(PANEL!$C$18&lt;=0,N41,CEILING(N41,PANEL!$C$18))</f>
        <v>110</v>
      </c>
      <c r="P41" s="57" t="n">
        <f aca="false">O41-M41</f>
        <v>66.7954</v>
      </c>
      <c r="Q41" s="61" t="n">
        <f aca="false">IF(O41=0,0,P41/O41)</f>
        <v>0.607230909090909</v>
      </c>
      <c r="R41" s="60" t="n">
        <f aca="false">IF(PANEL!$C$17&gt;=1,0,IF(PANEL!$C$18&lt;=0,M41/(1-PANEL!$C$17),CEILING(M41/(1-PANEL!$C$17),PANEL!$C$18)))</f>
        <v>70</v>
      </c>
      <c r="S41" s="57" t="n">
        <f aca="false">R41-M41</f>
        <v>26.7954</v>
      </c>
      <c r="T41" s="57" t="n">
        <f aca="false">O41*(1+PANEL!$C$19)</f>
        <v>127.6</v>
      </c>
      <c r="U41" s="62" t="s">
        <v>519</v>
      </c>
      <c r="V41" s="62" t="s">
        <v>474</v>
      </c>
      <c r="W41" s="62" t="s">
        <v>464</v>
      </c>
      <c r="X41" s="62"/>
    </row>
    <row r="42" customFormat="false" ht="22.35" hidden="false" customHeight="false" outlineLevel="0" collapsed="false">
      <c r="A42" s="56" t="n">
        <v>35</v>
      </c>
      <c r="B42" s="16" t="s">
        <v>380</v>
      </c>
      <c r="C42" s="43" t="s">
        <v>509</v>
      </c>
      <c r="D42" s="56" t="n">
        <v>6</v>
      </c>
      <c r="E42" s="57" t="n">
        <f aca="false">SUMIFS('2. RECETAS'!$H$8:$H$557,'2. RECETAS'!$A$8:$A$557,$A42)</f>
        <v>104.56</v>
      </c>
      <c r="F42" s="57" t="n">
        <f aca="false">IF(D42=0,0,E42/D42)</f>
        <v>17.4266666666667</v>
      </c>
      <c r="G42" s="58" t="n">
        <f aca="false">PANEL!$C$7</f>
        <v>6</v>
      </c>
      <c r="H42" s="58" t="n">
        <f aca="false">PANEL!$C$8</f>
        <v>2</v>
      </c>
      <c r="I42" s="58" t="n">
        <f aca="false">PANEL!$C$11</f>
        <v>4</v>
      </c>
      <c r="J42" s="57" t="n">
        <f aca="false">F42+G42+H42+I42</f>
        <v>29.4266666666667</v>
      </c>
      <c r="K42" s="57" t="n">
        <f aca="false">J42*PANEL!$C$12</f>
        <v>2.35413333333333</v>
      </c>
      <c r="L42" s="58" t="n">
        <f aca="false">PANEL!$C$15</f>
        <v>10</v>
      </c>
      <c r="M42" s="59" t="n">
        <f aca="false">J42+K42+L42</f>
        <v>41.7808</v>
      </c>
      <c r="N42" s="57" t="n">
        <f aca="false">IF(PANEL!$C$16&gt;=1,0,M42/(1-PANEL!$C$16))</f>
        <v>104.452</v>
      </c>
      <c r="O42" s="60" t="n">
        <f aca="false">IF(PANEL!$C$18&lt;=0,N42,CEILING(N42,PANEL!$C$18))</f>
        <v>105</v>
      </c>
      <c r="P42" s="57" t="n">
        <f aca="false">O42-M42</f>
        <v>63.2192</v>
      </c>
      <c r="Q42" s="61" t="n">
        <f aca="false">IF(O42=0,0,P42/O42)</f>
        <v>0.602087619047619</v>
      </c>
      <c r="R42" s="60" t="n">
        <f aca="false">IF(PANEL!$C$17&gt;=1,0,IF(PANEL!$C$18&lt;=0,M42/(1-PANEL!$C$17),CEILING(M42/(1-PANEL!$C$17),PANEL!$C$18)))</f>
        <v>65</v>
      </c>
      <c r="S42" s="57" t="n">
        <f aca="false">R42-M42</f>
        <v>23.2192</v>
      </c>
      <c r="T42" s="57" t="n">
        <f aca="false">O42*(1+PANEL!$C$19)</f>
        <v>121.8</v>
      </c>
      <c r="U42" s="62" t="s">
        <v>520</v>
      </c>
      <c r="V42" s="62" t="s">
        <v>474</v>
      </c>
      <c r="W42" s="62" t="s">
        <v>464</v>
      </c>
      <c r="X42" s="62"/>
    </row>
    <row r="43" customFormat="false" ht="15" hidden="false" customHeight="false" outlineLevel="0" collapsed="false">
      <c r="A43" s="56" t="n">
        <v>36</v>
      </c>
      <c r="B43" s="16" t="s">
        <v>382</v>
      </c>
      <c r="C43" s="43" t="s">
        <v>509</v>
      </c>
      <c r="D43" s="56" t="n">
        <v>6</v>
      </c>
      <c r="E43" s="57" t="n">
        <f aca="false">SUMIFS('2. RECETAS'!$H$8:$H$557,'2. RECETAS'!$A$8:$A$557,$A43)</f>
        <v>99.85</v>
      </c>
      <c r="F43" s="57" t="n">
        <f aca="false">IF(D43=0,0,E43/D43)</f>
        <v>16.6416666666667</v>
      </c>
      <c r="G43" s="58" t="n">
        <f aca="false">PANEL!$C$7</f>
        <v>6</v>
      </c>
      <c r="H43" s="58" t="n">
        <f aca="false">PANEL!$C$8</f>
        <v>2</v>
      </c>
      <c r="I43" s="58" t="n">
        <f aca="false">PANEL!$C$11</f>
        <v>4</v>
      </c>
      <c r="J43" s="57" t="n">
        <f aca="false">F43+G43+H43+I43</f>
        <v>28.6416666666667</v>
      </c>
      <c r="K43" s="57" t="n">
        <f aca="false">J43*PANEL!$C$12</f>
        <v>2.29133333333333</v>
      </c>
      <c r="L43" s="58" t="n">
        <f aca="false">PANEL!$C$15</f>
        <v>10</v>
      </c>
      <c r="M43" s="59" t="n">
        <f aca="false">J43+K43+L43</f>
        <v>40.933</v>
      </c>
      <c r="N43" s="57" t="n">
        <f aca="false">IF(PANEL!$C$16&gt;=1,0,M43/(1-PANEL!$C$16))</f>
        <v>102.3325</v>
      </c>
      <c r="O43" s="60" t="n">
        <f aca="false">IF(PANEL!$C$18&lt;=0,N43,CEILING(N43,PANEL!$C$18))</f>
        <v>105</v>
      </c>
      <c r="P43" s="57" t="n">
        <f aca="false">O43-M43</f>
        <v>64.067</v>
      </c>
      <c r="Q43" s="61" t="n">
        <f aca="false">IF(O43=0,0,P43/O43)</f>
        <v>0.610161904761905</v>
      </c>
      <c r="R43" s="60" t="n">
        <f aca="false">IF(PANEL!$C$17&gt;=1,0,IF(PANEL!$C$18&lt;=0,M43/(1-PANEL!$C$17),CEILING(M43/(1-PANEL!$C$17),PANEL!$C$18)))</f>
        <v>65</v>
      </c>
      <c r="S43" s="57" t="n">
        <f aca="false">R43-M43</f>
        <v>24.067</v>
      </c>
      <c r="T43" s="57" t="n">
        <f aca="false">O43*(1+PANEL!$C$19)</f>
        <v>121.8</v>
      </c>
      <c r="U43" s="62" t="s">
        <v>521</v>
      </c>
      <c r="V43" s="62" t="s">
        <v>474</v>
      </c>
      <c r="W43" s="62" t="s">
        <v>472</v>
      </c>
      <c r="X43" s="62"/>
    </row>
    <row r="44" customFormat="false" ht="15" hidden="false" customHeight="false" outlineLevel="0" collapsed="false">
      <c r="A44" s="56" t="n">
        <v>37</v>
      </c>
      <c r="B44" s="16" t="s">
        <v>388</v>
      </c>
      <c r="C44" s="43" t="s">
        <v>509</v>
      </c>
      <c r="D44" s="56" t="n">
        <v>6</v>
      </c>
      <c r="E44" s="57" t="n">
        <f aca="false">SUMIFS('2. RECETAS'!$H$8:$H$557,'2. RECETAS'!$A$8:$A$557,$A44)</f>
        <v>103.99</v>
      </c>
      <c r="F44" s="57" t="n">
        <f aca="false">IF(D44=0,0,E44/D44)</f>
        <v>17.3316666666667</v>
      </c>
      <c r="G44" s="58" t="n">
        <f aca="false">PANEL!$C$7</f>
        <v>6</v>
      </c>
      <c r="H44" s="58" t="n">
        <f aca="false">PANEL!$C$8</f>
        <v>2</v>
      </c>
      <c r="I44" s="58" t="n">
        <f aca="false">PANEL!$C$11</f>
        <v>4</v>
      </c>
      <c r="J44" s="57" t="n">
        <f aca="false">F44+G44+H44+I44</f>
        <v>29.3316666666667</v>
      </c>
      <c r="K44" s="57" t="n">
        <f aca="false">J44*PANEL!$C$12</f>
        <v>2.34653333333333</v>
      </c>
      <c r="L44" s="58" t="n">
        <f aca="false">PANEL!$C$15</f>
        <v>10</v>
      </c>
      <c r="M44" s="59" t="n">
        <f aca="false">J44+K44+L44</f>
        <v>41.6782</v>
      </c>
      <c r="N44" s="57" t="n">
        <f aca="false">IF(PANEL!$C$16&gt;=1,0,M44/(1-PANEL!$C$16))</f>
        <v>104.1955</v>
      </c>
      <c r="O44" s="60" t="n">
        <f aca="false">IF(PANEL!$C$18&lt;=0,N44,CEILING(N44,PANEL!$C$18))</f>
        <v>105</v>
      </c>
      <c r="P44" s="57" t="n">
        <f aca="false">O44-M44</f>
        <v>63.3218</v>
      </c>
      <c r="Q44" s="61" t="n">
        <f aca="false">IF(O44=0,0,P44/O44)</f>
        <v>0.603064761904762</v>
      </c>
      <c r="R44" s="60" t="n">
        <f aca="false">IF(PANEL!$C$17&gt;=1,0,IF(PANEL!$C$18&lt;=0,M44/(1-PANEL!$C$17),CEILING(M44/(1-PANEL!$C$17),PANEL!$C$18)))</f>
        <v>65</v>
      </c>
      <c r="S44" s="57" t="n">
        <f aca="false">R44-M44</f>
        <v>23.3218</v>
      </c>
      <c r="T44" s="57" t="n">
        <f aca="false">O44*(1+PANEL!$C$19)</f>
        <v>121.8</v>
      </c>
      <c r="U44" s="62" t="s">
        <v>522</v>
      </c>
      <c r="V44" s="62" t="s">
        <v>474</v>
      </c>
      <c r="W44" s="62" t="s">
        <v>464</v>
      </c>
      <c r="X44" s="62"/>
    </row>
    <row r="45" customFormat="false" ht="22.35" hidden="false" customHeight="false" outlineLevel="0" collapsed="false">
      <c r="A45" s="56" t="n">
        <v>38</v>
      </c>
      <c r="B45" s="16" t="s">
        <v>392</v>
      </c>
      <c r="C45" s="43" t="s">
        <v>509</v>
      </c>
      <c r="D45" s="56" t="n">
        <v>6</v>
      </c>
      <c r="E45" s="57" t="n">
        <f aca="false">SUMIFS('2. RECETAS'!$H$8:$H$557,'2. RECETAS'!$A$8:$A$557,$A45)</f>
        <v>115.973333333333</v>
      </c>
      <c r="F45" s="57" t="n">
        <f aca="false">IF(D45=0,0,E45/D45)</f>
        <v>19.3288888888889</v>
      </c>
      <c r="G45" s="58" t="n">
        <f aca="false">PANEL!$C$7</f>
        <v>6</v>
      </c>
      <c r="H45" s="58" t="n">
        <f aca="false">PANEL!$C$8</f>
        <v>2</v>
      </c>
      <c r="I45" s="58" t="n">
        <f aca="false">PANEL!$C$11</f>
        <v>4</v>
      </c>
      <c r="J45" s="57" t="n">
        <f aca="false">F45+G45+H45+I45</f>
        <v>31.3288888888889</v>
      </c>
      <c r="K45" s="57" t="n">
        <f aca="false">J45*PANEL!$C$12</f>
        <v>2.50631111111111</v>
      </c>
      <c r="L45" s="58" t="n">
        <f aca="false">PANEL!$C$15</f>
        <v>10</v>
      </c>
      <c r="M45" s="59" t="n">
        <f aca="false">J45+K45+L45</f>
        <v>43.8352</v>
      </c>
      <c r="N45" s="57" t="n">
        <f aca="false">IF(PANEL!$C$16&gt;=1,0,M45/(1-PANEL!$C$16))</f>
        <v>109.588</v>
      </c>
      <c r="O45" s="60" t="n">
        <f aca="false">IF(PANEL!$C$18&lt;=0,N45,CEILING(N45,PANEL!$C$18))</f>
        <v>110</v>
      </c>
      <c r="P45" s="57" t="n">
        <f aca="false">O45-M45</f>
        <v>66.1648</v>
      </c>
      <c r="Q45" s="61" t="n">
        <f aca="false">IF(O45=0,0,P45/O45)</f>
        <v>0.601498181818182</v>
      </c>
      <c r="R45" s="60" t="n">
        <f aca="false">IF(PANEL!$C$17&gt;=1,0,IF(PANEL!$C$18&lt;=0,M45/(1-PANEL!$C$17),CEILING(M45/(1-PANEL!$C$17),PANEL!$C$18)))</f>
        <v>70</v>
      </c>
      <c r="S45" s="57" t="n">
        <f aca="false">R45-M45</f>
        <v>26.1648</v>
      </c>
      <c r="T45" s="57" t="n">
        <f aca="false">O45*(1+PANEL!$C$19)</f>
        <v>127.6</v>
      </c>
      <c r="U45" s="62" t="s">
        <v>523</v>
      </c>
      <c r="V45" s="62" t="s">
        <v>474</v>
      </c>
      <c r="W45" s="62" t="s">
        <v>464</v>
      </c>
      <c r="X45" s="62"/>
    </row>
    <row r="46" customFormat="false" ht="32.8" hidden="false" customHeight="false" outlineLevel="0" collapsed="false">
      <c r="A46" s="56" t="n">
        <v>39</v>
      </c>
      <c r="B46" s="16" t="s">
        <v>396</v>
      </c>
      <c r="C46" s="43" t="s">
        <v>509</v>
      </c>
      <c r="D46" s="56" t="n">
        <v>6</v>
      </c>
      <c r="E46" s="57" t="n">
        <f aca="false">SUMIFS('2. RECETAS'!$H$8:$H$557,'2. RECETAS'!$A$8:$A$557,$A46)</f>
        <v>93.85</v>
      </c>
      <c r="F46" s="57" t="n">
        <f aca="false">IF(D46=0,0,E46/D46)</f>
        <v>15.6416666666667</v>
      </c>
      <c r="G46" s="58" t="n">
        <f aca="false">PANEL!$C$7</f>
        <v>6</v>
      </c>
      <c r="H46" s="58" t="n">
        <f aca="false">PANEL!$C$8</f>
        <v>2</v>
      </c>
      <c r="I46" s="58" t="n">
        <f aca="false">PANEL!$C$11</f>
        <v>4</v>
      </c>
      <c r="J46" s="57" t="n">
        <f aca="false">F46+G46+H46+I46</f>
        <v>27.6416666666667</v>
      </c>
      <c r="K46" s="57" t="n">
        <f aca="false">J46*PANEL!$C$12</f>
        <v>2.21133333333333</v>
      </c>
      <c r="L46" s="58" t="n">
        <f aca="false">PANEL!$C$15</f>
        <v>10</v>
      </c>
      <c r="M46" s="59" t="n">
        <f aca="false">J46+K46+L46</f>
        <v>39.853</v>
      </c>
      <c r="N46" s="57" t="n">
        <f aca="false">IF(PANEL!$C$16&gt;=1,0,M46/(1-PANEL!$C$16))</f>
        <v>99.6325</v>
      </c>
      <c r="O46" s="60" t="n">
        <f aca="false">IF(PANEL!$C$18&lt;=0,N46,CEILING(N46,PANEL!$C$18))</f>
        <v>100</v>
      </c>
      <c r="P46" s="57" t="n">
        <f aca="false">O46-M46</f>
        <v>60.147</v>
      </c>
      <c r="Q46" s="61" t="n">
        <f aca="false">IF(O46=0,0,P46/O46)</f>
        <v>0.60147</v>
      </c>
      <c r="R46" s="60" t="n">
        <f aca="false">IF(PANEL!$C$17&gt;=1,0,IF(PANEL!$C$18&lt;=0,M46/(1-PANEL!$C$17),CEILING(M46/(1-PANEL!$C$17),PANEL!$C$18)))</f>
        <v>65</v>
      </c>
      <c r="S46" s="57" t="n">
        <f aca="false">R46-M46</f>
        <v>25.147</v>
      </c>
      <c r="T46" s="57" t="n">
        <f aca="false">O46*(1+PANEL!$C$19)</f>
        <v>116</v>
      </c>
      <c r="U46" s="62" t="s">
        <v>524</v>
      </c>
      <c r="V46" s="62" t="s">
        <v>525</v>
      </c>
      <c r="W46" s="62" t="s">
        <v>475</v>
      </c>
      <c r="X46" s="62"/>
    </row>
    <row r="47" customFormat="false" ht="22.35" hidden="false" customHeight="false" outlineLevel="0" collapsed="false">
      <c r="A47" s="56" t="n">
        <v>40</v>
      </c>
      <c r="B47" s="16" t="s">
        <v>400</v>
      </c>
      <c r="C47" s="43" t="s">
        <v>509</v>
      </c>
      <c r="D47" s="56" t="n">
        <v>6</v>
      </c>
      <c r="E47" s="57" t="n">
        <f aca="false">SUMIFS('2. RECETAS'!$H$8:$H$557,'2. RECETAS'!$A$8:$A$557,$A47)</f>
        <v>90.3566666666667</v>
      </c>
      <c r="F47" s="57" t="n">
        <f aca="false">IF(D47=0,0,E47/D47)</f>
        <v>15.0594444444444</v>
      </c>
      <c r="G47" s="58" t="n">
        <f aca="false">PANEL!$C$7</f>
        <v>6</v>
      </c>
      <c r="H47" s="58" t="n">
        <f aca="false">PANEL!$C$8</f>
        <v>2</v>
      </c>
      <c r="I47" s="58" t="n">
        <f aca="false">PANEL!$C$11</f>
        <v>4</v>
      </c>
      <c r="J47" s="57" t="n">
        <f aca="false">F47+G47+H47+I47</f>
        <v>27.0594444444444</v>
      </c>
      <c r="K47" s="57" t="n">
        <f aca="false">J47*PANEL!$C$12</f>
        <v>2.16475555555556</v>
      </c>
      <c r="L47" s="58" t="n">
        <f aca="false">PANEL!$C$15</f>
        <v>10</v>
      </c>
      <c r="M47" s="59" t="n">
        <f aca="false">J47+K47+L47</f>
        <v>39.2242</v>
      </c>
      <c r="N47" s="57" t="n">
        <f aca="false">IF(PANEL!$C$16&gt;=1,0,M47/(1-PANEL!$C$16))</f>
        <v>98.0605</v>
      </c>
      <c r="O47" s="60" t="n">
        <f aca="false">IF(PANEL!$C$18&lt;=0,N47,CEILING(N47,PANEL!$C$18))</f>
        <v>100</v>
      </c>
      <c r="P47" s="57" t="n">
        <f aca="false">O47-M47</f>
        <v>60.7758</v>
      </c>
      <c r="Q47" s="61" t="n">
        <f aca="false">IF(O47=0,0,P47/O47)</f>
        <v>0.607758</v>
      </c>
      <c r="R47" s="60" t="n">
        <f aca="false">IF(PANEL!$C$17&gt;=1,0,IF(PANEL!$C$18&lt;=0,M47/(1-PANEL!$C$17),CEILING(M47/(1-PANEL!$C$17),PANEL!$C$18)))</f>
        <v>65</v>
      </c>
      <c r="S47" s="57" t="n">
        <f aca="false">R47-M47</f>
        <v>25.7758</v>
      </c>
      <c r="T47" s="57" t="n">
        <f aca="false">O47*(1+PANEL!$C$19)</f>
        <v>116</v>
      </c>
      <c r="U47" s="62" t="s">
        <v>526</v>
      </c>
      <c r="V47" s="62" t="s">
        <v>474</v>
      </c>
      <c r="W47" s="62" t="s">
        <v>472</v>
      </c>
      <c r="X47" s="62"/>
    </row>
    <row r="48" customFormat="false" ht="15" hidden="false" customHeight="false" outlineLevel="0" collapsed="false">
      <c r="A48" s="56" t="n">
        <v>41</v>
      </c>
      <c r="B48" s="16" t="s">
        <v>402</v>
      </c>
      <c r="C48" s="43" t="s">
        <v>527</v>
      </c>
      <c r="D48" s="56" t="n">
        <v>6</v>
      </c>
      <c r="E48" s="57" t="n">
        <f aca="false">SUMIFS('2. RECETAS'!$H$8:$H$557,'2. RECETAS'!$A$8:$A$557,$A48)</f>
        <v>162.21</v>
      </c>
      <c r="F48" s="57" t="n">
        <f aca="false">IF(D48=0,0,E48/D48)</f>
        <v>27.035</v>
      </c>
      <c r="G48" s="58" t="n">
        <f aca="false">PANEL!$C$7</f>
        <v>6</v>
      </c>
      <c r="H48" s="58" t="n">
        <f aca="false">PANEL!$C$8</f>
        <v>2</v>
      </c>
      <c r="I48" s="58" t="n">
        <f aca="false">PANEL!$C$11</f>
        <v>4</v>
      </c>
      <c r="J48" s="57" t="n">
        <f aca="false">F48+G48+H48+I48</f>
        <v>39.035</v>
      </c>
      <c r="K48" s="57" t="n">
        <f aca="false">J48*PANEL!$C$12</f>
        <v>3.1228</v>
      </c>
      <c r="L48" s="58" t="n">
        <f aca="false">PANEL!$C$15</f>
        <v>10</v>
      </c>
      <c r="M48" s="59" t="n">
        <f aca="false">J48+K48+L48</f>
        <v>52.1578</v>
      </c>
      <c r="N48" s="57" t="n">
        <f aca="false">IF(PANEL!$C$16&gt;=1,0,M48/(1-PANEL!$C$16))</f>
        <v>130.3945</v>
      </c>
      <c r="O48" s="60" t="n">
        <f aca="false">IF(PANEL!$C$18&lt;=0,N48,CEILING(N48,PANEL!$C$18))</f>
        <v>135</v>
      </c>
      <c r="P48" s="57" t="n">
        <f aca="false">O48-M48</f>
        <v>82.8422</v>
      </c>
      <c r="Q48" s="61" t="n">
        <f aca="false">IF(O48=0,0,P48/O48)</f>
        <v>0.613645925925926</v>
      </c>
      <c r="R48" s="60" t="n">
        <f aca="false">IF(PANEL!$C$17&gt;=1,0,IF(PANEL!$C$18&lt;=0,M48/(1-PANEL!$C$17),CEILING(M48/(1-PANEL!$C$17),PANEL!$C$18)))</f>
        <v>85</v>
      </c>
      <c r="S48" s="57" t="n">
        <f aca="false">R48-M48</f>
        <v>32.8422</v>
      </c>
      <c r="T48" s="57" t="n">
        <f aca="false">O48*(1+PANEL!$C$19)</f>
        <v>156.6</v>
      </c>
      <c r="U48" s="62" t="s">
        <v>528</v>
      </c>
      <c r="V48" s="62" t="s">
        <v>474</v>
      </c>
      <c r="W48" s="62" t="s">
        <v>472</v>
      </c>
      <c r="X48" s="62"/>
    </row>
    <row r="49" customFormat="false" ht="22.35" hidden="false" customHeight="false" outlineLevel="0" collapsed="false">
      <c r="A49" s="56" t="n">
        <v>42</v>
      </c>
      <c r="B49" s="16" t="s">
        <v>407</v>
      </c>
      <c r="C49" s="43" t="s">
        <v>527</v>
      </c>
      <c r="D49" s="56" t="n">
        <v>6</v>
      </c>
      <c r="E49" s="57" t="n">
        <f aca="false">SUMIFS('2. RECETAS'!$H$8:$H$557,'2. RECETAS'!$A$8:$A$557,$A49)</f>
        <v>114.98</v>
      </c>
      <c r="F49" s="57" t="n">
        <f aca="false">IF(D49=0,0,E49/D49)</f>
        <v>19.1633333333333</v>
      </c>
      <c r="G49" s="58" t="n">
        <f aca="false">PANEL!$C$7</f>
        <v>6</v>
      </c>
      <c r="H49" s="58" t="n">
        <f aca="false">PANEL!$C$8</f>
        <v>2</v>
      </c>
      <c r="I49" s="58" t="n">
        <f aca="false">PANEL!$C$11</f>
        <v>4</v>
      </c>
      <c r="J49" s="57" t="n">
        <f aca="false">F49+G49+H49+I49</f>
        <v>31.1633333333333</v>
      </c>
      <c r="K49" s="57" t="n">
        <f aca="false">J49*PANEL!$C$12</f>
        <v>2.49306666666667</v>
      </c>
      <c r="L49" s="58" t="n">
        <f aca="false">PANEL!$C$15</f>
        <v>10</v>
      </c>
      <c r="M49" s="59" t="n">
        <f aca="false">J49+K49+L49</f>
        <v>43.6564</v>
      </c>
      <c r="N49" s="57" t="n">
        <f aca="false">IF(PANEL!$C$16&gt;=1,0,M49/(1-PANEL!$C$16))</f>
        <v>109.141</v>
      </c>
      <c r="O49" s="60" t="n">
        <f aca="false">IF(PANEL!$C$18&lt;=0,N49,CEILING(N49,PANEL!$C$18))</f>
        <v>110</v>
      </c>
      <c r="P49" s="57" t="n">
        <f aca="false">O49-M49</f>
        <v>66.3436</v>
      </c>
      <c r="Q49" s="61" t="n">
        <f aca="false">IF(O49=0,0,P49/O49)</f>
        <v>0.603123636363636</v>
      </c>
      <c r="R49" s="60" t="n">
        <f aca="false">IF(PANEL!$C$17&gt;=1,0,IF(PANEL!$C$18&lt;=0,M49/(1-PANEL!$C$17),CEILING(M49/(1-PANEL!$C$17),PANEL!$C$18)))</f>
        <v>70</v>
      </c>
      <c r="S49" s="57" t="n">
        <f aca="false">R49-M49</f>
        <v>26.3436</v>
      </c>
      <c r="T49" s="57" t="n">
        <f aca="false">O49*(1+PANEL!$C$19)</f>
        <v>127.6</v>
      </c>
      <c r="U49" s="62" t="s">
        <v>529</v>
      </c>
      <c r="V49" s="62" t="s">
        <v>474</v>
      </c>
      <c r="W49" s="62" t="s">
        <v>464</v>
      </c>
      <c r="X49" s="62" t="s">
        <v>530</v>
      </c>
    </row>
    <row r="50" customFormat="false" ht="22.35" hidden="false" customHeight="false" outlineLevel="0" collapsed="false">
      <c r="A50" s="56" t="n">
        <v>43</v>
      </c>
      <c r="B50" s="16" t="s">
        <v>413</v>
      </c>
      <c r="C50" s="43" t="s">
        <v>527</v>
      </c>
      <c r="D50" s="56" t="n">
        <v>6</v>
      </c>
      <c r="E50" s="57" t="n">
        <f aca="false">SUMIFS('2. RECETAS'!$H$8:$H$557,'2. RECETAS'!$A$8:$A$557,$A50)</f>
        <v>153.89</v>
      </c>
      <c r="F50" s="57" t="n">
        <f aca="false">IF(D50=0,0,E50/D50)</f>
        <v>25.6483333333333</v>
      </c>
      <c r="G50" s="58" t="n">
        <f aca="false">PANEL!$C$7</f>
        <v>6</v>
      </c>
      <c r="H50" s="58" t="n">
        <f aca="false">PANEL!$C$8</f>
        <v>2</v>
      </c>
      <c r="I50" s="58" t="n">
        <f aca="false">PANEL!$C$11</f>
        <v>4</v>
      </c>
      <c r="J50" s="57" t="n">
        <f aca="false">F50+G50+H50+I50</f>
        <v>37.6483333333333</v>
      </c>
      <c r="K50" s="57" t="n">
        <f aca="false">J50*PANEL!$C$12</f>
        <v>3.01186666666667</v>
      </c>
      <c r="L50" s="58" t="n">
        <f aca="false">PANEL!$C$15</f>
        <v>10</v>
      </c>
      <c r="M50" s="59" t="n">
        <f aca="false">J50+K50+L50</f>
        <v>50.6602</v>
      </c>
      <c r="N50" s="57" t="n">
        <f aca="false">IF(PANEL!$C$16&gt;=1,0,M50/(1-PANEL!$C$16))</f>
        <v>126.6505</v>
      </c>
      <c r="O50" s="60" t="n">
        <f aca="false">IF(PANEL!$C$18&lt;=0,N50,CEILING(N50,PANEL!$C$18))</f>
        <v>130</v>
      </c>
      <c r="P50" s="57" t="n">
        <f aca="false">O50-M50</f>
        <v>79.3398</v>
      </c>
      <c r="Q50" s="61" t="n">
        <f aca="false">IF(O50=0,0,P50/O50)</f>
        <v>0.610306153846154</v>
      </c>
      <c r="R50" s="60" t="n">
        <f aca="false">IF(PANEL!$C$17&gt;=1,0,IF(PANEL!$C$18&lt;=0,M50/(1-PANEL!$C$17),CEILING(M50/(1-PANEL!$C$17),PANEL!$C$18)))</f>
        <v>80</v>
      </c>
      <c r="S50" s="57" t="n">
        <f aca="false">R50-M50</f>
        <v>29.3398</v>
      </c>
      <c r="T50" s="57" t="n">
        <f aca="false">O50*(1+PANEL!$C$19)</f>
        <v>150.8</v>
      </c>
      <c r="U50" s="62" t="s">
        <v>531</v>
      </c>
      <c r="V50" s="62" t="s">
        <v>474</v>
      </c>
      <c r="W50" s="62" t="s">
        <v>475</v>
      </c>
      <c r="X50" s="62"/>
    </row>
    <row r="51" customFormat="false" ht="22.35" hidden="false" customHeight="false" outlineLevel="0" collapsed="false">
      <c r="A51" s="56" t="n">
        <v>44</v>
      </c>
      <c r="B51" s="16" t="s">
        <v>417</v>
      </c>
      <c r="C51" s="43" t="s">
        <v>527</v>
      </c>
      <c r="D51" s="56" t="n">
        <v>6</v>
      </c>
      <c r="E51" s="57" t="n">
        <f aca="false">SUMIFS('2. RECETAS'!$H$8:$H$557,'2. RECETAS'!$A$8:$A$557,$A51)</f>
        <v>91.11</v>
      </c>
      <c r="F51" s="57" t="n">
        <f aca="false">IF(D51=0,0,E51/D51)</f>
        <v>15.185</v>
      </c>
      <c r="G51" s="58" t="n">
        <f aca="false">PANEL!$C$7</f>
        <v>6</v>
      </c>
      <c r="H51" s="58" t="n">
        <f aca="false">PANEL!$C$8</f>
        <v>2</v>
      </c>
      <c r="I51" s="58" t="n">
        <f aca="false">PANEL!$C$11</f>
        <v>4</v>
      </c>
      <c r="J51" s="57" t="n">
        <f aca="false">F51+G51+H51+I51</f>
        <v>27.185</v>
      </c>
      <c r="K51" s="57" t="n">
        <f aca="false">J51*PANEL!$C$12</f>
        <v>2.1748</v>
      </c>
      <c r="L51" s="58" t="n">
        <f aca="false">PANEL!$C$15</f>
        <v>10</v>
      </c>
      <c r="M51" s="59" t="n">
        <f aca="false">J51+K51+L51</f>
        <v>39.3598</v>
      </c>
      <c r="N51" s="57" t="n">
        <f aca="false">IF(PANEL!$C$16&gt;=1,0,M51/(1-PANEL!$C$16))</f>
        <v>98.3995</v>
      </c>
      <c r="O51" s="60" t="n">
        <f aca="false">IF(PANEL!$C$18&lt;=0,N51,CEILING(N51,PANEL!$C$18))</f>
        <v>100</v>
      </c>
      <c r="P51" s="57" t="n">
        <f aca="false">O51-M51</f>
        <v>60.6402</v>
      </c>
      <c r="Q51" s="61" t="n">
        <f aca="false">IF(O51=0,0,P51/O51)</f>
        <v>0.606402</v>
      </c>
      <c r="R51" s="60" t="n">
        <f aca="false">IF(PANEL!$C$17&gt;=1,0,IF(PANEL!$C$18&lt;=0,M51/(1-PANEL!$C$17),CEILING(M51/(1-PANEL!$C$17),PANEL!$C$18)))</f>
        <v>65</v>
      </c>
      <c r="S51" s="57" t="n">
        <f aca="false">R51-M51</f>
        <v>25.6402</v>
      </c>
      <c r="T51" s="57" t="n">
        <f aca="false">O51*(1+PANEL!$C$19)</f>
        <v>116</v>
      </c>
      <c r="U51" s="62" t="s">
        <v>532</v>
      </c>
      <c r="V51" s="62" t="s">
        <v>474</v>
      </c>
      <c r="W51" s="62" t="s">
        <v>472</v>
      </c>
      <c r="X51" s="62"/>
    </row>
    <row r="52" customFormat="false" ht="22.35" hidden="false" customHeight="false" outlineLevel="0" collapsed="false">
      <c r="A52" s="56" t="n">
        <v>45</v>
      </c>
      <c r="B52" s="16" t="s">
        <v>418</v>
      </c>
      <c r="C52" s="43" t="s">
        <v>527</v>
      </c>
      <c r="D52" s="56" t="n">
        <v>6</v>
      </c>
      <c r="E52" s="57" t="n">
        <f aca="false">SUMIFS('2. RECETAS'!$H$8:$H$557,'2. RECETAS'!$A$8:$A$557,$A52)</f>
        <v>151.03</v>
      </c>
      <c r="F52" s="57" t="n">
        <f aca="false">IF(D52=0,0,E52/D52)</f>
        <v>25.1716666666667</v>
      </c>
      <c r="G52" s="58" t="n">
        <f aca="false">PANEL!$C$7</f>
        <v>6</v>
      </c>
      <c r="H52" s="58" t="n">
        <f aca="false">PANEL!$C$8</f>
        <v>2</v>
      </c>
      <c r="I52" s="58" t="n">
        <f aca="false">PANEL!$C$11</f>
        <v>4</v>
      </c>
      <c r="J52" s="57" t="n">
        <f aca="false">F52+G52+H52+I52</f>
        <v>37.1716666666667</v>
      </c>
      <c r="K52" s="57" t="n">
        <f aca="false">J52*PANEL!$C$12</f>
        <v>2.97373333333333</v>
      </c>
      <c r="L52" s="58" t="n">
        <f aca="false">PANEL!$C$15</f>
        <v>10</v>
      </c>
      <c r="M52" s="59" t="n">
        <f aca="false">J52+K52+L52</f>
        <v>50.1454</v>
      </c>
      <c r="N52" s="57" t="n">
        <f aca="false">IF(PANEL!$C$16&gt;=1,0,M52/(1-PANEL!$C$16))</f>
        <v>125.3635</v>
      </c>
      <c r="O52" s="60" t="n">
        <f aca="false">IF(PANEL!$C$18&lt;=0,N52,CEILING(N52,PANEL!$C$18))</f>
        <v>130</v>
      </c>
      <c r="P52" s="57" t="n">
        <f aca="false">O52-M52</f>
        <v>79.8546</v>
      </c>
      <c r="Q52" s="61" t="n">
        <f aca="false">IF(O52=0,0,P52/O52)</f>
        <v>0.614266153846154</v>
      </c>
      <c r="R52" s="60" t="n">
        <f aca="false">IF(PANEL!$C$17&gt;=1,0,IF(PANEL!$C$18&lt;=0,M52/(1-PANEL!$C$17),CEILING(M52/(1-PANEL!$C$17),PANEL!$C$18)))</f>
        <v>80</v>
      </c>
      <c r="S52" s="57" t="n">
        <f aca="false">R52-M52</f>
        <v>29.8546</v>
      </c>
      <c r="T52" s="57" t="n">
        <f aca="false">O52*(1+PANEL!$C$19)</f>
        <v>150.8</v>
      </c>
      <c r="U52" s="62" t="s">
        <v>533</v>
      </c>
      <c r="V52" s="62" t="s">
        <v>474</v>
      </c>
      <c r="W52" s="62" t="s">
        <v>464</v>
      </c>
      <c r="X52" s="62"/>
    </row>
    <row r="53" customFormat="false" ht="32.8" hidden="false" customHeight="false" outlineLevel="0" collapsed="false">
      <c r="A53" s="56" t="n">
        <v>46</v>
      </c>
      <c r="B53" s="16" t="s">
        <v>422</v>
      </c>
      <c r="C53" s="43" t="s">
        <v>527</v>
      </c>
      <c r="D53" s="56" t="n">
        <v>6</v>
      </c>
      <c r="E53" s="57" t="n">
        <f aca="false">SUMIFS('2. RECETAS'!$H$8:$H$557,'2. RECETAS'!$A$8:$A$557,$A53)</f>
        <v>218.77</v>
      </c>
      <c r="F53" s="57" t="n">
        <f aca="false">IF(D53=0,0,E53/D53)</f>
        <v>36.4616666666667</v>
      </c>
      <c r="G53" s="58" t="n">
        <f aca="false">PANEL!$C$7</f>
        <v>6</v>
      </c>
      <c r="H53" s="58" t="n">
        <f aca="false">PANEL!$C$8</f>
        <v>2</v>
      </c>
      <c r="I53" s="58" t="n">
        <f aca="false">PANEL!$C$11</f>
        <v>4</v>
      </c>
      <c r="J53" s="57" t="n">
        <f aca="false">F53+G53+H53+I53</f>
        <v>48.4616666666667</v>
      </c>
      <c r="K53" s="57" t="n">
        <f aca="false">J53*PANEL!$C$12</f>
        <v>3.87693333333333</v>
      </c>
      <c r="L53" s="58" t="n">
        <f aca="false">PANEL!$C$15</f>
        <v>10</v>
      </c>
      <c r="M53" s="59" t="n">
        <f aca="false">J53+K53+L53</f>
        <v>62.3386</v>
      </c>
      <c r="N53" s="57" t="n">
        <f aca="false">IF(PANEL!$C$16&gt;=1,0,M53/(1-PANEL!$C$16))</f>
        <v>155.8465</v>
      </c>
      <c r="O53" s="60" t="n">
        <f aca="false">IF(PANEL!$C$18&lt;=0,N53,CEILING(N53,PANEL!$C$18))</f>
        <v>160</v>
      </c>
      <c r="P53" s="57" t="n">
        <f aca="false">O53-M53</f>
        <v>97.6614</v>
      </c>
      <c r="Q53" s="61" t="n">
        <f aca="false">IF(O53=0,0,P53/O53)</f>
        <v>0.61038375</v>
      </c>
      <c r="R53" s="60" t="n">
        <f aca="false">IF(PANEL!$C$17&gt;=1,0,IF(PANEL!$C$18&lt;=0,M53/(1-PANEL!$C$17),CEILING(M53/(1-PANEL!$C$17),PANEL!$C$18)))</f>
        <v>100</v>
      </c>
      <c r="S53" s="57" t="n">
        <f aca="false">R53-M53</f>
        <v>37.6614</v>
      </c>
      <c r="T53" s="57" t="n">
        <f aca="false">O53*(1+PANEL!$C$19)</f>
        <v>185.6</v>
      </c>
      <c r="U53" s="62" t="s">
        <v>534</v>
      </c>
      <c r="V53" s="62" t="s">
        <v>535</v>
      </c>
      <c r="W53" s="62" t="s">
        <v>472</v>
      </c>
      <c r="X53" s="62"/>
    </row>
    <row r="54" customFormat="false" ht="22.35" hidden="false" customHeight="false" outlineLevel="0" collapsed="false">
      <c r="A54" s="56" t="n">
        <v>47</v>
      </c>
      <c r="B54" s="16" t="s">
        <v>426</v>
      </c>
      <c r="C54" s="43" t="s">
        <v>527</v>
      </c>
      <c r="D54" s="56" t="n">
        <v>6</v>
      </c>
      <c r="E54" s="57" t="n">
        <f aca="false">SUMIFS('2. RECETAS'!$H$8:$H$557,'2. RECETAS'!$A$8:$A$557,$A54)</f>
        <v>108.93</v>
      </c>
      <c r="F54" s="57" t="n">
        <f aca="false">IF(D54=0,0,E54/D54)</f>
        <v>18.155</v>
      </c>
      <c r="G54" s="58" t="n">
        <f aca="false">PANEL!$C$7</f>
        <v>6</v>
      </c>
      <c r="H54" s="58" t="n">
        <f aca="false">PANEL!$C$8</f>
        <v>2</v>
      </c>
      <c r="I54" s="58" t="n">
        <f aca="false">PANEL!$C$11</f>
        <v>4</v>
      </c>
      <c r="J54" s="57" t="n">
        <f aca="false">F54+G54+H54+I54</f>
        <v>30.155</v>
      </c>
      <c r="K54" s="57" t="n">
        <f aca="false">J54*PANEL!$C$12</f>
        <v>2.4124</v>
      </c>
      <c r="L54" s="58" t="n">
        <f aca="false">PANEL!$C$15</f>
        <v>10</v>
      </c>
      <c r="M54" s="59" t="n">
        <f aca="false">J54+K54+L54</f>
        <v>42.5674</v>
      </c>
      <c r="N54" s="57" t="n">
        <f aca="false">IF(PANEL!$C$16&gt;=1,0,M54/(1-PANEL!$C$16))</f>
        <v>106.4185</v>
      </c>
      <c r="O54" s="60" t="n">
        <f aca="false">IF(PANEL!$C$18&lt;=0,N54,CEILING(N54,PANEL!$C$18))</f>
        <v>110</v>
      </c>
      <c r="P54" s="57" t="n">
        <f aca="false">O54-M54</f>
        <v>67.4326</v>
      </c>
      <c r="Q54" s="61" t="n">
        <f aca="false">IF(O54=0,0,P54/O54)</f>
        <v>0.613023636363636</v>
      </c>
      <c r="R54" s="60" t="n">
        <f aca="false">IF(PANEL!$C$17&gt;=1,0,IF(PANEL!$C$18&lt;=0,M54/(1-PANEL!$C$17),CEILING(M54/(1-PANEL!$C$17),PANEL!$C$18)))</f>
        <v>70</v>
      </c>
      <c r="S54" s="57" t="n">
        <f aca="false">R54-M54</f>
        <v>27.4326</v>
      </c>
      <c r="T54" s="57" t="n">
        <f aca="false">O54*(1+PANEL!$C$19)</f>
        <v>127.6</v>
      </c>
      <c r="U54" s="62" t="s">
        <v>536</v>
      </c>
      <c r="V54" s="62" t="s">
        <v>474</v>
      </c>
      <c r="W54" s="62" t="s">
        <v>464</v>
      </c>
      <c r="X54" s="62"/>
    </row>
    <row r="55" customFormat="false" ht="22.35" hidden="false" customHeight="false" outlineLevel="0" collapsed="false">
      <c r="A55" s="56" t="n">
        <v>48</v>
      </c>
      <c r="B55" s="16" t="s">
        <v>430</v>
      </c>
      <c r="C55" s="43" t="s">
        <v>527</v>
      </c>
      <c r="D55" s="56" t="n">
        <v>6</v>
      </c>
      <c r="E55" s="57" t="n">
        <f aca="false">SUMIFS('2. RECETAS'!$H$8:$H$557,'2. RECETAS'!$A$8:$A$557,$A55)</f>
        <v>101.36</v>
      </c>
      <c r="F55" s="57" t="n">
        <f aca="false">IF(D55=0,0,E55/D55)</f>
        <v>16.8933333333333</v>
      </c>
      <c r="G55" s="58" t="n">
        <f aca="false">PANEL!$C$7</f>
        <v>6</v>
      </c>
      <c r="H55" s="58" t="n">
        <f aca="false">PANEL!$C$8</f>
        <v>2</v>
      </c>
      <c r="I55" s="58" t="n">
        <f aca="false">PANEL!$C$11</f>
        <v>4</v>
      </c>
      <c r="J55" s="57" t="n">
        <f aca="false">F55+G55+H55+I55</f>
        <v>28.8933333333333</v>
      </c>
      <c r="K55" s="57" t="n">
        <f aca="false">J55*PANEL!$C$12</f>
        <v>2.31146666666667</v>
      </c>
      <c r="L55" s="58" t="n">
        <f aca="false">PANEL!$C$15</f>
        <v>10</v>
      </c>
      <c r="M55" s="59" t="n">
        <f aca="false">J55+K55+L55</f>
        <v>41.2048</v>
      </c>
      <c r="N55" s="57" t="n">
        <f aca="false">IF(PANEL!$C$16&gt;=1,0,M55/(1-PANEL!$C$16))</f>
        <v>103.012</v>
      </c>
      <c r="O55" s="60" t="n">
        <f aca="false">IF(PANEL!$C$18&lt;=0,N55,CEILING(N55,PANEL!$C$18))</f>
        <v>105</v>
      </c>
      <c r="P55" s="57" t="n">
        <f aca="false">O55-M55</f>
        <v>63.7952</v>
      </c>
      <c r="Q55" s="61" t="n">
        <f aca="false">IF(O55=0,0,P55/O55)</f>
        <v>0.607573333333333</v>
      </c>
      <c r="R55" s="60" t="n">
        <f aca="false">IF(PANEL!$C$17&gt;=1,0,IF(PANEL!$C$18&lt;=0,M55/(1-PANEL!$C$17),CEILING(M55/(1-PANEL!$C$17),PANEL!$C$18)))</f>
        <v>65</v>
      </c>
      <c r="S55" s="57" t="n">
        <f aca="false">R55-M55</f>
        <v>23.7952</v>
      </c>
      <c r="T55" s="57" t="n">
        <f aca="false">O55*(1+PANEL!$C$19)</f>
        <v>121.8</v>
      </c>
      <c r="U55" s="62" t="s">
        <v>537</v>
      </c>
      <c r="V55" s="62" t="s">
        <v>474</v>
      </c>
      <c r="W55" s="62" t="s">
        <v>475</v>
      </c>
      <c r="X55" s="62"/>
    </row>
    <row r="56" customFormat="false" ht="22.35" hidden="false" customHeight="false" outlineLevel="0" collapsed="false">
      <c r="A56" s="56" t="n">
        <v>49</v>
      </c>
      <c r="B56" s="16" t="s">
        <v>433</v>
      </c>
      <c r="C56" s="43" t="s">
        <v>527</v>
      </c>
      <c r="D56" s="56" t="n">
        <v>6</v>
      </c>
      <c r="E56" s="57" t="n">
        <f aca="false">SUMIFS('2. RECETAS'!$H$8:$H$557,'2. RECETAS'!$A$8:$A$557,$A56)</f>
        <v>178.25</v>
      </c>
      <c r="F56" s="57" t="n">
        <f aca="false">IF(D56=0,0,E56/D56)</f>
        <v>29.7083333333333</v>
      </c>
      <c r="G56" s="58" t="n">
        <f aca="false">PANEL!$C$7</f>
        <v>6</v>
      </c>
      <c r="H56" s="58" t="n">
        <f aca="false">PANEL!$C$8</f>
        <v>2</v>
      </c>
      <c r="I56" s="58" t="n">
        <f aca="false">PANEL!$C$11</f>
        <v>4</v>
      </c>
      <c r="J56" s="57" t="n">
        <f aca="false">F56+G56+H56+I56</f>
        <v>41.7083333333333</v>
      </c>
      <c r="K56" s="57" t="n">
        <f aca="false">J56*PANEL!$C$12</f>
        <v>3.33666666666667</v>
      </c>
      <c r="L56" s="58" t="n">
        <f aca="false">PANEL!$C$15</f>
        <v>10</v>
      </c>
      <c r="M56" s="59" t="n">
        <f aca="false">J56+K56+L56</f>
        <v>55.045</v>
      </c>
      <c r="N56" s="57" t="n">
        <f aca="false">IF(PANEL!$C$16&gt;=1,0,M56/(1-PANEL!$C$16))</f>
        <v>137.6125</v>
      </c>
      <c r="O56" s="60" t="n">
        <f aca="false">IF(PANEL!$C$18&lt;=0,N56,CEILING(N56,PANEL!$C$18))</f>
        <v>140</v>
      </c>
      <c r="P56" s="57" t="n">
        <f aca="false">O56-M56</f>
        <v>84.955</v>
      </c>
      <c r="Q56" s="61" t="n">
        <f aca="false">IF(O56=0,0,P56/O56)</f>
        <v>0.606821428571429</v>
      </c>
      <c r="R56" s="60" t="n">
        <f aca="false">IF(PANEL!$C$17&gt;=1,0,IF(PANEL!$C$18&lt;=0,M56/(1-PANEL!$C$17),CEILING(M56/(1-PANEL!$C$17),PANEL!$C$18)))</f>
        <v>85</v>
      </c>
      <c r="S56" s="57" t="n">
        <f aca="false">R56-M56</f>
        <v>29.955</v>
      </c>
      <c r="T56" s="57" t="n">
        <f aca="false">O56*(1+PANEL!$C$19)</f>
        <v>162.4</v>
      </c>
      <c r="U56" s="62" t="s">
        <v>538</v>
      </c>
      <c r="V56" s="62" t="s">
        <v>474</v>
      </c>
      <c r="W56" s="62" t="s">
        <v>464</v>
      </c>
      <c r="X56" s="62"/>
    </row>
    <row r="57" customFormat="false" ht="22.35" hidden="false" customHeight="false" outlineLevel="0" collapsed="false">
      <c r="A57" s="56" t="n">
        <v>50</v>
      </c>
      <c r="B57" s="16" t="s">
        <v>436</v>
      </c>
      <c r="C57" s="43" t="s">
        <v>527</v>
      </c>
      <c r="D57" s="56" t="n">
        <v>6</v>
      </c>
      <c r="E57" s="57" t="n">
        <f aca="false">SUMIFS('2. RECETAS'!$H$8:$H$557,'2. RECETAS'!$A$8:$A$557,$A57)</f>
        <v>145.42</v>
      </c>
      <c r="F57" s="57" t="n">
        <f aca="false">IF(D57=0,0,E57/D57)</f>
        <v>24.2366666666667</v>
      </c>
      <c r="G57" s="58" t="n">
        <f aca="false">PANEL!$C$7</f>
        <v>6</v>
      </c>
      <c r="H57" s="58" t="n">
        <f aca="false">PANEL!$C$8</f>
        <v>2</v>
      </c>
      <c r="I57" s="58" t="n">
        <f aca="false">PANEL!$C$11</f>
        <v>4</v>
      </c>
      <c r="J57" s="57" t="n">
        <f aca="false">F57+G57+H57+I57</f>
        <v>36.2366666666667</v>
      </c>
      <c r="K57" s="57" t="n">
        <f aca="false">J57*PANEL!$C$12</f>
        <v>2.89893333333333</v>
      </c>
      <c r="L57" s="58" t="n">
        <f aca="false">PANEL!$C$15</f>
        <v>10</v>
      </c>
      <c r="M57" s="59" t="n">
        <f aca="false">J57+K57+L57</f>
        <v>49.1356</v>
      </c>
      <c r="N57" s="57" t="n">
        <f aca="false">IF(PANEL!$C$16&gt;=1,0,M57/(1-PANEL!$C$16))</f>
        <v>122.839</v>
      </c>
      <c r="O57" s="60" t="n">
        <f aca="false">IF(PANEL!$C$18&lt;=0,N57,CEILING(N57,PANEL!$C$18))</f>
        <v>125</v>
      </c>
      <c r="P57" s="57" t="n">
        <f aca="false">O57-M57</f>
        <v>75.8644</v>
      </c>
      <c r="Q57" s="61" t="n">
        <f aca="false">IF(O57=0,0,P57/O57)</f>
        <v>0.6069152</v>
      </c>
      <c r="R57" s="60" t="n">
        <f aca="false">IF(PANEL!$C$17&gt;=1,0,IF(PANEL!$C$18&lt;=0,M57/(1-PANEL!$C$17),CEILING(M57/(1-PANEL!$C$17),PANEL!$C$18)))</f>
        <v>80</v>
      </c>
      <c r="S57" s="57" t="n">
        <f aca="false">R57-M57</f>
        <v>30.8644</v>
      </c>
      <c r="T57" s="57" t="n">
        <f aca="false">O57*(1+PANEL!$C$19)</f>
        <v>145</v>
      </c>
      <c r="U57" s="62" t="s">
        <v>539</v>
      </c>
      <c r="V57" s="62" t="s">
        <v>474</v>
      </c>
      <c r="W57" s="62" t="s">
        <v>472</v>
      </c>
      <c r="X57" s="62"/>
    </row>
  </sheetData>
  <autoFilter ref="A7:T57"/>
  <mergeCells count="3">
    <mergeCell ref="A1:T1"/>
    <mergeCell ref="A2:T2"/>
    <mergeCell ref="A3:T3"/>
  </mergeCells>
  <conditionalFormatting sqref="P8:P57">
    <cfRule type="colorScale" priority="2">
      <colorScale>
        <cfvo type="min" val="0"/>
        <cfvo type="max" val="0"/>
        <color rgb="FFF8CBAD"/>
        <color rgb="FFC6E0B4"/>
      </colorScale>
    </cfRule>
  </conditionalFormatting>
  <conditionalFormatting sqref="M8:M57">
    <cfRule type="colorScale" priority="3">
      <colorScale>
        <cfvo type="min" val="0"/>
        <cfvo type="max" val="0"/>
        <color rgb="FFC6E0B4"/>
        <color rgb="FFF8CBAD"/>
      </colorScale>
    </cfRule>
  </conditionalFormatting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B818"/>
    <pageSetUpPr fitToPage="true"/>
  </sheetPr>
  <dimension ref="A1:Z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540</v>
      </c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541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7" customFormat="false" ht="39.75" hidden="false" customHeight="true" outlineLevel="0" collapsed="false">
      <c r="A7" s="34" t="s">
        <v>542</v>
      </c>
      <c r="B7" s="34" t="s">
        <v>79</v>
      </c>
      <c r="C7" s="34" t="s">
        <v>443</v>
      </c>
      <c r="D7" s="34" t="s">
        <v>543</v>
      </c>
      <c r="E7" s="34" t="s">
        <v>544</v>
      </c>
      <c r="F7" s="34" t="s">
        <v>545</v>
      </c>
      <c r="G7" s="34" t="s">
        <v>546</v>
      </c>
      <c r="H7" s="34" t="s">
        <v>547</v>
      </c>
    </row>
    <row r="8" customFormat="false" ht="15" hidden="false" customHeight="false" outlineLevel="0" collapsed="false">
      <c r="A8" s="63"/>
      <c r="B8" s="56" t="str">
        <f aca="false">IFERROR(INDEX('3. COSTEO'!$A$8:$A$57,MATCH($A8,'3. COSTEO'!$B$8:$B$57,0)),"")</f>
        <v/>
      </c>
      <c r="C8" s="56" t="str">
        <f aca="false">IFERROR(INDEX('3. COSTEO'!$D$8:$D$57,MATCH($A8,'3. COSTEO'!$B$8:$B$57,0)),"")</f>
        <v/>
      </c>
      <c r="D8" s="64" t="n">
        <v>0</v>
      </c>
      <c r="E8" s="56" t="str">
        <f aca="false">IF($A8="","",C8*D8)</f>
        <v/>
      </c>
      <c r="F8" s="65" t="str">
        <f aca="false">IF($A8="","",E8*INDEX('3. COSTEO'!$M$8:$M$57,MATCH($A8,'3. COSTEO'!$B$8:$B$57,0)))</f>
        <v/>
      </c>
      <c r="G8" s="65" t="str">
        <f aca="false">IF($A8="","",E8*INDEX('3. COSTEO'!$O$8:$O$57,MATCH($A8,'3. COSTEO'!$B$8:$B$57,0)))</f>
        <v/>
      </c>
      <c r="H8" s="65" t="str">
        <f aca="false">IF($A8="","",G8-F8)</f>
        <v/>
      </c>
    </row>
    <row r="9" customFormat="false" ht="15" hidden="false" customHeight="false" outlineLevel="0" collapsed="false">
      <c r="A9" s="63"/>
      <c r="B9" s="56" t="str">
        <f aca="false">IFERROR(INDEX('3. COSTEO'!$A$8:$A$57,MATCH($A9,'3. COSTEO'!$B$8:$B$57,0)),"")</f>
        <v/>
      </c>
      <c r="C9" s="56" t="str">
        <f aca="false">IFERROR(INDEX('3. COSTEO'!$D$8:$D$57,MATCH($A9,'3. COSTEO'!$B$8:$B$57,0)),"")</f>
        <v/>
      </c>
      <c r="D9" s="64" t="n">
        <v>0</v>
      </c>
      <c r="E9" s="56" t="str">
        <f aca="false">IF($A9="","",C9*D9)</f>
        <v/>
      </c>
      <c r="F9" s="65" t="str">
        <f aca="false">IF($A9="","",E9*INDEX('3. COSTEO'!$M$8:$M$57,MATCH($A9,'3. COSTEO'!$B$8:$B$57,0)))</f>
        <v/>
      </c>
      <c r="G9" s="65" t="str">
        <f aca="false">IF($A9="","",E9*INDEX('3. COSTEO'!$O$8:$O$57,MATCH($A9,'3. COSTEO'!$B$8:$B$57,0)))</f>
        <v/>
      </c>
      <c r="H9" s="65" t="str">
        <f aca="false">IF($A9="","",G9-F9)</f>
        <v/>
      </c>
    </row>
    <row r="10" customFormat="false" ht="15" hidden="false" customHeight="false" outlineLevel="0" collapsed="false">
      <c r="A10" s="63"/>
      <c r="B10" s="56" t="str">
        <f aca="false">IFERROR(INDEX('3. COSTEO'!$A$8:$A$57,MATCH($A10,'3. COSTEO'!$B$8:$B$57,0)),"")</f>
        <v/>
      </c>
      <c r="C10" s="56" t="str">
        <f aca="false">IFERROR(INDEX('3. COSTEO'!$D$8:$D$57,MATCH($A10,'3. COSTEO'!$B$8:$B$57,0)),"")</f>
        <v/>
      </c>
      <c r="D10" s="64" t="n">
        <v>0</v>
      </c>
      <c r="E10" s="56" t="str">
        <f aca="false">IF($A10="","",C10*D10)</f>
        <v/>
      </c>
      <c r="F10" s="65" t="str">
        <f aca="false">IF($A10="","",E10*INDEX('3. COSTEO'!$M$8:$M$57,MATCH($A10,'3. COSTEO'!$B$8:$B$57,0)))</f>
        <v/>
      </c>
      <c r="G10" s="65" t="str">
        <f aca="false">IF($A10="","",E10*INDEX('3. COSTEO'!$O$8:$O$57,MATCH($A10,'3. COSTEO'!$B$8:$B$57,0)))</f>
        <v/>
      </c>
      <c r="H10" s="65" t="str">
        <f aca="false">IF($A10="","",G10-F10)</f>
        <v/>
      </c>
    </row>
    <row r="11" customFormat="false" ht="15" hidden="false" customHeight="false" outlineLevel="0" collapsed="false">
      <c r="A11" s="63"/>
      <c r="B11" s="56" t="str">
        <f aca="false">IFERROR(INDEX('3. COSTEO'!$A$8:$A$57,MATCH($A11,'3. COSTEO'!$B$8:$B$57,0)),"")</f>
        <v/>
      </c>
      <c r="C11" s="56" t="str">
        <f aca="false">IFERROR(INDEX('3. COSTEO'!$D$8:$D$57,MATCH($A11,'3. COSTEO'!$B$8:$B$57,0)),"")</f>
        <v/>
      </c>
      <c r="D11" s="64" t="n">
        <v>0</v>
      </c>
      <c r="E11" s="56" t="str">
        <f aca="false">IF($A11="","",C11*D11)</f>
        <v/>
      </c>
      <c r="F11" s="65" t="str">
        <f aca="false">IF($A11="","",E11*INDEX('3. COSTEO'!$M$8:$M$57,MATCH($A11,'3. COSTEO'!$B$8:$B$57,0)))</f>
        <v/>
      </c>
      <c r="G11" s="65" t="str">
        <f aca="false">IF($A11="","",E11*INDEX('3. COSTEO'!$O$8:$O$57,MATCH($A11,'3. COSTEO'!$B$8:$B$57,0)))</f>
        <v/>
      </c>
      <c r="H11" s="65" t="str">
        <f aca="false">IF($A11="","",G11-F11)</f>
        <v/>
      </c>
    </row>
    <row r="12" customFormat="false" ht="15" hidden="false" customHeight="false" outlineLevel="0" collapsed="false">
      <c r="A12" s="63"/>
      <c r="B12" s="56" t="str">
        <f aca="false">IFERROR(INDEX('3. COSTEO'!$A$8:$A$57,MATCH($A12,'3. COSTEO'!$B$8:$B$57,0)),"")</f>
        <v/>
      </c>
      <c r="C12" s="56" t="str">
        <f aca="false">IFERROR(INDEX('3. COSTEO'!$D$8:$D$57,MATCH($A12,'3. COSTEO'!$B$8:$B$57,0)),"")</f>
        <v/>
      </c>
      <c r="D12" s="64" t="n">
        <v>0</v>
      </c>
      <c r="E12" s="56" t="str">
        <f aca="false">IF($A12="","",C12*D12)</f>
        <v/>
      </c>
      <c r="F12" s="65" t="str">
        <f aca="false">IF($A12="","",E12*INDEX('3. COSTEO'!$M$8:$M$57,MATCH($A12,'3. COSTEO'!$B$8:$B$57,0)))</f>
        <v/>
      </c>
      <c r="G12" s="65" t="str">
        <f aca="false">IF($A12="","",E12*INDEX('3. COSTEO'!$O$8:$O$57,MATCH($A12,'3. COSTEO'!$B$8:$B$57,0)))</f>
        <v/>
      </c>
      <c r="H12" s="65" t="str">
        <f aca="false">IF($A12="","",G12-F12)</f>
        <v/>
      </c>
    </row>
    <row r="13" customFormat="false" ht="15" hidden="false" customHeight="false" outlineLevel="0" collapsed="false">
      <c r="A13" s="63"/>
      <c r="B13" s="56" t="str">
        <f aca="false">IFERROR(INDEX('3. COSTEO'!$A$8:$A$57,MATCH($A13,'3. COSTEO'!$B$8:$B$57,0)),"")</f>
        <v/>
      </c>
      <c r="C13" s="56" t="str">
        <f aca="false">IFERROR(INDEX('3. COSTEO'!$D$8:$D$57,MATCH($A13,'3. COSTEO'!$B$8:$B$57,0)),"")</f>
        <v/>
      </c>
      <c r="D13" s="64" t="n">
        <v>0</v>
      </c>
      <c r="E13" s="56" t="str">
        <f aca="false">IF($A13="","",C13*D13)</f>
        <v/>
      </c>
      <c r="F13" s="65" t="str">
        <f aca="false">IF($A13="","",E13*INDEX('3. COSTEO'!$M$8:$M$57,MATCH($A13,'3. COSTEO'!$B$8:$B$57,0)))</f>
        <v/>
      </c>
      <c r="G13" s="65" t="str">
        <f aca="false">IF($A13="","",E13*INDEX('3. COSTEO'!$O$8:$O$57,MATCH($A13,'3. COSTEO'!$B$8:$B$57,0)))</f>
        <v/>
      </c>
      <c r="H13" s="65" t="str">
        <f aca="false">IF($A13="","",G13-F13)</f>
        <v/>
      </c>
    </row>
    <row r="14" customFormat="false" ht="15" hidden="false" customHeight="false" outlineLevel="0" collapsed="false">
      <c r="A14" s="63"/>
      <c r="B14" s="56" t="str">
        <f aca="false">IFERROR(INDEX('3. COSTEO'!$A$8:$A$57,MATCH($A14,'3. COSTEO'!$B$8:$B$57,0)),"")</f>
        <v/>
      </c>
      <c r="C14" s="56" t="str">
        <f aca="false">IFERROR(INDEX('3. COSTEO'!$D$8:$D$57,MATCH($A14,'3. COSTEO'!$B$8:$B$57,0)),"")</f>
        <v/>
      </c>
      <c r="D14" s="64" t="n">
        <v>0</v>
      </c>
      <c r="E14" s="56" t="str">
        <f aca="false">IF($A14="","",C14*D14)</f>
        <v/>
      </c>
      <c r="F14" s="65" t="str">
        <f aca="false">IF($A14="","",E14*INDEX('3. COSTEO'!$M$8:$M$57,MATCH($A14,'3. COSTEO'!$B$8:$B$57,0)))</f>
        <v/>
      </c>
      <c r="G14" s="65" t="str">
        <f aca="false">IF($A14="","",E14*INDEX('3. COSTEO'!$O$8:$O$57,MATCH($A14,'3. COSTEO'!$B$8:$B$57,0)))</f>
        <v/>
      </c>
      <c r="H14" s="65" t="str">
        <f aca="false">IF($A14="","",G14-F14)</f>
        <v/>
      </c>
    </row>
    <row r="15" customFormat="false" ht="15" hidden="false" customHeight="false" outlineLevel="0" collapsed="false">
      <c r="A15" s="63"/>
      <c r="B15" s="56" t="str">
        <f aca="false">IFERROR(INDEX('3. COSTEO'!$A$8:$A$57,MATCH($A15,'3. COSTEO'!$B$8:$B$57,0)),"")</f>
        <v/>
      </c>
      <c r="C15" s="56" t="str">
        <f aca="false">IFERROR(INDEX('3. COSTEO'!$D$8:$D$57,MATCH($A15,'3. COSTEO'!$B$8:$B$57,0)),"")</f>
        <v/>
      </c>
      <c r="D15" s="64" t="n">
        <v>0</v>
      </c>
      <c r="E15" s="56" t="str">
        <f aca="false">IF($A15="","",C15*D15)</f>
        <v/>
      </c>
      <c r="F15" s="65" t="str">
        <f aca="false">IF($A15="","",E15*INDEX('3. COSTEO'!$M$8:$M$57,MATCH($A15,'3. COSTEO'!$B$8:$B$57,0)))</f>
        <v/>
      </c>
      <c r="G15" s="65" t="str">
        <f aca="false">IF($A15="","",E15*INDEX('3. COSTEO'!$O$8:$O$57,MATCH($A15,'3. COSTEO'!$B$8:$B$57,0)))</f>
        <v/>
      </c>
      <c r="H15" s="65" t="str">
        <f aca="false">IF($A15="","",G15-F15)</f>
        <v/>
      </c>
    </row>
    <row r="16" customFormat="false" ht="15" hidden="false" customHeight="false" outlineLevel="0" collapsed="false">
      <c r="A16" s="63"/>
      <c r="B16" s="56" t="str">
        <f aca="false">IFERROR(INDEX('3. COSTEO'!$A$8:$A$57,MATCH($A16,'3. COSTEO'!$B$8:$B$57,0)),"")</f>
        <v/>
      </c>
      <c r="C16" s="56" t="str">
        <f aca="false">IFERROR(INDEX('3. COSTEO'!$D$8:$D$57,MATCH($A16,'3. COSTEO'!$B$8:$B$57,0)),"")</f>
        <v/>
      </c>
      <c r="D16" s="64" t="n">
        <v>0</v>
      </c>
      <c r="E16" s="56" t="str">
        <f aca="false">IF($A16="","",C16*D16)</f>
        <v/>
      </c>
      <c r="F16" s="65" t="str">
        <f aca="false">IF($A16="","",E16*INDEX('3. COSTEO'!$M$8:$M$57,MATCH($A16,'3. COSTEO'!$B$8:$B$57,0)))</f>
        <v/>
      </c>
      <c r="G16" s="65" t="str">
        <f aca="false">IF($A16="","",E16*INDEX('3. COSTEO'!$O$8:$O$57,MATCH($A16,'3. COSTEO'!$B$8:$B$57,0)))</f>
        <v/>
      </c>
      <c r="H16" s="65" t="str">
        <f aca="false">IF($A16="","",G16-F16)</f>
        <v/>
      </c>
    </row>
    <row r="17" customFormat="false" ht="15" hidden="false" customHeight="false" outlineLevel="0" collapsed="false">
      <c r="A17" s="63"/>
      <c r="B17" s="56" t="str">
        <f aca="false">IFERROR(INDEX('3. COSTEO'!$A$8:$A$57,MATCH($A17,'3. COSTEO'!$B$8:$B$57,0)),"")</f>
        <v/>
      </c>
      <c r="C17" s="56" t="str">
        <f aca="false">IFERROR(INDEX('3. COSTEO'!$D$8:$D$57,MATCH($A17,'3. COSTEO'!$B$8:$B$57,0)),"")</f>
        <v/>
      </c>
      <c r="D17" s="64" t="n">
        <v>0</v>
      </c>
      <c r="E17" s="56" t="str">
        <f aca="false">IF($A17="","",C17*D17)</f>
        <v/>
      </c>
      <c r="F17" s="65" t="str">
        <f aca="false">IF($A17="","",E17*INDEX('3. COSTEO'!$M$8:$M$57,MATCH($A17,'3. COSTEO'!$B$8:$B$57,0)))</f>
        <v/>
      </c>
      <c r="G17" s="65" t="str">
        <f aca="false">IF($A17="","",E17*INDEX('3. COSTEO'!$O$8:$O$57,MATCH($A17,'3. COSTEO'!$B$8:$B$57,0)))</f>
        <v/>
      </c>
      <c r="H17" s="65" t="str">
        <f aca="false">IF($A17="","",G17-F17)</f>
        <v/>
      </c>
    </row>
    <row r="18" customFormat="false" ht="15" hidden="false" customHeight="false" outlineLevel="0" collapsed="false">
      <c r="A18" s="63"/>
      <c r="B18" s="56" t="str">
        <f aca="false">IFERROR(INDEX('3. COSTEO'!$A$8:$A$57,MATCH($A18,'3. COSTEO'!$B$8:$B$57,0)),"")</f>
        <v/>
      </c>
      <c r="C18" s="56" t="str">
        <f aca="false">IFERROR(INDEX('3. COSTEO'!$D$8:$D$57,MATCH($A18,'3. COSTEO'!$B$8:$B$57,0)),"")</f>
        <v/>
      </c>
      <c r="D18" s="64" t="n">
        <v>0</v>
      </c>
      <c r="E18" s="56" t="str">
        <f aca="false">IF($A18="","",C18*D18)</f>
        <v/>
      </c>
      <c r="F18" s="65" t="str">
        <f aca="false">IF($A18="","",E18*INDEX('3. COSTEO'!$M$8:$M$57,MATCH($A18,'3. COSTEO'!$B$8:$B$57,0)))</f>
        <v/>
      </c>
      <c r="G18" s="65" t="str">
        <f aca="false">IF($A18="","",E18*INDEX('3. COSTEO'!$O$8:$O$57,MATCH($A18,'3. COSTEO'!$B$8:$B$57,0)))</f>
        <v/>
      </c>
      <c r="H18" s="65" t="str">
        <f aca="false">IF($A18="","",G18-F18)</f>
        <v/>
      </c>
    </row>
    <row r="19" customFormat="false" ht="15" hidden="false" customHeight="false" outlineLevel="0" collapsed="false">
      <c r="A19" s="63"/>
      <c r="B19" s="56" t="str">
        <f aca="false">IFERROR(INDEX('3. COSTEO'!$A$8:$A$57,MATCH($A19,'3. COSTEO'!$B$8:$B$57,0)),"")</f>
        <v/>
      </c>
      <c r="C19" s="56" t="str">
        <f aca="false">IFERROR(INDEX('3. COSTEO'!$D$8:$D$57,MATCH($A19,'3. COSTEO'!$B$8:$B$57,0)),"")</f>
        <v/>
      </c>
      <c r="D19" s="64" t="n">
        <v>0</v>
      </c>
      <c r="E19" s="56" t="str">
        <f aca="false">IF($A19="","",C19*D19)</f>
        <v/>
      </c>
      <c r="F19" s="65" t="str">
        <f aca="false">IF($A19="","",E19*INDEX('3. COSTEO'!$M$8:$M$57,MATCH($A19,'3. COSTEO'!$B$8:$B$57,0)))</f>
        <v/>
      </c>
      <c r="G19" s="65" t="str">
        <f aca="false">IF($A19="","",E19*INDEX('3. COSTEO'!$O$8:$O$57,MATCH($A19,'3. COSTEO'!$B$8:$B$57,0)))</f>
        <v/>
      </c>
      <c r="H19" s="65" t="str">
        <f aca="false">IF($A19="","",G19-F19)</f>
        <v/>
      </c>
    </row>
    <row r="20" customFormat="false" ht="15" hidden="false" customHeight="false" outlineLevel="0" collapsed="false">
      <c r="A20" s="63"/>
      <c r="B20" s="56" t="str">
        <f aca="false">IFERROR(INDEX('3. COSTEO'!$A$8:$A$57,MATCH($A20,'3. COSTEO'!$B$8:$B$57,0)),"")</f>
        <v/>
      </c>
      <c r="C20" s="56" t="str">
        <f aca="false">IFERROR(INDEX('3. COSTEO'!$D$8:$D$57,MATCH($A20,'3. COSTEO'!$B$8:$B$57,0)),"")</f>
        <v/>
      </c>
      <c r="D20" s="64" t="n">
        <v>0</v>
      </c>
      <c r="E20" s="56" t="str">
        <f aca="false">IF($A20="","",C20*D20)</f>
        <v/>
      </c>
      <c r="F20" s="65" t="str">
        <f aca="false">IF($A20="","",E20*INDEX('3. COSTEO'!$M$8:$M$57,MATCH($A20,'3. COSTEO'!$B$8:$B$57,0)))</f>
        <v/>
      </c>
      <c r="G20" s="65" t="str">
        <f aca="false">IF($A20="","",E20*INDEX('3. COSTEO'!$O$8:$O$57,MATCH($A20,'3. COSTEO'!$B$8:$B$57,0)))</f>
        <v/>
      </c>
      <c r="H20" s="65" t="str">
        <f aca="false">IF($A20="","",G20-F20)</f>
        <v/>
      </c>
    </row>
    <row r="21" customFormat="false" ht="15" hidden="false" customHeight="false" outlineLevel="0" collapsed="false">
      <c r="A21" s="63"/>
      <c r="B21" s="56" t="str">
        <f aca="false">IFERROR(INDEX('3. COSTEO'!$A$8:$A$57,MATCH($A21,'3. COSTEO'!$B$8:$B$57,0)),"")</f>
        <v/>
      </c>
      <c r="C21" s="56" t="str">
        <f aca="false">IFERROR(INDEX('3. COSTEO'!$D$8:$D$57,MATCH($A21,'3. COSTEO'!$B$8:$B$57,0)),"")</f>
        <v/>
      </c>
      <c r="D21" s="64" t="n">
        <v>0</v>
      </c>
      <c r="E21" s="56" t="str">
        <f aca="false">IF($A21="","",C21*D21)</f>
        <v/>
      </c>
      <c r="F21" s="65" t="str">
        <f aca="false">IF($A21="","",E21*INDEX('3. COSTEO'!$M$8:$M$57,MATCH($A21,'3. COSTEO'!$B$8:$B$57,0)))</f>
        <v/>
      </c>
      <c r="G21" s="65" t="str">
        <f aca="false">IF($A21="","",E21*INDEX('3. COSTEO'!$O$8:$O$57,MATCH($A21,'3. COSTEO'!$B$8:$B$57,0)))</f>
        <v/>
      </c>
      <c r="H21" s="65" t="str">
        <f aca="false">IF($A21="","",G21-F21)</f>
        <v/>
      </c>
    </row>
    <row r="22" customFormat="false" ht="15" hidden="false" customHeight="false" outlineLevel="0" collapsed="false">
      <c r="A22" s="63"/>
      <c r="B22" s="56" t="str">
        <f aca="false">IFERROR(INDEX('3. COSTEO'!$A$8:$A$57,MATCH($A22,'3. COSTEO'!$B$8:$B$57,0)),"")</f>
        <v/>
      </c>
      <c r="C22" s="56" t="str">
        <f aca="false">IFERROR(INDEX('3. COSTEO'!$D$8:$D$57,MATCH($A22,'3. COSTEO'!$B$8:$B$57,0)),"")</f>
        <v/>
      </c>
      <c r="D22" s="64" t="n">
        <v>0</v>
      </c>
      <c r="E22" s="56" t="str">
        <f aca="false">IF($A22="","",C22*D22)</f>
        <v/>
      </c>
      <c r="F22" s="65" t="str">
        <f aca="false">IF($A22="","",E22*INDEX('3. COSTEO'!$M$8:$M$57,MATCH($A22,'3. COSTEO'!$B$8:$B$57,0)))</f>
        <v/>
      </c>
      <c r="G22" s="65" t="str">
        <f aca="false">IF($A22="","",E22*INDEX('3. COSTEO'!$O$8:$O$57,MATCH($A22,'3. COSTEO'!$B$8:$B$57,0)))</f>
        <v/>
      </c>
      <c r="H22" s="65" t="str">
        <f aca="false">IF($A22="","",G22-F22)</f>
        <v/>
      </c>
    </row>
    <row r="23" customFormat="false" ht="15" hidden="false" customHeight="false" outlineLevel="0" collapsed="false">
      <c r="A23" s="63"/>
      <c r="B23" s="56" t="str">
        <f aca="false">IFERROR(INDEX('3. COSTEO'!$A$8:$A$57,MATCH($A23,'3. COSTEO'!$B$8:$B$57,0)),"")</f>
        <v/>
      </c>
      <c r="C23" s="56" t="str">
        <f aca="false">IFERROR(INDEX('3. COSTEO'!$D$8:$D$57,MATCH($A23,'3. COSTEO'!$B$8:$B$57,0)),"")</f>
        <v/>
      </c>
      <c r="D23" s="64" t="n">
        <v>0</v>
      </c>
      <c r="E23" s="56" t="str">
        <f aca="false">IF($A23="","",C23*D23)</f>
        <v/>
      </c>
      <c r="F23" s="65" t="str">
        <f aca="false">IF($A23="","",E23*INDEX('3. COSTEO'!$M$8:$M$57,MATCH($A23,'3. COSTEO'!$B$8:$B$57,0)))</f>
        <v/>
      </c>
      <c r="G23" s="65" t="str">
        <f aca="false">IF($A23="","",E23*INDEX('3. COSTEO'!$O$8:$O$57,MATCH($A23,'3. COSTEO'!$B$8:$B$57,0)))</f>
        <v/>
      </c>
      <c r="H23" s="65" t="str">
        <f aca="false">IF($A23="","",G23-F23)</f>
        <v/>
      </c>
    </row>
    <row r="24" customFormat="false" ht="15" hidden="false" customHeight="false" outlineLevel="0" collapsed="false">
      <c r="A24" s="63"/>
      <c r="B24" s="56" t="str">
        <f aca="false">IFERROR(INDEX('3. COSTEO'!$A$8:$A$57,MATCH($A24,'3. COSTEO'!$B$8:$B$57,0)),"")</f>
        <v/>
      </c>
      <c r="C24" s="56" t="str">
        <f aca="false">IFERROR(INDEX('3. COSTEO'!$D$8:$D$57,MATCH($A24,'3. COSTEO'!$B$8:$B$57,0)),"")</f>
        <v/>
      </c>
      <c r="D24" s="64" t="n">
        <v>0</v>
      </c>
      <c r="E24" s="56" t="str">
        <f aca="false">IF($A24="","",C24*D24)</f>
        <v/>
      </c>
      <c r="F24" s="65" t="str">
        <f aca="false">IF($A24="","",E24*INDEX('3. COSTEO'!$M$8:$M$57,MATCH($A24,'3. COSTEO'!$B$8:$B$57,0)))</f>
        <v/>
      </c>
      <c r="G24" s="65" t="str">
        <f aca="false">IF($A24="","",E24*INDEX('3. COSTEO'!$O$8:$O$57,MATCH($A24,'3. COSTEO'!$B$8:$B$57,0)))</f>
        <v/>
      </c>
      <c r="H24" s="65" t="str">
        <f aca="false">IF($A24="","",G24-F24)</f>
        <v/>
      </c>
    </row>
    <row r="25" customFormat="false" ht="15" hidden="false" customHeight="false" outlineLevel="0" collapsed="false">
      <c r="A25" s="63"/>
      <c r="B25" s="56" t="str">
        <f aca="false">IFERROR(INDEX('3. COSTEO'!$A$8:$A$57,MATCH($A25,'3. COSTEO'!$B$8:$B$57,0)),"")</f>
        <v/>
      </c>
      <c r="C25" s="56" t="str">
        <f aca="false">IFERROR(INDEX('3. COSTEO'!$D$8:$D$57,MATCH($A25,'3. COSTEO'!$B$8:$B$57,0)),"")</f>
        <v/>
      </c>
      <c r="D25" s="64" t="n">
        <v>0</v>
      </c>
      <c r="E25" s="56" t="str">
        <f aca="false">IF($A25="","",C25*D25)</f>
        <v/>
      </c>
      <c r="F25" s="65" t="str">
        <f aca="false">IF($A25="","",E25*INDEX('3. COSTEO'!$M$8:$M$57,MATCH($A25,'3. COSTEO'!$B$8:$B$57,0)))</f>
        <v/>
      </c>
      <c r="G25" s="65" t="str">
        <f aca="false">IF($A25="","",E25*INDEX('3. COSTEO'!$O$8:$O$57,MATCH($A25,'3. COSTEO'!$B$8:$B$57,0)))</f>
        <v/>
      </c>
      <c r="H25" s="65" t="str">
        <f aca="false">IF($A25="","",G25-F25)</f>
        <v/>
      </c>
    </row>
    <row r="26" customFormat="false" ht="15" hidden="false" customHeight="false" outlineLevel="0" collapsed="false">
      <c r="A26" s="63"/>
      <c r="B26" s="56" t="str">
        <f aca="false">IFERROR(INDEX('3. COSTEO'!$A$8:$A$57,MATCH($A26,'3. COSTEO'!$B$8:$B$57,0)),"")</f>
        <v/>
      </c>
      <c r="C26" s="56" t="str">
        <f aca="false">IFERROR(INDEX('3. COSTEO'!$D$8:$D$57,MATCH($A26,'3. COSTEO'!$B$8:$B$57,0)),"")</f>
        <v/>
      </c>
      <c r="D26" s="64" t="n">
        <v>0</v>
      </c>
      <c r="E26" s="56" t="str">
        <f aca="false">IF($A26="","",C26*D26)</f>
        <v/>
      </c>
      <c r="F26" s="65" t="str">
        <f aca="false">IF($A26="","",E26*INDEX('3. COSTEO'!$M$8:$M$57,MATCH($A26,'3. COSTEO'!$B$8:$B$57,0)))</f>
        <v/>
      </c>
      <c r="G26" s="65" t="str">
        <f aca="false">IF($A26="","",E26*INDEX('3. COSTEO'!$O$8:$O$57,MATCH($A26,'3. COSTEO'!$B$8:$B$57,0)))</f>
        <v/>
      </c>
      <c r="H26" s="65" t="str">
        <f aca="false">IF($A26="","",G26-F26)</f>
        <v/>
      </c>
    </row>
    <row r="27" customFormat="false" ht="15" hidden="false" customHeight="false" outlineLevel="0" collapsed="false">
      <c r="A27" s="63"/>
      <c r="B27" s="56" t="str">
        <f aca="false">IFERROR(INDEX('3. COSTEO'!$A$8:$A$57,MATCH($A27,'3. COSTEO'!$B$8:$B$57,0)),"")</f>
        <v/>
      </c>
      <c r="C27" s="56" t="str">
        <f aca="false">IFERROR(INDEX('3. COSTEO'!$D$8:$D$57,MATCH($A27,'3. COSTEO'!$B$8:$B$57,0)),"")</f>
        <v/>
      </c>
      <c r="D27" s="64" t="n">
        <v>0</v>
      </c>
      <c r="E27" s="56" t="str">
        <f aca="false">IF($A27="","",C27*D27)</f>
        <v/>
      </c>
      <c r="F27" s="65" t="str">
        <f aca="false">IF($A27="","",E27*INDEX('3. COSTEO'!$M$8:$M$57,MATCH($A27,'3. COSTEO'!$B$8:$B$57,0)))</f>
        <v/>
      </c>
      <c r="G27" s="65" t="str">
        <f aca="false">IF($A27="","",E27*INDEX('3. COSTEO'!$O$8:$O$57,MATCH($A27,'3. COSTEO'!$B$8:$B$57,0)))</f>
        <v/>
      </c>
      <c r="H27" s="65" t="str">
        <f aca="false">IF($A27="","",G27-F27)</f>
        <v/>
      </c>
    </row>
    <row r="28" customFormat="false" ht="15" hidden="false" customHeight="false" outlineLevel="0" collapsed="false">
      <c r="A28" s="63"/>
      <c r="B28" s="56" t="str">
        <f aca="false">IFERROR(INDEX('3. COSTEO'!$A$8:$A$57,MATCH($A28,'3. COSTEO'!$B$8:$B$57,0)),"")</f>
        <v/>
      </c>
      <c r="C28" s="56" t="str">
        <f aca="false">IFERROR(INDEX('3. COSTEO'!$D$8:$D$57,MATCH($A28,'3. COSTEO'!$B$8:$B$57,0)),"")</f>
        <v/>
      </c>
      <c r="D28" s="64" t="n">
        <v>0</v>
      </c>
      <c r="E28" s="56" t="str">
        <f aca="false">IF($A28="","",C28*D28)</f>
        <v/>
      </c>
      <c r="F28" s="65" t="str">
        <f aca="false">IF($A28="","",E28*INDEX('3. COSTEO'!$M$8:$M$57,MATCH($A28,'3. COSTEO'!$B$8:$B$57,0)))</f>
        <v/>
      </c>
      <c r="G28" s="65" t="str">
        <f aca="false">IF($A28="","",E28*INDEX('3. COSTEO'!$O$8:$O$57,MATCH($A28,'3. COSTEO'!$B$8:$B$57,0)))</f>
        <v/>
      </c>
      <c r="H28" s="65" t="str">
        <f aca="false">IF($A28="","",G28-F28)</f>
        <v/>
      </c>
    </row>
    <row r="29" customFormat="false" ht="15" hidden="false" customHeight="false" outlineLevel="0" collapsed="false">
      <c r="A29" s="63"/>
      <c r="B29" s="56" t="str">
        <f aca="false">IFERROR(INDEX('3. COSTEO'!$A$8:$A$57,MATCH($A29,'3. COSTEO'!$B$8:$B$57,0)),"")</f>
        <v/>
      </c>
      <c r="C29" s="56" t="str">
        <f aca="false">IFERROR(INDEX('3. COSTEO'!$D$8:$D$57,MATCH($A29,'3. COSTEO'!$B$8:$B$57,0)),"")</f>
        <v/>
      </c>
      <c r="D29" s="64" t="n">
        <v>0</v>
      </c>
      <c r="E29" s="56" t="str">
        <f aca="false">IF($A29="","",C29*D29)</f>
        <v/>
      </c>
      <c r="F29" s="65" t="str">
        <f aca="false">IF($A29="","",E29*INDEX('3. COSTEO'!$M$8:$M$57,MATCH($A29,'3. COSTEO'!$B$8:$B$57,0)))</f>
        <v/>
      </c>
      <c r="G29" s="65" t="str">
        <f aca="false">IF($A29="","",E29*INDEX('3. COSTEO'!$O$8:$O$57,MATCH($A29,'3. COSTEO'!$B$8:$B$57,0)))</f>
        <v/>
      </c>
      <c r="H29" s="65" t="str">
        <f aca="false">IF($A29="","",G29-F29)</f>
        <v/>
      </c>
    </row>
    <row r="30" customFormat="false" ht="15" hidden="false" customHeight="false" outlineLevel="0" collapsed="false">
      <c r="A30" s="63"/>
      <c r="B30" s="56" t="str">
        <f aca="false">IFERROR(INDEX('3. COSTEO'!$A$8:$A$57,MATCH($A30,'3. COSTEO'!$B$8:$B$57,0)),"")</f>
        <v/>
      </c>
      <c r="C30" s="56" t="str">
        <f aca="false">IFERROR(INDEX('3. COSTEO'!$D$8:$D$57,MATCH($A30,'3. COSTEO'!$B$8:$B$57,0)),"")</f>
        <v/>
      </c>
      <c r="D30" s="64" t="n">
        <v>0</v>
      </c>
      <c r="E30" s="56" t="str">
        <f aca="false">IF($A30="","",C30*D30)</f>
        <v/>
      </c>
      <c r="F30" s="65" t="str">
        <f aca="false">IF($A30="","",E30*INDEX('3. COSTEO'!$M$8:$M$57,MATCH($A30,'3. COSTEO'!$B$8:$B$57,0)))</f>
        <v/>
      </c>
      <c r="G30" s="65" t="str">
        <f aca="false">IF($A30="","",E30*INDEX('3. COSTEO'!$O$8:$O$57,MATCH($A30,'3. COSTEO'!$B$8:$B$57,0)))</f>
        <v/>
      </c>
      <c r="H30" s="65" t="str">
        <f aca="false">IF($A30="","",G30-F30)</f>
        <v/>
      </c>
    </row>
    <row r="31" customFormat="false" ht="15" hidden="false" customHeight="false" outlineLevel="0" collapsed="false">
      <c r="A31" s="63"/>
      <c r="B31" s="56" t="str">
        <f aca="false">IFERROR(INDEX('3. COSTEO'!$A$8:$A$57,MATCH($A31,'3. COSTEO'!$B$8:$B$57,0)),"")</f>
        <v/>
      </c>
      <c r="C31" s="56" t="str">
        <f aca="false">IFERROR(INDEX('3. COSTEO'!$D$8:$D$57,MATCH($A31,'3. COSTEO'!$B$8:$B$57,0)),"")</f>
        <v/>
      </c>
      <c r="D31" s="64" t="n">
        <v>0</v>
      </c>
      <c r="E31" s="56" t="str">
        <f aca="false">IF($A31="","",C31*D31)</f>
        <v/>
      </c>
      <c r="F31" s="65" t="str">
        <f aca="false">IF($A31="","",E31*INDEX('3. COSTEO'!$M$8:$M$57,MATCH($A31,'3. COSTEO'!$B$8:$B$57,0)))</f>
        <v/>
      </c>
      <c r="G31" s="65" t="str">
        <f aca="false">IF($A31="","",E31*INDEX('3. COSTEO'!$O$8:$O$57,MATCH($A31,'3. COSTEO'!$B$8:$B$57,0)))</f>
        <v/>
      </c>
      <c r="H31" s="65" t="str">
        <f aca="false">IF($A31="","",G31-F31)</f>
        <v/>
      </c>
    </row>
    <row r="32" customFormat="false" ht="15" hidden="false" customHeight="false" outlineLevel="0" collapsed="false">
      <c r="A32" s="63"/>
      <c r="B32" s="56" t="str">
        <f aca="false">IFERROR(INDEX('3. COSTEO'!$A$8:$A$57,MATCH($A32,'3. COSTEO'!$B$8:$B$57,0)),"")</f>
        <v/>
      </c>
      <c r="C32" s="56" t="str">
        <f aca="false">IFERROR(INDEX('3. COSTEO'!$D$8:$D$57,MATCH($A32,'3. COSTEO'!$B$8:$B$57,0)),"")</f>
        <v/>
      </c>
      <c r="D32" s="64" t="n">
        <v>0</v>
      </c>
      <c r="E32" s="56" t="str">
        <f aca="false">IF($A32="","",C32*D32)</f>
        <v/>
      </c>
      <c r="F32" s="65" t="str">
        <f aca="false">IF($A32="","",E32*INDEX('3. COSTEO'!$M$8:$M$57,MATCH($A32,'3. COSTEO'!$B$8:$B$57,0)))</f>
        <v/>
      </c>
      <c r="G32" s="65" t="str">
        <f aca="false">IF($A32="","",E32*INDEX('3. COSTEO'!$O$8:$O$57,MATCH($A32,'3. COSTEO'!$B$8:$B$57,0)))</f>
        <v/>
      </c>
      <c r="H32" s="65" t="str">
        <f aca="false">IF($A32="","",G32-F32)</f>
        <v/>
      </c>
    </row>
    <row r="33" customFormat="false" ht="15" hidden="false" customHeight="false" outlineLevel="0" collapsed="false">
      <c r="A33" s="66" t="s">
        <v>548</v>
      </c>
      <c r="B33" s="67"/>
      <c r="C33" s="67"/>
      <c r="D33" s="67"/>
      <c r="E33" s="68" t="n">
        <f aca="false">SUM(E8:E32)</f>
        <v>0</v>
      </c>
      <c r="F33" s="69" t="n">
        <f aca="false">SUM(F8:F32)</f>
        <v>0</v>
      </c>
      <c r="G33" s="69" t="n">
        <f aca="false">SUM(G8:G32)</f>
        <v>0</v>
      </c>
      <c r="H33" s="69" t="n">
        <f aca="false">SUM(H8:H32)</f>
        <v>0</v>
      </c>
    </row>
    <row r="35" customFormat="false" ht="15" hidden="false" customHeight="false" outlineLevel="0" collapsed="false">
      <c r="A35" s="15" t="s">
        <v>549</v>
      </c>
      <c r="B35" s="15"/>
      <c r="C35" s="15"/>
      <c r="D35" s="15"/>
      <c r="E35" s="15"/>
      <c r="F35" s="15"/>
      <c r="G35" s="15"/>
      <c r="H35" s="15"/>
    </row>
  </sheetData>
  <mergeCells count="4">
    <mergeCell ref="A1:H1"/>
    <mergeCell ref="A2:H2"/>
    <mergeCell ref="A3:H3"/>
    <mergeCell ref="A35:H35"/>
  </mergeCells>
  <dataValidations count="1">
    <dataValidation allowBlank="true" errorStyle="stop" operator="between" showDropDown="false" showErrorMessage="false" showInputMessage="false" sqref="A8:A32" type="list">
      <formula1>LISTAS!$A$2:$A$51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2E7E"/>
    <pageSetUpPr fitToPage="true"/>
  </sheetPr>
  <dimension ref="A1:Z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17"/>
    <col collapsed="false" customWidth="true" hidden="false" outlineLevel="0" max="5" min="5" style="0" width="18"/>
    <col collapsed="false" customWidth="true" hidden="false" outlineLevel="0" max="7" min="6" style="0" width="17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550</v>
      </c>
      <c r="B2" s="2"/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A3" s="3" t="s">
        <v>551</v>
      </c>
      <c r="B3" s="3"/>
      <c r="C3" s="3"/>
      <c r="D3" s="3"/>
      <c r="E3" s="3"/>
      <c r="F3" s="3"/>
      <c r="G3" s="3"/>
      <c r="H3" s="3"/>
      <c r="I3" s="3"/>
    </row>
    <row r="4" customFormat="false" ht="3.7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7" customFormat="false" ht="39.75" hidden="false" customHeight="true" outlineLevel="0" collapsed="false">
      <c r="A7" s="34" t="s">
        <v>80</v>
      </c>
      <c r="B7" s="34" t="s">
        <v>81</v>
      </c>
      <c r="C7" s="34" t="s">
        <v>82</v>
      </c>
      <c r="D7" s="34" t="s">
        <v>238</v>
      </c>
      <c r="E7" s="34" t="s">
        <v>552</v>
      </c>
      <c r="F7" s="34" t="s">
        <v>553</v>
      </c>
      <c r="G7" s="34" t="s">
        <v>554</v>
      </c>
      <c r="H7" s="34" t="s">
        <v>555</v>
      </c>
      <c r="I7" s="34" t="s">
        <v>556</v>
      </c>
    </row>
    <row r="8" customFormat="false" ht="15" hidden="false" customHeight="false" outlineLevel="0" collapsed="false">
      <c r="A8" s="37" t="s">
        <v>88</v>
      </c>
      <c r="B8" s="70" t="str">
        <f aca="false">'1. INSUMOS'!C8</f>
        <v>Lácteos y grasas</v>
      </c>
      <c r="C8" s="70" t="str">
        <f aca="false">'1. INSUMOS'!D8</f>
        <v>g</v>
      </c>
      <c r="D8" s="51" t="n">
        <f aca="false">SUMIFS('2. RECETAS'!$J$8:$J$557,'2. RECETAS'!$D$8:$D$557,$A8)</f>
        <v>0</v>
      </c>
      <c r="E8" s="51" t="n">
        <f aca="false">'1. INSUMOS'!F8</f>
        <v>1000</v>
      </c>
      <c r="F8" s="71" t="n">
        <f aca="false">IF(OR(D8=0,E8=0),0,ROUNDUP(D8/E8,0))</f>
        <v>0</v>
      </c>
      <c r="G8" s="72" t="n">
        <f aca="false">'1. INSUMOS'!G8</f>
        <v>210</v>
      </c>
      <c r="H8" s="72" t="n">
        <f aca="false">F8*G8</f>
        <v>0</v>
      </c>
      <c r="I8" s="72" t="n">
        <f aca="false">D8*'1. INSUMOS'!H8</f>
        <v>0</v>
      </c>
    </row>
    <row r="9" customFormat="false" ht="15" hidden="false" customHeight="false" outlineLevel="0" collapsed="false">
      <c r="A9" s="10" t="s">
        <v>92</v>
      </c>
      <c r="B9" s="12" t="str">
        <f aca="false">'1. INSUMOS'!C9</f>
        <v>Lácteos y grasas</v>
      </c>
      <c r="C9" s="12" t="str">
        <f aca="false">'1. INSUMOS'!D9</f>
        <v>g</v>
      </c>
      <c r="D9" s="45" t="n">
        <f aca="false">SUMIFS('2. RECETAS'!$J$8:$J$557,'2. RECETAS'!$D$8:$D$557,$A9)</f>
        <v>0</v>
      </c>
      <c r="E9" s="45" t="n">
        <f aca="false">'1. INSUMOS'!F9</f>
        <v>1000</v>
      </c>
      <c r="F9" s="56" t="n">
        <f aca="false">IF(OR(D9=0,E9=0),0,ROUNDUP(D9/E9,0))</f>
        <v>0</v>
      </c>
      <c r="G9" s="65" t="n">
        <f aca="false">'1. INSUMOS'!G9</f>
        <v>185</v>
      </c>
      <c r="H9" s="65" t="n">
        <f aca="false">F9*G9</f>
        <v>0</v>
      </c>
      <c r="I9" s="65" t="n">
        <f aca="false">D9*'1. INSUMOS'!H9</f>
        <v>0</v>
      </c>
    </row>
    <row r="10" customFormat="false" ht="15" hidden="false" customHeight="false" outlineLevel="0" collapsed="false">
      <c r="A10" s="37" t="s">
        <v>94</v>
      </c>
      <c r="B10" s="70" t="str">
        <f aca="false">'1. INSUMOS'!C10</f>
        <v>Lácteos y grasas</v>
      </c>
      <c r="C10" s="70" t="str">
        <f aca="false">'1. INSUMOS'!D10</f>
        <v>g</v>
      </c>
      <c r="D10" s="51" t="n">
        <f aca="false">SUMIFS('2. RECETAS'!$J$8:$J$557,'2. RECETAS'!$D$8:$D$557,$A10)</f>
        <v>0</v>
      </c>
      <c r="E10" s="51" t="n">
        <f aca="false">'1. INSUMOS'!F10</f>
        <v>500</v>
      </c>
      <c r="F10" s="71" t="n">
        <f aca="false">IF(OR(D10=0,E10=0),0,ROUNDUP(D10/E10,0))</f>
        <v>0</v>
      </c>
      <c r="G10" s="72" t="n">
        <f aca="false">'1. INSUMOS'!G10</f>
        <v>180</v>
      </c>
      <c r="H10" s="72" t="n">
        <f aca="false">F10*G10</f>
        <v>0</v>
      </c>
      <c r="I10" s="72" t="n">
        <f aca="false">D10*'1. INSUMOS'!H10</f>
        <v>0</v>
      </c>
    </row>
    <row r="11" customFormat="false" ht="15" hidden="false" customHeight="false" outlineLevel="0" collapsed="false">
      <c r="A11" s="10" t="s">
        <v>96</v>
      </c>
      <c r="B11" s="12" t="str">
        <f aca="false">'1. INSUMOS'!C11</f>
        <v>Lácteos y grasas</v>
      </c>
      <c r="C11" s="12" t="str">
        <f aca="false">'1. INSUMOS'!D11</f>
        <v>g</v>
      </c>
      <c r="D11" s="45" t="n">
        <f aca="false">SUMIFS('2. RECETAS'!$J$8:$J$557,'2. RECETAS'!$D$8:$D$557,$A11)</f>
        <v>0</v>
      </c>
      <c r="E11" s="45" t="n">
        <f aca="false">'1. INSUMOS'!F11</f>
        <v>250</v>
      </c>
      <c r="F11" s="56" t="n">
        <f aca="false">IF(OR(D11=0,E11=0),0,ROUNDUP(D11/E11,0))</f>
        <v>0</v>
      </c>
      <c r="G11" s="65" t="n">
        <f aca="false">'1. INSUMOS'!G11</f>
        <v>145</v>
      </c>
      <c r="H11" s="65" t="n">
        <f aca="false">F11*G11</f>
        <v>0</v>
      </c>
      <c r="I11" s="65" t="n">
        <f aca="false">D11*'1. INSUMOS'!H11</f>
        <v>0</v>
      </c>
    </row>
    <row r="12" customFormat="false" ht="15" hidden="false" customHeight="false" outlineLevel="0" collapsed="false">
      <c r="A12" s="37" t="s">
        <v>98</v>
      </c>
      <c r="B12" s="70" t="str">
        <f aca="false">'1. INSUMOS'!C12</f>
        <v>Lácteos y grasas</v>
      </c>
      <c r="C12" s="70" t="str">
        <f aca="false">'1. INSUMOS'!D12</f>
        <v>g</v>
      </c>
      <c r="D12" s="51" t="n">
        <f aca="false">SUMIFS('2. RECETAS'!$J$8:$J$557,'2. RECETAS'!$D$8:$D$557,$A12)</f>
        <v>0</v>
      </c>
      <c r="E12" s="51" t="n">
        <f aca="false">'1. INSUMOS'!F12</f>
        <v>397</v>
      </c>
      <c r="F12" s="71" t="n">
        <f aca="false">IF(OR(D12=0,E12=0),0,ROUNDUP(D12/E12,0))</f>
        <v>0</v>
      </c>
      <c r="G12" s="72" t="n">
        <f aca="false">'1. INSUMOS'!G12</f>
        <v>34</v>
      </c>
      <c r="H12" s="72" t="n">
        <f aca="false">F12*G12</f>
        <v>0</v>
      </c>
      <c r="I12" s="72" t="n">
        <f aca="false">D12*'1. INSUMOS'!H12</f>
        <v>0</v>
      </c>
    </row>
    <row r="13" customFormat="false" ht="15" hidden="false" customHeight="false" outlineLevel="0" collapsed="false">
      <c r="A13" s="10" t="s">
        <v>100</v>
      </c>
      <c r="B13" s="12" t="str">
        <f aca="false">'1. INSUMOS'!C13</f>
        <v>Lácteos y grasas</v>
      </c>
      <c r="C13" s="12" t="str">
        <f aca="false">'1. INSUMOS'!D13</f>
        <v>ml</v>
      </c>
      <c r="D13" s="45" t="n">
        <f aca="false">SUMIFS('2. RECETAS'!$J$8:$J$557,'2. RECETAS'!$D$8:$D$557,$A13)</f>
        <v>0</v>
      </c>
      <c r="E13" s="45" t="n">
        <f aca="false">'1. INSUMOS'!F13</f>
        <v>500</v>
      </c>
      <c r="F13" s="56" t="n">
        <f aca="false">IF(OR(D13=0,E13=0),0,ROUNDUP(D13/E13,0))</f>
        <v>0</v>
      </c>
      <c r="G13" s="65" t="n">
        <f aca="false">'1. INSUMOS'!G13</f>
        <v>150</v>
      </c>
      <c r="H13" s="65" t="n">
        <f aca="false">F13*G13</f>
        <v>0</v>
      </c>
      <c r="I13" s="65" t="n">
        <f aca="false">D13*'1. INSUMOS'!H13</f>
        <v>0</v>
      </c>
    </row>
    <row r="14" customFormat="false" ht="15" hidden="false" customHeight="false" outlineLevel="0" collapsed="false">
      <c r="A14" s="37" t="s">
        <v>103</v>
      </c>
      <c r="B14" s="70" t="str">
        <f aca="false">'1. INSUMOS'!C14</f>
        <v>Lácteos y grasas</v>
      </c>
      <c r="C14" s="70" t="str">
        <f aca="false">'1. INSUMOS'!D14</f>
        <v>ml</v>
      </c>
      <c r="D14" s="51" t="n">
        <f aca="false">SUMIFS('2. RECETAS'!$J$8:$J$557,'2. RECETAS'!$D$8:$D$557,$A14)</f>
        <v>0</v>
      </c>
      <c r="E14" s="51" t="n">
        <f aca="false">'1. INSUMOS'!F14</f>
        <v>50</v>
      </c>
      <c r="F14" s="71" t="n">
        <f aca="false">IF(OR(D14=0,E14=0),0,ROUNDUP(D14/E14,0))</f>
        <v>0</v>
      </c>
      <c r="G14" s="72" t="n">
        <f aca="false">'1. INSUMOS'!G14</f>
        <v>260</v>
      </c>
      <c r="H14" s="72" t="n">
        <f aca="false">F14*G14</f>
        <v>0</v>
      </c>
      <c r="I14" s="72" t="n">
        <f aca="false">D14*'1. INSUMOS'!H14</f>
        <v>0</v>
      </c>
    </row>
    <row r="15" customFormat="false" ht="15" hidden="false" customHeight="false" outlineLevel="0" collapsed="false">
      <c r="A15" s="10" t="s">
        <v>105</v>
      </c>
      <c r="B15" s="12" t="str">
        <f aca="false">'1. INSUMOS'!C15</f>
        <v>Azúcares</v>
      </c>
      <c r="C15" s="12" t="str">
        <f aca="false">'1. INSUMOS'!D15</f>
        <v>g</v>
      </c>
      <c r="D15" s="45" t="n">
        <f aca="false">SUMIFS('2. RECETAS'!$J$8:$J$557,'2. RECETAS'!$D$8:$D$557,$A15)</f>
        <v>0</v>
      </c>
      <c r="E15" s="45" t="n">
        <f aca="false">'1. INSUMOS'!F15</f>
        <v>1000</v>
      </c>
      <c r="F15" s="56" t="n">
        <f aca="false">IF(OR(D15=0,E15=0),0,ROUNDUP(D15/E15,0))</f>
        <v>0</v>
      </c>
      <c r="G15" s="65" t="n">
        <f aca="false">'1. INSUMOS'!G15</f>
        <v>30</v>
      </c>
      <c r="H15" s="65" t="n">
        <f aca="false">F15*G15</f>
        <v>0</v>
      </c>
      <c r="I15" s="65" t="n">
        <f aca="false">D15*'1. INSUMOS'!H15</f>
        <v>0</v>
      </c>
    </row>
    <row r="16" customFormat="false" ht="15" hidden="false" customHeight="false" outlineLevel="0" collapsed="false">
      <c r="A16" s="37" t="s">
        <v>108</v>
      </c>
      <c r="B16" s="70" t="str">
        <f aca="false">'1. INSUMOS'!C16</f>
        <v>Azúcares</v>
      </c>
      <c r="C16" s="70" t="str">
        <f aca="false">'1. INSUMOS'!D16</f>
        <v>g</v>
      </c>
      <c r="D16" s="51" t="n">
        <f aca="false">SUMIFS('2. RECETAS'!$J$8:$J$557,'2. RECETAS'!$D$8:$D$557,$A16)</f>
        <v>0</v>
      </c>
      <c r="E16" s="51" t="n">
        <f aca="false">'1. INSUMOS'!F16</f>
        <v>1000</v>
      </c>
      <c r="F16" s="71" t="n">
        <f aca="false">IF(OR(D16=0,E16=0),0,ROUNDUP(D16/E16,0))</f>
        <v>0</v>
      </c>
      <c r="G16" s="72" t="n">
        <f aca="false">'1. INSUMOS'!G16</f>
        <v>52</v>
      </c>
      <c r="H16" s="72" t="n">
        <f aca="false">F16*G16</f>
        <v>0</v>
      </c>
      <c r="I16" s="72" t="n">
        <f aca="false">D16*'1. INSUMOS'!H16</f>
        <v>0</v>
      </c>
    </row>
    <row r="17" customFormat="false" ht="15" hidden="false" customHeight="false" outlineLevel="0" collapsed="false">
      <c r="A17" s="10" t="s">
        <v>109</v>
      </c>
      <c r="B17" s="12" t="str">
        <f aca="false">'1. INSUMOS'!C17</f>
        <v>Azúcares</v>
      </c>
      <c r="C17" s="12" t="str">
        <f aca="false">'1. INSUMOS'!D17</f>
        <v>g</v>
      </c>
      <c r="D17" s="45" t="n">
        <f aca="false">SUMIFS('2. RECETAS'!$J$8:$J$557,'2. RECETAS'!$D$8:$D$557,$A17)</f>
        <v>0</v>
      </c>
      <c r="E17" s="45" t="n">
        <f aca="false">'1. INSUMOS'!F17</f>
        <v>1000</v>
      </c>
      <c r="F17" s="56" t="n">
        <f aca="false">IF(OR(D17=0,E17=0),0,ROUNDUP(D17/E17,0))</f>
        <v>0</v>
      </c>
      <c r="G17" s="65" t="n">
        <f aca="false">'1. INSUMOS'!G17</f>
        <v>58</v>
      </c>
      <c r="H17" s="65" t="n">
        <f aca="false">F17*G17</f>
        <v>0</v>
      </c>
      <c r="I17" s="65" t="n">
        <f aca="false">D17*'1. INSUMOS'!H17</f>
        <v>0</v>
      </c>
    </row>
    <row r="18" customFormat="false" ht="15" hidden="false" customHeight="false" outlineLevel="0" collapsed="false">
      <c r="A18" s="37" t="s">
        <v>110</v>
      </c>
      <c r="B18" s="70" t="str">
        <f aca="false">'1. INSUMOS'!C18</f>
        <v>Azúcares</v>
      </c>
      <c r="C18" s="70" t="str">
        <f aca="false">'1. INSUMOS'!D18</f>
        <v>g</v>
      </c>
      <c r="D18" s="51" t="n">
        <f aca="false">SUMIFS('2. RECETAS'!$J$8:$J$557,'2. RECETAS'!$D$8:$D$557,$A18)</f>
        <v>0</v>
      </c>
      <c r="E18" s="51" t="n">
        <f aca="false">'1. INSUMOS'!F18</f>
        <v>500</v>
      </c>
      <c r="F18" s="71" t="n">
        <f aca="false">IF(OR(D18=0,E18=0),0,ROUNDUP(D18/E18,0))</f>
        <v>0</v>
      </c>
      <c r="G18" s="72" t="n">
        <f aca="false">'1. INSUMOS'!G18</f>
        <v>32</v>
      </c>
      <c r="H18" s="72" t="n">
        <f aca="false">F18*G18</f>
        <v>0</v>
      </c>
      <c r="I18" s="72" t="n">
        <f aca="false">D18*'1. INSUMOS'!H18</f>
        <v>0</v>
      </c>
    </row>
    <row r="19" customFormat="false" ht="15" hidden="false" customHeight="false" outlineLevel="0" collapsed="false">
      <c r="A19" s="10" t="s">
        <v>112</v>
      </c>
      <c r="B19" s="12" t="str">
        <f aca="false">'1. INSUMOS'!C19</f>
        <v>Azúcares</v>
      </c>
      <c r="C19" s="12" t="str">
        <f aca="false">'1. INSUMOS'!D19</f>
        <v>g</v>
      </c>
      <c r="D19" s="45" t="n">
        <f aca="false">SUMIFS('2. RECETAS'!$J$8:$J$557,'2. RECETAS'!$D$8:$D$557,$A19)</f>
        <v>0</v>
      </c>
      <c r="E19" s="45" t="n">
        <f aca="false">'1. INSUMOS'!F19</f>
        <v>1000</v>
      </c>
      <c r="F19" s="56" t="n">
        <f aca="false">IF(OR(D19=0,E19=0),0,ROUNDUP(D19/E19,0))</f>
        <v>0</v>
      </c>
      <c r="G19" s="65" t="n">
        <f aca="false">'1. INSUMOS'!G19</f>
        <v>48</v>
      </c>
      <c r="H19" s="65" t="n">
        <f aca="false">F19*G19</f>
        <v>0</v>
      </c>
      <c r="I19" s="65" t="n">
        <f aca="false">D19*'1. INSUMOS'!H19</f>
        <v>0</v>
      </c>
    </row>
    <row r="20" customFormat="false" ht="15" hidden="false" customHeight="false" outlineLevel="0" collapsed="false">
      <c r="A20" s="37" t="s">
        <v>114</v>
      </c>
      <c r="B20" s="70" t="str">
        <f aca="false">'1. INSUMOS'!C20</f>
        <v>Azúcares</v>
      </c>
      <c r="C20" s="70" t="str">
        <f aca="false">'1. INSUMOS'!D20</f>
        <v>g</v>
      </c>
      <c r="D20" s="51" t="n">
        <f aca="false">SUMIFS('2. RECETAS'!$J$8:$J$557,'2. RECETAS'!$D$8:$D$557,$A20)</f>
        <v>0</v>
      </c>
      <c r="E20" s="51" t="n">
        <f aca="false">'1. INSUMOS'!F20</f>
        <v>500</v>
      </c>
      <c r="F20" s="71" t="n">
        <f aca="false">IF(OR(D20=0,E20=0),0,ROUNDUP(D20/E20,0))</f>
        <v>0</v>
      </c>
      <c r="G20" s="72" t="n">
        <f aca="false">'1. INSUMOS'!G20</f>
        <v>72</v>
      </c>
      <c r="H20" s="72" t="n">
        <f aca="false">F20*G20</f>
        <v>0</v>
      </c>
      <c r="I20" s="72" t="n">
        <f aca="false">D20*'1. INSUMOS'!H20</f>
        <v>0</v>
      </c>
    </row>
    <row r="21" customFormat="false" ht="15" hidden="false" customHeight="false" outlineLevel="0" collapsed="false">
      <c r="A21" s="10" t="s">
        <v>116</v>
      </c>
      <c r="B21" s="12" t="str">
        <f aca="false">'1. INSUMOS'!C21</f>
        <v>Azúcares</v>
      </c>
      <c r="C21" s="12" t="str">
        <f aca="false">'1. INSUMOS'!D21</f>
        <v>g</v>
      </c>
      <c r="D21" s="45" t="n">
        <f aca="false">SUMIFS('2. RECETAS'!$J$8:$J$557,'2. RECETAS'!$D$8:$D$557,$A21)</f>
        <v>0</v>
      </c>
      <c r="E21" s="45" t="n">
        <f aca="false">'1. INSUMOS'!F21</f>
        <v>640</v>
      </c>
      <c r="F21" s="56" t="n">
        <f aca="false">IF(OR(D21=0,E21=0),0,ROUNDUP(D21/E21,0))</f>
        <v>0</v>
      </c>
      <c r="G21" s="65" t="n">
        <f aca="false">'1. INSUMOS'!G21</f>
        <v>98</v>
      </c>
      <c r="H21" s="65" t="n">
        <f aca="false">F21*G21</f>
        <v>0</v>
      </c>
      <c r="I21" s="65" t="n">
        <f aca="false">D21*'1. INSUMOS'!H21</f>
        <v>0</v>
      </c>
    </row>
    <row r="22" customFormat="false" ht="15" hidden="false" customHeight="false" outlineLevel="0" collapsed="false">
      <c r="A22" s="37" t="s">
        <v>118</v>
      </c>
      <c r="B22" s="70" t="str">
        <f aca="false">'1. INSUMOS'!C22</f>
        <v>Azúcares</v>
      </c>
      <c r="C22" s="70" t="str">
        <f aca="false">'1. INSUMOS'!D22</f>
        <v>g</v>
      </c>
      <c r="D22" s="51" t="n">
        <f aca="false">SUMIFS('2. RECETAS'!$J$8:$J$557,'2. RECETAS'!$D$8:$D$557,$A22)</f>
        <v>0</v>
      </c>
      <c r="E22" s="51" t="n">
        <f aca="false">'1. INSUMOS'!F22</f>
        <v>500</v>
      </c>
      <c r="F22" s="71" t="n">
        <f aca="false">IF(OR(D22=0,E22=0),0,ROUNDUP(D22/E22,0))</f>
        <v>0</v>
      </c>
      <c r="G22" s="72" t="n">
        <f aca="false">'1. INSUMOS'!G22</f>
        <v>125</v>
      </c>
      <c r="H22" s="72" t="n">
        <f aca="false">F22*G22</f>
        <v>0</v>
      </c>
      <c r="I22" s="72" t="n">
        <f aca="false">D22*'1. INSUMOS'!H22</f>
        <v>0</v>
      </c>
    </row>
    <row r="23" customFormat="false" ht="15" hidden="false" customHeight="false" outlineLevel="0" collapsed="false">
      <c r="A23" s="10" t="s">
        <v>119</v>
      </c>
      <c r="B23" s="12" t="str">
        <f aca="false">'1. INSUMOS'!C23</f>
        <v>Azúcares</v>
      </c>
      <c r="C23" s="12" t="str">
        <f aca="false">'1. INSUMOS'!D23</f>
        <v>g</v>
      </c>
      <c r="D23" s="45" t="n">
        <f aca="false">SUMIFS('2. RECETAS'!$J$8:$J$557,'2. RECETAS'!$D$8:$D$557,$A23)</f>
        <v>0</v>
      </c>
      <c r="E23" s="45" t="n">
        <f aca="false">'1. INSUMOS'!F23</f>
        <v>200</v>
      </c>
      <c r="F23" s="56" t="n">
        <f aca="false">IF(OR(D23=0,E23=0),0,ROUNDUP(D23/E23,0))</f>
        <v>0</v>
      </c>
      <c r="G23" s="65" t="n">
        <f aca="false">'1. INSUMOS'!G23</f>
        <v>50</v>
      </c>
      <c r="H23" s="65" t="n">
        <f aca="false">F23*G23</f>
        <v>0</v>
      </c>
      <c r="I23" s="65" t="n">
        <f aca="false">D23*'1. INSUMOS'!H23</f>
        <v>0</v>
      </c>
    </row>
    <row r="24" customFormat="false" ht="15" hidden="false" customHeight="false" outlineLevel="0" collapsed="false">
      <c r="A24" s="37" t="s">
        <v>121</v>
      </c>
      <c r="B24" s="70" t="str">
        <f aca="false">'1. INSUMOS'!C24</f>
        <v>Azúcares</v>
      </c>
      <c r="C24" s="70" t="str">
        <f aca="false">'1. INSUMOS'!D24</f>
        <v>g</v>
      </c>
      <c r="D24" s="51" t="n">
        <f aca="false">SUMIFS('2. RECETAS'!$J$8:$J$557,'2. RECETAS'!$D$8:$D$557,$A24)</f>
        <v>0</v>
      </c>
      <c r="E24" s="51" t="n">
        <f aca="false">'1. INSUMOS'!F24</f>
        <v>250</v>
      </c>
      <c r="F24" s="71" t="n">
        <f aca="false">IF(OR(D24=0,E24=0),0,ROUNDUP(D24/E24,0))</f>
        <v>0</v>
      </c>
      <c r="G24" s="72" t="n">
        <f aca="false">'1. INSUMOS'!G24</f>
        <v>48</v>
      </c>
      <c r="H24" s="72" t="n">
        <f aca="false">F24*G24</f>
        <v>0</v>
      </c>
      <c r="I24" s="72" t="n">
        <f aca="false">D24*'1. INSUMOS'!H24</f>
        <v>0</v>
      </c>
    </row>
    <row r="25" customFormat="false" ht="15" hidden="false" customHeight="false" outlineLevel="0" collapsed="false">
      <c r="A25" s="10" t="s">
        <v>123</v>
      </c>
      <c r="B25" s="12" t="str">
        <f aca="false">'1. INSUMOS'!C25</f>
        <v>Azúcares</v>
      </c>
      <c r="C25" s="12" t="str">
        <f aca="false">'1. INSUMOS'!D25</f>
        <v>g</v>
      </c>
      <c r="D25" s="45" t="n">
        <f aca="false">SUMIFS('2. RECETAS'!$J$8:$J$557,'2. RECETAS'!$D$8:$D$557,$A25)</f>
        <v>0</v>
      </c>
      <c r="E25" s="45" t="n">
        <f aca="false">'1. INSUMOS'!F25</f>
        <v>500</v>
      </c>
      <c r="F25" s="56" t="n">
        <f aca="false">IF(OR(D25=0,E25=0),0,ROUNDUP(D25/E25,0))</f>
        <v>0</v>
      </c>
      <c r="G25" s="65" t="n">
        <f aca="false">'1. INSUMOS'!G25</f>
        <v>68</v>
      </c>
      <c r="H25" s="65" t="n">
        <f aca="false">F25*G25</f>
        <v>0</v>
      </c>
      <c r="I25" s="65" t="n">
        <f aca="false">D25*'1. INSUMOS'!H25</f>
        <v>0</v>
      </c>
    </row>
    <row r="26" customFormat="false" ht="15" hidden="false" customHeight="false" outlineLevel="0" collapsed="false">
      <c r="A26" s="37" t="s">
        <v>124</v>
      </c>
      <c r="B26" s="70" t="str">
        <f aca="false">'1. INSUMOS'!C26</f>
        <v>Azúcares</v>
      </c>
      <c r="C26" s="70" t="str">
        <f aca="false">'1. INSUMOS'!D26</f>
        <v>g</v>
      </c>
      <c r="D26" s="51" t="n">
        <f aca="false">SUMIFS('2. RECETAS'!$J$8:$J$557,'2. RECETAS'!$D$8:$D$557,$A26)</f>
        <v>0</v>
      </c>
      <c r="E26" s="51" t="n">
        <f aca="false">'1. INSUMOS'!F26</f>
        <v>300</v>
      </c>
      <c r="F26" s="71" t="n">
        <f aca="false">IF(OR(D26=0,E26=0),0,ROUNDUP(D26/E26,0))</f>
        <v>0</v>
      </c>
      <c r="G26" s="72" t="n">
        <f aca="false">'1. INSUMOS'!G26</f>
        <v>88</v>
      </c>
      <c r="H26" s="72" t="n">
        <f aca="false">F26*G26</f>
        <v>0</v>
      </c>
      <c r="I26" s="72" t="n">
        <f aca="false">D26*'1. INSUMOS'!H26</f>
        <v>0</v>
      </c>
    </row>
    <row r="27" customFormat="false" ht="15" hidden="false" customHeight="false" outlineLevel="0" collapsed="false">
      <c r="A27" s="10" t="s">
        <v>126</v>
      </c>
      <c r="B27" s="12" t="str">
        <f aca="false">'1. INSUMOS'!C27</f>
        <v>Harinas y secos</v>
      </c>
      <c r="C27" s="12" t="str">
        <f aca="false">'1. INSUMOS'!D27</f>
        <v>g</v>
      </c>
      <c r="D27" s="45" t="n">
        <f aca="false">SUMIFS('2. RECETAS'!$J$8:$J$557,'2. RECETAS'!$D$8:$D$557,$A27)</f>
        <v>0</v>
      </c>
      <c r="E27" s="45" t="n">
        <f aca="false">'1. INSUMOS'!F27</f>
        <v>1000</v>
      </c>
      <c r="F27" s="56" t="n">
        <f aca="false">IF(OR(D27=0,E27=0),0,ROUNDUP(D27/E27,0))</f>
        <v>0</v>
      </c>
      <c r="G27" s="65" t="n">
        <f aca="false">'1. INSUMOS'!G27</f>
        <v>30</v>
      </c>
      <c r="H27" s="65" t="n">
        <f aca="false">F27*G27</f>
        <v>0</v>
      </c>
      <c r="I27" s="65" t="n">
        <f aca="false">D27*'1. INSUMOS'!H27</f>
        <v>0</v>
      </c>
    </row>
    <row r="28" customFormat="false" ht="15" hidden="false" customHeight="false" outlineLevel="0" collapsed="false">
      <c r="A28" s="37" t="s">
        <v>128</v>
      </c>
      <c r="B28" s="70" t="str">
        <f aca="false">'1. INSUMOS'!C28</f>
        <v>Harinas y secos</v>
      </c>
      <c r="C28" s="70" t="str">
        <f aca="false">'1. INSUMOS'!D28</f>
        <v>g</v>
      </c>
      <c r="D28" s="51" t="n">
        <f aca="false">SUMIFS('2. RECETAS'!$J$8:$J$557,'2. RECETAS'!$D$8:$D$557,$A28)</f>
        <v>0</v>
      </c>
      <c r="E28" s="51" t="n">
        <f aca="false">'1. INSUMOS'!F28</f>
        <v>1000</v>
      </c>
      <c r="F28" s="71" t="n">
        <f aca="false">IF(OR(D28=0,E28=0),0,ROUNDUP(D28/E28,0))</f>
        <v>0</v>
      </c>
      <c r="G28" s="72" t="n">
        <f aca="false">'1. INSUMOS'!G28</f>
        <v>26</v>
      </c>
      <c r="H28" s="72" t="n">
        <f aca="false">F28*G28</f>
        <v>0</v>
      </c>
      <c r="I28" s="72" t="n">
        <f aca="false">D28*'1. INSUMOS'!H28</f>
        <v>0</v>
      </c>
    </row>
    <row r="29" customFormat="false" ht="15" hidden="false" customHeight="false" outlineLevel="0" collapsed="false">
      <c r="A29" s="10" t="s">
        <v>129</v>
      </c>
      <c r="B29" s="12" t="str">
        <f aca="false">'1. INSUMOS'!C29</f>
        <v>Harinas y secos</v>
      </c>
      <c r="C29" s="12" t="str">
        <f aca="false">'1. INSUMOS'!D29</f>
        <v>g</v>
      </c>
      <c r="D29" s="45" t="n">
        <f aca="false">SUMIFS('2. RECETAS'!$J$8:$J$557,'2. RECETAS'!$D$8:$D$557,$A29)</f>
        <v>0</v>
      </c>
      <c r="E29" s="45" t="n">
        <f aca="false">'1. INSUMOS'!F29</f>
        <v>250</v>
      </c>
      <c r="F29" s="56" t="n">
        <f aca="false">IF(OR(D29=0,E29=0),0,ROUNDUP(D29/E29,0))</f>
        <v>0</v>
      </c>
      <c r="G29" s="65" t="n">
        <f aca="false">'1. INSUMOS'!G29</f>
        <v>155</v>
      </c>
      <c r="H29" s="65" t="n">
        <f aca="false">F29*G29</f>
        <v>0</v>
      </c>
      <c r="I29" s="65" t="n">
        <f aca="false">D29*'1. INSUMOS'!H29</f>
        <v>0</v>
      </c>
    </row>
    <row r="30" customFormat="false" ht="15" hidden="false" customHeight="false" outlineLevel="0" collapsed="false">
      <c r="A30" s="37" t="s">
        <v>130</v>
      </c>
      <c r="B30" s="70" t="str">
        <f aca="false">'1. INSUMOS'!C30</f>
        <v>Harinas y secos</v>
      </c>
      <c r="C30" s="70" t="str">
        <f aca="false">'1. INSUMOS'!D30</f>
        <v>g</v>
      </c>
      <c r="D30" s="51" t="n">
        <f aca="false">SUMIFS('2. RECETAS'!$J$8:$J$557,'2. RECETAS'!$D$8:$D$557,$A30)</f>
        <v>0</v>
      </c>
      <c r="E30" s="51" t="n">
        <f aca="false">'1. INSUMOS'!F30</f>
        <v>400</v>
      </c>
      <c r="F30" s="71" t="n">
        <f aca="false">IF(OR(D30=0,E30=0),0,ROUNDUP(D30/E30,0))</f>
        <v>0</v>
      </c>
      <c r="G30" s="72" t="n">
        <f aca="false">'1. INSUMOS'!G30</f>
        <v>36</v>
      </c>
      <c r="H30" s="72" t="n">
        <f aca="false">F30*G30</f>
        <v>0</v>
      </c>
      <c r="I30" s="72" t="n">
        <f aca="false">D30*'1. INSUMOS'!H30</f>
        <v>0</v>
      </c>
    </row>
    <row r="31" customFormat="false" ht="15" hidden="false" customHeight="false" outlineLevel="0" collapsed="false">
      <c r="A31" s="10" t="s">
        <v>132</v>
      </c>
      <c r="B31" s="12" t="str">
        <f aca="false">'1. INSUMOS'!C31</f>
        <v>Harinas y secos</v>
      </c>
      <c r="C31" s="12" t="str">
        <f aca="false">'1. INSUMOS'!D31</f>
        <v>g</v>
      </c>
      <c r="D31" s="45" t="n">
        <f aca="false">SUMIFS('2. RECETAS'!$J$8:$J$557,'2. RECETAS'!$D$8:$D$557,$A31)</f>
        <v>0</v>
      </c>
      <c r="E31" s="45" t="n">
        <f aca="false">'1. INSUMOS'!F31</f>
        <v>1000</v>
      </c>
      <c r="F31" s="56" t="n">
        <f aca="false">IF(OR(D31=0,E31=0),0,ROUNDUP(D31/E31,0))</f>
        <v>0</v>
      </c>
      <c r="G31" s="65" t="n">
        <f aca="false">'1. INSUMOS'!G31</f>
        <v>48</v>
      </c>
      <c r="H31" s="65" t="n">
        <f aca="false">F31*G31</f>
        <v>0</v>
      </c>
      <c r="I31" s="65" t="n">
        <f aca="false">D31*'1. INSUMOS'!H31</f>
        <v>0</v>
      </c>
    </row>
    <row r="32" customFormat="false" ht="15" hidden="false" customHeight="false" outlineLevel="0" collapsed="false">
      <c r="A32" s="37" t="s">
        <v>133</v>
      </c>
      <c r="B32" s="70" t="str">
        <f aca="false">'1. INSUMOS'!C32</f>
        <v>Harinas y secos</v>
      </c>
      <c r="C32" s="70" t="str">
        <f aca="false">'1. INSUMOS'!D32</f>
        <v>g</v>
      </c>
      <c r="D32" s="51" t="n">
        <f aca="false">SUMIFS('2. RECETAS'!$J$8:$J$557,'2. RECETAS'!$D$8:$D$557,$A32)</f>
        <v>0</v>
      </c>
      <c r="E32" s="51" t="n">
        <f aca="false">'1. INSUMOS'!F32</f>
        <v>200</v>
      </c>
      <c r="F32" s="71" t="n">
        <f aca="false">IF(OR(D32=0,E32=0),0,ROUNDUP(D32/E32,0))</f>
        <v>0</v>
      </c>
      <c r="G32" s="72" t="n">
        <f aca="false">'1. INSUMOS'!G32</f>
        <v>26</v>
      </c>
      <c r="H32" s="72" t="n">
        <f aca="false">F32*G32</f>
        <v>0</v>
      </c>
      <c r="I32" s="72" t="n">
        <f aca="false">D32*'1. INSUMOS'!H32</f>
        <v>0</v>
      </c>
    </row>
    <row r="33" customFormat="false" ht="15" hidden="false" customHeight="false" outlineLevel="0" collapsed="false">
      <c r="A33" s="10" t="s">
        <v>135</v>
      </c>
      <c r="B33" s="12" t="str">
        <f aca="false">'1. INSUMOS'!C33</f>
        <v>Harinas y secos</v>
      </c>
      <c r="C33" s="12" t="str">
        <f aca="false">'1. INSUMOS'!D33</f>
        <v>g</v>
      </c>
      <c r="D33" s="45" t="n">
        <f aca="false">SUMIFS('2. RECETAS'!$J$8:$J$557,'2. RECETAS'!$D$8:$D$557,$A33)</f>
        <v>0</v>
      </c>
      <c r="E33" s="45" t="n">
        <f aca="false">'1. INSUMOS'!F33</f>
        <v>50</v>
      </c>
      <c r="F33" s="56" t="n">
        <f aca="false">IF(OR(D33=0,E33=0),0,ROUNDUP(D33/E33,0))</f>
        <v>0</v>
      </c>
      <c r="G33" s="65" t="n">
        <f aca="false">'1. INSUMOS'!G33</f>
        <v>45</v>
      </c>
      <c r="H33" s="65" t="n">
        <f aca="false">F33*G33</f>
        <v>0</v>
      </c>
      <c r="I33" s="65" t="n">
        <f aca="false">D33*'1. INSUMOS'!H33</f>
        <v>0</v>
      </c>
    </row>
    <row r="34" customFormat="false" ht="15" hidden="false" customHeight="false" outlineLevel="0" collapsed="false">
      <c r="A34" s="37" t="s">
        <v>137</v>
      </c>
      <c r="B34" s="70" t="str">
        <f aca="false">'1. INSUMOS'!C34</f>
        <v>Harinas y secos</v>
      </c>
      <c r="C34" s="70" t="str">
        <f aca="false">'1. INSUMOS'!D34</f>
        <v>g</v>
      </c>
      <c r="D34" s="51" t="n">
        <f aca="false">SUMIFS('2. RECETAS'!$J$8:$J$557,'2. RECETAS'!$D$8:$D$557,$A34)</f>
        <v>0</v>
      </c>
      <c r="E34" s="51" t="n">
        <f aca="false">'1. INSUMOS'!F34</f>
        <v>250</v>
      </c>
      <c r="F34" s="71" t="n">
        <f aca="false">IF(OR(D34=0,E34=0),0,ROUNDUP(D34/E34,0))</f>
        <v>0</v>
      </c>
      <c r="G34" s="72" t="n">
        <f aca="false">'1. INSUMOS'!G34</f>
        <v>78</v>
      </c>
      <c r="H34" s="72" t="n">
        <f aca="false">F34*G34</f>
        <v>0</v>
      </c>
      <c r="I34" s="72" t="n">
        <f aca="false">D34*'1. INSUMOS'!H34</f>
        <v>0</v>
      </c>
    </row>
    <row r="35" customFormat="false" ht="15" hidden="false" customHeight="false" outlineLevel="0" collapsed="false">
      <c r="A35" s="10" t="s">
        <v>139</v>
      </c>
      <c r="B35" s="12" t="str">
        <f aca="false">'1. INSUMOS'!C35</f>
        <v>Harinas y secos</v>
      </c>
      <c r="C35" s="12" t="str">
        <f aca="false">'1. INSUMOS'!D35</f>
        <v>g</v>
      </c>
      <c r="D35" s="45" t="n">
        <f aca="false">SUMIFS('2. RECETAS'!$J$8:$J$557,'2. RECETAS'!$D$8:$D$557,$A35)</f>
        <v>0</v>
      </c>
      <c r="E35" s="45" t="n">
        <f aca="false">'1. INSUMOS'!F35</f>
        <v>170</v>
      </c>
      <c r="F35" s="56" t="n">
        <f aca="false">IF(OR(D35=0,E35=0),0,ROUNDUP(D35/E35,0))</f>
        <v>0</v>
      </c>
      <c r="G35" s="65" t="n">
        <f aca="false">'1. INSUMOS'!G35</f>
        <v>28</v>
      </c>
      <c r="H35" s="65" t="n">
        <f aca="false">F35*G35</f>
        <v>0</v>
      </c>
      <c r="I35" s="65" t="n">
        <f aca="false">D35*'1. INSUMOS'!H35</f>
        <v>0</v>
      </c>
    </row>
    <row r="36" customFormat="false" ht="15" hidden="false" customHeight="false" outlineLevel="0" collapsed="false">
      <c r="A36" s="37" t="s">
        <v>141</v>
      </c>
      <c r="B36" s="70" t="str">
        <f aca="false">'1. INSUMOS'!C36</f>
        <v>Harinas y secos</v>
      </c>
      <c r="C36" s="70" t="str">
        <f aca="false">'1. INSUMOS'!D36</f>
        <v>g</v>
      </c>
      <c r="D36" s="51" t="n">
        <f aca="false">SUMIFS('2. RECETAS'!$J$8:$J$557,'2. RECETAS'!$D$8:$D$557,$A36)</f>
        <v>0</v>
      </c>
      <c r="E36" s="51" t="n">
        <f aca="false">'1. INSUMOS'!F36</f>
        <v>200</v>
      </c>
      <c r="F36" s="71" t="n">
        <f aca="false">IF(OR(D36=0,E36=0),0,ROUNDUP(D36/E36,0))</f>
        <v>0</v>
      </c>
      <c r="G36" s="72" t="n">
        <f aca="false">'1. INSUMOS'!G36</f>
        <v>52</v>
      </c>
      <c r="H36" s="72" t="n">
        <f aca="false">F36*G36</f>
        <v>0</v>
      </c>
      <c r="I36" s="72" t="n">
        <f aca="false">D36*'1. INSUMOS'!H36</f>
        <v>0</v>
      </c>
    </row>
    <row r="37" customFormat="false" ht="15" hidden="false" customHeight="false" outlineLevel="0" collapsed="false">
      <c r="A37" s="10" t="s">
        <v>142</v>
      </c>
      <c r="B37" s="12" t="str">
        <f aca="false">'1. INSUMOS'!C37</f>
        <v>Huevo</v>
      </c>
      <c r="C37" s="12" t="str">
        <f aca="false">'1. INSUMOS'!D37</f>
        <v>pza</v>
      </c>
      <c r="D37" s="45" t="n">
        <f aca="false">SUMIFS('2. RECETAS'!$J$8:$J$557,'2. RECETAS'!$D$8:$D$557,$A37)</f>
        <v>0</v>
      </c>
      <c r="E37" s="45" t="n">
        <f aca="false">'1. INSUMOS'!F37</f>
        <v>30</v>
      </c>
      <c r="F37" s="56" t="n">
        <f aca="false">IF(OR(D37=0,E37=0),0,ROUNDUP(D37/E37,0))</f>
        <v>0</v>
      </c>
      <c r="G37" s="65" t="n">
        <f aca="false">'1. INSUMOS'!G37</f>
        <v>96</v>
      </c>
      <c r="H37" s="65" t="n">
        <f aca="false">F37*G37</f>
        <v>0</v>
      </c>
      <c r="I37" s="65" t="n">
        <f aca="false">D37*'1. INSUMOS'!H37</f>
        <v>0</v>
      </c>
    </row>
    <row r="38" customFormat="false" ht="15" hidden="false" customHeight="false" outlineLevel="0" collapsed="false">
      <c r="A38" s="37" t="s">
        <v>146</v>
      </c>
      <c r="B38" s="70" t="str">
        <f aca="false">'1. INSUMOS'!C38</f>
        <v>Chocolatería</v>
      </c>
      <c r="C38" s="70" t="str">
        <f aca="false">'1. INSUMOS'!D38</f>
        <v>g</v>
      </c>
      <c r="D38" s="51" t="n">
        <f aca="false">SUMIFS('2. RECETAS'!$J$8:$J$557,'2. RECETAS'!$D$8:$D$557,$A38)</f>
        <v>0</v>
      </c>
      <c r="E38" s="51" t="n">
        <f aca="false">'1. INSUMOS'!F38</f>
        <v>1000</v>
      </c>
      <c r="F38" s="71" t="n">
        <f aca="false">IF(OR(D38=0,E38=0),0,ROUNDUP(D38/E38,0))</f>
        <v>0</v>
      </c>
      <c r="G38" s="72" t="n">
        <f aca="false">'1. INSUMOS'!G38</f>
        <v>210</v>
      </c>
      <c r="H38" s="72" t="n">
        <f aca="false">F38*G38</f>
        <v>0</v>
      </c>
      <c r="I38" s="72" t="n">
        <f aca="false">D38*'1. INSUMOS'!H38</f>
        <v>0</v>
      </c>
    </row>
    <row r="39" customFormat="false" ht="15" hidden="false" customHeight="false" outlineLevel="0" collapsed="false">
      <c r="A39" s="10" t="s">
        <v>148</v>
      </c>
      <c r="B39" s="12" t="str">
        <f aca="false">'1. INSUMOS'!C39</f>
        <v>Chocolatería</v>
      </c>
      <c r="C39" s="12" t="str">
        <f aca="false">'1. INSUMOS'!D39</f>
        <v>g</v>
      </c>
      <c r="D39" s="45" t="n">
        <f aca="false">SUMIFS('2. RECETAS'!$J$8:$J$557,'2. RECETAS'!$D$8:$D$557,$A39)</f>
        <v>0</v>
      </c>
      <c r="E39" s="45" t="n">
        <f aca="false">'1. INSUMOS'!F39</f>
        <v>1000</v>
      </c>
      <c r="F39" s="56" t="n">
        <f aca="false">IF(OR(D39=0,E39=0),0,ROUNDUP(D39/E39,0))</f>
        <v>0</v>
      </c>
      <c r="G39" s="65" t="n">
        <f aca="false">'1. INSUMOS'!G39</f>
        <v>265</v>
      </c>
      <c r="H39" s="65" t="n">
        <f aca="false">F39*G39</f>
        <v>0</v>
      </c>
      <c r="I39" s="65" t="n">
        <f aca="false">D39*'1. INSUMOS'!H39</f>
        <v>0</v>
      </c>
    </row>
    <row r="40" customFormat="false" ht="15" hidden="false" customHeight="false" outlineLevel="0" collapsed="false">
      <c r="A40" s="37" t="s">
        <v>149</v>
      </c>
      <c r="B40" s="70" t="str">
        <f aca="false">'1. INSUMOS'!C40</f>
        <v>Chocolatería</v>
      </c>
      <c r="C40" s="70" t="str">
        <f aca="false">'1. INSUMOS'!D40</f>
        <v>g</v>
      </c>
      <c r="D40" s="51" t="n">
        <f aca="false">SUMIFS('2. RECETAS'!$J$8:$J$557,'2. RECETAS'!$D$8:$D$557,$A40)</f>
        <v>0</v>
      </c>
      <c r="E40" s="51" t="n">
        <f aca="false">'1. INSUMOS'!F40</f>
        <v>1000</v>
      </c>
      <c r="F40" s="71" t="n">
        <f aca="false">IF(OR(D40=0,E40=0),0,ROUNDUP(D40/E40,0))</f>
        <v>0</v>
      </c>
      <c r="G40" s="72" t="n">
        <f aca="false">'1. INSUMOS'!G40</f>
        <v>235</v>
      </c>
      <c r="H40" s="72" t="n">
        <f aca="false">F40*G40</f>
        <v>0</v>
      </c>
      <c r="I40" s="72" t="n">
        <f aca="false">D40*'1. INSUMOS'!H40</f>
        <v>0</v>
      </c>
    </row>
    <row r="41" customFormat="false" ht="15" hidden="false" customHeight="false" outlineLevel="0" collapsed="false">
      <c r="A41" s="10" t="s">
        <v>150</v>
      </c>
      <c r="B41" s="12" t="str">
        <f aca="false">'1. INSUMOS'!C41</f>
        <v>Chocolatería</v>
      </c>
      <c r="C41" s="12" t="str">
        <f aca="false">'1. INSUMOS'!D41</f>
        <v>g</v>
      </c>
      <c r="D41" s="45" t="n">
        <f aca="false">SUMIFS('2. RECETAS'!$J$8:$J$557,'2. RECETAS'!$D$8:$D$557,$A41)</f>
        <v>0</v>
      </c>
      <c r="E41" s="45" t="n">
        <f aca="false">'1. INSUMOS'!F41</f>
        <v>1000</v>
      </c>
      <c r="F41" s="56" t="n">
        <f aca="false">IF(OR(D41=0,E41=0),0,ROUNDUP(D41/E41,0))</f>
        <v>0</v>
      </c>
      <c r="G41" s="65" t="n">
        <f aca="false">'1. INSUMOS'!G41</f>
        <v>220</v>
      </c>
      <c r="H41" s="65" t="n">
        <f aca="false">F41*G41</f>
        <v>0</v>
      </c>
      <c r="I41" s="65" t="n">
        <f aca="false">D41*'1. INSUMOS'!H41</f>
        <v>0</v>
      </c>
    </row>
    <row r="42" customFormat="false" ht="15" hidden="false" customHeight="false" outlineLevel="0" collapsed="false">
      <c r="A42" s="37" t="s">
        <v>151</v>
      </c>
      <c r="B42" s="70" t="str">
        <f aca="false">'1. INSUMOS'!C42</f>
        <v>Chocolatería</v>
      </c>
      <c r="C42" s="70" t="str">
        <f aca="false">'1. INSUMOS'!D42</f>
        <v>g</v>
      </c>
      <c r="D42" s="51" t="n">
        <f aca="false">SUMIFS('2. RECETAS'!$J$8:$J$557,'2. RECETAS'!$D$8:$D$557,$A42)</f>
        <v>0</v>
      </c>
      <c r="E42" s="51" t="n">
        <f aca="false">'1. INSUMOS'!F42</f>
        <v>500</v>
      </c>
      <c r="F42" s="71" t="n">
        <f aca="false">IF(OR(D42=0,E42=0),0,ROUNDUP(D42/E42,0))</f>
        <v>0</v>
      </c>
      <c r="G42" s="72" t="n">
        <f aca="false">'1. INSUMOS'!G42</f>
        <v>320</v>
      </c>
      <c r="H42" s="72" t="n">
        <f aca="false">F42*G42</f>
        <v>0</v>
      </c>
      <c r="I42" s="72" t="n">
        <f aca="false">D42*'1. INSUMOS'!H42</f>
        <v>0</v>
      </c>
    </row>
    <row r="43" customFormat="false" ht="15" hidden="false" customHeight="false" outlineLevel="0" collapsed="false">
      <c r="A43" s="10" t="s">
        <v>152</v>
      </c>
      <c r="B43" s="12" t="str">
        <f aca="false">'1. INSUMOS'!C43</f>
        <v>Chocolatería</v>
      </c>
      <c r="C43" s="12" t="str">
        <f aca="false">'1. INSUMOS'!D43</f>
        <v>g</v>
      </c>
      <c r="D43" s="45" t="n">
        <f aca="false">SUMIFS('2. RECETAS'!$J$8:$J$557,'2. RECETAS'!$D$8:$D$557,$A43)</f>
        <v>0</v>
      </c>
      <c r="E43" s="45" t="n">
        <f aca="false">'1. INSUMOS'!F43</f>
        <v>500</v>
      </c>
      <c r="F43" s="56" t="n">
        <f aca="false">IF(OR(D43=0,E43=0),0,ROUNDUP(D43/E43,0))</f>
        <v>0</v>
      </c>
      <c r="G43" s="65" t="n">
        <f aca="false">'1. INSUMOS'!G43</f>
        <v>340</v>
      </c>
      <c r="H43" s="65" t="n">
        <f aca="false">F43*G43</f>
        <v>0</v>
      </c>
      <c r="I43" s="65" t="n">
        <f aca="false">D43*'1. INSUMOS'!H43</f>
        <v>0</v>
      </c>
    </row>
    <row r="44" customFormat="false" ht="15" hidden="false" customHeight="false" outlineLevel="0" collapsed="false">
      <c r="A44" s="37" t="s">
        <v>153</v>
      </c>
      <c r="B44" s="70" t="str">
        <f aca="false">'1. INSUMOS'!C44</f>
        <v>Chocolatería</v>
      </c>
      <c r="C44" s="70" t="str">
        <f aca="false">'1. INSUMOS'!D44</f>
        <v>g</v>
      </c>
      <c r="D44" s="51" t="n">
        <f aca="false">SUMIFS('2. RECETAS'!$J$8:$J$557,'2. RECETAS'!$D$8:$D$557,$A44)</f>
        <v>0</v>
      </c>
      <c r="E44" s="51" t="n">
        <f aca="false">'1. INSUMOS'!F44</f>
        <v>200</v>
      </c>
      <c r="F44" s="71" t="n">
        <f aca="false">IF(OR(D44=0,E44=0),0,ROUNDUP(D44/E44,0))</f>
        <v>0</v>
      </c>
      <c r="G44" s="72" t="n">
        <f aca="false">'1. INSUMOS'!G44</f>
        <v>110</v>
      </c>
      <c r="H44" s="72" t="n">
        <f aca="false">F44*G44</f>
        <v>0</v>
      </c>
      <c r="I44" s="72" t="n">
        <f aca="false">D44*'1. INSUMOS'!H44</f>
        <v>0</v>
      </c>
    </row>
    <row r="45" customFormat="false" ht="15" hidden="false" customHeight="false" outlineLevel="0" collapsed="false">
      <c r="A45" s="10" t="s">
        <v>155</v>
      </c>
      <c r="B45" s="12" t="str">
        <f aca="false">'1. INSUMOS'!C45</f>
        <v>Chocolatería</v>
      </c>
      <c r="C45" s="12" t="str">
        <f aca="false">'1. INSUMOS'!D45</f>
        <v>g</v>
      </c>
      <c r="D45" s="45" t="n">
        <f aca="false">SUMIFS('2. RECETAS'!$J$8:$J$557,'2. RECETAS'!$D$8:$D$557,$A45)</f>
        <v>0</v>
      </c>
      <c r="E45" s="45" t="n">
        <f aca="false">'1. INSUMOS'!F45</f>
        <v>1000</v>
      </c>
      <c r="F45" s="56" t="n">
        <f aca="false">IF(OR(D45=0,E45=0),0,ROUNDUP(D45/E45,0))</f>
        <v>0</v>
      </c>
      <c r="G45" s="65" t="n">
        <f aca="false">'1. INSUMOS'!G45</f>
        <v>155</v>
      </c>
      <c r="H45" s="65" t="n">
        <f aca="false">F45*G45</f>
        <v>0</v>
      </c>
      <c r="I45" s="65" t="n">
        <f aca="false">D45*'1. INSUMOS'!H45</f>
        <v>0</v>
      </c>
    </row>
    <row r="46" customFormat="false" ht="15" hidden="false" customHeight="false" outlineLevel="0" collapsed="false">
      <c r="A46" s="37" t="s">
        <v>156</v>
      </c>
      <c r="B46" s="70" t="str">
        <f aca="false">'1. INSUMOS'!C46</f>
        <v>Chocolatería</v>
      </c>
      <c r="C46" s="70" t="str">
        <f aca="false">'1. INSUMOS'!D46</f>
        <v>g</v>
      </c>
      <c r="D46" s="51" t="n">
        <f aca="false">SUMIFS('2. RECETAS'!$J$8:$J$557,'2. RECETAS'!$D$8:$D$557,$A46)</f>
        <v>0</v>
      </c>
      <c r="E46" s="51" t="n">
        <f aca="false">'1. INSUMOS'!F46</f>
        <v>1000</v>
      </c>
      <c r="F46" s="71" t="n">
        <f aca="false">IF(OR(D46=0,E46=0),0,ROUNDUP(D46/E46,0))</f>
        <v>0</v>
      </c>
      <c r="G46" s="72" t="n">
        <f aca="false">'1. INSUMOS'!G46</f>
        <v>175</v>
      </c>
      <c r="H46" s="72" t="n">
        <f aca="false">F46*G46</f>
        <v>0</v>
      </c>
      <c r="I46" s="72" t="n">
        <f aca="false">D46*'1. INSUMOS'!H46</f>
        <v>0</v>
      </c>
    </row>
    <row r="47" customFormat="false" ht="15" hidden="false" customHeight="false" outlineLevel="0" collapsed="false">
      <c r="A47" s="10" t="s">
        <v>157</v>
      </c>
      <c r="B47" s="12" t="str">
        <f aca="false">'1. INSUMOS'!C47</f>
        <v>Chocolatería</v>
      </c>
      <c r="C47" s="12" t="str">
        <f aca="false">'1. INSUMOS'!D47</f>
        <v>g</v>
      </c>
      <c r="D47" s="45" t="n">
        <f aca="false">SUMIFS('2. RECETAS'!$J$8:$J$557,'2. RECETAS'!$D$8:$D$557,$A47)</f>
        <v>0</v>
      </c>
      <c r="E47" s="45" t="n">
        <f aca="false">'1. INSUMOS'!F47</f>
        <v>1000</v>
      </c>
      <c r="F47" s="56" t="n">
        <f aca="false">IF(OR(D47=0,E47=0),0,ROUNDUP(D47/E47,0))</f>
        <v>0</v>
      </c>
      <c r="G47" s="65" t="n">
        <f aca="false">'1. INSUMOS'!G47</f>
        <v>165</v>
      </c>
      <c r="H47" s="65" t="n">
        <f aca="false">F47*G47</f>
        <v>0</v>
      </c>
      <c r="I47" s="65" t="n">
        <f aca="false">D47*'1. INSUMOS'!H47</f>
        <v>0</v>
      </c>
    </row>
    <row r="48" customFormat="false" ht="15" hidden="false" customHeight="false" outlineLevel="0" collapsed="false">
      <c r="A48" s="37" t="s">
        <v>158</v>
      </c>
      <c r="B48" s="70" t="str">
        <f aca="false">'1. INSUMOS'!C48</f>
        <v>Chocolatería</v>
      </c>
      <c r="C48" s="70" t="str">
        <f aca="false">'1. INSUMOS'!D48</f>
        <v>g</v>
      </c>
      <c r="D48" s="51" t="n">
        <f aca="false">SUMIFS('2. RECETAS'!$J$8:$J$557,'2. RECETAS'!$D$8:$D$557,$A48)</f>
        <v>0</v>
      </c>
      <c r="E48" s="51" t="n">
        <f aca="false">'1. INSUMOS'!F48</f>
        <v>250</v>
      </c>
      <c r="F48" s="71" t="n">
        <f aca="false">IF(OR(D48=0,E48=0),0,ROUNDUP(D48/E48,0))</f>
        <v>0</v>
      </c>
      <c r="G48" s="72" t="n">
        <f aca="false">'1. INSUMOS'!G48</f>
        <v>62</v>
      </c>
      <c r="H48" s="72" t="n">
        <f aca="false">F48*G48</f>
        <v>0</v>
      </c>
      <c r="I48" s="72" t="n">
        <f aca="false">D48*'1. INSUMOS'!H48</f>
        <v>0</v>
      </c>
    </row>
    <row r="49" customFormat="false" ht="15" hidden="false" customHeight="false" outlineLevel="0" collapsed="false">
      <c r="A49" s="10" t="s">
        <v>159</v>
      </c>
      <c r="B49" s="12" t="str">
        <f aca="false">'1. INSUMOS'!C49</f>
        <v>Chocolatería</v>
      </c>
      <c r="C49" s="12" t="str">
        <f aca="false">'1. INSUMOS'!D49</f>
        <v>g</v>
      </c>
      <c r="D49" s="45" t="n">
        <f aca="false">SUMIFS('2. RECETAS'!$J$8:$J$557,'2. RECETAS'!$D$8:$D$557,$A49)</f>
        <v>0</v>
      </c>
      <c r="E49" s="45" t="n">
        <f aca="false">'1. INSUMOS'!F49</f>
        <v>500</v>
      </c>
      <c r="F49" s="56" t="n">
        <f aca="false">IF(OR(D49=0,E49=0),0,ROUNDUP(D49/E49,0))</f>
        <v>0</v>
      </c>
      <c r="G49" s="65" t="n">
        <f aca="false">'1. INSUMOS'!G49</f>
        <v>138</v>
      </c>
      <c r="H49" s="65" t="n">
        <f aca="false">F49*G49</f>
        <v>0</v>
      </c>
      <c r="I49" s="65" t="n">
        <f aca="false">D49*'1. INSUMOS'!H49</f>
        <v>0</v>
      </c>
    </row>
    <row r="50" customFormat="false" ht="15" hidden="false" customHeight="false" outlineLevel="0" collapsed="false">
      <c r="A50" s="37" t="s">
        <v>160</v>
      </c>
      <c r="B50" s="70" t="str">
        <f aca="false">'1. INSUMOS'!C50</f>
        <v>Chocolatería</v>
      </c>
      <c r="C50" s="70" t="str">
        <f aca="false">'1. INSUMOS'!D50</f>
        <v>g</v>
      </c>
      <c r="D50" s="51" t="n">
        <f aca="false">SUMIFS('2. RECETAS'!$J$8:$J$557,'2. RECETAS'!$D$8:$D$557,$A50)</f>
        <v>0</v>
      </c>
      <c r="E50" s="51" t="n">
        <f aca="false">'1. INSUMOS'!F50</f>
        <v>500</v>
      </c>
      <c r="F50" s="71" t="n">
        <f aca="false">IF(OR(D50=0,E50=0),0,ROUNDUP(D50/E50,0))</f>
        <v>0</v>
      </c>
      <c r="G50" s="72" t="n">
        <f aca="false">'1. INSUMOS'!G50</f>
        <v>122</v>
      </c>
      <c r="H50" s="72" t="n">
        <f aca="false">F50*G50</f>
        <v>0</v>
      </c>
      <c r="I50" s="72" t="n">
        <f aca="false">D50*'1. INSUMOS'!H50</f>
        <v>0</v>
      </c>
    </row>
    <row r="51" customFormat="false" ht="15" hidden="false" customHeight="false" outlineLevel="0" collapsed="false">
      <c r="A51" s="10" t="s">
        <v>161</v>
      </c>
      <c r="B51" s="12" t="str">
        <f aca="false">'1. INSUMOS'!C51</f>
        <v>Chocolatería</v>
      </c>
      <c r="C51" s="12" t="str">
        <f aca="false">'1. INSUMOS'!D51</f>
        <v>g</v>
      </c>
      <c r="D51" s="45" t="n">
        <f aca="false">SUMIFS('2. RECETAS'!$J$8:$J$557,'2. RECETAS'!$D$8:$D$557,$A51)</f>
        <v>0</v>
      </c>
      <c r="E51" s="45" t="n">
        <f aca="false">'1. INSUMOS'!F51</f>
        <v>780</v>
      </c>
      <c r="F51" s="56" t="n">
        <f aca="false">IF(OR(D51=0,E51=0),0,ROUNDUP(D51/E51,0))</f>
        <v>0</v>
      </c>
      <c r="G51" s="65" t="n">
        <f aca="false">'1. INSUMOS'!G51</f>
        <v>185</v>
      </c>
      <c r="H51" s="65" t="n">
        <f aca="false">F51*G51</f>
        <v>0</v>
      </c>
      <c r="I51" s="65" t="n">
        <f aca="false">D51*'1. INSUMOS'!H51</f>
        <v>0</v>
      </c>
    </row>
    <row r="52" customFormat="false" ht="15" hidden="false" customHeight="false" outlineLevel="0" collapsed="false">
      <c r="A52" s="37" t="s">
        <v>163</v>
      </c>
      <c r="B52" s="70" t="str">
        <f aca="false">'1. INSUMOS'!C52</f>
        <v>Chocolatería</v>
      </c>
      <c r="C52" s="70" t="str">
        <f aca="false">'1. INSUMOS'!D52</f>
        <v>g</v>
      </c>
      <c r="D52" s="51" t="n">
        <f aca="false">SUMIFS('2. RECETAS'!$J$8:$J$557,'2. RECETAS'!$D$8:$D$557,$A52)</f>
        <v>0</v>
      </c>
      <c r="E52" s="51" t="n">
        <f aca="false">'1. INSUMOS'!F52</f>
        <v>350</v>
      </c>
      <c r="F52" s="71" t="n">
        <f aca="false">IF(OR(D52=0,E52=0),0,ROUNDUP(D52/E52,0))</f>
        <v>0</v>
      </c>
      <c r="G52" s="72" t="n">
        <f aca="false">'1. INSUMOS'!G52</f>
        <v>145</v>
      </c>
      <c r="H52" s="72" t="n">
        <f aca="false">F52*G52</f>
        <v>0</v>
      </c>
      <c r="I52" s="72" t="n">
        <f aca="false">D52*'1. INSUMOS'!H52</f>
        <v>0</v>
      </c>
    </row>
    <row r="53" customFormat="false" ht="15" hidden="false" customHeight="false" outlineLevel="0" collapsed="false">
      <c r="A53" s="10" t="s">
        <v>165</v>
      </c>
      <c r="B53" s="12" t="str">
        <f aca="false">'1. INSUMOS'!C53</f>
        <v>Chocolatería</v>
      </c>
      <c r="C53" s="12" t="str">
        <f aca="false">'1. INSUMOS'!D53</f>
        <v>g</v>
      </c>
      <c r="D53" s="45" t="n">
        <f aca="false">SUMIFS('2. RECETAS'!$J$8:$J$557,'2. RECETAS'!$D$8:$D$557,$A53)</f>
        <v>0</v>
      </c>
      <c r="E53" s="45" t="n">
        <f aca="false">'1. INSUMOS'!F53</f>
        <v>400</v>
      </c>
      <c r="F53" s="56" t="n">
        <f aca="false">IF(OR(D53=0,E53=0),0,ROUNDUP(D53/E53,0))</f>
        <v>0</v>
      </c>
      <c r="G53" s="65" t="n">
        <f aca="false">'1. INSUMOS'!G53</f>
        <v>135</v>
      </c>
      <c r="H53" s="65" t="n">
        <f aca="false">F53*G53</f>
        <v>0</v>
      </c>
      <c r="I53" s="65" t="n">
        <f aca="false">D53*'1. INSUMOS'!H53</f>
        <v>0</v>
      </c>
    </row>
    <row r="54" customFormat="false" ht="15" hidden="false" customHeight="false" outlineLevel="0" collapsed="false">
      <c r="A54" s="37" t="s">
        <v>167</v>
      </c>
      <c r="B54" s="70" t="str">
        <f aca="false">'1. INSUMOS'!C54</f>
        <v>Chocolatería</v>
      </c>
      <c r="C54" s="70" t="str">
        <f aca="false">'1. INSUMOS'!D54</f>
        <v>g</v>
      </c>
      <c r="D54" s="51" t="n">
        <f aca="false">SUMIFS('2. RECETAS'!$J$8:$J$557,'2. RECETAS'!$D$8:$D$557,$A54)</f>
        <v>0</v>
      </c>
      <c r="E54" s="51" t="n">
        <f aca="false">'1. INSUMOS'!F54</f>
        <v>500</v>
      </c>
      <c r="F54" s="71" t="n">
        <f aca="false">IF(OR(D54=0,E54=0),0,ROUNDUP(D54/E54,0))</f>
        <v>0</v>
      </c>
      <c r="G54" s="72" t="n">
        <f aca="false">'1. INSUMOS'!G54</f>
        <v>82</v>
      </c>
      <c r="H54" s="72" t="n">
        <f aca="false">F54*G54</f>
        <v>0</v>
      </c>
      <c r="I54" s="72" t="n">
        <f aca="false">D54*'1. INSUMOS'!H54</f>
        <v>0</v>
      </c>
    </row>
    <row r="55" customFormat="false" ht="15" hidden="false" customHeight="false" outlineLevel="0" collapsed="false">
      <c r="A55" s="10" t="s">
        <v>169</v>
      </c>
      <c r="B55" s="12" t="str">
        <f aca="false">'1. INSUMOS'!C55</f>
        <v>Frutos secos</v>
      </c>
      <c r="C55" s="12" t="str">
        <f aca="false">'1. INSUMOS'!D55</f>
        <v>g</v>
      </c>
      <c r="D55" s="45" t="n">
        <f aca="false">SUMIFS('2. RECETAS'!$J$8:$J$557,'2. RECETAS'!$D$8:$D$557,$A55)</f>
        <v>0</v>
      </c>
      <c r="E55" s="45" t="n">
        <f aca="false">'1. INSUMOS'!F55</f>
        <v>500</v>
      </c>
      <c r="F55" s="56" t="n">
        <f aca="false">IF(OR(D55=0,E55=0),0,ROUNDUP(D55/E55,0))</f>
        <v>0</v>
      </c>
      <c r="G55" s="65" t="n">
        <f aca="false">'1. INSUMOS'!G55</f>
        <v>225</v>
      </c>
      <c r="H55" s="65" t="n">
        <f aca="false">F55*G55</f>
        <v>0</v>
      </c>
      <c r="I55" s="65" t="n">
        <f aca="false">D55*'1. INSUMOS'!H55</f>
        <v>0</v>
      </c>
    </row>
    <row r="56" customFormat="false" ht="15" hidden="false" customHeight="false" outlineLevel="0" collapsed="false">
      <c r="A56" s="37" t="s">
        <v>171</v>
      </c>
      <c r="B56" s="70" t="str">
        <f aca="false">'1. INSUMOS'!C56</f>
        <v>Frutos secos</v>
      </c>
      <c r="C56" s="70" t="str">
        <f aca="false">'1. INSUMOS'!D56</f>
        <v>g</v>
      </c>
      <c r="D56" s="51" t="n">
        <f aca="false">SUMIFS('2. RECETAS'!$J$8:$J$557,'2. RECETAS'!$D$8:$D$557,$A56)</f>
        <v>0</v>
      </c>
      <c r="E56" s="51" t="n">
        <f aca="false">'1. INSUMOS'!F56</f>
        <v>250</v>
      </c>
      <c r="F56" s="71" t="n">
        <f aca="false">IF(OR(D56=0,E56=0),0,ROUNDUP(D56/E56,0))</f>
        <v>0</v>
      </c>
      <c r="G56" s="72" t="n">
        <f aca="false">'1. INSUMOS'!G56</f>
        <v>135</v>
      </c>
      <c r="H56" s="72" t="n">
        <f aca="false">F56*G56</f>
        <v>0</v>
      </c>
      <c r="I56" s="72" t="n">
        <f aca="false">D56*'1. INSUMOS'!H56</f>
        <v>0</v>
      </c>
    </row>
    <row r="57" customFormat="false" ht="15" hidden="false" customHeight="false" outlineLevel="0" collapsed="false">
      <c r="A57" s="10" t="s">
        <v>172</v>
      </c>
      <c r="B57" s="12" t="str">
        <f aca="false">'1. INSUMOS'!C57</f>
        <v>Frutos secos</v>
      </c>
      <c r="C57" s="12" t="str">
        <f aca="false">'1. INSUMOS'!D57</f>
        <v>g</v>
      </c>
      <c r="D57" s="45" t="n">
        <f aca="false">SUMIFS('2. RECETAS'!$J$8:$J$557,'2. RECETAS'!$D$8:$D$557,$A57)</f>
        <v>0</v>
      </c>
      <c r="E57" s="45" t="n">
        <f aca="false">'1. INSUMOS'!F57</f>
        <v>500</v>
      </c>
      <c r="F57" s="56" t="n">
        <f aca="false">IF(OR(D57=0,E57=0),0,ROUNDUP(D57/E57,0))</f>
        <v>0</v>
      </c>
      <c r="G57" s="65" t="n">
        <f aca="false">'1. INSUMOS'!G57</f>
        <v>195</v>
      </c>
      <c r="H57" s="65" t="n">
        <f aca="false">F57*G57</f>
        <v>0</v>
      </c>
      <c r="I57" s="65" t="n">
        <f aca="false">D57*'1. INSUMOS'!H57</f>
        <v>0</v>
      </c>
    </row>
    <row r="58" customFormat="false" ht="15" hidden="false" customHeight="false" outlineLevel="0" collapsed="false">
      <c r="A58" s="37" t="s">
        <v>173</v>
      </c>
      <c r="B58" s="70" t="str">
        <f aca="false">'1. INSUMOS'!C58</f>
        <v>Frutos secos</v>
      </c>
      <c r="C58" s="70" t="str">
        <f aca="false">'1. INSUMOS'!D58</f>
        <v>g</v>
      </c>
      <c r="D58" s="51" t="n">
        <f aca="false">SUMIFS('2. RECETAS'!$J$8:$J$557,'2. RECETAS'!$D$8:$D$557,$A58)</f>
        <v>0</v>
      </c>
      <c r="E58" s="51" t="n">
        <f aca="false">'1. INSUMOS'!F58</f>
        <v>250</v>
      </c>
      <c r="F58" s="71" t="n">
        <f aca="false">IF(OR(D58=0,E58=0),0,ROUNDUP(D58/E58,0))</f>
        <v>0</v>
      </c>
      <c r="G58" s="72" t="n">
        <f aca="false">'1. INSUMOS'!G58</f>
        <v>195</v>
      </c>
      <c r="H58" s="72" t="n">
        <f aca="false">F58*G58</f>
        <v>0</v>
      </c>
      <c r="I58" s="72" t="n">
        <f aca="false">D58*'1. INSUMOS'!H58</f>
        <v>0</v>
      </c>
    </row>
    <row r="59" customFormat="false" ht="15" hidden="false" customHeight="false" outlineLevel="0" collapsed="false">
      <c r="A59" s="10" t="s">
        <v>174</v>
      </c>
      <c r="B59" s="12" t="str">
        <f aca="false">'1. INSUMOS'!C59</f>
        <v>Frutos secos</v>
      </c>
      <c r="C59" s="12" t="str">
        <f aca="false">'1. INSUMOS'!D59</f>
        <v>g</v>
      </c>
      <c r="D59" s="45" t="n">
        <f aca="false">SUMIFS('2. RECETAS'!$J$8:$J$557,'2. RECETAS'!$D$8:$D$557,$A59)</f>
        <v>0</v>
      </c>
      <c r="E59" s="45" t="n">
        <f aca="false">'1. INSUMOS'!F59</f>
        <v>250</v>
      </c>
      <c r="F59" s="56" t="n">
        <f aca="false">IF(OR(D59=0,E59=0),0,ROUNDUP(D59/E59,0))</f>
        <v>0</v>
      </c>
      <c r="G59" s="65" t="n">
        <f aca="false">'1. INSUMOS'!G59</f>
        <v>185</v>
      </c>
      <c r="H59" s="65" t="n">
        <f aca="false">F59*G59</f>
        <v>0</v>
      </c>
      <c r="I59" s="65" t="n">
        <f aca="false">D59*'1. INSUMOS'!H59</f>
        <v>0</v>
      </c>
    </row>
    <row r="60" customFormat="false" ht="15" hidden="false" customHeight="false" outlineLevel="0" collapsed="false">
      <c r="A60" s="37" t="s">
        <v>175</v>
      </c>
      <c r="B60" s="70" t="str">
        <f aca="false">'1. INSUMOS'!C60</f>
        <v>Frutos secos</v>
      </c>
      <c r="C60" s="70" t="str">
        <f aca="false">'1. INSUMOS'!D60</f>
        <v>g</v>
      </c>
      <c r="D60" s="51" t="n">
        <f aca="false">SUMIFS('2. RECETAS'!$J$8:$J$557,'2. RECETAS'!$D$8:$D$557,$A60)</f>
        <v>0</v>
      </c>
      <c r="E60" s="51" t="n">
        <f aca="false">'1. INSUMOS'!F60</f>
        <v>500</v>
      </c>
      <c r="F60" s="71" t="n">
        <f aca="false">IF(OR(D60=0,E60=0),0,ROUNDUP(D60/E60,0))</f>
        <v>0</v>
      </c>
      <c r="G60" s="72" t="n">
        <f aca="false">'1. INSUMOS'!G60</f>
        <v>265</v>
      </c>
      <c r="H60" s="72" t="n">
        <f aca="false">F60*G60</f>
        <v>0</v>
      </c>
      <c r="I60" s="72" t="n">
        <f aca="false">D60*'1. INSUMOS'!H60</f>
        <v>0</v>
      </c>
    </row>
    <row r="61" customFormat="false" ht="15" hidden="false" customHeight="false" outlineLevel="0" collapsed="false">
      <c r="A61" s="10" t="s">
        <v>176</v>
      </c>
      <c r="B61" s="12" t="str">
        <f aca="false">'1. INSUMOS'!C61</f>
        <v>Frutos secos</v>
      </c>
      <c r="C61" s="12" t="str">
        <f aca="false">'1. INSUMOS'!D61</f>
        <v>g</v>
      </c>
      <c r="D61" s="45" t="n">
        <f aca="false">SUMIFS('2. RECETAS'!$J$8:$J$557,'2. RECETAS'!$D$8:$D$557,$A61)</f>
        <v>0</v>
      </c>
      <c r="E61" s="45" t="n">
        <f aca="false">'1. INSUMOS'!F61</f>
        <v>250</v>
      </c>
      <c r="F61" s="56" t="n">
        <f aca="false">IF(OR(D61=0,E61=0),0,ROUNDUP(D61/E61,0))</f>
        <v>0</v>
      </c>
      <c r="G61" s="65" t="n">
        <f aca="false">'1. INSUMOS'!G61</f>
        <v>195</v>
      </c>
      <c r="H61" s="65" t="n">
        <f aca="false">F61*G61</f>
        <v>0</v>
      </c>
      <c r="I61" s="65" t="n">
        <f aca="false">D61*'1. INSUMOS'!H61</f>
        <v>0</v>
      </c>
    </row>
    <row r="62" customFormat="false" ht="15" hidden="false" customHeight="false" outlineLevel="0" collapsed="false">
      <c r="A62" s="37" t="s">
        <v>177</v>
      </c>
      <c r="B62" s="70" t="str">
        <f aca="false">'1. INSUMOS'!C62</f>
        <v>Frutos secos</v>
      </c>
      <c r="C62" s="70" t="str">
        <f aca="false">'1. INSUMOS'!D62</f>
        <v>g</v>
      </c>
      <c r="D62" s="51" t="n">
        <f aca="false">SUMIFS('2. RECETAS'!$J$8:$J$557,'2. RECETAS'!$D$8:$D$557,$A62)</f>
        <v>0</v>
      </c>
      <c r="E62" s="51" t="n">
        <f aca="false">'1. INSUMOS'!F62</f>
        <v>500</v>
      </c>
      <c r="F62" s="71" t="n">
        <f aca="false">IF(OR(D62=0,E62=0),0,ROUNDUP(D62/E62,0))</f>
        <v>0</v>
      </c>
      <c r="G62" s="72" t="n">
        <f aca="false">'1. INSUMOS'!G62</f>
        <v>62</v>
      </c>
      <c r="H62" s="72" t="n">
        <f aca="false">F62*G62</f>
        <v>0</v>
      </c>
      <c r="I62" s="72" t="n">
        <f aca="false">D62*'1. INSUMOS'!H62</f>
        <v>0</v>
      </c>
    </row>
    <row r="63" customFormat="false" ht="15" hidden="false" customHeight="false" outlineLevel="0" collapsed="false">
      <c r="A63" s="10" t="s">
        <v>178</v>
      </c>
      <c r="B63" s="12" t="str">
        <f aca="false">'1. INSUMOS'!C63</f>
        <v>Frutos secos</v>
      </c>
      <c r="C63" s="12" t="str">
        <f aca="false">'1. INSUMOS'!D63</f>
        <v>g</v>
      </c>
      <c r="D63" s="45" t="n">
        <f aca="false">SUMIFS('2. RECETAS'!$J$8:$J$557,'2. RECETAS'!$D$8:$D$557,$A63)</f>
        <v>0</v>
      </c>
      <c r="E63" s="45" t="n">
        <f aca="false">'1. INSUMOS'!F63</f>
        <v>250</v>
      </c>
      <c r="F63" s="56" t="n">
        <f aca="false">IF(OR(D63=0,E63=0),0,ROUNDUP(D63/E63,0))</f>
        <v>0</v>
      </c>
      <c r="G63" s="65" t="n">
        <f aca="false">'1. INSUMOS'!G63</f>
        <v>48</v>
      </c>
      <c r="H63" s="65" t="n">
        <f aca="false">F63*G63</f>
        <v>0</v>
      </c>
      <c r="I63" s="65" t="n">
        <f aca="false">D63*'1. INSUMOS'!H63</f>
        <v>0</v>
      </c>
    </row>
    <row r="64" customFormat="false" ht="15" hidden="false" customHeight="false" outlineLevel="0" collapsed="false">
      <c r="A64" s="37" t="s">
        <v>179</v>
      </c>
      <c r="B64" s="70" t="str">
        <f aca="false">'1. INSUMOS'!C64</f>
        <v>Frutos secos</v>
      </c>
      <c r="C64" s="70" t="str">
        <f aca="false">'1. INSUMOS'!D64</f>
        <v>g</v>
      </c>
      <c r="D64" s="51" t="n">
        <f aca="false">SUMIFS('2. RECETAS'!$J$8:$J$557,'2. RECETAS'!$D$8:$D$557,$A64)</f>
        <v>0</v>
      </c>
      <c r="E64" s="51" t="n">
        <f aca="false">'1. INSUMOS'!F64</f>
        <v>500</v>
      </c>
      <c r="F64" s="71" t="n">
        <f aca="false">IF(OR(D64=0,E64=0),0,ROUNDUP(D64/E64,0))</f>
        <v>0</v>
      </c>
      <c r="G64" s="72" t="n">
        <f aca="false">'1. INSUMOS'!G64</f>
        <v>68</v>
      </c>
      <c r="H64" s="72" t="n">
        <f aca="false">F64*G64</f>
        <v>0</v>
      </c>
      <c r="I64" s="72" t="n">
        <f aca="false">D64*'1. INSUMOS'!H64</f>
        <v>0</v>
      </c>
    </row>
    <row r="65" customFormat="false" ht="15" hidden="false" customHeight="false" outlineLevel="0" collapsed="false">
      <c r="A65" s="10" t="s">
        <v>180</v>
      </c>
      <c r="B65" s="12" t="str">
        <f aca="false">'1. INSUMOS'!C65</f>
        <v>Frutos secos</v>
      </c>
      <c r="C65" s="12" t="str">
        <f aca="false">'1. INSUMOS'!D65</f>
        <v>g</v>
      </c>
      <c r="D65" s="45" t="n">
        <f aca="false">SUMIFS('2. RECETAS'!$J$8:$J$557,'2. RECETAS'!$D$8:$D$557,$A65)</f>
        <v>0</v>
      </c>
      <c r="E65" s="45" t="n">
        <f aca="false">'1. INSUMOS'!F65</f>
        <v>200</v>
      </c>
      <c r="F65" s="56" t="n">
        <f aca="false">IF(OR(D65=0,E65=0),0,ROUNDUP(D65/E65,0))</f>
        <v>0</v>
      </c>
      <c r="G65" s="65" t="n">
        <f aca="false">'1. INSUMOS'!G65</f>
        <v>425</v>
      </c>
      <c r="H65" s="65" t="n">
        <f aca="false">F65*G65</f>
        <v>0</v>
      </c>
      <c r="I65" s="65" t="n">
        <f aca="false">D65*'1. INSUMOS'!H65</f>
        <v>0</v>
      </c>
    </row>
    <row r="66" customFormat="false" ht="15" hidden="false" customHeight="false" outlineLevel="0" collapsed="false">
      <c r="A66" s="37" t="s">
        <v>182</v>
      </c>
      <c r="B66" s="70" t="str">
        <f aca="false">'1. INSUMOS'!C66</f>
        <v>Frutas</v>
      </c>
      <c r="C66" s="70" t="str">
        <f aca="false">'1. INSUMOS'!D66</f>
        <v>g</v>
      </c>
      <c r="D66" s="51" t="n">
        <f aca="false">SUMIFS('2. RECETAS'!$J$8:$J$557,'2. RECETAS'!$D$8:$D$557,$A66)</f>
        <v>0</v>
      </c>
      <c r="E66" s="51" t="n">
        <f aca="false">'1. INSUMOS'!F66</f>
        <v>500</v>
      </c>
      <c r="F66" s="71" t="n">
        <f aca="false">IF(OR(D66=0,E66=0),0,ROUNDUP(D66/E66,0))</f>
        <v>0</v>
      </c>
      <c r="G66" s="72" t="n">
        <f aca="false">'1. INSUMOS'!G66</f>
        <v>72</v>
      </c>
      <c r="H66" s="72" t="n">
        <f aca="false">F66*G66</f>
        <v>0</v>
      </c>
      <c r="I66" s="72" t="n">
        <f aca="false">D66*'1. INSUMOS'!H66</f>
        <v>0</v>
      </c>
    </row>
    <row r="67" customFormat="false" ht="15" hidden="false" customHeight="false" outlineLevel="0" collapsed="false">
      <c r="A67" s="10" t="s">
        <v>184</v>
      </c>
      <c r="B67" s="12" t="str">
        <f aca="false">'1. INSUMOS'!C67</f>
        <v>Frutas</v>
      </c>
      <c r="C67" s="12" t="str">
        <f aca="false">'1. INSUMOS'!D67</f>
        <v>g</v>
      </c>
      <c r="D67" s="45" t="n">
        <f aca="false">SUMIFS('2. RECETAS'!$J$8:$J$557,'2. RECETAS'!$D$8:$D$557,$A67)</f>
        <v>0</v>
      </c>
      <c r="E67" s="45" t="n">
        <f aca="false">'1. INSUMOS'!F67</f>
        <v>500</v>
      </c>
      <c r="F67" s="56" t="n">
        <f aca="false">IF(OR(D67=0,E67=0),0,ROUNDUP(D67/E67,0))</f>
        <v>0</v>
      </c>
      <c r="G67" s="65" t="n">
        <f aca="false">'1. INSUMOS'!G67</f>
        <v>62</v>
      </c>
      <c r="H67" s="65" t="n">
        <f aca="false">F67*G67</f>
        <v>0</v>
      </c>
      <c r="I67" s="65" t="n">
        <f aca="false">D67*'1. INSUMOS'!H67</f>
        <v>0</v>
      </c>
    </row>
    <row r="68" customFormat="false" ht="15" hidden="false" customHeight="false" outlineLevel="0" collapsed="false">
      <c r="A68" s="37" t="s">
        <v>185</v>
      </c>
      <c r="B68" s="70" t="str">
        <f aca="false">'1. INSUMOS'!C68</f>
        <v>Frutas</v>
      </c>
      <c r="C68" s="70" t="str">
        <f aca="false">'1. INSUMOS'!D68</f>
        <v>g</v>
      </c>
      <c r="D68" s="51" t="n">
        <f aca="false">SUMIFS('2. RECETAS'!$J$8:$J$557,'2. RECETAS'!$D$8:$D$557,$A68)</f>
        <v>0</v>
      </c>
      <c r="E68" s="51" t="n">
        <f aca="false">'1. INSUMOS'!F68</f>
        <v>100</v>
      </c>
      <c r="F68" s="71" t="n">
        <f aca="false">IF(OR(D68=0,E68=0),0,ROUNDUP(D68/E68,0))</f>
        <v>0</v>
      </c>
      <c r="G68" s="72" t="n">
        <f aca="false">'1. INSUMOS'!G68</f>
        <v>195</v>
      </c>
      <c r="H68" s="72" t="n">
        <f aca="false">F68*G68</f>
        <v>0</v>
      </c>
      <c r="I68" s="72" t="n">
        <f aca="false">D68*'1. INSUMOS'!H68</f>
        <v>0</v>
      </c>
    </row>
    <row r="69" customFormat="false" ht="15" hidden="false" customHeight="false" outlineLevel="0" collapsed="false">
      <c r="A69" s="10" t="s">
        <v>187</v>
      </c>
      <c r="B69" s="12" t="str">
        <f aca="false">'1. INSUMOS'!C69</f>
        <v>Frutas</v>
      </c>
      <c r="C69" s="12" t="str">
        <f aca="false">'1. INSUMOS'!D69</f>
        <v>g</v>
      </c>
      <c r="D69" s="45" t="n">
        <f aca="false">SUMIFS('2. RECETAS'!$J$8:$J$557,'2. RECETAS'!$D$8:$D$557,$A69)</f>
        <v>0</v>
      </c>
      <c r="E69" s="45" t="n">
        <f aca="false">'1. INSUMOS'!F69</f>
        <v>100</v>
      </c>
      <c r="F69" s="56" t="n">
        <f aca="false">IF(OR(D69=0,E69=0),0,ROUNDUP(D69/E69,0))</f>
        <v>0</v>
      </c>
      <c r="G69" s="65" t="n">
        <f aca="false">'1. INSUMOS'!G69</f>
        <v>175</v>
      </c>
      <c r="H69" s="65" t="n">
        <f aca="false">F69*G69</f>
        <v>0</v>
      </c>
      <c r="I69" s="65" t="n">
        <f aca="false">D69*'1. INSUMOS'!H69</f>
        <v>0</v>
      </c>
    </row>
    <row r="70" customFormat="false" ht="15" hidden="false" customHeight="false" outlineLevel="0" collapsed="false">
      <c r="A70" s="37" t="s">
        <v>188</v>
      </c>
      <c r="B70" s="70" t="str">
        <f aca="false">'1. INSUMOS'!C70</f>
        <v>Frutas</v>
      </c>
      <c r="C70" s="70" t="str">
        <f aca="false">'1. INSUMOS'!D70</f>
        <v>g</v>
      </c>
      <c r="D70" s="51" t="n">
        <f aca="false">SUMIFS('2. RECETAS'!$J$8:$J$557,'2. RECETAS'!$D$8:$D$557,$A70)</f>
        <v>0</v>
      </c>
      <c r="E70" s="51" t="n">
        <f aca="false">'1. INSUMOS'!F70</f>
        <v>250</v>
      </c>
      <c r="F70" s="71" t="n">
        <f aca="false">IF(OR(D70=0,E70=0),0,ROUNDUP(D70/E70,0))</f>
        <v>0</v>
      </c>
      <c r="G70" s="72" t="n">
        <f aca="false">'1. INSUMOS'!G70</f>
        <v>98</v>
      </c>
      <c r="H70" s="72" t="n">
        <f aca="false">F70*G70</f>
        <v>0</v>
      </c>
      <c r="I70" s="72" t="n">
        <f aca="false">D70*'1. INSUMOS'!H70</f>
        <v>0</v>
      </c>
    </row>
    <row r="71" customFormat="false" ht="15" hidden="false" customHeight="false" outlineLevel="0" collapsed="false">
      <c r="A71" s="10" t="s">
        <v>189</v>
      </c>
      <c r="B71" s="12" t="str">
        <f aca="false">'1. INSUMOS'!C71</f>
        <v>Frutas</v>
      </c>
      <c r="C71" s="12" t="str">
        <f aca="false">'1. INSUMOS'!D71</f>
        <v>g</v>
      </c>
      <c r="D71" s="45" t="n">
        <f aca="false">SUMIFS('2. RECETAS'!$J$8:$J$557,'2. RECETAS'!$D$8:$D$557,$A71)</f>
        <v>0</v>
      </c>
      <c r="E71" s="45" t="n">
        <f aca="false">'1. INSUMOS'!F71</f>
        <v>250</v>
      </c>
      <c r="F71" s="56" t="n">
        <f aca="false">IF(OR(D71=0,E71=0),0,ROUNDUP(D71/E71,0))</f>
        <v>0</v>
      </c>
      <c r="G71" s="65" t="n">
        <f aca="false">'1. INSUMOS'!G71</f>
        <v>88</v>
      </c>
      <c r="H71" s="65" t="n">
        <f aca="false">F71*G71</f>
        <v>0</v>
      </c>
      <c r="I71" s="65" t="n">
        <f aca="false">D71*'1. INSUMOS'!H71</f>
        <v>0</v>
      </c>
    </row>
    <row r="72" customFormat="false" ht="15" hidden="false" customHeight="false" outlineLevel="0" collapsed="false">
      <c r="A72" s="37" t="s">
        <v>190</v>
      </c>
      <c r="B72" s="70" t="str">
        <f aca="false">'1. INSUMOS'!C72</f>
        <v>Frutas</v>
      </c>
      <c r="C72" s="70" t="str">
        <f aca="false">'1. INSUMOS'!D72</f>
        <v>g</v>
      </c>
      <c r="D72" s="51" t="n">
        <f aca="false">SUMIFS('2. RECETAS'!$J$8:$J$557,'2. RECETAS'!$D$8:$D$557,$A72)</f>
        <v>0</v>
      </c>
      <c r="E72" s="51" t="n">
        <f aca="false">'1. INSUMOS'!F72</f>
        <v>200</v>
      </c>
      <c r="F72" s="71" t="n">
        <f aca="false">IF(OR(D72=0,E72=0),0,ROUNDUP(D72/E72,0))</f>
        <v>0</v>
      </c>
      <c r="G72" s="72" t="n">
        <f aca="false">'1. INSUMOS'!G72</f>
        <v>82</v>
      </c>
      <c r="H72" s="72" t="n">
        <f aca="false">F72*G72</f>
        <v>0</v>
      </c>
      <c r="I72" s="72" t="n">
        <f aca="false">D72*'1. INSUMOS'!H72</f>
        <v>0</v>
      </c>
    </row>
    <row r="73" customFormat="false" ht="15" hidden="false" customHeight="false" outlineLevel="0" collapsed="false">
      <c r="A73" s="10" t="s">
        <v>191</v>
      </c>
      <c r="B73" s="12" t="str">
        <f aca="false">'1. INSUMOS'!C73</f>
        <v>Frutas</v>
      </c>
      <c r="C73" s="12" t="str">
        <f aca="false">'1. INSUMOS'!D73</f>
        <v>g</v>
      </c>
      <c r="D73" s="45" t="n">
        <f aca="false">SUMIFS('2. RECETAS'!$J$8:$J$557,'2. RECETAS'!$D$8:$D$557,$A73)</f>
        <v>0</v>
      </c>
      <c r="E73" s="45" t="n">
        <f aca="false">'1. INSUMOS'!F73</f>
        <v>250</v>
      </c>
      <c r="F73" s="56" t="n">
        <f aca="false">IF(OR(D73=0,E73=0),0,ROUNDUP(D73/E73,0))</f>
        <v>0</v>
      </c>
      <c r="G73" s="65" t="n">
        <f aca="false">'1. INSUMOS'!G73</f>
        <v>125</v>
      </c>
      <c r="H73" s="65" t="n">
        <f aca="false">F73*G73</f>
        <v>0</v>
      </c>
      <c r="I73" s="65" t="n">
        <f aca="false">D73*'1. INSUMOS'!H73</f>
        <v>0</v>
      </c>
    </row>
    <row r="74" customFormat="false" ht="15" hidden="false" customHeight="false" outlineLevel="0" collapsed="false">
      <c r="A74" s="37" t="s">
        <v>192</v>
      </c>
      <c r="B74" s="70" t="str">
        <f aca="false">'1. INSUMOS'!C74</f>
        <v>Frutas</v>
      </c>
      <c r="C74" s="70" t="str">
        <f aca="false">'1. INSUMOS'!D74</f>
        <v>g</v>
      </c>
      <c r="D74" s="51" t="n">
        <f aca="false">SUMIFS('2. RECETAS'!$J$8:$J$557,'2. RECETAS'!$D$8:$D$557,$A74)</f>
        <v>0</v>
      </c>
      <c r="E74" s="51" t="n">
        <f aca="false">'1. INSUMOS'!F74</f>
        <v>1000</v>
      </c>
      <c r="F74" s="71" t="n">
        <f aca="false">IF(OR(D74=0,E74=0),0,ROUNDUP(D74/E74,0))</f>
        <v>0</v>
      </c>
      <c r="G74" s="72" t="n">
        <f aca="false">'1. INSUMOS'!G74</f>
        <v>32</v>
      </c>
      <c r="H74" s="72" t="n">
        <f aca="false">F74*G74</f>
        <v>0</v>
      </c>
      <c r="I74" s="72" t="n">
        <f aca="false">D74*'1. INSUMOS'!H74</f>
        <v>0</v>
      </c>
    </row>
    <row r="75" customFormat="false" ht="15" hidden="false" customHeight="false" outlineLevel="0" collapsed="false">
      <c r="A75" s="10" t="s">
        <v>194</v>
      </c>
      <c r="B75" s="12" t="str">
        <f aca="false">'1. INSUMOS'!C75</f>
        <v>Frutas</v>
      </c>
      <c r="C75" s="12" t="str">
        <f aca="false">'1. INSUMOS'!D75</f>
        <v>g</v>
      </c>
      <c r="D75" s="45" t="n">
        <f aca="false">SUMIFS('2. RECETAS'!$J$8:$J$557,'2. RECETAS'!$D$8:$D$557,$A75)</f>
        <v>0</v>
      </c>
      <c r="E75" s="45" t="n">
        <f aca="false">'1. INSUMOS'!F75</f>
        <v>1000</v>
      </c>
      <c r="F75" s="56" t="n">
        <f aca="false">IF(OR(D75=0,E75=0),0,ROUNDUP(D75/E75,0))</f>
        <v>0</v>
      </c>
      <c r="G75" s="65" t="n">
        <f aca="false">'1. INSUMOS'!G75</f>
        <v>26</v>
      </c>
      <c r="H75" s="65" t="n">
        <f aca="false">F75*G75</f>
        <v>0</v>
      </c>
      <c r="I75" s="65" t="n">
        <f aca="false">D75*'1. INSUMOS'!H75</f>
        <v>0</v>
      </c>
    </row>
    <row r="76" customFormat="false" ht="15" hidden="false" customHeight="false" outlineLevel="0" collapsed="false">
      <c r="A76" s="37" t="s">
        <v>195</v>
      </c>
      <c r="B76" s="70" t="str">
        <f aca="false">'1. INSUMOS'!C76</f>
        <v>Especias y aromas</v>
      </c>
      <c r="C76" s="70" t="str">
        <f aca="false">'1. INSUMOS'!D76</f>
        <v>g</v>
      </c>
      <c r="D76" s="51" t="n">
        <f aca="false">SUMIFS('2. RECETAS'!$J$8:$J$557,'2. RECETAS'!$D$8:$D$557,$A76)</f>
        <v>0</v>
      </c>
      <c r="E76" s="51" t="n">
        <f aca="false">'1. INSUMOS'!F76</f>
        <v>1000</v>
      </c>
      <c r="F76" s="71" t="n">
        <f aca="false">IF(OR(D76=0,E76=0),0,ROUNDUP(D76/E76,0))</f>
        <v>0</v>
      </c>
      <c r="G76" s="72" t="n">
        <f aca="false">'1. INSUMOS'!G76</f>
        <v>20</v>
      </c>
      <c r="H76" s="72" t="n">
        <f aca="false">F76*G76</f>
        <v>0</v>
      </c>
      <c r="I76" s="72" t="n">
        <f aca="false">D76*'1. INSUMOS'!H76</f>
        <v>0</v>
      </c>
    </row>
    <row r="77" customFormat="false" ht="15" hidden="false" customHeight="false" outlineLevel="0" collapsed="false">
      <c r="A77" s="10" t="s">
        <v>197</v>
      </c>
      <c r="B77" s="12" t="str">
        <f aca="false">'1. INSUMOS'!C77</f>
        <v>Especias y aromas</v>
      </c>
      <c r="C77" s="12" t="str">
        <f aca="false">'1. INSUMOS'!D77</f>
        <v>g</v>
      </c>
      <c r="D77" s="45" t="n">
        <f aca="false">SUMIFS('2. RECETAS'!$J$8:$J$557,'2. RECETAS'!$D$8:$D$557,$A77)</f>
        <v>0</v>
      </c>
      <c r="E77" s="45" t="n">
        <f aca="false">'1. INSUMOS'!F77</f>
        <v>250</v>
      </c>
      <c r="F77" s="56" t="n">
        <f aca="false">IF(OR(D77=0,E77=0),0,ROUNDUP(D77/E77,0))</f>
        <v>0</v>
      </c>
      <c r="G77" s="65" t="n">
        <f aca="false">'1. INSUMOS'!G77</f>
        <v>125</v>
      </c>
      <c r="H77" s="65" t="n">
        <f aca="false">F77*G77</f>
        <v>0</v>
      </c>
      <c r="I77" s="65" t="n">
        <f aca="false">D77*'1. INSUMOS'!H77</f>
        <v>0</v>
      </c>
    </row>
    <row r="78" customFormat="false" ht="15" hidden="false" customHeight="false" outlineLevel="0" collapsed="false">
      <c r="A78" s="37" t="s">
        <v>199</v>
      </c>
      <c r="B78" s="70" t="str">
        <f aca="false">'1. INSUMOS'!C78</f>
        <v>Especias y aromas</v>
      </c>
      <c r="C78" s="70" t="str">
        <f aca="false">'1. INSUMOS'!D78</f>
        <v>g</v>
      </c>
      <c r="D78" s="51" t="n">
        <f aca="false">SUMIFS('2. RECETAS'!$J$8:$J$557,'2. RECETAS'!$D$8:$D$557,$A78)</f>
        <v>0</v>
      </c>
      <c r="E78" s="51" t="n">
        <f aca="false">'1. INSUMOS'!F78</f>
        <v>100</v>
      </c>
      <c r="F78" s="71" t="n">
        <f aca="false">IF(OR(D78=0,E78=0),0,ROUNDUP(D78/E78,0))</f>
        <v>0</v>
      </c>
      <c r="G78" s="72" t="n">
        <f aca="false">'1. INSUMOS'!G78</f>
        <v>95</v>
      </c>
      <c r="H78" s="72" t="n">
        <f aca="false">F78*G78</f>
        <v>0</v>
      </c>
      <c r="I78" s="72" t="n">
        <f aca="false">D78*'1. INSUMOS'!H78</f>
        <v>0</v>
      </c>
    </row>
    <row r="79" customFormat="false" ht="15" hidden="false" customHeight="false" outlineLevel="0" collapsed="false">
      <c r="A79" s="10" t="s">
        <v>201</v>
      </c>
      <c r="B79" s="12" t="str">
        <f aca="false">'1. INSUMOS'!C79</f>
        <v>Especias y aromas</v>
      </c>
      <c r="C79" s="12" t="str">
        <f aca="false">'1. INSUMOS'!D79</f>
        <v>g</v>
      </c>
      <c r="D79" s="45" t="n">
        <f aca="false">SUMIFS('2. RECETAS'!$J$8:$J$557,'2. RECETAS'!$D$8:$D$557,$A79)</f>
        <v>0</v>
      </c>
      <c r="E79" s="45" t="n">
        <f aca="false">'1. INSUMOS'!F79</f>
        <v>100</v>
      </c>
      <c r="F79" s="56" t="n">
        <f aca="false">IF(OR(D79=0,E79=0),0,ROUNDUP(D79/E79,0))</f>
        <v>0</v>
      </c>
      <c r="G79" s="65" t="n">
        <f aca="false">'1. INSUMOS'!G79</f>
        <v>46</v>
      </c>
      <c r="H79" s="65" t="n">
        <f aca="false">F79*G79</f>
        <v>0</v>
      </c>
      <c r="I79" s="65" t="n">
        <f aca="false">D79*'1. INSUMOS'!H79</f>
        <v>0</v>
      </c>
    </row>
    <row r="80" customFormat="false" ht="15" hidden="false" customHeight="false" outlineLevel="0" collapsed="false">
      <c r="A80" s="37" t="s">
        <v>202</v>
      </c>
      <c r="B80" s="70" t="str">
        <f aca="false">'1. INSUMOS'!C80</f>
        <v>Especias y aromas</v>
      </c>
      <c r="C80" s="70" t="str">
        <f aca="false">'1. INSUMOS'!D80</f>
        <v>g</v>
      </c>
      <c r="D80" s="51" t="n">
        <f aca="false">SUMIFS('2. RECETAS'!$J$8:$J$557,'2. RECETAS'!$D$8:$D$557,$A80)</f>
        <v>0</v>
      </c>
      <c r="E80" s="51" t="n">
        <f aca="false">'1. INSUMOS'!F80</f>
        <v>100</v>
      </c>
      <c r="F80" s="71" t="n">
        <f aca="false">IF(OR(D80=0,E80=0),0,ROUNDUP(D80/E80,0))</f>
        <v>0</v>
      </c>
      <c r="G80" s="72" t="n">
        <f aca="false">'1. INSUMOS'!G80</f>
        <v>56</v>
      </c>
      <c r="H80" s="72" t="n">
        <f aca="false">F80*G80</f>
        <v>0</v>
      </c>
      <c r="I80" s="72" t="n">
        <f aca="false">D80*'1. INSUMOS'!H80</f>
        <v>0</v>
      </c>
    </row>
    <row r="81" customFormat="false" ht="15" hidden="false" customHeight="false" outlineLevel="0" collapsed="false">
      <c r="A81" s="10" t="s">
        <v>203</v>
      </c>
      <c r="B81" s="12" t="str">
        <f aca="false">'1. INSUMOS'!C81</f>
        <v>Especias y aromas</v>
      </c>
      <c r="C81" s="12" t="str">
        <f aca="false">'1. INSUMOS'!D81</f>
        <v>g</v>
      </c>
      <c r="D81" s="45" t="n">
        <f aca="false">SUMIFS('2. RECETAS'!$J$8:$J$557,'2. RECETAS'!$D$8:$D$557,$A81)</f>
        <v>0</v>
      </c>
      <c r="E81" s="45" t="n">
        <f aca="false">'1. INSUMOS'!F81</f>
        <v>100</v>
      </c>
      <c r="F81" s="56" t="n">
        <f aca="false">IF(OR(D81=0,E81=0),0,ROUNDUP(D81/E81,0))</f>
        <v>0</v>
      </c>
      <c r="G81" s="65" t="n">
        <f aca="false">'1. INSUMOS'!G81</f>
        <v>72</v>
      </c>
      <c r="H81" s="65" t="n">
        <f aca="false">F81*G81</f>
        <v>0</v>
      </c>
      <c r="I81" s="65" t="n">
        <f aca="false">D81*'1. INSUMOS'!H81</f>
        <v>0</v>
      </c>
    </row>
    <row r="82" customFormat="false" ht="15" hidden="false" customHeight="false" outlineLevel="0" collapsed="false">
      <c r="A82" s="37" t="s">
        <v>204</v>
      </c>
      <c r="B82" s="70" t="str">
        <f aca="false">'1. INSUMOS'!C82</f>
        <v>Especias y aromas</v>
      </c>
      <c r="C82" s="70" t="str">
        <f aca="false">'1. INSUMOS'!D82</f>
        <v>g</v>
      </c>
      <c r="D82" s="51" t="n">
        <f aca="false">SUMIFS('2. RECETAS'!$J$8:$J$557,'2. RECETAS'!$D$8:$D$557,$A82)</f>
        <v>0</v>
      </c>
      <c r="E82" s="51" t="n">
        <f aca="false">'1. INSUMOS'!F82</f>
        <v>50</v>
      </c>
      <c r="F82" s="71" t="n">
        <f aca="false">IF(OR(D82=0,E82=0),0,ROUNDUP(D82/E82,0))</f>
        <v>0</v>
      </c>
      <c r="G82" s="72" t="n">
        <f aca="false">'1. INSUMOS'!G82</f>
        <v>62</v>
      </c>
      <c r="H82" s="72" t="n">
        <f aca="false">F82*G82</f>
        <v>0</v>
      </c>
      <c r="I82" s="72" t="n">
        <f aca="false">D82*'1. INSUMOS'!H82</f>
        <v>0</v>
      </c>
    </row>
    <row r="83" customFormat="false" ht="15" hidden="false" customHeight="false" outlineLevel="0" collapsed="false">
      <c r="A83" s="10" t="s">
        <v>205</v>
      </c>
      <c r="B83" s="12" t="str">
        <f aca="false">'1. INSUMOS'!C83</f>
        <v>Especias y aromas</v>
      </c>
      <c r="C83" s="12" t="str">
        <f aca="false">'1. INSUMOS'!D83</f>
        <v>g</v>
      </c>
      <c r="D83" s="45" t="n">
        <f aca="false">SUMIFS('2. RECETAS'!$J$8:$J$557,'2. RECETAS'!$D$8:$D$557,$A83)</f>
        <v>0</v>
      </c>
      <c r="E83" s="45" t="n">
        <f aca="false">'1. INSUMOS'!F83</f>
        <v>50</v>
      </c>
      <c r="F83" s="56" t="n">
        <f aca="false">IF(OR(D83=0,E83=0),0,ROUNDUP(D83/E83,0))</f>
        <v>0</v>
      </c>
      <c r="G83" s="65" t="n">
        <f aca="false">'1. INSUMOS'!G83</f>
        <v>68</v>
      </c>
      <c r="H83" s="65" t="n">
        <f aca="false">F83*G83</f>
        <v>0</v>
      </c>
      <c r="I83" s="65" t="n">
        <f aca="false">D83*'1. INSUMOS'!H83</f>
        <v>0</v>
      </c>
    </row>
    <row r="84" customFormat="false" ht="15" hidden="false" customHeight="false" outlineLevel="0" collapsed="false">
      <c r="A84" s="37" t="s">
        <v>206</v>
      </c>
      <c r="B84" s="70" t="str">
        <f aca="false">'1. INSUMOS'!C84</f>
        <v>Especias y aromas</v>
      </c>
      <c r="C84" s="70" t="str">
        <f aca="false">'1. INSUMOS'!D84</f>
        <v>g</v>
      </c>
      <c r="D84" s="51" t="n">
        <f aca="false">SUMIFS('2. RECETAS'!$J$8:$J$557,'2. RECETAS'!$D$8:$D$557,$A84)</f>
        <v>0</v>
      </c>
      <c r="E84" s="51" t="n">
        <f aca="false">'1. INSUMOS'!F84</f>
        <v>100</v>
      </c>
      <c r="F84" s="71" t="n">
        <f aca="false">IF(OR(D84=0,E84=0),0,ROUNDUP(D84/E84,0))</f>
        <v>0</v>
      </c>
      <c r="G84" s="72" t="n">
        <f aca="false">'1. INSUMOS'!G84</f>
        <v>42</v>
      </c>
      <c r="H84" s="72" t="n">
        <f aca="false">F84*G84</f>
        <v>0</v>
      </c>
      <c r="I84" s="72" t="n">
        <f aca="false">D84*'1. INSUMOS'!H84</f>
        <v>0</v>
      </c>
    </row>
    <row r="85" customFormat="false" ht="15" hidden="false" customHeight="false" outlineLevel="0" collapsed="false">
      <c r="A85" s="10" t="s">
        <v>207</v>
      </c>
      <c r="B85" s="12" t="str">
        <f aca="false">'1. INSUMOS'!C85</f>
        <v>Especias y aromas</v>
      </c>
      <c r="C85" s="12" t="str">
        <f aca="false">'1. INSUMOS'!D85</f>
        <v>g</v>
      </c>
      <c r="D85" s="45" t="n">
        <f aca="false">SUMIFS('2. RECETAS'!$J$8:$J$557,'2. RECETAS'!$D$8:$D$557,$A85)</f>
        <v>0</v>
      </c>
      <c r="E85" s="45" t="n">
        <f aca="false">'1. INSUMOS'!F85</f>
        <v>100</v>
      </c>
      <c r="F85" s="56" t="n">
        <f aca="false">IF(OR(D85=0,E85=0),0,ROUNDUP(D85/E85,0))</f>
        <v>0</v>
      </c>
      <c r="G85" s="65" t="n">
        <f aca="false">'1. INSUMOS'!G85</f>
        <v>46</v>
      </c>
      <c r="H85" s="65" t="n">
        <f aca="false">F85*G85</f>
        <v>0</v>
      </c>
      <c r="I85" s="65" t="n">
        <f aca="false">D85*'1. INSUMOS'!H85</f>
        <v>0</v>
      </c>
    </row>
    <row r="86" customFormat="false" ht="15" hidden="false" customHeight="false" outlineLevel="0" collapsed="false">
      <c r="A86" s="37" t="s">
        <v>208</v>
      </c>
      <c r="B86" s="70" t="str">
        <f aca="false">'1. INSUMOS'!C86</f>
        <v>Especias y aromas</v>
      </c>
      <c r="C86" s="70" t="str">
        <f aca="false">'1. INSUMOS'!D86</f>
        <v>g</v>
      </c>
      <c r="D86" s="51" t="n">
        <f aca="false">SUMIFS('2. RECETAS'!$J$8:$J$557,'2. RECETAS'!$D$8:$D$557,$A86)</f>
        <v>0</v>
      </c>
      <c r="E86" s="51" t="n">
        <f aca="false">'1. INSUMOS'!F86</f>
        <v>50</v>
      </c>
      <c r="F86" s="71" t="n">
        <f aca="false">IF(OR(D86=0,E86=0),0,ROUNDUP(D86/E86,0))</f>
        <v>0</v>
      </c>
      <c r="G86" s="72" t="n">
        <f aca="false">'1. INSUMOS'!G86</f>
        <v>125</v>
      </c>
      <c r="H86" s="72" t="n">
        <f aca="false">F86*G86</f>
        <v>0</v>
      </c>
      <c r="I86" s="72" t="n">
        <f aca="false">D86*'1. INSUMOS'!H86</f>
        <v>0</v>
      </c>
    </row>
    <row r="87" customFormat="false" ht="15" hidden="false" customHeight="false" outlineLevel="0" collapsed="false">
      <c r="A87" s="10" t="s">
        <v>210</v>
      </c>
      <c r="B87" s="12" t="str">
        <f aca="false">'1. INSUMOS'!C87</f>
        <v>Especias y aromas</v>
      </c>
      <c r="C87" s="12" t="str">
        <f aca="false">'1. INSUMOS'!D87</f>
        <v>g</v>
      </c>
      <c r="D87" s="45" t="n">
        <f aca="false">SUMIFS('2. RECETAS'!$J$8:$J$557,'2. RECETAS'!$D$8:$D$557,$A87)</f>
        <v>0</v>
      </c>
      <c r="E87" s="45" t="n">
        <f aca="false">'1. INSUMOS'!F87</f>
        <v>100</v>
      </c>
      <c r="F87" s="56" t="n">
        <f aca="false">IF(OR(D87=0,E87=0),0,ROUNDUP(D87/E87,0))</f>
        <v>0</v>
      </c>
      <c r="G87" s="65" t="n">
        <f aca="false">'1. INSUMOS'!G87</f>
        <v>265</v>
      </c>
      <c r="H87" s="65" t="n">
        <f aca="false">F87*G87</f>
        <v>0</v>
      </c>
      <c r="I87" s="65" t="n">
        <f aca="false">D87*'1. INSUMOS'!H87</f>
        <v>0</v>
      </c>
    </row>
    <row r="88" customFormat="false" ht="15" hidden="false" customHeight="false" outlineLevel="0" collapsed="false">
      <c r="A88" s="37" t="s">
        <v>212</v>
      </c>
      <c r="B88" s="70" t="str">
        <f aca="false">'1. INSUMOS'!C88</f>
        <v>Especias y aromas</v>
      </c>
      <c r="C88" s="70" t="str">
        <f aca="false">'1. INSUMOS'!D88</f>
        <v>g</v>
      </c>
      <c r="D88" s="51" t="n">
        <f aca="false">SUMIFS('2. RECETAS'!$J$8:$J$557,'2. RECETAS'!$D$8:$D$557,$A88)</f>
        <v>0</v>
      </c>
      <c r="E88" s="51" t="n">
        <f aca="false">'1. INSUMOS'!F88</f>
        <v>100</v>
      </c>
      <c r="F88" s="71" t="n">
        <f aca="false">IF(OR(D88=0,E88=0),0,ROUNDUP(D88/E88,0))</f>
        <v>0</v>
      </c>
      <c r="G88" s="72" t="n">
        <f aca="false">'1. INSUMOS'!G88</f>
        <v>135</v>
      </c>
      <c r="H88" s="72" t="n">
        <f aca="false">F88*G88</f>
        <v>0</v>
      </c>
      <c r="I88" s="72" t="n">
        <f aca="false">D88*'1. INSUMOS'!H88</f>
        <v>0</v>
      </c>
    </row>
    <row r="89" customFormat="false" ht="15" hidden="false" customHeight="false" outlineLevel="0" collapsed="false">
      <c r="A89" s="10" t="s">
        <v>213</v>
      </c>
      <c r="B89" s="12" t="str">
        <f aca="false">'1. INSUMOS'!C89</f>
        <v>Especias y aromas</v>
      </c>
      <c r="C89" s="12" t="str">
        <f aca="false">'1. INSUMOS'!D89</f>
        <v>g</v>
      </c>
      <c r="D89" s="45" t="n">
        <f aca="false">SUMIFS('2. RECETAS'!$J$8:$J$557,'2. RECETAS'!$D$8:$D$557,$A89)</f>
        <v>0</v>
      </c>
      <c r="E89" s="45" t="n">
        <f aca="false">'1. INSUMOS'!F89</f>
        <v>50</v>
      </c>
      <c r="F89" s="56" t="n">
        <f aca="false">IF(OR(D89=0,E89=0),0,ROUNDUP(D89/E89,0))</f>
        <v>0</v>
      </c>
      <c r="G89" s="65" t="n">
        <f aca="false">'1. INSUMOS'!G89</f>
        <v>25</v>
      </c>
      <c r="H89" s="65" t="n">
        <f aca="false">F89*G89</f>
        <v>0</v>
      </c>
      <c r="I89" s="65" t="n">
        <f aca="false">D89*'1. INSUMOS'!H89</f>
        <v>0</v>
      </c>
    </row>
    <row r="90" customFormat="false" ht="15" hidden="false" customHeight="false" outlineLevel="0" collapsed="false">
      <c r="A90" s="37" t="s">
        <v>215</v>
      </c>
      <c r="B90" s="70" t="str">
        <f aca="false">'1. INSUMOS'!C90</f>
        <v>Especias y aromas</v>
      </c>
      <c r="C90" s="70" t="str">
        <f aca="false">'1. INSUMOS'!D90</f>
        <v>g</v>
      </c>
      <c r="D90" s="51" t="n">
        <f aca="false">SUMIFS('2. RECETAS'!$J$8:$J$557,'2. RECETAS'!$D$8:$D$557,$A90)</f>
        <v>0</v>
      </c>
      <c r="E90" s="51" t="n">
        <f aca="false">'1. INSUMOS'!F90</f>
        <v>100</v>
      </c>
      <c r="F90" s="71" t="n">
        <f aca="false">IF(OR(D90=0,E90=0),0,ROUNDUP(D90/E90,0))</f>
        <v>0</v>
      </c>
      <c r="G90" s="72" t="n">
        <f aca="false">'1. INSUMOS'!G90</f>
        <v>185</v>
      </c>
      <c r="H90" s="72" t="n">
        <f aca="false">F90*G90</f>
        <v>0</v>
      </c>
      <c r="I90" s="72" t="n">
        <f aca="false">D90*'1. INSUMOS'!H90</f>
        <v>0</v>
      </c>
    </row>
    <row r="91" customFormat="false" ht="15" hidden="false" customHeight="false" outlineLevel="0" collapsed="false">
      <c r="A91" s="10" t="s">
        <v>216</v>
      </c>
      <c r="B91" s="12" t="str">
        <f aca="false">'1. INSUMOS'!C91</f>
        <v>Especias y aromas</v>
      </c>
      <c r="C91" s="12" t="str">
        <f aca="false">'1. INSUMOS'!D91</f>
        <v>g</v>
      </c>
      <c r="D91" s="45" t="n">
        <f aca="false">SUMIFS('2. RECETAS'!$J$8:$J$557,'2. RECETAS'!$D$8:$D$557,$A91)</f>
        <v>0</v>
      </c>
      <c r="E91" s="45" t="n">
        <f aca="false">'1. INSUMOS'!F91</f>
        <v>400</v>
      </c>
      <c r="F91" s="56" t="n">
        <f aca="false">IF(OR(D91=0,E91=0),0,ROUNDUP(D91/E91,0))</f>
        <v>0</v>
      </c>
      <c r="G91" s="65" t="n">
        <f aca="false">'1. INSUMOS'!G91</f>
        <v>155</v>
      </c>
      <c r="H91" s="65" t="n">
        <f aca="false">F91*G91</f>
        <v>0</v>
      </c>
      <c r="I91" s="65" t="n">
        <f aca="false">D91*'1. INSUMOS'!H91</f>
        <v>0</v>
      </c>
    </row>
    <row r="92" customFormat="false" ht="15" hidden="false" customHeight="false" outlineLevel="0" collapsed="false">
      <c r="A92" s="37" t="s">
        <v>217</v>
      </c>
      <c r="B92" s="70" t="str">
        <f aca="false">'1. INSUMOS'!C92</f>
        <v>Especias y aromas</v>
      </c>
      <c r="C92" s="70" t="str">
        <f aca="false">'1. INSUMOS'!D92</f>
        <v>ml</v>
      </c>
      <c r="D92" s="51" t="n">
        <f aca="false">SUMIFS('2. RECETAS'!$J$8:$J$557,'2. RECETAS'!$D$8:$D$557,$A92)</f>
        <v>0</v>
      </c>
      <c r="E92" s="51" t="n">
        <f aca="false">'1. INSUMOS'!F92</f>
        <v>250</v>
      </c>
      <c r="F92" s="71" t="n">
        <f aca="false">IF(OR(D92=0,E92=0),0,ROUNDUP(D92/E92,0))</f>
        <v>0</v>
      </c>
      <c r="G92" s="72" t="n">
        <f aca="false">'1. INSUMOS'!G92</f>
        <v>185</v>
      </c>
      <c r="H92" s="72" t="n">
        <f aca="false">F92*G92</f>
        <v>0</v>
      </c>
      <c r="I92" s="72" t="n">
        <f aca="false">D92*'1. INSUMOS'!H92</f>
        <v>0</v>
      </c>
    </row>
    <row r="93" customFormat="false" ht="15" hidden="false" customHeight="false" outlineLevel="0" collapsed="false">
      <c r="A93" s="10" t="s">
        <v>219</v>
      </c>
      <c r="B93" s="12" t="str">
        <f aca="false">'1. INSUMOS'!C93</f>
        <v>Especias y aromas</v>
      </c>
      <c r="C93" s="12" t="str">
        <f aca="false">'1. INSUMOS'!D93</f>
        <v>ml</v>
      </c>
      <c r="D93" s="45" t="n">
        <f aca="false">SUMIFS('2. RECETAS'!$J$8:$J$557,'2. RECETAS'!$D$8:$D$557,$A93)</f>
        <v>0</v>
      </c>
      <c r="E93" s="45" t="n">
        <f aca="false">'1. INSUMOS'!F93</f>
        <v>120</v>
      </c>
      <c r="F93" s="56" t="n">
        <f aca="false">IF(OR(D93=0,E93=0),0,ROUNDUP(D93/E93,0))</f>
        <v>0</v>
      </c>
      <c r="G93" s="65" t="n">
        <f aca="false">'1. INSUMOS'!G93</f>
        <v>98</v>
      </c>
      <c r="H93" s="65" t="n">
        <f aca="false">F93*G93</f>
        <v>0</v>
      </c>
      <c r="I93" s="65" t="n">
        <f aca="false">D93*'1. INSUMOS'!H93</f>
        <v>0</v>
      </c>
    </row>
    <row r="94" customFormat="false" ht="15" hidden="false" customHeight="false" outlineLevel="0" collapsed="false">
      <c r="A94" s="37" t="s">
        <v>221</v>
      </c>
      <c r="B94" s="70" t="str">
        <f aca="false">'1. INSUMOS'!C94</f>
        <v>Especias y aromas</v>
      </c>
      <c r="C94" s="70" t="str">
        <f aca="false">'1. INSUMOS'!D94</f>
        <v>ml</v>
      </c>
      <c r="D94" s="51" t="n">
        <f aca="false">SUMIFS('2. RECETAS'!$J$8:$J$557,'2. RECETAS'!$D$8:$D$557,$A94)</f>
        <v>0</v>
      </c>
      <c r="E94" s="51" t="n">
        <f aca="false">'1. INSUMOS'!F94</f>
        <v>120</v>
      </c>
      <c r="F94" s="71" t="n">
        <f aca="false">IF(OR(D94=0,E94=0),0,ROUNDUP(D94/E94,0))</f>
        <v>0</v>
      </c>
      <c r="G94" s="72" t="n">
        <f aca="false">'1. INSUMOS'!G94</f>
        <v>72</v>
      </c>
      <c r="H94" s="72" t="n">
        <f aca="false">F94*G94</f>
        <v>0</v>
      </c>
      <c r="I94" s="72" t="n">
        <f aca="false">D94*'1. INSUMOS'!H94</f>
        <v>0</v>
      </c>
    </row>
    <row r="95" customFormat="false" ht="15" hidden="false" customHeight="false" outlineLevel="0" collapsed="false">
      <c r="A95" s="10" t="s">
        <v>222</v>
      </c>
      <c r="B95" s="12" t="str">
        <f aca="false">'1. INSUMOS'!C95</f>
        <v>Especias y aromas</v>
      </c>
      <c r="C95" s="12" t="str">
        <f aca="false">'1. INSUMOS'!D95</f>
        <v>ml</v>
      </c>
      <c r="D95" s="45" t="n">
        <f aca="false">SUMIFS('2. RECETAS'!$J$8:$J$557,'2. RECETAS'!$D$8:$D$557,$A95)</f>
        <v>0</v>
      </c>
      <c r="E95" s="45" t="n">
        <f aca="false">'1. INSUMOS'!F95</f>
        <v>120</v>
      </c>
      <c r="F95" s="56" t="n">
        <f aca="false">IF(OR(D95=0,E95=0),0,ROUNDUP(D95/E95,0))</f>
        <v>0</v>
      </c>
      <c r="G95" s="65" t="n">
        <f aca="false">'1. INSUMOS'!G95</f>
        <v>74</v>
      </c>
      <c r="H95" s="65" t="n">
        <f aca="false">F95*G95</f>
        <v>0</v>
      </c>
      <c r="I95" s="65" t="n">
        <f aca="false">D95*'1. INSUMOS'!H95</f>
        <v>0</v>
      </c>
    </row>
    <row r="96" customFormat="false" ht="15" hidden="false" customHeight="false" outlineLevel="0" collapsed="false">
      <c r="A96" s="37" t="s">
        <v>223</v>
      </c>
      <c r="B96" s="70" t="str">
        <f aca="false">'1. INSUMOS'!C96</f>
        <v>Especias y aromas</v>
      </c>
      <c r="C96" s="70" t="str">
        <f aca="false">'1. INSUMOS'!D96</f>
        <v>ml</v>
      </c>
      <c r="D96" s="51" t="n">
        <f aca="false">SUMIFS('2. RECETAS'!$J$8:$J$557,'2. RECETAS'!$D$8:$D$557,$A96)</f>
        <v>0</v>
      </c>
      <c r="E96" s="51" t="n">
        <f aca="false">'1. INSUMOS'!F96</f>
        <v>30</v>
      </c>
      <c r="F96" s="71" t="n">
        <f aca="false">IF(OR(D96=0,E96=0),0,ROUNDUP(D96/E96,0))</f>
        <v>0</v>
      </c>
      <c r="G96" s="72" t="n">
        <f aca="false">'1. INSUMOS'!G96</f>
        <v>72</v>
      </c>
      <c r="H96" s="72" t="n">
        <f aca="false">F96*G96</f>
        <v>0</v>
      </c>
      <c r="I96" s="72" t="n">
        <f aca="false">D96*'1. INSUMOS'!H96</f>
        <v>0</v>
      </c>
    </row>
    <row r="97" customFormat="false" ht="15" hidden="false" customHeight="false" outlineLevel="0" collapsed="false">
      <c r="A97" s="10" t="s">
        <v>225</v>
      </c>
      <c r="B97" s="12" t="str">
        <f aca="false">'1. INSUMOS'!C97</f>
        <v>Especias y aromas</v>
      </c>
      <c r="C97" s="12" t="str">
        <f aca="false">'1. INSUMOS'!D97</f>
        <v>ml</v>
      </c>
      <c r="D97" s="45" t="n">
        <f aca="false">SUMIFS('2. RECETAS'!$J$8:$J$557,'2. RECETAS'!$D$8:$D$557,$A97)</f>
        <v>0</v>
      </c>
      <c r="E97" s="45" t="n">
        <f aca="false">'1. INSUMOS'!F97</f>
        <v>500</v>
      </c>
      <c r="F97" s="56" t="n">
        <f aca="false">IF(OR(D97=0,E97=0),0,ROUNDUP(D97/E97,0))</f>
        <v>0</v>
      </c>
      <c r="G97" s="65" t="n">
        <f aca="false">'1. INSUMOS'!G97</f>
        <v>20</v>
      </c>
      <c r="H97" s="65" t="n">
        <f aca="false">F97*G97</f>
        <v>0</v>
      </c>
      <c r="I97" s="65" t="n">
        <f aca="false">D97*'1. INSUMOS'!H97</f>
        <v>0</v>
      </c>
    </row>
    <row r="98" customFormat="false" ht="15" hidden="false" customHeight="false" outlineLevel="0" collapsed="false">
      <c r="A98" s="37" t="s">
        <v>226</v>
      </c>
      <c r="B98" s="70" t="str">
        <f aca="false">'1. INSUMOS'!C98</f>
        <v>Especias y aromas</v>
      </c>
      <c r="C98" s="70" t="str">
        <f aca="false">'1. INSUMOS'!D98</f>
        <v>ml</v>
      </c>
      <c r="D98" s="51" t="n">
        <f aca="false">SUMIFS('2. RECETAS'!$J$8:$J$557,'2. RECETAS'!$D$8:$D$557,$A98)</f>
        <v>0</v>
      </c>
      <c r="E98" s="51" t="n">
        <f aca="false">'1. INSUMOS'!F98</f>
        <v>100</v>
      </c>
      <c r="F98" s="71" t="n">
        <f aca="false">IF(OR(D98=0,E98=0),0,ROUNDUP(D98/E98,0))</f>
        <v>0</v>
      </c>
      <c r="G98" s="72" t="n">
        <f aca="false">'1. INSUMOS'!G98</f>
        <v>195</v>
      </c>
      <c r="H98" s="72" t="n">
        <f aca="false">F98*G98</f>
        <v>0</v>
      </c>
      <c r="I98" s="72" t="n">
        <f aca="false">D98*'1. INSUMOS'!H98</f>
        <v>0</v>
      </c>
    </row>
    <row r="99" customFormat="false" ht="15" hidden="false" customHeight="false" outlineLevel="0" collapsed="false">
      <c r="A99" s="66" t="s">
        <v>557</v>
      </c>
      <c r="B99" s="67"/>
      <c r="C99" s="67"/>
      <c r="D99" s="67"/>
      <c r="E99" s="67"/>
      <c r="F99" s="67"/>
      <c r="G99" s="67"/>
      <c r="H99" s="69" t="n">
        <f aca="false">SUM(H8:H98)</f>
        <v>0</v>
      </c>
      <c r="I99" s="69" t="n">
        <f aca="false">SUM(I8:I98)</f>
        <v>0</v>
      </c>
    </row>
    <row r="101" customFormat="false" ht="15" hidden="false" customHeight="false" outlineLevel="0" collapsed="false">
      <c r="A101" s="15" t="s">
        <v>558</v>
      </c>
      <c r="B101" s="15"/>
      <c r="C101" s="15"/>
      <c r="D101" s="15"/>
      <c r="E101" s="15"/>
      <c r="F101" s="15"/>
      <c r="G101" s="15"/>
      <c r="H101" s="15"/>
      <c r="I101" s="15"/>
    </row>
  </sheetData>
  <autoFilter ref="A7:I98"/>
  <mergeCells count="4">
    <mergeCell ref="A1:I1"/>
    <mergeCell ref="A2:I2"/>
    <mergeCell ref="A3:I3"/>
    <mergeCell ref="A101:I101"/>
  </mergeCells>
  <conditionalFormatting sqref="D8:D98">
    <cfRule type="cellIs" priority="2" operator="greaterThan" aboveAverage="0" equalAverage="0" bottom="0" percent="0" rank="0" text="" dxfId="62">
      <formula>0</formula>
    </cfRule>
  </conditionalFormatting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B818"/>
    <pageSetUpPr fitToPage="true"/>
  </sheetPr>
  <dimension ref="A1:Z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9" min="5" style="0" width="15"/>
    <col collapsed="false" customWidth="true" hidden="false" outlineLevel="0" max="10" min="10" style="0" width="11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559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A3" s="3" t="s">
        <v>560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3.7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6" customFormat="false" ht="15" hidden="false" customHeight="false" outlineLevel="0" collapsed="false">
      <c r="A6" s="5" t="s">
        <v>561</v>
      </c>
    </row>
    <row r="7" customFormat="false" ht="15" hidden="false" customHeight="false" outlineLevel="0" collapsed="false">
      <c r="A7" s="16" t="s">
        <v>562</v>
      </c>
      <c r="C7" s="73" t="n">
        <f aca="false">SUM(D15:D114)</f>
        <v>52</v>
      </c>
    </row>
    <row r="8" customFormat="false" ht="15" hidden="false" customHeight="false" outlineLevel="0" collapsed="false">
      <c r="A8" s="16" t="s">
        <v>563</v>
      </c>
      <c r="C8" s="74" t="n">
        <f aca="false">SUM(F15:F114)</f>
        <v>4180</v>
      </c>
    </row>
    <row r="9" customFormat="false" ht="15" hidden="false" customHeight="false" outlineLevel="0" collapsed="false">
      <c r="A9" s="16" t="s">
        <v>564</v>
      </c>
      <c r="C9" s="74" t="n">
        <f aca="false">SUM(H15:H114)</f>
        <v>2302.36387692308</v>
      </c>
    </row>
    <row r="10" customFormat="false" ht="15" hidden="false" customHeight="false" outlineLevel="0" collapsed="false">
      <c r="A10" s="16" t="s">
        <v>565</v>
      </c>
      <c r="C10" s="74" t="n">
        <f aca="false">SUM(I15:I114)</f>
        <v>1877.63612307692</v>
      </c>
    </row>
    <row r="11" customFormat="false" ht="15" hidden="false" customHeight="false" outlineLevel="0" collapsed="false">
      <c r="A11" s="16" t="s">
        <v>566</v>
      </c>
      <c r="C11" s="75" t="n">
        <f aca="false">IF(C8=0,0,C10/C8)</f>
        <v>0.449195244755245</v>
      </c>
    </row>
    <row r="14" customFormat="false" ht="31.5" hidden="false" customHeight="true" outlineLevel="0" collapsed="false">
      <c r="A14" s="34" t="s">
        <v>567</v>
      </c>
      <c r="B14" s="34" t="s">
        <v>568</v>
      </c>
      <c r="C14" s="34" t="s">
        <v>569</v>
      </c>
      <c r="D14" s="34" t="s">
        <v>570</v>
      </c>
      <c r="E14" s="34" t="s">
        <v>571</v>
      </c>
      <c r="F14" s="34" t="s">
        <v>572</v>
      </c>
      <c r="G14" s="34" t="s">
        <v>573</v>
      </c>
      <c r="H14" s="34" t="s">
        <v>564</v>
      </c>
      <c r="I14" s="34" t="s">
        <v>574</v>
      </c>
      <c r="J14" s="34" t="s">
        <v>575</v>
      </c>
    </row>
    <row r="15" customFormat="false" ht="15" hidden="false" customHeight="false" outlineLevel="0" collapsed="false">
      <c r="A15" s="76" t="s">
        <v>576</v>
      </c>
      <c r="B15" s="63" t="s">
        <v>34</v>
      </c>
      <c r="C15" s="9" t="s">
        <v>577</v>
      </c>
      <c r="D15" s="64" t="n">
        <v>12</v>
      </c>
      <c r="E15" s="77" t="n">
        <f aca="false">IF($B15="","",IF($C15="Mayoreo",INDEX('3. COSTEO'!$R$8:$R$57,MATCH($B15,'3. COSTEO'!$B$8:$B$57,0)),INDEX('3. COSTEO'!$O$8:$O$57,MATCH($B15,'3. COSTEO'!$B$8:$B$57,0))))</f>
        <v>115</v>
      </c>
      <c r="F15" s="65" t="n">
        <f aca="false">IF($B15="","",D15*E15)</f>
        <v>1380</v>
      </c>
      <c r="G15" s="65" t="n">
        <f aca="false">IF($B15="","",INDEX('3. COSTEO'!$M$8:$M$57,MATCH($B15,'3. COSTEO'!$B$8:$B$57,0)))</f>
        <v>44.5654</v>
      </c>
      <c r="H15" s="65" t="n">
        <f aca="false">IF($B15="","",D15*G15)</f>
        <v>534.7848</v>
      </c>
      <c r="I15" s="65" t="n">
        <f aca="false">IF($B15="","",F15-H15)</f>
        <v>845.2152</v>
      </c>
      <c r="J15" s="61" t="n">
        <f aca="false">IF(OR($B15="",F15=0),"",I15/F15)</f>
        <v>0.612474782608696</v>
      </c>
    </row>
    <row r="16" customFormat="false" ht="15" hidden="false" customHeight="false" outlineLevel="0" collapsed="false">
      <c r="A16" s="76" t="s">
        <v>578</v>
      </c>
      <c r="B16" s="63" t="s">
        <v>311</v>
      </c>
      <c r="C16" s="9" t="s">
        <v>579</v>
      </c>
      <c r="D16" s="64" t="n">
        <v>40</v>
      </c>
      <c r="E16" s="77" t="n">
        <f aca="false">IF($B16="","",IF($C16="Mayoreo",INDEX('3. COSTEO'!$R$8:$R$57,MATCH($B16,'3. COSTEO'!$B$8:$B$57,0)),INDEX('3. COSTEO'!$O$8:$O$57,MATCH($B16,'3. COSTEO'!$B$8:$B$57,0))))</f>
        <v>70</v>
      </c>
      <c r="F16" s="65" t="n">
        <f aca="false">IF($B16="","",D16*E16)</f>
        <v>2800</v>
      </c>
      <c r="G16" s="65" t="n">
        <f aca="false">IF($B16="","",INDEX('3. COSTEO'!$M$8:$M$57,MATCH($B16,'3. COSTEO'!$B$8:$B$57,0)))</f>
        <v>44.1894769230769</v>
      </c>
      <c r="H16" s="65" t="n">
        <f aca="false">IF($B16="","",D16*G16)</f>
        <v>1767.57907692308</v>
      </c>
      <c r="I16" s="65" t="n">
        <f aca="false">IF($B16="","",F16-H16)</f>
        <v>1032.42092307692</v>
      </c>
      <c r="J16" s="61" t="n">
        <f aca="false">IF(OR($B16="",F16=0),"",I16/F16)</f>
        <v>0.368721758241758</v>
      </c>
    </row>
    <row r="17" customFormat="false" ht="15" hidden="false" customHeight="false" outlineLevel="0" collapsed="false">
      <c r="A17" s="76"/>
      <c r="B17" s="63"/>
      <c r="C17" s="9"/>
      <c r="D17" s="64"/>
      <c r="E17" s="77" t="str">
        <f aca="false">IF($B17="","",IF($C17="Mayoreo",INDEX('3. COSTEO'!$R$8:$R$57,MATCH($B17,'3. COSTEO'!$B$8:$B$57,0)),INDEX('3. COSTEO'!$O$8:$O$57,MATCH($B17,'3. COSTEO'!$B$8:$B$57,0))))</f>
        <v/>
      </c>
      <c r="F17" s="65" t="str">
        <f aca="false">IF($B17="","",D17*E17)</f>
        <v/>
      </c>
      <c r="G17" s="65" t="str">
        <f aca="false">IF($B17="","",INDEX('3. COSTEO'!$M$8:$M$57,MATCH($B17,'3. COSTEO'!$B$8:$B$57,0)))</f>
        <v/>
      </c>
      <c r="H17" s="65" t="str">
        <f aca="false">IF($B17="","",D17*G17)</f>
        <v/>
      </c>
      <c r="I17" s="65" t="str">
        <f aca="false">IF($B17="","",F17-H17)</f>
        <v/>
      </c>
      <c r="J17" s="61" t="str">
        <f aca="false">IF(OR($B17="",F17=0),"",I17/F17)</f>
        <v/>
      </c>
    </row>
    <row r="18" customFormat="false" ht="15" hidden="false" customHeight="false" outlineLevel="0" collapsed="false">
      <c r="A18" s="76"/>
      <c r="B18" s="63"/>
      <c r="C18" s="9"/>
      <c r="D18" s="64"/>
      <c r="E18" s="77" t="str">
        <f aca="false">IF($B18="","",IF($C18="Mayoreo",INDEX('3. COSTEO'!$R$8:$R$57,MATCH($B18,'3. COSTEO'!$B$8:$B$57,0)),INDEX('3. COSTEO'!$O$8:$O$57,MATCH($B18,'3. COSTEO'!$B$8:$B$57,0))))</f>
        <v/>
      </c>
      <c r="F18" s="65" t="str">
        <f aca="false">IF($B18="","",D18*E18)</f>
        <v/>
      </c>
      <c r="G18" s="65" t="str">
        <f aca="false">IF($B18="","",INDEX('3. COSTEO'!$M$8:$M$57,MATCH($B18,'3. COSTEO'!$B$8:$B$57,0)))</f>
        <v/>
      </c>
      <c r="H18" s="65" t="str">
        <f aca="false">IF($B18="","",D18*G18)</f>
        <v/>
      </c>
      <c r="I18" s="65" t="str">
        <f aca="false">IF($B18="","",F18-H18)</f>
        <v/>
      </c>
      <c r="J18" s="61" t="str">
        <f aca="false">IF(OR($B18="",F18=0),"",I18/F18)</f>
        <v/>
      </c>
    </row>
    <row r="19" customFormat="false" ht="15" hidden="false" customHeight="false" outlineLevel="0" collapsed="false">
      <c r="A19" s="76"/>
      <c r="B19" s="63"/>
      <c r="C19" s="9"/>
      <c r="D19" s="64"/>
      <c r="E19" s="77" t="str">
        <f aca="false">IF($B19="","",IF($C19="Mayoreo",INDEX('3. COSTEO'!$R$8:$R$57,MATCH($B19,'3. COSTEO'!$B$8:$B$57,0)),INDEX('3. COSTEO'!$O$8:$O$57,MATCH($B19,'3. COSTEO'!$B$8:$B$57,0))))</f>
        <v/>
      </c>
      <c r="F19" s="65" t="str">
        <f aca="false">IF($B19="","",D19*E19)</f>
        <v/>
      </c>
      <c r="G19" s="65" t="str">
        <f aca="false">IF($B19="","",INDEX('3. COSTEO'!$M$8:$M$57,MATCH($B19,'3. COSTEO'!$B$8:$B$57,0)))</f>
        <v/>
      </c>
      <c r="H19" s="65" t="str">
        <f aca="false">IF($B19="","",D19*G19)</f>
        <v/>
      </c>
      <c r="I19" s="65" t="str">
        <f aca="false">IF($B19="","",F19-H19)</f>
        <v/>
      </c>
      <c r="J19" s="61" t="str">
        <f aca="false">IF(OR($B19="",F19=0),"",I19/F19)</f>
        <v/>
      </c>
    </row>
    <row r="20" customFormat="false" ht="15" hidden="false" customHeight="false" outlineLevel="0" collapsed="false">
      <c r="A20" s="76"/>
      <c r="B20" s="63"/>
      <c r="C20" s="9"/>
      <c r="D20" s="64"/>
      <c r="E20" s="77" t="str">
        <f aca="false">IF($B20="","",IF($C20="Mayoreo",INDEX('3. COSTEO'!$R$8:$R$57,MATCH($B20,'3. COSTEO'!$B$8:$B$57,0)),INDEX('3. COSTEO'!$O$8:$O$57,MATCH($B20,'3. COSTEO'!$B$8:$B$57,0))))</f>
        <v/>
      </c>
      <c r="F20" s="65" t="str">
        <f aca="false">IF($B20="","",D20*E20)</f>
        <v/>
      </c>
      <c r="G20" s="65" t="str">
        <f aca="false">IF($B20="","",INDEX('3. COSTEO'!$M$8:$M$57,MATCH($B20,'3. COSTEO'!$B$8:$B$57,0)))</f>
        <v/>
      </c>
      <c r="H20" s="65" t="str">
        <f aca="false">IF($B20="","",D20*G20)</f>
        <v/>
      </c>
      <c r="I20" s="65" t="str">
        <f aca="false">IF($B20="","",F20-H20)</f>
        <v/>
      </c>
      <c r="J20" s="61" t="str">
        <f aca="false">IF(OR($B20="",F20=0),"",I20/F20)</f>
        <v/>
      </c>
    </row>
    <row r="21" customFormat="false" ht="15" hidden="false" customHeight="false" outlineLevel="0" collapsed="false">
      <c r="A21" s="76"/>
      <c r="B21" s="63"/>
      <c r="C21" s="9"/>
      <c r="D21" s="64"/>
      <c r="E21" s="77" t="str">
        <f aca="false">IF($B21="","",IF($C21="Mayoreo",INDEX('3. COSTEO'!$R$8:$R$57,MATCH($B21,'3. COSTEO'!$B$8:$B$57,0)),INDEX('3. COSTEO'!$O$8:$O$57,MATCH($B21,'3. COSTEO'!$B$8:$B$57,0))))</f>
        <v/>
      </c>
      <c r="F21" s="65" t="str">
        <f aca="false">IF($B21="","",D21*E21)</f>
        <v/>
      </c>
      <c r="G21" s="65" t="str">
        <f aca="false">IF($B21="","",INDEX('3. COSTEO'!$M$8:$M$57,MATCH($B21,'3. COSTEO'!$B$8:$B$57,0)))</f>
        <v/>
      </c>
      <c r="H21" s="65" t="str">
        <f aca="false">IF($B21="","",D21*G21)</f>
        <v/>
      </c>
      <c r="I21" s="65" t="str">
        <f aca="false">IF($B21="","",F21-H21)</f>
        <v/>
      </c>
      <c r="J21" s="61" t="str">
        <f aca="false">IF(OR($B21="",F21=0),"",I21/F21)</f>
        <v/>
      </c>
    </row>
    <row r="22" customFormat="false" ht="15" hidden="false" customHeight="false" outlineLevel="0" collapsed="false">
      <c r="A22" s="76"/>
      <c r="B22" s="63"/>
      <c r="C22" s="9"/>
      <c r="D22" s="64"/>
      <c r="E22" s="77" t="str">
        <f aca="false">IF($B22="","",IF($C22="Mayoreo",INDEX('3. COSTEO'!$R$8:$R$57,MATCH($B22,'3. COSTEO'!$B$8:$B$57,0)),INDEX('3. COSTEO'!$O$8:$O$57,MATCH($B22,'3. COSTEO'!$B$8:$B$57,0))))</f>
        <v/>
      </c>
      <c r="F22" s="65" t="str">
        <f aca="false">IF($B22="","",D22*E22)</f>
        <v/>
      </c>
      <c r="G22" s="65" t="str">
        <f aca="false">IF($B22="","",INDEX('3. COSTEO'!$M$8:$M$57,MATCH($B22,'3. COSTEO'!$B$8:$B$57,0)))</f>
        <v/>
      </c>
      <c r="H22" s="65" t="str">
        <f aca="false">IF($B22="","",D22*G22)</f>
        <v/>
      </c>
      <c r="I22" s="65" t="str">
        <f aca="false">IF($B22="","",F22-H22)</f>
        <v/>
      </c>
      <c r="J22" s="61" t="str">
        <f aca="false">IF(OR($B22="",F22=0),"",I22/F22)</f>
        <v/>
      </c>
    </row>
    <row r="23" customFormat="false" ht="15" hidden="false" customHeight="false" outlineLevel="0" collapsed="false">
      <c r="A23" s="76"/>
      <c r="B23" s="63"/>
      <c r="C23" s="9"/>
      <c r="D23" s="64"/>
      <c r="E23" s="77" t="str">
        <f aca="false">IF($B23="","",IF($C23="Mayoreo",INDEX('3. COSTEO'!$R$8:$R$57,MATCH($B23,'3. COSTEO'!$B$8:$B$57,0)),INDEX('3. COSTEO'!$O$8:$O$57,MATCH($B23,'3. COSTEO'!$B$8:$B$57,0))))</f>
        <v/>
      </c>
      <c r="F23" s="65" t="str">
        <f aca="false">IF($B23="","",D23*E23)</f>
        <v/>
      </c>
      <c r="G23" s="65" t="str">
        <f aca="false">IF($B23="","",INDEX('3. COSTEO'!$M$8:$M$57,MATCH($B23,'3. COSTEO'!$B$8:$B$57,0)))</f>
        <v/>
      </c>
      <c r="H23" s="65" t="str">
        <f aca="false">IF($B23="","",D23*G23)</f>
        <v/>
      </c>
      <c r="I23" s="65" t="str">
        <f aca="false">IF($B23="","",F23-H23)</f>
        <v/>
      </c>
      <c r="J23" s="61" t="str">
        <f aca="false">IF(OR($B23="",F23=0),"",I23/F23)</f>
        <v/>
      </c>
    </row>
    <row r="24" customFormat="false" ht="15" hidden="false" customHeight="false" outlineLevel="0" collapsed="false">
      <c r="A24" s="76"/>
      <c r="B24" s="63"/>
      <c r="C24" s="9"/>
      <c r="D24" s="64"/>
      <c r="E24" s="77" t="str">
        <f aca="false">IF($B24="","",IF($C24="Mayoreo",INDEX('3. COSTEO'!$R$8:$R$57,MATCH($B24,'3. COSTEO'!$B$8:$B$57,0)),INDEX('3. COSTEO'!$O$8:$O$57,MATCH($B24,'3. COSTEO'!$B$8:$B$57,0))))</f>
        <v/>
      </c>
      <c r="F24" s="65" t="str">
        <f aca="false">IF($B24="","",D24*E24)</f>
        <v/>
      </c>
      <c r="G24" s="65" t="str">
        <f aca="false">IF($B24="","",INDEX('3. COSTEO'!$M$8:$M$57,MATCH($B24,'3. COSTEO'!$B$8:$B$57,0)))</f>
        <v/>
      </c>
      <c r="H24" s="65" t="str">
        <f aca="false">IF($B24="","",D24*G24)</f>
        <v/>
      </c>
      <c r="I24" s="65" t="str">
        <f aca="false">IF($B24="","",F24-H24)</f>
        <v/>
      </c>
      <c r="J24" s="61" t="str">
        <f aca="false">IF(OR($B24="",F24=0),"",I24/F24)</f>
        <v/>
      </c>
    </row>
    <row r="25" customFormat="false" ht="15" hidden="false" customHeight="false" outlineLevel="0" collapsed="false">
      <c r="A25" s="76"/>
      <c r="B25" s="63"/>
      <c r="C25" s="9"/>
      <c r="D25" s="64"/>
      <c r="E25" s="77" t="str">
        <f aca="false">IF($B25="","",IF($C25="Mayoreo",INDEX('3. COSTEO'!$R$8:$R$57,MATCH($B25,'3. COSTEO'!$B$8:$B$57,0)),INDEX('3. COSTEO'!$O$8:$O$57,MATCH($B25,'3. COSTEO'!$B$8:$B$57,0))))</f>
        <v/>
      </c>
      <c r="F25" s="65" t="str">
        <f aca="false">IF($B25="","",D25*E25)</f>
        <v/>
      </c>
      <c r="G25" s="65" t="str">
        <f aca="false">IF($B25="","",INDEX('3. COSTEO'!$M$8:$M$57,MATCH($B25,'3. COSTEO'!$B$8:$B$57,0)))</f>
        <v/>
      </c>
      <c r="H25" s="65" t="str">
        <f aca="false">IF($B25="","",D25*G25)</f>
        <v/>
      </c>
      <c r="I25" s="65" t="str">
        <f aca="false">IF($B25="","",F25-H25)</f>
        <v/>
      </c>
      <c r="J25" s="61" t="str">
        <f aca="false">IF(OR($B25="",F25=0),"",I25/F25)</f>
        <v/>
      </c>
    </row>
    <row r="26" customFormat="false" ht="15" hidden="false" customHeight="false" outlineLevel="0" collapsed="false">
      <c r="A26" s="76"/>
      <c r="B26" s="63"/>
      <c r="C26" s="9"/>
      <c r="D26" s="64"/>
      <c r="E26" s="77" t="str">
        <f aca="false">IF($B26="","",IF($C26="Mayoreo",INDEX('3. COSTEO'!$R$8:$R$57,MATCH($B26,'3. COSTEO'!$B$8:$B$57,0)),INDEX('3. COSTEO'!$O$8:$O$57,MATCH($B26,'3. COSTEO'!$B$8:$B$57,0))))</f>
        <v/>
      </c>
      <c r="F26" s="65" t="str">
        <f aca="false">IF($B26="","",D26*E26)</f>
        <v/>
      </c>
      <c r="G26" s="65" t="str">
        <f aca="false">IF($B26="","",INDEX('3. COSTEO'!$M$8:$M$57,MATCH($B26,'3. COSTEO'!$B$8:$B$57,0)))</f>
        <v/>
      </c>
      <c r="H26" s="65" t="str">
        <f aca="false">IF($B26="","",D26*G26)</f>
        <v/>
      </c>
      <c r="I26" s="65" t="str">
        <f aca="false">IF($B26="","",F26-H26)</f>
        <v/>
      </c>
      <c r="J26" s="61" t="str">
        <f aca="false">IF(OR($B26="",F26=0),"",I26/F26)</f>
        <v/>
      </c>
    </row>
    <row r="27" customFormat="false" ht="15" hidden="false" customHeight="false" outlineLevel="0" collapsed="false">
      <c r="A27" s="76"/>
      <c r="B27" s="63"/>
      <c r="C27" s="9"/>
      <c r="D27" s="64"/>
      <c r="E27" s="77" t="str">
        <f aca="false">IF($B27="","",IF($C27="Mayoreo",INDEX('3. COSTEO'!$R$8:$R$57,MATCH($B27,'3. COSTEO'!$B$8:$B$57,0)),INDEX('3. COSTEO'!$O$8:$O$57,MATCH($B27,'3. COSTEO'!$B$8:$B$57,0))))</f>
        <v/>
      </c>
      <c r="F27" s="65" t="str">
        <f aca="false">IF($B27="","",D27*E27)</f>
        <v/>
      </c>
      <c r="G27" s="65" t="str">
        <f aca="false">IF($B27="","",INDEX('3. COSTEO'!$M$8:$M$57,MATCH($B27,'3. COSTEO'!$B$8:$B$57,0)))</f>
        <v/>
      </c>
      <c r="H27" s="65" t="str">
        <f aca="false">IF($B27="","",D27*G27)</f>
        <v/>
      </c>
      <c r="I27" s="65" t="str">
        <f aca="false">IF($B27="","",F27-H27)</f>
        <v/>
      </c>
      <c r="J27" s="61" t="str">
        <f aca="false">IF(OR($B27="",F27=0),"",I27/F27)</f>
        <v/>
      </c>
    </row>
    <row r="28" customFormat="false" ht="15" hidden="false" customHeight="false" outlineLevel="0" collapsed="false">
      <c r="A28" s="76"/>
      <c r="B28" s="63"/>
      <c r="C28" s="9"/>
      <c r="D28" s="64"/>
      <c r="E28" s="77" t="str">
        <f aca="false">IF($B28="","",IF($C28="Mayoreo",INDEX('3. COSTEO'!$R$8:$R$57,MATCH($B28,'3. COSTEO'!$B$8:$B$57,0)),INDEX('3. COSTEO'!$O$8:$O$57,MATCH($B28,'3. COSTEO'!$B$8:$B$57,0))))</f>
        <v/>
      </c>
      <c r="F28" s="65" t="str">
        <f aca="false">IF($B28="","",D28*E28)</f>
        <v/>
      </c>
      <c r="G28" s="65" t="str">
        <f aca="false">IF($B28="","",INDEX('3. COSTEO'!$M$8:$M$57,MATCH($B28,'3. COSTEO'!$B$8:$B$57,0)))</f>
        <v/>
      </c>
      <c r="H28" s="65" t="str">
        <f aca="false">IF($B28="","",D28*G28)</f>
        <v/>
      </c>
      <c r="I28" s="65" t="str">
        <f aca="false">IF($B28="","",F28-H28)</f>
        <v/>
      </c>
      <c r="J28" s="61" t="str">
        <f aca="false">IF(OR($B28="",F28=0),"",I28/F28)</f>
        <v/>
      </c>
    </row>
    <row r="29" customFormat="false" ht="15" hidden="false" customHeight="false" outlineLevel="0" collapsed="false">
      <c r="A29" s="76"/>
      <c r="B29" s="63"/>
      <c r="C29" s="9"/>
      <c r="D29" s="64"/>
      <c r="E29" s="77" t="str">
        <f aca="false">IF($B29="","",IF($C29="Mayoreo",INDEX('3. COSTEO'!$R$8:$R$57,MATCH($B29,'3. COSTEO'!$B$8:$B$57,0)),INDEX('3. COSTEO'!$O$8:$O$57,MATCH($B29,'3. COSTEO'!$B$8:$B$57,0))))</f>
        <v/>
      </c>
      <c r="F29" s="65" t="str">
        <f aca="false">IF($B29="","",D29*E29)</f>
        <v/>
      </c>
      <c r="G29" s="65" t="str">
        <f aca="false">IF($B29="","",INDEX('3. COSTEO'!$M$8:$M$57,MATCH($B29,'3. COSTEO'!$B$8:$B$57,0)))</f>
        <v/>
      </c>
      <c r="H29" s="65" t="str">
        <f aca="false">IF($B29="","",D29*G29)</f>
        <v/>
      </c>
      <c r="I29" s="65" t="str">
        <f aca="false">IF($B29="","",F29-H29)</f>
        <v/>
      </c>
      <c r="J29" s="61" t="str">
        <f aca="false">IF(OR($B29="",F29=0),"",I29/F29)</f>
        <v/>
      </c>
    </row>
    <row r="30" customFormat="false" ht="15" hidden="false" customHeight="false" outlineLevel="0" collapsed="false">
      <c r="A30" s="76"/>
      <c r="B30" s="63"/>
      <c r="C30" s="9"/>
      <c r="D30" s="64"/>
      <c r="E30" s="77" t="str">
        <f aca="false">IF($B30="","",IF($C30="Mayoreo",INDEX('3. COSTEO'!$R$8:$R$57,MATCH($B30,'3. COSTEO'!$B$8:$B$57,0)),INDEX('3. COSTEO'!$O$8:$O$57,MATCH($B30,'3. COSTEO'!$B$8:$B$57,0))))</f>
        <v/>
      </c>
      <c r="F30" s="65" t="str">
        <f aca="false">IF($B30="","",D30*E30)</f>
        <v/>
      </c>
      <c r="G30" s="65" t="str">
        <f aca="false">IF($B30="","",INDEX('3. COSTEO'!$M$8:$M$57,MATCH($B30,'3. COSTEO'!$B$8:$B$57,0)))</f>
        <v/>
      </c>
      <c r="H30" s="65" t="str">
        <f aca="false">IF($B30="","",D30*G30)</f>
        <v/>
      </c>
      <c r="I30" s="65" t="str">
        <f aca="false">IF($B30="","",F30-H30)</f>
        <v/>
      </c>
      <c r="J30" s="61" t="str">
        <f aca="false">IF(OR($B30="",F30=0),"",I30/F30)</f>
        <v/>
      </c>
    </row>
    <row r="31" customFormat="false" ht="15" hidden="false" customHeight="false" outlineLevel="0" collapsed="false">
      <c r="A31" s="76"/>
      <c r="B31" s="63"/>
      <c r="C31" s="9"/>
      <c r="D31" s="64"/>
      <c r="E31" s="77" t="str">
        <f aca="false">IF($B31="","",IF($C31="Mayoreo",INDEX('3. COSTEO'!$R$8:$R$57,MATCH($B31,'3. COSTEO'!$B$8:$B$57,0)),INDEX('3. COSTEO'!$O$8:$O$57,MATCH($B31,'3. COSTEO'!$B$8:$B$57,0))))</f>
        <v/>
      </c>
      <c r="F31" s="65" t="str">
        <f aca="false">IF($B31="","",D31*E31)</f>
        <v/>
      </c>
      <c r="G31" s="65" t="str">
        <f aca="false">IF($B31="","",INDEX('3. COSTEO'!$M$8:$M$57,MATCH($B31,'3. COSTEO'!$B$8:$B$57,0)))</f>
        <v/>
      </c>
      <c r="H31" s="65" t="str">
        <f aca="false">IF($B31="","",D31*G31)</f>
        <v/>
      </c>
      <c r="I31" s="65" t="str">
        <f aca="false">IF($B31="","",F31-H31)</f>
        <v/>
      </c>
      <c r="J31" s="61" t="str">
        <f aca="false">IF(OR($B31="",F31=0),"",I31/F31)</f>
        <v/>
      </c>
    </row>
    <row r="32" customFormat="false" ht="15" hidden="false" customHeight="false" outlineLevel="0" collapsed="false">
      <c r="A32" s="76"/>
      <c r="B32" s="63"/>
      <c r="C32" s="9"/>
      <c r="D32" s="64"/>
      <c r="E32" s="77" t="str">
        <f aca="false">IF($B32="","",IF($C32="Mayoreo",INDEX('3. COSTEO'!$R$8:$R$57,MATCH($B32,'3. COSTEO'!$B$8:$B$57,0)),INDEX('3. COSTEO'!$O$8:$O$57,MATCH($B32,'3. COSTEO'!$B$8:$B$57,0))))</f>
        <v/>
      </c>
      <c r="F32" s="65" t="str">
        <f aca="false">IF($B32="","",D32*E32)</f>
        <v/>
      </c>
      <c r="G32" s="65" t="str">
        <f aca="false">IF($B32="","",INDEX('3. COSTEO'!$M$8:$M$57,MATCH($B32,'3. COSTEO'!$B$8:$B$57,0)))</f>
        <v/>
      </c>
      <c r="H32" s="65" t="str">
        <f aca="false">IF($B32="","",D32*G32)</f>
        <v/>
      </c>
      <c r="I32" s="65" t="str">
        <f aca="false">IF($B32="","",F32-H32)</f>
        <v/>
      </c>
      <c r="J32" s="61" t="str">
        <f aca="false">IF(OR($B32="",F32=0),"",I32/F32)</f>
        <v/>
      </c>
    </row>
    <row r="33" customFormat="false" ht="15" hidden="false" customHeight="false" outlineLevel="0" collapsed="false">
      <c r="A33" s="76"/>
      <c r="B33" s="63"/>
      <c r="C33" s="9"/>
      <c r="D33" s="64"/>
      <c r="E33" s="77" t="str">
        <f aca="false">IF($B33="","",IF($C33="Mayoreo",INDEX('3. COSTEO'!$R$8:$R$57,MATCH($B33,'3. COSTEO'!$B$8:$B$57,0)),INDEX('3. COSTEO'!$O$8:$O$57,MATCH($B33,'3. COSTEO'!$B$8:$B$57,0))))</f>
        <v/>
      </c>
      <c r="F33" s="65" t="str">
        <f aca="false">IF($B33="","",D33*E33)</f>
        <v/>
      </c>
      <c r="G33" s="65" t="str">
        <f aca="false">IF($B33="","",INDEX('3. COSTEO'!$M$8:$M$57,MATCH($B33,'3. COSTEO'!$B$8:$B$57,0)))</f>
        <v/>
      </c>
      <c r="H33" s="65" t="str">
        <f aca="false">IF($B33="","",D33*G33)</f>
        <v/>
      </c>
      <c r="I33" s="65" t="str">
        <f aca="false">IF($B33="","",F33-H33)</f>
        <v/>
      </c>
      <c r="J33" s="61" t="str">
        <f aca="false">IF(OR($B33="",F33=0),"",I33/F33)</f>
        <v/>
      </c>
    </row>
    <row r="34" customFormat="false" ht="15" hidden="false" customHeight="false" outlineLevel="0" collapsed="false">
      <c r="A34" s="76"/>
      <c r="B34" s="63"/>
      <c r="C34" s="9"/>
      <c r="D34" s="64"/>
      <c r="E34" s="77" t="str">
        <f aca="false">IF($B34="","",IF($C34="Mayoreo",INDEX('3. COSTEO'!$R$8:$R$57,MATCH($B34,'3. COSTEO'!$B$8:$B$57,0)),INDEX('3. COSTEO'!$O$8:$O$57,MATCH($B34,'3. COSTEO'!$B$8:$B$57,0))))</f>
        <v/>
      </c>
      <c r="F34" s="65" t="str">
        <f aca="false">IF($B34="","",D34*E34)</f>
        <v/>
      </c>
      <c r="G34" s="65" t="str">
        <f aca="false">IF($B34="","",INDEX('3. COSTEO'!$M$8:$M$57,MATCH($B34,'3. COSTEO'!$B$8:$B$57,0)))</f>
        <v/>
      </c>
      <c r="H34" s="65" t="str">
        <f aca="false">IF($B34="","",D34*G34)</f>
        <v/>
      </c>
      <c r="I34" s="65" t="str">
        <f aca="false">IF($B34="","",F34-H34)</f>
        <v/>
      </c>
      <c r="J34" s="61" t="str">
        <f aca="false">IF(OR($B34="",F34=0),"",I34/F34)</f>
        <v/>
      </c>
    </row>
    <row r="35" customFormat="false" ht="15" hidden="false" customHeight="false" outlineLevel="0" collapsed="false">
      <c r="A35" s="76"/>
      <c r="B35" s="63"/>
      <c r="C35" s="9"/>
      <c r="D35" s="64"/>
      <c r="E35" s="77" t="str">
        <f aca="false">IF($B35="","",IF($C35="Mayoreo",INDEX('3. COSTEO'!$R$8:$R$57,MATCH($B35,'3. COSTEO'!$B$8:$B$57,0)),INDEX('3. COSTEO'!$O$8:$O$57,MATCH($B35,'3. COSTEO'!$B$8:$B$57,0))))</f>
        <v/>
      </c>
      <c r="F35" s="65" t="str">
        <f aca="false">IF($B35="","",D35*E35)</f>
        <v/>
      </c>
      <c r="G35" s="65" t="str">
        <f aca="false">IF($B35="","",INDEX('3. COSTEO'!$M$8:$M$57,MATCH($B35,'3. COSTEO'!$B$8:$B$57,0)))</f>
        <v/>
      </c>
      <c r="H35" s="65" t="str">
        <f aca="false">IF($B35="","",D35*G35)</f>
        <v/>
      </c>
      <c r="I35" s="65" t="str">
        <f aca="false">IF($B35="","",F35-H35)</f>
        <v/>
      </c>
      <c r="J35" s="61" t="str">
        <f aca="false">IF(OR($B35="",F35=0),"",I35/F35)</f>
        <v/>
      </c>
    </row>
    <row r="36" customFormat="false" ht="15" hidden="false" customHeight="false" outlineLevel="0" collapsed="false">
      <c r="A36" s="76"/>
      <c r="B36" s="63"/>
      <c r="C36" s="9"/>
      <c r="D36" s="64"/>
      <c r="E36" s="77" t="str">
        <f aca="false">IF($B36="","",IF($C36="Mayoreo",INDEX('3. COSTEO'!$R$8:$R$57,MATCH($B36,'3. COSTEO'!$B$8:$B$57,0)),INDEX('3. COSTEO'!$O$8:$O$57,MATCH($B36,'3. COSTEO'!$B$8:$B$57,0))))</f>
        <v/>
      </c>
      <c r="F36" s="65" t="str">
        <f aca="false">IF($B36="","",D36*E36)</f>
        <v/>
      </c>
      <c r="G36" s="65" t="str">
        <f aca="false">IF($B36="","",INDEX('3. COSTEO'!$M$8:$M$57,MATCH($B36,'3. COSTEO'!$B$8:$B$57,0)))</f>
        <v/>
      </c>
      <c r="H36" s="65" t="str">
        <f aca="false">IF($B36="","",D36*G36)</f>
        <v/>
      </c>
      <c r="I36" s="65" t="str">
        <f aca="false">IF($B36="","",F36-H36)</f>
        <v/>
      </c>
      <c r="J36" s="61" t="str">
        <f aca="false">IF(OR($B36="",F36=0),"",I36/F36)</f>
        <v/>
      </c>
    </row>
    <row r="37" customFormat="false" ht="15" hidden="false" customHeight="false" outlineLevel="0" collapsed="false">
      <c r="A37" s="76"/>
      <c r="B37" s="63"/>
      <c r="C37" s="9"/>
      <c r="D37" s="64"/>
      <c r="E37" s="77" t="str">
        <f aca="false">IF($B37="","",IF($C37="Mayoreo",INDEX('3. COSTEO'!$R$8:$R$57,MATCH($B37,'3. COSTEO'!$B$8:$B$57,0)),INDEX('3. COSTEO'!$O$8:$O$57,MATCH($B37,'3. COSTEO'!$B$8:$B$57,0))))</f>
        <v/>
      </c>
      <c r="F37" s="65" t="str">
        <f aca="false">IF($B37="","",D37*E37)</f>
        <v/>
      </c>
      <c r="G37" s="65" t="str">
        <f aca="false">IF($B37="","",INDEX('3. COSTEO'!$M$8:$M$57,MATCH($B37,'3. COSTEO'!$B$8:$B$57,0)))</f>
        <v/>
      </c>
      <c r="H37" s="65" t="str">
        <f aca="false">IF($B37="","",D37*G37)</f>
        <v/>
      </c>
      <c r="I37" s="65" t="str">
        <f aca="false">IF($B37="","",F37-H37)</f>
        <v/>
      </c>
      <c r="J37" s="61" t="str">
        <f aca="false">IF(OR($B37="",F37=0),"",I37/F37)</f>
        <v/>
      </c>
    </row>
    <row r="38" customFormat="false" ht="15" hidden="false" customHeight="false" outlineLevel="0" collapsed="false">
      <c r="A38" s="76"/>
      <c r="B38" s="63"/>
      <c r="C38" s="9"/>
      <c r="D38" s="64"/>
      <c r="E38" s="77" t="str">
        <f aca="false">IF($B38="","",IF($C38="Mayoreo",INDEX('3. COSTEO'!$R$8:$R$57,MATCH($B38,'3. COSTEO'!$B$8:$B$57,0)),INDEX('3. COSTEO'!$O$8:$O$57,MATCH($B38,'3. COSTEO'!$B$8:$B$57,0))))</f>
        <v/>
      </c>
      <c r="F38" s="65" t="str">
        <f aca="false">IF($B38="","",D38*E38)</f>
        <v/>
      </c>
      <c r="G38" s="65" t="str">
        <f aca="false">IF($B38="","",INDEX('3. COSTEO'!$M$8:$M$57,MATCH($B38,'3. COSTEO'!$B$8:$B$57,0)))</f>
        <v/>
      </c>
      <c r="H38" s="65" t="str">
        <f aca="false">IF($B38="","",D38*G38)</f>
        <v/>
      </c>
      <c r="I38" s="65" t="str">
        <f aca="false">IF($B38="","",F38-H38)</f>
        <v/>
      </c>
      <c r="J38" s="61" t="str">
        <f aca="false">IF(OR($B38="",F38=0),"",I38/F38)</f>
        <v/>
      </c>
    </row>
    <row r="39" customFormat="false" ht="15" hidden="false" customHeight="false" outlineLevel="0" collapsed="false">
      <c r="A39" s="76"/>
      <c r="B39" s="63"/>
      <c r="C39" s="9"/>
      <c r="D39" s="64"/>
      <c r="E39" s="77" t="str">
        <f aca="false">IF($B39="","",IF($C39="Mayoreo",INDEX('3. COSTEO'!$R$8:$R$57,MATCH($B39,'3. COSTEO'!$B$8:$B$57,0)),INDEX('3. COSTEO'!$O$8:$O$57,MATCH($B39,'3. COSTEO'!$B$8:$B$57,0))))</f>
        <v/>
      </c>
      <c r="F39" s="65" t="str">
        <f aca="false">IF($B39="","",D39*E39)</f>
        <v/>
      </c>
      <c r="G39" s="65" t="str">
        <f aca="false">IF($B39="","",INDEX('3. COSTEO'!$M$8:$M$57,MATCH($B39,'3. COSTEO'!$B$8:$B$57,0)))</f>
        <v/>
      </c>
      <c r="H39" s="65" t="str">
        <f aca="false">IF($B39="","",D39*G39)</f>
        <v/>
      </c>
      <c r="I39" s="65" t="str">
        <f aca="false">IF($B39="","",F39-H39)</f>
        <v/>
      </c>
      <c r="J39" s="61" t="str">
        <f aca="false">IF(OR($B39="",F39=0),"",I39/F39)</f>
        <v/>
      </c>
    </row>
    <row r="40" customFormat="false" ht="15" hidden="false" customHeight="false" outlineLevel="0" collapsed="false">
      <c r="A40" s="76"/>
      <c r="B40" s="63"/>
      <c r="C40" s="9"/>
      <c r="D40" s="64"/>
      <c r="E40" s="77" t="str">
        <f aca="false">IF($B40="","",IF($C40="Mayoreo",INDEX('3. COSTEO'!$R$8:$R$57,MATCH($B40,'3. COSTEO'!$B$8:$B$57,0)),INDEX('3. COSTEO'!$O$8:$O$57,MATCH($B40,'3. COSTEO'!$B$8:$B$57,0))))</f>
        <v/>
      </c>
      <c r="F40" s="65" t="str">
        <f aca="false">IF($B40="","",D40*E40)</f>
        <v/>
      </c>
      <c r="G40" s="65" t="str">
        <f aca="false">IF($B40="","",INDEX('3. COSTEO'!$M$8:$M$57,MATCH($B40,'3. COSTEO'!$B$8:$B$57,0)))</f>
        <v/>
      </c>
      <c r="H40" s="65" t="str">
        <f aca="false">IF($B40="","",D40*G40)</f>
        <v/>
      </c>
      <c r="I40" s="65" t="str">
        <f aca="false">IF($B40="","",F40-H40)</f>
        <v/>
      </c>
      <c r="J40" s="61" t="str">
        <f aca="false">IF(OR($B40="",F40=0),"",I40/F40)</f>
        <v/>
      </c>
    </row>
    <row r="41" customFormat="false" ht="15" hidden="false" customHeight="false" outlineLevel="0" collapsed="false">
      <c r="A41" s="76"/>
      <c r="B41" s="63"/>
      <c r="C41" s="9"/>
      <c r="D41" s="64"/>
      <c r="E41" s="77" t="str">
        <f aca="false">IF($B41="","",IF($C41="Mayoreo",INDEX('3. COSTEO'!$R$8:$R$57,MATCH($B41,'3. COSTEO'!$B$8:$B$57,0)),INDEX('3. COSTEO'!$O$8:$O$57,MATCH($B41,'3. COSTEO'!$B$8:$B$57,0))))</f>
        <v/>
      </c>
      <c r="F41" s="65" t="str">
        <f aca="false">IF($B41="","",D41*E41)</f>
        <v/>
      </c>
      <c r="G41" s="65" t="str">
        <f aca="false">IF($B41="","",INDEX('3. COSTEO'!$M$8:$M$57,MATCH($B41,'3. COSTEO'!$B$8:$B$57,0)))</f>
        <v/>
      </c>
      <c r="H41" s="65" t="str">
        <f aca="false">IF($B41="","",D41*G41)</f>
        <v/>
      </c>
      <c r="I41" s="65" t="str">
        <f aca="false">IF($B41="","",F41-H41)</f>
        <v/>
      </c>
      <c r="J41" s="61" t="str">
        <f aca="false">IF(OR($B41="",F41=0),"",I41/F41)</f>
        <v/>
      </c>
    </row>
    <row r="42" customFormat="false" ht="15" hidden="false" customHeight="false" outlineLevel="0" collapsed="false">
      <c r="A42" s="76"/>
      <c r="B42" s="63"/>
      <c r="C42" s="9"/>
      <c r="D42" s="64"/>
      <c r="E42" s="77" t="str">
        <f aca="false">IF($B42="","",IF($C42="Mayoreo",INDEX('3. COSTEO'!$R$8:$R$57,MATCH($B42,'3. COSTEO'!$B$8:$B$57,0)),INDEX('3. COSTEO'!$O$8:$O$57,MATCH($B42,'3. COSTEO'!$B$8:$B$57,0))))</f>
        <v/>
      </c>
      <c r="F42" s="65" t="str">
        <f aca="false">IF($B42="","",D42*E42)</f>
        <v/>
      </c>
      <c r="G42" s="65" t="str">
        <f aca="false">IF($B42="","",INDEX('3. COSTEO'!$M$8:$M$57,MATCH($B42,'3. COSTEO'!$B$8:$B$57,0)))</f>
        <v/>
      </c>
      <c r="H42" s="65" t="str">
        <f aca="false">IF($B42="","",D42*G42)</f>
        <v/>
      </c>
      <c r="I42" s="65" t="str">
        <f aca="false">IF($B42="","",F42-H42)</f>
        <v/>
      </c>
      <c r="J42" s="61" t="str">
        <f aca="false">IF(OR($B42="",F42=0),"",I42/F42)</f>
        <v/>
      </c>
    </row>
    <row r="43" customFormat="false" ht="15" hidden="false" customHeight="false" outlineLevel="0" collapsed="false">
      <c r="A43" s="76"/>
      <c r="B43" s="63"/>
      <c r="C43" s="9"/>
      <c r="D43" s="64"/>
      <c r="E43" s="77" t="str">
        <f aca="false">IF($B43="","",IF($C43="Mayoreo",INDEX('3. COSTEO'!$R$8:$R$57,MATCH($B43,'3. COSTEO'!$B$8:$B$57,0)),INDEX('3. COSTEO'!$O$8:$O$57,MATCH($B43,'3. COSTEO'!$B$8:$B$57,0))))</f>
        <v/>
      </c>
      <c r="F43" s="65" t="str">
        <f aca="false">IF($B43="","",D43*E43)</f>
        <v/>
      </c>
      <c r="G43" s="65" t="str">
        <f aca="false">IF($B43="","",INDEX('3. COSTEO'!$M$8:$M$57,MATCH($B43,'3. COSTEO'!$B$8:$B$57,0)))</f>
        <v/>
      </c>
      <c r="H43" s="65" t="str">
        <f aca="false">IF($B43="","",D43*G43)</f>
        <v/>
      </c>
      <c r="I43" s="65" t="str">
        <f aca="false">IF($B43="","",F43-H43)</f>
        <v/>
      </c>
      <c r="J43" s="61" t="str">
        <f aca="false">IF(OR($B43="",F43=0),"",I43/F43)</f>
        <v/>
      </c>
    </row>
    <row r="44" customFormat="false" ht="15" hidden="false" customHeight="false" outlineLevel="0" collapsed="false">
      <c r="A44" s="76"/>
      <c r="B44" s="63"/>
      <c r="C44" s="9"/>
      <c r="D44" s="64"/>
      <c r="E44" s="77" t="str">
        <f aca="false">IF($B44="","",IF($C44="Mayoreo",INDEX('3. COSTEO'!$R$8:$R$57,MATCH($B44,'3. COSTEO'!$B$8:$B$57,0)),INDEX('3. COSTEO'!$O$8:$O$57,MATCH($B44,'3. COSTEO'!$B$8:$B$57,0))))</f>
        <v/>
      </c>
      <c r="F44" s="65" t="str">
        <f aca="false">IF($B44="","",D44*E44)</f>
        <v/>
      </c>
      <c r="G44" s="65" t="str">
        <f aca="false">IF($B44="","",INDEX('3. COSTEO'!$M$8:$M$57,MATCH($B44,'3. COSTEO'!$B$8:$B$57,0)))</f>
        <v/>
      </c>
      <c r="H44" s="65" t="str">
        <f aca="false">IF($B44="","",D44*G44)</f>
        <v/>
      </c>
      <c r="I44" s="65" t="str">
        <f aca="false">IF($B44="","",F44-H44)</f>
        <v/>
      </c>
      <c r="J44" s="61" t="str">
        <f aca="false">IF(OR($B44="",F44=0),"",I44/F44)</f>
        <v/>
      </c>
    </row>
    <row r="45" customFormat="false" ht="15" hidden="false" customHeight="false" outlineLevel="0" collapsed="false">
      <c r="A45" s="76"/>
      <c r="B45" s="63"/>
      <c r="C45" s="9"/>
      <c r="D45" s="64"/>
      <c r="E45" s="77" t="str">
        <f aca="false">IF($B45="","",IF($C45="Mayoreo",INDEX('3. COSTEO'!$R$8:$R$57,MATCH($B45,'3. COSTEO'!$B$8:$B$57,0)),INDEX('3. COSTEO'!$O$8:$O$57,MATCH($B45,'3. COSTEO'!$B$8:$B$57,0))))</f>
        <v/>
      </c>
      <c r="F45" s="65" t="str">
        <f aca="false">IF($B45="","",D45*E45)</f>
        <v/>
      </c>
      <c r="G45" s="65" t="str">
        <f aca="false">IF($B45="","",INDEX('3. COSTEO'!$M$8:$M$57,MATCH($B45,'3. COSTEO'!$B$8:$B$57,0)))</f>
        <v/>
      </c>
      <c r="H45" s="65" t="str">
        <f aca="false">IF($B45="","",D45*G45)</f>
        <v/>
      </c>
      <c r="I45" s="65" t="str">
        <f aca="false">IF($B45="","",F45-H45)</f>
        <v/>
      </c>
      <c r="J45" s="61" t="str">
        <f aca="false">IF(OR($B45="",F45=0),"",I45/F45)</f>
        <v/>
      </c>
    </row>
    <row r="46" customFormat="false" ht="15" hidden="false" customHeight="false" outlineLevel="0" collapsed="false">
      <c r="A46" s="76"/>
      <c r="B46" s="63"/>
      <c r="C46" s="9"/>
      <c r="D46" s="64"/>
      <c r="E46" s="77" t="str">
        <f aca="false">IF($B46="","",IF($C46="Mayoreo",INDEX('3. COSTEO'!$R$8:$R$57,MATCH($B46,'3. COSTEO'!$B$8:$B$57,0)),INDEX('3. COSTEO'!$O$8:$O$57,MATCH($B46,'3. COSTEO'!$B$8:$B$57,0))))</f>
        <v/>
      </c>
      <c r="F46" s="65" t="str">
        <f aca="false">IF($B46="","",D46*E46)</f>
        <v/>
      </c>
      <c r="G46" s="65" t="str">
        <f aca="false">IF($B46="","",INDEX('3. COSTEO'!$M$8:$M$57,MATCH($B46,'3. COSTEO'!$B$8:$B$57,0)))</f>
        <v/>
      </c>
      <c r="H46" s="65" t="str">
        <f aca="false">IF($B46="","",D46*G46)</f>
        <v/>
      </c>
      <c r="I46" s="65" t="str">
        <f aca="false">IF($B46="","",F46-H46)</f>
        <v/>
      </c>
      <c r="J46" s="61" t="str">
        <f aca="false">IF(OR($B46="",F46=0),"",I46/F46)</f>
        <v/>
      </c>
    </row>
    <row r="47" customFormat="false" ht="15" hidden="false" customHeight="false" outlineLevel="0" collapsed="false">
      <c r="A47" s="76"/>
      <c r="B47" s="63"/>
      <c r="C47" s="9"/>
      <c r="D47" s="64"/>
      <c r="E47" s="77" t="str">
        <f aca="false">IF($B47="","",IF($C47="Mayoreo",INDEX('3. COSTEO'!$R$8:$R$57,MATCH($B47,'3. COSTEO'!$B$8:$B$57,0)),INDEX('3. COSTEO'!$O$8:$O$57,MATCH($B47,'3. COSTEO'!$B$8:$B$57,0))))</f>
        <v/>
      </c>
      <c r="F47" s="65" t="str">
        <f aca="false">IF($B47="","",D47*E47)</f>
        <v/>
      </c>
      <c r="G47" s="65" t="str">
        <f aca="false">IF($B47="","",INDEX('3. COSTEO'!$M$8:$M$57,MATCH($B47,'3. COSTEO'!$B$8:$B$57,0)))</f>
        <v/>
      </c>
      <c r="H47" s="65" t="str">
        <f aca="false">IF($B47="","",D47*G47)</f>
        <v/>
      </c>
      <c r="I47" s="65" t="str">
        <f aca="false">IF($B47="","",F47-H47)</f>
        <v/>
      </c>
      <c r="J47" s="61" t="str">
        <f aca="false">IF(OR($B47="",F47=0),"",I47/F47)</f>
        <v/>
      </c>
    </row>
    <row r="48" customFormat="false" ht="15" hidden="false" customHeight="false" outlineLevel="0" collapsed="false">
      <c r="A48" s="76"/>
      <c r="B48" s="63"/>
      <c r="C48" s="9"/>
      <c r="D48" s="64"/>
      <c r="E48" s="77" t="str">
        <f aca="false">IF($B48="","",IF($C48="Mayoreo",INDEX('3. COSTEO'!$R$8:$R$57,MATCH($B48,'3. COSTEO'!$B$8:$B$57,0)),INDEX('3. COSTEO'!$O$8:$O$57,MATCH($B48,'3. COSTEO'!$B$8:$B$57,0))))</f>
        <v/>
      </c>
      <c r="F48" s="65" t="str">
        <f aca="false">IF($B48="","",D48*E48)</f>
        <v/>
      </c>
      <c r="G48" s="65" t="str">
        <f aca="false">IF($B48="","",INDEX('3. COSTEO'!$M$8:$M$57,MATCH($B48,'3. COSTEO'!$B$8:$B$57,0)))</f>
        <v/>
      </c>
      <c r="H48" s="65" t="str">
        <f aca="false">IF($B48="","",D48*G48)</f>
        <v/>
      </c>
      <c r="I48" s="65" t="str">
        <f aca="false">IF($B48="","",F48-H48)</f>
        <v/>
      </c>
      <c r="J48" s="61" t="str">
        <f aca="false">IF(OR($B48="",F48=0),"",I48/F48)</f>
        <v/>
      </c>
    </row>
    <row r="49" customFormat="false" ht="15" hidden="false" customHeight="false" outlineLevel="0" collapsed="false">
      <c r="A49" s="76"/>
      <c r="B49" s="63"/>
      <c r="C49" s="9"/>
      <c r="D49" s="64"/>
      <c r="E49" s="77" t="str">
        <f aca="false">IF($B49="","",IF($C49="Mayoreo",INDEX('3. COSTEO'!$R$8:$R$57,MATCH($B49,'3. COSTEO'!$B$8:$B$57,0)),INDEX('3. COSTEO'!$O$8:$O$57,MATCH($B49,'3. COSTEO'!$B$8:$B$57,0))))</f>
        <v/>
      </c>
      <c r="F49" s="65" t="str">
        <f aca="false">IF($B49="","",D49*E49)</f>
        <v/>
      </c>
      <c r="G49" s="65" t="str">
        <f aca="false">IF($B49="","",INDEX('3. COSTEO'!$M$8:$M$57,MATCH($B49,'3. COSTEO'!$B$8:$B$57,0)))</f>
        <v/>
      </c>
      <c r="H49" s="65" t="str">
        <f aca="false">IF($B49="","",D49*G49)</f>
        <v/>
      </c>
      <c r="I49" s="65" t="str">
        <f aca="false">IF($B49="","",F49-H49)</f>
        <v/>
      </c>
      <c r="J49" s="61" t="str">
        <f aca="false">IF(OR($B49="",F49=0),"",I49/F49)</f>
        <v/>
      </c>
    </row>
    <row r="50" customFormat="false" ht="15" hidden="false" customHeight="false" outlineLevel="0" collapsed="false">
      <c r="A50" s="76"/>
      <c r="B50" s="63"/>
      <c r="C50" s="9"/>
      <c r="D50" s="64"/>
      <c r="E50" s="77" t="str">
        <f aca="false">IF($B50="","",IF($C50="Mayoreo",INDEX('3. COSTEO'!$R$8:$R$57,MATCH($B50,'3. COSTEO'!$B$8:$B$57,0)),INDEX('3. COSTEO'!$O$8:$O$57,MATCH($B50,'3. COSTEO'!$B$8:$B$57,0))))</f>
        <v/>
      </c>
      <c r="F50" s="65" t="str">
        <f aca="false">IF($B50="","",D50*E50)</f>
        <v/>
      </c>
      <c r="G50" s="65" t="str">
        <f aca="false">IF($B50="","",INDEX('3. COSTEO'!$M$8:$M$57,MATCH($B50,'3. COSTEO'!$B$8:$B$57,0)))</f>
        <v/>
      </c>
      <c r="H50" s="65" t="str">
        <f aca="false">IF($B50="","",D50*G50)</f>
        <v/>
      </c>
      <c r="I50" s="65" t="str">
        <f aca="false">IF($B50="","",F50-H50)</f>
        <v/>
      </c>
      <c r="J50" s="61" t="str">
        <f aca="false">IF(OR($B50="",F50=0),"",I50/F50)</f>
        <v/>
      </c>
    </row>
    <row r="51" customFormat="false" ht="15" hidden="false" customHeight="false" outlineLevel="0" collapsed="false">
      <c r="A51" s="76"/>
      <c r="B51" s="63"/>
      <c r="C51" s="9"/>
      <c r="D51" s="64"/>
      <c r="E51" s="77" t="str">
        <f aca="false">IF($B51="","",IF($C51="Mayoreo",INDEX('3. COSTEO'!$R$8:$R$57,MATCH($B51,'3. COSTEO'!$B$8:$B$57,0)),INDEX('3. COSTEO'!$O$8:$O$57,MATCH($B51,'3. COSTEO'!$B$8:$B$57,0))))</f>
        <v/>
      </c>
      <c r="F51" s="65" t="str">
        <f aca="false">IF($B51="","",D51*E51)</f>
        <v/>
      </c>
      <c r="G51" s="65" t="str">
        <f aca="false">IF($B51="","",INDEX('3. COSTEO'!$M$8:$M$57,MATCH($B51,'3. COSTEO'!$B$8:$B$57,0)))</f>
        <v/>
      </c>
      <c r="H51" s="65" t="str">
        <f aca="false">IF($B51="","",D51*G51)</f>
        <v/>
      </c>
      <c r="I51" s="65" t="str">
        <f aca="false">IF($B51="","",F51-H51)</f>
        <v/>
      </c>
      <c r="J51" s="61" t="str">
        <f aca="false">IF(OR($B51="",F51=0),"",I51/F51)</f>
        <v/>
      </c>
    </row>
    <row r="52" customFormat="false" ht="15" hidden="false" customHeight="false" outlineLevel="0" collapsed="false">
      <c r="A52" s="76"/>
      <c r="B52" s="63"/>
      <c r="C52" s="9"/>
      <c r="D52" s="64"/>
      <c r="E52" s="77" t="str">
        <f aca="false">IF($B52="","",IF($C52="Mayoreo",INDEX('3. COSTEO'!$R$8:$R$57,MATCH($B52,'3. COSTEO'!$B$8:$B$57,0)),INDEX('3. COSTEO'!$O$8:$O$57,MATCH($B52,'3. COSTEO'!$B$8:$B$57,0))))</f>
        <v/>
      </c>
      <c r="F52" s="65" t="str">
        <f aca="false">IF($B52="","",D52*E52)</f>
        <v/>
      </c>
      <c r="G52" s="65" t="str">
        <f aca="false">IF($B52="","",INDEX('3. COSTEO'!$M$8:$M$57,MATCH($B52,'3. COSTEO'!$B$8:$B$57,0)))</f>
        <v/>
      </c>
      <c r="H52" s="65" t="str">
        <f aca="false">IF($B52="","",D52*G52)</f>
        <v/>
      </c>
      <c r="I52" s="65" t="str">
        <f aca="false">IF($B52="","",F52-H52)</f>
        <v/>
      </c>
      <c r="J52" s="61" t="str">
        <f aca="false">IF(OR($B52="",F52=0),"",I52/F52)</f>
        <v/>
      </c>
    </row>
    <row r="53" customFormat="false" ht="15" hidden="false" customHeight="false" outlineLevel="0" collapsed="false">
      <c r="A53" s="76"/>
      <c r="B53" s="63"/>
      <c r="C53" s="9"/>
      <c r="D53" s="64"/>
      <c r="E53" s="77" t="str">
        <f aca="false">IF($B53="","",IF($C53="Mayoreo",INDEX('3. COSTEO'!$R$8:$R$57,MATCH($B53,'3. COSTEO'!$B$8:$B$57,0)),INDEX('3. COSTEO'!$O$8:$O$57,MATCH($B53,'3. COSTEO'!$B$8:$B$57,0))))</f>
        <v/>
      </c>
      <c r="F53" s="65" t="str">
        <f aca="false">IF($B53="","",D53*E53)</f>
        <v/>
      </c>
      <c r="G53" s="65" t="str">
        <f aca="false">IF($B53="","",INDEX('3. COSTEO'!$M$8:$M$57,MATCH($B53,'3. COSTEO'!$B$8:$B$57,0)))</f>
        <v/>
      </c>
      <c r="H53" s="65" t="str">
        <f aca="false">IF($B53="","",D53*G53)</f>
        <v/>
      </c>
      <c r="I53" s="65" t="str">
        <f aca="false">IF($B53="","",F53-H53)</f>
        <v/>
      </c>
      <c r="J53" s="61" t="str">
        <f aca="false">IF(OR($B53="",F53=0),"",I53/F53)</f>
        <v/>
      </c>
    </row>
    <row r="54" customFormat="false" ht="15" hidden="false" customHeight="false" outlineLevel="0" collapsed="false">
      <c r="A54" s="76"/>
      <c r="B54" s="63"/>
      <c r="C54" s="9"/>
      <c r="D54" s="64"/>
      <c r="E54" s="77" t="str">
        <f aca="false">IF($B54="","",IF($C54="Mayoreo",INDEX('3. COSTEO'!$R$8:$R$57,MATCH($B54,'3. COSTEO'!$B$8:$B$57,0)),INDEX('3. COSTEO'!$O$8:$O$57,MATCH($B54,'3. COSTEO'!$B$8:$B$57,0))))</f>
        <v/>
      </c>
      <c r="F54" s="65" t="str">
        <f aca="false">IF($B54="","",D54*E54)</f>
        <v/>
      </c>
      <c r="G54" s="65" t="str">
        <f aca="false">IF($B54="","",INDEX('3. COSTEO'!$M$8:$M$57,MATCH($B54,'3. COSTEO'!$B$8:$B$57,0)))</f>
        <v/>
      </c>
      <c r="H54" s="65" t="str">
        <f aca="false">IF($B54="","",D54*G54)</f>
        <v/>
      </c>
      <c r="I54" s="65" t="str">
        <f aca="false">IF($B54="","",F54-H54)</f>
        <v/>
      </c>
      <c r="J54" s="61" t="str">
        <f aca="false">IF(OR($B54="",F54=0),"",I54/F54)</f>
        <v/>
      </c>
    </row>
    <row r="55" customFormat="false" ht="15" hidden="false" customHeight="false" outlineLevel="0" collapsed="false">
      <c r="A55" s="76"/>
      <c r="B55" s="63"/>
      <c r="C55" s="9"/>
      <c r="D55" s="64"/>
      <c r="E55" s="77" t="str">
        <f aca="false">IF($B55="","",IF($C55="Mayoreo",INDEX('3. COSTEO'!$R$8:$R$57,MATCH($B55,'3. COSTEO'!$B$8:$B$57,0)),INDEX('3. COSTEO'!$O$8:$O$57,MATCH($B55,'3. COSTEO'!$B$8:$B$57,0))))</f>
        <v/>
      </c>
      <c r="F55" s="65" t="str">
        <f aca="false">IF($B55="","",D55*E55)</f>
        <v/>
      </c>
      <c r="G55" s="65" t="str">
        <f aca="false">IF($B55="","",INDEX('3. COSTEO'!$M$8:$M$57,MATCH($B55,'3. COSTEO'!$B$8:$B$57,0)))</f>
        <v/>
      </c>
      <c r="H55" s="65" t="str">
        <f aca="false">IF($B55="","",D55*G55)</f>
        <v/>
      </c>
      <c r="I55" s="65" t="str">
        <f aca="false">IF($B55="","",F55-H55)</f>
        <v/>
      </c>
      <c r="J55" s="61" t="str">
        <f aca="false">IF(OR($B55="",F55=0),"",I55/F55)</f>
        <v/>
      </c>
    </row>
    <row r="56" customFormat="false" ht="15" hidden="false" customHeight="false" outlineLevel="0" collapsed="false">
      <c r="A56" s="76"/>
      <c r="B56" s="63"/>
      <c r="C56" s="9"/>
      <c r="D56" s="64"/>
      <c r="E56" s="77" t="str">
        <f aca="false">IF($B56="","",IF($C56="Mayoreo",INDEX('3. COSTEO'!$R$8:$R$57,MATCH($B56,'3. COSTEO'!$B$8:$B$57,0)),INDEX('3. COSTEO'!$O$8:$O$57,MATCH($B56,'3. COSTEO'!$B$8:$B$57,0))))</f>
        <v/>
      </c>
      <c r="F56" s="65" t="str">
        <f aca="false">IF($B56="","",D56*E56)</f>
        <v/>
      </c>
      <c r="G56" s="65" t="str">
        <f aca="false">IF($B56="","",INDEX('3. COSTEO'!$M$8:$M$57,MATCH($B56,'3. COSTEO'!$B$8:$B$57,0)))</f>
        <v/>
      </c>
      <c r="H56" s="65" t="str">
        <f aca="false">IF($B56="","",D56*G56)</f>
        <v/>
      </c>
      <c r="I56" s="65" t="str">
        <f aca="false">IF($B56="","",F56-H56)</f>
        <v/>
      </c>
      <c r="J56" s="61" t="str">
        <f aca="false">IF(OR($B56="",F56=0),"",I56/F56)</f>
        <v/>
      </c>
    </row>
    <row r="57" customFormat="false" ht="15" hidden="false" customHeight="false" outlineLevel="0" collapsed="false">
      <c r="A57" s="76"/>
      <c r="B57" s="63"/>
      <c r="C57" s="9"/>
      <c r="D57" s="64"/>
      <c r="E57" s="77" t="str">
        <f aca="false">IF($B57="","",IF($C57="Mayoreo",INDEX('3. COSTEO'!$R$8:$R$57,MATCH($B57,'3. COSTEO'!$B$8:$B$57,0)),INDEX('3. COSTEO'!$O$8:$O$57,MATCH($B57,'3. COSTEO'!$B$8:$B$57,0))))</f>
        <v/>
      </c>
      <c r="F57" s="65" t="str">
        <f aca="false">IF($B57="","",D57*E57)</f>
        <v/>
      </c>
      <c r="G57" s="65" t="str">
        <f aca="false">IF($B57="","",INDEX('3. COSTEO'!$M$8:$M$57,MATCH($B57,'3. COSTEO'!$B$8:$B$57,0)))</f>
        <v/>
      </c>
      <c r="H57" s="65" t="str">
        <f aca="false">IF($B57="","",D57*G57)</f>
        <v/>
      </c>
      <c r="I57" s="65" t="str">
        <f aca="false">IF($B57="","",F57-H57)</f>
        <v/>
      </c>
      <c r="J57" s="61" t="str">
        <f aca="false">IF(OR($B57="",F57=0),"",I57/F57)</f>
        <v/>
      </c>
    </row>
    <row r="58" customFormat="false" ht="15" hidden="false" customHeight="false" outlineLevel="0" collapsed="false">
      <c r="A58" s="76"/>
      <c r="B58" s="63"/>
      <c r="C58" s="9"/>
      <c r="D58" s="64"/>
      <c r="E58" s="77" t="str">
        <f aca="false">IF($B58="","",IF($C58="Mayoreo",INDEX('3. COSTEO'!$R$8:$R$57,MATCH($B58,'3. COSTEO'!$B$8:$B$57,0)),INDEX('3. COSTEO'!$O$8:$O$57,MATCH($B58,'3. COSTEO'!$B$8:$B$57,0))))</f>
        <v/>
      </c>
      <c r="F58" s="65" t="str">
        <f aca="false">IF($B58="","",D58*E58)</f>
        <v/>
      </c>
      <c r="G58" s="65" t="str">
        <f aca="false">IF($B58="","",INDEX('3. COSTEO'!$M$8:$M$57,MATCH($B58,'3. COSTEO'!$B$8:$B$57,0)))</f>
        <v/>
      </c>
      <c r="H58" s="65" t="str">
        <f aca="false">IF($B58="","",D58*G58)</f>
        <v/>
      </c>
      <c r="I58" s="65" t="str">
        <f aca="false">IF($B58="","",F58-H58)</f>
        <v/>
      </c>
      <c r="J58" s="61" t="str">
        <f aca="false">IF(OR($B58="",F58=0),"",I58/F58)</f>
        <v/>
      </c>
    </row>
    <row r="59" customFormat="false" ht="15" hidden="false" customHeight="false" outlineLevel="0" collapsed="false">
      <c r="A59" s="76"/>
      <c r="B59" s="63"/>
      <c r="C59" s="9"/>
      <c r="D59" s="64"/>
      <c r="E59" s="77" t="str">
        <f aca="false">IF($B59="","",IF($C59="Mayoreo",INDEX('3. COSTEO'!$R$8:$R$57,MATCH($B59,'3. COSTEO'!$B$8:$B$57,0)),INDEX('3. COSTEO'!$O$8:$O$57,MATCH($B59,'3. COSTEO'!$B$8:$B$57,0))))</f>
        <v/>
      </c>
      <c r="F59" s="65" t="str">
        <f aca="false">IF($B59="","",D59*E59)</f>
        <v/>
      </c>
      <c r="G59" s="65" t="str">
        <f aca="false">IF($B59="","",INDEX('3. COSTEO'!$M$8:$M$57,MATCH($B59,'3. COSTEO'!$B$8:$B$57,0)))</f>
        <v/>
      </c>
      <c r="H59" s="65" t="str">
        <f aca="false">IF($B59="","",D59*G59)</f>
        <v/>
      </c>
      <c r="I59" s="65" t="str">
        <f aca="false">IF($B59="","",F59-H59)</f>
        <v/>
      </c>
      <c r="J59" s="61" t="str">
        <f aca="false">IF(OR($B59="",F59=0),"",I59/F59)</f>
        <v/>
      </c>
    </row>
    <row r="60" customFormat="false" ht="15" hidden="false" customHeight="false" outlineLevel="0" collapsed="false">
      <c r="A60" s="76"/>
      <c r="B60" s="63"/>
      <c r="C60" s="9"/>
      <c r="D60" s="64"/>
      <c r="E60" s="77" t="str">
        <f aca="false">IF($B60="","",IF($C60="Mayoreo",INDEX('3. COSTEO'!$R$8:$R$57,MATCH($B60,'3. COSTEO'!$B$8:$B$57,0)),INDEX('3. COSTEO'!$O$8:$O$57,MATCH($B60,'3. COSTEO'!$B$8:$B$57,0))))</f>
        <v/>
      </c>
      <c r="F60" s="65" t="str">
        <f aca="false">IF($B60="","",D60*E60)</f>
        <v/>
      </c>
      <c r="G60" s="65" t="str">
        <f aca="false">IF($B60="","",INDEX('3. COSTEO'!$M$8:$M$57,MATCH($B60,'3. COSTEO'!$B$8:$B$57,0)))</f>
        <v/>
      </c>
      <c r="H60" s="65" t="str">
        <f aca="false">IF($B60="","",D60*G60)</f>
        <v/>
      </c>
      <c r="I60" s="65" t="str">
        <f aca="false">IF($B60="","",F60-H60)</f>
        <v/>
      </c>
      <c r="J60" s="61" t="str">
        <f aca="false">IF(OR($B60="",F60=0),"",I60/F60)</f>
        <v/>
      </c>
    </row>
    <row r="61" customFormat="false" ht="15" hidden="false" customHeight="false" outlineLevel="0" collapsed="false">
      <c r="A61" s="76"/>
      <c r="B61" s="63"/>
      <c r="C61" s="9"/>
      <c r="D61" s="64"/>
      <c r="E61" s="77" t="str">
        <f aca="false">IF($B61="","",IF($C61="Mayoreo",INDEX('3. COSTEO'!$R$8:$R$57,MATCH($B61,'3. COSTEO'!$B$8:$B$57,0)),INDEX('3. COSTEO'!$O$8:$O$57,MATCH($B61,'3. COSTEO'!$B$8:$B$57,0))))</f>
        <v/>
      </c>
      <c r="F61" s="65" t="str">
        <f aca="false">IF($B61="","",D61*E61)</f>
        <v/>
      </c>
      <c r="G61" s="65" t="str">
        <f aca="false">IF($B61="","",INDEX('3. COSTEO'!$M$8:$M$57,MATCH($B61,'3. COSTEO'!$B$8:$B$57,0)))</f>
        <v/>
      </c>
      <c r="H61" s="65" t="str">
        <f aca="false">IF($B61="","",D61*G61)</f>
        <v/>
      </c>
      <c r="I61" s="65" t="str">
        <f aca="false">IF($B61="","",F61-H61)</f>
        <v/>
      </c>
      <c r="J61" s="61" t="str">
        <f aca="false">IF(OR($B61="",F61=0),"",I61/F61)</f>
        <v/>
      </c>
    </row>
    <row r="62" customFormat="false" ht="15" hidden="false" customHeight="false" outlineLevel="0" collapsed="false">
      <c r="A62" s="76"/>
      <c r="B62" s="63"/>
      <c r="C62" s="9"/>
      <c r="D62" s="64"/>
      <c r="E62" s="77" t="str">
        <f aca="false">IF($B62="","",IF($C62="Mayoreo",INDEX('3. COSTEO'!$R$8:$R$57,MATCH($B62,'3. COSTEO'!$B$8:$B$57,0)),INDEX('3. COSTEO'!$O$8:$O$57,MATCH($B62,'3. COSTEO'!$B$8:$B$57,0))))</f>
        <v/>
      </c>
      <c r="F62" s="65" t="str">
        <f aca="false">IF($B62="","",D62*E62)</f>
        <v/>
      </c>
      <c r="G62" s="65" t="str">
        <f aca="false">IF($B62="","",INDEX('3. COSTEO'!$M$8:$M$57,MATCH($B62,'3. COSTEO'!$B$8:$B$57,0)))</f>
        <v/>
      </c>
      <c r="H62" s="65" t="str">
        <f aca="false">IF($B62="","",D62*G62)</f>
        <v/>
      </c>
      <c r="I62" s="65" t="str">
        <f aca="false">IF($B62="","",F62-H62)</f>
        <v/>
      </c>
      <c r="J62" s="61" t="str">
        <f aca="false">IF(OR($B62="",F62=0),"",I62/F62)</f>
        <v/>
      </c>
    </row>
    <row r="63" customFormat="false" ht="15" hidden="false" customHeight="false" outlineLevel="0" collapsed="false">
      <c r="A63" s="76"/>
      <c r="B63" s="63"/>
      <c r="C63" s="9"/>
      <c r="D63" s="64"/>
      <c r="E63" s="77" t="str">
        <f aca="false">IF($B63="","",IF($C63="Mayoreo",INDEX('3. COSTEO'!$R$8:$R$57,MATCH($B63,'3. COSTEO'!$B$8:$B$57,0)),INDEX('3. COSTEO'!$O$8:$O$57,MATCH($B63,'3. COSTEO'!$B$8:$B$57,0))))</f>
        <v/>
      </c>
      <c r="F63" s="65" t="str">
        <f aca="false">IF($B63="","",D63*E63)</f>
        <v/>
      </c>
      <c r="G63" s="65" t="str">
        <f aca="false">IF($B63="","",INDEX('3. COSTEO'!$M$8:$M$57,MATCH($B63,'3. COSTEO'!$B$8:$B$57,0)))</f>
        <v/>
      </c>
      <c r="H63" s="65" t="str">
        <f aca="false">IF($B63="","",D63*G63)</f>
        <v/>
      </c>
      <c r="I63" s="65" t="str">
        <f aca="false">IF($B63="","",F63-H63)</f>
        <v/>
      </c>
      <c r="J63" s="61" t="str">
        <f aca="false">IF(OR($B63="",F63=0),"",I63/F63)</f>
        <v/>
      </c>
    </row>
    <row r="64" customFormat="false" ht="15" hidden="false" customHeight="false" outlineLevel="0" collapsed="false">
      <c r="A64" s="76"/>
      <c r="B64" s="63"/>
      <c r="C64" s="9"/>
      <c r="D64" s="64"/>
      <c r="E64" s="77" t="str">
        <f aca="false">IF($B64="","",IF($C64="Mayoreo",INDEX('3. COSTEO'!$R$8:$R$57,MATCH($B64,'3. COSTEO'!$B$8:$B$57,0)),INDEX('3. COSTEO'!$O$8:$O$57,MATCH($B64,'3. COSTEO'!$B$8:$B$57,0))))</f>
        <v/>
      </c>
      <c r="F64" s="65" t="str">
        <f aca="false">IF($B64="","",D64*E64)</f>
        <v/>
      </c>
      <c r="G64" s="65" t="str">
        <f aca="false">IF($B64="","",INDEX('3. COSTEO'!$M$8:$M$57,MATCH($B64,'3. COSTEO'!$B$8:$B$57,0)))</f>
        <v/>
      </c>
      <c r="H64" s="65" t="str">
        <f aca="false">IF($B64="","",D64*G64)</f>
        <v/>
      </c>
      <c r="I64" s="65" t="str">
        <f aca="false">IF($B64="","",F64-H64)</f>
        <v/>
      </c>
      <c r="J64" s="61" t="str">
        <f aca="false">IF(OR($B64="",F64=0),"",I64/F64)</f>
        <v/>
      </c>
    </row>
    <row r="65" customFormat="false" ht="15" hidden="false" customHeight="false" outlineLevel="0" collapsed="false">
      <c r="A65" s="76"/>
      <c r="B65" s="63"/>
      <c r="C65" s="9"/>
      <c r="D65" s="64"/>
      <c r="E65" s="77" t="str">
        <f aca="false">IF($B65="","",IF($C65="Mayoreo",INDEX('3. COSTEO'!$R$8:$R$57,MATCH($B65,'3. COSTEO'!$B$8:$B$57,0)),INDEX('3. COSTEO'!$O$8:$O$57,MATCH($B65,'3. COSTEO'!$B$8:$B$57,0))))</f>
        <v/>
      </c>
      <c r="F65" s="65" t="str">
        <f aca="false">IF($B65="","",D65*E65)</f>
        <v/>
      </c>
      <c r="G65" s="65" t="str">
        <f aca="false">IF($B65="","",INDEX('3. COSTEO'!$M$8:$M$57,MATCH($B65,'3. COSTEO'!$B$8:$B$57,0)))</f>
        <v/>
      </c>
      <c r="H65" s="65" t="str">
        <f aca="false">IF($B65="","",D65*G65)</f>
        <v/>
      </c>
      <c r="I65" s="65" t="str">
        <f aca="false">IF($B65="","",F65-H65)</f>
        <v/>
      </c>
      <c r="J65" s="61" t="str">
        <f aca="false">IF(OR($B65="",F65=0),"",I65/F65)</f>
        <v/>
      </c>
    </row>
    <row r="66" customFormat="false" ht="15" hidden="false" customHeight="false" outlineLevel="0" collapsed="false">
      <c r="A66" s="76"/>
      <c r="B66" s="63"/>
      <c r="C66" s="9"/>
      <c r="D66" s="64"/>
      <c r="E66" s="77" t="str">
        <f aca="false">IF($B66="","",IF($C66="Mayoreo",INDEX('3. COSTEO'!$R$8:$R$57,MATCH($B66,'3. COSTEO'!$B$8:$B$57,0)),INDEX('3. COSTEO'!$O$8:$O$57,MATCH($B66,'3. COSTEO'!$B$8:$B$57,0))))</f>
        <v/>
      </c>
      <c r="F66" s="65" t="str">
        <f aca="false">IF($B66="","",D66*E66)</f>
        <v/>
      </c>
      <c r="G66" s="65" t="str">
        <f aca="false">IF($B66="","",INDEX('3. COSTEO'!$M$8:$M$57,MATCH($B66,'3. COSTEO'!$B$8:$B$57,0)))</f>
        <v/>
      </c>
      <c r="H66" s="65" t="str">
        <f aca="false">IF($B66="","",D66*G66)</f>
        <v/>
      </c>
      <c r="I66" s="65" t="str">
        <f aca="false">IF($B66="","",F66-H66)</f>
        <v/>
      </c>
      <c r="J66" s="61" t="str">
        <f aca="false">IF(OR($B66="",F66=0),"",I66/F66)</f>
        <v/>
      </c>
    </row>
    <row r="67" customFormat="false" ht="15" hidden="false" customHeight="false" outlineLevel="0" collapsed="false">
      <c r="A67" s="76"/>
      <c r="B67" s="63"/>
      <c r="C67" s="9"/>
      <c r="D67" s="64"/>
      <c r="E67" s="77" t="str">
        <f aca="false">IF($B67="","",IF($C67="Mayoreo",INDEX('3. COSTEO'!$R$8:$R$57,MATCH($B67,'3. COSTEO'!$B$8:$B$57,0)),INDEX('3. COSTEO'!$O$8:$O$57,MATCH($B67,'3. COSTEO'!$B$8:$B$57,0))))</f>
        <v/>
      </c>
      <c r="F67" s="65" t="str">
        <f aca="false">IF($B67="","",D67*E67)</f>
        <v/>
      </c>
      <c r="G67" s="65" t="str">
        <f aca="false">IF($B67="","",INDEX('3. COSTEO'!$M$8:$M$57,MATCH($B67,'3. COSTEO'!$B$8:$B$57,0)))</f>
        <v/>
      </c>
      <c r="H67" s="65" t="str">
        <f aca="false">IF($B67="","",D67*G67)</f>
        <v/>
      </c>
      <c r="I67" s="65" t="str">
        <f aca="false">IF($B67="","",F67-H67)</f>
        <v/>
      </c>
      <c r="J67" s="61" t="str">
        <f aca="false">IF(OR($B67="",F67=0),"",I67/F67)</f>
        <v/>
      </c>
    </row>
    <row r="68" customFormat="false" ht="15" hidden="false" customHeight="false" outlineLevel="0" collapsed="false">
      <c r="A68" s="76"/>
      <c r="B68" s="63"/>
      <c r="C68" s="9"/>
      <c r="D68" s="64"/>
      <c r="E68" s="77" t="str">
        <f aca="false">IF($B68="","",IF($C68="Mayoreo",INDEX('3. COSTEO'!$R$8:$R$57,MATCH($B68,'3. COSTEO'!$B$8:$B$57,0)),INDEX('3. COSTEO'!$O$8:$O$57,MATCH($B68,'3. COSTEO'!$B$8:$B$57,0))))</f>
        <v/>
      </c>
      <c r="F68" s="65" t="str">
        <f aca="false">IF($B68="","",D68*E68)</f>
        <v/>
      </c>
      <c r="G68" s="65" t="str">
        <f aca="false">IF($B68="","",INDEX('3. COSTEO'!$M$8:$M$57,MATCH($B68,'3. COSTEO'!$B$8:$B$57,0)))</f>
        <v/>
      </c>
      <c r="H68" s="65" t="str">
        <f aca="false">IF($B68="","",D68*G68)</f>
        <v/>
      </c>
      <c r="I68" s="65" t="str">
        <f aca="false">IF($B68="","",F68-H68)</f>
        <v/>
      </c>
      <c r="J68" s="61" t="str">
        <f aca="false">IF(OR($B68="",F68=0),"",I68/F68)</f>
        <v/>
      </c>
    </row>
    <row r="69" customFormat="false" ht="15" hidden="false" customHeight="false" outlineLevel="0" collapsed="false">
      <c r="A69" s="76"/>
      <c r="B69" s="63"/>
      <c r="C69" s="9"/>
      <c r="D69" s="64"/>
      <c r="E69" s="77" t="str">
        <f aca="false">IF($B69="","",IF($C69="Mayoreo",INDEX('3. COSTEO'!$R$8:$R$57,MATCH($B69,'3. COSTEO'!$B$8:$B$57,0)),INDEX('3. COSTEO'!$O$8:$O$57,MATCH($B69,'3. COSTEO'!$B$8:$B$57,0))))</f>
        <v/>
      </c>
      <c r="F69" s="65" t="str">
        <f aca="false">IF($B69="","",D69*E69)</f>
        <v/>
      </c>
      <c r="G69" s="65" t="str">
        <f aca="false">IF($B69="","",INDEX('3. COSTEO'!$M$8:$M$57,MATCH($B69,'3. COSTEO'!$B$8:$B$57,0)))</f>
        <v/>
      </c>
      <c r="H69" s="65" t="str">
        <f aca="false">IF($B69="","",D69*G69)</f>
        <v/>
      </c>
      <c r="I69" s="65" t="str">
        <f aca="false">IF($B69="","",F69-H69)</f>
        <v/>
      </c>
      <c r="J69" s="61" t="str">
        <f aca="false">IF(OR($B69="",F69=0),"",I69/F69)</f>
        <v/>
      </c>
    </row>
    <row r="70" customFormat="false" ht="15" hidden="false" customHeight="false" outlineLevel="0" collapsed="false">
      <c r="A70" s="76"/>
      <c r="B70" s="63"/>
      <c r="C70" s="9"/>
      <c r="D70" s="64"/>
      <c r="E70" s="77" t="str">
        <f aca="false">IF($B70="","",IF($C70="Mayoreo",INDEX('3. COSTEO'!$R$8:$R$57,MATCH($B70,'3. COSTEO'!$B$8:$B$57,0)),INDEX('3. COSTEO'!$O$8:$O$57,MATCH($B70,'3. COSTEO'!$B$8:$B$57,0))))</f>
        <v/>
      </c>
      <c r="F70" s="65" t="str">
        <f aca="false">IF($B70="","",D70*E70)</f>
        <v/>
      </c>
      <c r="G70" s="65" t="str">
        <f aca="false">IF($B70="","",INDEX('3. COSTEO'!$M$8:$M$57,MATCH($B70,'3. COSTEO'!$B$8:$B$57,0)))</f>
        <v/>
      </c>
      <c r="H70" s="65" t="str">
        <f aca="false">IF($B70="","",D70*G70)</f>
        <v/>
      </c>
      <c r="I70" s="65" t="str">
        <f aca="false">IF($B70="","",F70-H70)</f>
        <v/>
      </c>
      <c r="J70" s="61" t="str">
        <f aca="false">IF(OR($B70="",F70=0),"",I70/F70)</f>
        <v/>
      </c>
    </row>
    <row r="71" customFormat="false" ht="15" hidden="false" customHeight="false" outlineLevel="0" collapsed="false">
      <c r="A71" s="76"/>
      <c r="B71" s="63"/>
      <c r="C71" s="9"/>
      <c r="D71" s="64"/>
      <c r="E71" s="77" t="str">
        <f aca="false">IF($B71="","",IF($C71="Mayoreo",INDEX('3. COSTEO'!$R$8:$R$57,MATCH($B71,'3. COSTEO'!$B$8:$B$57,0)),INDEX('3. COSTEO'!$O$8:$O$57,MATCH($B71,'3. COSTEO'!$B$8:$B$57,0))))</f>
        <v/>
      </c>
      <c r="F71" s="65" t="str">
        <f aca="false">IF($B71="","",D71*E71)</f>
        <v/>
      </c>
      <c r="G71" s="65" t="str">
        <f aca="false">IF($B71="","",INDEX('3. COSTEO'!$M$8:$M$57,MATCH($B71,'3. COSTEO'!$B$8:$B$57,0)))</f>
        <v/>
      </c>
      <c r="H71" s="65" t="str">
        <f aca="false">IF($B71="","",D71*G71)</f>
        <v/>
      </c>
      <c r="I71" s="65" t="str">
        <f aca="false">IF($B71="","",F71-H71)</f>
        <v/>
      </c>
      <c r="J71" s="61" t="str">
        <f aca="false">IF(OR($B71="",F71=0),"",I71/F71)</f>
        <v/>
      </c>
    </row>
    <row r="72" customFormat="false" ht="15" hidden="false" customHeight="false" outlineLevel="0" collapsed="false">
      <c r="A72" s="76"/>
      <c r="B72" s="63"/>
      <c r="C72" s="9"/>
      <c r="D72" s="64"/>
      <c r="E72" s="77" t="str">
        <f aca="false">IF($B72="","",IF($C72="Mayoreo",INDEX('3. COSTEO'!$R$8:$R$57,MATCH($B72,'3. COSTEO'!$B$8:$B$57,0)),INDEX('3. COSTEO'!$O$8:$O$57,MATCH($B72,'3. COSTEO'!$B$8:$B$57,0))))</f>
        <v/>
      </c>
      <c r="F72" s="65" t="str">
        <f aca="false">IF($B72="","",D72*E72)</f>
        <v/>
      </c>
      <c r="G72" s="65" t="str">
        <f aca="false">IF($B72="","",INDEX('3. COSTEO'!$M$8:$M$57,MATCH($B72,'3. COSTEO'!$B$8:$B$57,0)))</f>
        <v/>
      </c>
      <c r="H72" s="65" t="str">
        <f aca="false">IF($B72="","",D72*G72)</f>
        <v/>
      </c>
      <c r="I72" s="65" t="str">
        <f aca="false">IF($B72="","",F72-H72)</f>
        <v/>
      </c>
      <c r="J72" s="61" t="str">
        <f aca="false">IF(OR($B72="",F72=0),"",I72/F72)</f>
        <v/>
      </c>
    </row>
    <row r="73" customFormat="false" ht="15" hidden="false" customHeight="false" outlineLevel="0" collapsed="false">
      <c r="A73" s="76"/>
      <c r="B73" s="63"/>
      <c r="C73" s="9"/>
      <c r="D73" s="64"/>
      <c r="E73" s="77" t="str">
        <f aca="false">IF($B73="","",IF($C73="Mayoreo",INDEX('3. COSTEO'!$R$8:$R$57,MATCH($B73,'3. COSTEO'!$B$8:$B$57,0)),INDEX('3. COSTEO'!$O$8:$O$57,MATCH($B73,'3. COSTEO'!$B$8:$B$57,0))))</f>
        <v/>
      </c>
      <c r="F73" s="65" t="str">
        <f aca="false">IF($B73="","",D73*E73)</f>
        <v/>
      </c>
      <c r="G73" s="65" t="str">
        <f aca="false">IF($B73="","",INDEX('3. COSTEO'!$M$8:$M$57,MATCH($B73,'3. COSTEO'!$B$8:$B$57,0)))</f>
        <v/>
      </c>
      <c r="H73" s="65" t="str">
        <f aca="false">IF($B73="","",D73*G73)</f>
        <v/>
      </c>
      <c r="I73" s="65" t="str">
        <f aca="false">IF($B73="","",F73-H73)</f>
        <v/>
      </c>
      <c r="J73" s="61" t="str">
        <f aca="false">IF(OR($B73="",F73=0),"",I73/F73)</f>
        <v/>
      </c>
    </row>
    <row r="74" customFormat="false" ht="15" hidden="false" customHeight="false" outlineLevel="0" collapsed="false">
      <c r="A74" s="76"/>
      <c r="B74" s="63"/>
      <c r="C74" s="9"/>
      <c r="D74" s="64"/>
      <c r="E74" s="77" t="str">
        <f aca="false">IF($B74="","",IF($C74="Mayoreo",INDEX('3. COSTEO'!$R$8:$R$57,MATCH($B74,'3. COSTEO'!$B$8:$B$57,0)),INDEX('3. COSTEO'!$O$8:$O$57,MATCH($B74,'3. COSTEO'!$B$8:$B$57,0))))</f>
        <v/>
      </c>
      <c r="F74" s="65" t="str">
        <f aca="false">IF($B74="","",D74*E74)</f>
        <v/>
      </c>
      <c r="G74" s="65" t="str">
        <f aca="false">IF($B74="","",INDEX('3. COSTEO'!$M$8:$M$57,MATCH($B74,'3. COSTEO'!$B$8:$B$57,0)))</f>
        <v/>
      </c>
      <c r="H74" s="65" t="str">
        <f aca="false">IF($B74="","",D74*G74)</f>
        <v/>
      </c>
      <c r="I74" s="65" t="str">
        <f aca="false">IF($B74="","",F74-H74)</f>
        <v/>
      </c>
      <c r="J74" s="61" t="str">
        <f aca="false">IF(OR($B74="",F74=0),"",I74/F74)</f>
        <v/>
      </c>
    </row>
    <row r="75" customFormat="false" ht="15" hidden="false" customHeight="false" outlineLevel="0" collapsed="false">
      <c r="A75" s="76"/>
      <c r="B75" s="63"/>
      <c r="C75" s="9"/>
      <c r="D75" s="64"/>
      <c r="E75" s="77" t="str">
        <f aca="false">IF($B75="","",IF($C75="Mayoreo",INDEX('3. COSTEO'!$R$8:$R$57,MATCH($B75,'3. COSTEO'!$B$8:$B$57,0)),INDEX('3. COSTEO'!$O$8:$O$57,MATCH($B75,'3. COSTEO'!$B$8:$B$57,0))))</f>
        <v/>
      </c>
      <c r="F75" s="65" t="str">
        <f aca="false">IF($B75="","",D75*E75)</f>
        <v/>
      </c>
      <c r="G75" s="65" t="str">
        <f aca="false">IF($B75="","",INDEX('3. COSTEO'!$M$8:$M$57,MATCH($B75,'3. COSTEO'!$B$8:$B$57,0)))</f>
        <v/>
      </c>
      <c r="H75" s="65" t="str">
        <f aca="false">IF($B75="","",D75*G75)</f>
        <v/>
      </c>
      <c r="I75" s="65" t="str">
        <f aca="false">IF($B75="","",F75-H75)</f>
        <v/>
      </c>
      <c r="J75" s="61" t="str">
        <f aca="false">IF(OR($B75="",F75=0),"",I75/F75)</f>
        <v/>
      </c>
    </row>
    <row r="76" customFormat="false" ht="15" hidden="false" customHeight="false" outlineLevel="0" collapsed="false">
      <c r="A76" s="76"/>
      <c r="B76" s="63"/>
      <c r="C76" s="9"/>
      <c r="D76" s="64"/>
      <c r="E76" s="77" t="str">
        <f aca="false">IF($B76="","",IF($C76="Mayoreo",INDEX('3. COSTEO'!$R$8:$R$57,MATCH($B76,'3. COSTEO'!$B$8:$B$57,0)),INDEX('3. COSTEO'!$O$8:$O$57,MATCH($B76,'3. COSTEO'!$B$8:$B$57,0))))</f>
        <v/>
      </c>
      <c r="F76" s="65" t="str">
        <f aca="false">IF($B76="","",D76*E76)</f>
        <v/>
      </c>
      <c r="G76" s="65" t="str">
        <f aca="false">IF($B76="","",INDEX('3. COSTEO'!$M$8:$M$57,MATCH($B76,'3. COSTEO'!$B$8:$B$57,0)))</f>
        <v/>
      </c>
      <c r="H76" s="65" t="str">
        <f aca="false">IF($B76="","",D76*G76)</f>
        <v/>
      </c>
      <c r="I76" s="65" t="str">
        <f aca="false">IF($B76="","",F76-H76)</f>
        <v/>
      </c>
      <c r="J76" s="61" t="str">
        <f aca="false">IF(OR($B76="",F76=0),"",I76/F76)</f>
        <v/>
      </c>
    </row>
    <row r="77" customFormat="false" ht="15" hidden="false" customHeight="false" outlineLevel="0" collapsed="false">
      <c r="A77" s="76"/>
      <c r="B77" s="63"/>
      <c r="C77" s="9"/>
      <c r="D77" s="64"/>
      <c r="E77" s="77" t="str">
        <f aca="false">IF($B77="","",IF($C77="Mayoreo",INDEX('3. COSTEO'!$R$8:$R$57,MATCH($B77,'3. COSTEO'!$B$8:$B$57,0)),INDEX('3. COSTEO'!$O$8:$O$57,MATCH($B77,'3. COSTEO'!$B$8:$B$57,0))))</f>
        <v/>
      </c>
      <c r="F77" s="65" t="str">
        <f aca="false">IF($B77="","",D77*E77)</f>
        <v/>
      </c>
      <c r="G77" s="65" t="str">
        <f aca="false">IF($B77="","",INDEX('3. COSTEO'!$M$8:$M$57,MATCH($B77,'3. COSTEO'!$B$8:$B$57,0)))</f>
        <v/>
      </c>
      <c r="H77" s="65" t="str">
        <f aca="false">IF($B77="","",D77*G77)</f>
        <v/>
      </c>
      <c r="I77" s="65" t="str">
        <f aca="false">IF($B77="","",F77-H77)</f>
        <v/>
      </c>
      <c r="J77" s="61" t="str">
        <f aca="false">IF(OR($B77="",F77=0),"",I77/F77)</f>
        <v/>
      </c>
    </row>
    <row r="78" customFormat="false" ht="15" hidden="false" customHeight="false" outlineLevel="0" collapsed="false">
      <c r="A78" s="76"/>
      <c r="B78" s="63"/>
      <c r="C78" s="9"/>
      <c r="D78" s="64"/>
      <c r="E78" s="77" t="str">
        <f aca="false">IF($B78="","",IF($C78="Mayoreo",INDEX('3. COSTEO'!$R$8:$R$57,MATCH($B78,'3. COSTEO'!$B$8:$B$57,0)),INDEX('3. COSTEO'!$O$8:$O$57,MATCH($B78,'3. COSTEO'!$B$8:$B$57,0))))</f>
        <v/>
      </c>
      <c r="F78" s="65" t="str">
        <f aca="false">IF($B78="","",D78*E78)</f>
        <v/>
      </c>
      <c r="G78" s="65" t="str">
        <f aca="false">IF($B78="","",INDEX('3. COSTEO'!$M$8:$M$57,MATCH($B78,'3. COSTEO'!$B$8:$B$57,0)))</f>
        <v/>
      </c>
      <c r="H78" s="65" t="str">
        <f aca="false">IF($B78="","",D78*G78)</f>
        <v/>
      </c>
      <c r="I78" s="65" t="str">
        <f aca="false">IF($B78="","",F78-H78)</f>
        <v/>
      </c>
      <c r="J78" s="61" t="str">
        <f aca="false">IF(OR($B78="",F78=0),"",I78/F78)</f>
        <v/>
      </c>
    </row>
    <row r="79" customFormat="false" ht="15" hidden="false" customHeight="false" outlineLevel="0" collapsed="false">
      <c r="A79" s="76"/>
      <c r="B79" s="63"/>
      <c r="C79" s="9"/>
      <c r="D79" s="64"/>
      <c r="E79" s="77" t="str">
        <f aca="false">IF($B79="","",IF($C79="Mayoreo",INDEX('3. COSTEO'!$R$8:$R$57,MATCH($B79,'3. COSTEO'!$B$8:$B$57,0)),INDEX('3. COSTEO'!$O$8:$O$57,MATCH($B79,'3. COSTEO'!$B$8:$B$57,0))))</f>
        <v/>
      </c>
      <c r="F79" s="65" t="str">
        <f aca="false">IF($B79="","",D79*E79)</f>
        <v/>
      </c>
      <c r="G79" s="65" t="str">
        <f aca="false">IF($B79="","",INDEX('3. COSTEO'!$M$8:$M$57,MATCH($B79,'3. COSTEO'!$B$8:$B$57,0)))</f>
        <v/>
      </c>
      <c r="H79" s="65" t="str">
        <f aca="false">IF($B79="","",D79*G79)</f>
        <v/>
      </c>
      <c r="I79" s="65" t="str">
        <f aca="false">IF($B79="","",F79-H79)</f>
        <v/>
      </c>
      <c r="J79" s="61" t="str">
        <f aca="false">IF(OR($B79="",F79=0),"",I79/F79)</f>
        <v/>
      </c>
    </row>
    <row r="80" customFormat="false" ht="15" hidden="false" customHeight="false" outlineLevel="0" collapsed="false">
      <c r="A80" s="76"/>
      <c r="B80" s="63"/>
      <c r="C80" s="9"/>
      <c r="D80" s="64"/>
      <c r="E80" s="77" t="str">
        <f aca="false">IF($B80="","",IF($C80="Mayoreo",INDEX('3. COSTEO'!$R$8:$R$57,MATCH($B80,'3. COSTEO'!$B$8:$B$57,0)),INDEX('3. COSTEO'!$O$8:$O$57,MATCH($B80,'3. COSTEO'!$B$8:$B$57,0))))</f>
        <v/>
      </c>
      <c r="F80" s="65" t="str">
        <f aca="false">IF($B80="","",D80*E80)</f>
        <v/>
      </c>
      <c r="G80" s="65" t="str">
        <f aca="false">IF($B80="","",INDEX('3. COSTEO'!$M$8:$M$57,MATCH($B80,'3. COSTEO'!$B$8:$B$57,0)))</f>
        <v/>
      </c>
      <c r="H80" s="65" t="str">
        <f aca="false">IF($B80="","",D80*G80)</f>
        <v/>
      </c>
      <c r="I80" s="65" t="str">
        <f aca="false">IF($B80="","",F80-H80)</f>
        <v/>
      </c>
      <c r="J80" s="61" t="str">
        <f aca="false">IF(OR($B80="",F80=0),"",I80/F80)</f>
        <v/>
      </c>
    </row>
    <row r="81" customFormat="false" ht="15" hidden="false" customHeight="false" outlineLevel="0" collapsed="false">
      <c r="A81" s="76"/>
      <c r="B81" s="63"/>
      <c r="C81" s="9"/>
      <c r="D81" s="64"/>
      <c r="E81" s="77" t="str">
        <f aca="false">IF($B81="","",IF($C81="Mayoreo",INDEX('3. COSTEO'!$R$8:$R$57,MATCH($B81,'3. COSTEO'!$B$8:$B$57,0)),INDEX('3. COSTEO'!$O$8:$O$57,MATCH($B81,'3. COSTEO'!$B$8:$B$57,0))))</f>
        <v/>
      </c>
      <c r="F81" s="65" t="str">
        <f aca="false">IF($B81="","",D81*E81)</f>
        <v/>
      </c>
      <c r="G81" s="65" t="str">
        <f aca="false">IF($B81="","",INDEX('3. COSTEO'!$M$8:$M$57,MATCH($B81,'3. COSTEO'!$B$8:$B$57,0)))</f>
        <v/>
      </c>
      <c r="H81" s="65" t="str">
        <f aca="false">IF($B81="","",D81*G81)</f>
        <v/>
      </c>
      <c r="I81" s="65" t="str">
        <f aca="false">IF($B81="","",F81-H81)</f>
        <v/>
      </c>
      <c r="J81" s="61" t="str">
        <f aca="false">IF(OR($B81="",F81=0),"",I81/F81)</f>
        <v/>
      </c>
    </row>
    <row r="82" customFormat="false" ht="15" hidden="false" customHeight="false" outlineLevel="0" collapsed="false">
      <c r="A82" s="76"/>
      <c r="B82" s="63"/>
      <c r="C82" s="9"/>
      <c r="D82" s="64"/>
      <c r="E82" s="77" t="str">
        <f aca="false">IF($B82="","",IF($C82="Mayoreo",INDEX('3. COSTEO'!$R$8:$R$57,MATCH($B82,'3. COSTEO'!$B$8:$B$57,0)),INDEX('3. COSTEO'!$O$8:$O$57,MATCH($B82,'3. COSTEO'!$B$8:$B$57,0))))</f>
        <v/>
      </c>
      <c r="F82" s="65" t="str">
        <f aca="false">IF($B82="","",D82*E82)</f>
        <v/>
      </c>
      <c r="G82" s="65" t="str">
        <f aca="false">IF($B82="","",INDEX('3. COSTEO'!$M$8:$M$57,MATCH($B82,'3. COSTEO'!$B$8:$B$57,0)))</f>
        <v/>
      </c>
      <c r="H82" s="65" t="str">
        <f aca="false">IF($B82="","",D82*G82)</f>
        <v/>
      </c>
      <c r="I82" s="65" t="str">
        <f aca="false">IF($B82="","",F82-H82)</f>
        <v/>
      </c>
      <c r="J82" s="61" t="str">
        <f aca="false">IF(OR($B82="",F82=0),"",I82/F82)</f>
        <v/>
      </c>
    </row>
    <row r="83" customFormat="false" ht="15" hidden="false" customHeight="false" outlineLevel="0" collapsed="false">
      <c r="A83" s="76"/>
      <c r="B83" s="63"/>
      <c r="C83" s="9"/>
      <c r="D83" s="64"/>
      <c r="E83" s="77" t="str">
        <f aca="false">IF($B83="","",IF($C83="Mayoreo",INDEX('3. COSTEO'!$R$8:$R$57,MATCH($B83,'3. COSTEO'!$B$8:$B$57,0)),INDEX('3. COSTEO'!$O$8:$O$57,MATCH($B83,'3. COSTEO'!$B$8:$B$57,0))))</f>
        <v/>
      </c>
      <c r="F83" s="65" t="str">
        <f aca="false">IF($B83="","",D83*E83)</f>
        <v/>
      </c>
      <c r="G83" s="65" t="str">
        <f aca="false">IF($B83="","",INDEX('3. COSTEO'!$M$8:$M$57,MATCH($B83,'3. COSTEO'!$B$8:$B$57,0)))</f>
        <v/>
      </c>
      <c r="H83" s="65" t="str">
        <f aca="false">IF($B83="","",D83*G83)</f>
        <v/>
      </c>
      <c r="I83" s="65" t="str">
        <f aca="false">IF($B83="","",F83-H83)</f>
        <v/>
      </c>
      <c r="J83" s="61" t="str">
        <f aca="false">IF(OR($B83="",F83=0),"",I83/F83)</f>
        <v/>
      </c>
    </row>
    <row r="84" customFormat="false" ht="15" hidden="false" customHeight="false" outlineLevel="0" collapsed="false">
      <c r="A84" s="76"/>
      <c r="B84" s="63"/>
      <c r="C84" s="9"/>
      <c r="D84" s="64"/>
      <c r="E84" s="77" t="str">
        <f aca="false">IF($B84="","",IF($C84="Mayoreo",INDEX('3. COSTEO'!$R$8:$R$57,MATCH($B84,'3. COSTEO'!$B$8:$B$57,0)),INDEX('3. COSTEO'!$O$8:$O$57,MATCH($B84,'3. COSTEO'!$B$8:$B$57,0))))</f>
        <v/>
      </c>
      <c r="F84" s="65" t="str">
        <f aca="false">IF($B84="","",D84*E84)</f>
        <v/>
      </c>
      <c r="G84" s="65" t="str">
        <f aca="false">IF($B84="","",INDEX('3. COSTEO'!$M$8:$M$57,MATCH($B84,'3. COSTEO'!$B$8:$B$57,0)))</f>
        <v/>
      </c>
      <c r="H84" s="65" t="str">
        <f aca="false">IF($B84="","",D84*G84)</f>
        <v/>
      </c>
      <c r="I84" s="65" t="str">
        <f aca="false">IF($B84="","",F84-H84)</f>
        <v/>
      </c>
      <c r="J84" s="61" t="str">
        <f aca="false">IF(OR($B84="",F84=0),"",I84/F84)</f>
        <v/>
      </c>
    </row>
    <row r="85" customFormat="false" ht="15" hidden="false" customHeight="false" outlineLevel="0" collapsed="false">
      <c r="A85" s="76"/>
      <c r="B85" s="63"/>
      <c r="C85" s="9"/>
      <c r="D85" s="64"/>
      <c r="E85" s="77" t="str">
        <f aca="false">IF($B85="","",IF($C85="Mayoreo",INDEX('3. COSTEO'!$R$8:$R$57,MATCH($B85,'3. COSTEO'!$B$8:$B$57,0)),INDEX('3. COSTEO'!$O$8:$O$57,MATCH($B85,'3. COSTEO'!$B$8:$B$57,0))))</f>
        <v/>
      </c>
      <c r="F85" s="65" t="str">
        <f aca="false">IF($B85="","",D85*E85)</f>
        <v/>
      </c>
      <c r="G85" s="65" t="str">
        <f aca="false">IF($B85="","",INDEX('3. COSTEO'!$M$8:$M$57,MATCH($B85,'3. COSTEO'!$B$8:$B$57,0)))</f>
        <v/>
      </c>
      <c r="H85" s="65" t="str">
        <f aca="false">IF($B85="","",D85*G85)</f>
        <v/>
      </c>
      <c r="I85" s="65" t="str">
        <f aca="false">IF($B85="","",F85-H85)</f>
        <v/>
      </c>
      <c r="J85" s="61" t="str">
        <f aca="false">IF(OR($B85="",F85=0),"",I85/F85)</f>
        <v/>
      </c>
    </row>
    <row r="86" customFormat="false" ht="15" hidden="false" customHeight="false" outlineLevel="0" collapsed="false">
      <c r="A86" s="76"/>
      <c r="B86" s="63"/>
      <c r="C86" s="9"/>
      <c r="D86" s="64"/>
      <c r="E86" s="77" t="str">
        <f aca="false">IF($B86="","",IF($C86="Mayoreo",INDEX('3. COSTEO'!$R$8:$R$57,MATCH($B86,'3. COSTEO'!$B$8:$B$57,0)),INDEX('3. COSTEO'!$O$8:$O$57,MATCH($B86,'3. COSTEO'!$B$8:$B$57,0))))</f>
        <v/>
      </c>
      <c r="F86" s="65" t="str">
        <f aca="false">IF($B86="","",D86*E86)</f>
        <v/>
      </c>
      <c r="G86" s="65" t="str">
        <f aca="false">IF($B86="","",INDEX('3. COSTEO'!$M$8:$M$57,MATCH($B86,'3. COSTEO'!$B$8:$B$57,0)))</f>
        <v/>
      </c>
      <c r="H86" s="65" t="str">
        <f aca="false">IF($B86="","",D86*G86)</f>
        <v/>
      </c>
      <c r="I86" s="65" t="str">
        <f aca="false">IF($B86="","",F86-H86)</f>
        <v/>
      </c>
      <c r="J86" s="61" t="str">
        <f aca="false">IF(OR($B86="",F86=0),"",I86/F86)</f>
        <v/>
      </c>
    </row>
    <row r="87" customFormat="false" ht="15" hidden="false" customHeight="false" outlineLevel="0" collapsed="false">
      <c r="A87" s="76"/>
      <c r="B87" s="63"/>
      <c r="C87" s="9"/>
      <c r="D87" s="64"/>
      <c r="E87" s="77" t="str">
        <f aca="false">IF($B87="","",IF($C87="Mayoreo",INDEX('3. COSTEO'!$R$8:$R$57,MATCH($B87,'3. COSTEO'!$B$8:$B$57,0)),INDEX('3. COSTEO'!$O$8:$O$57,MATCH($B87,'3. COSTEO'!$B$8:$B$57,0))))</f>
        <v/>
      </c>
      <c r="F87" s="65" t="str">
        <f aca="false">IF($B87="","",D87*E87)</f>
        <v/>
      </c>
      <c r="G87" s="65" t="str">
        <f aca="false">IF($B87="","",INDEX('3. COSTEO'!$M$8:$M$57,MATCH($B87,'3. COSTEO'!$B$8:$B$57,0)))</f>
        <v/>
      </c>
      <c r="H87" s="65" t="str">
        <f aca="false">IF($B87="","",D87*G87)</f>
        <v/>
      </c>
      <c r="I87" s="65" t="str">
        <f aca="false">IF($B87="","",F87-H87)</f>
        <v/>
      </c>
      <c r="J87" s="61" t="str">
        <f aca="false">IF(OR($B87="",F87=0),"",I87/F87)</f>
        <v/>
      </c>
    </row>
    <row r="88" customFormat="false" ht="15" hidden="false" customHeight="false" outlineLevel="0" collapsed="false">
      <c r="A88" s="76"/>
      <c r="B88" s="63"/>
      <c r="C88" s="9"/>
      <c r="D88" s="64"/>
      <c r="E88" s="77" t="str">
        <f aca="false">IF($B88="","",IF($C88="Mayoreo",INDEX('3. COSTEO'!$R$8:$R$57,MATCH($B88,'3. COSTEO'!$B$8:$B$57,0)),INDEX('3. COSTEO'!$O$8:$O$57,MATCH($B88,'3. COSTEO'!$B$8:$B$57,0))))</f>
        <v/>
      </c>
      <c r="F88" s="65" t="str">
        <f aca="false">IF($B88="","",D88*E88)</f>
        <v/>
      </c>
      <c r="G88" s="65" t="str">
        <f aca="false">IF($B88="","",INDEX('3. COSTEO'!$M$8:$M$57,MATCH($B88,'3. COSTEO'!$B$8:$B$57,0)))</f>
        <v/>
      </c>
      <c r="H88" s="65" t="str">
        <f aca="false">IF($B88="","",D88*G88)</f>
        <v/>
      </c>
      <c r="I88" s="65" t="str">
        <f aca="false">IF($B88="","",F88-H88)</f>
        <v/>
      </c>
      <c r="J88" s="61" t="str">
        <f aca="false">IF(OR($B88="",F88=0),"",I88/F88)</f>
        <v/>
      </c>
    </row>
    <row r="89" customFormat="false" ht="15" hidden="false" customHeight="false" outlineLevel="0" collapsed="false">
      <c r="A89" s="76"/>
      <c r="B89" s="63"/>
      <c r="C89" s="9"/>
      <c r="D89" s="64"/>
      <c r="E89" s="77" t="str">
        <f aca="false">IF($B89="","",IF($C89="Mayoreo",INDEX('3. COSTEO'!$R$8:$R$57,MATCH($B89,'3. COSTEO'!$B$8:$B$57,0)),INDEX('3. COSTEO'!$O$8:$O$57,MATCH($B89,'3. COSTEO'!$B$8:$B$57,0))))</f>
        <v/>
      </c>
      <c r="F89" s="65" t="str">
        <f aca="false">IF($B89="","",D89*E89)</f>
        <v/>
      </c>
      <c r="G89" s="65" t="str">
        <f aca="false">IF($B89="","",INDEX('3. COSTEO'!$M$8:$M$57,MATCH($B89,'3. COSTEO'!$B$8:$B$57,0)))</f>
        <v/>
      </c>
      <c r="H89" s="65" t="str">
        <f aca="false">IF($B89="","",D89*G89)</f>
        <v/>
      </c>
      <c r="I89" s="65" t="str">
        <f aca="false">IF($B89="","",F89-H89)</f>
        <v/>
      </c>
      <c r="J89" s="61" t="str">
        <f aca="false">IF(OR($B89="",F89=0),"",I89/F89)</f>
        <v/>
      </c>
    </row>
    <row r="90" customFormat="false" ht="15" hidden="false" customHeight="false" outlineLevel="0" collapsed="false">
      <c r="A90" s="76"/>
      <c r="B90" s="63"/>
      <c r="C90" s="9"/>
      <c r="D90" s="64"/>
      <c r="E90" s="77" t="str">
        <f aca="false">IF($B90="","",IF($C90="Mayoreo",INDEX('3. COSTEO'!$R$8:$R$57,MATCH($B90,'3. COSTEO'!$B$8:$B$57,0)),INDEX('3. COSTEO'!$O$8:$O$57,MATCH($B90,'3. COSTEO'!$B$8:$B$57,0))))</f>
        <v/>
      </c>
      <c r="F90" s="65" t="str">
        <f aca="false">IF($B90="","",D90*E90)</f>
        <v/>
      </c>
      <c r="G90" s="65" t="str">
        <f aca="false">IF($B90="","",INDEX('3. COSTEO'!$M$8:$M$57,MATCH($B90,'3. COSTEO'!$B$8:$B$57,0)))</f>
        <v/>
      </c>
      <c r="H90" s="65" t="str">
        <f aca="false">IF($B90="","",D90*G90)</f>
        <v/>
      </c>
      <c r="I90" s="65" t="str">
        <f aca="false">IF($B90="","",F90-H90)</f>
        <v/>
      </c>
      <c r="J90" s="61" t="str">
        <f aca="false">IF(OR($B90="",F90=0),"",I90/F90)</f>
        <v/>
      </c>
    </row>
    <row r="91" customFormat="false" ht="15" hidden="false" customHeight="false" outlineLevel="0" collapsed="false">
      <c r="A91" s="76"/>
      <c r="B91" s="63"/>
      <c r="C91" s="9"/>
      <c r="D91" s="64"/>
      <c r="E91" s="77" t="str">
        <f aca="false">IF($B91="","",IF($C91="Mayoreo",INDEX('3. COSTEO'!$R$8:$R$57,MATCH($B91,'3. COSTEO'!$B$8:$B$57,0)),INDEX('3. COSTEO'!$O$8:$O$57,MATCH($B91,'3. COSTEO'!$B$8:$B$57,0))))</f>
        <v/>
      </c>
      <c r="F91" s="65" t="str">
        <f aca="false">IF($B91="","",D91*E91)</f>
        <v/>
      </c>
      <c r="G91" s="65" t="str">
        <f aca="false">IF($B91="","",INDEX('3. COSTEO'!$M$8:$M$57,MATCH($B91,'3. COSTEO'!$B$8:$B$57,0)))</f>
        <v/>
      </c>
      <c r="H91" s="65" t="str">
        <f aca="false">IF($B91="","",D91*G91)</f>
        <v/>
      </c>
      <c r="I91" s="65" t="str">
        <f aca="false">IF($B91="","",F91-H91)</f>
        <v/>
      </c>
      <c r="J91" s="61" t="str">
        <f aca="false">IF(OR($B91="",F91=0),"",I91/F91)</f>
        <v/>
      </c>
    </row>
    <row r="92" customFormat="false" ht="15" hidden="false" customHeight="false" outlineLevel="0" collapsed="false">
      <c r="A92" s="76"/>
      <c r="B92" s="63"/>
      <c r="C92" s="9"/>
      <c r="D92" s="64"/>
      <c r="E92" s="77" t="str">
        <f aca="false">IF($B92="","",IF($C92="Mayoreo",INDEX('3. COSTEO'!$R$8:$R$57,MATCH($B92,'3. COSTEO'!$B$8:$B$57,0)),INDEX('3. COSTEO'!$O$8:$O$57,MATCH($B92,'3. COSTEO'!$B$8:$B$57,0))))</f>
        <v/>
      </c>
      <c r="F92" s="65" t="str">
        <f aca="false">IF($B92="","",D92*E92)</f>
        <v/>
      </c>
      <c r="G92" s="65" t="str">
        <f aca="false">IF($B92="","",INDEX('3. COSTEO'!$M$8:$M$57,MATCH($B92,'3. COSTEO'!$B$8:$B$57,0)))</f>
        <v/>
      </c>
      <c r="H92" s="65" t="str">
        <f aca="false">IF($B92="","",D92*G92)</f>
        <v/>
      </c>
      <c r="I92" s="65" t="str">
        <f aca="false">IF($B92="","",F92-H92)</f>
        <v/>
      </c>
      <c r="J92" s="61" t="str">
        <f aca="false">IF(OR($B92="",F92=0),"",I92/F92)</f>
        <v/>
      </c>
    </row>
    <row r="93" customFormat="false" ht="15" hidden="false" customHeight="false" outlineLevel="0" collapsed="false">
      <c r="A93" s="76"/>
      <c r="B93" s="63"/>
      <c r="C93" s="9"/>
      <c r="D93" s="64"/>
      <c r="E93" s="77" t="str">
        <f aca="false">IF($B93="","",IF($C93="Mayoreo",INDEX('3. COSTEO'!$R$8:$R$57,MATCH($B93,'3. COSTEO'!$B$8:$B$57,0)),INDEX('3. COSTEO'!$O$8:$O$57,MATCH($B93,'3. COSTEO'!$B$8:$B$57,0))))</f>
        <v/>
      </c>
      <c r="F93" s="65" t="str">
        <f aca="false">IF($B93="","",D93*E93)</f>
        <v/>
      </c>
      <c r="G93" s="65" t="str">
        <f aca="false">IF($B93="","",INDEX('3. COSTEO'!$M$8:$M$57,MATCH($B93,'3. COSTEO'!$B$8:$B$57,0)))</f>
        <v/>
      </c>
      <c r="H93" s="65" t="str">
        <f aca="false">IF($B93="","",D93*G93)</f>
        <v/>
      </c>
      <c r="I93" s="65" t="str">
        <f aca="false">IF($B93="","",F93-H93)</f>
        <v/>
      </c>
      <c r="J93" s="61" t="str">
        <f aca="false">IF(OR($B93="",F93=0),"",I93/F93)</f>
        <v/>
      </c>
    </row>
    <row r="94" customFormat="false" ht="15" hidden="false" customHeight="false" outlineLevel="0" collapsed="false">
      <c r="A94" s="76"/>
      <c r="B94" s="63"/>
      <c r="C94" s="9"/>
      <c r="D94" s="64"/>
      <c r="E94" s="77" t="str">
        <f aca="false">IF($B94="","",IF($C94="Mayoreo",INDEX('3. COSTEO'!$R$8:$R$57,MATCH($B94,'3. COSTEO'!$B$8:$B$57,0)),INDEX('3. COSTEO'!$O$8:$O$57,MATCH($B94,'3. COSTEO'!$B$8:$B$57,0))))</f>
        <v/>
      </c>
      <c r="F94" s="65" t="str">
        <f aca="false">IF($B94="","",D94*E94)</f>
        <v/>
      </c>
      <c r="G94" s="65" t="str">
        <f aca="false">IF($B94="","",INDEX('3. COSTEO'!$M$8:$M$57,MATCH($B94,'3. COSTEO'!$B$8:$B$57,0)))</f>
        <v/>
      </c>
      <c r="H94" s="65" t="str">
        <f aca="false">IF($B94="","",D94*G94)</f>
        <v/>
      </c>
      <c r="I94" s="65" t="str">
        <f aca="false">IF($B94="","",F94-H94)</f>
        <v/>
      </c>
      <c r="J94" s="61" t="str">
        <f aca="false">IF(OR($B94="",F94=0),"",I94/F94)</f>
        <v/>
      </c>
    </row>
    <row r="95" customFormat="false" ht="15" hidden="false" customHeight="false" outlineLevel="0" collapsed="false">
      <c r="A95" s="76"/>
      <c r="B95" s="63"/>
      <c r="C95" s="9"/>
      <c r="D95" s="64"/>
      <c r="E95" s="77" t="str">
        <f aca="false">IF($B95="","",IF($C95="Mayoreo",INDEX('3. COSTEO'!$R$8:$R$57,MATCH($B95,'3. COSTEO'!$B$8:$B$57,0)),INDEX('3. COSTEO'!$O$8:$O$57,MATCH($B95,'3. COSTEO'!$B$8:$B$57,0))))</f>
        <v/>
      </c>
      <c r="F95" s="65" t="str">
        <f aca="false">IF($B95="","",D95*E95)</f>
        <v/>
      </c>
      <c r="G95" s="65" t="str">
        <f aca="false">IF($B95="","",INDEX('3. COSTEO'!$M$8:$M$57,MATCH($B95,'3. COSTEO'!$B$8:$B$57,0)))</f>
        <v/>
      </c>
      <c r="H95" s="65" t="str">
        <f aca="false">IF($B95="","",D95*G95)</f>
        <v/>
      </c>
      <c r="I95" s="65" t="str">
        <f aca="false">IF($B95="","",F95-H95)</f>
        <v/>
      </c>
      <c r="J95" s="61" t="str">
        <f aca="false">IF(OR($B95="",F95=0),"",I95/F95)</f>
        <v/>
      </c>
    </row>
    <row r="96" customFormat="false" ht="15" hidden="false" customHeight="false" outlineLevel="0" collapsed="false">
      <c r="A96" s="76"/>
      <c r="B96" s="63"/>
      <c r="C96" s="9"/>
      <c r="D96" s="64"/>
      <c r="E96" s="77" t="str">
        <f aca="false">IF($B96="","",IF($C96="Mayoreo",INDEX('3. COSTEO'!$R$8:$R$57,MATCH($B96,'3. COSTEO'!$B$8:$B$57,0)),INDEX('3. COSTEO'!$O$8:$O$57,MATCH($B96,'3. COSTEO'!$B$8:$B$57,0))))</f>
        <v/>
      </c>
      <c r="F96" s="65" t="str">
        <f aca="false">IF($B96="","",D96*E96)</f>
        <v/>
      </c>
      <c r="G96" s="65" t="str">
        <f aca="false">IF($B96="","",INDEX('3. COSTEO'!$M$8:$M$57,MATCH($B96,'3. COSTEO'!$B$8:$B$57,0)))</f>
        <v/>
      </c>
      <c r="H96" s="65" t="str">
        <f aca="false">IF($B96="","",D96*G96)</f>
        <v/>
      </c>
      <c r="I96" s="65" t="str">
        <f aca="false">IF($B96="","",F96-H96)</f>
        <v/>
      </c>
      <c r="J96" s="61" t="str">
        <f aca="false">IF(OR($B96="",F96=0),"",I96/F96)</f>
        <v/>
      </c>
    </row>
    <row r="97" customFormat="false" ht="15" hidden="false" customHeight="false" outlineLevel="0" collapsed="false">
      <c r="A97" s="76"/>
      <c r="B97" s="63"/>
      <c r="C97" s="9"/>
      <c r="D97" s="64"/>
      <c r="E97" s="77" t="str">
        <f aca="false">IF($B97="","",IF($C97="Mayoreo",INDEX('3. COSTEO'!$R$8:$R$57,MATCH($B97,'3. COSTEO'!$B$8:$B$57,0)),INDEX('3. COSTEO'!$O$8:$O$57,MATCH($B97,'3. COSTEO'!$B$8:$B$57,0))))</f>
        <v/>
      </c>
      <c r="F97" s="65" t="str">
        <f aca="false">IF($B97="","",D97*E97)</f>
        <v/>
      </c>
      <c r="G97" s="65" t="str">
        <f aca="false">IF($B97="","",INDEX('3. COSTEO'!$M$8:$M$57,MATCH($B97,'3. COSTEO'!$B$8:$B$57,0)))</f>
        <v/>
      </c>
      <c r="H97" s="65" t="str">
        <f aca="false">IF($B97="","",D97*G97)</f>
        <v/>
      </c>
      <c r="I97" s="65" t="str">
        <f aca="false">IF($B97="","",F97-H97)</f>
        <v/>
      </c>
      <c r="J97" s="61" t="str">
        <f aca="false">IF(OR($B97="",F97=0),"",I97/F97)</f>
        <v/>
      </c>
    </row>
    <row r="98" customFormat="false" ht="15" hidden="false" customHeight="false" outlineLevel="0" collapsed="false">
      <c r="A98" s="76"/>
      <c r="B98" s="63"/>
      <c r="C98" s="9"/>
      <c r="D98" s="64"/>
      <c r="E98" s="77" t="str">
        <f aca="false">IF($B98="","",IF($C98="Mayoreo",INDEX('3. COSTEO'!$R$8:$R$57,MATCH($B98,'3. COSTEO'!$B$8:$B$57,0)),INDEX('3. COSTEO'!$O$8:$O$57,MATCH($B98,'3. COSTEO'!$B$8:$B$57,0))))</f>
        <v/>
      </c>
      <c r="F98" s="65" t="str">
        <f aca="false">IF($B98="","",D98*E98)</f>
        <v/>
      </c>
      <c r="G98" s="65" t="str">
        <f aca="false">IF($B98="","",INDEX('3. COSTEO'!$M$8:$M$57,MATCH($B98,'3. COSTEO'!$B$8:$B$57,0)))</f>
        <v/>
      </c>
      <c r="H98" s="65" t="str">
        <f aca="false">IF($B98="","",D98*G98)</f>
        <v/>
      </c>
      <c r="I98" s="65" t="str">
        <f aca="false">IF($B98="","",F98-H98)</f>
        <v/>
      </c>
      <c r="J98" s="61" t="str">
        <f aca="false">IF(OR($B98="",F98=0),"",I98/F98)</f>
        <v/>
      </c>
    </row>
    <row r="99" customFormat="false" ht="15" hidden="false" customHeight="false" outlineLevel="0" collapsed="false">
      <c r="A99" s="76"/>
      <c r="B99" s="63"/>
      <c r="C99" s="9"/>
      <c r="D99" s="64"/>
      <c r="E99" s="77" t="str">
        <f aca="false">IF($B99="","",IF($C99="Mayoreo",INDEX('3. COSTEO'!$R$8:$R$57,MATCH($B99,'3. COSTEO'!$B$8:$B$57,0)),INDEX('3. COSTEO'!$O$8:$O$57,MATCH($B99,'3. COSTEO'!$B$8:$B$57,0))))</f>
        <v/>
      </c>
      <c r="F99" s="65" t="str">
        <f aca="false">IF($B99="","",D99*E99)</f>
        <v/>
      </c>
      <c r="G99" s="65" t="str">
        <f aca="false">IF($B99="","",INDEX('3. COSTEO'!$M$8:$M$57,MATCH($B99,'3. COSTEO'!$B$8:$B$57,0)))</f>
        <v/>
      </c>
      <c r="H99" s="65" t="str">
        <f aca="false">IF($B99="","",D99*G99)</f>
        <v/>
      </c>
      <c r="I99" s="65" t="str">
        <f aca="false">IF($B99="","",F99-H99)</f>
        <v/>
      </c>
      <c r="J99" s="61" t="str">
        <f aca="false">IF(OR($B99="",F99=0),"",I99/F99)</f>
        <v/>
      </c>
    </row>
    <row r="100" customFormat="false" ht="15" hidden="false" customHeight="false" outlineLevel="0" collapsed="false">
      <c r="A100" s="76"/>
      <c r="B100" s="63"/>
      <c r="C100" s="9"/>
      <c r="D100" s="64"/>
      <c r="E100" s="77" t="str">
        <f aca="false">IF($B100="","",IF($C100="Mayoreo",INDEX('3. COSTEO'!$R$8:$R$57,MATCH($B100,'3. COSTEO'!$B$8:$B$57,0)),INDEX('3. COSTEO'!$O$8:$O$57,MATCH($B100,'3. COSTEO'!$B$8:$B$57,0))))</f>
        <v/>
      </c>
      <c r="F100" s="65" t="str">
        <f aca="false">IF($B100="","",D100*E100)</f>
        <v/>
      </c>
      <c r="G100" s="65" t="str">
        <f aca="false">IF($B100="","",INDEX('3. COSTEO'!$M$8:$M$57,MATCH($B100,'3. COSTEO'!$B$8:$B$57,0)))</f>
        <v/>
      </c>
      <c r="H100" s="65" t="str">
        <f aca="false">IF($B100="","",D100*G100)</f>
        <v/>
      </c>
      <c r="I100" s="65" t="str">
        <f aca="false">IF($B100="","",F100-H100)</f>
        <v/>
      </c>
      <c r="J100" s="61" t="str">
        <f aca="false">IF(OR($B100="",F100=0),"",I100/F100)</f>
        <v/>
      </c>
    </row>
    <row r="101" customFormat="false" ht="15" hidden="false" customHeight="false" outlineLevel="0" collapsed="false">
      <c r="A101" s="76"/>
      <c r="B101" s="63"/>
      <c r="C101" s="9"/>
      <c r="D101" s="64"/>
      <c r="E101" s="77" t="str">
        <f aca="false">IF($B101="","",IF($C101="Mayoreo",INDEX('3. COSTEO'!$R$8:$R$57,MATCH($B101,'3. COSTEO'!$B$8:$B$57,0)),INDEX('3. COSTEO'!$O$8:$O$57,MATCH($B101,'3. COSTEO'!$B$8:$B$57,0))))</f>
        <v/>
      </c>
      <c r="F101" s="65" t="str">
        <f aca="false">IF($B101="","",D101*E101)</f>
        <v/>
      </c>
      <c r="G101" s="65" t="str">
        <f aca="false">IF($B101="","",INDEX('3. COSTEO'!$M$8:$M$57,MATCH($B101,'3. COSTEO'!$B$8:$B$57,0)))</f>
        <v/>
      </c>
      <c r="H101" s="65" t="str">
        <f aca="false">IF($B101="","",D101*G101)</f>
        <v/>
      </c>
      <c r="I101" s="65" t="str">
        <f aca="false">IF($B101="","",F101-H101)</f>
        <v/>
      </c>
      <c r="J101" s="61" t="str">
        <f aca="false">IF(OR($B101="",F101=0),"",I101/F101)</f>
        <v/>
      </c>
    </row>
    <row r="102" customFormat="false" ht="15" hidden="false" customHeight="false" outlineLevel="0" collapsed="false">
      <c r="A102" s="76"/>
      <c r="B102" s="63"/>
      <c r="C102" s="9"/>
      <c r="D102" s="64"/>
      <c r="E102" s="77" t="str">
        <f aca="false">IF($B102="","",IF($C102="Mayoreo",INDEX('3. COSTEO'!$R$8:$R$57,MATCH($B102,'3. COSTEO'!$B$8:$B$57,0)),INDEX('3. COSTEO'!$O$8:$O$57,MATCH($B102,'3. COSTEO'!$B$8:$B$57,0))))</f>
        <v/>
      </c>
      <c r="F102" s="65" t="str">
        <f aca="false">IF($B102="","",D102*E102)</f>
        <v/>
      </c>
      <c r="G102" s="65" t="str">
        <f aca="false">IF($B102="","",INDEX('3. COSTEO'!$M$8:$M$57,MATCH($B102,'3. COSTEO'!$B$8:$B$57,0)))</f>
        <v/>
      </c>
      <c r="H102" s="65" t="str">
        <f aca="false">IF($B102="","",D102*G102)</f>
        <v/>
      </c>
      <c r="I102" s="65" t="str">
        <f aca="false">IF($B102="","",F102-H102)</f>
        <v/>
      </c>
      <c r="J102" s="61" t="str">
        <f aca="false">IF(OR($B102="",F102=0),"",I102/F102)</f>
        <v/>
      </c>
    </row>
    <row r="103" customFormat="false" ht="15" hidden="false" customHeight="false" outlineLevel="0" collapsed="false">
      <c r="A103" s="76"/>
      <c r="B103" s="63"/>
      <c r="C103" s="9"/>
      <c r="D103" s="64"/>
      <c r="E103" s="77" t="str">
        <f aca="false">IF($B103="","",IF($C103="Mayoreo",INDEX('3. COSTEO'!$R$8:$R$57,MATCH($B103,'3. COSTEO'!$B$8:$B$57,0)),INDEX('3. COSTEO'!$O$8:$O$57,MATCH($B103,'3. COSTEO'!$B$8:$B$57,0))))</f>
        <v/>
      </c>
      <c r="F103" s="65" t="str">
        <f aca="false">IF($B103="","",D103*E103)</f>
        <v/>
      </c>
      <c r="G103" s="65" t="str">
        <f aca="false">IF($B103="","",INDEX('3. COSTEO'!$M$8:$M$57,MATCH($B103,'3. COSTEO'!$B$8:$B$57,0)))</f>
        <v/>
      </c>
      <c r="H103" s="65" t="str">
        <f aca="false">IF($B103="","",D103*G103)</f>
        <v/>
      </c>
      <c r="I103" s="65" t="str">
        <f aca="false">IF($B103="","",F103-H103)</f>
        <v/>
      </c>
      <c r="J103" s="61" t="str">
        <f aca="false">IF(OR($B103="",F103=0),"",I103/F103)</f>
        <v/>
      </c>
    </row>
    <row r="104" customFormat="false" ht="15" hidden="false" customHeight="false" outlineLevel="0" collapsed="false">
      <c r="A104" s="76"/>
      <c r="B104" s="63"/>
      <c r="C104" s="9"/>
      <c r="D104" s="64"/>
      <c r="E104" s="77" t="str">
        <f aca="false">IF($B104="","",IF($C104="Mayoreo",INDEX('3. COSTEO'!$R$8:$R$57,MATCH($B104,'3. COSTEO'!$B$8:$B$57,0)),INDEX('3. COSTEO'!$O$8:$O$57,MATCH($B104,'3. COSTEO'!$B$8:$B$57,0))))</f>
        <v/>
      </c>
      <c r="F104" s="65" t="str">
        <f aca="false">IF($B104="","",D104*E104)</f>
        <v/>
      </c>
      <c r="G104" s="65" t="str">
        <f aca="false">IF($B104="","",INDEX('3. COSTEO'!$M$8:$M$57,MATCH($B104,'3. COSTEO'!$B$8:$B$57,0)))</f>
        <v/>
      </c>
      <c r="H104" s="65" t="str">
        <f aca="false">IF($B104="","",D104*G104)</f>
        <v/>
      </c>
      <c r="I104" s="65" t="str">
        <f aca="false">IF($B104="","",F104-H104)</f>
        <v/>
      </c>
      <c r="J104" s="61" t="str">
        <f aca="false">IF(OR($B104="",F104=0),"",I104/F104)</f>
        <v/>
      </c>
    </row>
    <row r="105" customFormat="false" ht="15" hidden="false" customHeight="false" outlineLevel="0" collapsed="false">
      <c r="A105" s="76"/>
      <c r="B105" s="63"/>
      <c r="C105" s="9"/>
      <c r="D105" s="64"/>
      <c r="E105" s="77" t="str">
        <f aca="false">IF($B105="","",IF($C105="Mayoreo",INDEX('3. COSTEO'!$R$8:$R$57,MATCH($B105,'3. COSTEO'!$B$8:$B$57,0)),INDEX('3. COSTEO'!$O$8:$O$57,MATCH($B105,'3. COSTEO'!$B$8:$B$57,0))))</f>
        <v/>
      </c>
      <c r="F105" s="65" t="str">
        <f aca="false">IF($B105="","",D105*E105)</f>
        <v/>
      </c>
      <c r="G105" s="65" t="str">
        <f aca="false">IF($B105="","",INDEX('3. COSTEO'!$M$8:$M$57,MATCH($B105,'3. COSTEO'!$B$8:$B$57,0)))</f>
        <v/>
      </c>
      <c r="H105" s="65" t="str">
        <f aca="false">IF($B105="","",D105*G105)</f>
        <v/>
      </c>
      <c r="I105" s="65" t="str">
        <f aca="false">IF($B105="","",F105-H105)</f>
        <v/>
      </c>
      <c r="J105" s="61" t="str">
        <f aca="false">IF(OR($B105="",F105=0),"",I105/F105)</f>
        <v/>
      </c>
    </row>
    <row r="106" customFormat="false" ht="15" hidden="false" customHeight="false" outlineLevel="0" collapsed="false">
      <c r="A106" s="76"/>
      <c r="B106" s="63"/>
      <c r="C106" s="9"/>
      <c r="D106" s="64"/>
      <c r="E106" s="77" t="str">
        <f aca="false">IF($B106="","",IF($C106="Mayoreo",INDEX('3. COSTEO'!$R$8:$R$57,MATCH($B106,'3. COSTEO'!$B$8:$B$57,0)),INDEX('3. COSTEO'!$O$8:$O$57,MATCH($B106,'3. COSTEO'!$B$8:$B$57,0))))</f>
        <v/>
      </c>
      <c r="F106" s="65" t="str">
        <f aca="false">IF($B106="","",D106*E106)</f>
        <v/>
      </c>
      <c r="G106" s="65" t="str">
        <f aca="false">IF($B106="","",INDEX('3. COSTEO'!$M$8:$M$57,MATCH($B106,'3. COSTEO'!$B$8:$B$57,0)))</f>
        <v/>
      </c>
      <c r="H106" s="65" t="str">
        <f aca="false">IF($B106="","",D106*G106)</f>
        <v/>
      </c>
      <c r="I106" s="65" t="str">
        <f aca="false">IF($B106="","",F106-H106)</f>
        <v/>
      </c>
      <c r="J106" s="61" t="str">
        <f aca="false">IF(OR($B106="",F106=0),"",I106/F106)</f>
        <v/>
      </c>
    </row>
    <row r="107" customFormat="false" ht="15" hidden="false" customHeight="false" outlineLevel="0" collapsed="false">
      <c r="A107" s="76"/>
      <c r="B107" s="63"/>
      <c r="C107" s="9"/>
      <c r="D107" s="64"/>
      <c r="E107" s="77" t="str">
        <f aca="false">IF($B107="","",IF($C107="Mayoreo",INDEX('3. COSTEO'!$R$8:$R$57,MATCH($B107,'3. COSTEO'!$B$8:$B$57,0)),INDEX('3. COSTEO'!$O$8:$O$57,MATCH($B107,'3. COSTEO'!$B$8:$B$57,0))))</f>
        <v/>
      </c>
      <c r="F107" s="65" t="str">
        <f aca="false">IF($B107="","",D107*E107)</f>
        <v/>
      </c>
      <c r="G107" s="65" t="str">
        <f aca="false">IF($B107="","",INDEX('3. COSTEO'!$M$8:$M$57,MATCH($B107,'3. COSTEO'!$B$8:$B$57,0)))</f>
        <v/>
      </c>
      <c r="H107" s="65" t="str">
        <f aca="false">IF($B107="","",D107*G107)</f>
        <v/>
      </c>
      <c r="I107" s="65" t="str">
        <f aca="false">IF($B107="","",F107-H107)</f>
        <v/>
      </c>
      <c r="J107" s="61" t="str">
        <f aca="false">IF(OR($B107="",F107=0),"",I107/F107)</f>
        <v/>
      </c>
    </row>
    <row r="108" customFormat="false" ht="15" hidden="false" customHeight="false" outlineLevel="0" collapsed="false">
      <c r="A108" s="76"/>
      <c r="B108" s="63"/>
      <c r="C108" s="9"/>
      <c r="D108" s="64"/>
      <c r="E108" s="77" t="str">
        <f aca="false">IF($B108="","",IF($C108="Mayoreo",INDEX('3. COSTEO'!$R$8:$R$57,MATCH($B108,'3. COSTEO'!$B$8:$B$57,0)),INDEX('3. COSTEO'!$O$8:$O$57,MATCH($B108,'3. COSTEO'!$B$8:$B$57,0))))</f>
        <v/>
      </c>
      <c r="F108" s="65" t="str">
        <f aca="false">IF($B108="","",D108*E108)</f>
        <v/>
      </c>
      <c r="G108" s="65" t="str">
        <f aca="false">IF($B108="","",INDEX('3. COSTEO'!$M$8:$M$57,MATCH($B108,'3. COSTEO'!$B$8:$B$57,0)))</f>
        <v/>
      </c>
      <c r="H108" s="65" t="str">
        <f aca="false">IF($B108="","",D108*G108)</f>
        <v/>
      </c>
      <c r="I108" s="65" t="str">
        <f aca="false">IF($B108="","",F108-H108)</f>
        <v/>
      </c>
      <c r="J108" s="61" t="str">
        <f aca="false">IF(OR($B108="",F108=0),"",I108/F108)</f>
        <v/>
      </c>
    </row>
    <row r="109" customFormat="false" ht="15" hidden="false" customHeight="false" outlineLevel="0" collapsed="false">
      <c r="A109" s="76"/>
      <c r="B109" s="63"/>
      <c r="C109" s="9"/>
      <c r="D109" s="64"/>
      <c r="E109" s="77" t="str">
        <f aca="false">IF($B109="","",IF($C109="Mayoreo",INDEX('3. COSTEO'!$R$8:$R$57,MATCH($B109,'3. COSTEO'!$B$8:$B$57,0)),INDEX('3. COSTEO'!$O$8:$O$57,MATCH($B109,'3. COSTEO'!$B$8:$B$57,0))))</f>
        <v/>
      </c>
      <c r="F109" s="65" t="str">
        <f aca="false">IF($B109="","",D109*E109)</f>
        <v/>
      </c>
      <c r="G109" s="65" t="str">
        <f aca="false">IF($B109="","",INDEX('3. COSTEO'!$M$8:$M$57,MATCH($B109,'3. COSTEO'!$B$8:$B$57,0)))</f>
        <v/>
      </c>
      <c r="H109" s="65" t="str">
        <f aca="false">IF($B109="","",D109*G109)</f>
        <v/>
      </c>
      <c r="I109" s="65" t="str">
        <f aca="false">IF($B109="","",F109-H109)</f>
        <v/>
      </c>
      <c r="J109" s="61" t="str">
        <f aca="false">IF(OR($B109="",F109=0),"",I109/F109)</f>
        <v/>
      </c>
    </row>
    <row r="110" customFormat="false" ht="15" hidden="false" customHeight="false" outlineLevel="0" collapsed="false">
      <c r="A110" s="76"/>
      <c r="B110" s="63"/>
      <c r="C110" s="9"/>
      <c r="D110" s="64"/>
      <c r="E110" s="77" t="str">
        <f aca="false">IF($B110="","",IF($C110="Mayoreo",INDEX('3. COSTEO'!$R$8:$R$57,MATCH($B110,'3. COSTEO'!$B$8:$B$57,0)),INDEX('3. COSTEO'!$O$8:$O$57,MATCH($B110,'3. COSTEO'!$B$8:$B$57,0))))</f>
        <v/>
      </c>
      <c r="F110" s="65" t="str">
        <f aca="false">IF($B110="","",D110*E110)</f>
        <v/>
      </c>
      <c r="G110" s="65" t="str">
        <f aca="false">IF($B110="","",INDEX('3. COSTEO'!$M$8:$M$57,MATCH($B110,'3. COSTEO'!$B$8:$B$57,0)))</f>
        <v/>
      </c>
      <c r="H110" s="65" t="str">
        <f aca="false">IF($B110="","",D110*G110)</f>
        <v/>
      </c>
      <c r="I110" s="65" t="str">
        <f aca="false">IF($B110="","",F110-H110)</f>
        <v/>
      </c>
      <c r="J110" s="61" t="str">
        <f aca="false">IF(OR($B110="",F110=0),"",I110/F110)</f>
        <v/>
      </c>
    </row>
    <row r="111" customFormat="false" ht="15" hidden="false" customHeight="false" outlineLevel="0" collapsed="false">
      <c r="A111" s="76"/>
      <c r="B111" s="63"/>
      <c r="C111" s="9"/>
      <c r="D111" s="64"/>
      <c r="E111" s="77" t="str">
        <f aca="false">IF($B111="","",IF($C111="Mayoreo",INDEX('3. COSTEO'!$R$8:$R$57,MATCH($B111,'3. COSTEO'!$B$8:$B$57,0)),INDEX('3. COSTEO'!$O$8:$O$57,MATCH($B111,'3. COSTEO'!$B$8:$B$57,0))))</f>
        <v/>
      </c>
      <c r="F111" s="65" t="str">
        <f aca="false">IF($B111="","",D111*E111)</f>
        <v/>
      </c>
      <c r="G111" s="65" t="str">
        <f aca="false">IF($B111="","",INDEX('3. COSTEO'!$M$8:$M$57,MATCH($B111,'3. COSTEO'!$B$8:$B$57,0)))</f>
        <v/>
      </c>
      <c r="H111" s="65" t="str">
        <f aca="false">IF($B111="","",D111*G111)</f>
        <v/>
      </c>
      <c r="I111" s="65" t="str">
        <f aca="false">IF($B111="","",F111-H111)</f>
        <v/>
      </c>
      <c r="J111" s="61" t="str">
        <f aca="false">IF(OR($B111="",F111=0),"",I111/F111)</f>
        <v/>
      </c>
    </row>
    <row r="112" customFormat="false" ht="15" hidden="false" customHeight="false" outlineLevel="0" collapsed="false">
      <c r="A112" s="76"/>
      <c r="B112" s="63"/>
      <c r="C112" s="9"/>
      <c r="D112" s="64"/>
      <c r="E112" s="77" t="str">
        <f aca="false">IF($B112="","",IF($C112="Mayoreo",INDEX('3. COSTEO'!$R$8:$R$57,MATCH($B112,'3. COSTEO'!$B$8:$B$57,0)),INDEX('3. COSTEO'!$O$8:$O$57,MATCH($B112,'3. COSTEO'!$B$8:$B$57,0))))</f>
        <v/>
      </c>
      <c r="F112" s="65" t="str">
        <f aca="false">IF($B112="","",D112*E112)</f>
        <v/>
      </c>
      <c r="G112" s="65" t="str">
        <f aca="false">IF($B112="","",INDEX('3. COSTEO'!$M$8:$M$57,MATCH($B112,'3. COSTEO'!$B$8:$B$57,0)))</f>
        <v/>
      </c>
      <c r="H112" s="65" t="str">
        <f aca="false">IF($B112="","",D112*G112)</f>
        <v/>
      </c>
      <c r="I112" s="65" t="str">
        <f aca="false">IF($B112="","",F112-H112)</f>
        <v/>
      </c>
      <c r="J112" s="61" t="str">
        <f aca="false">IF(OR($B112="",F112=0),"",I112/F112)</f>
        <v/>
      </c>
    </row>
    <row r="113" customFormat="false" ht="15" hidden="false" customHeight="false" outlineLevel="0" collapsed="false">
      <c r="A113" s="76"/>
      <c r="B113" s="63"/>
      <c r="C113" s="9"/>
      <c r="D113" s="64"/>
      <c r="E113" s="77" t="str">
        <f aca="false">IF($B113="","",IF($C113="Mayoreo",INDEX('3. COSTEO'!$R$8:$R$57,MATCH($B113,'3. COSTEO'!$B$8:$B$57,0)),INDEX('3. COSTEO'!$O$8:$O$57,MATCH($B113,'3. COSTEO'!$B$8:$B$57,0))))</f>
        <v/>
      </c>
      <c r="F113" s="65" t="str">
        <f aca="false">IF($B113="","",D113*E113)</f>
        <v/>
      </c>
      <c r="G113" s="65" t="str">
        <f aca="false">IF($B113="","",INDEX('3. COSTEO'!$M$8:$M$57,MATCH($B113,'3. COSTEO'!$B$8:$B$57,0)))</f>
        <v/>
      </c>
      <c r="H113" s="65" t="str">
        <f aca="false">IF($B113="","",D113*G113)</f>
        <v/>
      </c>
      <c r="I113" s="65" t="str">
        <f aca="false">IF($B113="","",F113-H113)</f>
        <v/>
      </c>
      <c r="J113" s="61" t="str">
        <f aca="false">IF(OR($B113="",F113=0),"",I113/F113)</f>
        <v/>
      </c>
    </row>
    <row r="114" customFormat="false" ht="15" hidden="false" customHeight="false" outlineLevel="0" collapsed="false">
      <c r="A114" s="76"/>
      <c r="B114" s="63"/>
      <c r="C114" s="9"/>
      <c r="D114" s="64"/>
      <c r="E114" s="77" t="str">
        <f aca="false">IF($B114="","",IF($C114="Mayoreo",INDEX('3. COSTEO'!$R$8:$R$57,MATCH($B114,'3. COSTEO'!$B$8:$B$57,0)),INDEX('3. COSTEO'!$O$8:$O$57,MATCH($B114,'3. COSTEO'!$B$8:$B$57,0))))</f>
        <v/>
      </c>
      <c r="F114" s="65" t="str">
        <f aca="false">IF($B114="","",D114*E114)</f>
        <v/>
      </c>
      <c r="G114" s="65" t="str">
        <f aca="false">IF($B114="","",INDEX('3. COSTEO'!$M$8:$M$57,MATCH($B114,'3. COSTEO'!$B$8:$B$57,0)))</f>
        <v/>
      </c>
      <c r="H114" s="65" t="str">
        <f aca="false">IF($B114="","",D114*G114)</f>
        <v/>
      </c>
      <c r="I114" s="65" t="str">
        <f aca="false">IF($B114="","",F114-H114)</f>
        <v/>
      </c>
      <c r="J114" s="61" t="str">
        <f aca="false">IF(OR($B114="",F114=0),"",I114/F114)</f>
        <v/>
      </c>
    </row>
    <row r="116" customFormat="false" ht="15" hidden="false" customHeight="false" outlineLevel="0" collapsed="false">
      <c r="A116" s="15" t="s">
        <v>580</v>
      </c>
      <c r="B116" s="15"/>
      <c r="C116" s="15"/>
      <c r="D116" s="15"/>
      <c r="E116" s="15"/>
      <c r="F116" s="15"/>
      <c r="G116" s="15"/>
      <c r="H116" s="15"/>
      <c r="I116" s="15"/>
      <c r="J116" s="15"/>
    </row>
  </sheetData>
  <mergeCells count="4">
    <mergeCell ref="A1:J1"/>
    <mergeCell ref="A2:J2"/>
    <mergeCell ref="A3:J3"/>
    <mergeCell ref="A116:J116"/>
  </mergeCells>
  <dataValidations count="2">
    <dataValidation allowBlank="true" errorStyle="stop" operator="between" showDropDown="false" showErrorMessage="false" showInputMessage="false" sqref="B15:B114" type="list">
      <formula1>LISTAS!$A$2:$A$51</formula1>
      <formula2>0</formula2>
    </dataValidation>
    <dataValidation allowBlank="true" errorStyle="stop" operator="between" showDropDown="false" showErrorMessage="false" showInputMessage="false" sqref="C15:C114" type="list">
      <formula1>LISTAS!$C$2:$C$6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2E7E"/>
    <pageSetUpPr fitToPage="true"/>
  </sheetPr>
  <dimension ref="A1:Z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7" min="4" style="0" width="16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581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 t="s">
        <v>582</v>
      </c>
      <c r="B3" s="3"/>
      <c r="C3" s="3"/>
      <c r="D3" s="3"/>
      <c r="E3" s="3"/>
      <c r="F3" s="3"/>
      <c r="G3" s="3"/>
    </row>
    <row r="4" customFormat="false" ht="3.7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6" customFormat="false" ht="15" hidden="false" customHeight="false" outlineLevel="0" collapsed="false">
      <c r="B6" s="5" t="s">
        <v>583</v>
      </c>
    </row>
    <row r="7" customFormat="false" ht="15" hidden="false" customHeight="false" outlineLevel="0" collapsed="false">
      <c r="B7" s="16" t="s">
        <v>584</v>
      </c>
      <c r="C7" s="78" t="n">
        <f aca="false">PANEL!$C$13</f>
        <v>4000</v>
      </c>
    </row>
    <row r="8" customFormat="false" ht="15" hidden="false" customHeight="false" outlineLevel="0" collapsed="false">
      <c r="B8" s="16" t="s">
        <v>585</v>
      </c>
      <c r="C8" s="78" t="n">
        <f aca="false">AVERAGE('3. COSTEO'!$O$8:$O$57)</f>
        <v>118.8</v>
      </c>
    </row>
    <row r="9" customFormat="false" ht="15" hidden="false" customHeight="false" outlineLevel="0" collapsed="false">
      <c r="B9" s="16" t="s">
        <v>586</v>
      </c>
      <c r="C9" s="78" t="n">
        <f aca="false">AVERAGE('3. COSTEO'!$M$8:$M$57)-PANEL!$C$15</f>
        <v>36.5359565542311</v>
      </c>
    </row>
    <row r="10" customFormat="false" ht="15" hidden="false" customHeight="false" outlineLevel="0" collapsed="false">
      <c r="B10" s="16" t="s">
        <v>587</v>
      </c>
      <c r="C10" s="78" t="n">
        <f aca="false">C8-C9</f>
        <v>82.2640434457689</v>
      </c>
    </row>
    <row r="11" customFormat="false" ht="15" hidden="false" customHeight="false" outlineLevel="0" collapsed="false">
      <c r="B11" s="16" t="s">
        <v>588</v>
      </c>
      <c r="C11" s="79" t="n">
        <f aca="false">IF(C8=0,0,C10/C8)</f>
        <v>0.692458278163038</v>
      </c>
    </row>
    <row r="13" customFormat="false" ht="15" hidden="false" customHeight="false" outlineLevel="0" collapsed="false">
      <c r="B13" s="5" t="s">
        <v>589</v>
      </c>
    </row>
    <row r="14" customFormat="false" ht="15" hidden="false" customHeight="false" outlineLevel="0" collapsed="false">
      <c r="B14" s="16" t="s">
        <v>590</v>
      </c>
      <c r="C14" s="80" t="n">
        <f aca="false">IF(C10&lt;=0,0,ROUNDUP(C7/C10,0))</f>
        <v>49</v>
      </c>
    </row>
    <row r="15" customFormat="false" ht="15" hidden="false" customHeight="false" outlineLevel="0" collapsed="false">
      <c r="B15" s="16" t="s">
        <v>591</v>
      </c>
      <c r="C15" s="80" t="n">
        <f aca="false">ROUNDUP(C14/4.33,0)</f>
        <v>12</v>
      </c>
    </row>
    <row r="16" customFormat="false" ht="15" hidden="false" customHeight="false" outlineLevel="0" collapsed="false">
      <c r="B16" s="16" t="s">
        <v>592</v>
      </c>
      <c r="C16" s="80" t="n">
        <f aca="false">ROUNDUP(C15/6,0)</f>
        <v>2</v>
      </c>
    </row>
    <row r="17" customFormat="false" ht="15" hidden="false" customHeight="false" outlineLevel="0" collapsed="false">
      <c r="B17" s="16" t="s">
        <v>593</v>
      </c>
      <c r="C17" s="81" t="n">
        <f aca="false">C14*C8</f>
        <v>5821.2</v>
      </c>
    </row>
    <row r="19" customFormat="false" ht="15" hidden="false" customHeight="false" outlineLevel="0" collapsed="false">
      <c r="B19" s="5" t="s">
        <v>594</v>
      </c>
    </row>
    <row r="20" customFormat="false" ht="31.5" hidden="false" customHeight="true" outlineLevel="0" collapsed="false">
      <c r="A20" s="82"/>
      <c r="B20" s="34" t="s">
        <v>595</v>
      </c>
      <c r="C20" s="34" t="s">
        <v>572</v>
      </c>
      <c r="D20" s="34" t="s">
        <v>596</v>
      </c>
      <c r="E20" s="34" t="s">
        <v>597</v>
      </c>
      <c r="F20" s="34" t="s">
        <v>574</v>
      </c>
      <c r="G20" s="34" t="s">
        <v>575</v>
      </c>
    </row>
    <row r="21" customFormat="false" ht="15" hidden="false" customHeight="false" outlineLevel="0" collapsed="false">
      <c r="B21" s="64" t="n">
        <v>50</v>
      </c>
      <c r="C21" s="83" t="n">
        <f aca="false">B21*$C$8</f>
        <v>5940</v>
      </c>
      <c r="D21" s="83" t="n">
        <f aca="false">B21*$C$9</f>
        <v>1826.79782771155</v>
      </c>
      <c r="E21" s="83" t="n">
        <f aca="false">$C$7</f>
        <v>4000</v>
      </c>
      <c r="F21" s="83" t="n">
        <f aca="false">C21-D21-E21</f>
        <v>113.202172288446</v>
      </c>
      <c r="G21" s="61" t="n">
        <f aca="false">IF(C21=0,0,F21/C21)</f>
        <v>0.0190576047623647</v>
      </c>
    </row>
    <row r="22" customFormat="false" ht="15" hidden="false" customHeight="false" outlineLevel="0" collapsed="false">
      <c r="B22" s="64" t="n">
        <v>100</v>
      </c>
      <c r="C22" s="83" t="n">
        <f aca="false">B22*$C$8</f>
        <v>11880</v>
      </c>
      <c r="D22" s="83" t="n">
        <f aca="false">B22*$C$9</f>
        <v>3653.59565542311</v>
      </c>
      <c r="E22" s="83" t="n">
        <f aca="false">$C$7</f>
        <v>4000</v>
      </c>
      <c r="F22" s="83" t="n">
        <f aca="false">C22-D22-E22</f>
        <v>4226.40434457689</v>
      </c>
      <c r="G22" s="61" t="n">
        <f aca="false">IF(C22=0,0,F22/C22)</f>
        <v>0.355757941462701</v>
      </c>
    </row>
    <row r="23" customFormat="false" ht="15" hidden="false" customHeight="false" outlineLevel="0" collapsed="false">
      <c r="B23" s="64" t="n">
        <v>150</v>
      </c>
      <c r="C23" s="83" t="n">
        <f aca="false">B23*$C$8</f>
        <v>17820</v>
      </c>
      <c r="D23" s="83" t="n">
        <f aca="false">B23*$C$9</f>
        <v>5480.39348313466</v>
      </c>
      <c r="E23" s="83" t="n">
        <f aca="false">$C$7</f>
        <v>4000</v>
      </c>
      <c r="F23" s="83" t="n">
        <f aca="false">C23-D23-E23</f>
        <v>8339.60651686534</v>
      </c>
      <c r="G23" s="61" t="n">
        <f aca="false">IF(C23=0,0,F23/C23)</f>
        <v>0.46799138702948</v>
      </c>
    </row>
    <row r="24" customFormat="false" ht="15" hidden="false" customHeight="false" outlineLevel="0" collapsed="false">
      <c r="B24" s="64" t="n">
        <v>200</v>
      </c>
      <c r="C24" s="83" t="n">
        <f aca="false">B24*$C$8</f>
        <v>23760</v>
      </c>
      <c r="D24" s="83" t="n">
        <f aca="false">B24*$C$9</f>
        <v>7307.19131084621</v>
      </c>
      <c r="E24" s="83" t="n">
        <f aca="false">$C$7</f>
        <v>4000</v>
      </c>
      <c r="F24" s="83" t="n">
        <f aca="false">C24-D24-E24</f>
        <v>12452.8086891538</v>
      </c>
      <c r="G24" s="61" t="n">
        <f aca="false">IF(C24=0,0,F24/C24)</f>
        <v>0.52410810981287</v>
      </c>
    </row>
    <row r="25" customFormat="false" ht="15" hidden="false" customHeight="false" outlineLevel="0" collapsed="false">
      <c r="B25" s="64" t="n">
        <v>300</v>
      </c>
      <c r="C25" s="83" t="n">
        <f aca="false">B25*$C$8</f>
        <v>35640</v>
      </c>
      <c r="D25" s="83" t="n">
        <f aca="false">B25*$C$9</f>
        <v>10960.7869662693</v>
      </c>
      <c r="E25" s="83" t="n">
        <f aca="false">$C$7</f>
        <v>4000</v>
      </c>
      <c r="F25" s="83" t="n">
        <f aca="false">C25-D25-E25</f>
        <v>20679.2130337307</v>
      </c>
      <c r="G25" s="61" t="n">
        <f aca="false">IF(C25=0,0,F25/C25)</f>
        <v>0.580224832596259</v>
      </c>
    </row>
    <row r="26" customFormat="false" ht="15" hidden="false" customHeight="false" outlineLevel="0" collapsed="false">
      <c r="B26" s="64" t="n">
        <v>400</v>
      </c>
      <c r="C26" s="83" t="n">
        <f aca="false">B26*$C$8</f>
        <v>47520</v>
      </c>
      <c r="D26" s="83" t="n">
        <f aca="false">B26*$C$9</f>
        <v>14614.3826216924</v>
      </c>
      <c r="E26" s="83" t="n">
        <f aca="false">$C$7</f>
        <v>4000</v>
      </c>
      <c r="F26" s="83" t="n">
        <f aca="false">C26-D26-E26</f>
        <v>28905.6173783076</v>
      </c>
      <c r="G26" s="61" t="n">
        <f aca="false">IF(C26=0,0,F26/C26)</f>
        <v>0.608283193987954</v>
      </c>
    </row>
    <row r="27" customFormat="false" ht="15" hidden="false" customHeight="false" outlineLevel="0" collapsed="false">
      <c r="B27" s="64" t="n">
        <v>500</v>
      </c>
      <c r="C27" s="83" t="n">
        <f aca="false">B27*$C$8</f>
        <v>59400</v>
      </c>
      <c r="D27" s="83" t="n">
        <f aca="false">B27*$C$9</f>
        <v>18267.9782771155</v>
      </c>
      <c r="E27" s="83" t="n">
        <f aca="false">$C$7</f>
        <v>4000</v>
      </c>
      <c r="F27" s="83" t="n">
        <f aca="false">C27-D27-E27</f>
        <v>37132.0217228845</v>
      </c>
      <c r="G27" s="61" t="n">
        <f aca="false">IF(C27=0,0,F27/C27)</f>
        <v>0.625118210822971</v>
      </c>
    </row>
    <row r="28" customFormat="false" ht="15" hidden="false" customHeight="false" outlineLevel="0" collapsed="false">
      <c r="B28" s="64" t="n">
        <v>600</v>
      </c>
      <c r="C28" s="83" t="n">
        <f aca="false">B28*$C$8</f>
        <v>71280</v>
      </c>
      <c r="D28" s="83" t="n">
        <f aca="false">B28*$C$9</f>
        <v>21921.5739325386</v>
      </c>
      <c r="E28" s="83" t="n">
        <f aca="false">$C$7</f>
        <v>4000</v>
      </c>
      <c r="F28" s="83" t="n">
        <f aca="false">C28-D28-E28</f>
        <v>45358.4260674614</v>
      </c>
      <c r="G28" s="61" t="n">
        <f aca="false">IF(C28=0,0,F28/C28)</f>
        <v>0.636341555379649</v>
      </c>
    </row>
    <row r="29" customFormat="false" ht="15" hidden="false" customHeight="false" outlineLevel="0" collapsed="false">
      <c r="B29" s="64" t="n">
        <v>800</v>
      </c>
      <c r="C29" s="83" t="n">
        <f aca="false">B29*$C$8</f>
        <v>95040</v>
      </c>
      <c r="D29" s="83" t="n">
        <f aca="false">B29*$C$9</f>
        <v>29228.7652433849</v>
      </c>
      <c r="E29" s="83" t="n">
        <f aca="false">$C$7</f>
        <v>4000</v>
      </c>
      <c r="F29" s="83" t="n">
        <f aca="false">C29-D29-E29</f>
        <v>61811.2347566151</v>
      </c>
      <c r="G29" s="61" t="n">
        <f aca="false">IF(C29=0,0,F29/C29)</f>
        <v>0.650370736075496</v>
      </c>
    </row>
    <row r="30" customFormat="false" ht="15" hidden="false" customHeight="false" outlineLevel="0" collapsed="false">
      <c r="B30" s="64" t="n">
        <v>1000</v>
      </c>
      <c r="C30" s="83" t="n">
        <f aca="false">B30*$C$8</f>
        <v>118800</v>
      </c>
      <c r="D30" s="83" t="n">
        <f aca="false">B30*$C$9</f>
        <v>36535.9565542311</v>
      </c>
      <c r="E30" s="83" t="n">
        <f aca="false">$C$7</f>
        <v>4000</v>
      </c>
      <c r="F30" s="83" t="n">
        <f aca="false">C30-D30-E30</f>
        <v>78264.0434457689</v>
      </c>
      <c r="G30" s="61" t="n">
        <f aca="false">IF(C30=0,0,F30/C30)</f>
        <v>0.658788244493004</v>
      </c>
    </row>
    <row r="32" customFormat="false" ht="15" hidden="false" customHeight="false" outlineLevel="0" collapsed="false">
      <c r="B32" s="15" t="s">
        <v>598</v>
      </c>
      <c r="C32" s="15"/>
      <c r="D32" s="15"/>
      <c r="E32" s="15"/>
      <c r="F32" s="15"/>
      <c r="G32" s="15"/>
    </row>
  </sheetData>
  <mergeCells count="4">
    <mergeCell ref="A1:G1"/>
    <mergeCell ref="A2:G2"/>
    <mergeCell ref="A3:G3"/>
    <mergeCell ref="B32:G32"/>
  </mergeCells>
  <conditionalFormatting sqref="F21:F30">
    <cfRule type="cellIs" priority="2" operator="lessThan" aboveAverage="0" equalAverage="0" bottom="0" percent="0" rank="0" text="" dxfId="63">
      <formula>0</formula>
    </cfRule>
    <cfRule type="cellIs" priority="3" operator="greaterThanOrEqual" aboveAverage="0" equalAverage="0" bottom="0" percent="0" rank="0" text="" dxfId="64">
      <formula>0</formula>
    </cfRule>
  </conditionalFormatting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3" style="0" width="22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8" t="s">
        <v>599</v>
      </c>
      <c r="C1" s="18" t="s">
        <v>600</v>
      </c>
      <c r="E1" s="18" t="s">
        <v>601</v>
      </c>
    </row>
    <row r="2" customFormat="false" ht="15" hidden="false" customHeight="false" outlineLevel="0" collapsed="false">
      <c r="A2" s="0" t="s">
        <v>34</v>
      </c>
      <c r="C2" s="0" t="s">
        <v>577</v>
      </c>
      <c r="E2" s="0" t="s">
        <v>106</v>
      </c>
    </row>
    <row r="3" customFormat="false" ht="15" hidden="false" customHeight="false" outlineLevel="0" collapsed="false">
      <c r="A3" s="0" t="s">
        <v>248</v>
      </c>
      <c r="C3" s="0" t="s">
        <v>579</v>
      </c>
      <c r="E3" s="0" t="s">
        <v>147</v>
      </c>
    </row>
    <row r="4" customFormat="false" ht="15" hidden="false" customHeight="false" outlineLevel="0" collapsed="false">
      <c r="A4" s="0" t="s">
        <v>255</v>
      </c>
      <c r="C4" s="0" t="s">
        <v>602</v>
      </c>
      <c r="E4" s="0" t="s">
        <v>196</v>
      </c>
    </row>
    <row r="5" customFormat="false" ht="15" hidden="false" customHeight="false" outlineLevel="0" collapsed="false">
      <c r="A5" s="0" t="s">
        <v>260</v>
      </c>
      <c r="C5" s="0" t="s">
        <v>603</v>
      </c>
      <c r="E5" s="0" t="s">
        <v>183</v>
      </c>
    </row>
    <row r="6" customFormat="false" ht="15" hidden="false" customHeight="false" outlineLevel="0" collapsed="false">
      <c r="A6" s="0" t="s">
        <v>264</v>
      </c>
      <c r="C6" s="0" t="s">
        <v>604</v>
      </c>
      <c r="E6" s="0" t="s">
        <v>170</v>
      </c>
    </row>
    <row r="7" customFormat="false" ht="15" hidden="false" customHeight="false" outlineLevel="0" collapsed="false">
      <c r="A7" s="0" t="s">
        <v>269</v>
      </c>
      <c r="E7" s="0" t="s">
        <v>127</v>
      </c>
    </row>
    <row r="8" customFormat="false" ht="15" hidden="false" customHeight="false" outlineLevel="0" collapsed="false">
      <c r="A8" s="0" t="s">
        <v>273</v>
      </c>
      <c r="E8" s="0" t="s">
        <v>143</v>
      </c>
    </row>
    <row r="9" customFormat="false" ht="15" hidden="false" customHeight="false" outlineLevel="0" collapsed="false">
      <c r="A9" s="0" t="s">
        <v>274</v>
      </c>
      <c r="E9" s="0" t="s">
        <v>89</v>
      </c>
    </row>
    <row r="10" customFormat="false" ht="15" hidden="false" customHeight="false" outlineLevel="0" collapsed="false">
      <c r="A10" s="0" t="s">
        <v>278</v>
      </c>
    </row>
    <row r="11" customFormat="false" ht="15" hidden="false" customHeight="false" outlineLevel="0" collapsed="false">
      <c r="A11" s="0" t="s">
        <v>282</v>
      </c>
    </row>
    <row r="12" customFormat="false" ht="15" hidden="false" customHeight="false" outlineLevel="0" collapsed="false">
      <c r="A12" s="0" t="s">
        <v>286</v>
      </c>
    </row>
    <row r="13" customFormat="false" ht="15" hidden="false" customHeight="false" outlineLevel="0" collapsed="false">
      <c r="A13" s="0" t="s">
        <v>296</v>
      </c>
    </row>
    <row r="14" customFormat="false" ht="15" hidden="false" customHeight="false" outlineLevel="0" collapsed="false">
      <c r="A14" s="0" t="s">
        <v>301</v>
      </c>
    </row>
    <row r="15" customFormat="false" ht="15" hidden="false" customHeight="false" outlineLevel="0" collapsed="false">
      <c r="A15" s="0" t="s">
        <v>302</v>
      </c>
    </row>
    <row r="16" customFormat="false" ht="15" hidden="false" customHeight="false" outlineLevel="0" collapsed="false">
      <c r="A16" s="0" t="s">
        <v>305</v>
      </c>
    </row>
    <row r="17" customFormat="false" ht="15" hidden="false" customHeight="false" outlineLevel="0" collapsed="false">
      <c r="A17" s="0" t="s">
        <v>311</v>
      </c>
    </row>
    <row r="18" customFormat="false" ht="15" hidden="false" customHeight="false" outlineLevel="0" collapsed="false">
      <c r="A18" s="0" t="s">
        <v>315</v>
      </c>
    </row>
    <row r="19" customFormat="false" ht="15" hidden="false" customHeight="false" outlineLevel="0" collapsed="false">
      <c r="A19" s="0" t="s">
        <v>318</v>
      </c>
    </row>
    <row r="20" customFormat="false" ht="15" hidden="false" customHeight="false" outlineLevel="0" collapsed="false">
      <c r="A20" s="0" t="s">
        <v>320</v>
      </c>
    </row>
    <row r="21" customFormat="false" ht="15" hidden="false" customHeight="false" outlineLevel="0" collapsed="false">
      <c r="A21" s="0" t="s">
        <v>323</v>
      </c>
    </row>
    <row r="22" customFormat="false" ht="15" hidden="false" customHeight="false" outlineLevel="0" collapsed="false">
      <c r="A22" s="0" t="s">
        <v>327</v>
      </c>
    </row>
    <row r="23" customFormat="false" ht="15" hidden="false" customHeight="false" outlineLevel="0" collapsed="false">
      <c r="A23" s="0" t="s">
        <v>331</v>
      </c>
    </row>
    <row r="24" customFormat="false" ht="15" hidden="false" customHeight="false" outlineLevel="0" collapsed="false">
      <c r="A24" s="0" t="s">
        <v>335</v>
      </c>
    </row>
    <row r="25" customFormat="false" ht="15" hidden="false" customHeight="false" outlineLevel="0" collapsed="false">
      <c r="A25" s="0" t="s">
        <v>340</v>
      </c>
    </row>
    <row r="26" customFormat="false" ht="15" hidden="false" customHeight="false" outlineLevel="0" collapsed="false">
      <c r="A26" s="0" t="s">
        <v>344</v>
      </c>
    </row>
    <row r="27" customFormat="false" ht="15" hidden="false" customHeight="false" outlineLevel="0" collapsed="false">
      <c r="A27" s="0" t="s">
        <v>348</v>
      </c>
    </row>
    <row r="28" customFormat="false" ht="15" hidden="false" customHeight="false" outlineLevel="0" collapsed="false">
      <c r="A28" s="0" t="s">
        <v>353</v>
      </c>
    </row>
    <row r="29" customFormat="false" ht="15" hidden="false" customHeight="false" outlineLevel="0" collapsed="false">
      <c r="A29" s="0" t="s">
        <v>357</v>
      </c>
    </row>
    <row r="30" customFormat="false" ht="15" hidden="false" customHeight="false" outlineLevel="0" collapsed="false">
      <c r="A30" s="0" t="s">
        <v>359</v>
      </c>
    </row>
    <row r="31" customFormat="false" ht="15" hidden="false" customHeight="false" outlineLevel="0" collapsed="false">
      <c r="A31" s="0" t="s">
        <v>364</v>
      </c>
    </row>
    <row r="32" customFormat="false" ht="15" hidden="false" customHeight="false" outlineLevel="0" collapsed="false">
      <c r="A32" s="0" t="s">
        <v>365</v>
      </c>
    </row>
    <row r="33" customFormat="false" ht="15" hidden="false" customHeight="false" outlineLevel="0" collapsed="false">
      <c r="A33" s="0" t="s">
        <v>369</v>
      </c>
    </row>
    <row r="34" customFormat="false" ht="15" hidden="false" customHeight="false" outlineLevel="0" collapsed="false">
      <c r="A34" s="0" t="s">
        <v>373</v>
      </c>
    </row>
    <row r="35" customFormat="false" ht="15" hidden="false" customHeight="false" outlineLevel="0" collapsed="false">
      <c r="A35" s="0" t="s">
        <v>377</v>
      </c>
    </row>
    <row r="36" customFormat="false" ht="15" hidden="false" customHeight="false" outlineLevel="0" collapsed="false">
      <c r="A36" s="0" t="s">
        <v>380</v>
      </c>
    </row>
    <row r="37" customFormat="false" ht="15" hidden="false" customHeight="false" outlineLevel="0" collapsed="false">
      <c r="A37" s="0" t="s">
        <v>382</v>
      </c>
    </row>
    <row r="38" customFormat="false" ht="15" hidden="false" customHeight="false" outlineLevel="0" collapsed="false">
      <c r="A38" s="0" t="s">
        <v>388</v>
      </c>
    </row>
    <row r="39" customFormat="false" ht="15" hidden="false" customHeight="false" outlineLevel="0" collapsed="false">
      <c r="A39" s="0" t="s">
        <v>392</v>
      </c>
    </row>
    <row r="40" customFormat="false" ht="15" hidden="false" customHeight="false" outlineLevel="0" collapsed="false">
      <c r="A40" s="0" t="s">
        <v>396</v>
      </c>
    </row>
    <row r="41" customFormat="false" ht="15" hidden="false" customHeight="false" outlineLevel="0" collapsed="false">
      <c r="A41" s="0" t="s">
        <v>400</v>
      </c>
    </row>
    <row r="42" customFormat="false" ht="15" hidden="false" customHeight="false" outlineLevel="0" collapsed="false">
      <c r="A42" s="0" t="s">
        <v>402</v>
      </c>
    </row>
    <row r="43" customFormat="false" ht="15" hidden="false" customHeight="false" outlineLevel="0" collapsed="false">
      <c r="A43" s="0" t="s">
        <v>407</v>
      </c>
    </row>
    <row r="44" customFormat="false" ht="15" hidden="false" customHeight="false" outlineLevel="0" collapsed="false">
      <c r="A44" s="0" t="s">
        <v>413</v>
      </c>
    </row>
    <row r="45" customFormat="false" ht="15" hidden="false" customHeight="false" outlineLevel="0" collapsed="false">
      <c r="A45" s="0" t="s">
        <v>417</v>
      </c>
    </row>
    <row r="46" customFormat="false" ht="15" hidden="false" customHeight="false" outlineLevel="0" collapsed="false">
      <c r="A46" s="0" t="s">
        <v>418</v>
      </c>
    </row>
    <row r="47" customFormat="false" ht="15" hidden="false" customHeight="false" outlineLevel="0" collapsed="false">
      <c r="A47" s="0" t="s">
        <v>422</v>
      </c>
    </row>
    <row r="48" customFormat="false" ht="15" hidden="false" customHeight="false" outlineLevel="0" collapsed="false">
      <c r="A48" s="0" t="s">
        <v>426</v>
      </c>
    </row>
    <row r="49" customFormat="false" ht="15" hidden="false" customHeight="false" outlineLevel="0" collapsed="false">
      <c r="A49" s="0" t="s">
        <v>430</v>
      </c>
    </row>
    <row r="50" customFormat="false" ht="15" hidden="false" customHeight="false" outlineLevel="0" collapsed="false">
      <c r="A50" s="0" t="s">
        <v>433</v>
      </c>
    </row>
    <row r="51" customFormat="false" ht="15" hidden="false" customHeight="false" outlineLevel="0" collapsed="false">
      <c r="A51" s="0" t="s">
        <v>436</v>
      </c>
    </row>
  </sheetData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2026-08-05T00:11:25Z</dcterms:created>
  <dc:creator>openpyxl</dc:creator>
  <dc:description/>
  <dc:language>en-US</dc:language>
  <cp:lastModifiedBy/>
  <dcterms:modified xsi:type="dcterms:W3CDTF">2026-08-05T00:11:25Z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