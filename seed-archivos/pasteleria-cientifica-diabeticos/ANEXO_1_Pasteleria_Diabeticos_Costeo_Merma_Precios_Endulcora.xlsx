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Insumos" sheetId="2" state="visible" r:id="rId2"/>
    <sheet xmlns:r="http://schemas.openxmlformats.org/officeDocument/2006/relationships" name="Bases madre" sheetId="3" state="visible" r:id="rId3"/>
    <sheet xmlns:r="http://schemas.openxmlformats.org/officeDocument/2006/relationships" name="Ingredientes" sheetId="4" state="visible" r:id="rId4"/>
    <sheet xmlns:r="http://schemas.openxmlformats.org/officeDocument/2006/relationships" name="Mi negocio" sheetId="5" state="visible" r:id="rId5"/>
    <sheet xmlns:r="http://schemas.openxmlformats.org/officeDocument/2006/relationships" name="Recetas y precios" sheetId="6" state="visible" r:id="rId6"/>
    <sheet xmlns:r="http://schemas.openxmlformats.org/officeDocument/2006/relationships" name="Producción" sheetId="7" state="visible" r:id="rId7"/>
    <sheet xmlns:r="http://schemas.openxmlformats.org/officeDocument/2006/relationships" name="Ventas" sheetId="8" state="visible" r:id="rId8"/>
    <sheet xmlns:r="http://schemas.openxmlformats.org/officeDocument/2006/relationships" name="Tablero" sheetId="9" state="visible" r:id="rId9"/>
  </sheets>
  <definedNames>
    <definedName name="_xlnm._FilterDatabase" localSheetId="1" hidden="1">'Insumos'!$A$1:$G$89</definedName>
    <definedName name="_xlnm._FilterDatabase" localSheetId="3" hidden="1">'Ingredientes'!$A$1:$H$621</definedName>
    <definedName name="_xlnm._FilterDatabase" localSheetId="5" hidden="1">'Recetas y precios'!$A$1:$V$50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7A2E7E"/>
      <sz val="14"/>
    </font>
    <font>
      <b val="1"/>
      <color rgb="00D85A3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A2E7E"/>
      </patternFill>
    </fill>
    <fill>
      <patternFill patternType="solid">
        <fgColor rgb="00FFF2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Pastelería Científica para Diabéticos · Anexo 1 · Costeo, merma y precios</t>
        </is>
      </c>
    </row>
    <row r="2">
      <c r="A2" s="2" t="inlineStr">
        <is>
          <t>Endulcora · Estudio Gastronómico — En colaboración con Levent</t>
        </is>
      </c>
    </row>
    <row r="4">
      <c r="A4" t="inlineStr">
        <is>
          <t>Celdas amarillas = editables. Todo lo demás son fórmulas.</t>
        </is>
      </c>
    </row>
    <row r="5">
      <c r="A5" t="inlineStr">
        <is>
          <t>1. Captura tus precios reales en «Insumos». Los 49 precios se recalculan solos.</t>
        </is>
      </c>
    </row>
    <row r="6">
      <c r="A6" t="inlineStr">
        <is>
          <t>2. Ajusta gastos fijos, sueldo, merma y márgenes en «Mi negocio».</t>
        </is>
      </c>
    </row>
    <row r="7">
      <c r="A7" t="inlineStr">
        <is>
          <t>3. Revisa costos y PVP por canal en «Recetas y precios».</t>
        </is>
      </c>
    </row>
    <row r="8">
      <c r="A8" t="inlineStr">
        <is>
          <t>4. Planea en «Producción» y registra en «Ventas»; el «Tablero» resume.</t>
        </is>
      </c>
    </row>
    <row r="9">
      <c r="A9" t="inlineStr">
        <is>
          <t>Modelo: Costo total = Costo base ÷ (1 − merma) · PVP = Costo total ÷ (1 − margen), redondeado al peso hacia arriba.</t>
        </is>
      </c>
    </row>
    <row r="10">
      <c r="A10" t="inlineStr">
        <is>
          <t>Precios de referencia CDMX 2026, ilustrativos. No son cotización.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2" max="2"/>
  </cols>
  <sheetData>
    <row r="1">
      <c r="A1" s="3" t="inlineStr">
        <is>
          <t>ID</t>
        </is>
      </c>
      <c r="B1" s="3" t="inlineStr">
        <is>
          <t>Insumo</t>
        </is>
      </c>
      <c r="C1" s="3" t="inlineStr">
        <is>
          <t>Categoría</t>
        </is>
      </c>
      <c r="D1" s="3" t="inlineStr">
        <is>
          <t>Unidad</t>
        </is>
      </c>
      <c r="E1" s="3" t="inlineStr">
        <is>
          <t>Cantidad comprada</t>
        </is>
      </c>
      <c r="F1" s="3" t="inlineStr">
        <is>
          <t>Precio de compra</t>
        </is>
      </c>
      <c r="G1" s="3" t="inlineStr">
        <is>
          <t>Costo por unidad</t>
        </is>
      </c>
    </row>
    <row r="2">
      <c r="A2" t="inlineStr">
        <is>
          <t>ALU</t>
        </is>
      </c>
      <c r="B2" t="inlineStr">
        <is>
          <t>Alulosa cristalina</t>
        </is>
      </c>
      <c r="C2" t="inlineStr">
        <is>
          <t>Edulcorantes</t>
        </is>
      </c>
      <c r="D2" t="inlineStr">
        <is>
          <t>g</t>
        </is>
      </c>
      <c r="E2" s="4" t="n">
        <v>1000</v>
      </c>
      <c r="F2" s="4" t="n">
        <v>420</v>
      </c>
      <c r="G2">
        <f>IFERROR(F2/E2,0)</f>
        <v/>
      </c>
    </row>
    <row r="3">
      <c r="A3" t="inlineStr">
        <is>
          <t>ALUP</t>
        </is>
      </c>
      <c r="B3" t="inlineStr">
        <is>
          <t>Alulosa pulverizada</t>
        </is>
      </c>
      <c r="C3" t="inlineStr">
        <is>
          <t>Edulcorantes</t>
        </is>
      </c>
      <c r="D3" t="inlineStr">
        <is>
          <t>g</t>
        </is>
      </c>
      <c r="E3" s="4" t="n">
        <v>1000</v>
      </c>
      <c r="F3" s="4" t="n">
        <v>450</v>
      </c>
      <c r="G3">
        <f>IFERROR(F3/E3,0)</f>
        <v/>
      </c>
    </row>
    <row r="4">
      <c r="A4" t="inlineStr">
        <is>
          <t>ALUJ</t>
        </is>
      </c>
      <c r="B4" t="inlineStr">
        <is>
          <t>Jarabe de alulosa</t>
        </is>
      </c>
      <c r="C4" t="inlineStr">
        <is>
          <t>Edulcorantes</t>
        </is>
      </c>
      <c r="D4" t="inlineStr">
        <is>
          <t>g</t>
        </is>
      </c>
      <c r="E4" s="4" t="n">
        <v>500</v>
      </c>
      <c r="F4" s="4" t="n">
        <v>260</v>
      </c>
      <c r="G4">
        <f>IFERROR(F4/E4,0)</f>
        <v/>
      </c>
    </row>
    <row r="5">
      <c r="A5" t="inlineStr">
        <is>
          <t>ERG</t>
        </is>
      </c>
      <c r="B5" t="inlineStr">
        <is>
          <t>Eritritol granulado</t>
        </is>
      </c>
      <c r="C5" t="inlineStr">
        <is>
          <t>Edulcorantes</t>
        </is>
      </c>
      <c r="D5" t="inlineStr">
        <is>
          <t>g</t>
        </is>
      </c>
      <c r="E5" s="4" t="n">
        <v>1000</v>
      </c>
      <c r="F5" s="4" t="n">
        <v>220</v>
      </c>
      <c r="G5">
        <f>IFERROR(F5/E5,0)</f>
        <v/>
      </c>
    </row>
    <row r="6">
      <c r="A6" t="inlineStr">
        <is>
          <t>ERP</t>
        </is>
      </c>
      <c r="B6" t="inlineStr">
        <is>
          <t>Eritritol pulverizado (glas)</t>
        </is>
      </c>
      <c r="C6" t="inlineStr">
        <is>
          <t>Edulcorantes</t>
        </is>
      </c>
      <c r="D6" t="inlineStr">
        <is>
          <t>g</t>
        </is>
      </c>
      <c r="E6" s="4" t="n">
        <v>1000</v>
      </c>
      <c r="F6" s="4" t="n">
        <v>250</v>
      </c>
      <c r="G6">
        <f>IFERROR(F6/E6,0)</f>
        <v/>
      </c>
    </row>
    <row r="7">
      <c r="A7" t="inlineStr">
        <is>
          <t>ERM</t>
        </is>
      </c>
      <c r="B7" t="inlineStr">
        <is>
          <t>Eritritol con fruto del monje</t>
        </is>
      </c>
      <c r="C7" t="inlineStr">
        <is>
          <t>Edulcorantes</t>
        </is>
      </c>
      <c r="D7" t="inlineStr">
        <is>
          <t>g</t>
        </is>
      </c>
      <c r="E7" s="4" t="n">
        <v>800</v>
      </c>
      <c r="F7" s="4" t="n">
        <v>330</v>
      </c>
      <c r="G7">
        <f>IFERROR(F7/E7,0)</f>
        <v/>
      </c>
    </row>
    <row r="8">
      <c r="A8" t="inlineStr">
        <is>
          <t>EST</t>
        </is>
      </c>
      <c r="B8" t="inlineStr">
        <is>
          <t>Estevia pura (Reb M)</t>
        </is>
      </c>
      <c r="C8" t="inlineStr">
        <is>
          <t>Edulcorantes</t>
        </is>
      </c>
      <c r="D8" t="inlineStr">
        <is>
          <t>g</t>
        </is>
      </c>
      <c r="E8" s="4" t="n">
        <v>50</v>
      </c>
      <c r="F8" s="4" t="n">
        <v>190</v>
      </c>
      <c r="G8">
        <f>IFERROR(F8/E8,0)</f>
        <v/>
      </c>
    </row>
    <row r="9">
      <c r="A9" t="inlineStr">
        <is>
          <t>INU</t>
        </is>
      </c>
      <c r="B9" t="inlineStr">
        <is>
          <t>Inulina (achicoria o agave)</t>
        </is>
      </c>
      <c r="C9" t="inlineStr">
        <is>
          <t>Edulcorantes</t>
        </is>
      </c>
      <c r="D9" t="inlineStr">
        <is>
          <t>g</t>
        </is>
      </c>
      <c r="E9" s="4" t="n">
        <v>500</v>
      </c>
      <c r="F9" s="4" t="n">
        <v>180</v>
      </c>
      <c r="G9">
        <f>IFERROR(F9/E9,0)</f>
        <v/>
      </c>
    </row>
    <row r="10">
      <c r="A10" t="inlineStr">
        <is>
          <t>HAL</t>
        </is>
      </c>
      <c r="B10" t="inlineStr">
        <is>
          <t>Harina de almendra fina sin piel</t>
        </is>
      </c>
      <c r="C10" t="inlineStr">
        <is>
          <t>Harinas y fibras</t>
        </is>
      </c>
      <c r="D10" t="inlineStr">
        <is>
          <t>g</t>
        </is>
      </c>
      <c r="E10" s="4" t="n">
        <v>1000</v>
      </c>
      <c r="F10" s="4" t="n">
        <v>380</v>
      </c>
      <c r="G10">
        <f>IFERROR(F10/E10,0)</f>
        <v/>
      </c>
    </row>
    <row r="11">
      <c r="A11" t="inlineStr">
        <is>
          <t>HCO</t>
        </is>
      </c>
      <c r="B11" t="inlineStr">
        <is>
          <t>Harina de coco desgrasada</t>
        </is>
      </c>
      <c r="C11" t="inlineStr">
        <is>
          <t>Harinas y fibras</t>
        </is>
      </c>
      <c r="D11" t="inlineStr">
        <is>
          <t>g</t>
        </is>
      </c>
      <c r="E11" s="4" t="n">
        <v>1000</v>
      </c>
      <c r="F11" s="4" t="n">
        <v>160</v>
      </c>
      <c r="G11">
        <f>IFERROR(F11/E11,0)</f>
        <v/>
      </c>
    </row>
    <row r="12">
      <c r="A12" t="inlineStr">
        <is>
          <t>HAV</t>
        </is>
      </c>
      <c r="B12" t="inlineStr">
        <is>
          <t>Harina de avellana</t>
        </is>
      </c>
      <c r="C12" t="inlineStr">
        <is>
          <t>Harinas y fibras</t>
        </is>
      </c>
      <c r="D12" t="inlineStr">
        <is>
          <t>g</t>
        </is>
      </c>
      <c r="E12" s="4" t="n">
        <v>1000</v>
      </c>
      <c r="F12" s="4" t="n">
        <v>520</v>
      </c>
      <c r="G12">
        <f>IFERROR(F12/E12,0)</f>
        <v/>
      </c>
    </row>
    <row r="13">
      <c r="A13" t="inlineStr">
        <is>
          <t>HPE</t>
        </is>
      </c>
      <c r="B13" t="inlineStr">
        <is>
          <t>Harina de nuez pecana</t>
        </is>
      </c>
      <c r="C13" t="inlineStr">
        <is>
          <t>Harinas y fibras</t>
        </is>
      </c>
      <c r="D13" t="inlineStr">
        <is>
          <t>g</t>
        </is>
      </c>
      <c r="E13" s="4" t="n">
        <v>1000</v>
      </c>
      <c r="F13" s="4" t="n">
        <v>480</v>
      </c>
      <c r="G13">
        <f>IFERROR(F13/E13,0)</f>
        <v/>
      </c>
    </row>
    <row r="14">
      <c r="A14" t="inlineStr">
        <is>
          <t>HLU</t>
        </is>
      </c>
      <c r="B14" t="inlineStr">
        <is>
          <t>Harina de lupino dulce</t>
        </is>
      </c>
      <c r="C14" t="inlineStr">
        <is>
          <t>Harinas y fibras</t>
        </is>
      </c>
      <c r="D14" t="inlineStr">
        <is>
          <t>g</t>
        </is>
      </c>
      <c r="E14" s="4" t="n">
        <v>1000</v>
      </c>
      <c r="F14" s="4" t="n">
        <v>320</v>
      </c>
      <c r="G14">
        <f>IFERROR(F14/E14,0)</f>
        <v/>
      </c>
    </row>
    <row r="15">
      <c r="A15" t="inlineStr">
        <is>
          <t>HLI</t>
        </is>
      </c>
      <c r="B15" t="inlineStr">
        <is>
          <t>Harina de linaza dorada</t>
        </is>
      </c>
      <c r="C15" t="inlineStr">
        <is>
          <t>Harinas y fibras</t>
        </is>
      </c>
      <c r="D15" t="inlineStr">
        <is>
          <t>g</t>
        </is>
      </c>
      <c r="E15" s="4" t="n">
        <v>500</v>
      </c>
      <c r="F15" s="4" t="n">
        <v>65</v>
      </c>
      <c r="G15">
        <f>IFERROR(F15/E15,0)</f>
        <v/>
      </c>
    </row>
    <row r="16">
      <c r="A16" t="inlineStr">
        <is>
          <t>FBA</t>
        </is>
      </c>
      <c r="B16" t="inlineStr">
        <is>
          <t>Fibra de bambú / almidón RS4</t>
        </is>
      </c>
      <c r="C16" t="inlineStr">
        <is>
          <t>Harinas y fibras</t>
        </is>
      </c>
      <c r="D16" t="inlineStr">
        <is>
          <t>g</t>
        </is>
      </c>
      <c r="E16" s="4" t="n">
        <v>500</v>
      </c>
      <c r="F16" s="4" t="n">
        <v>220</v>
      </c>
      <c r="G16">
        <f>IFERROR(F16/E16,0)</f>
        <v/>
      </c>
    </row>
    <row r="17">
      <c r="A17" t="inlineStr">
        <is>
          <t>PSY</t>
        </is>
      </c>
      <c r="B17" t="inlineStr">
        <is>
          <t>Psyllium en polvo</t>
        </is>
      </c>
      <c r="C17" t="inlineStr">
        <is>
          <t>Harinas y fibras</t>
        </is>
      </c>
      <c r="D17" t="inlineStr">
        <is>
          <t>g</t>
        </is>
      </c>
      <c r="E17" s="4" t="n">
        <v>250</v>
      </c>
      <c r="F17" s="4" t="n">
        <v>120</v>
      </c>
      <c r="G17">
        <f>IFERROR(F17/E17,0)</f>
        <v/>
      </c>
    </row>
    <row r="18">
      <c r="A18" t="inlineStr">
        <is>
          <t>WPI</t>
        </is>
      </c>
      <c r="B18" t="inlineStr">
        <is>
          <t>Proteína aislada de suero (WPI)</t>
        </is>
      </c>
      <c r="C18" t="inlineStr">
        <is>
          <t>Harinas y fibras</t>
        </is>
      </c>
      <c r="D18" t="inlineStr">
        <is>
          <t>g</t>
        </is>
      </c>
      <c r="E18" s="4" t="n">
        <v>1000</v>
      </c>
      <c r="F18" s="4" t="n">
        <v>620</v>
      </c>
      <c r="G18">
        <f>IFERROR(F18/E18,0)</f>
        <v/>
      </c>
    </row>
    <row r="19">
      <c r="A19" t="inlineStr">
        <is>
          <t>XAN</t>
        </is>
      </c>
      <c r="B19" t="inlineStr">
        <is>
          <t>Goma xantana</t>
        </is>
      </c>
      <c r="C19" t="inlineStr">
        <is>
          <t>Hidrocoloides y leudantes</t>
        </is>
      </c>
      <c r="D19" t="inlineStr">
        <is>
          <t>g</t>
        </is>
      </c>
      <c r="E19" s="4" t="n">
        <v>100</v>
      </c>
      <c r="F19" s="4" t="n">
        <v>90</v>
      </c>
      <c r="G19">
        <f>IFERROR(F19/E19,0)</f>
        <v/>
      </c>
    </row>
    <row r="20">
      <c r="A20" t="inlineStr">
        <is>
          <t>GEL</t>
        </is>
      </c>
      <c r="B20" t="inlineStr">
        <is>
          <t>Gelatina neutra en polvo</t>
        </is>
      </c>
      <c r="C20" t="inlineStr">
        <is>
          <t>Hidrocoloides y leudantes</t>
        </is>
      </c>
      <c r="D20" t="inlineStr">
        <is>
          <t>g</t>
        </is>
      </c>
      <c r="E20" s="4" t="n">
        <v>250</v>
      </c>
      <c r="F20" s="4" t="n">
        <v>140</v>
      </c>
      <c r="G20">
        <f>IFERROR(F20/E20,0)</f>
        <v/>
      </c>
    </row>
    <row r="21">
      <c r="A21" t="inlineStr">
        <is>
          <t>PEC</t>
        </is>
      </c>
      <c r="B21" t="inlineStr">
        <is>
          <t>Pectina de bajo metoxilo (LM)</t>
        </is>
      </c>
      <c r="C21" t="inlineStr">
        <is>
          <t>Hidrocoloides y leudantes</t>
        </is>
      </c>
      <c r="D21" t="inlineStr">
        <is>
          <t>g</t>
        </is>
      </c>
      <c r="E21" s="4" t="n">
        <v>100</v>
      </c>
      <c r="F21" s="4" t="n">
        <v>180</v>
      </c>
      <c r="G21">
        <f>IFERROR(F21/E21,0)</f>
        <v/>
      </c>
    </row>
    <row r="22">
      <c r="A22" t="inlineStr">
        <is>
          <t>PPH</t>
        </is>
      </c>
      <c r="B22" t="inlineStr">
        <is>
          <t>Polvo para hornear</t>
        </is>
      </c>
      <c r="C22" t="inlineStr">
        <is>
          <t>Hidrocoloides y leudantes</t>
        </is>
      </c>
      <c r="D22" t="inlineStr">
        <is>
          <t>g</t>
        </is>
      </c>
      <c r="E22" s="4" t="n">
        <v>220</v>
      </c>
      <c r="F22" s="4" t="n">
        <v>35</v>
      </c>
      <c r="G22">
        <f>IFERROR(F22/E22,0)</f>
        <v/>
      </c>
    </row>
    <row r="23">
      <c r="A23" t="inlineStr">
        <is>
          <t>BIC</t>
        </is>
      </c>
      <c r="B23" t="inlineStr">
        <is>
          <t>Bicarbonato de sodio</t>
        </is>
      </c>
      <c r="C23" t="inlineStr">
        <is>
          <t>Hidrocoloides y leudantes</t>
        </is>
      </c>
      <c r="D23" t="inlineStr">
        <is>
          <t>g</t>
        </is>
      </c>
      <c r="E23" s="4" t="n">
        <v>500</v>
      </c>
      <c r="F23" s="4" t="n">
        <v>28</v>
      </c>
      <c r="G23">
        <f>IFERROR(F23/E23,0)</f>
        <v/>
      </c>
    </row>
    <row r="24">
      <c r="A24" t="inlineStr">
        <is>
          <t>CRT</t>
        </is>
      </c>
      <c r="B24" t="inlineStr">
        <is>
          <t>Cremor tártaro</t>
        </is>
      </c>
      <c r="C24" t="inlineStr">
        <is>
          <t>Hidrocoloides y leudantes</t>
        </is>
      </c>
      <c r="D24" t="inlineStr">
        <is>
          <t>g</t>
        </is>
      </c>
      <c r="E24" s="4" t="n">
        <v>100</v>
      </c>
      <c r="F24" s="4" t="n">
        <v>45</v>
      </c>
      <c r="G24">
        <f>IFERROR(F24/E24,0)</f>
        <v/>
      </c>
    </row>
    <row r="25">
      <c r="A25" t="inlineStr">
        <is>
          <t>LEV</t>
        </is>
      </c>
      <c r="B25" t="inlineStr">
        <is>
          <t>Levadura seca activa</t>
        </is>
      </c>
      <c r="C25" t="inlineStr">
        <is>
          <t>Hidrocoloides y leudantes</t>
        </is>
      </c>
      <c r="D25" t="inlineStr">
        <is>
          <t>g</t>
        </is>
      </c>
      <c r="E25" s="4" t="n">
        <v>500</v>
      </c>
      <c r="F25" s="4" t="n">
        <v>95</v>
      </c>
      <c r="G25">
        <f>IFERROR(F25/E25,0)</f>
        <v/>
      </c>
    </row>
    <row r="26">
      <c r="A26" t="inlineStr">
        <is>
          <t>MAN</t>
        </is>
      </c>
      <c r="B26" t="inlineStr">
        <is>
          <t>Mantequilla sin sal</t>
        </is>
      </c>
      <c r="C26" t="inlineStr">
        <is>
          <t>Lácteos y huevo</t>
        </is>
      </c>
      <c r="D26" t="inlineStr">
        <is>
          <t>g</t>
        </is>
      </c>
      <c r="E26" s="4" t="n">
        <v>1000</v>
      </c>
      <c r="F26" s="4" t="n">
        <v>230</v>
      </c>
      <c r="G26">
        <f>IFERROR(F26/E26,0)</f>
        <v/>
      </c>
    </row>
    <row r="27">
      <c r="A27" t="inlineStr">
        <is>
          <t>QCR</t>
        </is>
      </c>
      <c r="B27" t="inlineStr">
        <is>
          <t>Queso crema entero</t>
        </is>
      </c>
      <c r="C27" t="inlineStr">
        <is>
          <t>Lácteos y huevo</t>
        </is>
      </c>
      <c r="D27" t="inlineStr">
        <is>
          <t>g</t>
        </is>
      </c>
      <c r="E27" s="4" t="n">
        <v>1000</v>
      </c>
      <c r="F27" s="4" t="n">
        <v>190</v>
      </c>
      <c r="G27">
        <f>IFERROR(F27/E27,0)</f>
        <v/>
      </c>
    </row>
    <row r="28">
      <c r="A28" t="inlineStr">
        <is>
          <t>MAS</t>
        </is>
      </c>
      <c r="B28" t="inlineStr">
        <is>
          <t>Queso mascarpone</t>
        </is>
      </c>
      <c r="C28" t="inlineStr">
        <is>
          <t>Lácteos y huevo</t>
        </is>
      </c>
      <c r="D28" t="inlineStr">
        <is>
          <t>g</t>
        </is>
      </c>
      <c r="E28" s="4" t="n">
        <v>500</v>
      </c>
      <c r="F28" s="4" t="n">
        <v>165</v>
      </c>
      <c r="G28">
        <f>IFERROR(F28/E28,0)</f>
        <v/>
      </c>
    </row>
    <row r="29">
      <c r="A29" t="inlineStr">
        <is>
          <t>MOZ</t>
        </is>
      </c>
      <c r="B29" t="inlineStr">
        <is>
          <t>Queso mozzarella rallado</t>
        </is>
      </c>
      <c r="C29" t="inlineStr">
        <is>
          <t>Lácteos y huevo</t>
        </is>
      </c>
      <c r="D29" t="inlineStr">
        <is>
          <t>g</t>
        </is>
      </c>
      <c r="E29" s="4" t="n">
        <v>1000</v>
      </c>
      <c r="F29" s="4" t="n">
        <v>210</v>
      </c>
      <c r="G29">
        <f>IFERROR(F29/E29,0)</f>
        <v/>
      </c>
    </row>
    <row r="30">
      <c r="A30" t="inlineStr">
        <is>
          <t>CRE</t>
        </is>
      </c>
      <c r="B30" t="inlineStr">
        <is>
          <t>Crema para batir 35 %</t>
        </is>
      </c>
      <c r="C30" t="inlineStr">
        <is>
          <t>Lácteos y huevo</t>
        </is>
      </c>
      <c r="D30" t="inlineStr">
        <is>
          <t>ml</t>
        </is>
      </c>
      <c r="E30" s="4" t="n">
        <v>1000</v>
      </c>
      <c r="F30" s="4" t="n">
        <v>98</v>
      </c>
      <c r="G30">
        <f>IFERROR(F30/E30,0)</f>
        <v/>
      </c>
    </row>
    <row r="31">
      <c r="A31" t="inlineStr">
        <is>
          <t>CAG</t>
        </is>
      </c>
      <c r="B31" t="inlineStr">
        <is>
          <t>Crema agria</t>
        </is>
      </c>
      <c r="C31" t="inlineStr">
        <is>
          <t>Lácteos y huevo</t>
        </is>
      </c>
      <c r="D31" t="inlineStr">
        <is>
          <t>g</t>
        </is>
      </c>
      <c r="E31" s="4" t="n">
        <v>450</v>
      </c>
      <c r="F31" s="4" t="n">
        <v>62</v>
      </c>
      <c r="G31">
        <f>IFERROR(F31/E31,0)</f>
        <v/>
      </c>
    </row>
    <row r="32">
      <c r="A32" t="inlineStr">
        <is>
          <t>LEN</t>
        </is>
      </c>
      <c r="B32" t="inlineStr">
        <is>
          <t>Leche entera</t>
        </is>
      </c>
      <c r="C32" t="inlineStr">
        <is>
          <t>Lácteos y huevo</t>
        </is>
      </c>
      <c r="D32" t="inlineStr">
        <is>
          <t>ml</t>
        </is>
      </c>
      <c r="E32" s="4" t="n">
        <v>1000</v>
      </c>
      <c r="F32" s="4" t="n">
        <v>29</v>
      </c>
      <c r="G32">
        <f>IFERROR(F32/E32,0)</f>
        <v/>
      </c>
    </row>
    <row r="33">
      <c r="A33" t="inlineStr">
        <is>
          <t>LEV2</t>
        </is>
      </c>
      <c r="B33" t="inlineStr">
        <is>
          <t>Leche evaporada sin azúcar</t>
        </is>
      </c>
      <c r="C33" t="inlineStr">
        <is>
          <t>Lácteos y huevo</t>
        </is>
      </c>
      <c r="D33" t="inlineStr">
        <is>
          <t>ml</t>
        </is>
      </c>
      <c r="E33" s="4" t="n">
        <v>360</v>
      </c>
      <c r="F33" s="4" t="n">
        <v>24</v>
      </c>
      <c r="G33">
        <f>IFERROR(F33/E33,0)</f>
        <v/>
      </c>
    </row>
    <row r="34">
      <c r="A34" t="inlineStr">
        <is>
          <t>LAL</t>
        </is>
      </c>
      <c r="B34" t="inlineStr">
        <is>
          <t>Leche de almendra sin azúcar</t>
        </is>
      </c>
      <c r="C34" t="inlineStr">
        <is>
          <t>Lácteos y huevo</t>
        </is>
      </c>
      <c r="D34" t="inlineStr">
        <is>
          <t>ml</t>
        </is>
      </c>
      <c r="E34" s="4" t="n">
        <v>946</v>
      </c>
      <c r="F34" s="4" t="n">
        <v>62</v>
      </c>
      <c r="G34">
        <f>IFERROR(F34/E34,0)</f>
        <v/>
      </c>
    </row>
    <row r="35">
      <c r="A35" t="inlineStr">
        <is>
          <t>HUE</t>
        </is>
      </c>
      <c r="B35" t="inlineStr">
        <is>
          <t>Huevo entero</t>
        </is>
      </c>
      <c r="C35" t="inlineStr">
        <is>
          <t>Lácteos y huevo</t>
        </is>
      </c>
      <c r="D35" t="inlineStr">
        <is>
          <t>g</t>
        </is>
      </c>
      <c r="E35" s="4" t="n">
        <v>1000</v>
      </c>
      <c r="F35" s="4" t="n">
        <v>48</v>
      </c>
      <c r="G35">
        <f>IFERROR(F35/E35,0)</f>
        <v/>
      </c>
    </row>
    <row r="36">
      <c r="A36" t="inlineStr">
        <is>
          <t>YEM</t>
        </is>
      </c>
      <c r="B36" t="inlineStr">
        <is>
          <t>Yema de huevo</t>
        </is>
      </c>
      <c r="C36" t="inlineStr">
        <is>
          <t>Lácteos y huevo</t>
        </is>
      </c>
      <c r="D36" t="inlineStr">
        <is>
          <t>g</t>
        </is>
      </c>
      <c r="E36" s="4" t="n">
        <v>1000</v>
      </c>
      <c r="F36" s="4" t="n">
        <v>48</v>
      </c>
      <c r="G36">
        <f>IFERROR(F36/E36,0)</f>
        <v/>
      </c>
    </row>
    <row r="37">
      <c r="A37" t="inlineStr">
        <is>
          <t>CLA</t>
        </is>
      </c>
      <c r="B37" t="inlineStr">
        <is>
          <t>Clara de huevo</t>
        </is>
      </c>
      <c r="C37" t="inlineStr">
        <is>
          <t>Lácteos y huevo</t>
        </is>
      </c>
      <c r="D37" t="inlineStr">
        <is>
          <t>g</t>
        </is>
      </c>
      <c r="E37" s="4" t="n">
        <v>1000</v>
      </c>
      <c r="F37" s="4" t="n">
        <v>48</v>
      </c>
      <c r="G37">
        <f>IFERROR(F37/E37,0)</f>
        <v/>
      </c>
    </row>
    <row r="38">
      <c r="A38" t="inlineStr">
        <is>
          <t>MCE</t>
        </is>
      </c>
      <c r="B38" t="inlineStr">
        <is>
          <t>Manteca de cerdo</t>
        </is>
      </c>
      <c r="C38" t="inlineStr">
        <is>
          <t>Grasas</t>
        </is>
      </c>
      <c r="D38" t="inlineStr">
        <is>
          <t>g</t>
        </is>
      </c>
      <c r="E38" s="4" t="n">
        <v>1000</v>
      </c>
      <c r="F38" s="4" t="n">
        <v>90</v>
      </c>
      <c r="G38">
        <f>IFERROR(F38/E38,0)</f>
        <v/>
      </c>
    </row>
    <row r="39">
      <c r="A39" t="inlineStr">
        <is>
          <t>ACO</t>
        </is>
      </c>
      <c r="B39" t="inlineStr">
        <is>
          <t>Aceite de coco desodorizado</t>
        </is>
      </c>
      <c r="C39" t="inlineStr">
        <is>
          <t>Grasas</t>
        </is>
      </c>
      <c r="D39" t="inlineStr">
        <is>
          <t>ml</t>
        </is>
      </c>
      <c r="E39" s="4" t="n">
        <v>1000</v>
      </c>
      <c r="F39" s="4" t="n">
        <v>165</v>
      </c>
      <c r="G39">
        <f>IFERROR(F39/E39,0)</f>
        <v/>
      </c>
    </row>
    <row r="40">
      <c r="A40" t="inlineStr">
        <is>
          <t>AOL</t>
        </is>
      </c>
      <c r="B40" t="inlineStr">
        <is>
          <t>Aceite de oliva extra virgen</t>
        </is>
      </c>
      <c r="C40" t="inlineStr">
        <is>
          <t>Grasas</t>
        </is>
      </c>
      <c r="D40" t="inlineStr">
        <is>
          <t>ml</t>
        </is>
      </c>
      <c r="E40" s="4" t="n">
        <v>1000</v>
      </c>
      <c r="F40" s="4" t="n">
        <v>230</v>
      </c>
      <c r="G40">
        <f>IFERROR(F40/E40,0)</f>
        <v/>
      </c>
    </row>
    <row r="41">
      <c r="A41" t="inlineStr">
        <is>
          <t>MCA</t>
        </is>
      </c>
      <c r="B41" t="inlineStr">
        <is>
          <t>Manteca de cacao</t>
        </is>
      </c>
      <c r="C41" t="inlineStr">
        <is>
          <t>Grasas</t>
        </is>
      </c>
      <c r="D41" t="inlineStr">
        <is>
          <t>g</t>
        </is>
      </c>
      <c r="E41" s="4" t="n">
        <v>500</v>
      </c>
      <c r="F41" s="4" t="n">
        <v>380</v>
      </c>
      <c r="G41">
        <f>IFERROR(F41/E41,0)</f>
        <v/>
      </c>
    </row>
    <row r="42">
      <c r="A42" t="inlineStr">
        <is>
          <t>CH70</t>
        </is>
      </c>
      <c r="B42" t="inlineStr">
        <is>
          <t>Chocolate 70 % sin azúcar</t>
        </is>
      </c>
      <c r="C42" t="inlineStr">
        <is>
          <t>Chocolate y cacao</t>
        </is>
      </c>
      <c r="D42" t="inlineStr">
        <is>
          <t>g</t>
        </is>
      </c>
      <c r="E42" s="4" t="n">
        <v>1000</v>
      </c>
      <c r="F42" s="4" t="n">
        <v>650</v>
      </c>
      <c r="G42">
        <f>IFERROR(F42/E42,0)</f>
        <v/>
      </c>
    </row>
    <row r="43">
      <c r="A43" t="inlineStr">
        <is>
          <t>CH100</t>
        </is>
      </c>
      <c r="B43" t="inlineStr">
        <is>
          <t>Chocolate 100 % cacao</t>
        </is>
      </c>
      <c r="C43" t="inlineStr">
        <is>
          <t>Chocolate y cacao</t>
        </is>
      </c>
      <c r="D43" t="inlineStr">
        <is>
          <t>g</t>
        </is>
      </c>
      <c r="E43" s="4" t="n">
        <v>1000</v>
      </c>
      <c r="F43" s="4" t="n">
        <v>520</v>
      </c>
      <c r="G43">
        <f>IFERROR(F43/E43,0)</f>
        <v/>
      </c>
    </row>
    <row r="44">
      <c r="A44" t="inlineStr">
        <is>
          <t>CHB</t>
        </is>
      </c>
      <c r="B44" t="inlineStr">
        <is>
          <t>Chocolate blanco sin azúcar</t>
        </is>
      </c>
      <c r="C44" t="inlineStr">
        <is>
          <t>Chocolate y cacao</t>
        </is>
      </c>
      <c r="D44" t="inlineStr">
        <is>
          <t>g</t>
        </is>
      </c>
      <c r="E44" s="4" t="n">
        <v>1000</v>
      </c>
      <c r="F44" s="4" t="n">
        <v>720</v>
      </c>
      <c r="G44">
        <f>IFERROR(F44/E44,0)</f>
        <v/>
      </c>
    </row>
    <row r="45">
      <c r="A45" t="inlineStr">
        <is>
          <t>CHI</t>
        </is>
      </c>
      <c r="B45" t="inlineStr">
        <is>
          <t>Chispas de chocolate sin azúcar</t>
        </is>
      </c>
      <c r="C45" t="inlineStr">
        <is>
          <t>Chocolate y cacao</t>
        </is>
      </c>
      <c r="D45" t="inlineStr">
        <is>
          <t>g</t>
        </is>
      </c>
      <c r="E45" s="4" t="n">
        <v>1000</v>
      </c>
      <c r="F45" s="4" t="n">
        <v>560</v>
      </c>
      <c r="G45">
        <f>IFERROR(F45/E45,0)</f>
        <v/>
      </c>
    </row>
    <row r="46">
      <c r="A46" t="inlineStr">
        <is>
          <t>CAA</t>
        </is>
      </c>
      <c r="B46" t="inlineStr">
        <is>
          <t>Cacao alcalino en polvo</t>
        </is>
      </c>
      <c r="C46" t="inlineStr">
        <is>
          <t>Chocolate y cacao</t>
        </is>
      </c>
      <c r="D46" t="inlineStr">
        <is>
          <t>g</t>
        </is>
      </c>
      <c r="E46" s="4" t="n">
        <v>500</v>
      </c>
      <c r="F46" s="4" t="n">
        <v>190</v>
      </c>
      <c r="G46">
        <f>IFERROR(F46/E46,0)</f>
        <v/>
      </c>
    </row>
    <row r="47">
      <c r="A47" t="inlineStr">
        <is>
          <t>CAN</t>
        </is>
      </c>
      <c r="B47" t="inlineStr">
        <is>
          <t>Cacao natural en polvo</t>
        </is>
      </c>
      <c r="C47" t="inlineStr">
        <is>
          <t>Chocolate y cacao</t>
        </is>
      </c>
      <c r="D47" t="inlineStr">
        <is>
          <t>g</t>
        </is>
      </c>
      <c r="E47" s="4" t="n">
        <v>500</v>
      </c>
      <c r="F47" s="4" t="n">
        <v>160</v>
      </c>
      <c r="G47">
        <f>IFERROR(F47/E47,0)</f>
        <v/>
      </c>
    </row>
    <row r="48">
      <c r="A48" t="inlineStr">
        <is>
          <t>NIB</t>
        </is>
      </c>
      <c r="B48" t="inlineStr">
        <is>
          <t>Nibs de cacao tostado</t>
        </is>
      </c>
      <c r="C48" t="inlineStr">
        <is>
          <t>Chocolate y cacao</t>
        </is>
      </c>
      <c r="D48" t="inlineStr">
        <is>
          <t>g</t>
        </is>
      </c>
      <c r="E48" s="4" t="n">
        <v>250</v>
      </c>
      <c r="F48" s="4" t="n">
        <v>110</v>
      </c>
      <c r="G48">
        <f>IFERROR(F48/E48,0)</f>
        <v/>
      </c>
    </row>
    <row r="49">
      <c r="A49" t="inlineStr">
        <is>
          <t>NPE</t>
        </is>
      </c>
      <c r="B49" t="inlineStr">
        <is>
          <t>Nuez pecana</t>
        </is>
      </c>
      <c r="C49" t="inlineStr">
        <is>
          <t>Frutos secos y semillas</t>
        </is>
      </c>
      <c r="D49" t="inlineStr">
        <is>
          <t>g</t>
        </is>
      </c>
      <c r="E49" s="4" t="n">
        <v>1000</v>
      </c>
      <c r="F49" s="4" t="n">
        <v>380</v>
      </c>
      <c r="G49">
        <f>IFERROR(F49/E49,0)</f>
        <v/>
      </c>
    </row>
    <row r="50">
      <c r="A50" t="inlineStr">
        <is>
          <t>ALM</t>
        </is>
      </c>
      <c r="B50" t="inlineStr">
        <is>
          <t>Almendra entera</t>
        </is>
      </c>
      <c r="C50" t="inlineStr">
        <is>
          <t>Frutos secos y semillas</t>
        </is>
      </c>
      <c r="D50" t="inlineStr">
        <is>
          <t>g</t>
        </is>
      </c>
      <c r="E50" s="4" t="n">
        <v>1000</v>
      </c>
      <c r="F50" s="4" t="n">
        <v>280</v>
      </c>
      <c r="G50">
        <f>IFERROR(F50/E50,0)</f>
        <v/>
      </c>
    </row>
    <row r="51">
      <c r="A51" t="inlineStr">
        <is>
          <t>ALG</t>
        </is>
      </c>
      <c r="B51" t="inlineStr">
        <is>
          <t>Almendra en granillo tostada</t>
        </is>
      </c>
      <c r="C51" t="inlineStr">
        <is>
          <t>Frutos secos y semillas</t>
        </is>
      </c>
      <c r="D51" t="inlineStr">
        <is>
          <t>g</t>
        </is>
      </c>
      <c r="E51" s="4" t="n">
        <v>1000</v>
      </c>
      <c r="F51" s="4" t="n">
        <v>320</v>
      </c>
      <c r="G51">
        <f>IFERROR(F51/E51,0)</f>
        <v/>
      </c>
    </row>
    <row r="52">
      <c r="A52" t="inlineStr">
        <is>
          <t>AVE</t>
        </is>
      </c>
      <c r="B52" t="inlineStr">
        <is>
          <t>Avellana entera</t>
        </is>
      </c>
      <c r="C52" t="inlineStr">
        <is>
          <t>Frutos secos y semillas</t>
        </is>
      </c>
      <c r="D52" t="inlineStr">
        <is>
          <t>g</t>
        </is>
      </c>
      <c r="E52" s="4" t="n">
        <v>1000</v>
      </c>
      <c r="F52" s="4" t="n">
        <v>420</v>
      </c>
      <c r="G52">
        <f>IFERROR(F52/E52,0)</f>
        <v/>
      </c>
    </row>
    <row r="53">
      <c r="A53" t="inlineStr">
        <is>
          <t>PAV</t>
        </is>
      </c>
      <c r="B53" t="inlineStr">
        <is>
          <t>Pasta pura de avellana</t>
        </is>
      </c>
      <c r="C53" t="inlineStr">
        <is>
          <t>Frutos secos y semillas</t>
        </is>
      </c>
      <c r="D53" t="inlineStr">
        <is>
          <t>g</t>
        </is>
      </c>
      <c r="E53" s="4" t="n">
        <v>500</v>
      </c>
      <c r="F53" s="4" t="n">
        <v>390</v>
      </c>
      <c r="G53">
        <f>IFERROR(F53/E53,0)</f>
        <v/>
      </c>
    </row>
    <row r="54">
      <c r="A54" t="inlineStr">
        <is>
          <t>PIS</t>
        </is>
      </c>
      <c r="B54" t="inlineStr">
        <is>
          <t>Pistache pelado</t>
        </is>
      </c>
      <c r="C54" t="inlineStr">
        <is>
          <t>Frutos secos y semillas</t>
        </is>
      </c>
      <c r="D54" t="inlineStr">
        <is>
          <t>g</t>
        </is>
      </c>
      <c r="E54" s="4" t="n">
        <v>1000</v>
      </c>
      <c r="F54" s="4" t="n">
        <v>690</v>
      </c>
      <c r="G54">
        <f>IFERROR(F54/E54,0)</f>
        <v/>
      </c>
    </row>
    <row r="55">
      <c r="A55" t="inlineStr">
        <is>
          <t>MCC</t>
        </is>
      </c>
      <c r="B55" t="inlineStr">
        <is>
          <t>Crema de cacahuate 100 %</t>
        </is>
      </c>
      <c r="C55" t="inlineStr">
        <is>
          <t>Frutos secos y semillas</t>
        </is>
      </c>
      <c r="D55" t="inlineStr">
        <is>
          <t>g</t>
        </is>
      </c>
      <c r="E55" s="4" t="n">
        <v>500</v>
      </c>
      <c r="F55" s="4" t="n">
        <v>95</v>
      </c>
      <c r="G55">
        <f>IFERROR(F55/E55,0)</f>
        <v/>
      </c>
    </row>
    <row r="56">
      <c r="A56" t="inlineStr">
        <is>
          <t>COC</t>
        </is>
      </c>
      <c r="B56" t="inlineStr">
        <is>
          <t>Coco rallado sin azúcar</t>
        </is>
      </c>
      <c r="C56" t="inlineStr">
        <is>
          <t>Frutos secos y semillas</t>
        </is>
      </c>
      <c r="D56" t="inlineStr">
        <is>
          <t>g</t>
        </is>
      </c>
      <c r="E56" s="4" t="n">
        <v>500</v>
      </c>
      <c r="F56" s="4" t="n">
        <v>90</v>
      </c>
      <c r="G56">
        <f>IFERROR(F56/E56,0)</f>
        <v/>
      </c>
    </row>
    <row r="57">
      <c r="A57" t="inlineStr">
        <is>
          <t>CAÑ</t>
        </is>
      </c>
      <c r="B57" t="inlineStr">
        <is>
          <t>Corazones de cáñamo</t>
        </is>
      </c>
      <c r="C57" t="inlineStr">
        <is>
          <t>Frutos secos y semillas</t>
        </is>
      </c>
      <c r="D57" t="inlineStr">
        <is>
          <t>g</t>
        </is>
      </c>
      <c r="E57" s="4" t="n">
        <v>250</v>
      </c>
      <c r="F57" s="4" t="n">
        <v>165</v>
      </c>
      <c r="G57">
        <f>IFERROR(F57/E57,0)</f>
        <v/>
      </c>
    </row>
    <row r="58">
      <c r="A58" t="inlineStr">
        <is>
          <t>CHA</t>
        </is>
      </c>
      <c r="B58" t="inlineStr">
        <is>
          <t>Semilla de chía</t>
        </is>
      </c>
      <c r="C58" t="inlineStr">
        <is>
          <t>Frutos secos y semillas</t>
        </is>
      </c>
      <c r="D58" t="inlineStr">
        <is>
          <t>g</t>
        </is>
      </c>
      <c r="E58" s="4" t="n">
        <v>500</v>
      </c>
      <c r="F58" s="4" t="n">
        <v>75</v>
      </c>
      <c r="G58">
        <f>IFERROR(F58/E58,0)</f>
        <v/>
      </c>
    </row>
    <row r="59">
      <c r="A59" t="inlineStr">
        <is>
          <t>SES</t>
        </is>
      </c>
      <c r="B59" t="inlineStr">
        <is>
          <t>Ajonjolí tostado</t>
        </is>
      </c>
      <c r="C59" t="inlineStr">
        <is>
          <t>Frutos secos y semillas</t>
        </is>
      </c>
      <c r="D59" t="inlineStr">
        <is>
          <t>g</t>
        </is>
      </c>
      <c r="E59" s="4" t="n">
        <v>250</v>
      </c>
      <c r="F59" s="4" t="n">
        <v>35</v>
      </c>
      <c r="G59">
        <f>IFERROR(F59/E59,0)</f>
        <v/>
      </c>
    </row>
    <row r="60">
      <c r="A60" t="inlineStr">
        <is>
          <t>ZAN</t>
        </is>
      </c>
      <c r="B60" t="inlineStr">
        <is>
          <t>Zanahoria</t>
        </is>
      </c>
      <c r="C60" t="inlineStr">
        <is>
          <t>Frutas y verduras</t>
        </is>
      </c>
      <c r="D60" t="inlineStr">
        <is>
          <t>g</t>
        </is>
      </c>
      <c r="E60" s="4" t="n">
        <v>1000</v>
      </c>
      <c r="F60" s="4" t="n">
        <v>22</v>
      </c>
      <c r="G60">
        <f>IFERROR(F60/E60,0)</f>
        <v/>
      </c>
    </row>
    <row r="61">
      <c r="A61" t="inlineStr">
        <is>
          <t>PLA</t>
        </is>
      </c>
      <c r="B61" t="inlineStr">
        <is>
          <t>Plátano tabasco maduro</t>
        </is>
      </c>
      <c r="C61" t="inlineStr">
        <is>
          <t>Frutas y verduras</t>
        </is>
      </c>
      <c r="D61" t="inlineStr">
        <is>
          <t>g</t>
        </is>
      </c>
      <c r="E61" s="4" t="n">
        <v>1000</v>
      </c>
      <c r="F61" s="4" t="n">
        <v>26</v>
      </c>
      <c r="G61">
        <f>IFERROR(F61/E61,0)</f>
        <v/>
      </c>
    </row>
    <row r="62">
      <c r="A62" t="inlineStr">
        <is>
          <t>LIM</t>
        </is>
      </c>
      <c r="B62" t="inlineStr">
        <is>
          <t>Limón (amarillo o criollo)</t>
        </is>
      </c>
      <c r="C62" t="inlineStr">
        <is>
          <t>Frutas y verduras</t>
        </is>
      </c>
      <c r="D62" t="inlineStr">
        <is>
          <t>pz</t>
        </is>
      </c>
      <c r="E62" s="4" t="n">
        <v>10</v>
      </c>
      <c r="F62" s="4" t="n">
        <v>35</v>
      </c>
      <c r="G62">
        <f>IFERROR(F62/E62,0)</f>
        <v/>
      </c>
    </row>
    <row r="63">
      <c r="A63" t="inlineStr">
        <is>
          <t>NAR</t>
        </is>
      </c>
      <c r="B63" t="inlineStr">
        <is>
          <t>Naranja</t>
        </is>
      </c>
      <c r="C63" t="inlineStr">
        <is>
          <t>Frutas y verduras</t>
        </is>
      </c>
      <c r="D63" t="inlineStr">
        <is>
          <t>pz</t>
        </is>
      </c>
      <c r="E63" s="4" t="n">
        <v>10</v>
      </c>
      <c r="F63" s="4" t="n">
        <v>30</v>
      </c>
      <c r="G63">
        <f>IFERROR(F63/E63,0)</f>
        <v/>
      </c>
    </row>
    <row r="64">
      <c r="A64" t="inlineStr">
        <is>
          <t>FRO</t>
        </is>
      </c>
      <c r="B64" t="inlineStr">
        <is>
          <t>Frutos rojos mixtos</t>
        </is>
      </c>
      <c r="C64" t="inlineStr">
        <is>
          <t>Frutas y verduras</t>
        </is>
      </c>
      <c r="D64" t="inlineStr">
        <is>
          <t>g</t>
        </is>
      </c>
      <c r="E64" s="4" t="n">
        <v>1000</v>
      </c>
      <c r="F64" s="4" t="n">
        <v>170</v>
      </c>
      <c r="G64">
        <f>IFERROR(F64/E64,0)</f>
        <v/>
      </c>
    </row>
    <row r="65">
      <c r="A65" t="inlineStr">
        <is>
          <t>FRA</t>
        </is>
      </c>
      <c r="B65" t="inlineStr">
        <is>
          <t>Frambuesa</t>
        </is>
      </c>
      <c r="C65" t="inlineStr">
        <is>
          <t>Frutas y verduras</t>
        </is>
      </c>
      <c r="D65" t="inlineStr">
        <is>
          <t>g</t>
        </is>
      </c>
      <c r="E65" s="4" t="n">
        <v>1000</v>
      </c>
      <c r="F65" s="4" t="n">
        <v>260</v>
      </c>
      <c r="G65">
        <f>IFERROR(F65/E65,0)</f>
        <v/>
      </c>
    </row>
    <row r="66">
      <c r="A66" t="inlineStr">
        <is>
          <t>ZAR</t>
        </is>
      </c>
      <c r="B66" t="inlineStr">
        <is>
          <t>Zarzamora</t>
        </is>
      </c>
      <c r="C66" t="inlineStr">
        <is>
          <t>Frutas y verduras</t>
        </is>
      </c>
      <c r="D66" t="inlineStr">
        <is>
          <t>g</t>
        </is>
      </c>
      <c r="E66" s="4" t="n">
        <v>1000</v>
      </c>
      <c r="F66" s="4" t="n">
        <v>220</v>
      </c>
      <c r="G66">
        <f>IFERROR(F66/E66,0)</f>
        <v/>
      </c>
    </row>
    <row r="67">
      <c r="A67" t="inlineStr">
        <is>
          <t>FRE</t>
        </is>
      </c>
      <c r="B67" t="inlineStr">
        <is>
          <t>Fresa</t>
        </is>
      </c>
      <c r="C67" t="inlineStr">
        <is>
          <t>Frutas y verduras</t>
        </is>
      </c>
      <c r="D67" t="inlineStr">
        <is>
          <t>g</t>
        </is>
      </c>
      <c r="E67" s="4" t="n">
        <v>1000</v>
      </c>
      <c r="F67" s="4" t="n">
        <v>65</v>
      </c>
      <c r="G67">
        <f>IFERROR(F67/E67,0)</f>
        <v/>
      </c>
    </row>
    <row r="68">
      <c r="A68" t="inlineStr">
        <is>
          <t>ARA</t>
        </is>
      </c>
      <c r="B68" t="inlineStr">
        <is>
          <t>Arándano azul</t>
        </is>
      </c>
      <c r="C68" t="inlineStr">
        <is>
          <t>Frutas y verduras</t>
        </is>
      </c>
      <c r="D68" t="inlineStr">
        <is>
          <t>g</t>
        </is>
      </c>
      <c r="E68" s="4" t="n">
        <v>1000</v>
      </c>
      <c r="F68" s="4" t="n">
        <v>330</v>
      </c>
      <c r="G68">
        <f>IFERROR(F68/E68,0)</f>
        <v/>
      </c>
    </row>
    <row r="69">
      <c r="A69" t="inlineStr">
        <is>
          <t>ARS</t>
        </is>
      </c>
      <c r="B69" t="inlineStr">
        <is>
          <t>Arándano rojo deshidratado sin azúcar</t>
        </is>
      </c>
      <c r="C69" t="inlineStr">
        <is>
          <t>Frutas y verduras</t>
        </is>
      </c>
      <c r="D69" t="inlineStr">
        <is>
          <t>g</t>
        </is>
      </c>
      <c r="E69" s="4" t="n">
        <v>500</v>
      </c>
      <c r="F69" s="4" t="n">
        <v>170</v>
      </c>
      <c r="G69">
        <f>IFERROR(F69/E69,0)</f>
        <v/>
      </c>
    </row>
    <row r="70">
      <c r="A70" t="inlineStr">
        <is>
          <t>CER</t>
        </is>
      </c>
      <c r="B70" t="inlineStr">
        <is>
          <t>Cereza ácida (Morello) congelada</t>
        </is>
      </c>
      <c r="C70" t="inlineStr">
        <is>
          <t>Frutas y verduras</t>
        </is>
      </c>
      <c r="D70" t="inlineStr">
        <is>
          <t>g</t>
        </is>
      </c>
      <c r="E70" s="4" t="n">
        <v>1000</v>
      </c>
      <c r="F70" s="4" t="n">
        <v>240</v>
      </c>
      <c r="G70">
        <f>IFERROR(F70/E70,0)</f>
        <v/>
      </c>
    </row>
    <row r="71">
      <c r="A71" t="inlineStr">
        <is>
          <t>FMX</t>
        </is>
      </c>
      <c r="B71" t="inlineStr">
        <is>
          <t>Fruta fresca mixta</t>
        </is>
      </c>
      <c r="C71" t="inlineStr">
        <is>
          <t>Frutas y verduras</t>
        </is>
      </c>
      <c r="D71" t="inlineStr">
        <is>
          <t>g</t>
        </is>
      </c>
      <c r="E71" s="4" t="n">
        <v>1000</v>
      </c>
      <c r="F71" s="4" t="n">
        <v>90</v>
      </c>
      <c r="G71">
        <f>IFERROR(F71/E71,0)</f>
        <v/>
      </c>
    </row>
    <row r="72">
      <c r="A72" t="inlineStr">
        <is>
          <t>VAE</t>
        </is>
      </c>
      <c r="B72" t="inlineStr">
        <is>
          <t>Extracto de vainilla</t>
        </is>
      </c>
      <c r="C72" t="inlineStr">
        <is>
          <t>Saborizantes y especias</t>
        </is>
      </c>
      <c r="D72" t="inlineStr">
        <is>
          <t>ml</t>
        </is>
      </c>
      <c r="E72" s="4" t="n">
        <v>250</v>
      </c>
      <c r="F72" s="4" t="n">
        <v>160</v>
      </c>
      <c r="G72">
        <f>IFERROR(F72/E72,0)</f>
        <v/>
      </c>
    </row>
    <row r="73">
      <c r="A73" t="inlineStr">
        <is>
          <t>VAV</t>
        </is>
      </c>
      <c r="B73" t="inlineStr">
        <is>
          <t>Vaina de vainilla</t>
        </is>
      </c>
      <c r="C73" t="inlineStr">
        <is>
          <t>Saborizantes y especias</t>
        </is>
      </c>
      <c r="D73" t="inlineStr">
        <is>
          <t>pz</t>
        </is>
      </c>
      <c r="E73" s="4" t="n">
        <v>1</v>
      </c>
      <c r="F73" s="4" t="n">
        <v>48</v>
      </c>
      <c r="G73">
        <f>IFERROR(F73/E73,0)</f>
        <v/>
      </c>
    </row>
    <row r="74">
      <c r="A74" t="inlineStr">
        <is>
          <t>VAP</t>
        </is>
      </c>
      <c r="B74" t="inlineStr">
        <is>
          <t>Pasta de vainilla</t>
        </is>
      </c>
      <c r="C74" t="inlineStr">
        <is>
          <t>Saborizantes y especias</t>
        </is>
      </c>
      <c r="D74" t="inlineStr">
        <is>
          <t>g</t>
        </is>
      </c>
      <c r="E74" s="4" t="n">
        <v>100</v>
      </c>
      <c r="F74" s="4" t="n">
        <v>210</v>
      </c>
      <c r="G74">
        <f>IFERROR(F74/E74,0)</f>
        <v/>
      </c>
    </row>
    <row r="75">
      <c r="A75" t="inlineStr">
        <is>
          <t>EXT</t>
        </is>
      </c>
      <c r="B75" t="inlineStr">
        <is>
          <t>Extractos varios (almendra, café, maple, plátano, marsala)</t>
        </is>
      </c>
      <c r="C75" t="inlineStr">
        <is>
          <t>Saborizantes y especias</t>
        </is>
      </c>
      <c r="D75" t="inlineStr">
        <is>
          <t>ml</t>
        </is>
      </c>
      <c r="E75" s="4" t="n">
        <v>60</v>
      </c>
      <c r="F75" s="4" t="n">
        <v>85</v>
      </c>
      <c r="G75">
        <f>IFERROR(F75/E75,0)</f>
        <v/>
      </c>
    </row>
    <row r="76">
      <c r="A76" t="inlineStr">
        <is>
          <t>AZA</t>
        </is>
      </c>
      <c r="B76" t="inlineStr">
        <is>
          <t>Agua de azahar</t>
        </is>
      </c>
      <c r="C76" t="inlineStr">
        <is>
          <t>Saborizantes y especias</t>
        </is>
      </c>
      <c r="D76" t="inlineStr">
        <is>
          <t>ml</t>
        </is>
      </c>
      <c r="E76" s="4" t="n">
        <v>250</v>
      </c>
      <c r="F76" s="4" t="n">
        <v>40</v>
      </c>
      <c r="G76">
        <f>IFERROR(F76/E76,0)</f>
        <v/>
      </c>
    </row>
    <row r="77">
      <c r="A77" t="inlineStr">
        <is>
          <t>CAF</t>
        </is>
      </c>
      <c r="B77" t="inlineStr">
        <is>
          <t>Café espresso preparado</t>
        </is>
      </c>
      <c r="C77" t="inlineStr">
        <is>
          <t>Saborizantes y especias</t>
        </is>
      </c>
      <c r="D77" t="inlineStr">
        <is>
          <t>ml</t>
        </is>
      </c>
      <c r="E77" s="4" t="n">
        <v>1000</v>
      </c>
      <c r="F77" s="4" t="n">
        <v>70</v>
      </c>
      <c r="G77">
        <f>IFERROR(F77/E77,0)</f>
        <v/>
      </c>
    </row>
    <row r="78">
      <c r="A78" t="inlineStr">
        <is>
          <t>CAP</t>
        </is>
      </c>
      <c r="B78" t="inlineStr">
        <is>
          <t>Canela de Ceilán en polvo</t>
        </is>
      </c>
      <c r="C78" t="inlineStr">
        <is>
          <t>Saborizantes y especias</t>
        </is>
      </c>
      <c r="D78" t="inlineStr">
        <is>
          <t>g</t>
        </is>
      </c>
      <c r="E78" s="4" t="n">
        <v>100</v>
      </c>
      <c r="F78" s="4" t="n">
        <v>55</v>
      </c>
      <c r="G78">
        <f>IFERROR(F78/E78,0)</f>
        <v/>
      </c>
    </row>
    <row r="79">
      <c r="A79" t="inlineStr">
        <is>
          <t>CAR</t>
        </is>
      </c>
      <c r="B79" t="inlineStr">
        <is>
          <t>Canela en raja</t>
        </is>
      </c>
      <c r="C79" t="inlineStr">
        <is>
          <t>Saborizantes y especias</t>
        </is>
      </c>
      <c r="D79" t="inlineStr">
        <is>
          <t>pz</t>
        </is>
      </c>
      <c r="E79" s="4" t="n">
        <v>20</v>
      </c>
      <c r="F79" s="4" t="n">
        <v>40</v>
      </c>
      <c r="G79">
        <f>IFERROR(F79/E79,0)</f>
        <v/>
      </c>
    </row>
    <row r="80">
      <c r="A80" t="inlineStr">
        <is>
          <t>ESP</t>
        </is>
      </c>
      <c r="B80" t="inlineStr">
        <is>
          <t>Especias molidas (jengibre, nuez moscada)</t>
        </is>
      </c>
      <c r="C80" t="inlineStr">
        <is>
          <t>Saborizantes y especias</t>
        </is>
      </c>
      <c r="D80" t="inlineStr">
        <is>
          <t>g</t>
        </is>
      </c>
      <c r="E80" s="4" t="n">
        <v>50</v>
      </c>
      <c r="F80" s="4" t="n">
        <v>38</v>
      </c>
      <c r="G80">
        <f>IFERROR(F80/E80,0)</f>
        <v/>
      </c>
    </row>
    <row r="81">
      <c r="A81" t="inlineStr">
        <is>
          <t>COL</t>
        </is>
      </c>
      <c r="B81" t="inlineStr">
        <is>
          <t>Colorante rojo hidrosoluble</t>
        </is>
      </c>
      <c r="C81" t="inlineStr">
        <is>
          <t>Saborizantes y especias</t>
        </is>
      </c>
      <c r="D81" t="inlineStr">
        <is>
          <t>g</t>
        </is>
      </c>
      <c r="E81" s="4" t="n">
        <v>30</v>
      </c>
      <c r="F81" s="4" t="n">
        <v>45</v>
      </c>
      <c r="G81">
        <f>IFERROR(F81/E81,0)</f>
        <v/>
      </c>
    </row>
    <row r="82">
      <c r="A82" t="inlineStr">
        <is>
          <t>SAL</t>
        </is>
      </c>
      <c r="B82" t="inlineStr">
        <is>
          <t>Sal marina fina</t>
        </is>
      </c>
      <c r="C82" t="inlineStr">
        <is>
          <t>Saborizantes y especias</t>
        </is>
      </c>
      <c r="D82" t="inlineStr">
        <is>
          <t>g</t>
        </is>
      </c>
      <c r="E82" s="4" t="n">
        <v>1000</v>
      </c>
      <c r="F82" s="4" t="n">
        <v>26</v>
      </c>
      <c r="G82">
        <f>IFERROR(F82/E82,0)</f>
        <v/>
      </c>
    </row>
    <row r="83">
      <c r="A83" t="inlineStr">
        <is>
          <t>SAE</t>
        </is>
      </c>
      <c r="B83" t="inlineStr">
        <is>
          <t>Sal en escamas</t>
        </is>
      </c>
      <c r="C83" t="inlineStr">
        <is>
          <t>Saborizantes y especias</t>
        </is>
      </c>
      <c r="D83" t="inlineStr">
        <is>
          <t>g</t>
        </is>
      </c>
      <c r="E83" s="4" t="n">
        <v>250</v>
      </c>
      <c r="F83" s="4" t="n">
        <v>120</v>
      </c>
      <c r="G83">
        <f>IFERROR(F83/E83,0)</f>
        <v/>
      </c>
    </row>
    <row r="84">
      <c r="A84" t="inlineStr">
        <is>
          <t>VIN</t>
        </is>
      </c>
      <c r="B84" t="inlineStr">
        <is>
          <t>Vinagre de manzana</t>
        </is>
      </c>
      <c r="C84" t="inlineStr">
        <is>
          <t>Saborizantes y especias</t>
        </is>
      </c>
      <c r="D84" t="inlineStr">
        <is>
          <t>ml</t>
        </is>
      </c>
      <c r="E84" s="4" t="n">
        <v>1000</v>
      </c>
      <c r="F84" s="4" t="n">
        <v>32</v>
      </c>
      <c r="G84">
        <f>IFERROR(F84/E84,0)</f>
        <v/>
      </c>
    </row>
    <row r="85">
      <c r="A85" t="inlineStr">
        <is>
          <t>KIR</t>
        </is>
      </c>
      <c r="B85" t="inlineStr">
        <is>
          <t>Kirsch (aguardiente de cereza)</t>
        </is>
      </c>
      <c r="C85" t="inlineStr">
        <is>
          <t>Licores</t>
        </is>
      </c>
      <c r="D85" t="inlineStr">
        <is>
          <t>ml</t>
        </is>
      </c>
      <c r="E85" s="4" t="n">
        <v>700</v>
      </c>
      <c r="F85" s="4" t="n">
        <v>480</v>
      </c>
      <c r="G85">
        <f>IFERROR(F85/E85,0)</f>
        <v/>
      </c>
    </row>
    <row r="86">
      <c r="A86" t="inlineStr">
        <is>
          <t>LIC</t>
        </is>
      </c>
      <c r="B86" t="inlineStr">
        <is>
          <t>Licor o destilado (naranja, ron)</t>
        </is>
      </c>
      <c r="C86" t="inlineStr">
        <is>
          <t>Licores</t>
        </is>
      </c>
      <c r="D86" t="inlineStr">
        <is>
          <t>ml</t>
        </is>
      </c>
      <c r="E86" s="4" t="n">
        <v>750</v>
      </c>
      <c r="F86" s="4" t="n">
        <v>320</v>
      </c>
      <c r="G86">
        <f>IFERROR(F86/E86,0)</f>
        <v/>
      </c>
    </row>
    <row r="87">
      <c r="A87" t="inlineStr">
        <is>
          <t>AGU</t>
        </is>
      </c>
      <c r="B87" t="inlineStr">
        <is>
          <t>Agua purificada</t>
        </is>
      </c>
      <c r="C87" t="inlineStr">
        <is>
          <t>Otros</t>
        </is>
      </c>
      <c r="D87" t="inlineStr">
        <is>
          <t>ml</t>
        </is>
      </c>
      <c r="E87" s="4" t="n">
        <v>20000</v>
      </c>
      <c r="F87" s="4" t="n">
        <v>45</v>
      </c>
      <c r="G87">
        <f>IFERROR(F87/E87,0)</f>
        <v/>
      </c>
    </row>
    <row r="88">
      <c r="A88" t="inlineStr">
        <is>
          <t>SUB1</t>
        </is>
      </c>
      <c r="B88" t="inlineStr">
        <is>
          <t>Base B-1 Bizcocho (sub-receta)</t>
        </is>
      </c>
      <c r="C88" t="inlineStr">
        <is>
          <t>Sub-recetas</t>
        </is>
      </c>
      <c r="D88" t="inlineStr">
        <is>
          <t>g</t>
        </is>
      </c>
      <c r="E88" t="n">
        <v>1</v>
      </c>
      <c r="F88">
        <f>VLOOKUP("B1",'Bases madre'!$A:$F,6,FALSE)</f>
        <v/>
      </c>
      <c r="G88">
        <f>IFERROR(F88/E88,0)</f>
        <v/>
      </c>
    </row>
    <row r="89">
      <c r="A89" t="inlineStr">
        <is>
          <t>SUB2</t>
        </is>
      </c>
      <c r="B89" t="inlineStr">
        <is>
          <t>Base B-2 Sablée (sub-receta)</t>
        </is>
      </c>
      <c r="C89" t="inlineStr">
        <is>
          <t>Sub-recetas</t>
        </is>
      </c>
      <c r="D89" t="inlineStr">
        <is>
          <t>g</t>
        </is>
      </c>
      <c r="E89" t="n">
        <v>1</v>
      </c>
      <c r="F89">
        <f>VLOOKUP("B2",'Bases madre'!$A:$F,6,FALSE)</f>
        <v/>
      </c>
      <c r="G89">
        <f>IFERROR(F89/E89,0)</f>
        <v/>
      </c>
    </row>
  </sheetData>
  <autoFilter ref="A1:G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34" customWidth="1" min="2" max="2"/>
    <col width="34" customWidth="1" min="3" max="3"/>
  </cols>
  <sheetData>
    <row r="1">
      <c r="A1" s="3" t="inlineStr">
        <is>
          <t>Base</t>
        </is>
      </c>
      <c r="B1" s="3" t="inlineStr">
        <is>
          <t>Nombre</t>
        </is>
      </c>
      <c r="C1" s="3" t="inlineStr">
        <is>
          <t>Costo lote</t>
        </is>
      </c>
      <c r="D1" s="3" t="inlineStr">
        <is>
          <t>Rendimiento (g)</t>
        </is>
      </c>
      <c r="E1" s="3" t="inlineStr">
        <is>
          <t>Costo por kg</t>
        </is>
      </c>
      <c r="F1" s="3" t="inlineStr">
        <is>
          <t>Costo por g</t>
        </is>
      </c>
    </row>
    <row r="2">
      <c r="A2" t="inlineStr">
        <is>
          <t>B1</t>
        </is>
      </c>
      <c r="B2" t="inlineStr">
        <is>
          <t>Bizcocho de almendra</t>
        </is>
      </c>
      <c r="C2">
        <f>SUMIF($A$12:$A$63,A2,$E$12:$E$63)</f>
        <v/>
      </c>
      <c r="D2" s="4" t="n">
        <v>1300</v>
      </c>
      <c r="E2">
        <f>C2/D2*1000</f>
        <v/>
      </c>
      <c r="F2">
        <f>C2/D2</f>
        <v/>
      </c>
    </row>
    <row r="3">
      <c r="A3" t="inlineStr">
        <is>
          <t>B2</t>
        </is>
      </c>
      <c r="B3" t="inlineStr">
        <is>
          <t>Masa sablée de almendra</t>
        </is>
      </c>
      <c r="C3">
        <f>SUMIF($A$12:$A$63,A3,$E$12:$E$63)</f>
        <v/>
      </c>
      <c r="D3" s="4" t="n">
        <v>540</v>
      </c>
      <c r="E3">
        <f>C3/D3*1000</f>
        <v/>
      </c>
      <c r="F3">
        <f>C3/D3</f>
        <v/>
      </c>
    </row>
    <row r="4">
      <c r="A4" t="inlineStr">
        <is>
          <t>B3</t>
        </is>
      </c>
      <c r="B4" t="inlineStr">
        <is>
          <t>Crema de yemas y lácteos cuajados</t>
        </is>
      </c>
      <c r="C4">
        <f>SUMIF($A$12:$A$63,A4,$E$12:$E$63)</f>
        <v/>
      </c>
      <c r="D4" s="4" t="n">
        <v>800</v>
      </c>
      <c r="E4">
        <f>C4/D4*1000</f>
        <v/>
      </c>
      <c r="F4">
        <f>C4/D4</f>
        <v/>
      </c>
    </row>
    <row r="5">
      <c r="A5" t="inlineStr">
        <is>
          <t>B4</t>
        </is>
      </c>
      <c r="B5" t="inlineStr">
        <is>
          <t>Aparato de queso crema</t>
        </is>
      </c>
      <c r="C5">
        <f>SUMIF($A$12:$A$63,A5,$E$12:$E$63)</f>
        <v/>
      </c>
      <c r="D5" s="4" t="n">
        <v>1600</v>
      </c>
      <c r="E5">
        <f>C5/D5*1000</f>
        <v/>
      </c>
      <c r="F5">
        <f>C5/D5</f>
        <v/>
      </c>
    </row>
    <row r="6">
      <c r="A6" t="inlineStr">
        <is>
          <t>B5</t>
        </is>
      </c>
      <c r="B6" t="inlineStr">
        <is>
          <t>Ganache de chocolate sin azúcar</t>
        </is>
      </c>
      <c r="C6">
        <f>SUMIF($A$12:$A$63,A6,$E$12:$E$63)</f>
        <v/>
      </c>
      <c r="D6" s="4" t="n">
        <v>520</v>
      </c>
      <c r="E6">
        <f>C6/D6*1000</f>
        <v/>
      </c>
      <c r="F6">
        <f>C6/D6</f>
        <v/>
      </c>
    </row>
    <row r="7">
      <c r="A7" t="inlineStr">
        <is>
          <t>B6</t>
        </is>
      </c>
      <c r="B7" t="inlineStr">
        <is>
          <t>Caramelo de alulosa</t>
        </is>
      </c>
      <c r="C7">
        <f>SUMIF($A$12:$A$63,A7,$E$12:$E$63)</f>
        <v/>
      </c>
      <c r="D7" s="4" t="n">
        <v>350</v>
      </c>
      <c r="E7">
        <f>C7/D7*1000</f>
        <v/>
      </c>
      <c r="F7">
        <f>C7/D7</f>
        <v/>
      </c>
    </row>
    <row r="8">
      <c r="A8" t="inlineStr">
        <is>
          <t>B7</t>
        </is>
      </c>
      <c r="B8" t="inlineStr">
        <is>
          <t>Masa levada sin gluten</t>
        </is>
      </c>
      <c r="C8">
        <f>SUMIF($A$12:$A$63,A8,$E$12:$E$63)</f>
        <v/>
      </c>
      <c r="D8" s="4" t="n">
        <v>560</v>
      </c>
      <c r="E8">
        <f>C8/D8*1000</f>
        <v/>
      </c>
      <c r="F8">
        <f>C8/D8</f>
        <v/>
      </c>
    </row>
    <row r="11">
      <c r="A11" s="3" t="inlineStr">
        <is>
          <t>Base</t>
        </is>
      </c>
      <c r="B11" s="3" t="inlineStr">
        <is>
          <t>Insumo ID</t>
        </is>
      </c>
      <c r="C11" s="3" t="inlineStr">
        <is>
          <t>Insumo</t>
        </is>
      </c>
      <c r="D11" s="3" t="inlineStr">
        <is>
          <t>Cantidad</t>
        </is>
      </c>
      <c r="E11" s="3" t="inlineStr">
        <is>
          <t>Costo línea</t>
        </is>
      </c>
    </row>
    <row r="12">
      <c r="A12" t="inlineStr">
        <is>
          <t>B1</t>
        </is>
      </c>
      <c r="B12" t="inlineStr">
        <is>
          <t>HAL</t>
        </is>
      </c>
      <c r="C12">
        <f>VLOOKUP(B12,Insumos!$A:$G,2,FALSE)</f>
        <v/>
      </c>
      <c r="D12" s="4" t="n">
        <v>300</v>
      </c>
      <c r="E12">
        <f>D12*VLOOKUP(B12,Insumos!$A:$G,7,FALSE)</f>
        <v/>
      </c>
    </row>
    <row r="13">
      <c r="A13" t="inlineStr">
        <is>
          <t>B1</t>
        </is>
      </c>
      <c r="B13" t="inlineStr">
        <is>
          <t>HCO</t>
        </is>
      </c>
      <c r="C13">
        <f>VLOOKUP(B13,Insumos!$A:$G,2,FALSE)</f>
        <v/>
      </c>
      <c r="D13" s="4" t="n">
        <v>35</v>
      </c>
      <c r="E13">
        <f>D13*VLOOKUP(B13,Insumos!$A:$G,7,FALSE)</f>
        <v/>
      </c>
    </row>
    <row r="14">
      <c r="A14" t="inlineStr">
        <is>
          <t>B1</t>
        </is>
      </c>
      <c r="B14" t="inlineStr">
        <is>
          <t>FBA</t>
        </is>
      </c>
      <c r="C14">
        <f>VLOOKUP(B14,Insumos!$A:$G,2,FALSE)</f>
        <v/>
      </c>
      <c r="D14" s="4" t="n">
        <v>40</v>
      </c>
      <c r="E14">
        <f>D14*VLOOKUP(B14,Insumos!$A:$G,7,FALSE)</f>
        <v/>
      </c>
    </row>
    <row r="15">
      <c r="A15" t="inlineStr">
        <is>
          <t>B1</t>
        </is>
      </c>
      <c r="B15" t="inlineStr">
        <is>
          <t>ALU</t>
        </is>
      </c>
      <c r="C15">
        <f>VLOOKUP(B15,Insumos!$A:$G,2,FALSE)</f>
        <v/>
      </c>
      <c r="D15" s="4" t="n">
        <v>220</v>
      </c>
      <c r="E15">
        <f>D15*VLOOKUP(B15,Insumos!$A:$G,7,FALSE)</f>
        <v/>
      </c>
    </row>
    <row r="16">
      <c r="A16" t="inlineStr">
        <is>
          <t>B1</t>
        </is>
      </c>
      <c r="B16" t="inlineStr">
        <is>
          <t>ERP</t>
        </is>
      </c>
      <c r="C16">
        <f>VLOOKUP(B16,Insumos!$A:$G,2,FALSE)</f>
        <v/>
      </c>
      <c r="D16" s="4" t="n">
        <v>80</v>
      </c>
      <c r="E16">
        <f>D16*VLOOKUP(B16,Insumos!$A:$G,7,FALSE)</f>
        <v/>
      </c>
    </row>
    <row r="17">
      <c r="A17" t="inlineStr">
        <is>
          <t>B1</t>
        </is>
      </c>
      <c r="B17" t="inlineStr">
        <is>
          <t>MAN</t>
        </is>
      </c>
      <c r="C17">
        <f>VLOOKUP(B17,Insumos!$A:$G,2,FALSE)</f>
        <v/>
      </c>
      <c r="D17" s="4" t="n">
        <v>180</v>
      </c>
      <c r="E17">
        <f>D17*VLOOKUP(B17,Insumos!$A:$G,7,FALSE)</f>
        <v/>
      </c>
    </row>
    <row r="18">
      <c r="A18" t="inlineStr">
        <is>
          <t>B1</t>
        </is>
      </c>
      <c r="B18" t="inlineStr">
        <is>
          <t>HUE</t>
        </is>
      </c>
      <c r="C18">
        <f>VLOOKUP(B18,Insumos!$A:$G,2,FALSE)</f>
        <v/>
      </c>
      <c r="D18" s="4" t="n">
        <v>250</v>
      </c>
      <c r="E18">
        <f>D18*VLOOKUP(B18,Insumos!$A:$G,7,FALSE)</f>
        <v/>
      </c>
    </row>
    <row r="19">
      <c r="A19" t="inlineStr">
        <is>
          <t>B1</t>
        </is>
      </c>
      <c r="B19" t="inlineStr">
        <is>
          <t>LAL</t>
        </is>
      </c>
      <c r="C19">
        <f>VLOOKUP(B19,Insumos!$A:$G,2,FALSE)</f>
        <v/>
      </c>
      <c r="D19" s="4" t="n">
        <v>200</v>
      </c>
      <c r="E19">
        <f>D19*VLOOKUP(B19,Insumos!$A:$G,7,FALSE)</f>
        <v/>
      </c>
    </row>
    <row r="20">
      <c r="A20" t="inlineStr">
        <is>
          <t>B1</t>
        </is>
      </c>
      <c r="B20" t="inlineStr">
        <is>
          <t>PPH</t>
        </is>
      </c>
      <c r="C20">
        <f>VLOOKUP(B20,Insumos!$A:$G,2,FALSE)</f>
        <v/>
      </c>
      <c r="D20" s="4" t="n">
        <v>8</v>
      </c>
      <c r="E20">
        <f>D20*VLOOKUP(B20,Insumos!$A:$G,7,FALSE)</f>
        <v/>
      </c>
    </row>
    <row r="21">
      <c r="A21" t="inlineStr">
        <is>
          <t>B1</t>
        </is>
      </c>
      <c r="B21" t="inlineStr">
        <is>
          <t>XAN</t>
        </is>
      </c>
      <c r="C21">
        <f>VLOOKUP(B21,Insumos!$A:$G,2,FALSE)</f>
        <v/>
      </c>
      <c r="D21" s="4" t="n">
        <v>4</v>
      </c>
      <c r="E21">
        <f>D21*VLOOKUP(B21,Insumos!$A:$G,7,FALSE)</f>
        <v/>
      </c>
    </row>
    <row r="22">
      <c r="A22" t="inlineStr">
        <is>
          <t>B1</t>
        </is>
      </c>
      <c r="B22" t="inlineStr">
        <is>
          <t>SAL</t>
        </is>
      </c>
      <c r="C22">
        <f>VLOOKUP(B22,Insumos!$A:$G,2,FALSE)</f>
        <v/>
      </c>
      <c r="D22" s="4" t="n">
        <v>3</v>
      </c>
      <c r="E22">
        <f>D22*VLOOKUP(B22,Insumos!$A:$G,7,FALSE)</f>
        <v/>
      </c>
    </row>
    <row r="23">
      <c r="A23" t="inlineStr">
        <is>
          <t>B1</t>
        </is>
      </c>
      <c r="B23" t="inlineStr">
        <is>
          <t>VAE</t>
        </is>
      </c>
      <c r="C23">
        <f>VLOOKUP(B23,Insumos!$A:$G,2,FALSE)</f>
        <v/>
      </c>
      <c r="D23" s="4" t="n">
        <v>10</v>
      </c>
      <c r="E23">
        <f>D23*VLOOKUP(B23,Insumos!$A:$G,7,FALSE)</f>
        <v/>
      </c>
    </row>
    <row r="24">
      <c r="A24" t="inlineStr">
        <is>
          <t>B2</t>
        </is>
      </c>
      <c r="B24" t="inlineStr">
        <is>
          <t>HAL</t>
        </is>
      </c>
      <c r="C24">
        <f>VLOOKUP(B24,Insumos!$A:$G,2,FALSE)</f>
        <v/>
      </c>
      <c r="D24" s="4" t="n">
        <v>250</v>
      </c>
      <c r="E24">
        <f>D24*VLOOKUP(B24,Insumos!$A:$G,7,FALSE)</f>
        <v/>
      </c>
    </row>
    <row r="25">
      <c r="A25" t="inlineStr">
        <is>
          <t>B2</t>
        </is>
      </c>
      <c r="B25" t="inlineStr">
        <is>
          <t>HCO</t>
        </is>
      </c>
      <c r="C25">
        <f>VLOOKUP(B25,Insumos!$A:$G,2,FALSE)</f>
        <v/>
      </c>
      <c r="D25" s="4" t="n">
        <v>30</v>
      </c>
      <c r="E25">
        <f>D25*VLOOKUP(B25,Insumos!$A:$G,7,FALSE)</f>
        <v/>
      </c>
    </row>
    <row r="26">
      <c r="A26" t="inlineStr">
        <is>
          <t>B2</t>
        </is>
      </c>
      <c r="B26" t="inlineStr">
        <is>
          <t>ERP</t>
        </is>
      </c>
      <c r="C26">
        <f>VLOOKUP(B26,Insumos!$A:$G,2,FALSE)</f>
        <v/>
      </c>
      <c r="D26" s="4" t="n">
        <v>80</v>
      </c>
      <c r="E26">
        <f>D26*VLOOKUP(B26,Insumos!$A:$G,7,FALSE)</f>
        <v/>
      </c>
    </row>
    <row r="27">
      <c r="A27" t="inlineStr">
        <is>
          <t>B2</t>
        </is>
      </c>
      <c r="B27" t="inlineStr">
        <is>
          <t>MAN</t>
        </is>
      </c>
      <c r="C27">
        <f>VLOOKUP(B27,Insumos!$A:$G,2,FALSE)</f>
        <v/>
      </c>
      <c r="D27" s="4" t="n">
        <v>125</v>
      </c>
      <c r="E27">
        <f>D27*VLOOKUP(B27,Insumos!$A:$G,7,FALSE)</f>
        <v/>
      </c>
    </row>
    <row r="28">
      <c r="A28" t="inlineStr">
        <is>
          <t>B2</t>
        </is>
      </c>
      <c r="B28" t="inlineStr">
        <is>
          <t>HUE</t>
        </is>
      </c>
      <c r="C28">
        <f>VLOOKUP(B28,Insumos!$A:$G,2,FALSE)</f>
        <v/>
      </c>
      <c r="D28" s="4" t="n">
        <v>50</v>
      </c>
      <c r="E28">
        <f>D28*VLOOKUP(B28,Insumos!$A:$G,7,FALSE)</f>
        <v/>
      </c>
    </row>
    <row r="29">
      <c r="A29" t="inlineStr">
        <is>
          <t>B2</t>
        </is>
      </c>
      <c r="B29" t="inlineStr">
        <is>
          <t>XAN</t>
        </is>
      </c>
      <c r="C29">
        <f>VLOOKUP(B29,Insumos!$A:$G,2,FALSE)</f>
        <v/>
      </c>
      <c r="D29" s="4" t="n">
        <v>2</v>
      </c>
      <c r="E29">
        <f>D29*VLOOKUP(B29,Insumos!$A:$G,7,FALSE)</f>
        <v/>
      </c>
    </row>
    <row r="30">
      <c r="A30" t="inlineStr">
        <is>
          <t>B2</t>
        </is>
      </c>
      <c r="B30" t="inlineStr">
        <is>
          <t>SAL</t>
        </is>
      </c>
      <c r="C30">
        <f>VLOOKUP(B30,Insumos!$A:$G,2,FALSE)</f>
        <v/>
      </c>
      <c r="D30" s="4" t="n">
        <v>2</v>
      </c>
      <c r="E30">
        <f>D30*VLOOKUP(B30,Insumos!$A:$G,7,FALSE)</f>
        <v/>
      </c>
    </row>
    <row r="31">
      <c r="A31" t="inlineStr">
        <is>
          <t>B2</t>
        </is>
      </c>
      <c r="B31" t="inlineStr">
        <is>
          <t>VAE</t>
        </is>
      </c>
      <c r="C31">
        <f>VLOOKUP(B31,Insumos!$A:$G,2,FALSE)</f>
        <v/>
      </c>
      <c r="D31" s="4" t="n">
        <v>5</v>
      </c>
      <c r="E31">
        <f>D31*VLOOKUP(B31,Insumos!$A:$G,7,FALSE)</f>
        <v/>
      </c>
    </row>
    <row r="32">
      <c r="A32" t="inlineStr">
        <is>
          <t>B3</t>
        </is>
      </c>
      <c r="B32" t="inlineStr">
        <is>
          <t>CRE</t>
        </is>
      </c>
      <c r="C32">
        <f>VLOOKUP(B32,Insumos!$A:$G,2,FALSE)</f>
        <v/>
      </c>
      <c r="D32" s="4" t="n">
        <v>250</v>
      </c>
      <c r="E32">
        <f>D32*VLOOKUP(B32,Insumos!$A:$G,7,FALSE)</f>
        <v/>
      </c>
    </row>
    <row r="33">
      <c r="A33" t="inlineStr">
        <is>
          <t>B3</t>
        </is>
      </c>
      <c r="B33" t="inlineStr">
        <is>
          <t>LAL</t>
        </is>
      </c>
      <c r="C33">
        <f>VLOOKUP(B33,Insumos!$A:$G,2,FALSE)</f>
        <v/>
      </c>
      <c r="D33" s="4" t="n">
        <v>250</v>
      </c>
      <c r="E33">
        <f>D33*VLOOKUP(B33,Insumos!$A:$G,7,FALSE)</f>
        <v/>
      </c>
    </row>
    <row r="34">
      <c r="A34" t="inlineStr">
        <is>
          <t>B3</t>
        </is>
      </c>
      <c r="B34" t="inlineStr">
        <is>
          <t>YEM</t>
        </is>
      </c>
      <c r="C34">
        <f>VLOOKUP(B34,Insumos!$A:$G,2,FALSE)</f>
        <v/>
      </c>
      <c r="D34" s="4" t="n">
        <v>100</v>
      </c>
      <c r="E34">
        <f>D34*VLOOKUP(B34,Insumos!$A:$G,7,FALSE)</f>
        <v/>
      </c>
    </row>
    <row r="35">
      <c r="A35" t="inlineStr">
        <is>
          <t>B3</t>
        </is>
      </c>
      <c r="B35" t="inlineStr">
        <is>
          <t>ALU</t>
        </is>
      </c>
      <c r="C35">
        <f>VLOOKUP(B35,Insumos!$A:$G,2,FALSE)</f>
        <v/>
      </c>
      <c r="D35" s="4" t="n">
        <v>80</v>
      </c>
      <c r="E35">
        <f>D35*VLOOKUP(B35,Insumos!$A:$G,7,FALSE)</f>
        <v/>
      </c>
    </row>
    <row r="36">
      <c r="A36" t="inlineStr">
        <is>
          <t>B3</t>
        </is>
      </c>
      <c r="B36" t="inlineStr">
        <is>
          <t>XAN</t>
        </is>
      </c>
      <c r="C36">
        <f>VLOOKUP(B36,Insumos!$A:$G,2,FALSE)</f>
        <v/>
      </c>
      <c r="D36" s="4" t="n">
        <v>1</v>
      </c>
      <c r="E36">
        <f>D36*VLOOKUP(B36,Insumos!$A:$G,7,FALSE)</f>
        <v/>
      </c>
    </row>
    <row r="37">
      <c r="A37" t="inlineStr">
        <is>
          <t>B3</t>
        </is>
      </c>
      <c r="B37" t="inlineStr">
        <is>
          <t>MAN</t>
        </is>
      </c>
      <c r="C37">
        <f>VLOOKUP(B37,Insumos!$A:$G,2,FALSE)</f>
        <v/>
      </c>
      <c r="D37" s="4" t="n">
        <v>20</v>
      </c>
      <c r="E37">
        <f>D37*VLOOKUP(B37,Insumos!$A:$G,7,FALSE)</f>
        <v/>
      </c>
    </row>
    <row r="38">
      <c r="A38" t="inlineStr">
        <is>
          <t>B3</t>
        </is>
      </c>
      <c r="B38" t="inlineStr">
        <is>
          <t>VAE</t>
        </is>
      </c>
      <c r="C38">
        <f>VLOOKUP(B38,Insumos!$A:$G,2,FALSE)</f>
        <v/>
      </c>
      <c r="D38" s="4" t="n">
        <v>10</v>
      </c>
      <c r="E38">
        <f>D38*VLOOKUP(B38,Insumos!$A:$G,7,FALSE)</f>
        <v/>
      </c>
    </row>
    <row r="39">
      <c r="A39" t="inlineStr">
        <is>
          <t>B4</t>
        </is>
      </c>
      <c r="B39" t="inlineStr">
        <is>
          <t>QCR</t>
        </is>
      </c>
      <c r="C39">
        <f>VLOOKUP(B39,Insumos!$A:$G,2,FALSE)</f>
        <v/>
      </c>
      <c r="D39" s="4" t="n">
        <v>900</v>
      </c>
      <c r="E39">
        <f>D39*VLOOKUP(B39,Insumos!$A:$G,7,FALSE)</f>
        <v/>
      </c>
    </row>
    <row r="40">
      <c r="A40" t="inlineStr">
        <is>
          <t>B4</t>
        </is>
      </c>
      <c r="B40" t="inlineStr">
        <is>
          <t>CAG</t>
        </is>
      </c>
      <c r="C40">
        <f>VLOOKUP(B40,Insumos!$A:$G,2,FALSE)</f>
        <v/>
      </c>
      <c r="D40" s="4" t="n">
        <v>200</v>
      </c>
      <c r="E40">
        <f>D40*VLOOKUP(B40,Insumos!$A:$G,7,FALSE)</f>
        <v/>
      </c>
    </row>
    <row r="41">
      <c r="A41" t="inlineStr">
        <is>
          <t>B4</t>
        </is>
      </c>
      <c r="B41" t="inlineStr">
        <is>
          <t>ALU</t>
        </is>
      </c>
      <c r="C41">
        <f>VLOOKUP(B41,Insumos!$A:$G,2,FALSE)</f>
        <v/>
      </c>
      <c r="D41" s="4" t="n">
        <v>150</v>
      </c>
      <c r="E41">
        <f>D41*VLOOKUP(B41,Insumos!$A:$G,7,FALSE)</f>
        <v/>
      </c>
    </row>
    <row r="42">
      <c r="A42" t="inlineStr">
        <is>
          <t>B4</t>
        </is>
      </c>
      <c r="B42" t="inlineStr">
        <is>
          <t>ERP</t>
        </is>
      </c>
      <c r="C42">
        <f>VLOOKUP(B42,Insumos!$A:$G,2,FALSE)</f>
        <v/>
      </c>
      <c r="D42" s="4" t="n">
        <v>80</v>
      </c>
      <c r="E42">
        <f>D42*VLOOKUP(B42,Insumos!$A:$G,7,FALSE)</f>
        <v/>
      </c>
    </row>
    <row r="43">
      <c r="A43" t="inlineStr">
        <is>
          <t>B4</t>
        </is>
      </c>
      <c r="B43" t="inlineStr">
        <is>
          <t>HUE</t>
        </is>
      </c>
      <c r="C43">
        <f>VLOOKUP(B43,Insumos!$A:$G,2,FALSE)</f>
        <v/>
      </c>
      <c r="D43" s="4" t="n">
        <v>200</v>
      </c>
      <c r="E43">
        <f>D43*VLOOKUP(B43,Insumos!$A:$G,7,FALSE)</f>
        <v/>
      </c>
    </row>
    <row r="44">
      <c r="A44" t="inlineStr">
        <is>
          <t>B4</t>
        </is>
      </c>
      <c r="B44" t="inlineStr">
        <is>
          <t>YEM</t>
        </is>
      </c>
      <c r="C44">
        <f>VLOOKUP(B44,Insumos!$A:$G,2,FALSE)</f>
        <v/>
      </c>
      <c r="D44" s="4" t="n">
        <v>40</v>
      </c>
      <c r="E44">
        <f>D44*VLOOKUP(B44,Insumos!$A:$G,7,FALSE)</f>
        <v/>
      </c>
    </row>
    <row r="45">
      <c r="A45" t="inlineStr">
        <is>
          <t>B4</t>
        </is>
      </c>
      <c r="B45" t="inlineStr">
        <is>
          <t>VAE</t>
        </is>
      </c>
      <c r="C45">
        <f>VLOOKUP(B45,Insumos!$A:$G,2,FALSE)</f>
        <v/>
      </c>
      <c r="D45" s="4" t="n">
        <v>15</v>
      </c>
      <c r="E45">
        <f>D45*VLOOKUP(B45,Insumos!$A:$G,7,FALSE)</f>
        <v/>
      </c>
    </row>
    <row r="46">
      <c r="A46" t="inlineStr">
        <is>
          <t>B4</t>
        </is>
      </c>
      <c r="B46" t="inlineStr">
        <is>
          <t>LIM</t>
        </is>
      </c>
      <c r="C46">
        <f>VLOOKUP(B46,Insumos!$A:$G,2,FALSE)</f>
        <v/>
      </c>
      <c r="D46" s="4" t="n">
        <v>0.38</v>
      </c>
      <c r="E46">
        <f>D46*VLOOKUP(B46,Insumos!$A:$G,7,FALSE)</f>
        <v/>
      </c>
    </row>
    <row r="47">
      <c r="A47" t="inlineStr">
        <is>
          <t>B5</t>
        </is>
      </c>
      <c r="B47" t="inlineStr">
        <is>
          <t>CH70</t>
        </is>
      </c>
      <c r="C47">
        <f>VLOOKUP(B47,Insumos!$A:$G,2,FALSE)</f>
        <v/>
      </c>
      <c r="D47" s="4" t="n">
        <v>300</v>
      </c>
      <c r="E47">
        <f>D47*VLOOKUP(B47,Insumos!$A:$G,7,FALSE)</f>
        <v/>
      </c>
    </row>
    <row r="48">
      <c r="A48" t="inlineStr">
        <is>
          <t>B5</t>
        </is>
      </c>
      <c r="B48" t="inlineStr">
        <is>
          <t>CRE</t>
        </is>
      </c>
      <c r="C48">
        <f>VLOOKUP(B48,Insumos!$A:$G,2,FALSE)</f>
        <v/>
      </c>
      <c r="D48" s="4" t="n">
        <v>150</v>
      </c>
      <c r="E48">
        <f>D48*VLOOKUP(B48,Insumos!$A:$G,7,FALSE)</f>
        <v/>
      </c>
    </row>
    <row r="49">
      <c r="A49" t="inlineStr">
        <is>
          <t>B5</t>
        </is>
      </c>
      <c r="B49" t="inlineStr">
        <is>
          <t>ALU</t>
        </is>
      </c>
      <c r="C49">
        <f>VLOOKUP(B49,Insumos!$A:$G,2,FALSE)</f>
        <v/>
      </c>
      <c r="D49" s="4" t="n">
        <v>40</v>
      </c>
      <c r="E49">
        <f>D49*VLOOKUP(B49,Insumos!$A:$G,7,FALSE)</f>
        <v/>
      </c>
    </row>
    <row r="50">
      <c r="A50" t="inlineStr">
        <is>
          <t>B5</t>
        </is>
      </c>
      <c r="B50" t="inlineStr">
        <is>
          <t>MAN</t>
        </is>
      </c>
      <c r="C50">
        <f>VLOOKUP(B50,Insumos!$A:$G,2,FALSE)</f>
        <v/>
      </c>
      <c r="D50" s="4" t="n">
        <v>30</v>
      </c>
      <c r="E50">
        <f>D50*VLOOKUP(B50,Insumos!$A:$G,7,FALSE)</f>
        <v/>
      </c>
    </row>
    <row r="51">
      <c r="A51" t="inlineStr">
        <is>
          <t>B5</t>
        </is>
      </c>
      <c r="B51" t="inlineStr">
        <is>
          <t>SAL</t>
        </is>
      </c>
      <c r="C51">
        <f>VLOOKUP(B51,Insumos!$A:$G,2,FALSE)</f>
        <v/>
      </c>
      <c r="D51" s="4" t="n">
        <v>1</v>
      </c>
      <c r="E51">
        <f>D51*VLOOKUP(B51,Insumos!$A:$G,7,FALSE)</f>
        <v/>
      </c>
    </row>
    <row r="52">
      <c r="A52" t="inlineStr">
        <is>
          <t>B6</t>
        </is>
      </c>
      <c r="B52" t="inlineStr">
        <is>
          <t>MAN</t>
        </is>
      </c>
      <c r="C52">
        <f>VLOOKUP(B52,Insumos!$A:$G,2,FALSE)</f>
        <v/>
      </c>
      <c r="D52" s="4" t="n">
        <v>100</v>
      </c>
      <c r="E52">
        <f>D52*VLOOKUP(B52,Insumos!$A:$G,7,FALSE)</f>
        <v/>
      </c>
    </row>
    <row r="53">
      <c r="A53" t="inlineStr">
        <is>
          <t>B6</t>
        </is>
      </c>
      <c r="B53" t="inlineStr">
        <is>
          <t>ALU</t>
        </is>
      </c>
      <c r="C53">
        <f>VLOOKUP(B53,Insumos!$A:$G,2,FALSE)</f>
        <v/>
      </c>
      <c r="D53" s="4" t="n">
        <v>150</v>
      </c>
      <c r="E53">
        <f>D53*VLOOKUP(B53,Insumos!$A:$G,7,FALSE)</f>
        <v/>
      </c>
    </row>
    <row r="54">
      <c r="A54" t="inlineStr">
        <is>
          <t>B6</t>
        </is>
      </c>
      <c r="B54" t="inlineStr">
        <is>
          <t>CRE</t>
        </is>
      </c>
      <c r="C54">
        <f>VLOOKUP(B54,Insumos!$A:$G,2,FALSE)</f>
        <v/>
      </c>
      <c r="D54" s="4" t="n">
        <v>120</v>
      </c>
      <c r="E54">
        <f>D54*VLOOKUP(B54,Insumos!$A:$G,7,FALSE)</f>
        <v/>
      </c>
    </row>
    <row r="55">
      <c r="A55" t="inlineStr">
        <is>
          <t>B6</t>
        </is>
      </c>
      <c r="B55" t="inlineStr">
        <is>
          <t>VAE</t>
        </is>
      </c>
      <c r="C55">
        <f>VLOOKUP(B55,Insumos!$A:$G,2,FALSE)</f>
        <v/>
      </c>
      <c r="D55" s="4" t="n">
        <v>5</v>
      </c>
      <c r="E55">
        <f>D55*VLOOKUP(B55,Insumos!$A:$G,7,FALSE)</f>
        <v/>
      </c>
    </row>
    <row r="56">
      <c r="A56" t="inlineStr">
        <is>
          <t>B6</t>
        </is>
      </c>
      <c r="B56" t="inlineStr">
        <is>
          <t>SAE</t>
        </is>
      </c>
      <c r="C56">
        <f>VLOOKUP(B56,Insumos!$A:$G,2,FALSE)</f>
        <v/>
      </c>
      <c r="D56" s="4" t="n">
        <v>3</v>
      </c>
      <c r="E56">
        <f>D56*VLOOKUP(B56,Insumos!$A:$G,7,FALSE)</f>
        <v/>
      </c>
    </row>
    <row r="57">
      <c r="A57" t="inlineStr">
        <is>
          <t>B7</t>
        </is>
      </c>
      <c r="B57" t="inlineStr">
        <is>
          <t>MOZ</t>
        </is>
      </c>
      <c r="C57">
        <f>VLOOKUP(B57,Insumos!$A:$G,2,FALSE)</f>
        <v/>
      </c>
      <c r="D57" s="4" t="n">
        <v>250</v>
      </c>
      <c r="E57">
        <f>D57*VLOOKUP(B57,Insumos!$A:$G,7,FALSE)</f>
        <v/>
      </c>
    </row>
    <row r="58">
      <c r="A58" t="inlineStr">
        <is>
          <t>B7</t>
        </is>
      </c>
      <c r="B58" t="inlineStr">
        <is>
          <t>QCR</t>
        </is>
      </c>
      <c r="C58">
        <f>VLOOKUP(B58,Insumos!$A:$G,2,FALSE)</f>
        <v/>
      </c>
      <c r="D58" s="4" t="n">
        <v>40</v>
      </c>
      <c r="E58">
        <f>D58*VLOOKUP(B58,Insumos!$A:$G,7,FALSE)</f>
        <v/>
      </c>
    </row>
    <row r="59">
      <c r="A59" t="inlineStr">
        <is>
          <t>B7</t>
        </is>
      </c>
      <c r="B59" t="inlineStr">
        <is>
          <t>HAL</t>
        </is>
      </c>
      <c r="C59">
        <f>VLOOKUP(B59,Insumos!$A:$G,2,FALSE)</f>
        <v/>
      </c>
      <c r="D59" s="4" t="n">
        <v>160</v>
      </c>
      <c r="E59">
        <f>D59*VLOOKUP(B59,Insumos!$A:$G,7,FALSE)</f>
        <v/>
      </c>
    </row>
    <row r="60">
      <c r="A60" t="inlineStr">
        <is>
          <t>B7</t>
        </is>
      </c>
      <c r="B60" t="inlineStr">
        <is>
          <t>ALU</t>
        </is>
      </c>
      <c r="C60">
        <f>VLOOKUP(B60,Insumos!$A:$G,2,FALSE)</f>
        <v/>
      </c>
      <c r="D60" s="4" t="n">
        <v>15</v>
      </c>
      <c r="E60">
        <f>D60*VLOOKUP(B60,Insumos!$A:$G,7,FALSE)</f>
        <v/>
      </c>
    </row>
    <row r="61">
      <c r="A61" t="inlineStr">
        <is>
          <t>B7</t>
        </is>
      </c>
      <c r="B61" t="inlineStr">
        <is>
          <t>PPH</t>
        </is>
      </c>
      <c r="C61">
        <f>VLOOKUP(B61,Insumos!$A:$G,2,FALSE)</f>
        <v/>
      </c>
      <c r="D61" s="4" t="n">
        <v>5</v>
      </c>
      <c r="E61">
        <f>D61*VLOOKUP(B61,Insumos!$A:$G,7,FALSE)</f>
        <v/>
      </c>
    </row>
    <row r="62">
      <c r="A62" t="inlineStr">
        <is>
          <t>B7</t>
        </is>
      </c>
      <c r="B62" t="inlineStr">
        <is>
          <t>HUE</t>
        </is>
      </c>
      <c r="C62">
        <f>VLOOKUP(B62,Insumos!$A:$G,2,FALSE)</f>
        <v/>
      </c>
      <c r="D62" s="4" t="n">
        <v>100</v>
      </c>
      <c r="E62">
        <f>D62*VLOOKUP(B62,Insumos!$A:$G,7,FALSE)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2" max="2"/>
    <col width="36" customWidth="1" min="4" max="4"/>
  </cols>
  <sheetData>
    <row r="1">
      <c r="A1" s="3" t="inlineStr">
        <is>
          <t>Receta</t>
        </is>
      </c>
      <c r="B1" s="3" t="inlineStr">
        <is>
          <t>Texto original del chef</t>
        </is>
      </c>
      <c r="C1" s="3" t="inlineStr">
        <is>
          <t>Insumo ID</t>
        </is>
      </c>
      <c r="D1" s="3" t="inlineStr">
        <is>
          <t>Insumo</t>
        </is>
      </c>
      <c r="E1" s="3" t="inlineStr">
        <is>
          <t>Cantidad</t>
        </is>
      </c>
      <c r="F1" s="3" t="inlineStr">
        <is>
          <t>Unidad</t>
        </is>
      </c>
      <c r="G1" s="3" t="inlineStr">
        <is>
          <t>Costo línea</t>
        </is>
      </c>
      <c r="H1" s="3" t="inlineStr">
        <is>
          <t>Nota</t>
        </is>
      </c>
    </row>
    <row r="2">
      <c r="A2" t="n">
        <v>1</v>
      </c>
      <c r="B2" t="inlineStr">
        <is>
          <t>300 g Harina de almendra ultrafina sin piel (tamizada)</t>
        </is>
      </c>
      <c r="C2" t="inlineStr">
        <is>
          <t>HAL</t>
        </is>
      </c>
      <c r="D2">
        <f>VLOOKUP(C2,Insumos!$A:$G,2,FALSE)</f>
        <v/>
      </c>
      <c r="E2" s="4" t="n">
        <v>300</v>
      </c>
      <c r="F2" t="inlineStr">
        <is>
          <t>g</t>
        </is>
      </c>
      <c r="G2">
        <f>E2*VLOOKUP(C2,Insumos!$A:$G,7,FALSE)</f>
        <v/>
      </c>
      <c r="H2" t="inlineStr"/>
    </row>
    <row r="3">
      <c r="A3" t="n">
        <v>1</v>
      </c>
      <c r="B3" t="inlineStr">
        <is>
          <t>35 g Harina de coco desgrasada pura</t>
        </is>
      </c>
      <c r="C3" t="inlineStr">
        <is>
          <t>HCO</t>
        </is>
      </c>
      <c r="D3">
        <f>VLOOKUP(C3,Insumos!$A:$G,2,FALSE)</f>
        <v/>
      </c>
      <c r="E3" s="4" t="n">
        <v>35</v>
      </c>
      <c r="F3" t="inlineStr">
        <is>
          <t>g</t>
        </is>
      </c>
      <c r="G3">
        <f>E3*VLOOKUP(C3,Insumos!$A:$G,7,FALSE)</f>
        <v/>
      </c>
      <c r="H3" t="inlineStr"/>
    </row>
    <row r="4">
      <c r="A4" t="n">
        <v>1</v>
      </c>
      <c r="B4" t="inlineStr">
        <is>
          <t>40 g Fibra de bambú insoluble o almidón resistente RS4</t>
        </is>
      </c>
      <c r="C4" t="inlineStr">
        <is>
          <t>FBA</t>
        </is>
      </c>
      <c r="D4">
        <f>VLOOKUP(C4,Insumos!$A:$G,2,FALSE)</f>
        <v/>
      </c>
      <c r="E4" s="4" t="n">
        <v>40</v>
      </c>
      <c r="F4" t="inlineStr">
        <is>
          <t>g</t>
        </is>
      </c>
      <c r="G4">
        <f>E4*VLOOKUP(C4,Insumos!$A:$G,7,FALSE)</f>
        <v/>
      </c>
      <c r="H4" t="inlineStr"/>
    </row>
    <row r="5">
      <c r="A5" t="n">
        <v>1</v>
      </c>
      <c r="B5" t="inlineStr">
        <is>
          <t>25 g Cacao puro en polvo (10-12% materia grasa, desgrasado natural)</t>
        </is>
      </c>
      <c r="C5" t="inlineStr">
        <is>
          <t>CAN</t>
        </is>
      </c>
      <c r="D5">
        <f>VLOOKUP(C5,Insumos!$A:$G,2,FALSE)</f>
        <v/>
      </c>
      <c r="E5" s="4" t="n">
        <v>25</v>
      </c>
      <c r="F5" t="inlineStr">
        <is>
          <t>g</t>
        </is>
      </c>
      <c r="G5">
        <f>E5*VLOOKUP(C5,Insumos!$A:$G,7,FALSE)</f>
        <v/>
      </c>
      <c r="H5" t="inlineStr"/>
    </row>
    <row r="6">
      <c r="A6" t="n">
        <v>1</v>
      </c>
      <c r="B6" t="inlineStr">
        <is>
          <t>8 g Bicarbonato de sodio puro</t>
        </is>
      </c>
      <c r="C6" t="inlineStr">
        <is>
          <t>BIC</t>
        </is>
      </c>
      <c r="D6">
        <f>VLOOKUP(C6,Insumos!$A:$G,2,FALSE)</f>
        <v/>
      </c>
      <c r="E6" s="4" t="n">
        <v>8</v>
      </c>
      <c r="F6" t="inlineStr">
        <is>
          <t>g</t>
        </is>
      </c>
      <c r="G6">
        <f>E6*VLOOKUP(C6,Insumos!$A:$G,7,FALSE)</f>
        <v/>
      </c>
      <c r="H6" t="inlineStr"/>
    </row>
    <row r="7">
      <c r="A7" t="n">
        <v>1</v>
      </c>
      <c r="B7" t="inlineStr">
        <is>
          <t>4 g Goma xantana grado alimenticio</t>
        </is>
      </c>
      <c r="C7" t="inlineStr">
        <is>
          <t>XAN</t>
        </is>
      </c>
      <c r="D7">
        <f>VLOOKUP(C7,Insumos!$A:$G,2,FALSE)</f>
        <v/>
      </c>
      <c r="E7" s="4" t="n">
        <v>4</v>
      </c>
      <c r="F7" t="inlineStr">
        <is>
          <t>g</t>
        </is>
      </c>
      <c r="G7">
        <f>E7*VLOOKUP(C7,Insumos!$A:$G,7,FALSE)</f>
        <v/>
      </c>
      <c r="H7" t="inlineStr"/>
    </row>
    <row r="8">
      <c r="A8" t="n">
        <v>1</v>
      </c>
      <c r="B8" t="inlineStr">
        <is>
          <t>3 g Sal marina fina</t>
        </is>
      </c>
      <c r="C8" t="inlineStr">
        <is>
          <t>SAL</t>
        </is>
      </c>
      <c r="D8">
        <f>VLOOKUP(C8,Insumos!$A:$G,2,FALSE)</f>
        <v/>
      </c>
      <c r="E8" s="4" t="n">
        <v>3</v>
      </c>
      <c r="F8" t="inlineStr">
        <is>
          <t>g</t>
        </is>
      </c>
      <c r="G8">
        <f>E8*VLOOKUP(C8,Insumos!$A:$G,7,FALSE)</f>
        <v/>
      </c>
      <c r="H8" t="inlineStr"/>
    </row>
    <row r="9">
      <c r="A9" t="n">
        <v>1</v>
      </c>
      <c r="B9" t="inlineStr">
        <is>
          <t>220 ml Leche de almendra pura sin azúcar (0carbohidratos)</t>
        </is>
      </c>
      <c r="C9" t="inlineStr">
        <is>
          <t>LAL</t>
        </is>
      </c>
      <c r="D9">
        <f>VLOOKUP(C9,Insumos!$A:$G,2,FALSE)</f>
        <v/>
      </c>
      <c r="E9" s="4" t="n">
        <v>220</v>
      </c>
      <c r="F9" t="inlineStr">
        <is>
          <t>ml</t>
        </is>
      </c>
      <c r="G9">
        <f>E9*VLOOKUP(C9,Insumos!$A:$G,7,FALSE)</f>
        <v/>
      </c>
      <c r="H9" t="inlineStr"/>
    </row>
    <row r="10">
      <c r="A10" t="n">
        <v>1</v>
      </c>
      <c r="B10" t="inlineStr">
        <is>
          <t>25 ml Vinagre de sidra de manzana o vinagre blanco destilado</t>
        </is>
      </c>
      <c r="C10" t="inlineStr">
        <is>
          <t>VIN</t>
        </is>
      </c>
      <c r="D10">
        <f>VLOOKUP(C10,Insumos!$A:$G,2,FALSE)</f>
        <v/>
      </c>
      <c r="E10" s="4" t="n">
        <v>25</v>
      </c>
      <c r="F10" t="inlineStr">
        <is>
          <t>ml</t>
        </is>
      </c>
      <c r="G10">
        <f>E10*VLOOKUP(C10,Insumos!$A:$G,7,FALSE)</f>
        <v/>
      </c>
      <c r="H10" t="inlineStr"/>
    </row>
    <row r="11">
      <c r="A11" t="n">
        <v>1</v>
      </c>
      <c r="B11" t="inlineStr">
        <is>
          <t>15 ml Extracto concentrado de vainilla Bourbon pura</t>
        </is>
      </c>
      <c r="C11" t="inlineStr">
        <is>
          <t>VAE</t>
        </is>
      </c>
      <c r="D11">
        <f>VLOOKUP(C11,Insumos!$A:$G,2,FALSE)</f>
        <v/>
      </c>
      <c r="E11" s="4" t="n">
        <v>15</v>
      </c>
      <c r="F11" t="inlineStr">
        <is>
          <t>ml</t>
        </is>
      </c>
      <c r="G11">
        <f>E11*VLOOKUP(C11,Insumos!$A:$G,7,FALSE)</f>
        <v/>
      </c>
      <c r="H11" t="inlineStr"/>
    </row>
    <row r="12">
      <c r="A12" t="n">
        <v>1</v>
      </c>
      <c r="B12" t="inlineStr">
        <is>
          <t>8 g Colorante rojo carmín hidrosoluble (rojo allura / carmín cochinilla)</t>
        </is>
      </c>
      <c r="C12" t="inlineStr">
        <is>
          <t>COL</t>
        </is>
      </c>
      <c r="D12">
        <f>VLOOKUP(C12,Insumos!$A:$G,2,FALSE)</f>
        <v/>
      </c>
      <c r="E12" s="4" t="n">
        <v>8</v>
      </c>
      <c r="F12" t="inlineStr">
        <is>
          <t>g</t>
        </is>
      </c>
      <c r="G12">
        <f>E12*VLOOKUP(C12,Insumos!$A:$G,7,FALSE)</f>
        <v/>
      </c>
      <c r="H12" t="inlineStr"/>
    </row>
    <row r="13">
      <c r="A13" t="n">
        <v>1</v>
      </c>
      <c r="B13" t="inlineStr">
        <is>
          <t>180 g Mantequilla de vaca sin sal (82 % MG) a temperatura ambiente (20 °C )</t>
        </is>
      </c>
      <c r="C13" t="inlineStr">
        <is>
          <t>MAN</t>
        </is>
      </c>
      <c r="D13">
        <f>VLOOKUP(C13,Insumos!$A:$G,2,FALSE)</f>
        <v/>
      </c>
      <c r="E13" s="4" t="n">
        <v>180</v>
      </c>
      <c r="F13" t="inlineStr">
        <is>
          <t>g</t>
        </is>
      </c>
      <c r="G13">
        <f>E13*VLOOKUP(C13,Insumos!$A:$G,7,FALSE)</f>
        <v/>
      </c>
      <c r="H13" t="inlineStr"/>
    </row>
    <row r="14">
      <c r="A14" t="n">
        <v>1</v>
      </c>
      <c r="B14" t="inlineStr">
        <is>
          <t>220 g Alulosa pura cristalina de malla fina</t>
        </is>
      </c>
      <c r="C14" t="inlineStr">
        <is>
          <t>ALU</t>
        </is>
      </c>
      <c r="D14">
        <f>VLOOKUP(C14,Insumos!$A:$G,2,FALSE)</f>
        <v/>
      </c>
      <c r="E14" s="4" t="n">
        <v>220</v>
      </c>
      <c r="F14" t="inlineStr">
        <is>
          <t>g</t>
        </is>
      </c>
      <c r="G14">
        <f>E14*VLOOKUP(C14,Insumos!$A:$G,7,FALSE)</f>
        <v/>
      </c>
      <c r="H14" t="inlineStr"/>
    </row>
    <row r="15">
      <c r="A15" t="n">
        <v>1</v>
      </c>
      <c r="B15" t="inlineStr">
        <is>
          <t>80 g Eritritol pulverizado grado glas</t>
        </is>
      </c>
      <c r="C15" t="inlineStr">
        <is>
          <t>ERP</t>
        </is>
      </c>
      <c r="D15">
        <f>VLOOKUP(C15,Insumos!$A:$G,2,FALSE)</f>
        <v/>
      </c>
      <c r="E15" s="4" t="n">
        <v>80</v>
      </c>
      <c r="F15" t="inlineStr">
        <is>
          <t>g</t>
        </is>
      </c>
      <c r="G15">
        <f>E15*VLOOKUP(C15,Insumos!$A:$G,7,FALSE)</f>
        <v/>
      </c>
      <c r="H15" t="inlineStr"/>
    </row>
    <row r="16">
      <c r="A16" t="n">
        <v>1</v>
      </c>
      <c r="B16" t="inlineStr">
        <is>
          <t>5 Huevos enteros frescos pasteurizados (250 g a temperatura ambiente)</t>
        </is>
      </c>
      <c r="C16" t="inlineStr">
        <is>
          <t>HUE</t>
        </is>
      </c>
      <c r="D16">
        <f>VLOOKUP(C16,Insumos!$A:$G,2,FALSE)</f>
        <v/>
      </c>
      <c r="E16" s="4" t="n">
        <v>250</v>
      </c>
      <c r="F16" t="inlineStr">
        <is>
          <t>g</t>
        </is>
      </c>
      <c r="G16">
        <f>E16*VLOOKUP(C16,Insumos!$A:$G,7,FALSE)</f>
        <v/>
      </c>
      <c r="H16" t="inlineStr"/>
    </row>
    <row r="17">
      <c r="A17" t="n">
        <v>1</v>
      </c>
      <c r="B17" t="inlineStr">
        <is>
          <t>450 g Queso crema estilo Philadelphia entero (34 % MG, atemperado)</t>
        </is>
      </c>
      <c r="C17" t="inlineStr">
        <is>
          <t>QCR</t>
        </is>
      </c>
      <c r="D17">
        <f>VLOOKUP(C17,Insumos!$A:$G,2,FALSE)</f>
        <v/>
      </c>
      <c r="E17" s="4" t="n">
        <v>450</v>
      </c>
      <c r="F17" t="inlineStr">
        <is>
          <t>g</t>
        </is>
      </c>
      <c r="G17">
        <f>E17*VLOOKUP(C17,Insumos!$A:$G,7,FALSE)</f>
        <v/>
      </c>
      <c r="H17" t="inlineStr"/>
    </row>
    <row r="18">
      <c r="A18" t="n">
        <v>1</v>
      </c>
      <c r="B18" t="inlineStr">
        <is>
          <t>150 g Mantequilla sin sal pomada</t>
        </is>
      </c>
      <c r="C18" t="inlineStr">
        <is>
          <t>MAN</t>
        </is>
      </c>
      <c r="D18">
        <f>VLOOKUP(C18,Insumos!$A:$G,2,FALSE)</f>
        <v/>
      </c>
      <c r="E18" s="4" t="n">
        <v>150</v>
      </c>
      <c r="F18" t="inlineStr">
        <is>
          <t>g</t>
        </is>
      </c>
      <c r="G18">
        <f>E18*VLOOKUP(C18,Insumos!$A:$G,7,FALSE)</f>
        <v/>
      </c>
      <c r="H18" t="inlineStr"/>
    </row>
    <row r="19">
      <c r="A19" t="n">
        <v>1</v>
      </c>
      <c r="B19" t="inlineStr">
        <is>
          <t>180 g Alulosa pulverizada micronizada (o mezcla alulosa/eritritol con fruta del monje)</t>
        </is>
      </c>
      <c r="C19" t="inlineStr">
        <is>
          <t>ALUP</t>
        </is>
      </c>
      <c r="D19">
        <f>VLOOKUP(C19,Insumos!$A:$G,2,FALSE)</f>
        <v/>
      </c>
      <c r="E19" s="4" t="n">
        <v>180</v>
      </c>
      <c r="F19" t="inlineStr">
        <is>
          <t>g</t>
        </is>
      </c>
      <c r="G19">
        <f>E19*VLOOKUP(C19,Insumos!$A:$G,7,FALSE)</f>
        <v/>
      </c>
      <c r="H19" t="inlineStr"/>
    </row>
    <row r="20">
      <c r="A20" t="n">
        <v>1</v>
      </c>
      <c r="B20" t="inlineStr">
        <is>
          <t>10 ml Extracto puro de vainilla</t>
        </is>
      </c>
      <c r="C20" t="inlineStr">
        <is>
          <t>VAE</t>
        </is>
      </c>
      <c r="D20">
        <f>VLOOKUP(C20,Insumos!$A:$G,2,FALSE)</f>
        <v/>
      </c>
      <c r="E20" s="4" t="n">
        <v>10</v>
      </c>
      <c r="F20" t="inlineStr">
        <is>
          <t>ml</t>
        </is>
      </c>
      <c r="G20">
        <f>E20*VLOOKUP(C20,Insumos!$A:$G,7,FALSE)</f>
        <v/>
      </c>
      <c r="H20" t="inlineStr"/>
    </row>
    <row r="21">
      <c r="A21" t="n">
        <v>2</v>
      </c>
      <c r="B21" t="inlineStr">
        <is>
          <t>6 Huevos enteros L (300 g) a temperatura ambiente</t>
        </is>
      </c>
      <c r="C21" t="inlineStr">
        <is>
          <t>HUE</t>
        </is>
      </c>
      <c r="D21">
        <f>VLOOKUP(C21,Insumos!$A:$G,2,FALSE)</f>
        <v/>
      </c>
      <c r="E21" s="4" t="n">
        <v>300</v>
      </c>
      <c r="F21" t="inlineStr">
        <is>
          <t>g</t>
        </is>
      </c>
      <c r="G21">
        <f>E21*VLOOKUP(C21,Insumos!$A:$G,7,FALSE)</f>
        <v/>
      </c>
      <c r="H21" t="inlineStr"/>
    </row>
    <row r="22">
      <c r="A22" t="n">
        <v>2</v>
      </c>
      <c r="B22" t="inlineStr">
        <is>
          <t>160 g Alulosa pura cristalina</t>
        </is>
      </c>
      <c r="C22" t="inlineStr">
        <is>
          <t>ALU</t>
        </is>
      </c>
      <c r="D22">
        <f>VLOOKUP(C22,Insumos!$A:$G,2,FALSE)</f>
        <v/>
      </c>
      <c r="E22" s="4" t="n">
        <v>160</v>
      </c>
      <c r="F22" t="inlineStr">
        <is>
          <t>g</t>
        </is>
      </c>
      <c r="G22">
        <f>E22*VLOOKUP(C22,Insumos!$A:$G,7,FALSE)</f>
        <v/>
      </c>
      <c r="H22" t="inlineStr"/>
    </row>
    <row r="23">
      <c r="A23" t="n">
        <v>2</v>
      </c>
      <c r="B23" t="inlineStr">
        <is>
          <t>150 g Harina de almendra desgrasada tamizada fina</t>
        </is>
      </c>
      <c r="C23" t="inlineStr">
        <is>
          <t>HAL</t>
        </is>
      </c>
      <c r="D23">
        <f>VLOOKUP(C23,Insumos!$A:$G,2,FALSE)</f>
        <v/>
      </c>
      <c r="E23" s="4" t="n">
        <v>150</v>
      </c>
      <c r="F23" t="inlineStr">
        <is>
          <t>g</t>
        </is>
      </c>
      <c r="G23">
        <f>E23*VLOOKUP(C23,Insumos!$A:$G,7,FALSE)</f>
        <v/>
      </c>
      <c r="H23" t="inlineStr"/>
    </row>
    <row r="24">
      <c r="A24" t="n">
        <v>2</v>
      </c>
      <c r="B24" t="inlineStr">
        <is>
          <t>40 g Cacao en polvo alcalinizado holandés (22% - 24% materia grasa)</t>
        </is>
      </c>
      <c r="C24" t="inlineStr">
        <is>
          <t>CAA</t>
        </is>
      </c>
      <c r="D24">
        <f>VLOOKUP(C24,Insumos!$A:$G,2,FALSE)</f>
        <v/>
      </c>
      <c r="E24" s="4" t="n">
        <v>40</v>
      </c>
      <c r="F24" t="inlineStr">
        <is>
          <t>g</t>
        </is>
      </c>
      <c r="G24">
        <f>E24*VLOOKUP(C24,Insumos!$A:$G,7,FALSE)</f>
        <v/>
      </c>
      <c r="H24" t="inlineStr"/>
    </row>
    <row r="25">
      <c r="A25" t="n">
        <v>2</v>
      </c>
      <c r="B25" t="inlineStr">
        <is>
          <t>3 g Goma xantana</t>
        </is>
      </c>
      <c r="C25" t="inlineStr">
        <is>
          <t>XAN</t>
        </is>
      </c>
      <c r="D25">
        <f>VLOOKUP(C25,Insumos!$A:$G,2,FALSE)</f>
        <v/>
      </c>
      <c r="E25" s="4" t="n">
        <v>3</v>
      </c>
      <c r="F25" t="inlineStr">
        <is>
          <t>g</t>
        </is>
      </c>
      <c r="G25">
        <f>E25*VLOOKUP(C25,Insumos!$A:$G,7,FALSE)</f>
        <v/>
      </c>
      <c r="H25" t="inlineStr"/>
    </row>
    <row r="26">
      <c r="A26" t="n">
        <v>2</v>
      </c>
      <c r="B26" t="inlineStr">
        <is>
          <t>6 g Polvo para hornear doble acción</t>
        </is>
      </c>
      <c r="C26" t="inlineStr">
        <is>
          <t>PPH</t>
        </is>
      </c>
      <c r="D26">
        <f>VLOOKUP(C26,Insumos!$A:$G,2,FALSE)</f>
        <v/>
      </c>
      <c r="E26" s="4" t="n">
        <v>6</v>
      </c>
      <c r="F26" t="inlineStr">
        <is>
          <t>g</t>
        </is>
      </c>
      <c r="G26">
        <f>E26*VLOOKUP(C26,Insumos!$A:$G,7,FALSE)</f>
        <v/>
      </c>
      <c r="H26" t="inlineStr"/>
    </row>
    <row r="27">
      <c r="A27" t="n">
        <v>2</v>
      </c>
      <c r="B27" t="inlineStr">
        <is>
          <t>2 g Sal marina fina</t>
        </is>
      </c>
      <c r="C27" t="inlineStr">
        <is>
          <t>SAL</t>
        </is>
      </c>
      <c r="D27">
        <f>VLOOKUP(C27,Insumos!$A:$G,2,FALSE)</f>
        <v/>
      </c>
      <c r="E27" s="4" t="n">
        <v>2</v>
      </c>
      <c r="F27" t="inlineStr">
        <is>
          <t>g</t>
        </is>
      </c>
      <c r="G27">
        <f>E27*VLOOKUP(C27,Insumos!$A:$G,7,FALSE)</f>
        <v/>
      </c>
      <c r="H27" t="inlineStr"/>
    </row>
    <row r="28">
      <c r="A28" t="n">
        <v>2</v>
      </c>
      <c r="B28" t="inlineStr">
        <is>
          <t>180 ml Agua purificada</t>
        </is>
      </c>
      <c r="C28" t="inlineStr">
        <is>
          <t>AGU</t>
        </is>
      </c>
      <c r="D28">
        <f>VLOOKUP(C28,Insumos!$A:$G,2,FALSE)</f>
        <v/>
      </c>
      <c r="E28" s="4" t="n">
        <v>180</v>
      </c>
      <c r="F28" t="inlineStr">
        <is>
          <t>ml</t>
        </is>
      </c>
      <c r="G28">
        <f>E28*VLOOKUP(C28,Insumos!$A:$G,7,FALSE)</f>
        <v/>
      </c>
      <c r="H28" t="inlineStr"/>
    </row>
    <row r="29">
      <c r="A29" t="n">
        <v>2</v>
      </c>
      <c r="B29" t="inlineStr">
        <is>
          <t>90 g Alulosa pura cristalina</t>
        </is>
      </c>
      <c r="C29" t="inlineStr">
        <is>
          <t>ALU</t>
        </is>
      </c>
      <c r="D29">
        <f>VLOOKUP(C29,Insumos!$A:$G,2,FALSE)</f>
        <v/>
      </c>
      <c r="E29" s="4" t="n">
        <v>90</v>
      </c>
      <c r="F29" t="inlineStr">
        <is>
          <t>g</t>
        </is>
      </c>
      <c r="G29">
        <f>E29*VLOOKUP(C29,Insumos!$A:$G,7,FALSE)</f>
        <v/>
      </c>
      <c r="H29" t="inlineStr"/>
    </row>
    <row r="30">
      <c r="A30" t="n">
        <v>2</v>
      </c>
      <c r="B30" t="inlineStr">
        <is>
          <t>35 ml Aguardiente de cerezas Kirsch puro destilado (40 GL, sin jarabes añadidos)</t>
        </is>
      </c>
      <c r="C30" t="inlineStr">
        <is>
          <t>KIR</t>
        </is>
      </c>
      <c r="D30">
        <f>VLOOKUP(C30,Insumos!$A:$G,2,FALSE)</f>
        <v/>
      </c>
      <c r="E30" s="4" t="n">
        <v>35</v>
      </c>
      <c r="F30" t="inlineStr">
        <is>
          <t>ml</t>
        </is>
      </c>
      <c r="G30">
        <f>E30*VLOOKUP(C30,Insumos!$A:$G,7,FALSE)</f>
        <v/>
      </c>
      <c r="H30" t="inlineStr"/>
    </row>
    <row r="31">
      <c r="A31" t="n">
        <v>2</v>
      </c>
      <c r="B31" t="inlineStr">
        <is>
          <t>1 Rama de canela partida</t>
        </is>
      </c>
      <c r="C31" t="inlineStr">
        <is>
          <t>CAR</t>
        </is>
      </c>
      <c r="D31">
        <f>VLOOKUP(C31,Insumos!$A:$G,2,FALSE)</f>
        <v/>
      </c>
      <c r="E31" s="4" t="n">
        <v>1</v>
      </c>
      <c r="F31" t="inlineStr">
        <is>
          <t>pz</t>
        </is>
      </c>
      <c r="G31">
        <f>E31*VLOOKUP(C31,Insumos!$A:$G,7,FALSE)</f>
        <v/>
      </c>
      <c r="H31" t="inlineStr"/>
    </row>
    <row r="32">
      <c r="A32" t="n">
        <v>2</v>
      </c>
      <c r="B32" t="inlineStr">
        <is>
          <t>250 g Cerezas Morello o ácidas descorazonadas frescas o congeladas</t>
        </is>
      </c>
      <c r="C32" t="inlineStr">
        <is>
          <t>CER</t>
        </is>
      </c>
      <c r="D32">
        <f>VLOOKUP(C32,Insumos!$A:$G,2,FALSE)</f>
        <v/>
      </c>
      <c r="E32" s="4" t="n">
        <v>250</v>
      </c>
      <c r="F32" t="inlineStr">
        <is>
          <t>g</t>
        </is>
      </c>
      <c r="G32">
        <f>E32*VLOOKUP(C32,Insumos!$A:$G,7,FALSE)</f>
        <v/>
      </c>
      <c r="H32" t="inlineStr"/>
    </row>
    <row r="33">
      <c r="A33" t="n">
        <v>2</v>
      </c>
      <c r="B33" t="inlineStr">
        <is>
          <t>80 g Alulosa cristalina</t>
        </is>
      </c>
      <c r="C33" t="inlineStr">
        <is>
          <t>ALU</t>
        </is>
      </c>
      <c r="D33">
        <f>VLOOKUP(C33,Insumos!$A:$G,2,FALSE)</f>
        <v/>
      </c>
      <c r="E33" s="4" t="n">
        <v>80</v>
      </c>
      <c r="F33" t="inlineStr">
        <is>
          <t>g</t>
        </is>
      </c>
      <c r="G33">
        <f>E33*VLOOKUP(C33,Insumos!$A:$G,7,FALSE)</f>
        <v/>
      </c>
      <c r="H33" t="inlineStr"/>
    </row>
    <row r="34">
      <c r="A34" t="n">
        <v>2</v>
      </c>
      <c r="B34" t="inlineStr">
        <is>
          <t>4 g Pectina de bajo metoxilo (LM Pectin, gelifica con iones de calcio)</t>
        </is>
      </c>
      <c r="C34" t="inlineStr">
        <is>
          <t>PEC</t>
        </is>
      </c>
      <c r="D34">
        <f>VLOOKUP(C34,Insumos!$A:$G,2,FALSE)</f>
        <v/>
      </c>
      <c r="E34" s="4" t="n">
        <v>4</v>
      </c>
      <c r="F34" t="inlineStr">
        <is>
          <t>g</t>
        </is>
      </c>
      <c r="G34">
        <f>E34*VLOOKUP(C34,Insumos!$A:$G,7,FALSE)</f>
        <v/>
      </c>
      <c r="H34" t="inlineStr"/>
    </row>
    <row r="35">
      <c r="A35" t="n">
        <v>2</v>
      </c>
      <c r="B35" t="inlineStr">
        <is>
          <t>10 ml Zumo de limón criollo</t>
        </is>
      </c>
      <c r="C35" t="inlineStr">
        <is>
          <t>LIM</t>
        </is>
      </c>
      <c r="D35">
        <f>VLOOKUP(C35,Insumos!$A:$G,2,FALSE)</f>
        <v/>
      </c>
      <c r="E35" s="4" t="n">
        <v>0.25</v>
      </c>
      <c r="F35" t="inlineStr">
        <is>
          <t>pz</t>
        </is>
      </c>
      <c r="G35">
        <f>E35*VLOOKUP(C35,Insumos!$A:$G,7,FALSE)</f>
        <v/>
      </c>
      <c r="H35" t="inlineStr">
        <is>
          <t>Jugo convertido a piezas (limón ≈ 40 ml, naranja ≈ 80 ml)</t>
        </is>
      </c>
    </row>
    <row r="36">
      <c r="A36" t="n">
        <v>2</v>
      </c>
      <c r="B36" t="inlineStr">
        <is>
          <t>600 ml Crema para batir pasteurizada de vaca (35 % grasa butírica, fría a 2 °C)</t>
        </is>
      </c>
      <c r="C36" t="inlineStr">
        <is>
          <t>CRE</t>
        </is>
      </c>
      <c r="D36">
        <f>VLOOKUP(C36,Insumos!$A:$G,2,FALSE)</f>
        <v/>
      </c>
      <c r="E36" s="4" t="n">
        <v>600</v>
      </c>
      <c r="F36" t="inlineStr">
        <is>
          <t>ml</t>
        </is>
      </c>
      <c r="G36">
        <f>E36*VLOOKUP(C36,Insumos!$A:$G,7,FALSE)</f>
        <v/>
      </c>
      <c r="H36" t="inlineStr"/>
    </row>
    <row r="37">
      <c r="A37" t="n">
        <v>2</v>
      </c>
      <c r="B37" t="inlineStr">
        <is>
          <t>60 g Eritritol pulverizado con fruto del monje (tamizado fino)</t>
        </is>
      </c>
      <c r="C37" t="inlineStr">
        <is>
          <t>ERM</t>
        </is>
      </c>
      <c r="D37">
        <f>VLOOKUP(C37,Insumos!$A:$G,2,FALSE)</f>
        <v/>
      </c>
      <c r="E37" s="4" t="n">
        <v>60</v>
      </c>
      <c r="F37" t="inlineStr">
        <is>
          <t>g</t>
        </is>
      </c>
      <c r="G37">
        <f>E37*VLOOKUP(C37,Insumos!$A:$G,7,FALSE)</f>
        <v/>
      </c>
      <c r="H37" t="inlineStr"/>
    </row>
    <row r="38">
      <c r="A38" t="n">
        <v>2</v>
      </c>
      <c r="B38" t="inlineStr">
        <is>
          <t>10 ml Extracto puro natural de vainilla</t>
        </is>
      </c>
      <c r="C38" t="inlineStr">
        <is>
          <t>VAE</t>
        </is>
      </c>
      <c r="D38">
        <f>VLOOKUP(C38,Insumos!$A:$G,2,FALSE)</f>
        <v/>
      </c>
      <c r="E38" s="4" t="n">
        <v>10</v>
      </c>
      <c r="F38" t="inlineStr">
        <is>
          <t>ml</t>
        </is>
      </c>
      <c r="G38">
        <f>E38*VLOOKUP(C38,Insumos!$A:$G,7,FALSE)</f>
        <v/>
      </c>
      <c r="H38" t="inlineStr"/>
    </row>
    <row r="39">
      <c r="A39" t="n">
        <v>2</v>
      </c>
      <c r="B39" t="inlineStr">
        <is>
          <t>80 g Cobertura de chocolate amargo 100% cacao puro rallado en virutas</t>
        </is>
      </c>
      <c r="C39" t="inlineStr">
        <is>
          <t>CH100</t>
        </is>
      </c>
      <c r="D39">
        <f>VLOOKUP(C39,Insumos!$A:$G,2,FALSE)</f>
        <v/>
      </c>
      <c r="E39" s="4" t="n">
        <v>80</v>
      </c>
      <c r="F39" t="inlineStr">
        <is>
          <t>g</t>
        </is>
      </c>
      <c r="G39">
        <f>E39*VLOOKUP(C39,Insumos!$A:$G,7,FALSE)</f>
        <v/>
      </c>
      <c r="H39" t="inlineStr"/>
    </row>
    <row r="40">
      <c r="A40" t="n">
        <v>3</v>
      </c>
      <c r="B40" t="inlineStr">
        <is>
          <t>280 g Harina de almendra fina sin piel</t>
        </is>
      </c>
      <c r="C40" t="inlineStr">
        <is>
          <t>HAL</t>
        </is>
      </c>
      <c r="D40">
        <f>VLOOKUP(C40,Insumos!$A:$G,2,FALSE)</f>
        <v/>
      </c>
      <c r="E40" s="4" t="n">
        <v>280</v>
      </c>
      <c r="F40" t="inlineStr">
        <is>
          <t>g</t>
        </is>
      </c>
      <c r="G40">
        <f>E40*VLOOKUP(C40,Insumos!$A:$G,7,FALSE)</f>
        <v/>
      </c>
      <c r="H40" t="inlineStr"/>
    </row>
    <row r="41">
      <c r="A41" t="n">
        <v>3</v>
      </c>
      <c r="B41" t="inlineStr">
        <is>
          <t>40 g Harina de coco desgrasada pura</t>
        </is>
      </c>
      <c r="C41" t="inlineStr">
        <is>
          <t>HCO</t>
        </is>
      </c>
      <c r="D41">
        <f>VLOOKUP(C41,Insumos!$A:$G,2,FALSE)</f>
        <v/>
      </c>
      <c r="E41" s="4" t="n">
        <v>40</v>
      </c>
      <c r="F41" t="inlineStr">
        <is>
          <t>g</t>
        </is>
      </c>
      <c r="G41">
        <f>E41*VLOOKUP(C41,Insumos!$A:$G,7,FALSE)</f>
        <v/>
      </c>
      <c r="H41" t="inlineStr"/>
    </row>
    <row r="42">
      <c r="A42" t="n">
        <v>3</v>
      </c>
      <c r="B42" t="inlineStr">
        <is>
          <t>30 g Harina de linaza dorada micronizada (aporta emulgentes y retiene agua)</t>
        </is>
      </c>
      <c r="C42" t="inlineStr">
        <is>
          <t>HLI</t>
        </is>
      </c>
      <c r="D42">
        <f>VLOOKUP(C42,Insumos!$A:$G,2,FALSE)</f>
        <v/>
      </c>
      <c r="E42" s="4" t="n">
        <v>30</v>
      </c>
      <c r="F42" t="inlineStr">
        <is>
          <t>g</t>
        </is>
      </c>
      <c r="G42">
        <f>E42*VLOOKUP(C42,Insumos!$A:$G,7,FALSE)</f>
        <v/>
      </c>
      <c r="H42" t="inlineStr"/>
    </row>
    <row r="43">
      <c r="A43" t="n">
        <v>3</v>
      </c>
      <c r="B43" t="inlineStr">
        <is>
          <t>8 g Canela de Ceilán pura en polvo</t>
        </is>
      </c>
      <c r="C43" t="inlineStr">
        <is>
          <t>CAP</t>
        </is>
      </c>
      <c r="D43">
        <f>VLOOKUP(C43,Insumos!$A:$G,2,FALSE)</f>
        <v/>
      </c>
      <c r="E43" s="4" t="n">
        <v>8</v>
      </c>
      <c r="F43" t="inlineStr">
        <is>
          <t>g</t>
        </is>
      </c>
      <c r="G43">
        <f>E43*VLOOKUP(C43,Insumos!$A:$G,7,FALSE)</f>
        <v/>
      </c>
      <c r="H43" t="inlineStr"/>
    </row>
    <row r="44">
      <c r="A44" t="n">
        <v>3</v>
      </c>
      <c r="B44" t="inlineStr">
        <is>
          <t>3 g Jengibre en polvo micronizado</t>
        </is>
      </c>
      <c r="C44" t="inlineStr">
        <is>
          <t>ESP</t>
        </is>
      </c>
      <c r="D44">
        <f>VLOOKUP(C44,Insumos!$A:$G,2,FALSE)</f>
        <v/>
      </c>
      <c r="E44" s="4" t="n">
        <v>3</v>
      </c>
      <c r="F44" t="inlineStr">
        <is>
          <t>g</t>
        </is>
      </c>
      <c r="G44">
        <f>E44*VLOOKUP(C44,Insumos!$A:$G,7,FALSE)</f>
        <v/>
      </c>
      <c r="H44" t="inlineStr"/>
    </row>
    <row r="45">
      <c r="A45" t="n">
        <v>3</v>
      </c>
      <c r="B45" t="inlineStr">
        <is>
          <t>1 g Nuez moscada recién rallada</t>
        </is>
      </c>
      <c r="C45" t="inlineStr">
        <is>
          <t>ESP</t>
        </is>
      </c>
      <c r="D45">
        <f>VLOOKUP(C45,Insumos!$A:$G,2,FALSE)</f>
        <v/>
      </c>
      <c r="E45" s="4" t="n">
        <v>1</v>
      </c>
      <c r="F45" t="inlineStr">
        <is>
          <t>g</t>
        </is>
      </c>
      <c r="G45">
        <f>E45*VLOOKUP(C45,Insumos!$A:$G,7,FALSE)</f>
        <v/>
      </c>
      <c r="H45" t="inlineStr"/>
    </row>
    <row r="46">
      <c r="A46" t="n">
        <v>3</v>
      </c>
      <c r="B46" t="inlineStr">
        <is>
          <t>8 g Polvo para hornear doble acción</t>
        </is>
      </c>
      <c r="C46" t="inlineStr">
        <is>
          <t>PPH</t>
        </is>
      </c>
      <c r="D46">
        <f>VLOOKUP(C46,Insumos!$A:$G,2,FALSE)</f>
        <v/>
      </c>
      <c r="E46" s="4" t="n">
        <v>8</v>
      </c>
      <c r="F46" t="inlineStr">
        <is>
          <t>g</t>
        </is>
      </c>
      <c r="G46">
        <f>E46*VLOOKUP(C46,Insumos!$A:$G,7,FALSE)</f>
        <v/>
      </c>
      <c r="H46" t="inlineStr"/>
    </row>
    <row r="47">
      <c r="A47" t="n">
        <v>3</v>
      </c>
      <c r="B47" t="inlineStr">
        <is>
          <t>5 g Bicarbonato de sodio</t>
        </is>
      </c>
      <c r="C47" t="inlineStr">
        <is>
          <t>BIC</t>
        </is>
      </c>
      <c r="D47">
        <f>VLOOKUP(C47,Insumos!$A:$G,2,FALSE)</f>
        <v/>
      </c>
      <c r="E47" s="4" t="n">
        <v>5</v>
      </c>
      <c r="F47" t="inlineStr">
        <is>
          <t>g</t>
        </is>
      </c>
      <c r="G47">
        <f>E47*VLOOKUP(C47,Insumos!$A:$G,7,FALSE)</f>
        <v/>
      </c>
      <c r="H47" t="inlineStr"/>
    </row>
    <row r="48">
      <c r="A48" t="n">
        <v>3</v>
      </c>
      <c r="B48" t="inlineStr">
        <is>
          <t>3.5 g Goma xantana</t>
        </is>
      </c>
      <c r="C48" t="inlineStr">
        <is>
          <t>XAN</t>
        </is>
      </c>
      <c r="D48">
        <f>VLOOKUP(C48,Insumos!$A:$G,2,FALSE)</f>
        <v/>
      </c>
      <c r="E48" s="4" t="n">
        <v>3.5</v>
      </c>
      <c r="F48" t="inlineStr">
        <is>
          <t>g</t>
        </is>
      </c>
      <c r="G48">
        <f>E48*VLOOKUP(C48,Insumos!$A:$G,7,FALSE)</f>
        <v/>
      </c>
      <c r="H48" t="inlineStr"/>
    </row>
    <row r="49">
      <c r="A49" t="n">
        <v>3</v>
      </c>
      <c r="B49" t="inlineStr">
        <is>
          <t>3 g Sal marina fina</t>
        </is>
      </c>
      <c r="C49" t="inlineStr">
        <is>
          <t>SAL</t>
        </is>
      </c>
      <c r="D49">
        <f>VLOOKUP(C49,Insumos!$A:$G,2,FALSE)</f>
        <v/>
      </c>
      <c r="E49" s="4" t="n">
        <v>3</v>
      </c>
      <c r="F49" t="inlineStr">
        <is>
          <t>g</t>
        </is>
      </c>
      <c r="G49">
        <f>E49*VLOOKUP(C49,Insumos!$A:$G,7,FALSE)</f>
        <v/>
      </c>
      <c r="H49" t="inlineStr"/>
    </row>
    <row r="50">
      <c r="A50" t="n">
        <v>3</v>
      </c>
      <c r="B50" t="inlineStr">
        <is>
          <t>350 g Zanahoria fresca rallada muy fina (en micro-rallador, no troceada)</t>
        </is>
      </c>
      <c r="C50" t="inlineStr">
        <is>
          <t>ZAN</t>
        </is>
      </c>
      <c r="D50">
        <f>VLOOKUP(C50,Insumos!$A:$G,2,FALSE)</f>
        <v/>
      </c>
      <c r="E50" s="4" t="n">
        <v>350</v>
      </c>
      <c r="F50" t="inlineStr">
        <is>
          <t>g</t>
        </is>
      </c>
      <c r="G50">
        <f>E50*VLOOKUP(C50,Insumos!$A:$G,7,FALSE)</f>
        <v/>
      </c>
      <c r="H50" t="inlineStr"/>
    </row>
    <row r="51">
      <c r="A51" t="n">
        <v>3</v>
      </c>
      <c r="B51" t="inlineStr">
        <is>
          <t>120 g Nueces pecanas tostadas troceadas en cuartos</t>
        </is>
      </c>
      <c r="C51" t="inlineStr">
        <is>
          <t>NPE</t>
        </is>
      </c>
      <c r="D51">
        <f>VLOOKUP(C51,Insumos!$A:$G,2,FALSE)</f>
        <v/>
      </c>
      <c r="E51" s="4" t="n">
        <v>120</v>
      </c>
      <c r="F51" t="inlineStr">
        <is>
          <t>g</t>
        </is>
      </c>
      <c r="G51">
        <f>E51*VLOOKUP(C51,Insumos!$A:$G,7,FALSE)</f>
        <v/>
      </c>
      <c r="H51" t="inlineStr"/>
    </row>
    <row r="52">
      <c r="A52" t="n">
        <v>3</v>
      </c>
      <c r="B52" t="inlineStr">
        <is>
          <t>5 Huevos enteros frescos L (250 g)</t>
        </is>
      </c>
      <c r="C52" t="inlineStr">
        <is>
          <t>HUE</t>
        </is>
      </c>
      <c r="D52">
        <f>VLOOKUP(C52,Insumos!$A:$G,2,FALSE)</f>
        <v/>
      </c>
      <c r="E52" s="4" t="n">
        <v>250</v>
      </c>
      <c r="F52" t="inlineStr">
        <is>
          <t>g</t>
        </is>
      </c>
      <c r="G52">
        <f>E52*VLOOKUP(C52,Insumos!$A:$G,7,FALSE)</f>
        <v/>
      </c>
      <c r="H52" t="inlineStr"/>
    </row>
    <row r="53">
      <c r="A53" t="n">
        <v>3</v>
      </c>
      <c r="B53" t="inlineStr">
        <is>
          <t>200 g Alulosa pura cristalina</t>
        </is>
      </c>
      <c r="C53" t="inlineStr">
        <is>
          <t>ALU</t>
        </is>
      </c>
      <c r="D53">
        <f>VLOOKUP(C53,Insumos!$A:$G,2,FALSE)</f>
        <v/>
      </c>
      <c r="E53" s="4" t="n">
        <v>200</v>
      </c>
      <c r="F53" t="inlineStr">
        <is>
          <t>g</t>
        </is>
      </c>
      <c r="G53">
        <f>E53*VLOOKUP(C53,Insumos!$A:$G,7,FALSE)</f>
        <v/>
      </c>
      <c r="H53" t="inlineStr"/>
    </row>
    <row r="54">
      <c r="A54" t="n">
        <v>3</v>
      </c>
      <c r="B54" t="inlineStr">
        <is>
          <t>80 g Eritritol granulado</t>
        </is>
      </c>
      <c r="C54" t="inlineStr">
        <is>
          <t>ERG</t>
        </is>
      </c>
      <c r="D54">
        <f>VLOOKUP(C54,Insumos!$A:$G,2,FALSE)</f>
        <v/>
      </c>
      <c r="E54" s="4" t="n">
        <v>80</v>
      </c>
      <c r="F54" t="inlineStr">
        <is>
          <t>g</t>
        </is>
      </c>
      <c r="G54">
        <f>E54*VLOOKUP(C54,Insumos!$A:$G,7,FALSE)</f>
        <v/>
      </c>
      <c r="H54" t="inlineStr"/>
    </row>
    <row r="55">
      <c r="A55" t="n">
        <v>3</v>
      </c>
      <c r="B55" t="inlineStr">
        <is>
          <t>120 ml Aceite de coco virgen desodorizado (o aceite de oliva extra virgen suave)</t>
        </is>
      </c>
      <c r="C55" t="inlineStr">
        <is>
          <t>ACO</t>
        </is>
      </c>
      <c r="D55">
        <f>VLOOKUP(C55,Insumos!$A:$G,2,FALSE)</f>
        <v/>
      </c>
      <c r="E55" s="4" t="n">
        <v>120</v>
      </c>
      <c r="F55" t="inlineStr">
        <is>
          <t>ml</t>
        </is>
      </c>
      <c r="G55">
        <f>E55*VLOOKUP(C55,Insumos!$A:$G,7,FALSE)</f>
        <v/>
      </c>
      <c r="H55" t="inlineStr"/>
    </row>
    <row r="56">
      <c r="A56" t="n">
        <v>3</v>
      </c>
      <c r="B56" t="inlineStr">
        <is>
          <t>60 g Mantequilla sin sal derretida</t>
        </is>
      </c>
      <c r="C56" t="inlineStr">
        <is>
          <t>MAN</t>
        </is>
      </c>
      <c r="D56">
        <f>VLOOKUP(C56,Insumos!$A:$G,2,FALSE)</f>
        <v/>
      </c>
      <c r="E56" s="4" t="n">
        <v>60</v>
      </c>
      <c r="F56" t="inlineStr">
        <is>
          <t>g</t>
        </is>
      </c>
      <c r="G56">
        <f>E56*VLOOKUP(C56,Insumos!$A:$G,7,FALSE)</f>
        <v/>
      </c>
      <c r="H56" t="inlineStr"/>
    </row>
    <row r="57">
      <c r="A57" t="n">
        <v>3</v>
      </c>
      <c r="B57" t="inlineStr">
        <is>
          <t>15 ml Extracto puro natural de vainilla</t>
        </is>
      </c>
      <c r="C57" t="inlineStr">
        <is>
          <t>VAE</t>
        </is>
      </c>
      <c r="D57">
        <f>VLOOKUP(C57,Insumos!$A:$G,2,FALSE)</f>
        <v/>
      </c>
      <c r="E57" s="4" t="n">
        <v>15</v>
      </c>
      <c r="F57" t="inlineStr">
        <is>
          <t>ml</t>
        </is>
      </c>
      <c r="G57">
        <f>E57*VLOOKUP(C57,Insumos!$A:$G,7,FALSE)</f>
        <v/>
      </c>
      <c r="H57" t="inlineStr"/>
    </row>
    <row r="58">
      <c r="A58" t="n">
        <v>3</v>
      </c>
      <c r="B58" t="inlineStr">
        <is>
          <t>400 g Queso crema estilo Philadelphia entero (a 20 °C)</t>
        </is>
      </c>
      <c r="C58" t="inlineStr">
        <is>
          <t>QCR</t>
        </is>
      </c>
      <c r="D58">
        <f>VLOOKUP(C58,Insumos!$A:$G,2,FALSE)</f>
        <v/>
      </c>
      <c r="E58" s="4" t="n">
        <v>400</v>
      </c>
      <c r="F58" t="inlineStr">
        <is>
          <t>g</t>
        </is>
      </c>
      <c r="G58">
        <f>E58*VLOOKUP(C58,Insumos!$A:$G,7,FALSE)</f>
        <v/>
      </c>
      <c r="H58" t="inlineStr"/>
    </row>
    <row r="59">
      <c r="A59" t="n">
        <v>3</v>
      </c>
      <c r="B59" t="inlineStr">
        <is>
          <t>120 g Mantequilla sin sal pomada</t>
        </is>
      </c>
      <c r="C59" t="inlineStr">
        <is>
          <t>MAN</t>
        </is>
      </c>
      <c r="D59">
        <f>VLOOKUP(C59,Insumos!$A:$G,2,FALSE)</f>
        <v/>
      </c>
      <c r="E59" s="4" t="n">
        <v>120</v>
      </c>
      <c r="F59" t="inlineStr">
        <is>
          <t>g</t>
        </is>
      </c>
      <c r="G59">
        <f>E59*VLOOKUP(C59,Insumos!$A:$G,7,FALSE)</f>
        <v/>
      </c>
      <c r="H59" t="inlineStr"/>
    </row>
    <row r="60">
      <c r="A60" t="n">
        <v>3</v>
      </c>
      <c r="B60" t="inlineStr">
        <is>
          <t>150 g Alulosa pulverizada micronizada</t>
        </is>
      </c>
      <c r="C60" t="inlineStr">
        <is>
          <t>ALUP</t>
        </is>
      </c>
      <c r="D60">
        <f>VLOOKUP(C60,Insumos!$A:$G,2,FALSE)</f>
        <v/>
      </c>
      <c r="E60" s="4" t="n">
        <v>150</v>
      </c>
      <c r="F60" t="inlineStr">
        <is>
          <t>g</t>
        </is>
      </c>
      <c r="G60">
        <f>E60*VLOOKUP(C60,Insumos!$A:$G,7,FALSE)</f>
        <v/>
      </c>
      <c r="H60" t="inlineStr"/>
    </row>
    <row r="61">
      <c r="A61" t="n">
        <v>3</v>
      </c>
      <c r="B61" t="inlineStr">
        <is>
          <t>5 ml Extracto natural concentrado de arce / maple sin azúcar</t>
        </is>
      </c>
      <c r="C61" t="inlineStr">
        <is>
          <t>EXT</t>
        </is>
      </c>
      <c r="D61">
        <f>VLOOKUP(C61,Insumos!$A:$G,2,FALSE)</f>
        <v/>
      </c>
      <c r="E61" s="4" t="n">
        <v>5</v>
      </c>
      <c r="F61" t="inlineStr">
        <is>
          <t>ml</t>
        </is>
      </c>
      <c r="G61">
        <f>E61*VLOOKUP(C61,Insumos!$A:$G,7,FALSE)</f>
        <v/>
      </c>
      <c r="H61" t="inlineStr"/>
    </row>
    <row r="62">
      <c r="A62" t="n">
        <v>3</v>
      </c>
      <c r="B62" t="inlineStr">
        <is>
          <t>50 g Nueces pecanas finamente picadas para decorar los laterales</t>
        </is>
      </c>
      <c r="C62" t="inlineStr">
        <is>
          <t>NPE</t>
        </is>
      </c>
      <c r="D62">
        <f>VLOOKUP(C62,Insumos!$A:$G,2,FALSE)</f>
        <v/>
      </c>
      <c r="E62" s="4" t="n">
        <v>50</v>
      </c>
      <c r="F62" t="inlineStr">
        <is>
          <t>g</t>
        </is>
      </c>
      <c r="G62">
        <f>E62*VLOOKUP(C62,Insumos!$A:$G,7,FALSE)</f>
        <v/>
      </c>
      <c r="H62" t="inlineStr"/>
    </row>
    <row r="63">
      <c r="A63" t="n">
        <v>4</v>
      </c>
      <c r="B63" t="inlineStr">
        <is>
          <t>250 g Cobertura de chocolate 100% cacao puro (licor de cacao puro, sin azúcar añadida)</t>
        </is>
      </c>
      <c r="C63" t="inlineStr">
        <is>
          <t>CH100</t>
        </is>
      </c>
      <c r="D63">
        <f>VLOOKUP(C63,Insumos!$A:$G,2,FALSE)</f>
        <v/>
      </c>
      <c r="E63" s="4" t="n">
        <v>250</v>
      </c>
      <c r="F63" t="inlineStr">
        <is>
          <t>g</t>
        </is>
      </c>
      <c r="G63">
        <f>E63*VLOOKUP(C63,Insumos!$A:$G,7,FALSE)</f>
        <v/>
      </c>
      <c r="H63" t="inlineStr"/>
    </row>
    <row r="64">
      <c r="A64" t="n">
        <v>4</v>
      </c>
      <c r="B64" t="inlineStr">
        <is>
          <t>180 g Mantequilla de vaca sin sal (82 % MG)</t>
        </is>
      </c>
      <c r="C64" t="inlineStr">
        <is>
          <t>MAN</t>
        </is>
      </c>
      <c r="D64">
        <f>VLOOKUP(C64,Insumos!$A:$G,2,FALSE)</f>
        <v/>
      </c>
      <c r="E64" s="4" t="n">
        <v>180</v>
      </c>
      <c r="F64" t="inlineStr">
        <is>
          <t>g</t>
        </is>
      </c>
      <c r="G64">
        <f>E64*VLOOKUP(C64,Insumos!$A:$G,7,FALSE)</f>
        <v/>
      </c>
      <c r="H64" t="inlineStr"/>
    </row>
    <row r="65">
      <c r="A65" t="n">
        <v>4</v>
      </c>
      <c r="B65" t="inlineStr">
        <is>
          <t>150 g Pasta pura de avellanas tostadas del Piamonte (100% avellana molida a piedra sin azúcar)</t>
        </is>
      </c>
      <c r="C65" t="inlineStr">
        <is>
          <t>PAV</t>
        </is>
      </c>
      <c r="D65">
        <f>VLOOKUP(C65,Insumos!$A:$G,2,FALSE)</f>
        <v/>
      </c>
      <c r="E65" s="4" t="n">
        <v>150</v>
      </c>
      <c r="F65" t="inlineStr">
        <is>
          <t>g</t>
        </is>
      </c>
      <c r="G65">
        <f>E65*VLOOKUP(C65,Insumos!$A:$G,7,FALSE)</f>
        <v/>
      </c>
      <c r="H65" t="inlineStr"/>
    </row>
    <row r="66">
      <c r="A66" t="n">
        <v>4</v>
      </c>
      <c r="B66" t="inlineStr">
        <is>
          <t>6 Yemas de huevo fresco (120 g)</t>
        </is>
      </c>
      <c r="C66" t="inlineStr">
        <is>
          <t>YEM</t>
        </is>
      </c>
      <c r="D66">
        <f>VLOOKUP(C66,Insumos!$A:$G,2,FALSE)</f>
        <v/>
      </c>
      <c r="E66" s="4" t="n">
        <v>120</v>
      </c>
      <c r="F66" t="inlineStr">
        <is>
          <t>g</t>
        </is>
      </c>
      <c r="G66">
        <f>E66*VLOOKUP(C66,Insumos!$A:$G,7,FALSE)</f>
        <v/>
      </c>
      <c r="H66" t="inlineStr"/>
    </row>
    <row r="67">
      <c r="A67" t="n">
        <v>4</v>
      </c>
      <c r="B67" t="inlineStr">
        <is>
          <t>180 g Alulosa pura cristalina</t>
        </is>
      </c>
      <c r="C67" t="inlineStr">
        <is>
          <t>ALU</t>
        </is>
      </c>
      <c r="D67">
        <f>VLOOKUP(C67,Insumos!$A:$G,2,FALSE)</f>
        <v/>
      </c>
      <c r="E67" s="4" t="n">
        <v>180</v>
      </c>
      <c r="F67" t="inlineStr">
        <is>
          <t>g</t>
        </is>
      </c>
      <c r="G67">
        <f>E67*VLOOKUP(C67,Insumos!$A:$G,7,FALSE)</f>
        <v/>
      </c>
      <c r="H67" t="inlineStr"/>
    </row>
    <row r="68">
      <c r="A68" t="n">
        <v>4</v>
      </c>
      <c r="B68" t="inlineStr">
        <is>
          <t>0.2 g Estevia pura Rebaudiósido M (aporta refuerzo de dulzor sin sabor amargo)</t>
        </is>
      </c>
      <c r="C68" t="inlineStr">
        <is>
          <t>EST</t>
        </is>
      </c>
      <c r="D68">
        <f>VLOOKUP(C68,Insumos!$A:$G,2,FALSE)</f>
        <v/>
      </c>
      <c r="E68" s="4" t="n">
        <v>0.2</v>
      </c>
      <c r="F68" t="inlineStr">
        <is>
          <t>g</t>
        </is>
      </c>
      <c r="G68">
        <f>E68*VLOOKUP(C68,Insumos!$A:$G,7,FALSE)</f>
        <v/>
      </c>
      <c r="H68" t="inlineStr"/>
    </row>
    <row r="69">
      <c r="A69" t="n">
        <v>4</v>
      </c>
      <c r="B69" t="inlineStr">
        <is>
          <t>15 ml Extracto concentrado natural de vainilla</t>
        </is>
      </c>
      <c r="C69" t="inlineStr">
        <is>
          <t>VAE</t>
        </is>
      </c>
      <c r="D69">
        <f>VLOOKUP(C69,Insumos!$A:$G,2,FALSE)</f>
        <v/>
      </c>
      <c r="E69" s="4" t="n">
        <v>15</v>
      </c>
      <c r="F69" t="inlineStr">
        <is>
          <t>ml</t>
        </is>
      </c>
      <c r="G69">
        <f>E69*VLOOKUP(C69,Insumos!$A:$G,7,FALSE)</f>
        <v/>
      </c>
      <c r="H69" t="inlineStr"/>
    </row>
    <row r="70">
      <c r="A70" t="n">
        <v>4</v>
      </c>
      <c r="B70" t="inlineStr">
        <is>
          <t>2 g Sal marina fina</t>
        </is>
      </c>
      <c r="C70" t="inlineStr">
        <is>
          <t>SAL</t>
        </is>
      </c>
      <c r="D70">
        <f>VLOOKUP(C70,Insumos!$A:$G,2,FALSE)</f>
        <v/>
      </c>
      <c r="E70" s="4" t="n">
        <v>2</v>
      </c>
      <c r="F70" t="inlineStr">
        <is>
          <t>g</t>
        </is>
      </c>
      <c r="G70">
        <f>E70*VLOOKUP(C70,Insumos!$A:$G,7,FALSE)</f>
        <v/>
      </c>
      <c r="H70" t="inlineStr"/>
    </row>
    <row r="71">
      <c r="A71" t="n">
        <v>4</v>
      </c>
      <c r="B71" t="inlineStr">
        <is>
          <t>6 Claras de huevo fresco (210 g) a temperatura ambiente</t>
        </is>
      </c>
      <c r="C71" t="inlineStr">
        <is>
          <t>CLA</t>
        </is>
      </c>
      <c r="D71">
        <f>VLOOKUP(C71,Insumos!$A:$G,2,FALSE)</f>
        <v/>
      </c>
      <c r="E71" s="4" t="n">
        <v>210</v>
      </c>
      <c r="F71" t="inlineStr">
        <is>
          <t>g</t>
        </is>
      </c>
      <c r="G71">
        <f>E71*VLOOKUP(C71,Insumos!$A:$G,7,FALSE)</f>
        <v/>
      </c>
      <c r="H71" t="inlineStr"/>
    </row>
    <row r="72">
      <c r="A72" t="n">
        <v>4</v>
      </c>
      <c r="B72" t="inlineStr">
        <is>
          <t>2 g Cremor tártaro o 5 ml de zumo de limón (estabilizador de espuma de albúmina)</t>
        </is>
      </c>
      <c r="C72" t="inlineStr">
        <is>
          <t>CRT</t>
        </is>
      </c>
      <c r="D72">
        <f>VLOOKUP(C72,Insumos!$A:$G,2,FALSE)</f>
        <v/>
      </c>
      <c r="E72" s="4" t="n">
        <v>2</v>
      </c>
      <c r="F72" t="inlineStr">
        <is>
          <t>g</t>
        </is>
      </c>
      <c r="G72">
        <f>E72*VLOOKUP(C72,Insumos!$A:$G,7,FALSE)</f>
        <v/>
      </c>
      <c r="H72" t="inlineStr"/>
    </row>
    <row r="73">
      <c r="A73" t="n">
        <v>4</v>
      </c>
      <c r="B73" t="inlineStr">
        <is>
          <t>40 g Eritritol pulverizado (para dar rigidez al merengue)</t>
        </is>
      </c>
      <c r="C73" t="inlineStr">
        <is>
          <t>ERP</t>
        </is>
      </c>
      <c r="D73">
        <f>VLOOKUP(C73,Insumos!$A:$G,2,FALSE)</f>
        <v/>
      </c>
      <c r="E73" s="4" t="n">
        <v>40</v>
      </c>
      <c r="F73" t="inlineStr">
        <is>
          <t>g</t>
        </is>
      </c>
      <c r="G73">
        <f>E73*VLOOKUP(C73,Insumos!$A:$G,7,FALSE)</f>
        <v/>
      </c>
      <c r="H73" t="inlineStr"/>
    </row>
    <row r="74">
      <c r="A74" t="n">
        <v>4</v>
      </c>
      <c r="B74" t="inlineStr">
        <is>
          <t>150 g Cobertura de chocolate amargo sin azúcar (endulzado con eritritol/stevia)</t>
        </is>
      </c>
      <c r="C74" t="inlineStr">
        <is>
          <t>CH70</t>
        </is>
      </c>
      <c r="D74">
        <f>VLOOKUP(C74,Insumos!$A:$G,2,FALSE)</f>
        <v/>
      </c>
      <c r="E74" s="4" t="n">
        <v>150</v>
      </c>
      <c r="F74" t="inlineStr">
        <is>
          <t>g</t>
        </is>
      </c>
      <c r="G74">
        <f>E74*VLOOKUP(C74,Insumos!$A:$G,7,FALSE)</f>
        <v/>
      </c>
      <c r="H74" t="inlineStr"/>
    </row>
    <row r="75">
      <c r="A75" t="n">
        <v>4</v>
      </c>
      <c r="B75" t="inlineStr">
        <is>
          <t>150 ml Crema para batir de vaca (35 % MG)</t>
        </is>
      </c>
      <c r="C75" t="inlineStr">
        <is>
          <t>CRE</t>
        </is>
      </c>
      <c r="D75">
        <f>VLOOKUP(C75,Insumos!$A:$G,2,FALSE)</f>
        <v/>
      </c>
      <c r="E75" s="4" t="n">
        <v>150</v>
      </c>
      <c r="F75" t="inlineStr">
        <is>
          <t>ml</t>
        </is>
      </c>
      <c r="G75">
        <f>E75*VLOOKUP(C75,Insumos!$A:$G,7,FALSE)</f>
        <v/>
      </c>
      <c r="H75" t="inlineStr"/>
    </row>
    <row r="76">
      <c r="A76" t="n">
        <v>4</v>
      </c>
      <c r="B76" t="inlineStr">
        <is>
          <t>30 g Mantequilla sin sal</t>
        </is>
      </c>
      <c r="C76" t="inlineStr">
        <is>
          <t>MAN</t>
        </is>
      </c>
      <c r="D76">
        <f>VLOOKUP(C76,Insumos!$A:$G,2,FALSE)</f>
        <v/>
      </c>
      <c r="E76" s="4" t="n">
        <v>30</v>
      </c>
      <c r="F76" t="inlineStr">
        <is>
          <t>g</t>
        </is>
      </c>
      <c r="G76">
        <f>E76*VLOOKUP(C76,Insumos!$A:$G,7,FALSE)</f>
        <v/>
      </c>
      <c r="H76" t="inlineStr"/>
    </row>
    <row r="77">
      <c r="A77" t="n">
        <v>4</v>
      </c>
      <c r="B77" t="inlineStr">
        <is>
          <t>Avellanas tostadas enteras para decorar la corona</t>
        </is>
      </c>
      <c r="C77" t="inlineStr">
        <is>
          <t>AVE</t>
        </is>
      </c>
      <c r="D77">
        <f>VLOOKUP(C77,Insumos!$A:$G,2,FALSE)</f>
        <v/>
      </c>
      <c r="E77" s="4" t="n">
        <v>30</v>
      </c>
      <c r="F77" t="inlineStr">
        <is>
          <t>g</t>
        </is>
      </c>
      <c r="G77">
        <f>E77*VLOOKUP(C77,Insumos!$A:$G,7,FALSE)</f>
        <v/>
      </c>
      <c r="H77" t="inlineStr">
        <is>
          <t>Cantidad estimada (al gusto en el original)</t>
        </is>
      </c>
    </row>
    <row r="78">
      <c r="A78" t="n">
        <v>5</v>
      </c>
      <c r="B78" t="inlineStr">
        <is>
          <t>150 g Harina de almendra fina pura</t>
        </is>
      </c>
      <c r="C78" t="inlineStr">
        <is>
          <t>HAL</t>
        </is>
      </c>
      <c r="D78">
        <f>VLOOKUP(C78,Insumos!$A:$G,2,FALSE)</f>
        <v/>
      </c>
      <c r="E78" s="4" t="n">
        <v>150</v>
      </c>
      <c r="F78" t="inlineStr">
        <is>
          <t>g</t>
        </is>
      </c>
      <c r="G78">
        <f>E78*VLOOKUP(C78,Insumos!$A:$G,7,FALSE)</f>
        <v/>
      </c>
      <c r="H78" t="inlineStr"/>
    </row>
    <row r="79">
      <c r="A79" t="n">
        <v>5</v>
      </c>
      <c r="B79" t="inlineStr">
        <is>
          <t>120 g Alulosa pulverizada micronizada</t>
        </is>
      </c>
      <c r="C79" t="inlineStr">
        <is>
          <t>ALUP</t>
        </is>
      </c>
      <c r="D79">
        <f>VLOOKUP(C79,Insumos!$A:$G,2,FALSE)</f>
        <v/>
      </c>
      <c r="E79" s="4" t="n">
        <v>120</v>
      </c>
      <c r="F79" t="inlineStr">
        <is>
          <t>g</t>
        </is>
      </c>
      <c r="G79">
        <f>E79*VLOOKUP(C79,Insumos!$A:$G,7,FALSE)</f>
        <v/>
      </c>
      <c r="H79" t="inlineStr"/>
    </row>
    <row r="80">
      <c r="A80" t="n">
        <v>5</v>
      </c>
      <c r="B80" t="inlineStr">
        <is>
          <t>4 Huevos enteros L (200 g)</t>
        </is>
      </c>
      <c r="C80" t="inlineStr">
        <is>
          <t>HUE</t>
        </is>
      </c>
      <c r="D80">
        <f>VLOOKUP(C80,Insumos!$A:$G,2,FALSE)</f>
        <v/>
      </c>
      <c r="E80" s="4" t="n">
        <v>200</v>
      </c>
      <c r="F80" t="inlineStr">
        <is>
          <t>g</t>
        </is>
      </c>
      <c r="G80">
        <f>E80*VLOOKUP(C80,Insumos!$A:$G,7,FALSE)</f>
        <v/>
      </c>
      <c r="H80" t="inlineStr"/>
    </row>
    <row r="81">
      <c r="A81" t="n">
        <v>5</v>
      </c>
      <c r="B81" t="inlineStr">
        <is>
          <t>4 Claras de huevo (140 g)</t>
        </is>
      </c>
      <c r="C81" t="inlineStr">
        <is>
          <t>CLA</t>
        </is>
      </c>
      <c r="D81">
        <f>VLOOKUP(C81,Insumos!$A:$G,2,FALSE)</f>
        <v/>
      </c>
      <c r="E81" s="4" t="n">
        <v>140</v>
      </c>
      <c r="F81" t="inlineStr">
        <is>
          <t>g</t>
        </is>
      </c>
      <c r="G81">
        <f>E81*VLOOKUP(C81,Insumos!$A:$G,7,FALSE)</f>
        <v/>
      </c>
      <c r="H81" t="inlineStr"/>
    </row>
    <row r="82">
      <c r="A82" t="n">
        <v>5</v>
      </c>
      <c r="B82" t="inlineStr">
        <is>
          <t>30 g Eritritol granulado (para montar las claras)</t>
        </is>
      </c>
      <c r="C82" t="inlineStr">
        <is>
          <t>ERG</t>
        </is>
      </c>
      <c r="D82">
        <f>VLOOKUP(C82,Insumos!$A:$G,2,FALSE)</f>
        <v/>
      </c>
      <c r="E82" s="4" t="n">
        <v>30</v>
      </c>
      <c r="F82" t="inlineStr">
        <is>
          <t>g</t>
        </is>
      </c>
      <c r="G82">
        <f>E82*VLOOKUP(C82,Insumos!$A:$G,7,FALSE)</f>
        <v/>
      </c>
      <c r="H82" t="inlineStr"/>
    </row>
    <row r="83">
      <c r="A83" t="n">
        <v>5</v>
      </c>
      <c r="B83" t="inlineStr">
        <is>
          <t>30 g Mantequilla sin sal derretida tibia</t>
        </is>
      </c>
      <c r="C83" t="inlineStr">
        <is>
          <t>MAN</t>
        </is>
      </c>
      <c r="D83">
        <f>VLOOKUP(C83,Insumos!$A:$G,2,FALSE)</f>
        <v/>
      </c>
      <c r="E83" s="4" t="n">
        <v>30</v>
      </c>
      <c r="F83" t="inlineStr">
        <is>
          <t>g</t>
        </is>
      </c>
      <c r="G83">
        <f>E83*VLOOKUP(C83,Insumos!$A:$G,7,FALSE)</f>
        <v/>
      </c>
      <c r="H83" t="inlineStr"/>
    </row>
    <row r="84">
      <c r="A84" t="n">
        <v>5</v>
      </c>
      <c r="B84" t="inlineStr">
        <is>
          <t>2 g Goma xantana</t>
        </is>
      </c>
      <c r="C84" t="inlineStr">
        <is>
          <t>XAN</t>
        </is>
      </c>
      <c r="D84">
        <f>VLOOKUP(C84,Insumos!$A:$G,2,FALSE)</f>
        <v/>
      </c>
      <c r="E84" s="4" t="n">
        <v>2</v>
      </c>
      <c r="F84" t="inlineStr">
        <is>
          <t>g</t>
        </is>
      </c>
      <c r="G84">
        <f>E84*VLOOKUP(C84,Insumos!$A:$G,7,FALSE)</f>
        <v/>
      </c>
      <c r="H84" t="inlineStr"/>
    </row>
    <row r="85">
      <c r="A85" t="n">
        <v>5</v>
      </c>
      <c r="B85" t="inlineStr">
        <is>
          <t>1 g Sal fina</t>
        </is>
      </c>
      <c r="C85" t="inlineStr">
        <is>
          <t>SAL</t>
        </is>
      </c>
      <c r="D85">
        <f>VLOOKUP(C85,Insumos!$A:$G,2,FALSE)</f>
        <v/>
      </c>
      <c r="E85" s="4" t="n">
        <v>1</v>
      </c>
      <c r="F85" t="inlineStr">
        <is>
          <t>g</t>
        </is>
      </c>
      <c r="G85">
        <f>E85*VLOOKUP(C85,Insumos!$A:$G,7,FALSE)</f>
        <v/>
      </c>
      <c r="H85" t="inlineStr"/>
    </row>
    <row r="86">
      <c r="A86" t="n">
        <v>5</v>
      </c>
      <c r="B86" t="inlineStr">
        <is>
          <t>150 ml Café espresso intenso recién extraído (de grano arábica)</t>
        </is>
      </c>
      <c r="C86" t="inlineStr">
        <is>
          <t>CAF</t>
        </is>
      </c>
      <c r="D86">
        <f>VLOOKUP(C86,Insumos!$A:$G,2,FALSE)</f>
        <v/>
      </c>
      <c r="E86" s="4" t="n">
        <v>150</v>
      </c>
      <c r="F86" t="inlineStr">
        <is>
          <t>ml</t>
        </is>
      </c>
      <c r="G86">
        <f>E86*VLOOKUP(C86,Insumos!$A:$G,7,FALSE)</f>
        <v/>
      </c>
      <c r="H86" t="inlineStr"/>
    </row>
    <row r="87">
      <c r="A87" t="n">
        <v>5</v>
      </c>
      <c r="B87" t="inlineStr">
        <is>
          <t>70 g Alulosa cristalina</t>
        </is>
      </c>
      <c r="C87" t="inlineStr">
        <is>
          <t>ALU</t>
        </is>
      </c>
      <c r="D87">
        <f>VLOOKUP(C87,Insumos!$A:$G,2,FALSE)</f>
        <v/>
      </c>
      <c r="E87" s="4" t="n">
        <v>70</v>
      </c>
      <c r="F87" t="inlineStr">
        <is>
          <t>g</t>
        </is>
      </c>
      <c r="G87">
        <f>E87*VLOOKUP(C87,Insumos!$A:$G,7,FALSE)</f>
        <v/>
      </c>
      <c r="H87" t="inlineStr"/>
    </row>
    <row r="88">
      <c r="A88" t="n">
        <v>5</v>
      </c>
      <c r="B88" t="inlineStr">
        <is>
          <t>15 ml Extracto concentrado natural de café</t>
        </is>
      </c>
      <c r="C88" t="inlineStr">
        <is>
          <t>EXT</t>
        </is>
      </c>
      <c r="D88">
        <f>VLOOKUP(C88,Insumos!$A:$G,2,FALSE)</f>
        <v/>
      </c>
      <c r="E88" s="4" t="n">
        <v>15</v>
      </c>
      <c r="F88" t="inlineStr">
        <is>
          <t>ml</t>
        </is>
      </c>
      <c r="G88">
        <f>E88*VLOOKUP(C88,Insumos!$A:$G,7,FALSE)</f>
        <v/>
      </c>
      <c r="H88" t="inlineStr"/>
    </row>
    <row r="89">
      <c r="A89" t="n">
        <v>5</v>
      </c>
      <c r="B89" t="inlineStr">
        <is>
          <t>4 Yemas de huevo fresco (80 g)</t>
        </is>
      </c>
      <c r="C89" t="inlineStr">
        <is>
          <t>YEM</t>
        </is>
      </c>
      <c r="D89">
        <f>VLOOKUP(C89,Insumos!$A:$G,2,FALSE)</f>
        <v/>
      </c>
      <c r="E89" s="4" t="n">
        <v>80</v>
      </c>
      <c r="F89" t="inlineStr">
        <is>
          <t>g</t>
        </is>
      </c>
      <c r="G89">
        <f>E89*VLOOKUP(C89,Insumos!$A:$G,7,FALSE)</f>
        <v/>
      </c>
      <c r="H89" t="inlineStr"/>
    </row>
    <row r="90">
      <c r="A90" t="n">
        <v>5</v>
      </c>
      <c r="B90" t="inlineStr">
        <is>
          <t>100 g Alulosa cristalina cocida con 30 ml de agua a 112 °C (almíbar de hebra fina)</t>
        </is>
      </c>
      <c r="C90" t="inlineStr">
        <is>
          <t>ALU</t>
        </is>
      </c>
      <c r="D90">
        <f>VLOOKUP(C90,Insumos!$A:$G,2,FALSE)</f>
        <v/>
      </c>
      <c r="E90" s="4" t="n">
        <v>100</v>
      </c>
      <c r="F90" t="inlineStr">
        <is>
          <t>g</t>
        </is>
      </c>
      <c r="G90">
        <f>E90*VLOOKUP(C90,Insumos!$A:$G,7,FALSE)</f>
        <v/>
      </c>
      <c r="H90" t="inlineStr"/>
    </row>
    <row r="91">
      <c r="A91" t="n">
        <v>5</v>
      </c>
      <c r="B91" t="inlineStr">
        <is>
          <t>200 g Mantequilla de vaca sin sal pomada (82 % MG) de excelente calidad</t>
        </is>
      </c>
      <c r="C91" t="inlineStr">
        <is>
          <t>MAN</t>
        </is>
      </c>
      <c r="D91">
        <f>VLOOKUP(C91,Insumos!$A:$G,2,FALSE)</f>
        <v/>
      </c>
      <c r="E91" s="4" t="n">
        <v>200</v>
      </c>
      <c r="F91" t="inlineStr">
        <is>
          <t>g</t>
        </is>
      </c>
      <c r="G91">
        <f>E91*VLOOKUP(C91,Insumos!$A:$G,7,FALSE)</f>
        <v/>
      </c>
      <c r="H91" t="inlineStr"/>
    </row>
    <row r="92">
      <c r="A92" t="n">
        <v>5</v>
      </c>
      <c r="B92" t="inlineStr">
        <is>
          <t>15 ml Extracto de café concentrado o espresso reducido</t>
        </is>
      </c>
      <c r="C92" t="inlineStr">
        <is>
          <t>EXT</t>
        </is>
      </c>
      <c r="D92">
        <f>VLOOKUP(C92,Insumos!$A:$G,2,FALSE)</f>
        <v/>
      </c>
      <c r="E92" s="4" t="n">
        <v>15</v>
      </c>
      <c r="F92" t="inlineStr">
        <is>
          <t>ml</t>
        </is>
      </c>
      <c r="G92">
        <f>E92*VLOOKUP(C92,Insumos!$A:$G,7,FALSE)</f>
        <v/>
      </c>
      <c r="H92" t="inlineStr"/>
    </row>
    <row r="93">
      <c r="A93" t="n">
        <v>5</v>
      </c>
      <c r="B93" t="inlineStr">
        <is>
          <t>120 g Chocolate negro sin azúcar (endulzado con eritritol/stevia)</t>
        </is>
      </c>
      <c r="C93" t="inlineStr">
        <is>
          <t>CH70</t>
        </is>
      </c>
      <c r="D93">
        <f>VLOOKUP(C93,Insumos!$A:$G,2,FALSE)</f>
        <v/>
      </c>
      <c r="E93" s="4" t="n">
        <v>120</v>
      </c>
      <c r="F93" t="inlineStr">
        <is>
          <t>g</t>
        </is>
      </c>
      <c r="G93">
        <f>E93*VLOOKUP(C93,Insumos!$A:$G,7,FALSE)</f>
        <v/>
      </c>
      <c r="H93" t="inlineStr"/>
    </row>
    <row r="94">
      <c r="A94" t="n">
        <v>5</v>
      </c>
      <c r="B94" t="inlineStr">
        <is>
          <t>100 ml Crema para batir (35 % MG)</t>
        </is>
      </c>
      <c r="C94" t="inlineStr">
        <is>
          <t>CRE</t>
        </is>
      </c>
      <c r="D94">
        <f>VLOOKUP(C94,Insumos!$A:$G,2,FALSE)</f>
        <v/>
      </c>
      <c r="E94" s="4" t="n">
        <v>100</v>
      </c>
      <c r="F94" t="inlineStr">
        <is>
          <t>ml</t>
        </is>
      </c>
      <c r="G94">
        <f>E94*VLOOKUP(C94,Insumos!$A:$G,7,FALSE)</f>
        <v/>
      </c>
      <c r="H94" t="inlineStr"/>
    </row>
    <row r="95">
      <c r="A95" t="n">
        <v>5</v>
      </c>
      <c r="B95" t="inlineStr">
        <is>
          <t>20 g Mantequilla sin sal</t>
        </is>
      </c>
      <c r="C95" t="inlineStr">
        <is>
          <t>MAN</t>
        </is>
      </c>
      <c r="D95">
        <f>VLOOKUP(C95,Insumos!$A:$G,2,FALSE)</f>
        <v/>
      </c>
      <c r="E95" s="4" t="n">
        <v>20</v>
      </c>
      <c r="F95" t="inlineStr">
        <is>
          <t>g</t>
        </is>
      </c>
      <c r="G95">
        <f>E95*VLOOKUP(C95,Insumos!$A:$G,7,FALSE)</f>
        <v/>
      </c>
      <c r="H95" t="inlineStr"/>
    </row>
    <row r="96">
      <c r="A96" t="n">
        <v>5</v>
      </c>
      <c r="B96" t="inlineStr">
        <is>
          <t>80 g Chocolate amargo sin azúcar fundido con 15 g de aceite de coco desodorizado</t>
        </is>
      </c>
      <c r="C96" t="inlineStr">
        <is>
          <t>CH70</t>
        </is>
      </c>
      <c r="D96">
        <f>VLOOKUP(C96,Insumos!$A:$G,2,FALSE)</f>
        <v/>
      </c>
      <c r="E96" s="4" t="n">
        <v>80</v>
      </c>
      <c r="F96" t="inlineStr">
        <is>
          <t>g</t>
        </is>
      </c>
      <c r="G96">
        <f>E96*VLOOKUP(C96,Insumos!$A:$G,7,FALSE)</f>
        <v/>
      </c>
      <c r="H96" t="inlineStr"/>
    </row>
    <row r="97">
      <c r="A97" t="n">
        <v>5</v>
      </c>
      <c r="B97" t="inlineStr">
        <is>
          <t>80 g Chocolate amargo sin azúcar fundido con 15 g de aceite de coco desodorizado</t>
        </is>
      </c>
      <c r="C97" t="inlineStr">
        <is>
          <t>ACO</t>
        </is>
      </c>
      <c r="D97">
        <f>VLOOKUP(C97,Insumos!$A:$G,2,FALSE)</f>
        <v/>
      </c>
      <c r="E97" s="4" t="n">
        <v>15</v>
      </c>
      <c r="F97" t="inlineStr">
        <is>
          <t>ml</t>
        </is>
      </c>
      <c r="G97">
        <f>E97*VLOOKUP(C97,Insumos!$A:$G,7,FALSE)</f>
        <v/>
      </c>
      <c r="H97" t="inlineStr"/>
    </row>
    <row r="98">
      <c r="A98" t="n">
        <v>6</v>
      </c>
      <c r="B98" t="inlineStr">
        <is>
          <t>6 Huevos enteros L (300 g) a temperatura ambiente</t>
        </is>
      </c>
      <c r="C98" t="inlineStr">
        <is>
          <t>HUE</t>
        </is>
      </c>
      <c r="D98">
        <f>VLOOKUP(C98,Insumos!$A:$G,2,FALSE)</f>
        <v/>
      </c>
      <c r="E98" s="4" t="n">
        <v>300</v>
      </c>
      <c r="F98" t="inlineStr">
        <is>
          <t>g</t>
        </is>
      </c>
      <c r="G98">
        <f>E98*VLOOKUP(C98,Insumos!$A:$G,7,FALSE)</f>
        <v/>
      </c>
      <c r="H98" t="inlineStr"/>
    </row>
    <row r="99">
      <c r="A99" t="n">
        <v>6</v>
      </c>
      <c r="B99" t="inlineStr">
        <is>
          <t>150 g Alulosa pura cristalina</t>
        </is>
      </c>
      <c r="C99" t="inlineStr">
        <is>
          <t>ALU</t>
        </is>
      </c>
      <c r="D99">
        <f>VLOOKUP(C99,Insumos!$A:$G,2,FALSE)</f>
        <v/>
      </c>
      <c r="E99" s="4" t="n">
        <v>150</v>
      </c>
      <c r="F99" t="inlineStr">
        <is>
          <t>g</t>
        </is>
      </c>
      <c r="G99">
        <f>E99*VLOOKUP(C99,Insumos!$A:$G,7,FALSE)</f>
        <v/>
      </c>
      <c r="H99" t="inlineStr"/>
    </row>
    <row r="100">
      <c r="A100" t="n">
        <v>6</v>
      </c>
      <c r="B100" t="inlineStr">
        <is>
          <t>130 g Harina de almendra desgrasada tamizada fina</t>
        </is>
      </c>
      <c r="C100" t="inlineStr">
        <is>
          <t>HAL</t>
        </is>
      </c>
      <c r="D100">
        <f>VLOOKUP(C100,Insumos!$A:$G,2,FALSE)</f>
        <v/>
      </c>
      <c r="E100" s="4" t="n">
        <v>130</v>
      </c>
      <c r="F100" t="inlineStr">
        <is>
          <t>g</t>
        </is>
      </c>
      <c r="G100">
        <f>E100*VLOOKUP(C100,Insumos!$A:$G,7,FALSE)</f>
        <v/>
      </c>
      <c r="H100" t="inlineStr"/>
    </row>
    <row r="101">
      <c r="A101" t="n">
        <v>6</v>
      </c>
      <c r="B101" t="inlineStr">
        <is>
          <t>35 g Fibra de bambú insoluble (aporta capilaridad sin carbohidratos)</t>
        </is>
      </c>
      <c r="C101" t="inlineStr">
        <is>
          <t>FBA</t>
        </is>
      </c>
      <c r="D101">
        <f>VLOOKUP(C101,Insumos!$A:$G,2,FALSE)</f>
        <v/>
      </c>
      <c r="E101" s="4" t="n">
        <v>35</v>
      </c>
      <c r="F101" t="inlineStr">
        <is>
          <t>g</t>
        </is>
      </c>
      <c r="G101">
        <f>E101*VLOOKUP(C101,Insumos!$A:$G,7,FALSE)</f>
        <v/>
      </c>
      <c r="H101" t="inlineStr"/>
    </row>
    <row r="102">
      <c r="A102" t="n">
        <v>6</v>
      </c>
      <c r="B102" t="inlineStr">
        <is>
          <t>25 g Proteína aislada de suero de leche neutra (Whey Protein Isolate 90%, refuerzo estructural)</t>
        </is>
      </c>
      <c r="C102" t="inlineStr">
        <is>
          <t>WPI</t>
        </is>
      </c>
      <c r="D102">
        <f>VLOOKUP(C102,Insumos!$A:$G,2,FALSE)</f>
        <v/>
      </c>
      <c r="E102" s="4" t="n">
        <v>25</v>
      </c>
      <c r="F102" t="inlineStr">
        <is>
          <t>g</t>
        </is>
      </c>
      <c r="G102">
        <f>E102*VLOOKUP(C102,Insumos!$A:$G,7,FALSE)</f>
        <v/>
      </c>
      <c r="H102" t="inlineStr"/>
    </row>
    <row r="103">
      <c r="A103" t="n">
        <v>6</v>
      </c>
      <c r="B103" t="inlineStr">
        <is>
          <t>6 g Polvo para hornear doble acción</t>
        </is>
      </c>
      <c r="C103" t="inlineStr">
        <is>
          <t>PPH</t>
        </is>
      </c>
      <c r="D103">
        <f>VLOOKUP(C103,Insumos!$A:$G,2,FALSE)</f>
        <v/>
      </c>
      <c r="E103" s="4" t="n">
        <v>6</v>
      </c>
      <c r="F103" t="inlineStr">
        <is>
          <t>g</t>
        </is>
      </c>
      <c r="G103">
        <f>E103*VLOOKUP(C103,Insumos!$A:$G,7,FALSE)</f>
        <v/>
      </c>
      <c r="H103" t="inlineStr"/>
    </row>
    <row r="104">
      <c r="A104" t="n">
        <v>6</v>
      </c>
      <c r="B104" t="inlineStr">
        <is>
          <t>3 g Goma xantana grado alimenticio</t>
        </is>
      </c>
      <c r="C104" t="inlineStr">
        <is>
          <t>XAN</t>
        </is>
      </c>
      <c r="D104">
        <f>VLOOKUP(C104,Insumos!$A:$G,2,FALSE)</f>
        <v/>
      </c>
      <c r="E104" s="4" t="n">
        <v>3</v>
      </c>
      <c r="F104" t="inlineStr">
        <is>
          <t>g</t>
        </is>
      </c>
      <c r="G104">
        <f>E104*VLOOKUP(C104,Insumos!$A:$G,7,FALSE)</f>
        <v/>
      </c>
      <c r="H104" t="inlineStr"/>
    </row>
    <row r="105">
      <c r="A105" t="n">
        <v>6</v>
      </c>
      <c r="B105" t="inlineStr">
        <is>
          <t>10 ml Extracto puro natural de vainilla de Papantla</t>
        </is>
      </c>
      <c r="C105" t="inlineStr">
        <is>
          <t>VAE</t>
        </is>
      </c>
      <c r="D105">
        <f>VLOOKUP(C105,Insumos!$A:$G,2,FALSE)</f>
        <v/>
      </c>
      <c r="E105" s="4" t="n">
        <v>10</v>
      </c>
      <c r="F105" t="inlineStr">
        <is>
          <t>ml</t>
        </is>
      </c>
      <c r="G105">
        <f>E105*VLOOKUP(C105,Insumos!$A:$G,7,FALSE)</f>
        <v/>
      </c>
      <c r="H105" t="inlineStr"/>
    </row>
    <row r="106">
      <c r="A106" t="n">
        <v>6</v>
      </c>
      <c r="B106" t="inlineStr">
        <is>
          <t>2 g Sal marina fina</t>
        </is>
      </c>
      <c r="C106" t="inlineStr">
        <is>
          <t>SAL</t>
        </is>
      </c>
      <c r="D106">
        <f>VLOOKUP(C106,Insumos!$A:$G,2,FALSE)</f>
        <v/>
      </c>
      <c r="E106" s="4" t="n">
        <v>2</v>
      </c>
      <c r="F106" t="inlineStr">
        <is>
          <t>g</t>
        </is>
      </c>
      <c r="G106">
        <f>E106*VLOOKUP(C106,Insumos!$A:$G,7,FALSE)</f>
        <v/>
      </c>
      <c r="H106" t="inlineStr"/>
    </row>
    <row r="107">
      <c r="A107" t="n">
        <v>6</v>
      </c>
      <c r="B107" t="inlineStr">
        <is>
          <t>400 ml Leche evaporada sin azúcar (o reducción de leche de almendras entera)</t>
        </is>
      </c>
      <c r="C107" t="inlineStr">
        <is>
          <t>LEV2</t>
        </is>
      </c>
      <c r="D107">
        <f>VLOOKUP(C107,Insumos!$A:$G,2,FALSE)</f>
        <v/>
      </c>
      <c r="E107" s="4" t="n">
        <v>400</v>
      </c>
      <c r="F107" t="inlineStr">
        <is>
          <t>ml</t>
        </is>
      </c>
      <c r="G107">
        <f>E107*VLOOKUP(C107,Insumos!$A:$G,7,FALSE)</f>
        <v/>
      </c>
      <c r="H107" t="inlineStr"/>
    </row>
    <row r="108">
      <c r="A108" t="n">
        <v>6</v>
      </c>
      <c r="B108" t="inlineStr">
        <is>
          <t>350 ml Crema para batir pasteurizada de vaca (35 % materia grasa)</t>
        </is>
      </c>
      <c r="C108" t="inlineStr">
        <is>
          <t>CRE</t>
        </is>
      </c>
      <c r="D108">
        <f>VLOOKUP(C108,Insumos!$A:$G,2,FALSE)</f>
        <v/>
      </c>
      <c r="E108" s="4" t="n">
        <v>350</v>
      </c>
      <c r="F108" t="inlineStr">
        <is>
          <t>ml</t>
        </is>
      </c>
      <c r="G108">
        <f>E108*VLOOKUP(C108,Insumos!$A:$G,7,FALSE)</f>
        <v/>
      </c>
      <c r="H108" t="inlineStr"/>
    </row>
    <row r="109">
      <c r="A109" t="n">
        <v>6</v>
      </c>
      <c r="B109" t="inlineStr">
        <is>
          <t>250 g "Leche condensada" keto (leche evaporada cocida a fuego lento con 120 g de alulosa y 20 g de mantequilla hasta espesar)</t>
        </is>
      </c>
      <c r="C109" t="inlineStr">
        <is>
          <t>LEV2</t>
        </is>
      </c>
      <c r="D109">
        <f>VLOOKUP(C109,Insumos!$A:$G,2,FALSE)</f>
        <v/>
      </c>
      <c r="E109" s="4" t="n">
        <v>300</v>
      </c>
      <c r="F109" t="inlineStr">
        <is>
          <t>ml</t>
        </is>
      </c>
      <c r="G109">
        <f>E109*VLOOKUP(C109,Insumos!$A:$G,7,FALSE)</f>
        <v/>
      </c>
      <c r="H109" t="inlineStr">
        <is>
          <t>Leche condensada keto desglosada: leche evaporada estimada para reducir a 250 g</t>
        </is>
      </c>
    </row>
    <row r="110">
      <c r="A110" t="n">
        <v>6</v>
      </c>
      <c r="B110" t="inlineStr">
        <is>
          <t>250 g "Leche condensada" keto (leche evaporada cocida a fuego lento con 120 g de alulosa y 20 g de mantequilla hasta espesar)</t>
        </is>
      </c>
      <c r="C110" t="inlineStr">
        <is>
          <t>ALU</t>
        </is>
      </c>
      <c r="D110">
        <f>VLOOKUP(C110,Insumos!$A:$G,2,FALSE)</f>
        <v/>
      </c>
      <c r="E110" s="4" t="n">
        <v>120</v>
      </c>
      <c r="F110" t="inlineStr">
        <is>
          <t>g</t>
        </is>
      </c>
      <c r="G110">
        <f>E110*VLOOKUP(C110,Insumos!$A:$G,7,FALSE)</f>
        <v/>
      </c>
      <c r="H110" t="inlineStr">
        <is>
          <t>Ídem</t>
        </is>
      </c>
    </row>
    <row r="111">
      <c r="A111" t="n">
        <v>6</v>
      </c>
      <c r="B111" t="inlineStr">
        <is>
          <t>250 g "Leche condensada" keto (leche evaporada cocida a fuego lento con 120 g de alulosa y 20 g de mantequilla hasta espesar)</t>
        </is>
      </c>
      <c r="C111" t="inlineStr">
        <is>
          <t>MAN</t>
        </is>
      </c>
      <c r="D111">
        <f>VLOOKUP(C111,Insumos!$A:$G,2,FALSE)</f>
        <v/>
      </c>
      <c r="E111" s="4" t="n">
        <v>20</v>
      </c>
      <c r="F111" t="inlineStr">
        <is>
          <t>g</t>
        </is>
      </c>
      <c r="G111">
        <f>E111*VLOOKUP(C111,Insumos!$A:$G,7,FALSE)</f>
        <v/>
      </c>
      <c r="H111" t="inlineStr">
        <is>
          <t>Ídem</t>
        </is>
      </c>
    </row>
    <row r="112">
      <c r="A112" t="n">
        <v>6</v>
      </c>
      <c r="B112" t="inlineStr">
        <is>
          <t>15 ml Ron añejo destilado o extracto natural de ron (opcional, 0azúcar)</t>
        </is>
      </c>
      <c r="C112" t="inlineStr">
        <is>
          <t>LIC</t>
        </is>
      </c>
      <c r="D112">
        <f>VLOOKUP(C112,Insumos!$A:$G,2,FALSE)</f>
        <v/>
      </c>
      <c r="E112" s="4" t="n">
        <v>15</v>
      </c>
      <c r="F112" t="inlineStr">
        <is>
          <t>ml</t>
        </is>
      </c>
      <c r="G112">
        <f>E112*VLOOKUP(C112,Insumos!$A:$G,7,FALSE)</f>
        <v/>
      </c>
      <c r="H112" t="inlineStr"/>
    </row>
    <row r="113">
      <c r="A113" t="n">
        <v>6</v>
      </c>
      <c r="B113" t="inlineStr">
        <is>
          <t>5 ml Extracto concentrado de vainilla</t>
        </is>
      </c>
      <c r="C113" t="inlineStr">
        <is>
          <t>VAE</t>
        </is>
      </c>
      <c r="D113">
        <f>VLOOKUP(C113,Insumos!$A:$G,2,FALSE)</f>
        <v/>
      </c>
      <c r="E113" s="4" t="n">
        <v>5</v>
      </c>
      <c r="F113" t="inlineStr">
        <is>
          <t>ml</t>
        </is>
      </c>
      <c r="G113">
        <f>E113*VLOOKUP(C113,Insumos!$A:$G,7,FALSE)</f>
        <v/>
      </c>
      <c r="H113" t="inlineStr"/>
    </row>
    <row r="114">
      <c r="A114" t="n">
        <v>6</v>
      </c>
      <c r="B114" t="inlineStr">
        <is>
          <t>4 Claras de huevo fresco (140 g)</t>
        </is>
      </c>
      <c r="C114" t="inlineStr">
        <is>
          <t>CLA</t>
        </is>
      </c>
      <c r="D114">
        <f>VLOOKUP(C114,Insumos!$A:$G,2,FALSE)</f>
        <v/>
      </c>
      <c r="E114" s="4" t="n">
        <v>140</v>
      </c>
      <c r="F114" t="inlineStr">
        <is>
          <t>g</t>
        </is>
      </c>
      <c r="G114">
        <f>E114*VLOOKUP(C114,Insumos!$A:$G,7,FALSE)</f>
        <v/>
      </c>
      <c r="H114" t="inlineStr"/>
    </row>
    <row r="115">
      <c r="A115" t="n">
        <v>6</v>
      </c>
      <c r="B115" t="inlineStr">
        <is>
          <t>160 g Alulosa pura cristalina</t>
        </is>
      </c>
      <c r="C115" t="inlineStr">
        <is>
          <t>ALU</t>
        </is>
      </c>
      <c r="D115">
        <f>VLOOKUP(C115,Insumos!$A:$G,2,FALSE)</f>
        <v/>
      </c>
      <c r="E115" s="4" t="n">
        <v>160</v>
      </c>
      <c r="F115" t="inlineStr">
        <is>
          <t>g</t>
        </is>
      </c>
      <c r="G115">
        <f>E115*VLOOKUP(C115,Insumos!$A:$G,7,FALSE)</f>
        <v/>
      </c>
      <c r="H115" t="inlineStr"/>
    </row>
    <row r="116">
      <c r="A116" t="n">
        <v>6</v>
      </c>
      <c r="B116" t="inlineStr">
        <is>
          <t>40 g Eritritol pulverizado (para rigidizar la corona de merengue)</t>
        </is>
      </c>
      <c r="C116" t="inlineStr">
        <is>
          <t>ERP</t>
        </is>
      </c>
      <c r="D116">
        <f>VLOOKUP(C116,Insumos!$A:$G,2,FALSE)</f>
        <v/>
      </c>
      <c r="E116" s="4" t="n">
        <v>40</v>
      </c>
      <c r="F116" t="inlineStr">
        <is>
          <t>g</t>
        </is>
      </c>
      <c r="G116">
        <f>E116*VLOOKUP(C116,Insumos!$A:$G,7,FALSE)</f>
        <v/>
      </c>
      <c r="H116" t="inlineStr"/>
    </row>
    <row r="117">
      <c r="A117" t="n">
        <v>6</v>
      </c>
      <c r="B117" t="inlineStr">
        <is>
          <t>2 g Cremor tártaro</t>
        </is>
      </c>
      <c r="C117" t="inlineStr">
        <is>
          <t>CRT</t>
        </is>
      </c>
      <c r="D117">
        <f>VLOOKUP(C117,Insumos!$A:$G,2,FALSE)</f>
        <v/>
      </c>
      <c r="E117" s="4" t="n">
        <v>2</v>
      </c>
      <c r="F117" t="inlineStr">
        <is>
          <t>g</t>
        </is>
      </c>
      <c r="G117">
        <f>E117*VLOOKUP(C117,Insumos!$A:$G,7,FALSE)</f>
        <v/>
      </c>
      <c r="H117" t="inlineStr"/>
    </row>
    <row r="118">
      <c r="A118" t="n">
        <v>6</v>
      </c>
      <c r="B118" t="inlineStr">
        <is>
          <t>Canela de Ceilán en polvo para espolvorear la superficie</t>
        </is>
      </c>
      <c r="C118" t="inlineStr">
        <is>
          <t>CAP</t>
        </is>
      </c>
      <c r="D118">
        <f>VLOOKUP(C118,Insumos!$A:$G,2,FALSE)</f>
        <v/>
      </c>
      <c r="E118" s="4" t="n">
        <v>1</v>
      </c>
      <c r="F118" t="inlineStr">
        <is>
          <t>g</t>
        </is>
      </c>
      <c r="G118">
        <f>E118*VLOOKUP(C118,Insumos!$A:$G,7,FALSE)</f>
        <v/>
      </c>
      <c r="H118" t="inlineStr">
        <is>
          <t>Cantidad estimada (al gusto en el original)</t>
        </is>
      </c>
    </row>
    <row r="119">
      <c r="A119" t="n">
        <v>7</v>
      </c>
      <c r="B119" t="inlineStr">
        <is>
          <t>4 Claras de huevo L (140 g)</t>
        </is>
      </c>
      <c r="C119" t="inlineStr">
        <is>
          <t>CLA</t>
        </is>
      </c>
      <c r="D119">
        <f>VLOOKUP(C119,Insumos!$A:$G,2,FALSE)</f>
        <v/>
      </c>
      <c r="E119" s="4" t="n">
        <v>140</v>
      </c>
      <c r="F119" t="inlineStr">
        <is>
          <t>g</t>
        </is>
      </c>
      <c r="G119">
        <f>E119*VLOOKUP(C119,Insumos!$A:$G,7,FALSE)</f>
        <v/>
      </c>
      <c r="H119" t="inlineStr"/>
    </row>
    <row r="120">
      <c r="A120" t="n">
        <v>7</v>
      </c>
      <c r="B120" t="inlineStr">
        <is>
          <t>4 Yemas de huevo L (80 g)</t>
        </is>
      </c>
      <c r="C120" t="inlineStr">
        <is>
          <t>YEM</t>
        </is>
      </c>
      <c r="D120">
        <f>VLOOKUP(C120,Insumos!$A:$G,2,FALSE)</f>
        <v/>
      </c>
      <c r="E120" s="4" t="n">
        <v>80</v>
      </c>
      <c r="F120" t="inlineStr">
        <is>
          <t>g</t>
        </is>
      </c>
      <c r="G120">
        <f>E120*VLOOKUP(C120,Insumos!$A:$G,7,FALSE)</f>
        <v/>
      </c>
      <c r="H120" t="inlineStr"/>
    </row>
    <row r="121">
      <c r="A121" t="n">
        <v>7</v>
      </c>
      <c r="B121" t="inlineStr">
        <is>
          <t>80 g Alulosa pura cristalina</t>
        </is>
      </c>
      <c r="C121" t="inlineStr">
        <is>
          <t>ALU</t>
        </is>
      </c>
      <c r="D121">
        <f>VLOOKUP(C121,Insumos!$A:$G,2,FALSE)</f>
        <v/>
      </c>
      <c r="E121" s="4" t="n">
        <v>80</v>
      </c>
      <c r="F121" t="inlineStr">
        <is>
          <t>g</t>
        </is>
      </c>
      <c r="G121">
        <f>E121*VLOOKUP(C121,Insumos!$A:$G,7,FALSE)</f>
        <v/>
      </c>
      <c r="H121" t="inlineStr"/>
    </row>
    <row r="122">
      <c r="A122" t="n">
        <v>7</v>
      </c>
      <c r="B122" t="inlineStr">
        <is>
          <t>30 g Eritritol granulado</t>
        </is>
      </c>
      <c r="C122" t="inlineStr">
        <is>
          <t>ERG</t>
        </is>
      </c>
      <c r="D122">
        <f>VLOOKUP(C122,Insumos!$A:$G,2,FALSE)</f>
        <v/>
      </c>
      <c r="E122" s="4" t="n">
        <v>30</v>
      </c>
      <c r="F122" t="inlineStr">
        <is>
          <t>g</t>
        </is>
      </c>
      <c r="G122">
        <f>E122*VLOOKUP(C122,Insumos!$A:$G,7,FALSE)</f>
        <v/>
      </c>
      <c r="H122" t="inlineStr"/>
    </row>
    <row r="123">
      <c r="A123" t="n">
        <v>7</v>
      </c>
      <c r="B123" t="inlineStr">
        <is>
          <t>110 g Harina de almendra ultrafina tamizada</t>
        </is>
      </c>
      <c r="C123" t="inlineStr">
        <is>
          <t>HAL</t>
        </is>
      </c>
      <c r="D123">
        <f>VLOOKUP(C123,Insumos!$A:$G,2,FALSE)</f>
        <v/>
      </c>
      <c r="E123" s="4" t="n">
        <v>110</v>
      </c>
      <c r="F123" t="inlineStr">
        <is>
          <t>g</t>
        </is>
      </c>
      <c r="G123">
        <f>E123*VLOOKUP(C123,Insumos!$A:$G,7,FALSE)</f>
        <v/>
      </c>
      <c r="H123" t="inlineStr"/>
    </row>
    <row r="124">
      <c r="A124" t="n">
        <v>7</v>
      </c>
      <c r="B124" t="inlineStr">
        <is>
          <t>20 g Fibra de bambú o almidón resistente RS4</t>
        </is>
      </c>
      <c r="C124" t="inlineStr">
        <is>
          <t>FBA</t>
        </is>
      </c>
      <c r="D124">
        <f>VLOOKUP(C124,Insumos!$A:$G,2,FALSE)</f>
        <v/>
      </c>
      <c r="E124" s="4" t="n">
        <v>20</v>
      </c>
      <c r="F124" t="inlineStr">
        <is>
          <t>g</t>
        </is>
      </c>
      <c r="G124">
        <f>E124*VLOOKUP(C124,Insumos!$A:$G,7,FALSE)</f>
        <v/>
      </c>
      <c r="H124" t="inlineStr"/>
    </row>
    <row r="125">
      <c r="A125" t="n">
        <v>7</v>
      </c>
      <c r="B125" t="inlineStr">
        <is>
          <t>2 g Goma xantana</t>
        </is>
      </c>
      <c r="C125" t="inlineStr">
        <is>
          <t>XAN</t>
        </is>
      </c>
      <c r="D125">
        <f>VLOOKUP(C125,Insumos!$A:$G,2,FALSE)</f>
        <v/>
      </c>
      <c r="E125" s="4" t="n">
        <v>2</v>
      </c>
      <c r="F125" t="inlineStr">
        <is>
          <t>g</t>
        </is>
      </c>
      <c r="G125">
        <f>E125*VLOOKUP(C125,Insumos!$A:$G,7,FALSE)</f>
        <v/>
      </c>
      <c r="H125" t="inlineStr"/>
    </row>
    <row r="126">
      <c r="A126" t="n">
        <v>7</v>
      </c>
      <c r="B126" t="inlineStr">
        <is>
          <t>20 g Eritritol pulverizado (para espolvorear antes de hornear)</t>
        </is>
      </c>
      <c r="C126" t="inlineStr">
        <is>
          <t>ERP</t>
        </is>
      </c>
      <c r="D126">
        <f>VLOOKUP(C126,Insumos!$A:$G,2,FALSE)</f>
        <v/>
      </c>
      <c r="E126" s="4" t="n">
        <v>20</v>
      </c>
      <c r="F126" t="inlineStr">
        <is>
          <t>g</t>
        </is>
      </c>
      <c r="G126">
        <f>E126*VLOOKUP(C126,Insumos!$A:$G,7,FALSE)</f>
        <v/>
      </c>
      <c r="H126" t="inlineStr"/>
    </row>
    <row r="127">
      <c r="A127" t="n">
        <v>7</v>
      </c>
      <c r="B127" t="inlineStr">
        <is>
          <t>250 ml Café espresso intenso recién extraído caliente</t>
        </is>
      </c>
      <c r="C127" t="inlineStr">
        <is>
          <t>CAF</t>
        </is>
      </c>
      <c r="D127">
        <f>VLOOKUP(C127,Insumos!$A:$G,2,FALSE)</f>
        <v/>
      </c>
      <c r="E127" s="4" t="n">
        <v>250</v>
      </c>
      <c r="F127" t="inlineStr">
        <is>
          <t>ml</t>
        </is>
      </c>
      <c r="G127">
        <f>E127*VLOOKUP(C127,Insumos!$A:$G,7,FALSE)</f>
        <v/>
      </c>
      <c r="H127" t="inlineStr"/>
    </row>
    <row r="128">
      <c r="A128" t="n">
        <v>7</v>
      </c>
      <c r="B128" t="inlineStr">
        <is>
          <t>60 g Alulosa pura cristalina</t>
        </is>
      </c>
      <c r="C128" t="inlineStr">
        <is>
          <t>ALU</t>
        </is>
      </c>
      <c r="D128">
        <f>VLOOKUP(C128,Insumos!$A:$G,2,FALSE)</f>
        <v/>
      </c>
      <c r="E128" s="4" t="n">
        <v>60</v>
      </c>
      <c r="F128" t="inlineStr">
        <is>
          <t>g</t>
        </is>
      </c>
      <c r="G128">
        <f>E128*VLOOKUP(C128,Insumos!$A:$G,7,FALSE)</f>
        <v/>
      </c>
      <c r="H128" t="inlineStr"/>
    </row>
    <row r="129">
      <c r="A129" t="n">
        <v>7</v>
      </c>
      <c r="B129" t="inlineStr">
        <is>
          <t>25 ml Extracto natural sin alcohol de vino Marsala (o 25 ml de brandy añejo destilado)</t>
        </is>
      </c>
      <c r="C129" t="inlineStr">
        <is>
          <t>EXT</t>
        </is>
      </c>
      <c r="D129">
        <f>VLOOKUP(C129,Insumos!$A:$G,2,FALSE)</f>
        <v/>
      </c>
      <c r="E129" s="4" t="n">
        <v>25</v>
      </c>
      <c r="F129" t="inlineStr">
        <is>
          <t>ml</t>
        </is>
      </c>
      <c r="G129">
        <f>E129*VLOOKUP(C129,Insumos!$A:$G,7,FALSE)</f>
        <v/>
      </c>
      <c r="H129" t="inlineStr"/>
    </row>
    <row r="130">
      <c r="A130" t="n">
        <v>7</v>
      </c>
      <c r="B130" t="inlineStr">
        <is>
          <t>450 g Queso Mascarpone italiano auténtico (42 % grasa butírica, frío a 6 °C)</t>
        </is>
      </c>
      <c r="C130" t="inlineStr">
        <is>
          <t>MAS</t>
        </is>
      </c>
      <c r="D130">
        <f>VLOOKUP(C130,Insumos!$A:$G,2,FALSE)</f>
        <v/>
      </c>
      <c r="E130" s="4" t="n">
        <v>450</v>
      </c>
      <c r="F130" t="inlineStr">
        <is>
          <t>g</t>
        </is>
      </c>
      <c r="G130">
        <f>E130*VLOOKUP(C130,Insumos!$A:$G,7,FALSE)</f>
        <v/>
      </c>
      <c r="H130" t="inlineStr"/>
    </row>
    <row r="131">
      <c r="A131" t="n">
        <v>7</v>
      </c>
      <c r="B131" t="inlineStr">
        <is>
          <t>4 Yemas de huevo fresco (80 g)</t>
        </is>
      </c>
      <c r="C131" t="inlineStr">
        <is>
          <t>YEM</t>
        </is>
      </c>
      <c r="D131">
        <f>VLOOKUP(C131,Insumos!$A:$G,2,FALSE)</f>
        <v/>
      </c>
      <c r="E131" s="4" t="n">
        <v>80</v>
      </c>
      <c r="F131" t="inlineStr">
        <is>
          <t>g</t>
        </is>
      </c>
      <c r="G131">
        <f>E131*VLOOKUP(C131,Insumos!$A:$G,7,FALSE)</f>
        <v/>
      </c>
      <c r="H131" t="inlineStr"/>
    </row>
    <row r="132">
      <c r="A132" t="n">
        <v>7</v>
      </c>
      <c r="B132" t="inlineStr">
        <is>
          <t>110 g Alulosa pura cristalina</t>
        </is>
      </c>
      <c r="C132" t="inlineStr">
        <is>
          <t>ALU</t>
        </is>
      </c>
      <c r="D132">
        <f>VLOOKUP(C132,Insumos!$A:$G,2,FALSE)</f>
        <v/>
      </c>
      <c r="E132" s="4" t="n">
        <v>110</v>
      </c>
      <c r="F132" t="inlineStr">
        <is>
          <t>g</t>
        </is>
      </c>
      <c r="G132">
        <f>E132*VLOOKUP(C132,Insumos!$A:$G,7,FALSE)</f>
        <v/>
      </c>
      <c r="H132" t="inlineStr"/>
    </row>
    <row r="133">
      <c r="A133" t="n">
        <v>7</v>
      </c>
      <c r="B133" t="inlineStr">
        <is>
          <t>200 ml Crema para batir de vaca (35 % MG) montada a picos suaves</t>
        </is>
      </c>
      <c r="C133" t="inlineStr">
        <is>
          <t>CRE</t>
        </is>
      </c>
      <c r="D133">
        <f>VLOOKUP(C133,Insumos!$A:$G,2,FALSE)</f>
        <v/>
      </c>
      <c r="E133" s="4" t="n">
        <v>200</v>
      </c>
      <c r="F133" t="inlineStr">
        <is>
          <t>ml</t>
        </is>
      </c>
      <c r="G133">
        <f>E133*VLOOKUP(C133,Insumos!$A:$G,7,FALSE)</f>
        <v/>
      </c>
      <c r="H133" t="inlineStr"/>
    </row>
    <row r="134">
      <c r="A134" t="n">
        <v>7</v>
      </c>
      <c r="B134" t="inlineStr">
        <is>
          <t>10 ml Extracto puro natural de vainilla</t>
        </is>
      </c>
      <c r="C134" t="inlineStr">
        <is>
          <t>VAE</t>
        </is>
      </c>
      <c r="D134">
        <f>VLOOKUP(C134,Insumos!$A:$G,2,FALSE)</f>
        <v/>
      </c>
      <c r="E134" s="4" t="n">
        <v>10</v>
      </c>
      <c r="F134" t="inlineStr">
        <is>
          <t>ml</t>
        </is>
      </c>
      <c r="G134">
        <f>E134*VLOOKUP(C134,Insumos!$A:$G,7,FALSE)</f>
        <v/>
      </c>
      <c r="H134" t="inlineStr"/>
    </row>
    <row r="135">
      <c r="A135" t="n">
        <v>7</v>
      </c>
      <c r="B135" t="inlineStr">
        <is>
          <t>25 g Cacao puro alcalinizado en polvo (22% - 24% MG) sin azúcar</t>
        </is>
      </c>
      <c r="C135" t="inlineStr">
        <is>
          <t>CAA</t>
        </is>
      </c>
      <c r="D135">
        <f>VLOOKUP(C135,Insumos!$A:$G,2,FALSE)</f>
        <v/>
      </c>
      <c r="E135" s="4" t="n">
        <v>25</v>
      </c>
      <c r="F135" t="inlineStr">
        <is>
          <t>g</t>
        </is>
      </c>
      <c r="G135">
        <f>E135*VLOOKUP(C135,Insumos!$A:$G,7,FALSE)</f>
        <v/>
      </c>
      <c r="H135" t="inlineStr"/>
    </row>
    <row r="136">
      <c r="A136" t="n">
        <v>8</v>
      </c>
      <c r="B136" t="inlineStr">
        <is>
          <t>240 g Harina de almendra fina sin piel</t>
        </is>
      </c>
      <c r="C136" t="inlineStr">
        <is>
          <t>HAL</t>
        </is>
      </c>
      <c r="D136">
        <f>VLOOKUP(C136,Insumos!$A:$G,2,FALSE)</f>
        <v/>
      </c>
      <c r="E136" s="4" t="n">
        <v>240</v>
      </c>
      <c r="F136" t="inlineStr">
        <is>
          <t>g</t>
        </is>
      </c>
      <c r="G136">
        <f>E136*VLOOKUP(C136,Insumos!$A:$G,7,FALSE)</f>
        <v/>
      </c>
      <c r="H136" t="inlineStr"/>
    </row>
    <row r="137">
      <c r="A137" t="n">
        <v>8</v>
      </c>
      <c r="B137" t="inlineStr">
        <is>
          <t>35 g Harina de coco desgrasada</t>
        </is>
      </c>
      <c r="C137" t="inlineStr">
        <is>
          <t>HCO</t>
        </is>
      </c>
      <c r="D137">
        <f>VLOOKUP(C137,Insumos!$A:$G,2,FALSE)</f>
        <v/>
      </c>
      <c r="E137" s="4" t="n">
        <v>35</v>
      </c>
      <c r="F137" t="inlineStr">
        <is>
          <t>g</t>
        </is>
      </c>
      <c r="G137">
        <f>E137*VLOOKUP(C137,Insumos!$A:$G,7,FALSE)</f>
        <v/>
      </c>
      <c r="H137" t="inlineStr"/>
    </row>
    <row r="138">
      <c r="A138" t="n">
        <v>8</v>
      </c>
      <c r="B138" t="inlineStr">
        <is>
          <t>45 g Cacao puro en polvo desgrasado</t>
        </is>
      </c>
      <c r="C138" t="inlineStr">
        <is>
          <t>CAN</t>
        </is>
      </c>
      <c r="D138">
        <f>VLOOKUP(C138,Insumos!$A:$G,2,FALSE)</f>
        <v/>
      </c>
      <c r="E138" s="4" t="n">
        <v>45</v>
      </c>
      <c r="F138" t="inlineStr">
        <is>
          <t>g</t>
        </is>
      </c>
      <c r="G138">
        <f>E138*VLOOKUP(C138,Insumos!$A:$G,7,FALSE)</f>
        <v/>
      </c>
      <c r="H138" t="inlineStr"/>
    </row>
    <row r="139">
      <c r="A139" t="n">
        <v>8</v>
      </c>
      <c r="B139" t="inlineStr">
        <is>
          <t>200 g Alulosa pura cristalina</t>
        </is>
      </c>
      <c r="C139" t="inlineStr">
        <is>
          <t>ALU</t>
        </is>
      </c>
      <c r="D139">
        <f>VLOOKUP(C139,Insumos!$A:$G,2,FALSE)</f>
        <v/>
      </c>
      <c r="E139" s="4" t="n">
        <v>200</v>
      </c>
      <c r="F139" t="inlineStr">
        <is>
          <t>g</t>
        </is>
      </c>
      <c r="G139">
        <f>E139*VLOOKUP(C139,Insumos!$A:$G,7,FALSE)</f>
        <v/>
      </c>
      <c r="H139" t="inlineStr"/>
    </row>
    <row r="140">
      <c r="A140" t="n">
        <v>8</v>
      </c>
      <c r="B140" t="inlineStr">
        <is>
          <t>60 g Eritritol granulado</t>
        </is>
      </c>
      <c r="C140" t="inlineStr">
        <is>
          <t>ERG</t>
        </is>
      </c>
      <c r="D140">
        <f>VLOOKUP(C140,Insumos!$A:$G,2,FALSE)</f>
        <v/>
      </c>
      <c r="E140" s="4" t="n">
        <v>60</v>
      </c>
      <c r="F140" t="inlineStr">
        <is>
          <t>g</t>
        </is>
      </c>
      <c r="G140">
        <f>E140*VLOOKUP(C140,Insumos!$A:$G,7,FALSE)</f>
        <v/>
      </c>
      <c r="H140" t="inlineStr"/>
    </row>
    <row r="141">
      <c r="A141" t="n">
        <v>8</v>
      </c>
      <c r="B141" t="inlineStr">
        <is>
          <t>5 Huevos enteros L (250 g)</t>
        </is>
      </c>
      <c r="C141" t="inlineStr">
        <is>
          <t>HUE</t>
        </is>
      </c>
      <c r="D141">
        <f>VLOOKUP(C141,Insumos!$A:$G,2,FALSE)</f>
        <v/>
      </c>
      <c r="E141" s="4" t="n">
        <v>250</v>
      </c>
      <c r="F141" t="inlineStr">
        <is>
          <t>g</t>
        </is>
      </c>
      <c r="G141">
        <f>E141*VLOOKUP(C141,Insumos!$A:$G,7,FALSE)</f>
        <v/>
      </c>
      <c r="H141" t="inlineStr"/>
    </row>
    <row r="142">
      <c r="A142" t="n">
        <v>8</v>
      </c>
      <c r="B142" t="inlineStr">
        <is>
          <t>120 g Mantequilla sin sal derretida tibia (40 °C)</t>
        </is>
      </c>
      <c r="C142" t="inlineStr">
        <is>
          <t>MAN</t>
        </is>
      </c>
      <c r="D142">
        <f>VLOOKUP(C142,Insumos!$A:$G,2,FALSE)</f>
        <v/>
      </c>
      <c r="E142" s="4" t="n">
        <v>120</v>
      </c>
      <c r="F142" t="inlineStr">
        <is>
          <t>g</t>
        </is>
      </c>
      <c r="G142">
        <f>E142*VLOOKUP(C142,Insumos!$A:$G,7,FALSE)</f>
        <v/>
      </c>
      <c r="H142" t="inlineStr"/>
    </row>
    <row r="143">
      <c r="A143" t="n">
        <v>8</v>
      </c>
      <c r="B143" t="inlineStr">
        <is>
          <t>120 ml Leche de almendras sin azúcar</t>
        </is>
      </c>
      <c r="C143" t="inlineStr">
        <is>
          <t>LAL</t>
        </is>
      </c>
      <c r="D143">
        <f>VLOOKUP(C143,Insumos!$A:$G,2,FALSE)</f>
        <v/>
      </c>
      <c r="E143" s="4" t="n">
        <v>120</v>
      </c>
      <c r="F143" t="inlineStr">
        <is>
          <t>ml</t>
        </is>
      </c>
      <c r="G143">
        <f>E143*VLOOKUP(C143,Insumos!$A:$G,7,FALSE)</f>
        <v/>
      </c>
      <c r="H143" t="inlineStr"/>
    </row>
    <row r="144">
      <c r="A144" t="n">
        <v>8</v>
      </c>
      <c r="B144" t="inlineStr">
        <is>
          <t>8 g Polvo para hornear doble acción</t>
        </is>
      </c>
      <c r="C144" t="inlineStr">
        <is>
          <t>PPH</t>
        </is>
      </c>
      <c r="D144">
        <f>VLOOKUP(C144,Insumos!$A:$G,2,FALSE)</f>
        <v/>
      </c>
      <c r="E144" s="4" t="n">
        <v>8</v>
      </c>
      <c r="F144" t="inlineStr">
        <is>
          <t>g</t>
        </is>
      </c>
      <c r="G144">
        <f>E144*VLOOKUP(C144,Insumos!$A:$G,7,FALSE)</f>
        <v/>
      </c>
      <c r="H144" t="inlineStr"/>
    </row>
    <row r="145">
      <c r="A145" t="n">
        <v>8</v>
      </c>
      <c r="B145" t="inlineStr">
        <is>
          <t>4 g Goma xantana</t>
        </is>
      </c>
      <c r="C145" t="inlineStr">
        <is>
          <t>XAN</t>
        </is>
      </c>
      <c r="D145">
        <f>VLOOKUP(C145,Insumos!$A:$G,2,FALSE)</f>
        <v/>
      </c>
      <c r="E145" s="4" t="n">
        <v>4</v>
      </c>
      <c r="F145" t="inlineStr">
        <is>
          <t>g</t>
        </is>
      </c>
      <c r="G145">
        <f>E145*VLOOKUP(C145,Insumos!$A:$G,7,FALSE)</f>
        <v/>
      </c>
      <c r="H145" t="inlineStr"/>
    </row>
    <row r="146">
      <c r="A146" t="n">
        <v>8</v>
      </c>
      <c r="B146" t="inlineStr">
        <is>
          <t>10 ml Extracto puro natural de vainilla</t>
        </is>
      </c>
      <c r="C146" t="inlineStr">
        <is>
          <t>VAE</t>
        </is>
      </c>
      <c r="D146">
        <f>VLOOKUP(C146,Insumos!$A:$G,2,FALSE)</f>
        <v/>
      </c>
      <c r="E146" s="4" t="n">
        <v>10</v>
      </c>
      <c r="F146" t="inlineStr">
        <is>
          <t>ml</t>
        </is>
      </c>
      <c r="G146">
        <f>E146*VLOOKUP(C146,Insumos!$A:$G,7,FALSE)</f>
        <v/>
      </c>
      <c r="H146" t="inlineStr"/>
    </row>
    <row r="147">
      <c r="A147" t="n">
        <v>8</v>
      </c>
      <c r="B147" t="inlineStr">
        <is>
          <t>2.5 g Sal marina fina</t>
        </is>
      </c>
      <c r="C147" t="inlineStr">
        <is>
          <t>SAL</t>
        </is>
      </c>
      <c r="D147">
        <f>VLOOKUP(C147,Insumos!$A:$G,2,FALSE)</f>
        <v/>
      </c>
      <c r="E147" s="4" t="n">
        <v>2.5</v>
      </c>
      <c r="F147" t="inlineStr">
        <is>
          <t>g</t>
        </is>
      </c>
      <c r="G147">
        <f>E147*VLOOKUP(C147,Insumos!$A:$G,7,FALSE)</f>
        <v/>
      </c>
      <c r="H147" t="inlineStr"/>
    </row>
    <row r="148">
      <c r="A148" t="n">
        <v>8</v>
      </c>
      <c r="B148" t="inlineStr">
        <is>
          <t>180 g Alulosa pura cristalina (o jarabe espeso de alulosa al 75 Brix)</t>
        </is>
      </c>
      <c r="C148" t="inlineStr">
        <is>
          <t>ALU</t>
        </is>
      </c>
      <c r="D148">
        <f>VLOOKUP(C148,Insumos!$A:$G,2,FALSE)</f>
        <v/>
      </c>
      <c r="E148" s="4" t="n">
        <v>180</v>
      </c>
      <c r="F148" t="inlineStr">
        <is>
          <t>g</t>
        </is>
      </c>
      <c r="G148">
        <f>E148*VLOOKUP(C148,Insumos!$A:$G,7,FALSE)</f>
        <v/>
      </c>
      <c r="H148" t="inlineStr"/>
    </row>
    <row r="149">
      <c r="A149" t="n">
        <v>8</v>
      </c>
      <c r="B149" t="inlineStr">
        <is>
          <t>100 g Mantequilla de vaca sin sal (82 % MG)</t>
        </is>
      </c>
      <c r="C149" t="inlineStr">
        <is>
          <t>MAN</t>
        </is>
      </c>
      <c r="D149">
        <f>VLOOKUP(C149,Insumos!$A:$G,2,FALSE)</f>
        <v/>
      </c>
      <c r="E149" s="4" t="n">
        <v>100</v>
      </c>
      <c r="F149" t="inlineStr">
        <is>
          <t>g</t>
        </is>
      </c>
      <c r="G149">
        <f>E149*VLOOKUP(C149,Insumos!$A:$G,7,FALSE)</f>
        <v/>
      </c>
      <c r="H149" t="inlineStr"/>
    </row>
    <row r="150">
      <c r="A150" t="n">
        <v>8</v>
      </c>
      <c r="B150" t="inlineStr">
        <is>
          <t>200 ml Crema para batir pasteurizada de vaca (35 % MG)</t>
        </is>
      </c>
      <c r="C150" t="inlineStr">
        <is>
          <t>CRE</t>
        </is>
      </c>
      <c r="D150">
        <f>VLOOKUP(C150,Insumos!$A:$G,2,FALSE)</f>
        <v/>
      </c>
      <c r="E150" s="4" t="n">
        <v>200</v>
      </c>
      <c r="F150" t="inlineStr">
        <is>
          <t>ml</t>
        </is>
      </c>
      <c r="G150">
        <f>E150*VLOOKUP(C150,Insumos!$A:$G,7,FALSE)</f>
        <v/>
      </c>
      <c r="H150" t="inlineStr"/>
    </row>
    <row r="151">
      <c r="A151" t="n">
        <v>8</v>
      </c>
      <c r="B151" t="inlineStr">
        <is>
          <t>4 Yemas de huevo fresco (80 g)</t>
        </is>
      </c>
      <c r="C151" t="inlineStr">
        <is>
          <t>YEM</t>
        </is>
      </c>
      <c r="D151">
        <f>VLOOKUP(C151,Insumos!$A:$G,2,FALSE)</f>
        <v/>
      </c>
      <c r="E151" s="4" t="n">
        <v>80</v>
      </c>
      <c r="F151" t="inlineStr">
        <is>
          <t>g</t>
        </is>
      </c>
      <c r="G151">
        <f>E151*VLOOKUP(C151,Insumos!$A:$G,7,FALSE)</f>
        <v/>
      </c>
      <c r="H151" t="inlineStr"/>
    </row>
    <row r="152">
      <c r="A152" t="n">
        <v>8</v>
      </c>
      <c r="B152" t="inlineStr">
        <is>
          <t>150 g Coco seco rallado fino natural sin azúcar añadido</t>
        </is>
      </c>
      <c r="C152" t="inlineStr">
        <is>
          <t>COC</t>
        </is>
      </c>
      <c r="D152">
        <f>VLOOKUP(C152,Insumos!$A:$G,2,FALSE)</f>
        <v/>
      </c>
      <c r="E152" s="4" t="n">
        <v>150</v>
      </c>
      <c r="F152" t="inlineStr">
        <is>
          <t>g</t>
        </is>
      </c>
      <c r="G152">
        <f>E152*VLOOKUP(C152,Insumos!$A:$G,7,FALSE)</f>
        <v/>
      </c>
      <c r="H152" t="inlineStr"/>
    </row>
    <row r="153">
      <c r="A153" t="n">
        <v>8</v>
      </c>
      <c r="B153" t="inlineStr">
        <is>
          <t>150 g Nueces pecanas tostadas troceadas en cuartos</t>
        </is>
      </c>
      <c r="C153" t="inlineStr">
        <is>
          <t>NPE</t>
        </is>
      </c>
      <c r="D153">
        <f>VLOOKUP(C153,Insumos!$A:$G,2,FALSE)</f>
        <v/>
      </c>
      <c r="E153" s="4" t="n">
        <v>150</v>
      </c>
      <c r="F153" t="inlineStr">
        <is>
          <t>g</t>
        </is>
      </c>
      <c r="G153">
        <f>E153*VLOOKUP(C153,Insumos!$A:$G,7,FALSE)</f>
        <v/>
      </c>
      <c r="H153" t="inlineStr"/>
    </row>
    <row r="154">
      <c r="A154" t="n">
        <v>8</v>
      </c>
      <c r="B154" t="inlineStr">
        <is>
          <t>10 ml Extracto natural de vainilla Bourbon</t>
        </is>
      </c>
      <c r="C154" t="inlineStr">
        <is>
          <t>VAE</t>
        </is>
      </c>
      <c r="D154">
        <f>VLOOKUP(C154,Insumos!$A:$G,2,FALSE)</f>
        <v/>
      </c>
      <c r="E154" s="4" t="n">
        <v>10</v>
      </c>
      <c r="F154" t="inlineStr">
        <is>
          <t>ml</t>
        </is>
      </c>
      <c r="G154">
        <f>E154*VLOOKUP(C154,Insumos!$A:$G,7,FALSE)</f>
        <v/>
      </c>
      <c r="H154" t="inlineStr"/>
    </row>
    <row r="155">
      <c r="A155" t="n">
        <v>8</v>
      </c>
      <c r="B155" t="inlineStr">
        <is>
          <t>2 g Sal de mar en flor</t>
        </is>
      </c>
      <c r="C155" t="inlineStr">
        <is>
          <t>SAE</t>
        </is>
      </c>
      <c r="D155">
        <f>VLOOKUP(C155,Insumos!$A:$G,2,FALSE)</f>
        <v/>
      </c>
      <c r="E155" s="4" t="n">
        <v>2</v>
      </c>
      <c r="F155" t="inlineStr">
        <is>
          <t>g</t>
        </is>
      </c>
      <c r="G155">
        <f>E155*VLOOKUP(C155,Insumos!$A:$G,7,FALSE)</f>
        <v/>
      </c>
      <c r="H155" t="inlineStr"/>
    </row>
    <row r="156">
      <c r="A156" t="n">
        <v>8</v>
      </c>
      <c r="B156" t="inlineStr">
        <is>
          <t>100 g Chocolate amargo sin azúcar al 70% derretido con 80 ml de crema para batir caliente</t>
        </is>
      </c>
      <c r="C156" t="inlineStr">
        <is>
          <t>CH70</t>
        </is>
      </c>
      <c r="D156">
        <f>VLOOKUP(C156,Insumos!$A:$G,2,FALSE)</f>
        <v/>
      </c>
      <c r="E156" s="4" t="n">
        <v>100</v>
      </c>
      <c r="F156" t="inlineStr">
        <is>
          <t>g</t>
        </is>
      </c>
      <c r="G156">
        <f>E156*VLOOKUP(C156,Insumos!$A:$G,7,FALSE)</f>
        <v/>
      </c>
      <c r="H156" t="inlineStr"/>
    </row>
    <row r="157">
      <c r="A157" t="n">
        <v>8</v>
      </c>
      <c r="B157" t="inlineStr">
        <is>
          <t>100 g Chocolate amargo sin azúcar al 70% derretido con 80 ml de crema para batir caliente</t>
        </is>
      </c>
      <c r="C157" t="inlineStr">
        <is>
          <t>CRE</t>
        </is>
      </c>
      <c r="D157">
        <f>VLOOKUP(C157,Insumos!$A:$G,2,FALSE)</f>
        <v/>
      </c>
      <c r="E157" s="4" t="n">
        <v>80</v>
      </c>
      <c r="F157" t="inlineStr">
        <is>
          <t>ml</t>
        </is>
      </c>
      <c r="G157">
        <f>E157*VLOOKUP(C157,Insumos!$A:$G,7,FALSE)</f>
        <v/>
      </c>
      <c r="H157" t="inlineStr"/>
    </row>
    <row r="158">
      <c r="A158" t="n">
        <v>9</v>
      </c>
      <c r="B158" t="inlineStr">
        <is>
          <t>180 g Mantequilla de vaca sin sal (82 % MG) a temperatura ambiente (20 °C )</t>
        </is>
      </c>
      <c r="C158" t="inlineStr">
        <is>
          <t>MAN</t>
        </is>
      </c>
      <c r="D158">
        <f>VLOOKUP(C158,Insumos!$A:$G,2,FALSE)</f>
        <v/>
      </c>
      <c r="E158" s="4" t="n">
        <v>180</v>
      </c>
      <c r="F158" t="inlineStr">
        <is>
          <t>g</t>
        </is>
      </c>
      <c r="G158">
        <f>E158*VLOOKUP(C158,Insumos!$A:$G,7,FALSE)</f>
        <v/>
      </c>
      <c r="H158" t="inlineStr"/>
    </row>
    <row r="159">
      <c r="A159" t="n">
        <v>9</v>
      </c>
      <c r="B159" t="inlineStr">
        <is>
          <t>130 g Alulosa pura cristalina</t>
        </is>
      </c>
      <c r="C159" t="inlineStr">
        <is>
          <t>ALU</t>
        </is>
      </c>
      <c r="D159">
        <f>VLOOKUP(C159,Insumos!$A:$G,2,FALSE)</f>
        <v/>
      </c>
      <c r="E159" s="4" t="n">
        <v>130</v>
      </c>
      <c r="F159" t="inlineStr">
        <is>
          <t>g</t>
        </is>
      </c>
      <c r="G159">
        <f>E159*VLOOKUP(C159,Insumos!$A:$G,7,FALSE)</f>
        <v/>
      </c>
      <c r="H159" t="inlineStr"/>
    </row>
    <row r="160">
      <c r="A160" t="n">
        <v>9</v>
      </c>
      <c r="B160" t="inlineStr">
        <is>
          <t>50 g Eritritol pulverizado grado glas</t>
        </is>
      </c>
      <c r="C160" t="inlineStr">
        <is>
          <t>ERP</t>
        </is>
      </c>
      <c r="D160">
        <f>VLOOKUP(C160,Insumos!$A:$G,2,FALSE)</f>
        <v/>
      </c>
      <c r="E160" s="4" t="n">
        <v>50</v>
      </c>
      <c r="F160" t="inlineStr">
        <is>
          <t>g</t>
        </is>
      </c>
      <c r="G160">
        <f>E160*VLOOKUP(C160,Insumos!$A:$G,7,FALSE)</f>
        <v/>
      </c>
      <c r="H160" t="inlineStr"/>
    </row>
    <row r="161">
      <c r="A161" t="n">
        <v>9</v>
      </c>
      <c r="B161" t="inlineStr">
        <is>
          <t>4 Huevos enteros L (200 g) a temperatura ambiente</t>
        </is>
      </c>
      <c r="C161" t="inlineStr">
        <is>
          <t>HUE</t>
        </is>
      </c>
      <c r="D161">
        <f>VLOOKUP(C161,Insumos!$A:$G,2,FALSE)</f>
        <v/>
      </c>
      <c r="E161" s="4" t="n">
        <v>200</v>
      </c>
      <c r="F161" t="inlineStr">
        <is>
          <t>g</t>
        </is>
      </c>
      <c r="G161">
        <f>E161*VLOOKUP(C161,Insumos!$A:$G,7,FALSE)</f>
        <v/>
      </c>
      <c r="H161" t="inlineStr"/>
    </row>
    <row r="162">
      <c r="A162" t="n">
        <v>9</v>
      </c>
      <c r="B162" t="inlineStr">
        <is>
          <t>220 g Harina de almendra sin piel tamizada</t>
        </is>
      </c>
      <c r="C162" t="inlineStr">
        <is>
          <t>HAL</t>
        </is>
      </c>
      <c r="D162">
        <f>VLOOKUP(C162,Insumos!$A:$G,2,FALSE)</f>
        <v/>
      </c>
      <c r="E162" s="4" t="n">
        <v>220</v>
      </c>
      <c r="F162" t="inlineStr">
        <is>
          <t>g</t>
        </is>
      </c>
      <c r="G162">
        <f>E162*VLOOKUP(C162,Insumos!$A:$G,7,FALSE)</f>
        <v/>
      </c>
      <c r="H162" t="inlineStr"/>
    </row>
    <row r="163">
      <c r="A163" t="n">
        <v>9</v>
      </c>
      <c r="B163" t="inlineStr">
        <is>
          <t>20 g Harina de coco desgrasada</t>
        </is>
      </c>
      <c r="C163" t="inlineStr">
        <is>
          <t>HCO</t>
        </is>
      </c>
      <c r="D163">
        <f>VLOOKUP(C163,Insumos!$A:$G,2,FALSE)</f>
        <v/>
      </c>
      <c r="E163" s="4" t="n">
        <v>20</v>
      </c>
      <c r="F163" t="inlineStr">
        <is>
          <t>g</t>
        </is>
      </c>
      <c r="G163">
        <f>E163*VLOOKUP(C163,Insumos!$A:$G,7,FALSE)</f>
        <v/>
      </c>
      <c r="H163" t="inlineStr"/>
    </row>
    <row r="164">
      <c r="A164" t="n">
        <v>9</v>
      </c>
      <c r="B164" t="inlineStr">
        <is>
          <t>7 g Polvo para hornear doble acción</t>
        </is>
      </c>
      <c r="C164" t="inlineStr">
        <is>
          <t>PPH</t>
        </is>
      </c>
      <c r="D164">
        <f>VLOOKUP(C164,Insumos!$A:$G,2,FALSE)</f>
        <v/>
      </c>
      <c r="E164" s="4" t="n">
        <v>7</v>
      </c>
      <c r="F164" t="inlineStr">
        <is>
          <t>g</t>
        </is>
      </c>
      <c r="G164">
        <f>E164*VLOOKUP(C164,Insumos!$A:$G,7,FALSE)</f>
        <v/>
      </c>
      <c r="H164" t="inlineStr"/>
    </row>
    <row r="165">
      <c r="A165" t="n">
        <v>9</v>
      </c>
      <c r="B165" t="inlineStr">
        <is>
          <t>3 g Goma xantana</t>
        </is>
      </c>
      <c r="C165" t="inlineStr">
        <is>
          <t>XAN</t>
        </is>
      </c>
      <c r="D165">
        <f>VLOOKUP(C165,Insumos!$A:$G,2,FALSE)</f>
        <v/>
      </c>
      <c r="E165" s="4" t="n">
        <v>3</v>
      </c>
      <c r="F165" t="inlineStr">
        <is>
          <t>g</t>
        </is>
      </c>
      <c r="G165">
        <f>E165*VLOOKUP(C165,Insumos!$A:$G,7,FALSE)</f>
        <v/>
      </c>
      <c r="H165" t="inlineStr"/>
    </row>
    <row r="166">
      <c r="A166" t="n">
        <v>9</v>
      </c>
      <c r="B166" t="inlineStr">
        <is>
          <t>10 ml Extracto puro natural de vainilla de Papantla</t>
        </is>
      </c>
      <c r="C166" t="inlineStr">
        <is>
          <t>VAE</t>
        </is>
      </c>
      <c r="D166">
        <f>VLOOKUP(C166,Insumos!$A:$G,2,FALSE)</f>
        <v/>
      </c>
      <c r="E166" s="4" t="n">
        <v>10</v>
      </c>
      <c r="F166" t="inlineStr">
        <is>
          <t>ml</t>
        </is>
      </c>
      <c r="G166">
        <f>E166*VLOOKUP(C166,Insumos!$A:$G,7,FALSE)</f>
        <v/>
      </c>
      <c r="H166" t="inlineStr"/>
    </row>
    <row r="167">
      <c r="A167" t="n">
        <v>9</v>
      </c>
      <c r="B167" t="inlineStr">
        <is>
          <t>2 g Sal fina</t>
        </is>
      </c>
      <c r="C167" t="inlineStr">
        <is>
          <t>SAL</t>
        </is>
      </c>
      <c r="D167">
        <f>VLOOKUP(C167,Insumos!$A:$G,2,FALSE)</f>
        <v/>
      </c>
      <c r="E167" s="4" t="n">
        <v>2</v>
      </c>
      <c r="F167" t="inlineStr">
        <is>
          <t>g</t>
        </is>
      </c>
      <c r="G167">
        <f>E167*VLOOKUP(C167,Insumos!$A:$G,7,FALSE)</f>
        <v/>
      </c>
      <c r="H167" t="inlineStr"/>
    </row>
    <row r="168">
      <c r="A168" t="n">
        <v>9</v>
      </c>
      <c r="B168" t="inlineStr">
        <is>
          <t>250 g Frambuesas frescas o congeladas</t>
        </is>
      </c>
      <c r="C168" t="inlineStr">
        <is>
          <t>FRA</t>
        </is>
      </c>
      <c r="D168">
        <f>VLOOKUP(C168,Insumos!$A:$G,2,FALSE)</f>
        <v/>
      </c>
      <c r="E168" s="4" t="n">
        <v>250</v>
      </c>
      <c r="F168" t="inlineStr">
        <is>
          <t>g</t>
        </is>
      </c>
      <c r="G168">
        <f>E168*VLOOKUP(C168,Insumos!$A:$G,7,FALSE)</f>
        <v/>
      </c>
      <c r="H168" t="inlineStr"/>
    </row>
    <row r="169">
      <c r="A169" t="n">
        <v>9</v>
      </c>
      <c r="B169" t="inlineStr">
        <is>
          <t>80 g Alulosa pura cristalina</t>
        </is>
      </c>
      <c r="C169" t="inlineStr">
        <is>
          <t>ALU</t>
        </is>
      </c>
      <c r="D169">
        <f>VLOOKUP(C169,Insumos!$A:$G,2,FALSE)</f>
        <v/>
      </c>
      <c r="E169" s="4" t="n">
        <v>80</v>
      </c>
      <c r="F169" t="inlineStr">
        <is>
          <t>g</t>
        </is>
      </c>
      <c r="G169">
        <f>E169*VLOOKUP(C169,Insumos!$A:$G,7,FALSE)</f>
        <v/>
      </c>
      <c r="H169" t="inlineStr"/>
    </row>
    <row r="170">
      <c r="A170" t="n">
        <v>9</v>
      </c>
      <c r="B170" t="inlineStr">
        <is>
          <t>4 g Pectina de bajo metoxilo (LM Pectin)</t>
        </is>
      </c>
      <c r="C170" t="inlineStr">
        <is>
          <t>PEC</t>
        </is>
      </c>
      <c r="D170">
        <f>VLOOKUP(C170,Insumos!$A:$G,2,FALSE)</f>
        <v/>
      </c>
      <c r="E170" s="4" t="n">
        <v>4</v>
      </c>
      <c r="F170" t="inlineStr">
        <is>
          <t>g</t>
        </is>
      </c>
      <c r="G170">
        <f>E170*VLOOKUP(C170,Insumos!$A:$G,7,FALSE)</f>
        <v/>
      </c>
      <c r="H170" t="inlineStr"/>
    </row>
    <row r="171">
      <c r="A171" t="n">
        <v>9</v>
      </c>
      <c r="B171" t="inlineStr">
        <is>
          <t>8 ml Zumo de limón criollo recién exprimido</t>
        </is>
      </c>
      <c r="C171" t="inlineStr">
        <is>
          <t>LIM</t>
        </is>
      </c>
      <c r="D171">
        <f>VLOOKUP(C171,Insumos!$A:$G,2,FALSE)</f>
        <v/>
      </c>
      <c r="E171" s="4" t="n">
        <v>0.2</v>
      </c>
      <c r="F171" t="inlineStr">
        <is>
          <t>pz</t>
        </is>
      </c>
      <c r="G171">
        <f>E171*VLOOKUP(C171,Insumos!$A:$G,7,FALSE)</f>
        <v/>
      </c>
      <c r="H171" t="inlineStr">
        <is>
          <t>Jugo convertido a piezas (limón ≈ 40 ml, naranja ≈ 80 ml)</t>
        </is>
      </c>
    </row>
    <row r="172">
      <c r="A172" t="n">
        <v>9</v>
      </c>
      <c r="B172" t="inlineStr">
        <is>
          <t>250 ml Crema para batir pasteurizada de vaca (35 % MG) muy fría</t>
        </is>
      </c>
      <c r="C172" t="inlineStr">
        <is>
          <t>CRE</t>
        </is>
      </c>
      <c r="D172">
        <f>VLOOKUP(C172,Insumos!$A:$G,2,FALSE)</f>
        <v/>
      </c>
      <c r="E172" s="4" t="n">
        <v>250</v>
      </c>
      <c r="F172" t="inlineStr">
        <is>
          <t>ml</t>
        </is>
      </c>
      <c r="G172">
        <f>E172*VLOOKUP(C172,Insumos!$A:$G,7,FALSE)</f>
        <v/>
      </c>
      <c r="H172" t="inlineStr"/>
    </row>
    <row r="173">
      <c r="A173" t="n">
        <v>9</v>
      </c>
      <c r="B173" t="inlineStr">
        <is>
          <t>30 g Eritritol pulverizado con fruta del monje</t>
        </is>
      </c>
      <c r="C173" t="inlineStr">
        <is>
          <t>ERM</t>
        </is>
      </c>
      <c r="D173">
        <f>VLOOKUP(C173,Insumos!$A:$G,2,FALSE)</f>
        <v/>
      </c>
      <c r="E173" s="4" t="n">
        <v>30</v>
      </c>
      <c r="F173" t="inlineStr">
        <is>
          <t>g</t>
        </is>
      </c>
      <c r="G173">
        <f>E173*VLOOKUP(C173,Insumos!$A:$G,7,FALSE)</f>
        <v/>
      </c>
      <c r="H173" t="inlineStr"/>
    </row>
    <row r="174">
      <c r="A174" t="n">
        <v>9</v>
      </c>
      <c r="B174" t="inlineStr">
        <is>
          <t>5 ml Extracto de vainilla</t>
        </is>
      </c>
      <c r="C174" t="inlineStr">
        <is>
          <t>VAE</t>
        </is>
      </c>
      <c r="D174">
        <f>VLOOKUP(C174,Insumos!$A:$G,2,FALSE)</f>
        <v/>
      </c>
      <c r="E174" s="4" t="n">
        <v>5</v>
      </c>
      <c r="F174" t="inlineStr">
        <is>
          <t>ml</t>
        </is>
      </c>
      <c r="G174">
        <f>E174*VLOOKUP(C174,Insumos!$A:$G,7,FALSE)</f>
        <v/>
      </c>
      <c r="H174" t="inlineStr"/>
    </row>
    <row r="175">
      <c r="A175" t="n">
        <v>9</v>
      </c>
      <c r="B175" t="inlineStr">
        <is>
          <t>15 g Eritritol pulverizado extra para espolvorear la corona del pastel</t>
        </is>
      </c>
      <c r="C175" t="inlineStr">
        <is>
          <t>ERP</t>
        </is>
      </c>
      <c r="D175">
        <f>VLOOKUP(C175,Insumos!$A:$G,2,FALSE)</f>
        <v/>
      </c>
      <c r="E175" s="4" t="n">
        <v>15</v>
      </c>
      <c r="F175" t="inlineStr">
        <is>
          <t>g</t>
        </is>
      </c>
      <c r="G175">
        <f>E175*VLOOKUP(C175,Insumos!$A:$G,7,FALSE)</f>
        <v/>
      </c>
      <c r="H175" t="inlineStr"/>
    </row>
    <row r="176">
      <c r="A176" t="n">
        <v>10</v>
      </c>
      <c r="B176" t="inlineStr">
        <is>
          <t>180 g Harina de almendra fina sin piel</t>
        </is>
      </c>
      <c r="C176" t="inlineStr">
        <is>
          <t>HAL</t>
        </is>
      </c>
      <c r="D176">
        <f>VLOOKUP(C176,Insumos!$A:$G,2,FALSE)</f>
        <v/>
      </c>
      <c r="E176" s="4" t="n">
        <v>180</v>
      </c>
      <c r="F176" t="inlineStr">
        <is>
          <t>g</t>
        </is>
      </c>
      <c r="G176">
        <f>E176*VLOOKUP(C176,Insumos!$A:$G,7,FALSE)</f>
        <v/>
      </c>
      <c r="H176" t="inlineStr"/>
    </row>
    <row r="177">
      <c r="A177" t="n">
        <v>10</v>
      </c>
      <c r="B177" t="inlineStr">
        <is>
          <t>30 g Harina de coco desgrasada</t>
        </is>
      </c>
      <c r="C177" t="inlineStr">
        <is>
          <t>HCO</t>
        </is>
      </c>
      <c r="D177">
        <f>VLOOKUP(C177,Insumos!$A:$G,2,FALSE)</f>
        <v/>
      </c>
      <c r="E177" s="4" t="n">
        <v>30</v>
      </c>
      <c r="F177" t="inlineStr">
        <is>
          <t>g</t>
        </is>
      </c>
      <c r="G177">
        <f>E177*VLOOKUP(C177,Insumos!$A:$G,7,FALSE)</f>
        <v/>
      </c>
      <c r="H177" t="inlineStr"/>
    </row>
    <row r="178">
      <c r="A178" t="n">
        <v>10</v>
      </c>
      <c r="B178" t="inlineStr">
        <is>
          <t>40 g Eritritol pulverizado (aporta textura crujiente que la alulosa no da)</t>
        </is>
      </c>
      <c r="C178" t="inlineStr">
        <is>
          <t>ERP</t>
        </is>
      </c>
      <c r="D178">
        <f>VLOOKUP(C178,Insumos!$A:$G,2,FALSE)</f>
        <v/>
      </c>
      <c r="E178" s="4" t="n">
        <v>40</v>
      </c>
      <c r="F178" t="inlineStr">
        <is>
          <t>g</t>
        </is>
      </c>
      <c r="G178">
        <f>E178*VLOOKUP(C178,Insumos!$A:$G,7,FALSE)</f>
        <v/>
      </c>
      <c r="H178" t="inlineStr"/>
    </row>
    <row r="179">
      <c r="A179" t="n">
        <v>10</v>
      </c>
      <c r="B179" t="inlineStr">
        <is>
          <t>70 g Mantequilla sin sal cortada en cubos muy fríos (4 °C)</t>
        </is>
      </c>
      <c r="C179" t="inlineStr">
        <is>
          <t>MAN</t>
        </is>
      </c>
      <c r="D179">
        <f>VLOOKUP(C179,Insumos!$A:$G,2,FALSE)</f>
        <v/>
      </c>
      <c r="E179" s="4" t="n">
        <v>70</v>
      </c>
      <c r="F179" t="inlineStr">
        <is>
          <t>g</t>
        </is>
      </c>
      <c r="G179">
        <f>E179*VLOOKUP(C179,Insumos!$A:$G,7,FALSE)</f>
        <v/>
      </c>
      <c r="H179" t="inlineStr"/>
    </row>
    <row r="180">
      <c r="A180" t="n">
        <v>10</v>
      </c>
      <c r="B180" t="inlineStr">
        <is>
          <t>1 Huevo mediano frío (50 g)</t>
        </is>
      </c>
      <c r="C180" t="inlineStr">
        <is>
          <t>HUE</t>
        </is>
      </c>
      <c r="D180">
        <f>VLOOKUP(C180,Insumos!$A:$G,2,FALSE)</f>
        <v/>
      </c>
      <c r="E180" s="4" t="n">
        <v>50</v>
      </c>
      <c r="F180" t="inlineStr">
        <is>
          <t>g</t>
        </is>
      </c>
      <c r="G180">
        <f>E180*VLOOKUP(C180,Insumos!$A:$G,7,FALSE)</f>
        <v/>
      </c>
      <c r="H180" t="inlineStr"/>
    </row>
    <row r="181">
      <c r="A181" t="n">
        <v>10</v>
      </c>
      <c r="B181" t="inlineStr">
        <is>
          <t>2 g Goma xantana</t>
        </is>
      </c>
      <c r="C181" t="inlineStr">
        <is>
          <t>XAN</t>
        </is>
      </c>
      <c r="D181">
        <f>VLOOKUP(C181,Insumos!$A:$G,2,FALSE)</f>
        <v/>
      </c>
      <c r="E181" s="4" t="n">
        <v>2</v>
      </c>
      <c r="F181" t="inlineStr">
        <is>
          <t>g</t>
        </is>
      </c>
      <c r="G181">
        <f>E181*VLOOKUP(C181,Insumos!$A:$G,7,FALSE)</f>
        <v/>
      </c>
      <c r="H181" t="inlineStr"/>
    </row>
    <row r="182">
      <c r="A182" t="n">
        <v>10</v>
      </c>
      <c r="B182" t="inlineStr">
        <is>
          <t>1.5 g Sal marina fina</t>
        </is>
      </c>
      <c r="C182" t="inlineStr">
        <is>
          <t>SAL</t>
        </is>
      </c>
      <c r="D182">
        <f>VLOOKUP(C182,Insumos!$A:$G,2,FALSE)</f>
        <v/>
      </c>
      <c r="E182" s="4" t="n">
        <v>1.5</v>
      </c>
      <c r="F182" t="inlineStr">
        <is>
          <t>g</t>
        </is>
      </c>
      <c r="G182">
        <f>E182*VLOOKUP(C182,Insumos!$A:$G,7,FALSE)</f>
        <v/>
      </c>
      <c r="H182" t="inlineStr"/>
    </row>
    <row r="183">
      <c r="A183" t="n">
        <v>10</v>
      </c>
      <c r="B183" t="inlineStr">
        <is>
          <t>140 ml Zumo de limón amarillo Eureka o limón criollo recién exprimido y colado</t>
        </is>
      </c>
      <c r="C183" t="inlineStr">
        <is>
          <t>LIM</t>
        </is>
      </c>
      <c r="D183">
        <f>VLOOKUP(C183,Insumos!$A:$G,2,FALSE)</f>
        <v/>
      </c>
      <c r="E183" s="4" t="n">
        <v>3.5</v>
      </c>
      <c r="F183" t="inlineStr">
        <is>
          <t>pz</t>
        </is>
      </c>
      <c r="G183">
        <f>E183*VLOOKUP(C183,Insumos!$A:$G,7,FALSE)</f>
        <v/>
      </c>
      <c r="H183" t="inlineStr">
        <is>
          <t>Jugo convertido a piezas (limón ≈ 40 ml, naranja ≈ 80 ml)</t>
        </is>
      </c>
    </row>
    <row r="184">
      <c r="A184" t="n">
        <v>10</v>
      </c>
      <c r="B184" t="inlineStr">
        <is>
          <t>Ralladura fina (solo flavedo) de 4 limones amarillos</t>
        </is>
      </c>
      <c r="C184" t="inlineStr">
        <is>
          <t>LIM</t>
        </is>
      </c>
      <c r="D184">
        <f>VLOOKUP(C184,Insumos!$A:$G,2,FALSE)</f>
        <v/>
      </c>
      <c r="E184" s="4" t="n">
        <v>4</v>
      </c>
      <c r="F184" t="inlineStr">
        <is>
          <t>pz</t>
        </is>
      </c>
      <c r="G184">
        <f>E184*VLOOKUP(C184,Insumos!$A:$G,7,FALSE)</f>
        <v/>
      </c>
      <c r="H184" t="inlineStr">
        <is>
          <t>Solo la ralladura; se costea la fruta completa</t>
        </is>
      </c>
    </row>
    <row r="185">
      <c r="A185" t="n">
        <v>10</v>
      </c>
      <c r="B185" t="inlineStr">
        <is>
          <t>140 g Alulosa pura cristalina</t>
        </is>
      </c>
      <c r="C185" t="inlineStr">
        <is>
          <t>ALU</t>
        </is>
      </c>
      <c r="D185">
        <f>VLOOKUP(C185,Insumos!$A:$G,2,FALSE)</f>
        <v/>
      </c>
      <c r="E185" s="4" t="n">
        <v>140</v>
      </c>
      <c r="F185" t="inlineStr">
        <is>
          <t>g</t>
        </is>
      </c>
      <c r="G185">
        <f>E185*VLOOKUP(C185,Insumos!$A:$G,7,FALSE)</f>
        <v/>
      </c>
      <c r="H185" t="inlineStr"/>
    </row>
    <row r="186">
      <c r="A186" t="n">
        <v>10</v>
      </c>
      <c r="B186" t="inlineStr">
        <is>
          <t>5 Yemas de huevo fresco L (100 g)</t>
        </is>
      </c>
      <c r="C186" t="inlineStr">
        <is>
          <t>YEM</t>
        </is>
      </c>
      <c r="D186">
        <f>VLOOKUP(C186,Insumos!$A:$G,2,FALSE)</f>
        <v/>
      </c>
      <c r="E186" s="4" t="n">
        <v>100</v>
      </c>
      <c r="F186" t="inlineStr">
        <is>
          <t>g</t>
        </is>
      </c>
      <c r="G186">
        <f>E186*VLOOKUP(C186,Insumos!$A:$G,7,FALSE)</f>
        <v/>
      </c>
      <c r="H186" t="inlineStr"/>
    </row>
    <row r="187">
      <c r="A187" t="n">
        <v>10</v>
      </c>
      <c r="B187" t="inlineStr">
        <is>
          <t>1 Huevo entero L (50 g)</t>
        </is>
      </c>
      <c r="C187" t="inlineStr">
        <is>
          <t>HUE</t>
        </is>
      </c>
      <c r="D187">
        <f>VLOOKUP(C187,Insumos!$A:$G,2,FALSE)</f>
        <v/>
      </c>
      <c r="E187" s="4" t="n">
        <v>50</v>
      </c>
      <c r="F187" t="inlineStr">
        <is>
          <t>g</t>
        </is>
      </c>
      <c r="G187">
        <f>E187*VLOOKUP(C187,Insumos!$A:$G,7,FALSE)</f>
        <v/>
      </c>
      <c r="H187" t="inlineStr"/>
    </row>
    <row r="188">
      <c r="A188" t="n">
        <v>10</v>
      </c>
      <c r="B188" t="inlineStr">
        <is>
          <t>120 g Mantequilla de vaca sin sal fría cortada en dados de 1 cm</t>
        </is>
      </c>
      <c r="C188" t="inlineStr">
        <is>
          <t>MAN</t>
        </is>
      </c>
      <c r="D188">
        <f>VLOOKUP(C188,Insumos!$A:$G,2,FALSE)</f>
        <v/>
      </c>
      <c r="E188" s="4" t="n">
        <v>120</v>
      </c>
      <c r="F188" t="inlineStr">
        <is>
          <t>g</t>
        </is>
      </c>
      <c r="G188">
        <f>E188*VLOOKUP(C188,Insumos!$A:$G,7,FALSE)</f>
        <v/>
      </c>
      <c r="H188" t="inlineStr"/>
    </row>
    <row r="189">
      <c r="A189" t="n">
        <v>10</v>
      </c>
      <c r="B189" t="inlineStr">
        <is>
          <t>2.5 g Gelatina neutra en polvo (200 Bloom, hidratada en 15 ml de agua fría, para corte perfecto)</t>
        </is>
      </c>
      <c r="C189" t="inlineStr">
        <is>
          <t>GEL</t>
        </is>
      </c>
      <c r="D189">
        <f>VLOOKUP(C189,Insumos!$A:$G,2,FALSE)</f>
        <v/>
      </c>
      <c r="E189" s="4" t="n">
        <v>2.5</v>
      </c>
      <c r="F189" t="inlineStr">
        <is>
          <t>g</t>
        </is>
      </c>
      <c r="G189">
        <f>E189*VLOOKUP(C189,Insumos!$A:$G,7,FALSE)</f>
        <v/>
      </c>
      <c r="H189" t="inlineStr"/>
    </row>
    <row r="190">
      <c r="A190" t="n">
        <v>10</v>
      </c>
      <c r="B190" t="inlineStr">
        <is>
          <t>3 Claras de huevo fresco (105 g)</t>
        </is>
      </c>
      <c r="C190" t="inlineStr">
        <is>
          <t>CLA</t>
        </is>
      </c>
      <c r="D190">
        <f>VLOOKUP(C190,Insumos!$A:$G,2,FALSE)</f>
        <v/>
      </c>
      <c r="E190" s="4" t="n">
        <v>105</v>
      </c>
      <c r="F190" t="inlineStr">
        <is>
          <t>g</t>
        </is>
      </c>
      <c r="G190">
        <f>E190*VLOOKUP(C190,Insumos!$A:$G,7,FALSE)</f>
        <v/>
      </c>
      <c r="H190" t="inlineStr"/>
    </row>
    <row r="191">
      <c r="A191" t="n">
        <v>10</v>
      </c>
      <c r="B191" t="inlineStr">
        <is>
          <t>120 g Alulosa pura cristalina</t>
        </is>
      </c>
      <c r="C191" t="inlineStr">
        <is>
          <t>ALU</t>
        </is>
      </c>
      <c r="D191">
        <f>VLOOKUP(C191,Insumos!$A:$G,2,FALSE)</f>
        <v/>
      </c>
      <c r="E191" s="4" t="n">
        <v>120</v>
      </c>
      <c r="F191" t="inlineStr">
        <is>
          <t>g</t>
        </is>
      </c>
      <c r="G191">
        <f>E191*VLOOKUP(C191,Insumos!$A:$G,7,FALSE)</f>
        <v/>
      </c>
      <c r="H191" t="inlineStr"/>
    </row>
    <row r="192">
      <c r="A192" t="n">
        <v>10</v>
      </c>
      <c r="B192" t="inlineStr">
        <is>
          <t>30 g Eritritol pulverizado</t>
        </is>
      </c>
      <c r="C192" t="inlineStr">
        <is>
          <t>ERP</t>
        </is>
      </c>
      <c r="D192">
        <f>VLOOKUP(C192,Insumos!$A:$G,2,FALSE)</f>
        <v/>
      </c>
      <c r="E192" s="4" t="n">
        <v>30</v>
      </c>
      <c r="F192" t="inlineStr">
        <is>
          <t>g</t>
        </is>
      </c>
      <c r="G192">
        <f>E192*VLOOKUP(C192,Insumos!$A:$G,7,FALSE)</f>
        <v/>
      </c>
      <c r="H192" t="inlineStr"/>
    </row>
    <row r="193">
      <c r="A193" t="n">
        <v>10</v>
      </c>
      <c r="B193" t="inlineStr">
        <is>
          <t>1.5 g Cremor tártaro o 3 gotas de zumo de limón</t>
        </is>
      </c>
      <c r="C193" t="inlineStr">
        <is>
          <t>CRT</t>
        </is>
      </c>
      <c r="D193">
        <f>VLOOKUP(C193,Insumos!$A:$G,2,FALSE)</f>
        <v/>
      </c>
      <c r="E193" s="4" t="n">
        <v>1.5</v>
      </c>
      <c r="F193" t="inlineStr">
        <is>
          <t>g</t>
        </is>
      </c>
      <c r="G193">
        <f>E193*VLOOKUP(C193,Insumos!$A:$G,7,FALSE)</f>
        <v/>
      </c>
      <c r="H193" t="inlineStr"/>
    </row>
    <row r="194">
      <c r="A194" t="n">
        <v>11</v>
      </c>
      <c r="B194" t="inlineStr">
        <is>
          <t>180 g Harina de almendra fina sin piel</t>
        </is>
      </c>
      <c r="C194" t="inlineStr">
        <is>
          <t>HAL</t>
        </is>
      </c>
      <c r="D194">
        <f>VLOOKUP(C194,Insumos!$A:$G,2,FALSE)</f>
        <v/>
      </c>
      <c r="E194" s="4" t="n">
        <v>180</v>
      </c>
      <c r="F194" t="inlineStr">
        <is>
          <t>g</t>
        </is>
      </c>
      <c r="G194">
        <f>E194*VLOOKUP(C194,Insumos!$A:$G,7,FALSE)</f>
        <v/>
      </c>
      <c r="H194" t="inlineStr"/>
    </row>
    <row r="195">
      <c r="A195" t="n">
        <v>11</v>
      </c>
      <c r="B195" t="inlineStr">
        <is>
          <t>40 g Eritritol pulverizado (cristaliza en frío, aportando firmeza a la base)</t>
        </is>
      </c>
      <c r="C195" t="inlineStr">
        <is>
          <t>ERP</t>
        </is>
      </c>
      <c r="D195">
        <f>VLOOKUP(C195,Insumos!$A:$G,2,FALSE)</f>
        <v/>
      </c>
      <c r="E195" s="4" t="n">
        <v>40</v>
      </c>
      <c r="F195" t="inlineStr">
        <is>
          <t>g</t>
        </is>
      </c>
      <c r="G195">
        <f>E195*VLOOKUP(C195,Insumos!$A:$G,7,FALSE)</f>
        <v/>
      </c>
      <c r="H195" t="inlineStr"/>
    </row>
    <row r="196">
      <c r="A196" t="n">
        <v>11</v>
      </c>
      <c r="B196" t="inlineStr">
        <is>
          <t>60 g Mantequilla de vaca sin sal derretida</t>
        </is>
      </c>
      <c r="C196" t="inlineStr">
        <is>
          <t>MAN</t>
        </is>
      </c>
      <c r="D196">
        <f>VLOOKUP(C196,Insumos!$A:$G,2,FALSE)</f>
        <v/>
      </c>
      <c r="E196" s="4" t="n">
        <v>60</v>
      </c>
      <c r="F196" t="inlineStr">
        <is>
          <t>g</t>
        </is>
      </c>
      <c r="G196">
        <f>E196*VLOOKUP(C196,Insumos!$A:$G,7,FALSE)</f>
        <v/>
      </c>
      <c r="H196" t="inlineStr"/>
    </row>
    <row r="197">
      <c r="A197" t="n">
        <v>11</v>
      </c>
      <c r="B197" t="inlineStr">
        <is>
          <t>1 g Sal marina fina</t>
        </is>
      </c>
      <c r="C197" t="inlineStr">
        <is>
          <t>SAL</t>
        </is>
      </c>
      <c r="D197">
        <f>VLOOKUP(C197,Insumos!$A:$G,2,FALSE)</f>
        <v/>
      </c>
      <c r="E197" s="4" t="n">
        <v>1</v>
      </c>
      <c r="F197" t="inlineStr">
        <is>
          <t>g</t>
        </is>
      </c>
      <c r="G197">
        <f>E197*VLOOKUP(C197,Insumos!$A:$G,7,FALSE)</f>
        <v/>
      </c>
      <c r="H197" t="inlineStr"/>
    </row>
    <row r="198">
      <c r="A198" t="n">
        <v>11</v>
      </c>
      <c r="B198" t="inlineStr">
        <is>
          <t>2 g Canela de Ceilán en polvo (opcional)</t>
        </is>
      </c>
      <c r="C198" t="inlineStr">
        <is>
          <t>CAP</t>
        </is>
      </c>
      <c r="D198">
        <f>VLOOKUP(C198,Insumos!$A:$G,2,FALSE)</f>
        <v/>
      </c>
      <c r="E198" s="4" t="n">
        <v>2</v>
      </c>
      <c r="F198" t="inlineStr">
        <is>
          <t>g</t>
        </is>
      </c>
      <c r="G198">
        <f>E198*VLOOKUP(C198,Insumos!$A:$G,7,FALSE)</f>
        <v/>
      </c>
      <c r="H198" t="inlineStr"/>
    </row>
    <row r="199">
      <c r="A199" t="n">
        <v>11</v>
      </c>
      <c r="B199" t="inlineStr">
        <is>
          <t>900 g Queso crema estilo Philadelphia entero (34 % materia grasa) estrictamente a temperatura ambiente (22 °C)</t>
        </is>
      </c>
      <c r="C199" t="inlineStr">
        <is>
          <t>QCR</t>
        </is>
      </c>
      <c r="D199">
        <f>VLOOKUP(C199,Insumos!$A:$G,2,FALSE)</f>
        <v/>
      </c>
      <c r="E199" s="4" t="n">
        <v>900</v>
      </c>
      <c r="F199" t="inlineStr">
        <is>
          <t>g</t>
        </is>
      </c>
      <c r="G199">
        <f>E199*VLOOKUP(C199,Insumos!$A:$G,7,FALSE)</f>
        <v/>
      </c>
      <c r="H199" t="inlineStr"/>
    </row>
    <row r="200">
      <c r="A200" t="n">
        <v>11</v>
      </c>
      <c r="B200" t="inlineStr">
        <is>
          <t>200 g Crema agria espesa (Sour Cream entera) atemperada</t>
        </is>
      </c>
      <c r="C200" t="inlineStr">
        <is>
          <t>CAG</t>
        </is>
      </c>
      <c r="D200">
        <f>VLOOKUP(C200,Insumos!$A:$G,2,FALSE)</f>
        <v/>
      </c>
      <c r="E200" s="4" t="n">
        <v>200</v>
      </c>
      <c r="F200" t="inlineStr">
        <is>
          <t>g</t>
        </is>
      </c>
      <c r="G200">
        <f>E200*VLOOKUP(C200,Insumos!$A:$G,7,FALSE)</f>
        <v/>
      </c>
      <c r="H200" t="inlineStr"/>
    </row>
    <row r="201">
      <c r="A201" t="n">
        <v>11</v>
      </c>
      <c r="B201" t="inlineStr">
        <is>
          <t>150 g Alulosa pura cristalina</t>
        </is>
      </c>
      <c r="C201" t="inlineStr">
        <is>
          <t>ALU</t>
        </is>
      </c>
      <c r="D201">
        <f>VLOOKUP(C201,Insumos!$A:$G,2,FALSE)</f>
        <v/>
      </c>
      <c r="E201" s="4" t="n">
        <v>150</v>
      </c>
      <c r="F201" t="inlineStr">
        <is>
          <t>g</t>
        </is>
      </c>
      <c r="G201">
        <f>E201*VLOOKUP(C201,Insumos!$A:$G,7,FALSE)</f>
        <v/>
      </c>
      <c r="H201" t="inlineStr"/>
    </row>
    <row r="202">
      <c r="A202" t="n">
        <v>11</v>
      </c>
      <c r="B202" t="inlineStr">
        <is>
          <t>80 g Eritritol pulverizado</t>
        </is>
      </c>
      <c r="C202" t="inlineStr">
        <is>
          <t>ERP</t>
        </is>
      </c>
      <c r="D202">
        <f>VLOOKUP(C202,Insumos!$A:$G,2,FALSE)</f>
        <v/>
      </c>
      <c r="E202" s="4" t="n">
        <v>80</v>
      </c>
      <c r="F202" t="inlineStr">
        <is>
          <t>g</t>
        </is>
      </c>
      <c r="G202">
        <f>E202*VLOOKUP(C202,Insumos!$A:$G,7,FALSE)</f>
        <v/>
      </c>
      <c r="H202" t="inlineStr"/>
    </row>
    <row r="203">
      <c r="A203" t="n">
        <v>11</v>
      </c>
      <c r="B203" t="inlineStr">
        <is>
          <t>4 Huevos enteros L (200 g) a temperatura ambiente</t>
        </is>
      </c>
      <c r="C203" t="inlineStr">
        <is>
          <t>HUE</t>
        </is>
      </c>
      <c r="D203">
        <f>VLOOKUP(C203,Insumos!$A:$G,2,FALSE)</f>
        <v/>
      </c>
      <c r="E203" s="4" t="n">
        <v>200</v>
      </c>
      <c r="F203" t="inlineStr">
        <is>
          <t>g</t>
        </is>
      </c>
      <c r="G203">
        <f>E203*VLOOKUP(C203,Insumos!$A:$G,7,FALSE)</f>
        <v/>
      </c>
      <c r="H203" t="inlineStr"/>
    </row>
    <row r="204">
      <c r="A204" t="n">
        <v>11</v>
      </c>
      <c r="B204" t="inlineStr">
        <is>
          <t>2 Yemas de huevo (40 g)</t>
        </is>
      </c>
      <c r="C204" t="inlineStr">
        <is>
          <t>YEM</t>
        </is>
      </c>
      <c r="D204">
        <f>VLOOKUP(C204,Insumos!$A:$G,2,FALSE)</f>
        <v/>
      </c>
      <c r="E204" s="4" t="n">
        <v>40</v>
      </c>
      <c r="F204" t="inlineStr">
        <is>
          <t>g</t>
        </is>
      </c>
      <c r="G204">
        <f>E204*VLOOKUP(C204,Insumos!$A:$G,7,FALSE)</f>
        <v/>
      </c>
      <c r="H204" t="inlineStr"/>
    </row>
    <row r="205">
      <c r="A205" t="n">
        <v>11</v>
      </c>
      <c r="B205" t="inlineStr">
        <is>
          <t>15 ml Extracto puro natural de vainilla de Papantla</t>
        </is>
      </c>
      <c r="C205" t="inlineStr">
        <is>
          <t>VAE</t>
        </is>
      </c>
      <c r="D205">
        <f>VLOOKUP(C205,Insumos!$A:$G,2,FALSE)</f>
        <v/>
      </c>
      <c r="E205" s="4" t="n">
        <v>15</v>
      </c>
      <c r="F205" t="inlineStr">
        <is>
          <t>ml</t>
        </is>
      </c>
      <c r="G205">
        <f>E205*VLOOKUP(C205,Insumos!$A:$G,7,FALSE)</f>
        <v/>
      </c>
      <c r="H205" t="inlineStr"/>
    </row>
    <row r="206">
      <c r="A206" t="n">
        <v>11</v>
      </c>
      <c r="B206" t="inlineStr">
        <is>
          <t>15 ml Zumo de limón amarillo fresco (el ácido cítrico coagula levemente las caseínas aportando firmeza)</t>
        </is>
      </c>
      <c r="C206" t="inlineStr">
        <is>
          <t>LIM</t>
        </is>
      </c>
      <c r="D206">
        <f>VLOOKUP(C206,Insumos!$A:$G,2,FALSE)</f>
        <v/>
      </c>
      <c r="E206" s="4" t="n">
        <v>0.38</v>
      </c>
      <c r="F206" t="inlineStr">
        <is>
          <t>pz</t>
        </is>
      </c>
      <c r="G206">
        <f>E206*VLOOKUP(C206,Insumos!$A:$G,7,FALSE)</f>
        <v/>
      </c>
      <c r="H206" t="inlineStr">
        <is>
          <t>Jugo convertido a piezas (limón ≈ 40 ml, naranja ≈ 80 ml)</t>
        </is>
      </c>
    </row>
    <row r="207">
      <c r="A207" t="n">
        <v>12</v>
      </c>
      <c r="B207" t="inlineStr">
        <is>
          <t>250 g Cobertura de chocolate amargo sin azúcar al 70% (endulzado con eritritol/stevia)</t>
        </is>
      </c>
      <c r="C207" t="inlineStr">
        <is>
          <t>CH70</t>
        </is>
      </c>
      <c r="D207">
        <f>VLOOKUP(C207,Insumos!$A:$G,2,FALSE)</f>
        <v/>
      </c>
      <c r="E207" s="4" t="n">
        <v>250</v>
      </c>
      <c r="F207" t="inlineStr">
        <is>
          <t>g</t>
        </is>
      </c>
      <c r="G207">
        <f>E207*VLOOKUP(C207,Insumos!$A:$G,7,FALSE)</f>
        <v/>
      </c>
      <c r="H207" t="inlineStr"/>
    </row>
    <row r="208">
      <c r="A208" t="n">
        <v>12</v>
      </c>
      <c r="B208" t="inlineStr">
        <is>
          <t>100 ml Leche de almendras o leche entera muy caliente (85 °C)</t>
        </is>
      </c>
      <c r="C208" t="inlineStr">
        <is>
          <t>LAL</t>
        </is>
      </c>
      <c r="D208">
        <f>VLOOKUP(C208,Insumos!$A:$G,2,FALSE)</f>
        <v/>
      </c>
      <c r="E208" s="4" t="n">
        <v>100</v>
      </c>
      <c r="F208" t="inlineStr">
        <is>
          <t>ml</t>
        </is>
      </c>
      <c r="G208">
        <f>E208*VLOOKUP(C208,Insumos!$A:$G,7,FALSE)</f>
        <v/>
      </c>
      <c r="H208" t="inlineStr"/>
    </row>
    <row r="209">
      <c r="A209" t="n">
        <v>12</v>
      </c>
      <c r="B209" t="inlineStr">
        <is>
          <t>40 ml Aceite de Oliva Virgen Extra de perfil frutado suave (variedad Arbequina)</t>
        </is>
      </c>
      <c r="C209" t="inlineStr">
        <is>
          <t>AOL</t>
        </is>
      </c>
      <c r="D209">
        <f>VLOOKUP(C209,Insumos!$A:$G,2,FALSE)</f>
        <v/>
      </c>
      <c r="E209" s="4" t="n">
        <v>40</v>
      </c>
      <c r="F209" t="inlineStr">
        <is>
          <t>ml</t>
        </is>
      </c>
      <c r="G209">
        <f>E209*VLOOKUP(C209,Insumos!$A:$G,7,FALSE)</f>
        <v/>
      </c>
      <c r="H209" t="inlineStr"/>
    </row>
    <row r="210">
      <c r="A210" t="n">
        <v>12</v>
      </c>
      <c r="B210" t="inlineStr">
        <is>
          <t>1 g Sal en escamas (potenciador del cacao)</t>
        </is>
      </c>
      <c r="C210" t="inlineStr">
        <is>
          <t>SAE</t>
        </is>
      </c>
      <c r="D210">
        <f>VLOOKUP(C210,Insumos!$A:$G,2,FALSE)</f>
        <v/>
      </c>
      <c r="E210" s="4" t="n">
        <v>1</v>
      </c>
      <c r="F210" t="inlineStr">
        <is>
          <t>g</t>
        </is>
      </c>
      <c r="G210">
        <f>E210*VLOOKUP(C210,Insumos!$A:$G,7,FALSE)</f>
        <v/>
      </c>
      <c r="H210" t="inlineStr"/>
    </row>
    <row r="211">
      <c r="A211" t="n">
        <v>12</v>
      </c>
      <c r="B211" t="inlineStr">
        <is>
          <t>4 Yemas de huevo fresco L (80 g)</t>
        </is>
      </c>
      <c r="C211" t="inlineStr">
        <is>
          <t>YEM</t>
        </is>
      </c>
      <c r="D211">
        <f>VLOOKUP(C211,Insumos!$A:$G,2,FALSE)</f>
        <v/>
      </c>
      <c r="E211" s="4" t="n">
        <v>80</v>
      </c>
      <c r="F211" t="inlineStr">
        <is>
          <t>g</t>
        </is>
      </c>
      <c r="G211">
        <f>E211*VLOOKUP(C211,Insumos!$A:$G,7,FALSE)</f>
        <v/>
      </c>
      <c r="H211" t="inlineStr"/>
    </row>
    <row r="212">
      <c r="A212" t="n">
        <v>12</v>
      </c>
      <c r="B212" t="inlineStr">
        <is>
          <t>120 g Alulosa pura cristalina</t>
        </is>
      </c>
      <c r="C212" t="inlineStr">
        <is>
          <t>ALU</t>
        </is>
      </c>
      <c r="D212">
        <f>VLOOKUP(C212,Insumos!$A:$G,2,FALSE)</f>
        <v/>
      </c>
      <c r="E212" s="4" t="n">
        <v>120</v>
      </c>
      <c r="F212" t="inlineStr">
        <is>
          <t>g</t>
        </is>
      </c>
      <c r="G212">
        <f>E212*VLOOKUP(C212,Insumos!$A:$G,7,FALSE)</f>
        <v/>
      </c>
      <c r="H212" t="inlineStr"/>
    </row>
    <row r="213">
      <c r="A213" t="n">
        <v>12</v>
      </c>
      <c r="B213" t="inlineStr">
        <is>
          <t>40 ml Agua purificada</t>
        </is>
      </c>
      <c r="C213" t="inlineStr">
        <is>
          <t>AGU</t>
        </is>
      </c>
      <c r="D213">
        <f>VLOOKUP(C213,Insumos!$A:$G,2,FALSE)</f>
        <v/>
      </c>
      <c r="E213" s="4" t="n">
        <v>40</v>
      </c>
      <c r="F213" t="inlineStr">
        <is>
          <t>ml</t>
        </is>
      </c>
      <c r="G213">
        <f>E213*VLOOKUP(C213,Insumos!$A:$G,7,FALSE)</f>
        <v/>
      </c>
      <c r="H213" t="inlineStr"/>
    </row>
    <row r="214">
      <c r="A214" t="n">
        <v>12</v>
      </c>
      <c r="B214" t="inlineStr">
        <is>
          <t>10 ml Extracto puro natural de vainilla</t>
        </is>
      </c>
      <c r="C214" t="inlineStr">
        <is>
          <t>VAE</t>
        </is>
      </c>
      <c r="D214">
        <f>VLOOKUP(C214,Insumos!$A:$G,2,FALSE)</f>
        <v/>
      </c>
      <c r="E214" s="4" t="n">
        <v>10</v>
      </c>
      <c r="F214" t="inlineStr">
        <is>
          <t>ml</t>
        </is>
      </c>
      <c r="G214">
        <f>E214*VLOOKUP(C214,Insumos!$A:$G,7,FALSE)</f>
        <v/>
      </c>
      <c r="H214" t="inlineStr"/>
    </row>
    <row r="215">
      <c r="A215" t="n">
        <v>12</v>
      </c>
      <c r="B215" t="inlineStr">
        <is>
          <t>0.2 g Estevia pura Rebaudiósido M</t>
        </is>
      </c>
      <c r="C215" t="inlineStr">
        <is>
          <t>EST</t>
        </is>
      </c>
      <c r="D215">
        <f>VLOOKUP(C215,Insumos!$A:$G,2,FALSE)</f>
        <v/>
      </c>
      <c r="E215" s="4" t="n">
        <v>0.2</v>
      </c>
      <c r="F215" t="inlineStr">
        <is>
          <t>g</t>
        </is>
      </c>
      <c r="G215">
        <f>E215*VLOOKUP(C215,Insumos!$A:$G,7,FALSE)</f>
        <v/>
      </c>
      <c r="H215" t="inlineStr"/>
    </row>
    <row r="216">
      <c r="A216" t="n">
        <v>12</v>
      </c>
      <c r="B216" t="inlineStr">
        <is>
          <t>450 ml Crema para batir pasteurizada de vaca (35 % MG) muy fría (2 °C)</t>
        </is>
      </c>
      <c r="C216" t="inlineStr">
        <is>
          <t>CRE</t>
        </is>
      </c>
      <c r="D216">
        <f>VLOOKUP(C216,Insumos!$A:$G,2,FALSE)</f>
        <v/>
      </c>
      <c r="E216" s="4" t="n">
        <v>450</v>
      </c>
      <c r="F216" t="inlineStr">
        <is>
          <t>ml</t>
        </is>
      </c>
      <c r="G216">
        <f>E216*VLOOKUP(C216,Insumos!$A:$G,7,FALSE)</f>
        <v/>
      </c>
      <c r="H216" t="inlineStr"/>
    </row>
    <row r="217">
      <c r="A217" t="n">
        <v>12</v>
      </c>
      <c r="B217" t="inlineStr">
        <is>
          <t>40 g Grué de cacao tostado (nibs puros) o pistachos picados finos</t>
        </is>
      </c>
      <c r="C217" t="inlineStr">
        <is>
          <t>NIB</t>
        </is>
      </c>
      <c r="D217">
        <f>VLOOKUP(C217,Insumos!$A:$G,2,FALSE)</f>
        <v/>
      </c>
      <c r="E217" s="4" t="n">
        <v>40</v>
      </c>
      <c r="F217" t="inlineStr">
        <is>
          <t>g</t>
        </is>
      </c>
      <c r="G217">
        <f>E217*VLOOKUP(C217,Insumos!$A:$G,7,FALSE)</f>
        <v/>
      </c>
      <c r="H217" t="inlineStr"/>
    </row>
    <row r="218">
      <c r="A218" t="n">
        <v>13</v>
      </c>
      <c r="B218" t="inlineStr">
        <is>
          <t>8 g Gelatina neutra en polvo de 200Bloom (o 4 hojas de gelatina de 2 g c/u)</t>
        </is>
      </c>
      <c r="C218" t="inlineStr">
        <is>
          <t>GEL</t>
        </is>
      </c>
      <c r="D218">
        <f>VLOOKUP(C218,Insumos!$A:$G,2,FALSE)</f>
        <v/>
      </c>
      <c r="E218" s="4" t="n">
        <v>8</v>
      </c>
      <c r="F218" t="inlineStr">
        <is>
          <t>g</t>
        </is>
      </c>
      <c r="G218">
        <f>E218*VLOOKUP(C218,Insumos!$A:$G,7,FALSE)</f>
        <v/>
      </c>
      <c r="H218" t="inlineStr"/>
    </row>
    <row r="219">
      <c r="A219" t="n">
        <v>13</v>
      </c>
      <c r="B219" t="inlineStr">
        <is>
          <t>40 ml Agua desmineralizada muy fría (5 °C)</t>
        </is>
      </c>
      <c r="C219" t="inlineStr">
        <is>
          <t>AGU</t>
        </is>
      </c>
      <c r="D219">
        <f>VLOOKUP(C219,Insumos!$A:$G,2,FALSE)</f>
        <v/>
      </c>
      <c r="E219" s="4" t="n">
        <v>40</v>
      </c>
      <c r="F219" t="inlineStr">
        <is>
          <t>ml</t>
        </is>
      </c>
      <c r="G219">
        <f>E219*VLOOKUP(C219,Insumos!$A:$G,7,FALSE)</f>
        <v/>
      </c>
      <c r="H219" t="inlineStr"/>
    </row>
    <row r="220">
      <c r="A220" t="n">
        <v>13</v>
      </c>
      <c r="B220" t="inlineStr">
        <is>
          <t>450 ml Crema para batir pasteurizada de vaca (35 % materia grasa)</t>
        </is>
      </c>
      <c r="C220" t="inlineStr">
        <is>
          <t>CRE</t>
        </is>
      </c>
      <c r="D220">
        <f>VLOOKUP(C220,Insumos!$A:$G,2,FALSE)</f>
        <v/>
      </c>
      <c r="E220" s="4" t="n">
        <v>450</v>
      </c>
      <c r="F220" t="inlineStr">
        <is>
          <t>ml</t>
        </is>
      </c>
      <c r="G220">
        <f>E220*VLOOKUP(C220,Insumos!$A:$G,7,FALSE)</f>
        <v/>
      </c>
      <c r="H220" t="inlineStr"/>
    </row>
    <row r="221">
      <c r="A221" t="n">
        <v>13</v>
      </c>
      <c r="B221" t="inlineStr">
        <is>
          <t>300 ml Leche de almendras pura sin azúcar (aligera la pesadez de la crema)</t>
        </is>
      </c>
      <c r="C221" t="inlineStr">
        <is>
          <t>LAL</t>
        </is>
      </c>
      <c r="D221">
        <f>VLOOKUP(C221,Insumos!$A:$G,2,FALSE)</f>
        <v/>
      </c>
      <c r="E221" s="4" t="n">
        <v>300</v>
      </c>
      <c r="F221" t="inlineStr">
        <is>
          <t>ml</t>
        </is>
      </c>
      <c r="G221">
        <f>E221*VLOOKUP(C221,Insumos!$A:$G,7,FALSE)</f>
        <v/>
      </c>
      <c r="H221" t="inlineStr"/>
    </row>
    <row r="222">
      <c r="A222" t="n">
        <v>13</v>
      </c>
      <c r="B222" t="inlineStr">
        <is>
          <t>90 g Alulosa pura cristalina</t>
        </is>
      </c>
      <c r="C222" t="inlineStr">
        <is>
          <t>ALU</t>
        </is>
      </c>
      <c r="D222">
        <f>VLOOKUP(C222,Insumos!$A:$G,2,FALSE)</f>
        <v/>
      </c>
      <c r="E222" s="4" t="n">
        <v>90</v>
      </c>
      <c r="F222" t="inlineStr">
        <is>
          <t>g</t>
        </is>
      </c>
      <c r="G222">
        <f>E222*VLOOKUP(C222,Insumos!$A:$G,7,FALSE)</f>
        <v/>
      </c>
      <c r="H222" t="inlineStr"/>
    </row>
    <row r="223">
      <c r="A223" t="n">
        <v>13</v>
      </c>
      <c r="B223" t="inlineStr">
        <is>
          <t>1 Vaina de vainilla Bourbon pura (semillas raspadas) o 15 ml de pasta pura de vainilla con semillas</t>
        </is>
      </c>
      <c r="C223" t="inlineStr">
        <is>
          <t>VAV</t>
        </is>
      </c>
      <c r="D223">
        <f>VLOOKUP(C223,Insumos!$A:$G,2,FALSE)</f>
        <v/>
      </c>
      <c r="E223" s="4" t="n">
        <v>1</v>
      </c>
      <c r="F223" t="inlineStr">
        <is>
          <t>pz</t>
        </is>
      </c>
      <c r="G223">
        <f>E223*VLOOKUP(C223,Insumos!$A:$G,7,FALSE)</f>
        <v/>
      </c>
      <c r="H223" t="inlineStr"/>
    </row>
    <row r="224">
      <c r="A224" t="n">
        <v>13</v>
      </c>
      <c r="B224" t="inlineStr">
        <is>
          <t>1 g Sal marina fina</t>
        </is>
      </c>
      <c r="C224" t="inlineStr">
        <is>
          <t>SAL</t>
        </is>
      </c>
      <c r="D224">
        <f>VLOOKUP(C224,Insumos!$A:$G,2,FALSE)</f>
        <v/>
      </c>
      <c r="E224" s="4" t="n">
        <v>1</v>
      </c>
      <c r="F224" t="inlineStr">
        <is>
          <t>g</t>
        </is>
      </c>
      <c r="G224">
        <f>E224*VLOOKUP(C224,Insumos!$A:$G,7,FALSE)</f>
        <v/>
      </c>
      <c r="H224" t="inlineStr"/>
    </row>
    <row r="225">
      <c r="A225" t="n">
        <v>13</v>
      </c>
      <c r="B225" t="inlineStr">
        <is>
          <t>250 g Mezcla de frutos rojos frescos o congelados (frambuesa, mora, fresa)</t>
        </is>
      </c>
      <c r="C225" t="inlineStr">
        <is>
          <t>FRO</t>
        </is>
      </c>
      <c r="D225">
        <f>VLOOKUP(C225,Insumos!$A:$G,2,FALSE)</f>
        <v/>
      </c>
      <c r="E225" s="4" t="n">
        <v>250</v>
      </c>
      <c r="F225" t="inlineStr">
        <is>
          <t>g</t>
        </is>
      </c>
      <c r="G225">
        <f>E225*VLOOKUP(C225,Insumos!$A:$G,7,FALSE)</f>
        <v/>
      </c>
      <c r="H225" t="inlineStr"/>
    </row>
    <row r="226">
      <c r="A226" t="n">
        <v>13</v>
      </c>
      <c r="B226" t="inlineStr">
        <is>
          <t>60 g Alulosa cristalina</t>
        </is>
      </c>
      <c r="C226" t="inlineStr">
        <is>
          <t>ALU</t>
        </is>
      </c>
      <c r="D226">
        <f>VLOOKUP(C226,Insumos!$A:$G,2,FALSE)</f>
        <v/>
      </c>
      <c r="E226" s="4" t="n">
        <v>60</v>
      </c>
      <c r="F226" t="inlineStr">
        <is>
          <t>g</t>
        </is>
      </c>
      <c r="G226">
        <f>E226*VLOOKUP(C226,Insumos!$A:$G,7,FALSE)</f>
        <v/>
      </c>
      <c r="H226" t="inlineStr"/>
    </row>
    <row r="227">
      <c r="A227" t="n">
        <v>13</v>
      </c>
      <c r="B227" t="inlineStr">
        <is>
          <t>3 g Pectina de bajo metoxilo (LM) + 10 g Alulosa (mezclados en seco)</t>
        </is>
      </c>
      <c r="C227" t="inlineStr">
        <is>
          <t>PEC</t>
        </is>
      </c>
      <c r="D227">
        <f>VLOOKUP(C227,Insumos!$A:$G,2,FALSE)</f>
        <v/>
      </c>
      <c r="E227" s="4" t="n">
        <v>3</v>
      </c>
      <c r="F227" t="inlineStr">
        <is>
          <t>g</t>
        </is>
      </c>
      <c r="G227">
        <f>E227*VLOOKUP(C227,Insumos!$A:$G,7,FALSE)</f>
        <v/>
      </c>
      <c r="H227" t="inlineStr"/>
    </row>
    <row r="228">
      <c r="A228" t="n">
        <v>13</v>
      </c>
      <c r="B228" t="inlineStr">
        <is>
          <t>3 g Pectina de bajo metoxilo (LM) + 10 g Alulosa (mezclados en seco)</t>
        </is>
      </c>
      <c r="C228" t="inlineStr">
        <is>
          <t>ALU</t>
        </is>
      </c>
      <c r="D228">
        <f>VLOOKUP(C228,Insumos!$A:$G,2,FALSE)</f>
        <v/>
      </c>
      <c r="E228" s="4" t="n">
        <v>10</v>
      </c>
      <c r="F228" t="inlineStr">
        <is>
          <t>g</t>
        </is>
      </c>
      <c r="G228">
        <f>E228*VLOOKUP(C228,Insumos!$A:$G,7,FALSE)</f>
        <v/>
      </c>
      <c r="H228" t="inlineStr"/>
    </row>
    <row r="229">
      <c r="A229" t="n">
        <v>13</v>
      </c>
      <c r="B229" t="inlineStr">
        <is>
          <t>10 ml Zumo de limón</t>
        </is>
      </c>
      <c r="C229" t="inlineStr">
        <is>
          <t>LIM</t>
        </is>
      </c>
      <c r="D229">
        <f>VLOOKUP(C229,Insumos!$A:$G,2,FALSE)</f>
        <v/>
      </c>
      <c r="E229" s="4" t="n">
        <v>0.25</v>
      </c>
      <c r="F229" t="inlineStr">
        <is>
          <t>pz</t>
        </is>
      </c>
      <c r="G229">
        <f>E229*VLOOKUP(C229,Insumos!$A:$G,7,FALSE)</f>
        <v/>
      </c>
      <c r="H229" t="inlineStr">
        <is>
          <t>Jugo convertido a piezas (limón ≈ 40 ml, naranja ≈ 80 ml)</t>
        </is>
      </c>
    </row>
    <row r="230">
      <c r="A230" t="n">
        <v>14</v>
      </c>
      <c r="B230" t="inlineStr">
        <is>
          <t>500 ml Crema para batir pasteurizada de vaca (35 % materia grasa) o crema espesa (Heavy Cream)</t>
        </is>
      </c>
      <c r="C230" t="inlineStr">
        <is>
          <t>CRE</t>
        </is>
      </c>
      <c r="D230">
        <f>VLOOKUP(C230,Insumos!$A:$G,2,FALSE)</f>
        <v/>
      </c>
      <c r="E230" s="4" t="n">
        <v>500</v>
      </c>
      <c r="F230" t="inlineStr">
        <is>
          <t>ml</t>
        </is>
      </c>
      <c r="G230">
        <f>E230*VLOOKUP(C230,Insumos!$A:$G,7,FALSE)</f>
        <v/>
      </c>
      <c r="H230" t="inlineStr"/>
    </row>
    <row r="231">
      <c r="A231" t="n">
        <v>14</v>
      </c>
      <c r="B231" t="inlineStr">
        <is>
          <t>1 Vaina de vainilla natural (semillas raspadas) o 15 ml de pasta de vainilla</t>
        </is>
      </c>
      <c r="C231" t="inlineStr">
        <is>
          <t>VAV</t>
        </is>
      </c>
      <c r="D231">
        <f>VLOOKUP(C231,Insumos!$A:$G,2,FALSE)</f>
        <v/>
      </c>
      <c r="E231" s="4" t="n">
        <v>1</v>
      </c>
      <c r="F231" t="inlineStr">
        <is>
          <t>pz</t>
        </is>
      </c>
      <c r="G231">
        <f>E231*VLOOKUP(C231,Insumos!$A:$G,7,FALSE)</f>
        <v/>
      </c>
      <c r="H231" t="inlineStr"/>
    </row>
    <row r="232">
      <c r="A232" t="n">
        <v>14</v>
      </c>
      <c r="B232" t="inlineStr">
        <is>
          <t>1 g Sal marina fina</t>
        </is>
      </c>
      <c r="C232" t="inlineStr">
        <is>
          <t>SAL</t>
        </is>
      </c>
      <c r="D232">
        <f>VLOOKUP(C232,Insumos!$A:$G,2,FALSE)</f>
        <v/>
      </c>
      <c r="E232" s="4" t="n">
        <v>1</v>
      </c>
      <c r="F232" t="inlineStr">
        <is>
          <t>g</t>
        </is>
      </c>
      <c r="G232">
        <f>E232*VLOOKUP(C232,Insumos!$A:$G,7,FALSE)</f>
        <v/>
      </c>
      <c r="H232" t="inlineStr"/>
    </row>
    <row r="233">
      <c r="A233" t="n">
        <v>14</v>
      </c>
      <c r="B233" t="inlineStr">
        <is>
          <t>5 Yemas de huevo L frescas (100 g) a temperatura ambiente</t>
        </is>
      </c>
      <c r="C233" t="inlineStr">
        <is>
          <t>YEM</t>
        </is>
      </c>
      <c r="D233">
        <f>VLOOKUP(C233,Insumos!$A:$G,2,FALSE)</f>
        <v/>
      </c>
      <c r="E233" s="4" t="n">
        <v>100</v>
      </c>
      <c r="F233" t="inlineStr">
        <is>
          <t>g</t>
        </is>
      </c>
      <c r="G233">
        <f>E233*VLOOKUP(C233,Insumos!$A:$G,7,FALSE)</f>
        <v/>
      </c>
      <c r="H233" t="inlineStr"/>
    </row>
    <row r="234">
      <c r="A234" t="n">
        <v>14</v>
      </c>
      <c r="B234" t="inlineStr">
        <is>
          <t>70 g Alulosa pura cristalina (para la crema interna)</t>
        </is>
      </c>
      <c r="C234" t="inlineStr">
        <is>
          <t>ALU</t>
        </is>
      </c>
      <c r="D234">
        <f>VLOOKUP(C234,Insumos!$A:$G,2,FALSE)</f>
        <v/>
      </c>
      <c r="E234" s="4" t="n">
        <v>70</v>
      </c>
      <c r="F234" t="inlineStr">
        <is>
          <t>g</t>
        </is>
      </c>
      <c r="G234">
        <f>E234*VLOOKUP(C234,Insumos!$A:$G,7,FALSE)</f>
        <v/>
      </c>
      <c r="H234" t="inlineStr"/>
    </row>
    <row r="235">
      <c r="A235" t="n">
        <v>14</v>
      </c>
      <c r="B235" t="inlineStr">
        <is>
          <t>Mezcla estandarizada: 30 g Eritritol granulado + 20 g Alulosa cristalina</t>
        </is>
      </c>
      <c r="C235" t="inlineStr">
        <is>
          <t>ERG</t>
        </is>
      </c>
      <c r="D235">
        <f>VLOOKUP(C235,Insumos!$A:$G,2,FALSE)</f>
        <v/>
      </c>
      <c r="E235" s="4" t="n">
        <v>30</v>
      </c>
      <c r="F235" t="inlineStr">
        <is>
          <t>g</t>
        </is>
      </c>
      <c r="G235">
        <f>E235*VLOOKUP(C235,Insumos!$A:$G,7,FALSE)</f>
        <v/>
      </c>
      <c r="H235" t="inlineStr"/>
    </row>
    <row r="236">
      <c r="A236" t="n">
        <v>14</v>
      </c>
      <c r="B236" t="inlineStr">
        <is>
          <t>Mezcla estandarizada: 30 g Eritritol granulado + 20 g Alulosa cristalina</t>
        </is>
      </c>
      <c r="C236" t="inlineStr">
        <is>
          <t>ALU</t>
        </is>
      </c>
      <c r="D236">
        <f>VLOOKUP(C236,Insumos!$A:$G,2,FALSE)</f>
        <v/>
      </c>
      <c r="E236" s="4" t="n">
        <v>20</v>
      </c>
      <c r="F236" t="inlineStr">
        <is>
          <t>g</t>
        </is>
      </c>
      <c r="G236">
        <f>E236*VLOOKUP(C236,Insumos!$A:$G,7,FALSE)</f>
        <v/>
      </c>
      <c r="H236" t="inlineStr"/>
    </row>
    <row r="237">
      <c r="A237" t="n">
        <v>15</v>
      </c>
      <c r="B237" t="inlineStr">
        <is>
          <t>700 g Queso crema estilo Philadelphia entero (34 % materia grasa), muy suave a temperatura ambiente (25 °C)</t>
        </is>
      </c>
      <c r="C237" t="inlineStr">
        <is>
          <t>QCR</t>
        </is>
      </c>
      <c r="D237">
        <f>VLOOKUP(C237,Insumos!$A:$G,2,FALSE)</f>
        <v/>
      </c>
      <c r="E237" s="4" t="n">
        <v>700</v>
      </c>
      <c r="F237" t="inlineStr">
        <is>
          <t>g</t>
        </is>
      </c>
      <c r="G237">
        <f>E237*VLOOKUP(C237,Insumos!$A:$G,7,FALSE)</f>
        <v/>
      </c>
      <c r="H237" t="inlineStr"/>
    </row>
    <row r="238">
      <c r="A238" t="n">
        <v>15</v>
      </c>
      <c r="B238" t="inlineStr">
        <is>
          <t>200 g Alulosa pura cristalina (OBLIGATORIA para el tostado exterior, no usar eritritol)</t>
        </is>
      </c>
      <c r="C238" t="inlineStr">
        <is>
          <t>ALU</t>
        </is>
      </c>
      <c r="D238">
        <f>VLOOKUP(C238,Insumos!$A:$G,2,FALSE)</f>
        <v/>
      </c>
      <c r="E238" s="4" t="n">
        <v>200</v>
      </c>
      <c r="F238" t="inlineStr">
        <is>
          <t>g</t>
        </is>
      </c>
      <c r="G238">
        <f>E238*VLOOKUP(C238,Insumos!$A:$G,7,FALSE)</f>
        <v/>
      </c>
      <c r="H238" t="inlineStr"/>
    </row>
    <row r="239">
      <c r="A239" t="n">
        <v>15</v>
      </c>
      <c r="B239" t="inlineStr">
        <is>
          <t>4 Huevos enteros L (200 g) a 22 °C</t>
        </is>
      </c>
      <c r="C239" t="inlineStr">
        <is>
          <t>HUE</t>
        </is>
      </c>
      <c r="D239">
        <f>VLOOKUP(C239,Insumos!$A:$G,2,FALSE)</f>
        <v/>
      </c>
      <c r="E239" s="4" t="n">
        <v>200</v>
      </c>
      <c r="F239" t="inlineStr">
        <is>
          <t>g</t>
        </is>
      </c>
      <c r="G239">
        <f>E239*VLOOKUP(C239,Insumos!$A:$G,7,FALSE)</f>
        <v/>
      </c>
      <c r="H239" t="inlineStr"/>
    </row>
    <row r="240">
      <c r="A240" t="n">
        <v>15</v>
      </c>
      <c r="B240" t="inlineStr">
        <is>
          <t>1 Yema de huevo fresco (20 g)</t>
        </is>
      </c>
      <c r="C240" t="inlineStr">
        <is>
          <t>YEM</t>
        </is>
      </c>
      <c r="D240">
        <f>VLOOKUP(C240,Insumos!$A:$G,2,FALSE)</f>
        <v/>
      </c>
      <c r="E240" s="4" t="n">
        <v>20</v>
      </c>
      <c r="F240" t="inlineStr">
        <is>
          <t>g</t>
        </is>
      </c>
      <c r="G240">
        <f>E240*VLOOKUP(C240,Insumos!$A:$G,7,FALSE)</f>
        <v/>
      </c>
      <c r="H240" t="inlineStr"/>
    </row>
    <row r="241">
      <c r="A241" t="n">
        <v>15</v>
      </c>
      <c r="B241" t="inlineStr">
        <is>
          <t>350 ml Crema para batir pasteurizada de vaca (35 % MG) líquida</t>
        </is>
      </c>
      <c r="C241" t="inlineStr">
        <is>
          <t>CRE</t>
        </is>
      </c>
      <c r="D241">
        <f>VLOOKUP(C241,Insumos!$A:$G,2,FALSE)</f>
        <v/>
      </c>
      <c r="E241" s="4" t="n">
        <v>350</v>
      </c>
      <c r="F241" t="inlineStr">
        <is>
          <t>ml</t>
        </is>
      </c>
      <c r="G241">
        <f>E241*VLOOKUP(C241,Insumos!$A:$G,7,FALSE)</f>
        <v/>
      </c>
      <c r="H241" t="inlineStr"/>
    </row>
    <row r="242">
      <c r="A242" t="n">
        <v>15</v>
      </c>
      <c r="B242" t="inlineStr">
        <is>
          <t>15 g Harina de almendra ultrafina o 15 g de harina de coco (reemplaza la cucharada de harina de trigo tradicional para ligar)</t>
        </is>
      </c>
      <c r="C242" t="inlineStr">
        <is>
          <t>HAL</t>
        </is>
      </c>
      <c r="D242">
        <f>VLOOKUP(C242,Insumos!$A:$G,2,FALSE)</f>
        <v/>
      </c>
      <c r="E242" s="4" t="n">
        <v>15</v>
      </c>
      <c r="F242" t="inlineStr">
        <is>
          <t>g</t>
        </is>
      </c>
      <c r="G242">
        <f>E242*VLOOKUP(C242,Insumos!$A:$G,7,FALSE)</f>
        <v/>
      </c>
      <c r="H242" t="inlineStr"/>
    </row>
    <row r="243">
      <c r="A243" t="n">
        <v>15</v>
      </c>
      <c r="B243" t="inlineStr">
        <is>
          <t>1 g Goma xantana (evita sinéresis en el centro blando)</t>
        </is>
      </c>
      <c r="C243" t="inlineStr">
        <is>
          <t>XAN</t>
        </is>
      </c>
      <c r="D243">
        <f>VLOOKUP(C243,Insumos!$A:$G,2,FALSE)</f>
        <v/>
      </c>
      <c r="E243" s="4" t="n">
        <v>1</v>
      </c>
      <c r="F243" t="inlineStr">
        <is>
          <t>g</t>
        </is>
      </c>
      <c r="G243">
        <f>E243*VLOOKUP(C243,Insumos!$A:$G,7,FALSE)</f>
        <v/>
      </c>
      <c r="H243" t="inlineStr"/>
    </row>
    <row r="244">
      <c r="A244" t="n">
        <v>15</v>
      </c>
      <c r="B244" t="inlineStr">
        <is>
          <t>10 ml Extracto puro de vainilla</t>
        </is>
      </c>
      <c r="C244" t="inlineStr">
        <is>
          <t>VAE</t>
        </is>
      </c>
      <c r="D244">
        <f>VLOOKUP(C244,Insumos!$A:$G,2,FALSE)</f>
        <v/>
      </c>
      <c r="E244" s="4" t="n">
        <v>10</v>
      </c>
      <c r="F244" t="inlineStr">
        <is>
          <t>ml</t>
        </is>
      </c>
      <c r="G244">
        <f>E244*VLOOKUP(C244,Insumos!$A:$G,7,FALSE)</f>
        <v/>
      </c>
      <c r="H244" t="inlineStr"/>
    </row>
    <row r="245">
      <c r="A245" t="n">
        <v>15</v>
      </c>
      <c r="B245" t="inlineStr">
        <is>
          <t>2 g Sal marina fina</t>
        </is>
      </c>
      <c r="C245" t="inlineStr">
        <is>
          <t>SAL</t>
        </is>
      </c>
      <c r="D245">
        <f>VLOOKUP(C245,Insumos!$A:$G,2,FALSE)</f>
        <v/>
      </c>
      <c r="E245" s="4" t="n">
        <v>2</v>
      </c>
      <c r="F245" t="inlineStr">
        <is>
          <t>g</t>
        </is>
      </c>
      <c r="G245">
        <f>E245*VLOOKUP(C245,Insumos!$A:$G,7,FALSE)</f>
        <v/>
      </c>
      <c r="H245" t="inlineStr"/>
    </row>
    <row r="246">
      <c r="A246" t="n">
        <v>16</v>
      </c>
      <c r="B246" t="inlineStr">
        <is>
          <t>120 g Harina de almendra fina</t>
        </is>
      </c>
      <c r="C246" t="inlineStr">
        <is>
          <t>HAL</t>
        </is>
      </c>
      <c r="D246">
        <f>VLOOKUP(C246,Insumos!$A:$G,2,FALSE)</f>
        <v/>
      </c>
      <c r="E246" s="4" t="n">
        <v>120</v>
      </c>
      <c r="F246" t="inlineStr">
        <is>
          <t>g</t>
        </is>
      </c>
      <c r="G246">
        <f>E246*VLOOKUP(C246,Insumos!$A:$G,7,FALSE)</f>
        <v/>
      </c>
      <c r="H246" t="inlineStr"/>
    </row>
    <row r="247">
      <c r="A247" t="n">
        <v>16</v>
      </c>
      <c r="B247" t="inlineStr">
        <is>
          <t>50 g Nueces pecanas finamente trituradas</t>
        </is>
      </c>
      <c r="C247" t="inlineStr">
        <is>
          <t>NPE</t>
        </is>
      </c>
      <c r="D247">
        <f>VLOOKUP(C247,Insumos!$A:$G,2,FALSE)</f>
        <v/>
      </c>
      <c r="E247" s="4" t="n">
        <v>50</v>
      </c>
      <c r="F247" t="inlineStr">
        <is>
          <t>g</t>
        </is>
      </c>
      <c r="G247">
        <f>E247*VLOOKUP(C247,Insumos!$A:$G,7,FALSE)</f>
        <v/>
      </c>
      <c r="H247" t="inlineStr"/>
    </row>
    <row r="248">
      <c r="A248" t="n">
        <v>16</v>
      </c>
      <c r="B248" t="inlineStr">
        <is>
          <t>30 g Eritritol pulverizado (aporta el crujiente en frío)</t>
        </is>
      </c>
      <c r="C248" t="inlineStr">
        <is>
          <t>ERP</t>
        </is>
      </c>
      <c r="D248">
        <f>VLOOKUP(C248,Insumos!$A:$G,2,FALSE)</f>
        <v/>
      </c>
      <c r="E248" s="4" t="n">
        <v>30</v>
      </c>
      <c r="F248" t="inlineStr">
        <is>
          <t>g</t>
        </is>
      </c>
      <c r="G248">
        <f>E248*VLOOKUP(C248,Insumos!$A:$G,7,FALSE)</f>
        <v/>
      </c>
      <c r="H248" t="inlineStr"/>
    </row>
    <row r="249">
      <c r="A249" t="n">
        <v>16</v>
      </c>
      <c r="B249" t="inlineStr">
        <is>
          <t>50 g Mantequilla sin sal derretida</t>
        </is>
      </c>
      <c r="C249" t="inlineStr">
        <is>
          <t>MAN</t>
        </is>
      </c>
      <c r="D249">
        <f>VLOOKUP(C249,Insumos!$A:$G,2,FALSE)</f>
        <v/>
      </c>
      <c r="E249" s="4" t="n">
        <v>50</v>
      </c>
      <c r="F249" t="inlineStr">
        <is>
          <t>g</t>
        </is>
      </c>
      <c r="G249">
        <f>E249*VLOOKUP(C249,Insumos!$A:$G,7,FALSE)</f>
        <v/>
      </c>
      <c r="H249" t="inlineStr"/>
    </row>
    <row r="250">
      <c r="A250" t="n">
        <v>16</v>
      </c>
      <c r="B250" t="inlineStr">
        <is>
          <t>200 g Zarzamoras frescas o congeladas</t>
        </is>
      </c>
      <c r="C250" t="inlineStr">
        <is>
          <t>ZAR</t>
        </is>
      </c>
      <c r="D250">
        <f>VLOOKUP(C250,Insumos!$A:$G,2,FALSE)</f>
        <v/>
      </c>
      <c r="E250" s="4" t="n">
        <v>200</v>
      </c>
      <c r="F250" t="inlineStr">
        <is>
          <t>g</t>
        </is>
      </c>
      <c r="G250">
        <f>E250*VLOOKUP(C250,Insumos!$A:$G,7,FALSE)</f>
        <v/>
      </c>
      <c r="H250" t="inlineStr"/>
    </row>
    <row r="251">
      <c r="A251" t="n">
        <v>16</v>
      </c>
      <c r="B251" t="inlineStr">
        <is>
          <t>40 g Alulosa cristalina</t>
        </is>
      </c>
      <c r="C251" t="inlineStr">
        <is>
          <t>ALU</t>
        </is>
      </c>
      <c r="D251">
        <f>VLOOKUP(C251,Insumos!$A:$G,2,FALSE)</f>
        <v/>
      </c>
      <c r="E251" s="4" t="n">
        <v>40</v>
      </c>
      <c r="F251" t="inlineStr">
        <is>
          <t>g</t>
        </is>
      </c>
      <c r="G251">
        <f>E251*VLOOKUP(C251,Insumos!$A:$G,7,FALSE)</f>
        <v/>
      </c>
      <c r="H251" t="inlineStr"/>
    </row>
    <row r="252">
      <c r="A252" t="n">
        <v>16</v>
      </c>
      <c r="B252" t="inlineStr">
        <is>
          <t>10 ml Zumo de limón criollo</t>
        </is>
      </c>
      <c r="C252" t="inlineStr">
        <is>
          <t>LIM</t>
        </is>
      </c>
      <c r="D252">
        <f>VLOOKUP(C252,Insumos!$A:$G,2,FALSE)</f>
        <v/>
      </c>
      <c r="E252" s="4" t="n">
        <v>0.25</v>
      </c>
      <c r="F252" t="inlineStr">
        <is>
          <t>pz</t>
        </is>
      </c>
      <c r="G252">
        <f>E252*VLOOKUP(C252,Insumos!$A:$G,7,FALSE)</f>
        <v/>
      </c>
      <c r="H252" t="inlineStr">
        <is>
          <t>Jugo convertido a piezas (limón ≈ 40 ml, naranja ≈ 80 ml)</t>
        </is>
      </c>
    </row>
    <row r="253">
      <c r="A253" t="n">
        <v>16</v>
      </c>
      <c r="B253" t="inlineStr">
        <is>
          <t>12 g Gelatina neutra en polvo de 250Bloom</t>
        </is>
      </c>
      <c r="C253" t="inlineStr">
        <is>
          <t>GEL</t>
        </is>
      </c>
      <c r="D253">
        <f>VLOOKUP(C253,Insumos!$A:$G,2,FALSE)</f>
        <v/>
      </c>
      <c r="E253" s="4" t="n">
        <v>12</v>
      </c>
      <c r="F253" t="inlineStr">
        <is>
          <t>g</t>
        </is>
      </c>
      <c r="G253">
        <f>E253*VLOOKUP(C253,Insumos!$A:$G,7,FALSE)</f>
        <v/>
      </c>
      <c r="H253" t="inlineStr"/>
    </row>
    <row r="254">
      <c r="A254" t="n">
        <v>16</v>
      </c>
      <c r="B254" t="inlineStr">
        <is>
          <t>60 ml Agua desmineralizada muy fría</t>
        </is>
      </c>
      <c r="C254" t="inlineStr">
        <is>
          <t>AGU</t>
        </is>
      </c>
      <c r="D254">
        <f>VLOOKUP(C254,Insumos!$A:$G,2,FALSE)</f>
        <v/>
      </c>
      <c r="E254" s="4" t="n">
        <v>60</v>
      </c>
      <c r="F254" t="inlineStr">
        <is>
          <t>ml</t>
        </is>
      </c>
      <c r="G254">
        <f>E254*VLOOKUP(C254,Insumos!$A:$G,7,FALSE)</f>
        <v/>
      </c>
      <c r="H254" t="inlineStr"/>
    </row>
    <row r="255">
      <c r="A255" t="n">
        <v>16</v>
      </c>
      <c r="B255" t="inlineStr">
        <is>
          <t>400 g Queso crema entero atemperado (20 °C)</t>
        </is>
      </c>
      <c r="C255" t="inlineStr">
        <is>
          <t>QCR</t>
        </is>
      </c>
      <c r="D255">
        <f>VLOOKUP(C255,Insumos!$A:$G,2,FALSE)</f>
        <v/>
      </c>
      <c r="E255" s="4" t="n">
        <v>400</v>
      </c>
      <c r="F255" t="inlineStr">
        <is>
          <t>g</t>
        </is>
      </c>
      <c r="G255">
        <f>E255*VLOOKUP(C255,Insumos!$A:$G,7,FALSE)</f>
        <v/>
      </c>
      <c r="H255" t="inlineStr"/>
    </row>
    <row r="256">
      <c r="A256" t="n">
        <v>16</v>
      </c>
      <c r="B256" t="inlineStr">
        <is>
          <t>120 g Alulosa pura cristalina (pulverizada en licuadora)</t>
        </is>
      </c>
      <c r="C256" t="inlineStr">
        <is>
          <t>ALU</t>
        </is>
      </c>
      <c r="D256">
        <f>VLOOKUP(C256,Insumos!$A:$G,2,FALSE)</f>
        <v/>
      </c>
      <c r="E256" s="4" t="n">
        <v>120</v>
      </c>
      <c r="F256" t="inlineStr">
        <is>
          <t>g</t>
        </is>
      </c>
      <c r="G256">
        <f>E256*VLOOKUP(C256,Insumos!$A:$G,7,FALSE)</f>
        <v/>
      </c>
      <c r="H256" t="inlineStr"/>
    </row>
    <row r="257">
      <c r="A257" t="n">
        <v>16</v>
      </c>
      <c r="B257" t="inlineStr">
        <is>
          <t>250 ml Crema para batir pasteurizada de vaca (35 % MG) muy fría</t>
        </is>
      </c>
      <c r="C257" t="inlineStr">
        <is>
          <t>CRE</t>
        </is>
      </c>
      <c r="D257">
        <f>VLOOKUP(C257,Insumos!$A:$G,2,FALSE)</f>
        <v/>
      </c>
      <c r="E257" s="4" t="n">
        <v>250</v>
      </c>
      <c r="F257" t="inlineStr">
        <is>
          <t>ml</t>
        </is>
      </c>
      <c r="G257">
        <f>E257*VLOOKUP(C257,Insumos!$A:$G,7,FALSE)</f>
        <v/>
      </c>
      <c r="H257" t="inlineStr"/>
    </row>
    <row r="258">
      <c r="A258" t="n">
        <v>16</v>
      </c>
      <c r="B258" t="inlineStr">
        <is>
          <t>10 ml Extracto puro natural de vainilla</t>
        </is>
      </c>
      <c r="C258" t="inlineStr">
        <is>
          <t>VAE</t>
        </is>
      </c>
      <c r="D258">
        <f>VLOOKUP(C258,Insumos!$A:$G,2,FALSE)</f>
        <v/>
      </c>
      <c r="E258" s="4" t="n">
        <v>10</v>
      </c>
      <c r="F258" t="inlineStr">
        <is>
          <t>ml</t>
        </is>
      </c>
      <c r="G258">
        <f>E258*VLOOKUP(C258,Insumos!$A:$G,7,FALSE)</f>
        <v/>
      </c>
      <c r="H258" t="inlineStr"/>
    </row>
    <row r="259">
      <c r="A259" t="n">
        <v>17</v>
      </c>
      <c r="B259" t="inlineStr">
        <is>
          <t>100 g Alulosa pura cristalina (100% alulosa, ninguna mezcla con eritritol)</t>
        </is>
      </c>
      <c r="C259" t="inlineStr">
        <is>
          <t>ALU</t>
        </is>
      </c>
      <c r="D259">
        <f>VLOOKUP(C259,Insumos!$A:$G,2,FALSE)</f>
        <v/>
      </c>
      <c r="E259" s="4" t="n">
        <v>100</v>
      </c>
      <c r="F259" t="inlineStr">
        <is>
          <t>g</t>
        </is>
      </c>
      <c r="G259">
        <f>E259*VLOOKUP(C259,Insumos!$A:$G,7,FALSE)</f>
        <v/>
      </c>
      <c r="H259" t="inlineStr"/>
    </row>
    <row r="260">
      <c r="A260" t="n">
        <v>17</v>
      </c>
      <c r="B260" t="inlineStr">
        <is>
          <t>30 ml Agua purificada</t>
        </is>
      </c>
      <c r="C260" t="inlineStr">
        <is>
          <t>AGU</t>
        </is>
      </c>
      <c r="D260">
        <f>VLOOKUP(C260,Insumos!$A:$G,2,FALSE)</f>
        <v/>
      </c>
      <c r="E260" s="4" t="n">
        <v>30</v>
      </c>
      <c r="F260" t="inlineStr">
        <is>
          <t>ml</t>
        </is>
      </c>
      <c r="G260">
        <f>E260*VLOOKUP(C260,Insumos!$A:$G,7,FALSE)</f>
        <v/>
      </c>
      <c r="H260" t="inlineStr"/>
    </row>
    <row r="261">
      <c r="A261" t="n">
        <v>17</v>
      </c>
      <c r="B261" t="inlineStr">
        <is>
          <t>6 Huevos enteros frescos L (300 g)</t>
        </is>
      </c>
      <c r="C261" t="inlineStr">
        <is>
          <t>HUE</t>
        </is>
      </c>
      <c r="D261">
        <f>VLOOKUP(C261,Insumos!$A:$G,2,FALSE)</f>
        <v/>
      </c>
      <c r="E261" s="4" t="n">
        <v>300</v>
      </c>
      <c r="F261" t="inlineStr">
        <is>
          <t>g</t>
        </is>
      </c>
      <c r="G261">
        <f>E261*VLOOKUP(C261,Insumos!$A:$G,7,FALSE)</f>
        <v/>
      </c>
      <c r="H261" t="inlineStr"/>
    </row>
    <row r="262">
      <c r="A262" t="n">
        <v>17</v>
      </c>
      <c r="B262" t="inlineStr">
        <is>
          <t>190 g Queso crema entero atemperado (sustituye el cuerpo de la leche condensada)</t>
        </is>
      </c>
      <c r="C262" t="inlineStr">
        <is>
          <t>QCR</t>
        </is>
      </c>
      <c r="D262">
        <f>VLOOKUP(C262,Insumos!$A:$G,2,FALSE)</f>
        <v/>
      </c>
      <c r="E262" s="4" t="n">
        <v>190</v>
      </c>
      <c r="F262" t="inlineStr">
        <is>
          <t>g</t>
        </is>
      </c>
      <c r="G262">
        <f>E262*VLOOKUP(C262,Insumos!$A:$G,7,FALSE)</f>
        <v/>
      </c>
      <c r="H262" t="inlineStr"/>
    </row>
    <row r="263">
      <c r="A263" t="n">
        <v>17</v>
      </c>
      <c r="B263" t="inlineStr">
        <is>
          <t>360 ml Leche evaporada sin azúcar (1 lata)</t>
        </is>
      </c>
      <c r="C263" t="inlineStr">
        <is>
          <t>LEV2</t>
        </is>
      </c>
      <c r="D263">
        <f>VLOOKUP(C263,Insumos!$A:$G,2,FALSE)</f>
        <v/>
      </c>
      <c r="E263" s="4" t="n">
        <v>360</v>
      </c>
      <c r="F263" t="inlineStr">
        <is>
          <t>ml</t>
        </is>
      </c>
      <c r="G263">
        <f>E263*VLOOKUP(C263,Insumos!$A:$G,7,FALSE)</f>
        <v/>
      </c>
      <c r="H263" t="inlineStr"/>
    </row>
    <row r="264">
      <c r="A264" t="n">
        <v>17</v>
      </c>
      <c r="B264" t="inlineStr">
        <is>
          <t>120 ml Leche de almendras sin azúcar (o crema para batir líquida para mayor riqueza)</t>
        </is>
      </c>
      <c r="C264" t="inlineStr">
        <is>
          <t>LAL</t>
        </is>
      </c>
      <c r="D264">
        <f>VLOOKUP(C264,Insumos!$A:$G,2,FALSE)</f>
        <v/>
      </c>
      <c r="E264" s="4" t="n">
        <v>120</v>
      </c>
      <c r="F264" t="inlineStr">
        <is>
          <t>ml</t>
        </is>
      </c>
      <c r="G264">
        <f>E264*VLOOKUP(C264,Insumos!$A:$G,7,FALSE)</f>
        <v/>
      </c>
      <c r="H264" t="inlineStr"/>
    </row>
    <row r="265">
      <c r="A265" t="n">
        <v>17</v>
      </c>
      <c r="B265" t="inlineStr">
        <is>
          <t>150 g Alulosa pura cristalina</t>
        </is>
      </c>
      <c r="C265" t="inlineStr">
        <is>
          <t>ALU</t>
        </is>
      </c>
      <c r="D265">
        <f>VLOOKUP(C265,Insumos!$A:$G,2,FALSE)</f>
        <v/>
      </c>
      <c r="E265" s="4" t="n">
        <v>150</v>
      </c>
      <c r="F265" t="inlineStr">
        <is>
          <t>g</t>
        </is>
      </c>
      <c r="G265">
        <f>E265*VLOOKUP(C265,Insumos!$A:$G,7,FALSE)</f>
        <v/>
      </c>
      <c r="H265" t="inlineStr"/>
    </row>
    <row r="266">
      <c r="A266" t="n">
        <v>17</v>
      </c>
      <c r="B266" t="inlineStr">
        <is>
          <t>15 ml Extracto puro natural de vainilla de Papantla</t>
        </is>
      </c>
      <c r="C266" t="inlineStr">
        <is>
          <t>VAE</t>
        </is>
      </c>
      <c r="D266">
        <f>VLOOKUP(C266,Insumos!$A:$G,2,FALSE)</f>
        <v/>
      </c>
      <c r="E266" s="4" t="n">
        <v>15</v>
      </c>
      <c r="F266" t="inlineStr">
        <is>
          <t>ml</t>
        </is>
      </c>
      <c r="G266">
        <f>E266*VLOOKUP(C266,Insumos!$A:$G,7,FALSE)</f>
        <v/>
      </c>
      <c r="H266" t="inlineStr"/>
    </row>
    <row r="267">
      <c r="A267" t="n">
        <v>17</v>
      </c>
      <c r="B267" t="inlineStr">
        <is>
          <t>1 g Sal marina fina</t>
        </is>
      </c>
      <c r="C267" t="inlineStr">
        <is>
          <t>SAL</t>
        </is>
      </c>
      <c r="D267">
        <f>VLOOKUP(C267,Insumos!$A:$G,2,FALSE)</f>
        <v/>
      </c>
      <c r="E267" s="4" t="n">
        <v>1</v>
      </c>
      <c r="F267" t="inlineStr">
        <is>
          <t>g</t>
        </is>
      </c>
      <c r="G267">
        <f>E267*VLOOKUP(C267,Insumos!$A:$G,7,FALSE)</f>
        <v/>
      </c>
      <c r="H267" t="inlineStr"/>
    </row>
    <row r="268">
      <c r="A268" t="n">
        <v>18</v>
      </c>
      <c r="B268" t="inlineStr">
        <is>
          <t>300 ml Leche de almendras pura sin azúcar</t>
        </is>
      </c>
      <c r="C268" t="inlineStr">
        <is>
          <t>LAL</t>
        </is>
      </c>
      <c r="D268">
        <f>VLOOKUP(C268,Insumos!$A:$G,2,FALSE)</f>
        <v/>
      </c>
      <c r="E268" s="4" t="n">
        <v>300</v>
      </c>
      <c r="F268" t="inlineStr">
        <is>
          <t>ml</t>
        </is>
      </c>
      <c r="G268">
        <f>E268*VLOOKUP(C268,Insumos!$A:$G,7,FALSE)</f>
        <v/>
      </c>
      <c r="H268" t="inlineStr"/>
    </row>
    <row r="269">
      <c r="A269" t="n">
        <v>18</v>
      </c>
      <c r="B269" t="inlineStr">
        <is>
          <t>200 ml Crema para batir (35 % MG)</t>
        </is>
      </c>
      <c r="C269" t="inlineStr">
        <is>
          <t>CRE</t>
        </is>
      </c>
      <c r="D269">
        <f>VLOOKUP(C269,Insumos!$A:$G,2,FALSE)</f>
        <v/>
      </c>
      <c r="E269" s="4" t="n">
        <v>200</v>
      </c>
      <c r="F269" t="inlineStr">
        <is>
          <t>ml</t>
        </is>
      </c>
      <c r="G269">
        <f>E269*VLOOKUP(C269,Insumos!$A:$G,7,FALSE)</f>
        <v/>
      </c>
      <c r="H269" t="inlineStr"/>
    </row>
    <row r="270">
      <c r="A270" t="n">
        <v>18</v>
      </c>
      <c r="B270" t="inlineStr">
        <is>
          <t>6 Yemas de huevo fresco L (120 g)</t>
        </is>
      </c>
      <c r="C270" t="inlineStr">
        <is>
          <t>YEM</t>
        </is>
      </c>
      <c r="D270">
        <f>VLOOKUP(C270,Insumos!$A:$G,2,FALSE)</f>
        <v/>
      </c>
      <c r="E270" s="4" t="n">
        <v>120</v>
      </c>
      <c r="F270" t="inlineStr">
        <is>
          <t>g</t>
        </is>
      </c>
      <c r="G270">
        <f>E270*VLOOKUP(C270,Insumos!$A:$G,7,FALSE)</f>
        <v/>
      </c>
      <c r="H270" t="inlineStr"/>
    </row>
    <row r="271">
      <c r="A271" t="n">
        <v>18</v>
      </c>
      <c r="B271" t="inlineStr">
        <is>
          <t>90 g Alulosa pura cristalina</t>
        </is>
      </c>
      <c r="C271" t="inlineStr">
        <is>
          <t>ALU</t>
        </is>
      </c>
      <c r="D271">
        <f>VLOOKUP(C271,Insumos!$A:$G,2,FALSE)</f>
        <v/>
      </c>
      <c r="E271" s="4" t="n">
        <v>90</v>
      </c>
      <c r="F271" t="inlineStr">
        <is>
          <t>g</t>
        </is>
      </c>
      <c r="G271">
        <f>E271*VLOOKUP(C271,Insumos!$A:$G,7,FALSE)</f>
        <v/>
      </c>
      <c r="H271" t="inlineStr"/>
    </row>
    <row r="272">
      <c r="A272" t="n">
        <v>18</v>
      </c>
      <c r="B272" t="inlineStr">
        <is>
          <t>2 g Goma xantana (o 3 g de goma guar/glucomanano)</t>
        </is>
      </c>
      <c r="C272" t="inlineStr">
        <is>
          <t>XAN</t>
        </is>
      </c>
      <c r="D272">
        <f>VLOOKUP(C272,Insumos!$A:$G,2,FALSE)</f>
        <v/>
      </c>
      <c r="E272" s="4" t="n">
        <v>2</v>
      </c>
      <c r="F272" t="inlineStr">
        <is>
          <t>g</t>
        </is>
      </c>
      <c r="G272">
        <f>E272*VLOOKUP(C272,Insumos!$A:$G,7,FALSE)</f>
        <v/>
      </c>
      <c r="H272" t="inlineStr"/>
    </row>
    <row r="273">
      <c r="A273" t="n">
        <v>18</v>
      </c>
      <c r="B273" t="inlineStr">
        <is>
          <t>1 Vaina de vainilla (semillas) o 15 ml de extracto puro</t>
        </is>
      </c>
      <c r="C273" t="inlineStr">
        <is>
          <t>VAV</t>
        </is>
      </c>
      <c r="D273">
        <f>VLOOKUP(C273,Insumos!$A:$G,2,FALSE)</f>
        <v/>
      </c>
      <c r="E273" s="4" t="n">
        <v>1</v>
      </c>
      <c r="F273" t="inlineStr">
        <is>
          <t>pz</t>
        </is>
      </c>
      <c r="G273">
        <f>E273*VLOOKUP(C273,Insumos!$A:$G,7,FALSE)</f>
        <v/>
      </c>
      <c r="H273" t="inlineStr"/>
    </row>
    <row r="274">
      <c r="A274" t="n">
        <v>18</v>
      </c>
      <c r="B274" t="inlineStr">
        <is>
          <t>200 g Bizcocho genovés keto o recortes de Victoria Sponge (Fórmula 9)</t>
        </is>
      </c>
      <c r="C274" t="inlineStr">
        <is>
          <t>SUB1</t>
        </is>
      </c>
      <c r="D274">
        <f>VLOOKUP(C274,Insumos!$A:$G,2,FALSE)</f>
        <v/>
      </c>
      <c r="E274" s="4" t="n">
        <v>200</v>
      </c>
      <c r="F274" t="inlineStr">
        <is>
          <t>g</t>
        </is>
      </c>
      <c r="G274">
        <f>E274*VLOOKUP(C274,Insumos!$A:$G,7,FALSE)</f>
        <v/>
      </c>
      <c r="H274" t="inlineStr">
        <is>
          <t>Sub-receta: se costea con la Base B-1</t>
        </is>
      </c>
    </row>
    <row r="275">
      <c r="A275" t="n">
        <v>18</v>
      </c>
      <c r="B275" t="inlineStr">
        <is>
          <t>80 ml Infusión de frutos rojos o té rojo (para calar el bizcocho)</t>
        </is>
      </c>
      <c r="C275" t="inlineStr">
        <is>
          <t>AGU</t>
        </is>
      </c>
      <c r="D275">
        <f>VLOOKUP(C275,Insumos!$A:$G,2,FALSE)</f>
        <v/>
      </c>
      <c r="E275" s="4" t="n">
        <v>80</v>
      </c>
      <c r="F275" t="inlineStr">
        <is>
          <t>ml</t>
        </is>
      </c>
      <c r="G275">
        <f>E275*VLOOKUP(C275,Insumos!$A:$G,7,FALSE)</f>
        <v/>
      </c>
      <c r="H275" t="inlineStr">
        <is>
          <t>Infusión: se costea como agua</t>
        </is>
      </c>
    </row>
    <row r="276">
      <c r="A276" t="n">
        <v>18</v>
      </c>
      <c r="B276" t="inlineStr">
        <is>
          <t>250 g Fresas y frambuesas picadas</t>
        </is>
      </c>
      <c r="C276" t="inlineStr">
        <is>
          <t>FRO</t>
        </is>
      </c>
      <c r="D276">
        <f>VLOOKUP(C276,Insumos!$A:$G,2,FALSE)</f>
        <v/>
      </c>
      <c r="E276" s="4" t="n">
        <v>250</v>
      </c>
      <c r="F276" t="inlineStr">
        <is>
          <t>g</t>
        </is>
      </c>
      <c r="G276">
        <f>E276*VLOOKUP(C276,Insumos!$A:$G,7,FALSE)</f>
        <v/>
      </c>
      <c r="H276" t="inlineStr"/>
    </row>
    <row r="277">
      <c r="A277" t="n">
        <v>18</v>
      </c>
      <c r="B277" t="inlineStr">
        <is>
          <t>40 g Eritritol pulverizado</t>
        </is>
      </c>
      <c r="C277" t="inlineStr">
        <is>
          <t>ERP</t>
        </is>
      </c>
      <c r="D277">
        <f>VLOOKUP(C277,Insumos!$A:$G,2,FALSE)</f>
        <v/>
      </c>
      <c r="E277" s="4" t="n">
        <v>40</v>
      </c>
      <c r="F277" t="inlineStr">
        <is>
          <t>g</t>
        </is>
      </c>
      <c r="G277">
        <f>E277*VLOOKUP(C277,Insumos!$A:$G,7,FALSE)</f>
        <v/>
      </c>
      <c r="H277" t="inlineStr"/>
    </row>
    <row r="278">
      <c r="A278" t="n">
        <v>18</v>
      </c>
      <c r="B278" t="inlineStr">
        <is>
          <t>10 ml Zumo de limón criollo</t>
        </is>
      </c>
      <c r="C278" t="inlineStr">
        <is>
          <t>LIM</t>
        </is>
      </c>
      <c r="D278">
        <f>VLOOKUP(C278,Insumos!$A:$G,2,FALSE)</f>
        <v/>
      </c>
      <c r="E278" s="4" t="n">
        <v>0.25</v>
      </c>
      <c r="F278" t="inlineStr">
        <is>
          <t>pz</t>
        </is>
      </c>
      <c r="G278">
        <f>E278*VLOOKUP(C278,Insumos!$A:$G,7,FALSE)</f>
        <v/>
      </c>
      <c r="H278" t="inlineStr">
        <is>
          <t>Jugo convertido a piezas (limón ≈ 40 ml, naranja ≈ 80 ml)</t>
        </is>
      </c>
    </row>
    <row r="279">
      <c r="A279" t="n">
        <v>19</v>
      </c>
      <c r="B279" t="inlineStr">
        <is>
          <t>180 g Corazones de cáñamo descascarados (Hemp hearts, sin sabor a hierba)</t>
        </is>
      </c>
      <c r="C279" t="inlineStr">
        <is>
          <t>CAÑ</t>
        </is>
      </c>
      <c r="D279">
        <f>VLOOKUP(C279,Insumos!$A:$G,2,FALSE)</f>
        <v/>
      </c>
      <c r="E279" s="4" t="n">
        <v>180</v>
      </c>
      <c r="F279" t="inlineStr">
        <is>
          <t>g</t>
        </is>
      </c>
      <c r="G279">
        <f>E279*VLOOKUP(C279,Insumos!$A:$G,7,FALSE)</f>
        <v/>
      </c>
      <c r="H279" t="inlineStr"/>
    </row>
    <row r="280">
      <c r="A280" t="n">
        <v>19</v>
      </c>
      <c r="B280" t="inlineStr">
        <is>
          <t>20 g Semillas de chía blanca (la chía negra funciona igual pero altera el color visual)</t>
        </is>
      </c>
      <c r="C280" t="inlineStr">
        <is>
          <t>CHA</t>
        </is>
      </c>
      <c r="D280">
        <f>VLOOKUP(C280,Insumos!$A:$G,2,FALSE)</f>
        <v/>
      </c>
      <c r="E280" s="4" t="n">
        <v>20</v>
      </c>
      <c r="F280" t="inlineStr">
        <is>
          <t>g</t>
        </is>
      </c>
      <c r="G280">
        <f>E280*VLOOKUP(C280,Insumos!$A:$G,7,FALSE)</f>
        <v/>
      </c>
      <c r="H280" t="inlineStr"/>
    </row>
    <row r="281">
      <c r="A281" t="n">
        <v>19</v>
      </c>
      <c r="B281" t="inlineStr">
        <is>
          <t>250 ml Crema para batir pasteurizada de vaca (35 % MG)</t>
        </is>
      </c>
      <c r="C281" t="inlineStr">
        <is>
          <t>CRE</t>
        </is>
      </c>
      <c r="D281">
        <f>VLOOKUP(C281,Insumos!$A:$G,2,FALSE)</f>
        <v/>
      </c>
      <c r="E281" s="4" t="n">
        <v>250</v>
      </c>
      <c r="F281" t="inlineStr">
        <is>
          <t>ml</t>
        </is>
      </c>
      <c r="G281">
        <f>E281*VLOOKUP(C281,Insumos!$A:$G,7,FALSE)</f>
        <v/>
      </c>
      <c r="H281" t="inlineStr"/>
    </row>
    <row r="282">
      <c r="A282" t="n">
        <v>19</v>
      </c>
      <c r="B282" t="inlineStr">
        <is>
          <t>200 ml Leche de almendras pura sin azúcar</t>
        </is>
      </c>
      <c r="C282" t="inlineStr">
        <is>
          <t>LAL</t>
        </is>
      </c>
      <c r="D282">
        <f>VLOOKUP(C282,Insumos!$A:$G,2,FALSE)</f>
        <v/>
      </c>
      <c r="E282" s="4" t="n">
        <v>200</v>
      </c>
      <c r="F282" t="inlineStr">
        <is>
          <t>ml</t>
        </is>
      </c>
      <c r="G282">
        <f>E282*VLOOKUP(C282,Insumos!$A:$G,7,FALSE)</f>
        <v/>
      </c>
      <c r="H282" t="inlineStr"/>
    </row>
    <row r="283">
      <c r="A283" t="n">
        <v>19</v>
      </c>
      <c r="B283" t="inlineStr">
        <is>
          <t>120 ml Leche evaporada sin azúcar (opcional, aporta cuerpo)</t>
        </is>
      </c>
      <c r="C283" t="inlineStr">
        <is>
          <t>LEV2</t>
        </is>
      </c>
      <c r="D283">
        <f>VLOOKUP(C283,Insumos!$A:$G,2,FALSE)</f>
        <v/>
      </c>
      <c r="E283" s="4" t="n">
        <v>120</v>
      </c>
      <c r="F283" t="inlineStr">
        <is>
          <t>ml</t>
        </is>
      </c>
      <c r="G283">
        <f>E283*VLOOKUP(C283,Insumos!$A:$G,7,FALSE)</f>
        <v/>
      </c>
      <c r="H283" t="inlineStr"/>
    </row>
    <row r="284">
      <c r="A284" t="n">
        <v>19</v>
      </c>
      <c r="B284" t="inlineStr">
        <is>
          <t>80 g Alulosa pura cristalina</t>
        </is>
      </c>
      <c r="C284" t="inlineStr">
        <is>
          <t>ALU</t>
        </is>
      </c>
      <c r="D284">
        <f>VLOOKUP(C284,Insumos!$A:$G,2,FALSE)</f>
        <v/>
      </c>
      <c r="E284" s="4" t="n">
        <v>80</v>
      </c>
      <c r="F284" t="inlineStr">
        <is>
          <t>g</t>
        </is>
      </c>
      <c r="G284">
        <f>E284*VLOOKUP(C284,Insumos!$A:$G,7,FALSE)</f>
        <v/>
      </c>
      <c r="H284" t="inlineStr"/>
    </row>
    <row r="285">
      <c r="A285" t="n">
        <v>19</v>
      </c>
      <c r="B285" t="inlineStr">
        <is>
          <t>0.1 g Estevia pura Rebaudiósido M</t>
        </is>
      </c>
      <c r="C285" t="inlineStr">
        <is>
          <t>EST</t>
        </is>
      </c>
      <c r="D285">
        <f>VLOOKUP(C285,Insumos!$A:$G,2,FALSE)</f>
        <v/>
      </c>
      <c r="E285" s="4" t="n">
        <v>0.1</v>
      </c>
      <c r="F285" t="inlineStr">
        <is>
          <t>g</t>
        </is>
      </c>
      <c r="G285">
        <f>E285*VLOOKUP(C285,Insumos!$A:$G,7,FALSE)</f>
        <v/>
      </c>
      <c r="H285" t="inlineStr"/>
    </row>
    <row r="286">
      <c r="A286" t="n">
        <v>19</v>
      </c>
      <c r="B286" t="inlineStr">
        <is>
          <t>2 Ramas de canela de Ceilán partidas</t>
        </is>
      </c>
      <c r="C286" t="inlineStr">
        <is>
          <t>CAR</t>
        </is>
      </c>
      <c r="D286">
        <f>VLOOKUP(C286,Insumos!$A:$G,2,FALSE)</f>
        <v/>
      </c>
      <c r="E286" s="4" t="n">
        <v>2</v>
      </c>
      <c r="F286" t="inlineStr">
        <is>
          <t>pz</t>
        </is>
      </c>
      <c r="G286">
        <f>E286*VLOOKUP(C286,Insumos!$A:$G,7,FALSE)</f>
        <v/>
      </c>
      <c r="H286" t="inlineStr"/>
    </row>
    <row r="287">
      <c r="A287" t="n">
        <v>19</v>
      </c>
      <c r="B287" t="inlineStr">
        <is>
          <t>2 Tiras finas de cáscara de limón amarillo (solo flavedo, sin lo blanco)</t>
        </is>
      </c>
      <c r="C287" t="inlineStr">
        <is>
          <t>LIM</t>
        </is>
      </c>
      <c r="D287">
        <f>VLOOKUP(C287,Insumos!$A:$G,2,FALSE)</f>
        <v/>
      </c>
      <c r="E287" s="4" t="n">
        <v>0.5</v>
      </c>
      <c r="F287" t="inlineStr">
        <is>
          <t>pz</t>
        </is>
      </c>
      <c r="G287">
        <f>E287*VLOOKUP(C287,Insumos!$A:$G,7,FALSE)</f>
        <v/>
      </c>
      <c r="H287" t="inlineStr">
        <is>
          <t>Solo la cáscara; se costea media pieza</t>
        </is>
      </c>
    </row>
    <row r="288">
      <c r="A288" t="n">
        <v>19</v>
      </c>
      <c r="B288" t="inlineStr">
        <is>
          <t>10 ml Extracto de vainilla</t>
        </is>
      </c>
      <c r="C288" t="inlineStr">
        <is>
          <t>VAE</t>
        </is>
      </c>
      <c r="D288">
        <f>VLOOKUP(C288,Insumos!$A:$G,2,FALSE)</f>
        <v/>
      </c>
      <c r="E288" s="4" t="n">
        <v>10</v>
      </c>
      <c r="F288" t="inlineStr">
        <is>
          <t>ml</t>
        </is>
      </c>
      <c r="G288">
        <f>E288*VLOOKUP(C288,Insumos!$A:$G,7,FALSE)</f>
        <v/>
      </c>
      <c r="H288" t="inlineStr"/>
    </row>
    <row r="289">
      <c r="A289" t="n">
        <v>19</v>
      </c>
      <c r="B289" t="inlineStr">
        <is>
          <t>1 g Sal marina fina</t>
        </is>
      </c>
      <c r="C289" t="inlineStr">
        <is>
          <t>SAL</t>
        </is>
      </c>
      <c r="D289">
        <f>VLOOKUP(C289,Insumos!$A:$G,2,FALSE)</f>
        <v/>
      </c>
      <c r="E289" s="4" t="n">
        <v>1</v>
      </c>
      <c r="F289" t="inlineStr">
        <is>
          <t>g</t>
        </is>
      </c>
      <c r="G289">
        <f>E289*VLOOKUP(C289,Insumos!$A:$G,7,FALSE)</f>
        <v/>
      </c>
      <c r="H289" t="inlineStr"/>
    </row>
    <row r="290">
      <c r="A290" t="n">
        <v>20</v>
      </c>
      <c r="B290" t="inlineStr">
        <is>
          <t>180 g Mantequilla de vaca sin sal (82 % MG) fría de refrigerador, cortada en dados de 1 cm</t>
        </is>
      </c>
      <c r="C290" t="inlineStr">
        <is>
          <t>MAN</t>
        </is>
      </c>
      <c r="D290">
        <f>VLOOKUP(C290,Insumos!$A:$G,2,FALSE)</f>
        <v/>
      </c>
      <c r="E290" s="4" t="n">
        <v>180</v>
      </c>
      <c r="F290" t="inlineStr">
        <is>
          <t>g</t>
        </is>
      </c>
      <c r="G290">
        <f>E290*VLOOKUP(C290,Insumos!$A:$G,7,FALSE)</f>
        <v/>
      </c>
      <c r="H290" t="inlineStr"/>
    </row>
    <row r="291">
      <c r="A291" t="n">
        <v>20</v>
      </c>
      <c r="B291" t="inlineStr">
        <is>
          <t>100 g Eritritol granulado (aporta la costra crujiente exterior)</t>
        </is>
      </c>
      <c r="C291" t="inlineStr">
        <is>
          <t>ERG</t>
        </is>
      </c>
      <c r="D291">
        <f>VLOOKUP(C291,Insumos!$A:$G,2,FALSE)</f>
        <v/>
      </c>
      <c r="E291" s="4" t="n">
        <v>100</v>
      </c>
      <c r="F291" t="inlineStr">
        <is>
          <t>g</t>
        </is>
      </c>
      <c r="G291">
        <f>E291*VLOOKUP(C291,Insumos!$A:$G,7,FALSE)</f>
        <v/>
      </c>
      <c r="H291" t="inlineStr"/>
    </row>
    <row r="292">
      <c r="A292" t="n">
        <v>20</v>
      </c>
      <c r="B292" t="inlineStr">
        <is>
          <t>70 g Alulosa pura cristalina (aporta el centro chicloso y el dorado)</t>
        </is>
      </c>
      <c r="C292" t="inlineStr">
        <is>
          <t>ALU</t>
        </is>
      </c>
      <c r="D292">
        <f>VLOOKUP(C292,Insumos!$A:$G,2,FALSE)</f>
        <v/>
      </c>
      <c r="E292" s="4" t="n">
        <v>70</v>
      </c>
      <c r="F292" t="inlineStr">
        <is>
          <t>g</t>
        </is>
      </c>
      <c r="G292">
        <f>E292*VLOOKUP(C292,Insumos!$A:$G,7,FALSE)</f>
        <v/>
      </c>
      <c r="H292" t="inlineStr"/>
    </row>
    <row r="293">
      <c r="A293" t="n">
        <v>20</v>
      </c>
      <c r="B293" t="inlineStr">
        <is>
          <t>10 ml Extracto puro natural de vainilla</t>
        </is>
      </c>
      <c r="C293" t="inlineStr">
        <is>
          <t>VAE</t>
        </is>
      </c>
      <c r="D293">
        <f>VLOOKUP(C293,Insumos!$A:$G,2,FALSE)</f>
        <v/>
      </c>
      <c r="E293" s="4" t="n">
        <v>10</v>
      </c>
      <c r="F293" t="inlineStr">
        <is>
          <t>ml</t>
        </is>
      </c>
      <c r="G293">
        <f>E293*VLOOKUP(C293,Insumos!$A:$G,7,FALSE)</f>
        <v/>
      </c>
      <c r="H293" t="inlineStr"/>
    </row>
    <row r="294">
      <c r="A294" t="n">
        <v>20</v>
      </c>
      <c r="B294" t="inlineStr">
        <is>
          <t>1 Huevo entero fresco L (50 g) a temperatura ambiente</t>
        </is>
      </c>
      <c r="C294" t="inlineStr">
        <is>
          <t>HUE</t>
        </is>
      </c>
      <c r="D294">
        <f>VLOOKUP(C294,Insumos!$A:$G,2,FALSE)</f>
        <v/>
      </c>
      <c r="E294" s="4" t="n">
        <v>50</v>
      </c>
      <c r="F294" t="inlineStr">
        <is>
          <t>g</t>
        </is>
      </c>
      <c r="G294">
        <f>E294*VLOOKUP(C294,Insumos!$A:$G,7,FALSE)</f>
        <v/>
      </c>
      <c r="H294" t="inlineStr"/>
    </row>
    <row r="295">
      <c r="A295" t="n">
        <v>20</v>
      </c>
      <c r="B295" t="inlineStr">
        <is>
          <t>1 Yema de huevo L (20 g) (aporta lecitina y grasa para mayor densidad)</t>
        </is>
      </c>
      <c r="C295" t="inlineStr">
        <is>
          <t>YEM</t>
        </is>
      </c>
      <c r="D295">
        <f>VLOOKUP(C295,Insumos!$A:$G,2,FALSE)</f>
        <v/>
      </c>
      <c r="E295" s="4" t="n">
        <v>20</v>
      </c>
      <c r="F295" t="inlineStr">
        <is>
          <t>g</t>
        </is>
      </c>
      <c r="G295">
        <f>E295*VLOOKUP(C295,Insumos!$A:$G,7,FALSE)</f>
        <v/>
      </c>
      <c r="H295" t="inlineStr"/>
    </row>
    <row r="296">
      <c r="A296" t="n">
        <v>20</v>
      </c>
      <c r="B296" t="inlineStr">
        <is>
          <t>280 g Harina de almendra fina sin piel</t>
        </is>
      </c>
      <c r="C296" t="inlineStr">
        <is>
          <t>HAL</t>
        </is>
      </c>
      <c r="D296">
        <f>VLOOKUP(C296,Insumos!$A:$G,2,FALSE)</f>
        <v/>
      </c>
      <c r="E296" s="4" t="n">
        <v>280</v>
      </c>
      <c r="F296" t="inlineStr">
        <is>
          <t>g</t>
        </is>
      </c>
      <c r="G296">
        <f>E296*VLOOKUP(C296,Insumos!$A:$G,7,FALSE)</f>
        <v/>
      </c>
      <c r="H296" t="inlineStr"/>
    </row>
    <row r="297">
      <c r="A297" t="n">
        <v>20</v>
      </c>
      <c r="B297" t="inlineStr">
        <is>
          <t>30 g Harina de coco desgrasada (retiene estructura)</t>
        </is>
      </c>
      <c r="C297" t="inlineStr">
        <is>
          <t>HCO</t>
        </is>
      </c>
      <c r="D297">
        <f>VLOOKUP(C297,Insumos!$A:$G,2,FALSE)</f>
        <v/>
      </c>
      <c r="E297" s="4" t="n">
        <v>30</v>
      </c>
      <c r="F297" t="inlineStr">
        <is>
          <t>g</t>
        </is>
      </c>
      <c r="G297">
        <f>E297*VLOOKUP(C297,Insumos!$A:$G,7,FALSE)</f>
        <v/>
      </c>
      <c r="H297" t="inlineStr"/>
    </row>
    <row r="298">
      <c r="A298" t="n">
        <v>20</v>
      </c>
      <c r="B298" t="inlineStr">
        <is>
          <t>8 g Gelatina neutra en polvo de 200Bloom (secreto técnico de la masticabilidad)</t>
        </is>
      </c>
      <c r="C298" t="inlineStr">
        <is>
          <t>GEL</t>
        </is>
      </c>
      <c r="D298">
        <f>VLOOKUP(C298,Insumos!$A:$G,2,FALSE)</f>
        <v/>
      </c>
      <c r="E298" s="4" t="n">
        <v>8</v>
      </c>
      <c r="F298" t="inlineStr">
        <is>
          <t>g</t>
        </is>
      </c>
      <c r="G298">
        <f>E298*VLOOKUP(C298,Insumos!$A:$G,7,FALSE)</f>
        <v/>
      </c>
      <c r="H298" t="inlineStr"/>
    </row>
    <row r="299">
      <c r="A299" t="n">
        <v>20</v>
      </c>
      <c r="B299" t="inlineStr">
        <is>
          <t>4 g Goma xantana</t>
        </is>
      </c>
      <c r="C299" t="inlineStr">
        <is>
          <t>XAN</t>
        </is>
      </c>
      <c r="D299">
        <f>VLOOKUP(C299,Insumos!$A:$G,2,FALSE)</f>
        <v/>
      </c>
      <c r="E299" s="4" t="n">
        <v>4</v>
      </c>
      <c r="F299" t="inlineStr">
        <is>
          <t>g</t>
        </is>
      </c>
      <c r="G299">
        <f>E299*VLOOKUP(C299,Insumos!$A:$G,7,FALSE)</f>
        <v/>
      </c>
      <c r="H299" t="inlineStr"/>
    </row>
    <row r="300">
      <c r="A300" t="n">
        <v>20</v>
      </c>
      <c r="B300" t="inlineStr">
        <is>
          <t>6 g Polvo para hornear doble acción</t>
        </is>
      </c>
      <c r="C300" t="inlineStr">
        <is>
          <t>PPH</t>
        </is>
      </c>
      <c r="D300">
        <f>VLOOKUP(C300,Insumos!$A:$G,2,FALSE)</f>
        <v/>
      </c>
      <c r="E300" s="4" t="n">
        <v>6</v>
      </c>
      <c r="F300" t="inlineStr">
        <is>
          <t>g</t>
        </is>
      </c>
      <c r="G300">
        <f>E300*VLOOKUP(C300,Insumos!$A:$G,7,FALSE)</f>
        <v/>
      </c>
      <c r="H300" t="inlineStr"/>
    </row>
    <row r="301">
      <c r="A301" t="n">
        <v>20</v>
      </c>
      <c r="B301" t="inlineStr">
        <is>
          <t>3 g Sal marina fina (o sal en escamas para decorar)</t>
        </is>
      </c>
      <c r="C301" t="inlineStr">
        <is>
          <t>SAL</t>
        </is>
      </c>
      <c r="D301">
        <f>VLOOKUP(C301,Insumos!$A:$G,2,FALSE)</f>
        <v/>
      </c>
      <c r="E301" s="4" t="n">
        <v>3</v>
      </c>
      <c r="F301" t="inlineStr">
        <is>
          <t>g</t>
        </is>
      </c>
      <c r="G301">
        <f>E301*VLOOKUP(C301,Insumos!$A:$G,7,FALSE)</f>
        <v/>
      </c>
      <c r="H301" t="inlineStr"/>
    </row>
    <row r="302">
      <c r="A302" t="n">
        <v>20</v>
      </c>
      <c r="B302" t="inlineStr">
        <is>
          <t>200 g Trozos rústicos (chunks) de chocolate negro sin azúcar 70 % cacao</t>
        </is>
      </c>
      <c r="C302" t="inlineStr">
        <is>
          <t>CH70</t>
        </is>
      </c>
      <c r="D302">
        <f>VLOOKUP(C302,Insumos!$A:$G,2,FALSE)</f>
        <v/>
      </c>
      <c r="E302" s="4" t="n">
        <v>200</v>
      </c>
      <c r="F302" t="inlineStr">
        <is>
          <t>g</t>
        </is>
      </c>
      <c r="G302">
        <f>E302*VLOOKUP(C302,Insumos!$A:$G,7,FALSE)</f>
        <v/>
      </c>
      <c r="H302" t="inlineStr"/>
    </row>
    <row r="303">
      <c r="A303" t="n">
        <v>21</v>
      </c>
      <c r="B303" t="inlineStr">
        <is>
          <t>220 g Harina de almendra fina sin piel (tamizada)</t>
        </is>
      </c>
      <c r="C303" t="inlineStr">
        <is>
          <t>HAL</t>
        </is>
      </c>
      <c r="D303">
        <f>VLOOKUP(C303,Insumos!$A:$G,2,FALSE)</f>
        <v/>
      </c>
      <c r="E303" s="4" t="n">
        <v>220</v>
      </c>
      <c r="F303" t="inlineStr">
        <is>
          <t>g</t>
        </is>
      </c>
      <c r="G303">
        <f>E303*VLOOKUP(C303,Insumos!$A:$G,7,FALSE)</f>
        <v/>
      </c>
      <c r="H303" t="inlineStr"/>
    </row>
    <row r="304">
      <c r="A304" t="n">
        <v>21</v>
      </c>
      <c r="B304" t="inlineStr">
        <is>
          <t>30 g Harina de lupino o harina de coco (aporta cuerpo seco a la masa)</t>
        </is>
      </c>
      <c r="C304" t="inlineStr">
        <is>
          <t>HCO</t>
        </is>
      </c>
      <c r="D304">
        <f>VLOOKUP(C304,Insumos!$A:$G,2,FALSE)</f>
        <v/>
      </c>
      <c r="E304" s="4" t="n">
        <v>30</v>
      </c>
      <c r="F304" t="inlineStr">
        <is>
          <t>g</t>
        </is>
      </c>
      <c r="G304">
        <f>E304*VLOOKUP(C304,Insumos!$A:$G,7,FALSE)</f>
        <v/>
      </c>
      <c r="H304" t="inlineStr"/>
    </row>
    <row r="305">
      <c r="A305" t="n">
        <v>21</v>
      </c>
      <c r="B305" t="inlineStr">
        <is>
          <t>80 g Eritritol 100% puro pulverizado a textura impalpable (NO usar alulosa)</t>
        </is>
      </c>
      <c r="C305" t="inlineStr">
        <is>
          <t>ERP</t>
        </is>
      </c>
      <c r="D305">
        <f>VLOOKUP(C305,Insumos!$A:$G,2,FALSE)</f>
        <v/>
      </c>
      <c r="E305" s="4" t="n">
        <v>80</v>
      </c>
      <c r="F305" t="inlineStr">
        <is>
          <t>g</t>
        </is>
      </c>
      <c r="G305">
        <f>E305*VLOOKUP(C305,Insumos!$A:$G,7,FALSE)</f>
        <v/>
      </c>
      <c r="H305" t="inlineStr"/>
    </row>
    <row r="306">
      <c r="A306" t="n">
        <v>21</v>
      </c>
      <c r="B306" t="inlineStr">
        <is>
          <t>2 g Sal marina fina</t>
        </is>
      </c>
      <c r="C306" t="inlineStr">
        <is>
          <t>SAL</t>
        </is>
      </c>
      <c r="D306">
        <f>VLOOKUP(C306,Insumos!$A:$G,2,FALSE)</f>
        <v/>
      </c>
      <c r="E306" s="4" t="n">
        <v>2</v>
      </c>
      <c r="F306" t="inlineStr">
        <is>
          <t>g</t>
        </is>
      </c>
      <c r="G306">
        <f>E306*VLOOKUP(C306,Insumos!$A:$G,7,FALSE)</f>
        <v/>
      </c>
      <c r="H306" t="inlineStr"/>
    </row>
    <row r="307">
      <c r="A307" t="n">
        <v>21</v>
      </c>
      <c r="B307" t="inlineStr">
        <is>
          <t>150 g Mantequilla de vaca sin sal (82 % MG) fría, en cubos</t>
        </is>
      </c>
      <c r="C307" t="inlineStr">
        <is>
          <t>MAN</t>
        </is>
      </c>
      <c r="D307">
        <f>VLOOKUP(C307,Insumos!$A:$G,2,FALSE)</f>
        <v/>
      </c>
      <c r="E307" s="4" t="n">
        <v>150</v>
      </c>
      <c r="F307" t="inlineStr">
        <is>
          <t>g</t>
        </is>
      </c>
      <c r="G307">
        <f>E307*VLOOKUP(C307,Insumos!$A:$G,7,FALSE)</f>
        <v/>
      </c>
      <c r="H307" t="inlineStr"/>
    </row>
    <row r="308">
      <c r="A308" t="n">
        <v>21</v>
      </c>
      <c r="B308" t="inlineStr">
        <is>
          <t>5 ml Extracto natural de vainilla (base alcohol, no base agua)</t>
        </is>
      </c>
      <c r="C308" t="inlineStr">
        <is>
          <t>VAE</t>
        </is>
      </c>
      <c r="D308">
        <f>VLOOKUP(C308,Insumos!$A:$G,2,FALSE)</f>
        <v/>
      </c>
      <c r="E308" s="4" t="n">
        <v>5</v>
      </c>
      <c r="F308" t="inlineStr">
        <is>
          <t>ml</t>
        </is>
      </c>
      <c r="G308">
        <f>E308*VLOOKUP(C308,Insumos!$A:$G,7,FALSE)</f>
        <v/>
      </c>
      <c r="H308" t="inlineStr"/>
    </row>
    <row r="309">
      <c r="A309" t="n">
        <v>22</v>
      </c>
      <c r="B309" t="inlineStr">
        <is>
          <t>250 ml Crema para batir pasteurizada de vaca (35 % MG)</t>
        </is>
      </c>
      <c r="C309" t="inlineStr">
        <is>
          <t>CRE</t>
        </is>
      </c>
      <c r="D309">
        <f>VLOOKUP(C309,Insumos!$A:$G,2,FALSE)</f>
        <v/>
      </c>
      <c r="E309" s="4" t="n">
        <v>250</v>
      </c>
      <c r="F309" t="inlineStr">
        <is>
          <t>ml</t>
        </is>
      </c>
      <c r="G309">
        <f>E309*VLOOKUP(C309,Insumos!$A:$G,7,FALSE)</f>
        <v/>
      </c>
      <c r="H309" t="inlineStr"/>
    </row>
    <row r="310">
      <c r="A310" t="n">
        <v>22</v>
      </c>
      <c r="B310" t="inlineStr">
        <is>
          <t>100 g Alulosa pura cristalina</t>
        </is>
      </c>
      <c r="C310" t="inlineStr">
        <is>
          <t>ALU</t>
        </is>
      </c>
      <c r="D310">
        <f>VLOOKUP(C310,Insumos!$A:$G,2,FALSE)</f>
        <v/>
      </c>
      <c r="E310" s="4" t="n">
        <v>100</v>
      </c>
      <c r="F310" t="inlineStr">
        <is>
          <t>g</t>
        </is>
      </c>
      <c r="G310">
        <f>E310*VLOOKUP(C310,Insumos!$A:$G,7,FALSE)</f>
        <v/>
      </c>
      <c r="H310" t="inlineStr"/>
    </row>
    <row r="311">
      <c r="A311" t="n">
        <v>22</v>
      </c>
      <c r="B311" t="inlineStr">
        <is>
          <t>30 g Mantequilla sin sal</t>
        </is>
      </c>
      <c r="C311" t="inlineStr">
        <is>
          <t>MAN</t>
        </is>
      </c>
      <c r="D311">
        <f>VLOOKUP(C311,Insumos!$A:$G,2,FALSE)</f>
        <v/>
      </c>
      <c r="E311" s="4" t="n">
        <v>30</v>
      </c>
      <c r="F311" t="inlineStr">
        <is>
          <t>g</t>
        </is>
      </c>
      <c r="G311">
        <f>E311*VLOOKUP(C311,Insumos!$A:$G,7,FALSE)</f>
        <v/>
      </c>
      <c r="H311" t="inlineStr"/>
    </row>
    <row r="312">
      <c r="A312" t="n">
        <v>22</v>
      </c>
      <c r="B312" t="inlineStr">
        <is>
          <t>5 ml Extracto de vainilla</t>
        </is>
      </c>
      <c r="C312" t="inlineStr">
        <is>
          <t>VAE</t>
        </is>
      </c>
      <c r="D312">
        <f>VLOOKUP(C312,Insumos!$A:$G,2,FALSE)</f>
        <v/>
      </c>
      <c r="E312" s="4" t="n">
        <v>5</v>
      </c>
      <c r="F312" t="inlineStr">
        <is>
          <t>ml</t>
        </is>
      </c>
      <c r="G312">
        <f>E312*VLOOKUP(C312,Insumos!$A:$G,7,FALSE)</f>
        <v/>
      </c>
      <c r="H312" t="inlineStr"/>
    </row>
    <row r="313">
      <c r="A313" t="n">
        <v>22</v>
      </c>
      <c r="B313" t="inlineStr">
        <is>
          <t>1 g Goma xantana + 1 g Bicarbonato de sodio (reacción de pardeamiento)</t>
        </is>
      </c>
      <c r="C313" t="inlineStr">
        <is>
          <t>XAN</t>
        </is>
      </c>
      <c r="D313">
        <f>VLOOKUP(C313,Insumos!$A:$G,2,FALSE)</f>
        <v/>
      </c>
      <c r="E313" s="4" t="n">
        <v>1</v>
      </c>
      <c r="F313" t="inlineStr">
        <is>
          <t>g</t>
        </is>
      </c>
      <c r="G313">
        <f>E313*VLOOKUP(C313,Insumos!$A:$G,7,FALSE)</f>
        <v/>
      </c>
      <c r="H313" t="inlineStr"/>
    </row>
    <row r="314">
      <c r="A314" t="n">
        <v>22</v>
      </c>
      <c r="B314" t="inlineStr">
        <is>
          <t>1 g Goma xantana + 1 g Bicarbonato de sodio (reacción de pardeamiento)</t>
        </is>
      </c>
      <c r="C314" t="inlineStr">
        <is>
          <t>BIC</t>
        </is>
      </c>
      <c r="D314">
        <f>VLOOKUP(C314,Insumos!$A:$G,2,FALSE)</f>
        <v/>
      </c>
      <c r="E314" s="4" t="n">
        <v>1</v>
      </c>
      <c r="F314" t="inlineStr">
        <is>
          <t>g</t>
        </is>
      </c>
      <c r="G314">
        <f>E314*VLOOKUP(C314,Insumos!$A:$G,7,FALSE)</f>
        <v/>
      </c>
      <c r="H314" t="inlineStr"/>
    </row>
    <row r="315">
      <c r="A315" t="n">
        <v>22</v>
      </c>
      <c r="B315" t="inlineStr">
        <is>
          <t>150 g Harina de almendra fina</t>
        </is>
      </c>
      <c r="C315" t="inlineStr">
        <is>
          <t>HAL</t>
        </is>
      </c>
      <c r="D315">
        <f>VLOOKUP(C315,Insumos!$A:$G,2,FALSE)</f>
        <v/>
      </c>
      <c r="E315" s="4" t="n">
        <v>150</v>
      </c>
      <c r="F315" t="inlineStr">
        <is>
          <t>g</t>
        </is>
      </c>
      <c r="G315">
        <f>E315*VLOOKUP(C315,Insumos!$A:$G,7,FALSE)</f>
        <v/>
      </c>
      <c r="H315" t="inlineStr"/>
    </row>
    <row r="316">
      <c r="A316" t="n">
        <v>22</v>
      </c>
      <c r="B316" t="inlineStr">
        <is>
          <t>50 g Harina de nuez pecana fina (pecanas molidas en seco)</t>
        </is>
      </c>
      <c r="C316" t="inlineStr">
        <is>
          <t>HPE</t>
        </is>
      </c>
      <c r="D316">
        <f>VLOOKUP(C316,Insumos!$A:$G,2,FALSE)</f>
        <v/>
      </c>
      <c r="E316" s="4" t="n">
        <v>50</v>
      </c>
      <c r="F316" t="inlineStr">
        <is>
          <t>g</t>
        </is>
      </c>
      <c r="G316">
        <f>E316*VLOOKUP(C316,Insumos!$A:$G,7,FALSE)</f>
        <v/>
      </c>
      <c r="H316" t="inlineStr"/>
    </row>
    <row r="317">
      <c r="A317" t="n">
        <v>22</v>
      </c>
      <c r="B317" t="inlineStr">
        <is>
          <t>40 g Almidón resistente Tipo 4 (RS4) o fibra de avena ultrafina (imita la maicena)</t>
        </is>
      </c>
      <c r="C317" t="inlineStr">
        <is>
          <t>FBA</t>
        </is>
      </c>
      <c r="D317">
        <f>VLOOKUP(C317,Insumos!$A:$G,2,FALSE)</f>
        <v/>
      </c>
      <c r="E317" s="4" t="n">
        <v>40</v>
      </c>
      <c r="F317" t="inlineStr">
        <is>
          <t>g</t>
        </is>
      </c>
      <c r="G317">
        <f>E317*VLOOKUP(C317,Insumos!$A:$G,7,FALSE)</f>
        <v/>
      </c>
      <c r="H317" t="inlineStr"/>
    </row>
    <row r="318">
      <c r="A318" t="n">
        <v>22</v>
      </c>
      <c r="B318" t="inlineStr">
        <is>
          <t>60 g Eritritol pulverizado + 20 g Alulosa cristalina</t>
        </is>
      </c>
      <c r="C318" t="inlineStr">
        <is>
          <t>ERP</t>
        </is>
      </c>
      <c r="D318">
        <f>VLOOKUP(C318,Insumos!$A:$G,2,FALSE)</f>
        <v/>
      </c>
      <c r="E318" s="4" t="n">
        <v>60</v>
      </c>
      <c r="F318" t="inlineStr">
        <is>
          <t>g</t>
        </is>
      </c>
      <c r="G318">
        <f>E318*VLOOKUP(C318,Insumos!$A:$G,7,FALSE)</f>
        <v/>
      </c>
      <c r="H318" t="inlineStr"/>
    </row>
    <row r="319">
      <c r="A319" t="n">
        <v>22</v>
      </c>
      <c r="B319" t="inlineStr">
        <is>
          <t>60 g Eritritol pulverizado + 20 g Alulosa cristalina</t>
        </is>
      </c>
      <c r="C319" t="inlineStr">
        <is>
          <t>ALU</t>
        </is>
      </c>
      <c r="D319">
        <f>VLOOKUP(C319,Insumos!$A:$G,2,FALSE)</f>
        <v/>
      </c>
      <c r="E319" s="4" t="n">
        <v>20</v>
      </c>
      <c r="F319" t="inlineStr">
        <is>
          <t>g</t>
        </is>
      </c>
      <c r="G319">
        <f>E319*VLOOKUP(C319,Insumos!$A:$G,7,FALSE)</f>
        <v/>
      </c>
      <c r="H319" t="inlineStr"/>
    </row>
    <row r="320">
      <c r="A320" t="n">
        <v>22</v>
      </c>
      <c r="B320" t="inlineStr">
        <is>
          <t>100 g Mantequilla sin sal pomada</t>
        </is>
      </c>
      <c r="C320" t="inlineStr">
        <is>
          <t>MAN</t>
        </is>
      </c>
      <c r="D320">
        <f>VLOOKUP(C320,Insumos!$A:$G,2,FALSE)</f>
        <v/>
      </c>
      <c r="E320" s="4" t="n">
        <v>100</v>
      </c>
      <c r="F320" t="inlineStr">
        <is>
          <t>g</t>
        </is>
      </c>
      <c r="G320">
        <f>E320*VLOOKUP(C320,Insumos!$A:$G,7,FALSE)</f>
        <v/>
      </c>
      <c r="H320" t="inlineStr"/>
    </row>
    <row r="321">
      <c r="A321" t="n">
        <v>22</v>
      </c>
      <c r="B321" t="inlineStr">
        <is>
          <t>2 Yemas de huevo fresco (40 g)</t>
        </is>
      </c>
      <c r="C321" t="inlineStr">
        <is>
          <t>YEM</t>
        </is>
      </c>
      <c r="D321">
        <f>VLOOKUP(C321,Insumos!$A:$G,2,FALSE)</f>
        <v/>
      </c>
      <c r="E321" s="4" t="n">
        <v>40</v>
      </c>
      <c r="F321" t="inlineStr">
        <is>
          <t>g</t>
        </is>
      </c>
      <c r="G321">
        <f>E321*VLOOKUP(C321,Insumos!$A:$G,7,FALSE)</f>
        <v/>
      </c>
      <c r="H321" t="inlineStr"/>
    </row>
    <row r="322">
      <c r="A322" t="n">
        <v>22</v>
      </c>
      <c r="B322" t="inlineStr">
        <is>
          <t>4 g Polvo para hornear</t>
        </is>
      </c>
      <c r="C322" t="inlineStr">
        <is>
          <t>PPH</t>
        </is>
      </c>
      <c r="D322">
        <f>VLOOKUP(C322,Insumos!$A:$G,2,FALSE)</f>
        <v/>
      </c>
      <c r="E322" s="4" t="n">
        <v>4</v>
      </c>
      <c r="F322" t="inlineStr">
        <is>
          <t>g</t>
        </is>
      </c>
      <c r="G322">
        <f>E322*VLOOKUP(C322,Insumos!$A:$G,7,FALSE)</f>
        <v/>
      </c>
      <c r="H322" t="inlineStr"/>
    </row>
    <row r="323">
      <c r="A323" t="n">
        <v>22</v>
      </c>
      <c r="B323" t="inlineStr">
        <is>
          <t>5 ml Extracto de vainilla</t>
        </is>
      </c>
      <c r="C323" t="inlineStr">
        <is>
          <t>VAE</t>
        </is>
      </c>
      <c r="D323">
        <f>VLOOKUP(C323,Insumos!$A:$G,2,FALSE)</f>
        <v/>
      </c>
      <c r="E323" s="4" t="n">
        <v>5</v>
      </c>
      <c r="F323" t="inlineStr">
        <is>
          <t>ml</t>
        </is>
      </c>
      <c r="G323">
        <f>E323*VLOOKUP(C323,Insumos!$A:$G,7,FALSE)</f>
        <v/>
      </c>
      <c r="H323" t="inlineStr"/>
    </row>
    <row r="324">
      <c r="A324" t="n">
        <v>22</v>
      </c>
      <c r="B324" t="inlineStr">
        <is>
          <t>30 g Coco rallado deshidratado fino sin azúcar (para los bordes)</t>
        </is>
      </c>
      <c r="C324" t="inlineStr">
        <is>
          <t>COC</t>
        </is>
      </c>
      <c r="D324">
        <f>VLOOKUP(C324,Insumos!$A:$G,2,FALSE)</f>
        <v/>
      </c>
      <c r="E324" s="4" t="n">
        <v>30</v>
      </c>
      <c r="F324" t="inlineStr">
        <is>
          <t>g</t>
        </is>
      </c>
      <c r="G324">
        <f>E324*VLOOKUP(C324,Insumos!$A:$G,7,FALSE)</f>
        <v/>
      </c>
      <c r="H324" t="inlineStr"/>
    </row>
    <row r="325">
      <c r="A325" t="n">
        <v>23</v>
      </c>
      <c r="B325" t="inlineStr">
        <is>
          <t>180 g Harina de almendra fina sin piel</t>
        </is>
      </c>
      <c r="C325" t="inlineStr">
        <is>
          <t>HAL</t>
        </is>
      </c>
      <c r="D325">
        <f>VLOOKUP(C325,Insumos!$A:$G,2,FALSE)</f>
        <v/>
      </c>
      <c r="E325" s="4" t="n">
        <v>180</v>
      </c>
      <c r="F325" t="inlineStr">
        <is>
          <t>g</t>
        </is>
      </c>
      <c r="G325">
        <f>E325*VLOOKUP(C325,Insumos!$A:$G,7,FALSE)</f>
        <v/>
      </c>
      <c r="H325" t="inlineStr"/>
    </row>
    <row r="326">
      <c r="A326" t="n">
        <v>23</v>
      </c>
      <c r="B326" t="inlineStr">
        <is>
          <t>30 g Harina de coco desgrasada</t>
        </is>
      </c>
      <c r="C326" t="inlineStr">
        <is>
          <t>HCO</t>
        </is>
      </c>
      <c r="D326">
        <f>VLOOKUP(C326,Insumos!$A:$G,2,FALSE)</f>
        <v/>
      </c>
      <c r="E326" s="4" t="n">
        <v>30</v>
      </c>
      <c r="F326" t="inlineStr">
        <is>
          <t>g</t>
        </is>
      </c>
      <c r="G326">
        <f>E326*VLOOKUP(C326,Insumos!$A:$G,7,FALSE)</f>
        <v/>
      </c>
      <c r="H326" t="inlineStr"/>
    </row>
    <row r="327">
      <c r="A327" t="n">
        <v>23</v>
      </c>
      <c r="B327" t="inlineStr">
        <is>
          <t>45 g Eritritol pulverizado grado glas</t>
        </is>
      </c>
      <c r="C327" t="inlineStr">
        <is>
          <t>ERP</t>
        </is>
      </c>
      <c r="D327">
        <f>VLOOKUP(C327,Insumos!$A:$G,2,FALSE)</f>
        <v/>
      </c>
      <c r="E327" s="4" t="n">
        <v>45</v>
      </c>
      <c r="F327" t="inlineStr">
        <is>
          <t>g</t>
        </is>
      </c>
      <c r="G327">
        <f>E327*VLOOKUP(C327,Insumos!$A:$G,7,FALSE)</f>
        <v/>
      </c>
      <c r="H327" t="inlineStr"/>
    </row>
    <row r="328">
      <c r="A328" t="n">
        <v>23</v>
      </c>
      <c r="B328" t="inlineStr">
        <is>
          <t>70 g Mantequilla sin sal fría en cubos</t>
        </is>
      </c>
      <c r="C328" t="inlineStr">
        <is>
          <t>MAN</t>
        </is>
      </c>
      <c r="D328">
        <f>VLOOKUP(C328,Insumos!$A:$G,2,FALSE)</f>
        <v/>
      </c>
      <c r="E328" s="4" t="n">
        <v>70</v>
      </c>
      <c r="F328" t="inlineStr">
        <is>
          <t>g</t>
        </is>
      </c>
      <c r="G328">
        <f>E328*VLOOKUP(C328,Insumos!$A:$G,7,FALSE)</f>
        <v/>
      </c>
      <c r="H328" t="inlineStr"/>
    </row>
    <row r="329">
      <c r="A329" t="n">
        <v>23</v>
      </c>
      <c r="B329" t="inlineStr">
        <is>
          <t>1 Huevo mediano frío (50 g)</t>
        </is>
      </c>
      <c r="C329" t="inlineStr">
        <is>
          <t>HUE</t>
        </is>
      </c>
      <c r="D329">
        <f>VLOOKUP(C329,Insumos!$A:$G,2,FALSE)</f>
        <v/>
      </c>
      <c r="E329" s="4" t="n">
        <v>50</v>
      </c>
      <c r="F329" t="inlineStr">
        <is>
          <t>g</t>
        </is>
      </c>
      <c r="G329">
        <f>E329*VLOOKUP(C329,Insumos!$A:$G,7,FALSE)</f>
        <v/>
      </c>
      <c r="H329" t="inlineStr"/>
    </row>
    <row r="330">
      <c r="A330" t="n">
        <v>23</v>
      </c>
      <c r="B330" t="inlineStr">
        <is>
          <t>2 g Goma xantana + 1 g Sal marina</t>
        </is>
      </c>
      <c r="C330" t="inlineStr">
        <is>
          <t>XAN</t>
        </is>
      </c>
      <c r="D330">
        <f>VLOOKUP(C330,Insumos!$A:$G,2,FALSE)</f>
        <v/>
      </c>
      <c r="E330" s="4" t="n">
        <v>2</v>
      </c>
      <c r="F330" t="inlineStr">
        <is>
          <t>g</t>
        </is>
      </c>
      <c r="G330">
        <f>E330*VLOOKUP(C330,Insumos!$A:$G,7,FALSE)</f>
        <v/>
      </c>
      <c r="H330" t="inlineStr"/>
    </row>
    <row r="331">
      <c r="A331" t="n">
        <v>23</v>
      </c>
      <c r="B331" t="inlineStr">
        <is>
          <t>2 g Goma xantana + 1 g Sal marina</t>
        </is>
      </c>
      <c r="C331" t="inlineStr">
        <is>
          <t>SAL</t>
        </is>
      </c>
      <c r="D331">
        <f>VLOOKUP(C331,Insumos!$A:$G,2,FALSE)</f>
        <v/>
      </c>
      <c r="E331" s="4" t="n">
        <v>1</v>
      </c>
      <c r="F331" t="inlineStr">
        <is>
          <t>g</t>
        </is>
      </c>
      <c r="G331">
        <f>E331*VLOOKUP(C331,Insumos!$A:$G,7,FALSE)</f>
        <v/>
      </c>
      <c r="H331" t="inlineStr"/>
    </row>
    <row r="332">
      <c r="A332" t="n">
        <v>23</v>
      </c>
      <c r="B332" t="inlineStr">
        <is>
          <t>25 g Manteca de cacao pura fundida o chocolate blanco sin azúcar fundido</t>
        </is>
      </c>
      <c r="C332" t="inlineStr">
        <is>
          <t>MCA</t>
        </is>
      </c>
      <c r="D332">
        <f>VLOOKUP(C332,Insumos!$A:$G,2,FALSE)</f>
        <v/>
      </c>
      <c r="E332" s="4" t="n">
        <v>25</v>
      </c>
      <c r="F332" t="inlineStr">
        <is>
          <t>g</t>
        </is>
      </c>
      <c r="G332">
        <f>E332*VLOOKUP(C332,Insumos!$A:$G,7,FALSE)</f>
        <v/>
      </c>
      <c r="H332" t="inlineStr"/>
    </row>
    <row r="333">
      <c r="A333" t="n">
        <v>23</v>
      </c>
      <c r="B333" t="inlineStr">
        <is>
          <t>200 ml Leche de almendras pura + 100 ml Crema para batir (35 % MG)</t>
        </is>
      </c>
      <c r="C333" t="inlineStr">
        <is>
          <t>LAL</t>
        </is>
      </c>
      <c r="D333">
        <f>VLOOKUP(C333,Insumos!$A:$G,2,FALSE)</f>
        <v/>
      </c>
      <c r="E333" s="4" t="n">
        <v>200</v>
      </c>
      <c r="F333" t="inlineStr">
        <is>
          <t>ml</t>
        </is>
      </c>
      <c r="G333">
        <f>E333*VLOOKUP(C333,Insumos!$A:$G,7,FALSE)</f>
        <v/>
      </c>
      <c r="H333" t="inlineStr"/>
    </row>
    <row r="334">
      <c r="A334" t="n">
        <v>23</v>
      </c>
      <c r="B334" t="inlineStr">
        <is>
          <t>200 ml Leche de almendras pura + 100 ml Crema para batir (35 % MG)</t>
        </is>
      </c>
      <c r="C334" t="inlineStr">
        <is>
          <t>CRE</t>
        </is>
      </c>
      <c r="D334">
        <f>VLOOKUP(C334,Insumos!$A:$G,2,FALSE)</f>
        <v/>
      </c>
      <c r="E334" s="4" t="n">
        <v>100</v>
      </c>
      <c r="F334" t="inlineStr">
        <is>
          <t>ml</t>
        </is>
      </c>
      <c r="G334">
        <f>E334*VLOOKUP(C334,Insumos!$A:$G,7,FALSE)</f>
        <v/>
      </c>
      <c r="H334" t="inlineStr"/>
    </row>
    <row r="335">
      <c r="A335" t="n">
        <v>23</v>
      </c>
      <c r="B335" t="inlineStr">
        <is>
          <t>4 Yemas de huevo (80 g) + 60 g Alulosa pura cristalina</t>
        </is>
      </c>
      <c r="C335" t="inlineStr">
        <is>
          <t>YEM</t>
        </is>
      </c>
      <c r="D335">
        <f>VLOOKUP(C335,Insumos!$A:$G,2,FALSE)</f>
        <v/>
      </c>
      <c r="E335" s="4" t="n">
        <v>80</v>
      </c>
      <c r="F335" t="inlineStr">
        <is>
          <t>g</t>
        </is>
      </c>
      <c r="G335">
        <f>E335*VLOOKUP(C335,Insumos!$A:$G,7,FALSE)</f>
        <v/>
      </c>
      <c r="H335" t="inlineStr"/>
    </row>
    <row r="336">
      <c r="A336" t="n">
        <v>23</v>
      </c>
      <c r="B336" t="inlineStr">
        <is>
          <t>4 Yemas de huevo (80 g) + 60 g Alulosa pura cristalina</t>
        </is>
      </c>
      <c r="C336" t="inlineStr">
        <is>
          <t>ALU</t>
        </is>
      </c>
      <c r="D336">
        <f>VLOOKUP(C336,Insumos!$A:$G,2,FALSE)</f>
        <v/>
      </c>
      <c r="E336" s="4" t="n">
        <v>60</v>
      </c>
      <c r="F336" t="inlineStr">
        <is>
          <t>g</t>
        </is>
      </c>
      <c r="G336">
        <f>E336*VLOOKUP(C336,Insumos!$A:$G,7,FALSE)</f>
        <v/>
      </c>
      <c r="H336" t="inlineStr"/>
    </row>
    <row r="337">
      <c r="A337" t="n">
        <v>23</v>
      </c>
      <c r="B337" t="inlineStr">
        <is>
          <t>1.5 g Goma xantana</t>
        </is>
      </c>
      <c r="C337" t="inlineStr">
        <is>
          <t>XAN</t>
        </is>
      </c>
      <c r="D337">
        <f>VLOOKUP(C337,Insumos!$A:$G,2,FALSE)</f>
        <v/>
      </c>
      <c r="E337" s="4" t="n">
        <v>1.5</v>
      </c>
      <c r="F337" t="inlineStr">
        <is>
          <t>g</t>
        </is>
      </c>
      <c r="G337">
        <f>E337*VLOOKUP(C337,Insumos!$A:$G,7,FALSE)</f>
        <v/>
      </c>
      <c r="H337" t="inlineStr"/>
    </row>
    <row r="338">
      <c r="A338" t="n">
        <v>23</v>
      </c>
      <c r="B338" t="inlineStr">
        <is>
          <t>10 ml Pasta de vainilla</t>
        </is>
      </c>
      <c r="C338" t="inlineStr">
        <is>
          <t>VAP</t>
        </is>
      </c>
      <c r="D338">
        <f>VLOOKUP(C338,Insumos!$A:$G,2,FALSE)</f>
        <v/>
      </c>
      <c r="E338" s="4" t="n">
        <v>10</v>
      </c>
      <c r="F338" t="inlineStr">
        <is>
          <t>g</t>
        </is>
      </c>
      <c r="G338">
        <f>E338*VLOOKUP(C338,Insumos!$A:$G,7,FALSE)</f>
        <v/>
      </c>
      <c r="H338" t="inlineStr"/>
    </row>
    <row r="339">
      <c r="A339" t="n">
        <v>23</v>
      </c>
      <c r="B339" t="inlineStr">
        <is>
          <t>200 g Fruta fresca mixta (fresas, zarzamoras, arándanos, frambuesas) lavada y secada</t>
        </is>
      </c>
      <c r="C339" t="inlineStr">
        <is>
          <t>FMX</t>
        </is>
      </c>
      <c r="D339">
        <f>VLOOKUP(C339,Insumos!$A:$G,2,FALSE)</f>
        <v/>
      </c>
      <c r="E339" s="4" t="n">
        <v>200</v>
      </c>
      <c r="F339" t="inlineStr">
        <is>
          <t>g</t>
        </is>
      </c>
      <c r="G339">
        <f>E339*VLOOKUP(C339,Insumos!$A:$G,7,FALSE)</f>
        <v/>
      </c>
      <c r="H339" t="inlineStr"/>
    </row>
    <row r="340">
      <c r="A340" t="n">
        <v>23</v>
      </c>
      <c r="B340" t="inlineStr">
        <is>
          <t>80 ml Agua purificada + 30 g Alulosa cristalina</t>
        </is>
      </c>
      <c r="C340" t="inlineStr">
        <is>
          <t>AGU</t>
        </is>
      </c>
      <c r="D340">
        <f>VLOOKUP(C340,Insumos!$A:$G,2,FALSE)</f>
        <v/>
      </c>
      <c r="E340" s="4" t="n">
        <v>80</v>
      </c>
      <c r="F340" t="inlineStr">
        <is>
          <t>ml</t>
        </is>
      </c>
      <c r="G340">
        <f>E340*VLOOKUP(C340,Insumos!$A:$G,7,FALSE)</f>
        <v/>
      </c>
      <c r="H340" t="inlineStr"/>
    </row>
    <row r="341">
      <c r="A341" t="n">
        <v>23</v>
      </c>
      <c r="B341" t="inlineStr">
        <is>
          <t>80 ml Agua purificada + 30 g Alulosa cristalina</t>
        </is>
      </c>
      <c r="C341" t="inlineStr">
        <is>
          <t>ALU</t>
        </is>
      </c>
      <c r="D341">
        <f>VLOOKUP(C341,Insumos!$A:$G,2,FALSE)</f>
        <v/>
      </c>
      <c r="E341" s="4" t="n">
        <v>30</v>
      </c>
      <c r="F341" t="inlineStr">
        <is>
          <t>g</t>
        </is>
      </c>
      <c r="G341">
        <f>E341*VLOOKUP(C341,Insumos!$A:$G,7,FALSE)</f>
        <v/>
      </c>
      <c r="H341" t="inlineStr"/>
    </row>
    <row r="342">
      <c r="A342" t="n">
        <v>23</v>
      </c>
      <c r="B342" t="inlineStr">
        <is>
          <t>1.5 g Pectina de bajo metoxilo (LM) mezclada con 10 g de alulosa</t>
        </is>
      </c>
      <c r="C342" t="inlineStr">
        <is>
          <t>PEC</t>
        </is>
      </c>
      <c r="D342">
        <f>VLOOKUP(C342,Insumos!$A:$G,2,FALSE)</f>
        <v/>
      </c>
      <c r="E342" s="4" t="n">
        <v>1.5</v>
      </c>
      <c r="F342" t="inlineStr">
        <is>
          <t>g</t>
        </is>
      </c>
      <c r="G342">
        <f>E342*VLOOKUP(C342,Insumos!$A:$G,7,FALSE)</f>
        <v/>
      </c>
      <c r="H342" t="inlineStr"/>
    </row>
    <row r="343">
      <c r="A343" t="n">
        <v>23</v>
      </c>
      <c r="B343" t="inlineStr">
        <is>
          <t>5 ml Zumo de limón</t>
        </is>
      </c>
      <c r="C343" t="inlineStr">
        <is>
          <t>LIM</t>
        </is>
      </c>
      <c r="D343">
        <f>VLOOKUP(C343,Insumos!$A:$G,2,FALSE)</f>
        <v/>
      </c>
      <c r="E343" s="4" t="n">
        <v>0.12</v>
      </c>
      <c r="F343" t="inlineStr">
        <is>
          <t>pz</t>
        </is>
      </c>
      <c r="G343">
        <f>E343*VLOOKUP(C343,Insumos!$A:$G,7,FALSE)</f>
        <v/>
      </c>
      <c r="H343" t="inlineStr">
        <is>
          <t>Jugo convertido a piezas (limón ≈ 40 ml, naranja ≈ 80 ml)</t>
        </is>
      </c>
    </row>
    <row r="344">
      <c r="A344" t="n">
        <v>24</v>
      </c>
      <c r="B344" t="inlineStr">
        <is>
          <t>250 g Harina de almendra fina sin piel (se tostará en el horno previo al uso)</t>
        </is>
      </c>
      <c r="C344" t="inlineStr">
        <is>
          <t>HAL</t>
        </is>
      </c>
      <c r="D344">
        <f>VLOOKUP(C344,Insumos!$A:$G,2,FALSE)</f>
        <v/>
      </c>
      <c r="E344" s="4" t="n">
        <v>250</v>
      </c>
      <c r="F344" t="inlineStr">
        <is>
          <t>g</t>
        </is>
      </c>
      <c r="G344">
        <f>E344*VLOOKUP(C344,Insumos!$A:$G,7,FALSE)</f>
        <v/>
      </c>
      <c r="H344" t="inlineStr"/>
    </row>
    <row r="345">
      <c r="A345" t="n">
        <v>24</v>
      </c>
      <c r="B345" t="inlineStr">
        <is>
          <t>110 g Manteca de cerdo de alta calidad (tradicional española) o mantequilla clarificada (Ghee) sólida a 20 °C</t>
        </is>
      </c>
      <c r="C345" t="inlineStr">
        <is>
          <t>MCE</t>
        </is>
      </c>
      <c r="D345">
        <f>VLOOKUP(C345,Insumos!$A:$G,2,FALSE)</f>
        <v/>
      </c>
      <c r="E345" s="4" t="n">
        <v>110</v>
      </c>
      <c r="F345" t="inlineStr">
        <is>
          <t>g</t>
        </is>
      </c>
      <c r="G345">
        <f>E345*VLOOKUP(C345,Insumos!$A:$G,7,FALSE)</f>
        <v/>
      </c>
      <c r="H345" t="inlineStr"/>
    </row>
    <row r="346">
      <c r="A346" t="n">
        <v>24</v>
      </c>
      <c r="B346" t="inlineStr">
        <is>
          <t>80 g Eritritol 100% puro pulverizado grado glas</t>
        </is>
      </c>
      <c r="C346" t="inlineStr">
        <is>
          <t>ERP</t>
        </is>
      </c>
      <c r="D346">
        <f>VLOOKUP(C346,Insumos!$A:$G,2,FALSE)</f>
        <v/>
      </c>
      <c r="E346" s="4" t="n">
        <v>80</v>
      </c>
      <c r="F346" t="inlineStr">
        <is>
          <t>g</t>
        </is>
      </c>
      <c r="G346">
        <f>E346*VLOOKUP(C346,Insumos!$A:$G,7,FALSE)</f>
        <v/>
      </c>
      <c r="H346" t="inlineStr"/>
    </row>
    <row r="347">
      <c r="A347" t="n">
        <v>24</v>
      </c>
      <c r="B347" t="inlineStr">
        <is>
          <t>Ralladura fina (solo flavedo) de 1 naranja Valencia</t>
        </is>
      </c>
      <c r="C347" t="inlineStr">
        <is>
          <t>NAR</t>
        </is>
      </c>
      <c r="D347">
        <f>VLOOKUP(C347,Insumos!$A:$G,2,FALSE)</f>
        <v/>
      </c>
      <c r="E347" s="4" t="n">
        <v>1</v>
      </c>
      <c r="F347" t="inlineStr">
        <is>
          <t>pz</t>
        </is>
      </c>
      <c r="G347">
        <f>E347*VLOOKUP(C347,Insumos!$A:$G,7,FALSE)</f>
        <v/>
      </c>
      <c r="H347" t="inlineStr">
        <is>
          <t>Solo la ralladura; se costea la fruta completa</t>
        </is>
      </c>
    </row>
    <row r="348">
      <c r="A348" t="n">
        <v>24</v>
      </c>
      <c r="B348" t="inlineStr">
        <is>
          <t>4 g Canela de Ceilán en polvo</t>
        </is>
      </c>
      <c r="C348" t="inlineStr">
        <is>
          <t>CAP</t>
        </is>
      </c>
      <c r="D348">
        <f>VLOOKUP(C348,Insumos!$A:$G,2,FALSE)</f>
        <v/>
      </c>
      <c r="E348" s="4" t="n">
        <v>4</v>
      </c>
      <c r="F348" t="inlineStr">
        <is>
          <t>g</t>
        </is>
      </c>
      <c r="G348">
        <f>E348*VLOOKUP(C348,Insumos!$A:$G,7,FALSE)</f>
        <v/>
      </c>
      <c r="H348" t="inlineStr"/>
    </row>
    <row r="349">
      <c r="A349" t="n">
        <v>24</v>
      </c>
      <c r="B349" t="inlineStr">
        <is>
          <t>1 g Sal fina</t>
        </is>
      </c>
      <c r="C349" t="inlineStr">
        <is>
          <t>SAL</t>
        </is>
      </c>
      <c r="D349">
        <f>VLOOKUP(C349,Insumos!$A:$G,2,FALSE)</f>
        <v/>
      </c>
      <c r="E349" s="4" t="n">
        <v>1</v>
      </c>
      <c r="F349" t="inlineStr">
        <is>
          <t>g</t>
        </is>
      </c>
      <c r="G349">
        <f>E349*VLOOKUP(C349,Insumos!$A:$G,7,FALSE)</f>
        <v/>
      </c>
      <c r="H349" t="inlineStr"/>
    </row>
    <row r="350">
      <c r="A350" t="n">
        <v>24</v>
      </c>
      <c r="B350" t="inlineStr">
        <is>
          <t>20 g Semillas de sésamo tostado (ajonjolí) o eritritol pulverizado extra para espolvorear.</t>
        </is>
      </c>
      <c r="C350" t="inlineStr">
        <is>
          <t>SES</t>
        </is>
      </c>
      <c r="D350">
        <f>VLOOKUP(C350,Insumos!$A:$G,2,FALSE)</f>
        <v/>
      </c>
      <c r="E350" s="4" t="n">
        <v>20</v>
      </c>
      <c r="F350" t="inlineStr">
        <is>
          <t>g</t>
        </is>
      </c>
      <c r="G350">
        <f>E350*VLOOKUP(C350,Insumos!$A:$G,7,FALSE)</f>
        <v/>
      </c>
      <c r="H350" t="inlineStr"/>
    </row>
    <row r="351">
      <c r="A351" t="n">
        <v>25</v>
      </c>
      <c r="B351" t="inlineStr">
        <is>
          <t>250 g Harina de almendra ultrafina sin piel (tamizada)</t>
        </is>
      </c>
      <c r="C351" t="inlineStr">
        <is>
          <t>HAL</t>
        </is>
      </c>
      <c r="D351">
        <f>VLOOKUP(C351,Insumos!$A:$G,2,FALSE)</f>
        <v/>
      </c>
      <c r="E351" s="4" t="n">
        <v>250</v>
      </c>
      <c r="F351" t="inlineStr">
        <is>
          <t>g</t>
        </is>
      </c>
      <c r="G351">
        <f>E351*VLOOKUP(C351,Insumos!$A:$G,7,FALSE)</f>
        <v/>
      </c>
      <c r="H351" t="inlineStr"/>
    </row>
    <row r="352">
      <c r="A352" t="n">
        <v>25</v>
      </c>
      <c r="B352" t="inlineStr">
        <is>
          <t>140 g Alulosa pura cristalina</t>
        </is>
      </c>
      <c r="C352" t="inlineStr">
        <is>
          <t>ALU</t>
        </is>
      </c>
      <c r="D352">
        <f>VLOOKUP(C352,Insumos!$A:$G,2,FALSE)</f>
        <v/>
      </c>
      <c r="E352" s="4" t="n">
        <v>140</v>
      </c>
      <c r="F352" t="inlineStr">
        <is>
          <t>g</t>
        </is>
      </c>
      <c r="G352">
        <f>E352*VLOOKUP(C352,Insumos!$A:$G,7,FALSE)</f>
        <v/>
      </c>
      <c r="H352" t="inlineStr"/>
    </row>
    <row r="353">
      <c r="A353" t="n">
        <v>25</v>
      </c>
      <c r="B353" t="inlineStr">
        <is>
          <t>20 g Eritritol pulverizado (integrado en la masa)</t>
        </is>
      </c>
      <c r="C353" t="inlineStr">
        <is>
          <t>ERP</t>
        </is>
      </c>
      <c r="D353">
        <f>VLOOKUP(C353,Insumos!$A:$G,2,FALSE)</f>
        <v/>
      </c>
      <c r="E353" s="4" t="n">
        <v>20</v>
      </c>
      <c r="F353" t="inlineStr">
        <is>
          <t>g</t>
        </is>
      </c>
      <c r="G353">
        <f>E353*VLOOKUP(C353,Insumos!$A:$G,7,FALSE)</f>
        <v/>
      </c>
      <c r="H353" t="inlineStr"/>
    </row>
    <row r="354">
      <c r="A354" t="n">
        <v>25</v>
      </c>
      <c r="B354" t="inlineStr">
        <is>
          <t>10 ml Extracto puro de almendra amarga (indispensable para el perfil Amaretti clásico)</t>
        </is>
      </c>
      <c r="C354" t="inlineStr">
        <is>
          <t>EXT</t>
        </is>
      </c>
      <c r="D354">
        <f>VLOOKUP(C354,Insumos!$A:$G,2,FALSE)</f>
        <v/>
      </c>
      <c r="E354" s="4" t="n">
        <v>10</v>
      </c>
      <c r="F354" t="inlineStr">
        <is>
          <t>ml</t>
        </is>
      </c>
      <c r="G354">
        <f>E354*VLOOKUP(C354,Insumos!$A:$G,7,FALSE)</f>
        <v/>
      </c>
      <c r="H354" t="inlineStr"/>
    </row>
    <row r="355">
      <c r="A355" t="n">
        <v>25</v>
      </c>
      <c r="B355" t="inlineStr">
        <is>
          <t>5 ml Extracto de vainilla</t>
        </is>
      </c>
      <c r="C355" t="inlineStr">
        <is>
          <t>VAE</t>
        </is>
      </c>
      <c r="D355">
        <f>VLOOKUP(C355,Insumos!$A:$G,2,FALSE)</f>
        <v/>
      </c>
      <c r="E355" s="4" t="n">
        <v>5</v>
      </c>
      <c r="F355" t="inlineStr">
        <is>
          <t>ml</t>
        </is>
      </c>
      <c r="G355">
        <f>E355*VLOOKUP(C355,Insumos!$A:$G,7,FALSE)</f>
        <v/>
      </c>
      <c r="H355" t="inlineStr"/>
    </row>
    <row r="356">
      <c r="A356" t="n">
        <v>25</v>
      </c>
      <c r="B356" t="inlineStr">
        <is>
          <t>1 g Sal marina fina</t>
        </is>
      </c>
      <c r="C356" t="inlineStr">
        <is>
          <t>SAL</t>
        </is>
      </c>
      <c r="D356">
        <f>VLOOKUP(C356,Insumos!$A:$G,2,FALSE)</f>
        <v/>
      </c>
      <c r="E356" s="4" t="n">
        <v>1</v>
      </c>
      <c r="F356" t="inlineStr">
        <is>
          <t>g</t>
        </is>
      </c>
      <c r="G356">
        <f>E356*VLOOKUP(C356,Insumos!$A:$G,7,FALSE)</f>
        <v/>
      </c>
      <c r="H356" t="inlineStr"/>
    </row>
    <row r="357">
      <c r="A357" t="n">
        <v>25</v>
      </c>
      <c r="B357" t="inlineStr">
        <is>
          <t>3 Claras de huevo fresco L (105 g) a temperatura ambiente</t>
        </is>
      </c>
      <c r="C357" t="inlineStr">
        <is>
          <t>CLA</t>
        </is>
      </c>
      <c r="D357">
        <f>VLOOKUP(C357,Insumos!$A:$G,2,FALSE)</f>
        <v/>
      </c>
      <c r="E357" s="4" t="n">
        <v>105</v>
      </c>
      <c r="F357" t="inlineStr">
        <is>
          <t>g</t>
        </is>
      </c>
      <c r="G357">
        <f>E357*VLOOKUP(C357,Insumos!$A:$G,7,FALSE)</f>
        <v/>
      </c>
      <c r="H357" t="inlineStr"/>
    </row>
    <row r="358">
      <c r="A358" t="n">
        <v>25</v>
      </c>
      <c r="B358" t="inlineStr">
        <is>
          <t>1 g Cremor tártaro o 3 gotas de zumo de limón</t>
        </is>
      </c>
      <c r="C358" t="inlineStr">
        <is>
          <t>CRT</t>
        </is>
      </c>
      <c r="D358">
        <f>VLOOKUP(C358,Insumos!$A:$G,2,FALSE)</f>
        <v/>
      </c>
      <c r="E358" s="4" t="n">
        <v>1</v>
      </c>
      <c r="F358" t="inlineStr">
        <is>
          <t>g</t>
        </is>
      </c>
      <c r="G358">
        <f>E358*VLOOKUP(C358,Insumos!$A:$G,7,FALSE)</f>
        <v/>
      </c>
      <c r="H358" t="inlineStr"/>
    </row>
    <row r="359">
      <c r="A359" t="n">
        <v>25</v>
      </c>
      <c r="B359" t="inlineStr">
        <is>
          <t>40 g Eritritol 100% puro pulverizado grado glas (para rebozar)</t>
        </is>
      </c>
      <c r="C359" t="inlineStr">
        <is>
          <t>ERP</t>
        </is>
      </c>
      <c r="D359">
        <f>VLOOKUP(C359,Insumos!$A:$G,2,FALSE)</f>
        <v/>
      </c>
      <c r="E359" s="4" t="n">
        <v>40</v>
      </c>
      <c r="F359" t="inlineStr">
        <is>
          <t>g</t>
        </is>
      </c>
      <c r="G359">
        <f>E359*VLOOKUP(C359,Insumos!$A:$G,7,FALSE)</f>
        <v/>
      </c>
      <c r="H359" t="inlineStr"/>
    </row>
    <row r="360">
      <c r="A360" t="n">
        <v>26</v>
      </c>
      <c r="B360" t="inlineStr">
        <is>
          <t>130 g Harina de almendra fina</t>
        </is>
      </c>
      <c r="C360" t="inlineStr">
        <is>
          <t>HAL</t>
        </is>
      </c>
      <c r="D360">
        <f>VLOOKUP(C360,Insumos!$A:$G,2,FALSE)</f>
        <v/>
      </c>
      <c r="E360" s="4" t="n">
        <v>130</v>
      </c>
      <c r="F360" t="inlineStr">
        <is>
          <t>g</t>
        </is>
      </c>
      <c r="G360">
        <f>E360*VLOOKUP(C360,Insumos!$A:$G,7,FALSE)</f>
        <v/>
      </c>
      <c r="H360" t="inlineStr"/>
    </row>
    <row r="361">
      <c r="A361" t="n">
        <v>26</v>
      </c>
      <c r="B361" t="inlineStr">
        <is>
          <t>60 g Harina de avellana pura (avellanas tostadas molidas fino)</t>
        </is>
      </c>
      <c r="C361" t="inlineStr">
        <is>
          <t>HAV</t>
        </is>
      </c>
      <c r="D361">
        <f>VLOOKUP(C361,Insumos!$A:$G,2,FALSE)</f>
        <v/>
      </c>
      <c r="E361" s="4" t="n">
        <v>60</v>
      </c>
      <c r="F361" t="inlineStr">
        <is>
          <t>g</t>
        </is>
      </c>
      <c r="G361">
        <f>E361*VLOOKUP(C361,Insumos!$A:$G,7,FALSE)</f>
        <v/>
      </c>
      <c r="H361" t="inlineStr"/>
    </row>
    <row r="362">
      <c r="A362" t="n">
        <v>26</v>
      </c>
      <c r="B362" t="inlineStr">
        <is>
          <t>30 g Almidón resistente RS4 o fibra de avena (para estabilidad dimensional)</t>
        </is>
      </c>
      <c r="C362" t="inlineStr">
        <is>
          <t>FBA</t>
        </is>
      </c>
      <c r="D362">
        <f>VLOOKUP(C362,Insumos!$A:$G,2,FALSE)</f>
        <v/>
      </c>
      <c r="E362" s="4" t="n">
        <v>30</v>
      </c>
      <c r="F362" t="inlineStr">
        <is>
          <t>g</t>
        </is>
      </c>
      <c r="G362">
        <f>E362*VLOOKUP(C362,Insumos!$A:$G,7,FALSE)</f>
        <v/>
      </c>
      <c r="H362" t="inlineStr"/>
    </row>
    <row r="363">
      <c r="A363" t="n">
        <v>26</v>
      </c>
      <c r="B363" t="inlineStr">
        <is>
          <t>60 g Eritritol pulverizado grado glas</t>
        </is>
      </c>
      <c r="C363" t="inlineStr">
        <is>
          <t>ERP</t>
        </is>
      </c>
      <c r="D363">
        <f>VLOOKUP(C363,Insumos!$A:$G,2,FALSE)</f>
        <v/>
      </c>
      <c r="E363" s="4" t="n">
        <v>60</v>
      </c>
      <c r="F363" t="inlineStr">
        <is>
          <t>g</t>
        </is>
      </c>
      <c r="G363">
        <f>E363*VLOOKUP(C363,Insumos!$A:$G,7,FALSE)</f>
        <v/>
      </c>
      <c r="H363" t="inlineStr"/>
    </row>
    <row r="364">
      <c r="A364" t="n">
        <v>26</v>
      </c>
      <c r="B364" t="inlineStr">
        <is>
          <t>90 g Mantequilla sin sal fría cortada en cubos</t>
        </is>
      </c>
      <c r="C364" t="inlineStr">
        <is>
          <t>MAN</t>
        </is>
      </c>
      <c r="D364">
        <f>VLOOKUP(C364,Insumos!$A:$G,2,FALSE)</f>
        <v/>
      </c>
      <c r="E364" s="4" t="n">
        <v>90</v>
      </c>
      <c r="F364" t="inlineStr">
        <is>
          <t>g</t>
        </is>
      </c>
      <c r="G364">
        <f>E364*VLOOKUP(C364,Insumos!$A:$G,7,FALSE)</f>
        <v/>
      </c>
      <c r="H364" t="inlineStr"/>
    </row>
    <row r="365">
      <c r="A365" t="n">
        <v>26</v>
      </c>
      <c r="B365" t="inlineStr">
        <is>
          <t>1 Yema de huevo L (20 g)</t>
        </is>
      </c>
      <c r="C365" t="inlineStr">
        <is>
          <t>YEM</t>
        </is>
      </c>
      <c r="D365">
        <f>VLOOKUP(C365,Insumos!$A:$G,2,FALSE)</f>
        <v/>
      </c>
      <c r="E365" s="4" t="n">
        <v>20</v>
      </c>
      <c r="F365" t="inlineStr">
        <is>
          <t>g</t>
        </is>
      </c>
      <c r="G365">
        <f>E365*VLOOKUP(C365,Insumos!$A:$G,7,FALSE)</f>
        <v/>
      </c>
      <c r="H365" t="inlineStr"/>
    </row>
    <row r="366">
      <c r="A366" t="n">
        <v>26</v>
      </c>
      <c r="B366" t="inlineStr">
        <is>
          <t>2 g Canela de Ceilán + 1 g Sal fina</t>
        </is>
      </c>
      <c r="C366" t="inlineStr">
        <is>
          <t>CAP</t>
        </is>
      </c>
      <c r="D366">
        <f>VLOOKUP(C366,Insumos!$A:$G,2,FALSE)</f>
        <v/>
      </c>
      <c r="E366" s="4" t="n">
        <v>2</v>
      </c>
      <c r="F366" t="inlineStr">
        <is>
          <t>g</t>
        </is>
      </c>
      <c r="G366">
        <f>E366*VLOOKUP(C366,Insumos!$A:$G,7,FALSE)</f>
        <v/>
      </c>
      <c r="H366" t="inlineStr"/>
    </row>
    <row r="367">
      <c r="A367" t="n">
        <v>26</v>
      </c>
      <c r="B367" t="inlineStr">
        <is>
          <t>2 g Canela de Ceilán + 1 g Sal fina</t>
        </is>
      </c>
      <c r="C367" t="inlineStr">
        <is>
          <t>SAL</t>
        </is>
      </c>
      <c r="D367">
        <f>VLOOKUP(C367,Insumos!$A:$G,2,FALSE)</f>
        <v/>
      </c>
      <c r="E367" s="4" t="n">
        <v>1</v>
      </c>
      <c r="F367" t="inlineStr">
        <is>
          <t>g</t>
        </is>
      </c>
      <c r="G367">
        <f>E367*VLOOKUP(C367,Insumos!$A:$G,7,FALSE)</f>
        <v/>
      </c>
      <c r="H367" t="inlineStr"/>
    </row>
    <row r="368">
      <c r="A368" t="n">
        <v>26</v>
      </c>
      <c r="B368" t="inlineStr">
        <is>
          <t>2 g Goma xantana</t>
        </is>
      </c>
      <c r="C368" t="inlineStr">
        <is>
          <t>XAN</t>
        </is>
      </c>
      <c r="D368">
        <f>VLOOKUP(C368,Insumos!$A:$G,2,FALSE)</f>
        <v/>
      </c>
      <c r="E368" s="4" t="n">
        <v>2</v>
      </c>
      <c r="F368" t="inlineStr">
        <is>
          <t>g</t>
        </is>
      </c>
      <c r="G368">
        <f>E368*VLOOKUP(C368,Insumos!$A:$G,7,FALSE)</f>
        <v/>
      </c>
      <c r="H368" t="inlineStr"/>
    </row>
    <row r="369">
      <c r="A369" t="n">
        <v>26</v>
      </c>
      <c r="B369" t="inlineStr">
        <is>
          <t>150 g Frambuesas frescas o congeladas</t>
        </is>
      </c>
      <c r="C369" t="inlineStr">
        <is>
          <t>FRA</t>
        </is>
      </c>
      <c r="D369">
        <f>VLOOKUP(C369,Insumos!$A:$G,2,FALSE)</f>
        <v/>
      </c>
      <c r="E369" s="4" t="n">
        <v>150</v>
      </c>
      <c r="F369" t="inlineStr">
        <is>
          <t>g</t>
        </is>
      </c>
      <c r="G369">
        <f>E369*VLOOKUP(C369,Insumos!$A:$G,7,FALSE)</f>
        <v/>
      </c>
      <c r="H369" t="inlineStr"/>
    </row>
    <row r="370">
      <c r="A370" t="n">
        <v>26</v>
      </c>
      <c r="B370" t="inlineStr">
        <is>
          <t>50 g Alulosa pura cristalina</t>
        </is>
      </c>
      <c r="C370" t="inlineStr">
        <is>
          <t>ALU</t>
        </is>
      </c>
      <c r="D370">
        <f>VLOOKUP(C370,Insumos!$A:$G,2,FALSE)</f>
        <v/>
      </c>
      <c r="E370" s="4" t="n">
        <v>50</v>
      </c>
      <c r="F370" t="inlineStr">
        <is>
          <t>g</t>
        </is>
      </c>
      <c r="G370">
        <f>E370*VLOOKUP(C370,Insumos!$A:$G,7,FALSE)</f>
        <v/>
      </c>
      <c r="H370" t="inlineStr"/>
    </row>
    <row r="371">
      <c r="A371" t="n">
        <v>26</v>
      </c>
      <c r="B371" t="inlineStr">
        <is>
          <t>2 g Pectina de bajo metoxilo (LM) mezclada en 5 g de alulosa</t>
        </is>
      </c>
      <c r="C371" t="inlineStr">
        <is>
          <t>PEC</t>
        </is>
      </c>
      <c r="D371">
        <f>VLOOKUP(C371,Insumos!$A:$G,2,FALSE)</f>
        <v/>
      </c>
      <c r="E371" s="4" t="n">
        <v>2</v>
      </c>
      <c r="F371" t="inlineStr">
        <is>
          <t>g</t>
        </is>
      </c>
      <c r="G371">
        <f>E371*VLOOKUP(C371,Insumos!$A:$G,7,FALSE)</f>
        <v/>
      </c>
      <c r="H371" t="inlineStr"/>
    </row>
    <row r="372">
      <c r="A372" t="n">
        <v>26</v>
      </c>
      <c r="B372" t="inlineStr">
        <is>
          <t>5 ml Zumo de limón</t>
        </is>
      </c>
      <c r="C372" t="inlineStr">
        <is>
          <t>LIM</t>
        </is>
      </c>
      <c r="D372">
        <f>VLOOKUP(C372,Insumos!$A:$G,2,FALSE)</f>
        <v/>
      </c>
      <c r="E372" s="4" t="n">
        <v>0.12</v>
      </c>
      <c r="F372" t="inlineStr">
        <is>
          <t>pz</t>
        </is>
      </c>
      <c r="G372">
        <f>E372*VLOOKUP(C372,Insumos!$A:$G,7,FALSE)</f>
        <v/>
      </c>
      <c r="H372" t="inlineStr">
        <is>
          <t>Jugo convertido a piezas (limón ≈ 40 ml, naranja ≈ 80 ml)</t>
        </is>
      </c>
    </row>
    <row r="373">
      <c r="A373" t="n">
        <v>26</v>
      </c>
      <c r="B373" t="inlineStr">
        <is>
          <t>20 g Eritritol pulverizado extra para la lluvia superior.</t>
        </is>
      </c>
      <c r="C373" t="inlineStr">
        <is>
          <t>ERP</t>
        </is>
      </c>
      <c r="D373">
        <f>VLOOKUP(C373,Insumos!$A:$G,2,FALSE)</f>
        <v/>
      </c>
      <c r="E373" s="4" t="n">
        <v>20</v>
      </c>
      <c r="F373" t="inlineStr">
        <is>
          <t>g</t>
        </is>
      </c>
      <c r="G373">
        <f>E373*VLOOKUP(C373,Insumos!$A:$G,7,FALSE)</f>
        <v/>
      </c>
      <c r="H373" t="inlineStr"/>
    </row>
    <row r="374">
      <c r="A374" t="n">
        <v>27</v>
      </c>
      <c r="B374" t="inlineStr">
        <is>
          <t>150 g Harina de almendra fina sin piel</t>
        </is>
      </c>
      <c r="C374" t="inlineStr">
        <is>
          <t>HAL</t>
        </is>
      </c>
      <c r="D374">
        <f>VLOOKUP(C374,Insumos!$A:$G,2,FALSE)</f>
        <v/>
      </c>
      <c r="E374" s="4" t="n">
        <v>150</v>
      </c>
      <c r="F374" t="inlineStr">
        <is>
          <t>g</t>
        </is>
      </c>
      <c r="G374">
        <f>E374*VLOOKUP(C374,Insumos!$A:$G,7,FALSE)</f>
        <v/>
      </c>
      <c r="H374" t="inlineStr"/>
    </row>
    <row r="375">
      <c r="A375" t="n">
        <v>27</v>
      </c>
      <c r="B375" t="inlineStr">
        <is>
          <t>30 g Harina de coco desgrasada</t>
        </is>
      </c>
      <c r="C375" t="inlineStr">
        <is>
          <t>HCO</t>
        </is>
      </c>
      <c r="D375">
        <f>VLOOKUP(C375,Insumos!$A:$G,2,FALSE)</f>
        <v/>
      </c>
      <c r="E375" s="4" t="n">
        <v>30</v>
      </c>
      <c r="F375" t="inlineStr">
        <is>
          <t>g</t>
        </is>
      </c>
      <c r="G375">
        <f>E375*VLOOKUP(C375,Insumos!$A:$G,7,FALSE)</f>
        <v/>
      </c>
      <c r="H375" t="inlineStr"/>
    </row>
    <row r="376">
      <c r="A376" t="n">
        <v>27</v>
      </c>
      <c r="B376" t="inlineStr">
        <is>
          <t>10 g Polvo de cáscara de Psyllium (Psyllium husk en polvo fino) o 15 g de fibra de bambú (aporta la elasticidad estructural para poder estirar con rodillo)</t>
        </is>
      </c>
      <c r="C376" t="inlineStr">
        <is>
          <t>PSY</t>
        </is>
      </c>
      <c r="D376">
        <f>VLOOKUP(C376,Insumos!$A:$G,2,FALSE)</f>
        <v/>
      </c>
      <c r="E376" s="4" t="n">
        <v>10</v>
      </c>
      <c r="F376" t="inlineStr">
        <is>
          <t>g</t>
        </is>
      </c>
      <c r="G376">
        <f>E376*VLOOKUP(C376,Insumos!$A:$G,7,FALSE)</f>
        <v/>
      </c>
      <c r="H376" t="inlineStr"/>
    </row>
    <row r="377">
      <c r="A377" t="n">
        <v>27</v>
      </c>
      <c r="B377" t="inlineStr">
        <is>
          <t>2 g Sal marina fina</t>
        </is>
      </c>
      <c r="C377" t="inlineStr">
        <is>
          <t>SAL</t>
        </is>
      </c>
      <c r="D377">
        <f>VLOOKUP(C377,Insumos!$A:$G,2,FALSE)</f>
        <v/>
      </c>
      <c r="E377" s="4" t="n">
        <v>2</v>
      </c>
      <c r="F377" t="inlineStr">
        <is>
          <t>g</t>
        </is>
      </c>
      <c r="G377">
        <f>E377*VLOOKUP(C377,Insumos!$A:$G,7,FALSE)</f>
        <v/>
      </c>
      <c r="H377" t="inlineStr"/>
    </row>
    <row r="378">
      <c r="A378" t="n">
        <v>27</v>
      </c>
      <c r="B378" t="inlineStr">
        <is>
          <t>Para aplicación dulce: Añadir 25 g de eritritol pulverizado y 5 ml de vainilla.</t>
        </is>
      </c>
      <c r="C378" t="inlineStr">
        <is>
          <t>ERP</t>
        </is>
      </c>
      <c r="D378">
        <f>VLOOKUP(C378,Insumos!$A:$G,2,FALSE)</f>
        <v/>
      </c>
      <c r="E378" s="4" t="n">
        <v>25</v>
      </c>
      <c r="F378" t="inlineStr">
        <is>
          <t>g</t>
        </is>
      </c>
      <c r="G378">
        <f>E378*VLOOKUP(C378,Insumos!$A:$G,7,FALSE)</f>
        <v/>
      </c>
      <c r="H378" t="inlineStr"/>
    </row>
    <row r="379">
      <c r="A379" t="n">
        <v>27</v>
      </c>
      <c r="B379" t="inlineStr">
        <is>
          <t>Para aplicación salada: Añadir 1 g extra de sal y hierbas provenzales secas.</t>
        </is>
      </c>
      <c r="C379" t="inlineStr">
        <is>
          <t>SAL</t>
        </is>
      </c>
      <c r="D379">
        <f>VLOOKUP(C379,Insumos!$A:$G,2,FALSE)</f>
        <v/>
      </c>
      <c r="E379" s="4" t="n">
        <v>1</v>
      </c>
      <c r="F379" t="inlineStr">
        <is>
          <t>g</t>
        </is>
      </c>
      <c r="G379">
        <f>E379*VLOOKUP(C379,Insumos!$A:$G,7,FALSE)</f>
        <v/>
      </c>
      <c r="H379" t="inlineStr">
        <is>
          <t>Variante salada: se costea solo la sal extra</t>
        </is>
      </c>
    </row>
    <row r="380">
      <c r="A380" t="n">
        <v>27</v>
      </c>
      <c r="B380" t="inlineStr">
        <is>
          <t>90 g Mantequilla de vaca sin sal, muy fría (4 °C), cortada en dados pequeños</t>
        </is>
      </c>
      <c r="C380" t="inlineStr">
        <is>
          <t>MAN</t>
        </is>
      </c>
      <c r="D380">
        <f>VLOOKUP(C380,Insumos!$A:$G,2,FALSE)</f>
        <v/>
      </c>
      <c r="E380" s="4" t="n">
        <v>90</v>
      </c>
      <c r="F380" t="inlineStr">
        <is>
          <t>g</t>
        </is>
      </c>
      <c r="G380">
        <f>E380*VLOOKUP(C380,Insumos!$A:$G,7,FALSE)</f>
        <v/>
      </c>
      <c r="H380" t="inlineStr"/>
    </row>
    <row r="381">
      <c r="A381" t="n">
        <v>27</v>
      </c>
      <c r="B381" t="inlineStr">
        <is>
          <t>1 Huevo entero fresco L (50 g), batido y refrigerado a 4 °C</t>
        </is>
      </c>
      <c r="C381" t="inlineStr">
        <is>
          <t>HUE</t>
        </is>
      </c>
      <c r="D381">
        <f>VLOOKUP(C381,Insumos!$A:$G,2,FALSE)</f>
        <v/>
      </c>
      <c r="E381" s="4" t="n">
        <v>50</v>
      </c>
      <c r="F381" t="inlineStr">
        <is>
          <t>g</t>
        </is>
      </c>
      <c r="G381">
        <f>E381*VLOOKUP(C381,Insumos!$A:$G,7,FALSE)</f>
        <v/>
      </c>
      <c r="H381" t="inlineStr"/>
    </row>
    <row r="382">
      <c r="A382" t="n">
        <v>27</v>
      </c>
      <c r="B382" t="inlineStr">
        <is>
          <t>10 ml a 15 ml Agua helada (solo si la masa lo exige para unirse)</t>
        </is>
      </c>
      <c r="C382" t="inlineStr">
        <is>
          <t>AGU</t>
        </is>
      </c>
      <c r="D382">
        <f>VLOOKUP(C382,Insumos!$A:$G,2,FALSE)</f>
        <v/>
      </c>
      <c r="E382" s="4" t="n">
        <v>10</v>
      </c>
      <c r="F382" t="inlineStr">
        <is>
          <t>ml</t>
        </is>
      </c>
      <c r="G382">
        <f>E382*VLOOKUP(C382,Insumos!$A:$G,7,FALSE)</f>
        <v/>
      </c>
      <c r="H382" t="inlineStr"/>
    </row>
    <row r="383">
      <c r="A383" t="n">
        <v>28</v>
      </c>
      <c r="B383" t="inlineStr">
        <is>
          <t>1 Receta de Pâte Brisée Dulce (Fórmula 28) forrada en 6 aros individuales, horneada a ciegas a 180 °C durante 15 minutos (semicocida).</t>
        </is>
      </c>
      <c r="C383" t="inlineStr">
        <is>
          <t>SUB2</t>
        </is>
      </c>
      <c r="D383">
        <f>VLOOKUP(C383,Insumos!$A:$G,2,FALSE)</f>
        <v/>
      </c>
      <c r="E383" s="4" t="n">
        <v>350</v>
      </c>
      <c r="F383" t="inlineStr">
        <is>
          <t>g</t>
        </is>
      </c>
      <c r="G383">
        <f>E383*VLOOKUP(C383,Insumos!$A:$G,7,FALSE)</f>
        <v/>
      </c>
      <c r="H383" t="inlineStr">
        <is>
          <t>Sub-receta: se costea con la Base B-2 (350 g)</t>
        </is>
      </c>
    </row>
    <row r="384">
      <c r="A384" t="n">
        <v>28</v>
      </c>
      <c r="B384" t="inlineStr">
        <is>
          <t>150 g Jarabe espeso puro de alulosa (alulosa líquida al 75 Brix, disponible comercialmente)</t>
        </is>
      </c>
      <c r="C384" t="inlineStr">
        <is>
          <t>ALUJ</t>
        </is>
      </c>
      <c r="D384">
        <f>VLOOKUP(C384,Insumos!$A:$G,2,FALSE)</f>
        <v/>
      </c>
      <c r="E384" s="4" t="n">
        <v>150</v>
      </c>
      <c r="F384" t="inlineStr">
        <is>
          <t>g</t>
        </is>
      </c>
      <c r="G384">
        <f>E384*VLOOKUP(C384,Insumos!$A:$G,7,FALSE)</f>
        <v/>
      </c>
      <c r="H384" t="inlineStr"/>
    </row>
    <row r="385">
      <c r="A385" t="n">
        <v>28</v>
      </c>
      <c r="B385" t="inlineStr">
        <is>
          <t>30 g Eritritol granulado (aporta ligeramente costra superficial)</t>
        </is>
      </c>
      <c r="C385" t="inlineStr">
        <is>
          <t>ERG</t>
        </is>
      </c>
      <c r="D385">
        <f>VLOOKUP(C385,Insumos!$A:$G,2,FALSE)</f>
        <v/>
      </c>
      <c r="E385" s="4" t="n">
        <v>30</v>
      </c>
      <c r="F385" t="inlineStr">
        <is>
          <t>g</t>
        </is>
      </c>
      <c r="G385">
        <f>E385*VLOOKUP(C385,Insumos!$A:$G,7,FALSE)</f>
        <v/>
      </c>
      <c r="H385" t="inlineStr"/>
    </row>
    <row r="386">
      <c r="A386" t="n">
        <v>28</v>
      </c>
      <c r="B386" t="inlineStr">
        <is>
          <t>40 g Mantequilla sin sal fundida y tibia</t>
        </is>
      </c>
      <c r="C386" t="inlineStr">
        <is>
          <t>MAN</t>
        </is>
      </c>
      <c r="D386">
        <f>VLOOKUP(C386,Insumos!$A:$G,2,FALSE)</f>
        <v/>
      </c>
      <c r="E386" s="4" t="n">
        <v>40</v>
      </c>
      <c r="F386" t="inlineStr">
        <is>
          <t>g</t>
        </is>
      </c>
      <c r="G386">
        <f>E386*VLOOKUP(C386,Insumos!$A:$G,7,FALSE)</f>
        <v/>
      </c>
      <c r="H386" t="inlineStr"/>
    </row>
    <row r="387">
      <c r="A387" t="n">
        <v>28</v>
      </c>
      <c r="B387" t="inlineStr">
        <is>
          <t>2 Huevos enteros frescos L (100 g) a temperatura ambiente</t>
        </is>
      </c>
      <c r="C387" t="inlineStr">
        <is>
          <t>HUE</t>
        </is>
      </c>
      <c r="D387">
        <f>VLOOKUP(C387,Insumos!$A:$G,2,FALSE)</f>
        <v/>
      </c>
      <c r="E387" s="4" t="n">
        <v>100</v>
      </c>
      <c r="F387" t="inlineStr">
        <is>
          <t>g</t>
        </is>
      </c>
      <c r="G387">
        <f>E387*VLOOKUP(C387,Insumos!$A:$G,7,FALSE)</f>
        <v/>
      </c>
      <c r="H387" t="inlineStr"/>
    </row>
    <row r="388">
      <c r="A388" t="n">
        <v>28</v>
      </c>
      <c r="B388" t="inlineStr">
        <is>
          <t>15 ml Extracto concentrado de vainilla</t>
        </is>
      </c>
      <c r="C388" t="inlineStr">
        <is>
          <t>VAE</t>
        </is>
      </c>
      <c r="D388">
        <f>VLOOKUP(C388,Insumos!$A:$G,2,FALSE)</f>
        <v/>
      </c>
      <c r="E388" s="4" t="n">
        <v>15</v>
      </c>
      <c r="F388" t="inlineStr">
        <is>
          <t>ml</t>
        </is>
      </c>
      <c r="G388">
        <f>E388*VLOOKUP(C388,Insumos!$A:$G,7,FALSE)</f>
        <v/>
      </c>
      <c r="H388" t="inlineStr"/>
    </row>
    <row r="389">
      <c r="A389" t="n">
        <v>28</v>
      </c>
      <c r="B389" t="inlineStr">
        <is>
          <t>2 g Sal de mar en escamas (balance de contraste)</t>
        </is>
      </c>
      <c r="C389" t="inlineStr">
        <is>
          <t>SAE</t>
        </is>
      </c>
      <c r="D389">
        <f>VLOOKUP(C389,Insumos!$A:$G,2,FALSE)</f>
        <v/>
      </c>
      <c r="E389" s="4" t="n">
        <v>2</v>
      </c>
      <c r="F389" t="inlineStr">
        <is>
          <t>g</t>
        </is>
      </c>
      <c r="G389">
        <f>E389*VLOOKUP(C389,Insumos!$A:$G,7,FALSE)</f>
        <v/>
      </c>
      <c r="H389" t="inlineStr"/>
    </row>
    <row r="390">
      <c r="A390" t="n">
        <v>28</v>
      </c>
      <c r="B390" t="inlineStr">
        <is>
          <t>120 g Nueces pecanas enteras tostadas (mitades grandes intactas para decoración superior)</t>
        </is>
      </c>
      <c r="C390" t="inlineStr">
        <is>
          <t>NPE</t>
        </is>
      </c>
      <c r="D390">
        <f>VLOOKUP(C390,Insumos!$A:$G,2,FALSE)</f>
        <v/>
      </c>
      <c r="E390" s="4" t="n">
        <v>120</v>
      </c>
      <c r="F390" t="inlineStr">
        <is>
          <t>g</t>
        </is>
      </c>
      <c r="G390">
        <f>E390*VLOOKUP(C390,Insumos!$A:$G,7,FALSE)</f>
        <v/>
      </c>
      <c r="H390" t="inlineStr"/>
    </row>
    <row r="391">
      <c r="A391" t="n">
        <v>28</v>
      </c>
      <c r="B391" t="inlineStr">
        <is>
          <t>60 g Nueces pecanas troceadas gruesas (para el fondo del relleno)</t>
        </is>
      </c>
      <c r="C391" t="inlineStr">
        <is>
          <t>NPE</t>
        </is>
      </c>
      <c r="D391">
        <f>VLOOKUP(C391,Insumos!$A:$G,2,FALSE)</f>
        <v/>
      </c>
      <c r="E391" s="4" t="n">
        <v>60</v>
      </c>
      <c r="F391" t="inlineStr">
        <is>
          <t>g</t>
        </is>
      </c>
      <c r="G391">
        <f>E391*VLOOKUP(C391,Insumos!$A:$G,7,FALSE)</f>
        <v/>
      </c>
      <c r="H391" t="inlineStr"/>
    </row>
    <row r="392">
      <c r="A392" t="n">
        <v>29</v>
      </c>
      <c r="B392" t="inlineStr">
        <is>
          <t>200 g Harina de almendra fina sin piel</t>
        </is>
      </c>
      <c r="C392" t="inlineStr">
        <is>
          <t>HAL</t>
        </is>
      </c>
      <c r="D392">
        <f>VLOOKUP(C392,Insumos!$A:$G,2,FALSE)</f>
        <v/>
      </c>
      <c r="E392" s="4" t="n">
        <v>200</v>
      </c>
      <c r="F392" t="inlineStr">
        <is>
          <t>g</t>
        </is>
      </c>
      <c r="G392">
        <f>E392*VLOOKUP(C392,Insumos!$A:$G,7,FALSE)</f>
        <v/>
      </c>
      <c r="H392" t="inlineStr"/>
    </row>
    <row r="393">
      <c r="A393" t="n">
        <v>29</v>
      </c>
      <c r="B393" t="inlineStr">
        <is>
          <t>40 g Proteína aislada de suero de leche neutra sin sabor (Whey Protein Isolate 90%)</t>
        </is>
      </c>
      <c r="C393" t="inlineStr">
        <is>
          <t>WPI</t>
        </is>
      </c>
      <c r="D393">
        <f>VLOOKUP(C393,Insumos!$A:$G,2,FALSE)</f>
        <v/>
      </c>
      <c r="E393" s="4" t="n">
        <v>40</v>
      </c>
      <c r="F393" t="inlineStr">
        <is>
          <t>g</t>
        </is>
      </c>
      <c r="G393">
        <f>E393*VLOOKUP(C393,Insumos!$A:$G,7,FALSE)</f>
        <v/>
      </c>
      <c r="H393" t="inlineStr"/>
    </row>
    <row r="394">
      <c r="A394" t="n">
        <v>29</v>
      </c>
      <c r="B394" t="inlineStr">
        <is>
          <t>90 g Eritritol granulado puro (vital para el crujido y secado)</t>
        </is>
      </c>
      <c r="C394" t="inlineStr">
        <is>
          <t>ERG</t>
        </is>
      </c>
      <c r="D394">
        <f>VLOOKUP(C394,Insumos!$A:$G,2,FALSE)</f>
        <v/>
      </c>
      <c r="E394" s="4" t="n">
        <v>90</v>
      </c>
      <c r="F394" t="inlineStr">
        <is>
          <t>g</t>
        </is>
      </c>
      <c r="G394">
        <f>E394*VLOOKUP(C394,Insumos!$A:$G,7,FALSE)</f>
        <v/>
      </c>
      <c r="H394" t="inlineStr"/>
    </row>
    <row r="395">
      <c r="A395" t="n">
        <v>29</v>
      </c>
      <c r="B395" t="inlineStr">
        <is>
          <t>5 g Polvo para hornear</t>
        </is>
      </c>
      <c r="C395" t="inlineStr">
        <is>
          <t>PPH</t>
        </is>
      </c>
      <c r="D395">
        <f>VLOOKUP(C395,Insumos!$A:$G,2,FALSE)</f>
        <v/>
      </c>
      <c r="E395" s="4" t="n">
        <v>5</v>
      </c>
      <c r="F395" t="inlineStr">
        <is>
          <t>g</t>
        </is>
      </c>
      <c r="G395">
        <f>E395*VLOOKUP(C395,Insumos!$A:$G,7,FALSE)</f>
        <v/>
      </c>
      <c r="H395" t="inlineStr"/>
    </row>
    <row r="396">
      <c r="A396" t="n">
        <v>29</v>
      </c>
      <c r="B396" t="inlineStr">
        <is>
          <t>2 g Goma xantana + 1.5 g Sal fina</t>
        </is>
      </c>
      <c r="C396" t="inlineStr">
        <is>
          <t>XAN</t>
        </is>
      </c>
      <c r="D396">
        <f>VLOOKUP(C396,Insumos!$A:$G,2,FALSE)</f>
        <v/>
      </c>
      <c r="E396" s="4" t="n">
        <v>2</v>
      </c>
      <c r="F396" t="inlineStr">
        <is>
          <t>g</t>
        </is>
      </c>
      <c r="G396">
        <f>E396*VLOOKUP(C396,Insumos!$A:$G,7,FALSE)</f>
        <v/>
      </c>
      <c r="H396" t="inlineStr"/>
    </row>
    <row r="397">
      <c r="A397" t="n">
        <v>29</v>
      </c>
      <c r="B397" t="inlineStr">
        <is>
          <t>2 g Goma xantana + 1.5 g Sal fina</t>
        </is>
      </c>
      <c r="C397" t="inlineStr">
        <is>
          <t>SAL</t>
        </is>
      </c>
      <c r="D397">
        <f>VLOOKUP(C397,Insumos!$A:$G,2,FALSE)</f>
        <v/>
      </c>
      <c r="E397" s="4" t="n">
        <v>1.5</v>
      </c>
      <c r="F397" t="inlineStr">
        <is>
          <t>g</t>
        </is>
      </c>
      <c r="G397">
        <f>E397*VLOOKUP(C397,Insumos!$A:$G,7,FALSE)</f>
        <v/>
      </c>
      <c r="H397" t="inlineStr"/>
    </row>
    <row r="398">
      <c r="A398" t="n">
        <v>29</v>
      </c>
      <c r="B398" t="inlineStr">
        <is>
          <t>Ralladura fina (flavedo) de 1 naranja dulce</t>
        </is>
      </c>
      <c r="C398" t="inlineStr">
        <is>
          <t>NAR</t>
        </is>
      </c>
      <c r="D398">
        <f>VLOOKUP(C398,Insumos!$A:$G,2,FALSE)</f>
        <v/>
      </c>
      <c r="E398" s="4" t="n">
        <v>1</v>
      </c>
      <c r="F398" t="inlineStr">
        <is>
          <t>pz</t>
        </is>
      </c>
      <c r="G398">
        <f>E398*VLOOKUP(C398,Insumos!$A:$G,7,FALSE)</f>
        <v/>
      </c>
      <c r="H398" t="inlineStr">
        <is>
          <t>Solo la ralladura; se costea la fruta completa</t>
        </is>
      </c>
    </row>
    <row r="399">
      <c r="A399" t="n">
        <v>29</v>
      </c>
      <c r="B399" t="inlineStr">
        <is>
          <t>1 Huevo entero L (50 g)</t>
        </is>
      </c>
      <c r="C399" t="inlineStr">
        <is>
          <t>HUE</t>
        </is>
      </c>
      <c r="D399">
        <f>VLOOKUP(C399,Insumos!$A:$G,2,FALSE)</f>
        <v/>
      </c>
      <c r="E399" s="4" t="n">
        <v>50</v>
      </c>
      <c r="F399" t="inlineStr">
        <is>
          <t>g</t>
        </is>
      </c>
      <c r="G399">
        <f>E399*VLOOKUP(C399,Insumos!$A:$G,7,FALSE)</f>
        <v/>
      </c>
      <c r="H399" t="inlineStr"/>
    </row>
    <row r="400">
      <c r="A400" t="n">
        <v>29</v>
      </c>
      <c r="B400" t="inlineStr">
        <is>
          <t>1 Clara de huevo fresco (35 g) (las claras aportan más dureza que las yemas)</t>
        </is>
      </c>
      <c r="C400" t="inlineStr">
        <is>
          <t>CLA</t>
        </is>
      </c>
      <c r="D400">
        <f>VLOOKUP(C400,Insumos!$A:$G,2,FALSE)</f>
        <v/>
      </c>
      <c r="E400" s="4" t="n">
        <v>35</v>
      </c>
      <c r="F400" t="inlineStr">
        <is>
          <t>g</t>
        </is>
      </c>
      <c r="G400">
        <f>E400*VLOOKUP(C400,Insumos!$A:$G,7,FALSE)</f>
        <v/>
      </c>
      <c r="H400" t="inlineStr"/>
    </row>
    <row r="401">
      <c r="A401" t="n">
        <v>29</v>
      </c>
      <c r="B401" t="inlineStr">
        <is>
          <t>30 g Mantequilla sin sal derretida</t>
        </is>
      </c>
      <c r="C401" t="inlineStr">
        <is>
          <t>MAN</t>
        </is>
      </c>
      <c r="D401">
        <f>VLOOKUP(C401,Insumos!$A:$G,2,FALSE)</f>
        <v/>
      </c>
      <c r="E401" s="4" t="n">
        <v>30</v>
      </c>
      <c r="F401" t="inlineStr">
        <is>
          <t>g</t>
        </is>
      </c>
      <c r="G401">
        <f>E401*VLOOKUP(C401,Insumos!$A:$G,7,FALSE)</f>
        <v/>
      </c>
      <c r="H401" t="inlineStr"/>
    </row>
    <row r="402">
      <c r="A402" t="n">
        <v>29</v>
      </c>
      <c r="B402" t="inlineStr">
        <is>
          <t>5 ml Extracto de almendra + 5 ml Extracto de vainilla</t>
        </is>
      </c>
      <c r="C402" t="inlineStr">
        <is>
          <t>EXT</t>
        </is>
      </c>
      <c r="D402">
        <f>VLOOKUP(C402,Insumos!$A:$G,2,FALSE)</f>
        <v/>
      </c>
      <c r="E402" s="4" t="n">
        <v>5</v>
      </c>
      <c r="F402" t="inlineStr">
        <is>
          <t>ml</t>
        </is>
      </c>
      <c r="G402">
        <f>E402*VLOOKUP(C402,Insumos!$A:$G,7,FALSE)</f>
        <v/>
      </c>
      <c r="H402" t="inlineStr"/>
    </row>
    <row r="403">
      <c r="A403" t="n">
        <v>29</v>
      </c>
      <c r="B403" t="inlineStr">
        <is>
          <t>5 ml Extracto de almendra + 5 ml Extracto de vainilla</t>
        </is>
      </c>
      <c r="C403" t="inlineStr">
        <is>
          <t>VAE</t>
        </is>
      </c>
      <c r="D403">
        <f>VLOOKUP(C403,Insumos!$A:$G,2,FALSE)</f>
        <v/>
      </c>
      <c r="E403" s="4" t="n">
        <v>5</v>
      </c>
      <c r="F403" t="inlineStr">
        <is>
          <t>ml</t>
        </is>
      </c>
      <c r="G403">
        <f>E403*VLOOKUP(C403,Insumos!$A:$G,7,FALSE)</f>
        <v/>
      </c>
      <c r="H403" t="inlineStr"/>
    </row>
    <row r="404">
      <c r="A404" t="n">
        <v>29</v>
      </c>
      <c r="B404" t="inlineStr">
        <is>
          <t>100 g Almendras enteras crudas con piel</t>
        </is>
      </c>
      <c r="C404" t="inlineStr">
        <is>
          <t>ALM</t>
        </is>
      </c>
      <c r="D404">
        <f>VLOOKUP(C404,Insumos!$A:$G,2,FALSE)</f>
        <v/>
      </c>
      <c r="E404" s="4" t="n">
        <v>100</v>
      </c>
      <c r="F404" t="inlineStr">
        <is>
          <t>g</t>
        </is>
      </c>
      <c r="G404">
        <f>E404*VLOOKUP(C404,Insumos!$A:$G,7,FALSE)</f>
        <v/>
      </c>
      <c r="H404" t="inlineStr"/>
    </row>
    <row r="405">
      <c r="A405" t="n">
        <v>29</v>
      </c>
      <c r="B405" t="inlineStr">
        <is>
          <t>20 g Pistachos pelados (opcional, para contraste cromático)</t>
        </is>
      </c>
      <c r="C405" t="inlineStr">
        <is>
          <t>PIS</t>
        </is>
      </c>
      <c r="D405">
        <f>VLOOKUP(C405,Insumos!$A:$G,2,FALSE)</f>
        <v/>
      </c>
      <c r="E405" s="4" t="n">
        <v>20</v>
      </c>
      <c r="F405" t="inlineStr">
        <is>
          <t>g</t>
        </is>
      </c>
      <c r="G405">
        <f>E405*VLOOKUP(C405,Insumos!$A:$G,7,FALSE)</f>
        <v/>
      </c>
      <c r="H405" t="inlineStr"/>
    </row>
    <row r="406">
      <c r="A406" t="n">
        <v>30</v>
      </c>
      <c r="B406" t="inlineStr">
        <is>
          <t>180 g Harina de almendra fina sin piel</t>
        </is>
      </c>
      <c r="C406" t="inlineStr">
        <is>
          <t>HAL</t>
        </is>
      </c>
      <c r="D406">
        <f>VLOOKUP(C406,Insumos!$A:$G,2,FALSE)</f>
        <v/>
      </c>
      <c r="E406" s="4" t="n">
        <v>180</v>
      </c>
      <c r="F406" t="inlineStr">
        <is>
          <t>g</t>
        </is>
      </c>
      <c r="G406">
        <f>E406*VLOOKUP(C406,Insumos!$A:$G,7,FALSE)</f>
        <v/>
      </c>
      <c r="H406" t="inlineStr"/>
    </row>
    <row r="407">
      <c r="A407" t="n">
        <v>30</v>
      </c>
      <c r="B407" t="inlineStr">
        <is>
          <t>30 g Harina de lupino o de coco desgrasada (absorbente)</t>
        </is>
      </c>
      <c r="C407" t="inlineStr">
        <is>
          <t>HLU</t>
        </is>
      </c>
      <c r="D407">
        <f>VLOOKUP(C407,Insumos!$A:$G,2,FALSE)</f>
        <v/>
      </c>
      <c r="E407" s="4" t="n">
        <v>30</v>
      </c>
      <c r="F407" t="inlineStr">
        <is>
          <t>g</t>
        </is>
      </c>
      <c r="G407">
        <f>E407*VLOOKUP(C407,Insumos!$A:$G,7,FALSE)</f>
        <v/>
      </c>
      <c r="H407" t="inlineStr"/>
    </row>
    <row r="408">
      <c r="A408" t="n">
        <v>30</v>
      </c>
      <c r="B408" t="inlineStr">
        <is>
          <t>30 g Proteína aislada de suero de leche neutra (WPI 90%)</t>
        </is>
      </c>
      <c r="C408" t="inlineStr">
        <is>
          <t>WPI</t>
        </is>
      </c>
      <c r="D408">
        <f>VLOOKUP(C408,Insumos!$A:$G,2,FALSE)</f>
        <v/>
      </c>
      <c r="E408" s="4" t="n">
        <v>30</v>
      </c>
      <c r="F408" t="inlineStr">
        <is>
          <t>g</t>
        </is>
      </c>
      <c r="G408">
        <f>E408*VLOOKUP(C408,Insumos!$A:$G,7,FALSE)</f>
        <v/>
      </c>
      <c r="H408" t="inlineStr"/>
    </row>
    <row r="409">
      <c r="A409" t="n">
        <v>30</v>
      </c>
      <c r="B409" t="inlineStr">
        <is>
          <t>8 g Polvo para hornear doble acción</t>
        </is>
      </c>
      <c r="C409" t="inlineStr">
        <is>
          <t>PPH</t>
        </is>
      </c>
      <c r="D409">
        <f>VLOOKUP(C409,Insumos!$A:$G,2,FALSE)</f>
        <v/>
      </c>
      <c r="E409" s="4" t="n">
        <v>8</v>
      </c>
      <c r="F409" t="inlineStr">
        <is>
          <t>g</t>
        </is>
      </c>
      <c r="G409">
        <f>E409*VLOOKUP(C409,Insumos!$A:$G,7,FALSE)</f>
        <v/>
      </c>
      <c r="H409" t="inlineStr"/>
    </row>
    <row r="410">
      <c r="A410" t="n">
        <v>30</v>
      </c>
      <c r="B410" t="inlineStr">
        <is>
          <t>3 g Goma xantana</t>
        </is>
      </c>
      <c r="C410" t="inlineStr">
        <is>
          <t>XAN</t>
        </is>
      </c>
      <c r="D410">
        <f>VLOOKUP(C410,Insumos!$A:$G,2,FALSE)</f>
        <v/>
      </c>
      <c r="E410" s="4" t="n">
        <v>3</v>
      </c>
      <c r="F410" t="inlineStr">
        <is>
          <t>g</t>
        </is>
      </c>
      <c r="G410">
        <f>E410*VLOOKUP(C410,Insumos!$A:$G,7,FALSE)</f>
        <v/>
      </c>
      <c r="H410" t="inlineStr"/>
    </row>
    <row r="411">
      <c r="A411" t="n">
        <v>30</v>
      </c>
      <c r="B411" t="inlineStr">
        <is>
          <t>4 g Canela de Ceilán + 1 g Nuez moscada + 2 g Sal marina</t>
        </is>
      </c>
      <c r="C411" t="inlineStr">
        <is>
          <t>CAP</t>
        </is>
      </c>
      <c r="D411">
        <f>VLOOKUP(C411,Insumos!$A:$G,2,FALSE)</f>
        <v/>
      </c>
      <c r="E411" s="4" t="n">
        <v>4</v>
      </c>
      <c r="F411" t="inlineStr">
        <is>
          <t>g</t>
        </is>
      </c>
      <c r="G411">
        <f>E411*VLOOKUP(C411,Insumos!$A:$G,7,FALSE)</f>
        <v/>
      </c>
      <c r="H411" t="inlineStr"/>
    </row>
    <row r="412">
      <c r="A412" t="n">
        <v>30</v>
      </c>
      <c r="B412" t="inlineStr">
        <is>
          <t>4 g Canela de Ceilán + 1 g Nuez moscada + 2 g Sal marina</t>
        </is>
      </c>
      <c r="C412" t="inlineStr">
        <is>
          <t>ESP</t>
        </is>
      </c>
      <c r="D412">
        <f>VLOOKUP(C412,Insumos!$A:$G,2,FALSE)</f>
        <v/>
      </c>
      <c r="E412" s="4" t="n">
        <v>1</v>
      </c>
      <c r="F412" t="inlineStr">
        <is>
          <t>g</t>
        </is>
      </c>
      <c r="G412">
        <f>E412*VLOOKUP(C412,Insumos!$A:$G,7,FALSE)</f>
        <v/>
      </c>
      <c r="H412" t="inlineStr"/>
    </row>
    <row r="413">
      <c r="A413" t="n">
        <v>30</v>
      </c>
      <c r="B413" t="inlineStr">
        <is>
          <t>4 g Canela de Ceilán + 1 g Nuez moscada + 2 g Sal marina</t>
        </is>
      </c>
      <c r="C413" t="inlineStr">
        <is>
          <t>SAL</t>
        </is>
      </c>
      <c r="D413">
        <f>VLOOKUP(C413,Insumos!$A:$G,2,FALSE)</f>
        <v/>
      </c>
      <c r="E413" s="4" t="n">
        <v>2</v>
      </c>
      <c r="F413" t="inlineStr">
        <is>
          <t>g</t>
        </is>
      </c>
      <c r="G413">
        <f>E413*VLOOKUP(C413,Insumos!$A:$G,7,FALSE)</f>
        <v/>
      </c>
      <c r="H413" t="inlineStr"/>
    </row>
    <row r="414">
      <c r="A414" t="n">
        <v>30</v>
      </c>
      <c r="B414" t="inlineStr">
        <is>
          <t>60 g Puré de plátano Tabasco extremadamente maduro (cáscara negra, alto en fructosa natural)</t>
        </is>
      </c>
      <c r="C414" t="inlineStr">
        <is>
          <t>PLA</t>
        </is>
      </c>
      <c r="D414">
        <f>VLOOKUP(C414,Insumos!$A:$G,2,FALSE)</f>
        <v/>
      </c>
      <c r="E414" s="4" t="n">
        <v>60</v>
      </c>
      <c r="F414" t="inlineStr">
        <is>
          <t>g</t>
        </is>
      </c>
      <c r="G414">
        <f>E414*VLOOKUP(C414,Insumos!$A:$G,7,FALSE)</f>
        <v/>
      </c>
      <c r="H414" t="inlineStr"/>
    </row>
    <row r="415">
      <c r="A415" t="n">
        <v>30</v>
      </c>
      <c r="B415" t="inlineStr">
        <is>
          <t>100 g Crema agria espesa (Sour cream) atemperada</t>
        </is>
      </c>
      <c r="C415" t="inlineStr">
        <is>
          <t>CAG</t>
        </is>
      </c>
      <c r="D415">
        <f>VLOOKUP(C415,Insumos!$A:$G,2,FALSE)</f>
        <v/>
      </c>
      <c r="E415" s="4" t="n">
        <v>100</v>
      </c>
      <c r="F415" t="inlineStr">
        <is>
          <t>g</t>
        </is>
      </c>
      <c r="G415">
        <f>E415*VLOOKUP(C415,Insumos!$A:$G,7,FALSE)</f>
        <v/>
      </c>
      <c r="H415" t="inlineStr"/>
    </row>
    <row r="416">
      <c r="A416" t="n">
        <v>30</v>
      </c>
      <c r="B416" t="inlineStr">
        <is>
          <t>80 g Mantequilla sin sal derretida</t>
        </is>
      </c>
      <c r="C416" t="inlineStr">
        <is>
          <t>MAN</t>
        </is>
      </c>
      <c r="D416">
        <f>VLOOKUP(C416,Insumos!$A:$G,2,FALSE)</f>
        <v/>
      </c>
      <c r="E416" s="4" t="n">
        <v>80</v>
      </c>
      <c r="F416" t="inlineStr">
        <is>
          <t>g</t>
        </is>
      </c>
      <c r="G416">
        <f>E416*VLOOKUP(C416,Insumos!$A:$G,7,FALSE)</f>
        <v/>
      </c>
      <c r="H416" t="inlineStr"/>
    </row>
    <row r="417">
      <c r="A417" t="n">
        <v>30</v>
      </c>
      <c r="B417" t="inlineStr">
        <is>
          <t>3 Huevos enteros L (150 g)</t>
        </is>
      </c>
      <c r="C417" t="inlineStr">
        <is>
          <t>HUE</t>
        </is>
      </c>
      <c r="D417">
        <f>VLOOKUP(C417,Insumos!$A:$G,2,FALSE)</f>
        <v/>
      </c>
      <c r="E417" s="4" t="n">
        <v>150</v>
      </c>
      <c r="F417" t="inlineStr">
        <is>
          <t>g</t>
        </is>
      </c>
      <c r="G417">
        <f>E417*VLOOKUP(C417,Insumos!$A:$G,7,FALSE)</f>
        <v/>
      </c>
      <c r="H417" t="inlineStr"/>
    </row>
    <row r="418">
      <c r="A418" t="n">
        <v>30</v>
      </c>
      <c r="B418" t="inlineStr">
        <is>
          <t>5 ml Extracto concentrado natural de plátano + 5 ml Vainilla</t>
        </is>
      </c>
      <c r="C418" t="inlineStr">
        <is>
          <t>EXT</t>
        </is>
      </c>
      <c r="D418">
        <f>VLOOKUP(C418,Insumos!$A:$G,2,FALSE)</f>
        <v/>
      </c>
      <c r="E418" s="4" t="n">
        <v>5</v>
      </c>
      <c r="F418" t="inlineStr">
        <is>
          <t>ml</t>
        </is>
      </c>
      <c r="G418">
        <f>E418*VLOOKUP(C418,Insumos!$A:$G,7,FALSE)</f>
        <v/>
      </c>
      <c r="H418" t="inlineStr"/>
    </row>
    <row r="419">
      <c r="A419" t="n">
        <v>30</v>
      </c>
      <c r="B419" t="inlineStr">
        <is>
          <t>5 ml Extracto concentrado natural de plátano + 5 ml Vainilla</t>
        </is>
      </c>
      <c r="C419" t="inlineStr">
        <is>
          <t>VAE</t>
        </is>
      </c>
      <c r="D419">
        <f>VLOOKUP(C419,Insumos!$A:$G,2,FALSE)</f>
        <v/>
      </c>
      <c r="E419" s="4" t="n">
        <v>5</v>
      </c>
      <c r="F419" t="inlineStr">
        <is>
          <t>ml</t>
        </is>
      </c>
      <c r="G419">
        <f>E419*VLOOKUP(C419,Insumos!$A:$G,7,FALSE)</f>
        <v/>
      </c>
      <c r="H419" t="inlineStr"/>
    </row>
    <row r="420">
      <c r="A420" t="n">
        <v>30</v>
      </c>
      <c r="B420" t="inlineStr">
        <is>
          <t>100 g Alulosa pura cristalina + 60 g Eritritol granulado</t>
        </is>
      </c>
      <c r="C420" t="inlineStr">
        <is>
          <t>ALU</t>
        </is>
      </c>
      <c r="D420">
        <f>VLOOKUP(C420,Insumos!$A:$G,2,FALSE)</f>
        <v/>
      </c>
      <c r="E420" s="4" t="n">
        <v>100</v>
      </c>
      <c r="F420" t="inlineStr">
        <is>
          <t>g</t>
        </is>
      </c>
      <c r="G420">
        <f>E420*VLOOKUP(C420,Insumos!$A:$G,7,FALSE)</f>
        <v/>
      </c>
      <c r="H420" t="inlineStr"/>
    </row>
    <row r="421">
      <c r="A421" t="n">
        <v>30</v>
      </c>
      <c r="B421" t="inlineStr">
        <is>
          <t>100 g Alulosa pura cristalina + 60 g Eritritol granulado</t>
        </is>
      </c>
      <c r="C421" t="inlineStr">
        <is>
          <t>ERG</t>
        </is>
      </c>
      <c r="D421">
        <f>VLOOKUP(C421,Insumos!$A:$G,2,FALSE)</f>
        <v/>
      </c>
      <c r="E421" s="4" t="n">
        <v>60</v>
      </c>
      <c r="F421" t="inlineStr">
        <is>
          <t>g</t>
        </is>
      </c>
      <c r="G421">
        <f>E421*VLOOKUP(C421,Insumos!$A:$G,7,FALSE)</f>
        <v/>
      </c>
      <c r="H421" t="inlineStr"/>
    </row>
    <row r="422">
      <c r="A422" t="n">
        <v>30</v>
      </c>
      <c r="B422" t="inlineStr">
        <is>
          <t>80 g Nueces pecanas o de Castilla tostadas y troceadas gruesas</t>
        </is>
      </c>
      <c r="C422" t="inlineStr">
        <is>
          <t>NPE</t>
        </is>
      </c>
      <c r="D422">
        <f>VLOOKUP(C422,Insumos!$A:$G,2,FALSE)</f>
        <v/>
      </c>
      <c r="E422" s="4" t="n">
        <v>80</v>
      </c>
      <c r="F422" t="inlineStr">
        <is>
          <t>g</t>
        </is>
      </c>
      <c r="G422">
        <f>E422*VLOOKUP(C422,Insumos!$A:$G,7,FALSE)</f>
        <v/>
      </c>
      <c r="H422" t="inlineStr"/>
    </row>
    <row r="423">
      <c r="A423" t="n">
        <v>31</v>
      </c>
      <c r="B423" t="inlineStr">
        <is>
          <t>250 g Queso mozzarella rallado (bajo en humedad, tipo pizza, sin almidones añadidos)</t>
        </is>
      </c>
      <c r="C423" t="inlineStr">
        <is>
          <t>MOZ</t>
        </is>
      </c>
      <c r="D423">
        <f>VLOOKUP(C423,Insumos!$A:$G,2,FALSE)</f>
        <v/>
      </c>
      <c r="E423" s="4" t="n">
        <v>250</v>
      </c>
      <c r="F423" t="inlineStr">
        <is>
          <t>g</t>
        </is>
      </c>
      <c r="G423">
        <f>E423*VLOOKUP(C423,Insumos!$A:$G,7,FALSE)</f>
        <v/>
      </c>
      <c r="H423" t="inlineStr"/>
    </row>
    <row r="424">
      <c r="A424" t="n">
        <v>31</v>
      </c>
      <c r="B424" t="inlineStr">
        <is>
          <t>40 g Queso crema entero</t>
        </is>
      </c>
      <c r="C424" t="inlineStr">
        <is>
          <t>QCR</t>
        </is>
      </c>
      <c r="D424">
        <f>VLOOKUP(C424,Insumos!$A:$G,2,FALSE)</f>
        <v/>
      </c>
      <c r="E424" s="4" t="n">
        <v>40</v>
      </c>
      <c r="F424" t="inlineStr">
        <is>
          <t>g</t>
        </is>
      </c>
      <c r="G424">
        <f>E424*VLOOKUP(C424,Insumos!$A:$G,7,FALSE)</f>
        <v/>
      </c>
      <c r="H424" t="inlineStr"/>
    </row>
    <row r="425">
      <c r="A425" t="n">
        <v>31</v>
      </c>
      <c r="B425" t="inlineStr">
        <is>
          <t>160 g Harina de almendra fina</t>
        </is>
      </c>
      <c r="C425" t="inlineStr">
        <is>
          <t>HAL</t>
        </is>
      </c>
      <c r="D425">
        <f>VLOOKUP(C425,Insumos!$A:$G,2,FALSE)</f>
        <v/>
      </c>
      <c r="E425" s="4" t="n">
        <v>160</v>
      </c>
      <c r="F425" t="inlineStr">
        <is>
          <t>g</t>
        </is>
      </c>
      <c r="G425">
        <f>E425*VLOOKUP(C425,Insumos!$A:$G,7,FALSE)</f>
        <v/>
      </c>
      <c r="H425" t="inlineStr"/>
    </row>
    <row r="426">
      <c r="A426" t="n">
        <v>31</v>
      </c>
      <c r="B426" t="inlineStr">
        <is>
          <t>15 g Alulosa cristalina + 5 g Polvo para hornear</t>
        </is>
      </c>
      <c r="C426" t="inlineStr">
        <is>
          <t>ALU</t>
        </is>
      </c>
      <c r="D426">
        <f>VLOOKUP(C426,Insumos!$A:$G,2,FALSE)</f>
        <v/>
      </c>
      <c r="E426" s="4" t="n">
        <v>15</v>
      </c>
      <c r="F426" t="inlineStr">
        <is>
          <t>g</t>
        </is>
      </c>
      <c r="G426">
        <f>E426*VLOOKUP(C426,Insumos!$A:$G,7,FALSE)</f>
        <v/>
      </c>
      <c r="H426" t="inlineStr"/>
    </row>
    <row r="427">
      <c r="A427" t="n">
        <v>31</v>
      </c>
      <c r="B427" t="inlineStr">
        <is>
          <t>15 g Alulosa cristalina + 5 g Polvo para hornear</t>
        </is>
      </c>
      <c r="C427" t="inlineStr">
        <is>
          <t>PPH</t>
        </is>
      </c>
      <c r="D427">
        <f>VLOOKUP(C427,Insumos!$A:$G,2,FALSE)</f>
        <v/>
      </c>
      <c r="E427" s="4" t="n">
        <v>5</v>
      </c>
      <c r="F427" t="inlineStr">
        <is>
          <t>g</t>
        </is>
      </c>
      <c r="G427">
        <f>E427*VLOOKUP(C427,Insumos!$A:$G,7,FALSE)</f>
        <v/>
      </c>
      <c r="H427" t="inlineStr"/>
    </row>
    <row r="428">
      <c r="A428" t="n">
        <v>31</v>
      </c>
      <c r="B428" t="inlineStr">
        <is>
          <t>2 Huevos frescos L (100 g) a temperatura ambiente</t>
        </is>
      </c>
      <c r="C428" t="inlineStr">
        <is>
          <t>HUE</t>
        </is>
      </c>
      <c r="D428">
        <f>VLOOKUP(C428,Insumos!$A:$G,2,FALSE)</f>
        <v/>
      </c>
      <c r="E428" s="4" t="n">
        <v>100</v>
      </c>
      <c r="F428" t="inlineStr">
        <is>
          <t>g</t>
        </is>
      </c>
      <c r="G428">
        <f>E428*VLOOKUP(C428,Insumos!$A:$G,7,FALSE)</f>
        <v/>
      </c>
      <c r="H428" t="inlineStr"/>
    </row>
    <row r="429">
      <c r="A429" t="n">
        <v>31</v>
      </c>
      <c r="B429" t="inlineStr">
        <is>
          <t>60 g Mantequilla sin sal muy blanda (casi fundida)</t>
        </is>
      </c>
      <c r="C429" t="inlineStr">
        <is>
          <t>MAN</t>
        </is>
      </c>
      <c r="D429">
        <f>VLOOKUP(C429,Insumos!$A:$G,2,FALSE)</f>
        <v/>
      </c>
      <c r="E429" s="4" t="n">
        <v>60</v>
      </c>
      <c r="F429" t="inlineStr">
        <is>
          <t>g</t>
        </is>
      </c>
      <c r="G429">
        <f>E429*VLOOKUP(C429,Insumos!$A:$G,7,FALSE)</f>
        <v/>
      </c>
      <c r="H429" t="inlineStr"/>
    </row>
    <row r="430">
      <c r="A430" t="n">
        <v>31</v>
      </c>
      <c r="B430" t="inlineStr">
        <is>
          <t>80 g Alulosa pura cristalina (funde y forma el caramelo interior)</t>
        </is>
      </c>
      <c r="C430" t="inlineStr">
        <is>
          <t>ALU</t>
        </is>
      </c>
      <c r="D430">
        <f>VLOOKUP(C430,Insumos!$A:$G,2,FALSE)</f>
        <v/>
      </c>
      <c r="E430" s="4" t="n">
        <v>80</v>
      </c>
      <c r="F430" t="inlineStr">
        <is>
          <t>g</t>
        </is>
      </c>
      <c r="G430">
        <f>E430*VLOOKUP(C430,Insumos!$A:$G,7,FALSE)</f>
        <v/>
      </c>
      <c r="H430" t="inlineStr"/>
    </row>
    <row r="431">
      <c r="A431" t="n">
        <v>31</v>
      </c>
      <c r="B431" t="inlineStr">
        <is>
          <t>12 g Canela de Ceilán en polvo + 40 g Nuez pecana picada fina</t>
        </is>
      </c>
      <c r="C431" t="inlineStr">
        <is>
          <t>CAP</t>
        </is>
      </c>
      <c r="D431">
        <f>VLOOKUP(C431,Insumos!$A:$G,2,FALSE)</f>
        <v/>
      </c>
      <c r="E431" s="4" t="n">
        <v>12</v>
      </c>
      <c r="F431" t="inlineStr">
        <is>
          <t>g</t>
        </is>
      </c>
      <c r="G431">
        <f>E431*VLOOKUP(C431,Insumos!$A:$G,7,FALSE)</f>
        <v/>
      </c>
      <c r="H431" t="inlineStr"/>
    </row>
    <row r="432">
      <c r="A432" t="n">
        <v>31</v>
      </c>
      <c r="B432" t="inlineStr">
        <is>
          <t>12 g Canela de Ceilán en polvo + 40 g Nuez pecana picada fina</t>
        </is>
      </c>
      <c r="C432" t="inlineStr">
        <is>
          <t>NPE</t>
        </is>
      </c>
      <c r="D432">
        <f>VLOOKUP(C432,Insumos!$A:$G,2,FALSE)</f>
        <v/>
      </c>
      <c r="E432" s="4" t="n">
        <v>40</v>
      </c>
      <c r="F432" t="inlineStr">
        <is>
          <t>g</t>
        </is>
      </c>
      <c r="G432">
        <f>E432*VLOOKUP(C432,Insumos!$A:$G,7,FALSE)</f>
        <v/>
      </c>
      <c r="H432" t="inlineStr"/>
    </row>
    <row r="433">
      <c r="A433" t="n">
        <v>31</v>
      </c>
      <c r="B433" t="inlineStr">
        <is>
          <t>100 g Queso crema entero atemperado</t>
        </is>
      </c>
      <c r="C433" t="inlineStr">
        <is>
          <t>QCR</t>
        </is>
      </c>
      <c r="D433">
        <f>VLOOKUP(C433,Insumos!$A:$G,2,FALSE)</f>
        <v/>
      </c>
      <c r="E433" s="4" t="n">
        <v>100</v>
      </c>
      <c r="F433" t="inlineStr">
        <is>
          <t>g</t>
        </is>
      </c>
      <c r="G433">
        <f>E433*VLOOKUP(C433,Insumos!$A:$G,7,FALSE)</f>
        <v/>
      </c>
      <c r="H433" t="inlineStr"/>
    </row>
    <row r="434">
      <c r="A434" t="n">
        <v>31</v>
      </c>
      <c r="B434" t="inlineStr">
        <is>
          <t>30 g Mantequilla sin sal pomada</t>
        </is>
      </c>
      <c r="C434" t="inlineStr">
        <is>
          <t>MAN</t>
        </is>
      </c>
      <c r="D434">
        <f>VLOOKUP(C434,Insumos!$A:$G,2,FALSE)</f>
        <v/>
      </c>
      <c r="E434" s="4" t="n">
        <v>30</v>
      </c>
      <c r="F434" t="inlineStr">
        <is>
          <t>g</t>
        </is>
      </c>
      <c r="G434">
        <f>E434*VLOOKUP(C434,Insumos!$A:$G,7,FALSE)</f>
        <v/>
      </c>
      <c r="H434" t="inlineStr"/>
    </row>
    <row r="435">
      <c r="A435" t="n">
        <v>31</v>
      </c>
      <c r="B435" t="inlineStr">
        <is>
          <t>50 g Alulosa pulverizada micronizada + 5 ml Vainilla</t>
        </is>
      </c>
      <c r="C435" t="inlineStr">
        <is>
          <t>ALUP</t>
        </is>
      </c>
      <c r="D435">
        <f>VLOOKUP(C435,Insumos!$A:$G,2,FALSE)</f>
        <v/>
      </c>
      <c r="E435" s="4" t="n">
        <v>50</v>
      </c>
      <c r="F435" t="inlineStr">
        <is>
          <t>g</t>
        </is>
      </c>
      <c r="G435">
        <f>E435*VLOOKUP(C435,Insumos!$A:$G,7,FALSE)</f>
        <v/>
      </c>
      <c r="H435" t="inlineStr"/>
    </row>
    <row r="436">
      <c r="A436" t="n">
        <v>31</v>
      </c>
      <c r="B436" t="inlineStr">
        <is>
          <t>50 g Alulosa pulverizada micronizada + 5 ml Vainilla</t>
        </is>
      </c>
      <c r="C436" t="inlineStr">
        <is>
          <t>VAE</t>
        </is>
      </c>
      <c r="D436">
        <f>VLOOKUP(C436,Insumos!$A:$G,2,FALSE)</f>
        <v/>
      </c>
      <c r="E436" s="4" t="n">
        <v>5</v>
      </c>
      <c r="F436" t="inlineStr">
        <is>
          <t>ml</t>
        </is>
      </c>
      <c r="G436">
        <f>E436*VLOOKUP(C436,Insumos!$A:$G,7,FALSE)</f>
        <v/>
      </c>
      <c r="H436" t="inlineStr"/>
    </row>
    <row r="437">
      <c r="A437" t="n">
        <v>32</v>
      </c>
      <c r="B437" t="inlineStr">
        <is>
          <t>260 g Harina de almendra fina sin piel</t>
        </is>
      </c>
      <c r="C437" t="inlineStr">
        <is>
          <t>HAL</t>
        </is>
      </c>
      <c r="D437">
        <f>VLOOKUP(C437,Insumos!$A:$G,2,FALSE)</f>
        <v/>
      </c>
      <c r="E437" s="4" t="n">
        <v>260</v>
      </c>
      <c r="F437" t="inlineStr">
        <is>
          <t>g</t>
        </is>
      </c>
      <c r="G437">
        <f>E437*VLOOKUP(C437,Insumos!$A:$G,7,FALSE)</f>
        <v/>
      </c>
      <c r="H437" t="inlineStr"/>
    </row>
    <row r="438">
      <c r="A438" t="n">
        <v>32</v>
      </c>
      <c r="B438" t="inlineStr">
        <is>
          <t>30 g Harina de coco desgrasada (separar 10 g para rebozar la fruta)</t>
        </is>
      </c>
      <c r="C438" t="inlineStr">
        <is>
          <t>HCO</t>
        </is>
      </c>
      <c r="D438">
        <f>VLOOKUP(C438,Insumos!$A:$G,2,FALSE)</f>
        <v/>
      </c>
      <c r="E438" s="4" t="n">
        <v>30</v>
      </c>
      <c r="F438" t="inlineStr">
        <is>
          <t>g</t>
        </is>
      </c>
      <c r="G438">
        <f>E438*VLOOKUP(C438,Insumos!$A:$G,7,FALSE)</f>
        <v/>
      </c>
      <c r="H438" t="inlineStr"/>
    </row>
    <row r="439">
      <c r="A439" t="n">
        <v>32</v>
      </c>
      <c r="B439" t="inlineStr">
        <is>
          <t>140 g Alulosa pura cristalina</t>
        </is>
      </c>
      <c r="C439" t="inlineStr">
        <is>
          <t>ALU</t>
        </is>
      </c>
      <c r="D439">
        <f>VLOOKUP(C439,Insumos!$A:$G,2,FALSE)</f>
        <v/>
      </c>
      <c r="E439" s="4" t="n">
        <v>140</v>
      </c>
      <c r="F439" t="inlineStr">
        <is>
          <t>g</t>
        </is>
      </c>
      <c r="G439">
        <f>E439*VLOOKUP(C439,Insumos!$A:$G,7,FALSE)</f>
        <v/>
      </c>
      <c r="H439" t="inlineStr"/>
    </row>
    <row r="440">
      <c r="A440" t="n">
        <v>32</v>
      </c>
      <c r="B440" t="inlineStr">
        <is>
          <t>10 g Polvo para hornear doble acción (mayor dosis para levantar el peso de la crema)</t>
        </is>
      </c>
      <c r="C440" t="inlineStr">
        <is>
          <t>PPH</t>
        </is>
      </c>
      <c r="D440">
        <f>VLOOKUP(C440,Insumos!$A:$G,2,FALSE)</f>
        <v/>
      </c>
      <c r="E440" s="4" t="n">
        <v>10</v>
      </c>
      <c r="F440" t="inlineStr">
        <is>
          <t>g</t>
        </is>
      </c>
      <c r="G440">
        <f>E440*VLOOKUP(C440,Insumos!$A:$G,7,FALSE)</f>
        <v/>
      </c>
      <c r="H440" t="inlineStr"/>
    </row>
    <row r="441">
      <c r="A441" t="n">
        <v>32</v>
      </c>
      <c r="B441" t="inlineStr">
        <is>
          <t>3 g Sal marina + 2 g Goma xantana</t>
        </is>
      </c>
      <c r="C441" t="inlineStr">
        <is>
          <t>SAL</t>
        </is>
      </c>
      <c r="D441">
        <f>VLOOKUP(C441,Insumos!$A:$G,2,FALSE)</f>
        <v/>
      </c>
      <c r="E441" s="4" t="n">
        <v>3</v>
      </c>
      <c r="F441" t="inlineStr">
        <is>
          <t>g</t>
        </is>
      </c>
      <c r="G441">
        <f>E441*VLOOKUP(C441,Insumos!$A:$G,7,FALSE)</f>
        <v/>
      </c>
      <c r="H441" t="inlineStr"/>
    </row>
    <row r="442">
      <c r="A442" t="n">
        <v>32</v>
      </c>
      <c r="B442" t="inlineStr">
        <is>
          <t>3 g Sal marina + 2 g Goma xantana</t>
        </is>
      </c>
      <c r="C442" t="inlineStr">
        <is>
          <t>XAN</t>
        </is>
      </c>
      <c r="D442">
        <f>VLOOKUP(C442,Insumos!$A:$G,2,FALSE)</f>
        <v/>
      </c>
      <c r="E442" s="4" t="n">
        <v>2</v>
      </c>
      <c r="F442" t="inlineStr">
        <is>
          <t>g</t>
        </is>
      </c>
      <c r="G442">
        <f>E442*VLOOKUP(C442,Insumos!$A:$G,7,FALSE)</f>
        <v/>
      </c>
      <c r="H442" t="inlineStr"/>
    </row>
    <row r="443">
      <c r="A443" t="n">
        <v>32</v>
      </c>
      <c r="B443" t="inlineStr">
        <is>
          <t>4 Huevos L (200 g) a temperatura ambiente</t>
        </is>
      </c>
      <c r="C443" t="inlineStr">
        <is>
          <t>HUE</t>
        </is>
      </c>
      <c r="D443">
        <f>VLOOKUP(C443,Insumos!$A:$G,2,FALSE)</f>
        <v/>
      </c>
      <c r="E443" s="4" t="n">
        <v>200</v>
      </c>
      <c r="F443" t="inlineStr">
        <is>
          <t>g</t>
        </is>
      </c>
      <c r="G443">
        <f>E443*VLOOKUP(C443,Insumos!$A:$G,7,FALSE)</f>
        <v/>
      </c>
      <c r="H443" t="inlineStr"/>
    </row>
    <row r="444">
      <c r="A444" t="n">
        <v>32</v>
      </c>
      <c r="B444" t="inlineStr">
        <is>
          <t>120 g Crema agria (Sour cream) atemperada</t>
        </is>
      </c>
      <c r="C444" t="inlineStr">
        <is>
          <t>CAG</t>
        </is>
      </c>
      <c r="D444">
        <f>VLOOKUP(C444,Insumos!$A:$G,2,FALSE)</f>
        <v/>
      </c>
      <c r="E444" s="4" t="n">
        <v>120</v>
      </c>
      <c r="F444" t="inlineStr">
        <is>
          <t>g</t>
        </is>
      </c>
      <c r="G444">
        <f>E444*VLOOKUP(C444,Insumos!$A:$G,7,FALSE)</f>
        <v/>
      </c>
      <c r="H444" t="inlineStr"/>
    </row>
    <row r="445">
      <c r="A445" t="n">
        <v>32</v>
      </c>
      <c r="B445" t="inlineStr">
        <is>
          <t>60 g Mantequilla sin sal derretida</t>
        </is>
      </c>
      <c r="C445" t="inlineStr">
        <is>
          <t>MAN</t>
        </is>
      </c>
      <c r="D445">
        <f>VLOOKUP(C445,Insumos!$A:$G,2,FALSE)</f>
        <v/>
      </c>
      <c r="E445" s="4" t="n">
        <v>60</v>
      </c>
      <c r="F445" t="inlineStr">
        <is>
          <t>g</t>
        </is>
      </c>
      <c r="G445">
        <f>E445*VLOOKUP(C445,Insumos!$A:$G,7,FALSE)</f>
        <v/>
      </c>
      <c r="H445" t="inlineStr"/>
    </row>
    <row r="446">
      <c r="A446" t="n">
        <v>32</v>
      </c>
      <c r="B446" t="inlineStr">
        <is>
          <t>Ralladura de 2 limones amarillos Eureka + 10 ml de Vainilla</t>
        </is>
      </c>
      <c r="C446" t="inlineStr">
        <is>
          <t>LIM</t>
        </is>
      </c>
      <c r="D446">
        <f>VLOOKUP(C446,Insumos!$A:$G,2,FALSE)</f>
        <v/>
      </c>
      <c r="E446" s="4" t="n">
        <v>2</v>
      </c>
      <c r="F446" t="inlineStr">
        <is>
          <t>pz</t>
        </is>
      </c>
      <c r="G446">
        <f>E446*VLOOKUP(C446,Insumos!$A:$G,7,FALSE)</f>
        <v/>
      </c>
      <c r="H446" t="inlineStr">
        <is>
          <t>Solo la ralladura; se costea la fruta completa</t>
        </is>
      </c>
    </row>
    <row r="447">
      <c r="A447" t="n">
        <v>32</v>
      </c>
      <c r="B447" t="inlineStr">
        <is>
          <t>Ralladura de 2 limones amarillos Eureka + 10 ml de Vainilla</t>
        </is>
      </c>
      <c r="C447" t="inlineStr">
        <is>
          <t>VAE</t>
        </is>
      </c>
      <c r="D447">
        <f>VLOOKUP(C447,Insumos!$A:$G,2,FALSE)</f>
        <v/>
      </c>
      <c r="E447" s="4" t="n">
        <v>10</v>
      </c>
      <c r="F447" t="inlineStr">
        <is>
          <t>ml</t>
        </is>
      </c>
      <c r="G447">
        <f>E447*VLOOKUP(C447,Insumos!$A:$G,7,FALSE)</f>
        <v/>
      </c>
      <c r="H447" t="inlineStr"/>
    </row>
    <row r="448">
      <c r="A448" t="n">
        <v>32</v>
      </c>
      <c r="B448" t="inlineStr">
        <is>
          <t>150 g Arándanos azules (blueberries) frescos o congelados (no descongelar)</t>
        </is>
      </c>
      <c r="C448" t="inlineStr">
        <is>
          <t>ARA</t>
        </is>
      </c>
      <c r="D448">
        <f>VLOOKUP(C448,Insumos!$A:$G,2,FALSE)</f>
        <v/>
      </c>
      <c r="E448" s="4" t="n">
        <v>150</v>
      </c>
      <c r="F448" t="inlineStr">
        <is>
          <t>g</t>
        </is>
      </c>
      <c r="G448">
        <f>E448*VLOOKUP(C448,Insumos!$A:$G,7,FALSE)</f>
        <v/>
      </c>
      <c r="H448" t="inlineStr"/>
    </row>
    <row r="449">
      <c r="A449" t="n">
        <v>32</v>
      </c>
      <c r="B449" t="inlineStr">
        <is>
          <t>40 g Harina de almendra</t>
        </is>
      </c>
      <c r="C449" t="inlineStr">
        <is>
          <t>HAL</t>
        </is>
      </c>
      <c r="D449">
        <f>VLOOKUP(C449,Insumos!$A:$G,2,FALSE)</f>
        <v/>
      </c>
      <c r="E449" s="4" t="n">
        <v>40</v>
      </c>
      <c r="F449" t="inlineStr">
        <is>
          <t>g</t>
        </is>
      </c>
      <c r="G449">
        <f>E449*VLOOKUP(C449,Insumos!$A:$G,7,FALSE)</f>
        <v/>
      </c>
      <c r="H449" t="inlineStr"/>
    </row>
    <row r="450">
      <c r="A450" t="n">
        <v>32</v>
      </c>
      <c r="B450" t="inlineStr">
        <is>
          <t>40 g Eritritol granulado (aporta el crujido en la cúpula)</t>
        </is>
      </c>
      <c r="C450" t="inlineStr">
        <is>
          <t>ERG</t>
        </is>
      </c>
      <c r="D450">
        <f>VLOOKUP(C450,Insumos!$A:$G,2,FALSE)</f>
        <v/>
      </c>
      <c r="E450" s="4" t="n">
        <v>40</v>
      </c>
      <c r="F450" t="inlineStr">
        <is>
          <t>g</t>
        </is>
      </c>
      <c r="G450">
        <f>E450*VLOOKUP(C450,Insumos!$A:$G,7,FALSE)</f>
        <v/>
      </c>
      <c r="H450" t="inlineStr"/>
    </row>
    <row r="451">
      <c r="A451" t="n">
        <v>32</v>
      </c>
      <c r="B451" t="inlineStr">
        <is>
          <t>30 g Mantequilla sin sal muy fría en cubitos</t>
        </is>
      </c>
      <c r="C451" t="inlineStr">
        <is>
          <t>MAN</t>
        </is>
      </c>
      <c r="D451">
        <f>VLOOKUP(C451,Insumos!$A:$G,2,FALSE)</f>
        <v/>
      </c>
      <c r="E451" s="4" t="n">
        <v>30</v>
      </c>
      <c r="F451" t="inlineStr">
        <is>
          <t>g</t>
        </is>
      </c>
      <c r="G451">
        <f>E451*VLOOKUP(C451,Insumos!$A:$G,7,FALSE)</f>
        <v/>
      </c>
      <c r="H451" t="inlineStr"/>
    </row>
    <row r="452">
      <c r="A452" t="n">
        <v>33</v>
      </c>
      <c r="B452" t="inlineStr">
        <is>
          <t>120 g Queso crema entero (34 % MG) muy blando a temperatura ambiente</t>
        </is>
      </c>
      <c r="C452" t="inlineStr">
        <is>
          <t>QCR</t>
        </is>
      </c>
      <c r="D452">
        <f>VLOOKUP(C452,Insumos!$A:$G,2,FALSE)</f>
        <v/>
      </c>
      <c r="E452" s="4" t="n">
        <v>120</v>
      </c>
      <c r="F452" t="inlineStr">
        <is>
          <t>g</t>
        </is>
      </c>
      <c r="G452">
        <f>E452*VLOOKUP(C452,Insumos!$A:$G,7,FALSE)</f>
        <v/>
      </c>
      <c r="H452" t="inlineStr"/>
    </row>
    <row r="453">
      <c r="A453" t="n">
        <v>33</v>
      </c>
      <c r="B453" t="inlineStr">
        <is>
          <t>80 g Mantequilla de vaca sin sal pomada</t>
        </is>
      </c>
      <c r="C453" t="inlineStr">
        <is>
          <t>MAN</t>
        </is>
      </c>
      <c r="D453">
        <f>VLOOKUP(C453,Insumos!$A:$G,2,FALSE)</f>
        <v/>
      </c>
      <c r="E453" s="4" t="n">
        <v>80</v>
      </c>
      <c r="F453" t="inlineStr">
        <is>
          <t>g</t>
        </is>
      </c>
      <c r="G453">
        <f>E453*VLOOKUP(C453,Insumos!$A:$G,7,FALSE)</f>
        <v/>
      </c>
      <c r="H453" t="inlineStr"/>
    </row>
    <row r="454">
      <c r="A454" t="n">
        <v>33</v>
      </c>
      <c r="B454" t="inlineStr">
        <is>
          <t>140 g Alulosa pura cristalina</t>
        </is>
      </c>
      <c r="C454" t="inlineStr">
        <is>
          <t>ALU</t>
        </is>
      </c>
      <c r="D454">
        <f>VLOOKUP(C454,Insumos!$A:$G,2,FALSE)</f>
        <v/>
      </c>
      <c r="E454" s="4" t="n">
        <v>140</v>
      </c>
      <c r="F454" t="inlineStr">
        <is>
          <t>g</t>
        </is>
      </c>
      <c r="G454">
        <f>E454*VLOOKUP(C454,Insumos!$A:$G,7,FALSE)</f>
        <v/>
      </c>
      <c r="H454" t="inlineStr"/>
    </row>
    <row r="455">
      <c r="A455" t="n">
        <v>33</v>
      </c>
      <c r="B455" t="inlineStr">
        <is>
          <t>Ralladura fina de 2 limones amarillos Eureka</t>
        </is>
      </c>
      <c r="C455" t="inlineStr">
        <is>
          <t>LIM</t>
        </is>
      </c>
      <c r="D455">
        <f>VLOOKUP(C455,Insumos!$A:$G,2,FALSE)</f>
        <v/>
      </c>
      <c r="E455" s="4" t="n">
        <v>2</v>
      </c>
      <c r="F455" t="inlineStr">
        <is>
          <t>pz</t>
        </is>
      </c>
      <c r="G455">
        <f>E455*VLOOKUP(C455,Insumos!$A:$G,7,FALSE)</f>
        <v/>
      </c>
      <c r="H455" t="inlineStr">
        <is>
          <t>Solo la ralladura; se costea la fruta completa</t>
        </is>
      </c>
    </row>
    <row r="456">
      <c r="A456" t="n">
        <v>33</v>
      </c>
      <c r="B456" t="inlineStr">
        <is>
          <t>3 Huevos enteros L (150 g) a temperatura ambiente</t>
        </is>
      </c>
      <c r="C456" t="inlineStr">
        <is>
          <t>HUE</t>
        </is>
      </c>
      <c r="D456">
        <f>VLOOKUP(C456,Insumos!$A:$G,2,FALSE)</f>
        <v/>
      </c>
      <c r="E456" s="4" t="n">
        <v>150</v>
      </c>
      <c r="F456" t="inlineStr">
        <is>
          <t>g</t>
        </is>
      </c>
      <c r="G456">
        <f>E456*VLOOKUP(C456,Insumos!$A:$G,7,FALSE)</f>
        <v/>
      </c>
      <c r="H456" t="inlineStr"/>
    </row>
    <row r="457">
      <c r="A457" t="n">
        <v>33</v>
      </c>
      <c r="B457" t="inlineStr">
        <is>
          <t>30 ml Zumo de limón fresco colado</t>
        </is>
      </c>
      <c r="C457" t="inlineStr">
        <is>
          <t>LIM</t>
        </is>
      </c>
      <c r="D457">
        <f>VLOOKUP(C457,Insumos!$A:$G,2,FALSE)</f>
        <v/>
      </c>
      <c r="E457" s="4" t="n">
        <v>0.75</v>
      </c>
      <c r="F457" t="inlineStr">
        <is>
          <t>pz</t>
        </is>
      </c>
      <c r="G457">
        <f>E457*VLOOKUP(C457,Insumos!$A:$G,7,FALSE)</f>
        <v/>
      </c>
      <c r="H457" t="inlineStr">
        <is>
          <t>Jugo convertido a piezas (limón ≈ 40 ml, naranja ≈ 80 ml)</t>
        </is>
      </c>
    </row>
    <row r="458">
      <c r="A458" t="n">
        <v>33</v>
      </c>
      <c r="B458" t="inlineStr">
        <is>
          <t>5 ml Extracto de vainilla</t>
        </is>
      </c>
      <c r="C458" t="inlineStr">
        <is>
          <t>VAE</t>
        </is>
      </c>
      <c r="D458">
        <f>VLOOKUP(C458,Insumos!$A:$G,2,FALSE)</f>
        <v/>
      </c>
      <c r="E458" s="4" t="n">
        <v>5</v>
      </c>
      <c r="F458" t="inlineStr">
        <is>
          <t>ml</t>
        </is>
      </c>
      <c r="G458">
        <f>E458*VLOOKUP(C458,Insumos!$A:$G,7,FALSE)</f>
        <v/>
      </c>
      <c r="H458" t="inlineStr"/>
    </row>
    <row r="459">
      <c r="A459" t="n">
        <v>33</v>
      </c>
      <c r="B459" t="inlineStr">
        <is>
          <t>180 g Harina de almendra ultrafina tamizada</t>
        </is>
      </c>
      <c r="C459" t="inlineStr">
        <is>
          <t>HAL</t>
        </is>
      </c>
      <c r="D459">
        <f>VLOOKUP(C459,Insumos!$A:$G,2,FALSE)</f>
        <v/>
      </c>
      <c r="E459" s="4" t="n">
        <v>180</v>
      </c>
      <c r="F459" t="inlineStr">
        <is>
          <t>g</t>
        </is>
      </c>
      <c r="G459">
        <f>E459*VLOOKUP(C459,Insumos!$A:$G,7,FALSE)</f>
        <v/>
      </c>
      <c r="H459" t="inlineStr"/>
    </row>
    <row r="460">
      <c r="A460" t="n">
        <v>33</v>
      </c>
      <c r="B460" t="inlineStr">
        <is>
          <t>15 g Harina de coco desgrasada</t>
        </is>
      </c>
      <c r="C460" t="inlineStr">
        <is>
          <t>HCO</t>
        </is>
      </c>
      <c r="D460">
        <f>VLOOKUP(C460,Insumos!$A:$G,2,FALSE)</f>
        <v/>
      </c>
      <c r="E460" s="4" t="n">
        <v>15</v>
      </c>
      <c r="F460" t="inlineStr">
        <is>
          <t>g</t>
        </is>
      </c>
      <c r="G460">
        <f>E460*VLOOKUP(C460,Insumos!$A:$G,7,FALSE)</f>
        <v/>
      </c>
      <c r="H460" t="inlineStr"/>
    </row>
    <row r="461">
      <c r="A461" t="n">
        <v>33</v>
      </c>
      <c r="B461" t="inlineStr">
        <is>
          <t>6 g Polvo para hornear doble acción + 2 g Sal fina + 1 g Goma xantana</t>
        </is>
      </c>
      <c r="C461" t="inlineStr">
        <is>
          <t>PPH</t>
        </is>
      </c>
      <c r="D461">
        <f>VLOOKUP(C461,Insumos!$A:$G,2,FALSE)</f>
        <v/>
      </c>
      <c r="E461" s="4" t="n">
        <v>6</v>
      </c>
      <c r="F461" t="inlineStr">
        <is>
          <t>g</t>
        </is>
      </c>
      <c r="G461">
        <f>E461*VLOOKUP(C461,Insumos!$A:$G,7,FALSE)</f>
        <v/>
      </c>
      <c r="H461" t="inlineStr"/>
    </row>
    <row r="462">
      <c r="A462" t="n">
        <v>33</v>
      </c>
      <c r="B462" t="inlineStr">
        <is>
          <t>6 g Polvo para hornear doble acción + 2 g Sal fina + 1 g Goma xantana</t>
        </is>
      </c>
      <c r="C462" t="inlineStr">
        <is>
          <t>SAL</t>
        </is>
      </c>
      <c r="D462">
        <f>VLOOKUP(C462,Insumos!$A:$G,2,FALSE)</f>
        <v/>
      </c>
      <c r="E462" s="4" t="n">
        <v>2</v>
      </c>
      <c r="F462" t="inlineStr">
        <is>
          <t>g</t>
        </is>
      </c>
      <c r="G462">
        <f>E462*VLOOKUP(C462,Insumos!$A:$G,7,FALSE)</f>
        <v/>
      </c>
      <c r="H462" t="inlineStr"/>
    </row>
    <row r="463">
      <c r="A463" t="n">
        <v>33</v>
      </c>
      <c r="B463" t="inlineStr">
        <is>
          <t>6 g Polvo para hornear doble acción + 2 g Sal fina + 1 g Goma xantana</t>
        </is>
      </c>
      <c r="C463" t="inlineStr">
        <is>
          <t>XAN</t>
        </is>
      </c>
      <c r="D463">
        <f>VLOOKUP(C463,Insumos!$A:$G,2,FALSE)</f>
        <v/>
      </c>
      <c r="E463" s="4" t="n">
        <v>1</v>
      </c>
      <c r="F463" t="inlineStr">
        <is>
          <t>g</t>
        </is>
      </c>
      <c r="G463">
        <f>E463*VLOOKUP(C463,Insumos!$A:$G,7,FALSE)</f>
        <v/>
      </c>
      <c r="H463" t="inlineStr"/>
    </row>
    <row r="464">
      <c r="A464" t="n">
        <v>33</v>
      </c>
      <c r="B464" t="inlineStr">
        <is>
          <t>60 g Eritritol 100% puro micronizado grado glas (indispensable para secado duro)</t>
        </is>
      </c>
      <c r="C464" t="inlineStr">
        <is>
          <t>ERP</t>
        </is>
      </c>
      <c r="D464">
        <f>VLOOKUP(C464,Insumos!$A:$G,2,FALSE)</f>
        <v/>
      </c>
      <c r="E464" s="4" t="n">
        <v>60</v>
      </c>
      <c r="F464" t="inlineStr">
        <is>
          <t>g</t>
        </is>
      </c>
      <c r="G464">
        <f>E464*VLOOKUP(C464,Insumos!$A:$G,7,FALSE)</f>
        <v/>
      </c>
      <c r="H464" t="inlineStr"/>
    </row>
    <row r="465">
      <c r="A465" t="n">
        <v>33</v>
      </c>
      <c r="B465" t="inlineStr">
        <is>
          <t>15 ml Crema para batir o leche de almendras</t>
        </is>
      </c>
      <c r="C465" t="inlineStr">
        <is>
          <t>CRE</t>
        </is>
      </c>
      <c r="D465">
        <f>VLOOKUP(C465,Insumos!$A:$G,2,FALSE)</f>
        <v/>
      </c>
      <c r="E465" s="4" t="n">
        <v>15</v>
      </c>
      <c r="F465" t="inlineStr">
        <is>
          <t>ml</t>
        </is>
      </c>
      <c r="G465">
        <f>E465*VLOOKUP(C465,Insumos!$A:$G,7,FALSE)</f>
        <v/>
      </c>
      <c r="H465" t="inlineStr"/>
    </row>
    <row r="466">
      <c r="A466" t="n">
        <v>33</v>
      </c>
      <c r="B466" t="inlineStr">
        <is>
          <t>10 ml Zumo de limón</t>
        </is>
      </c>
      <c r="C466" t="inlineStr">
        <is>
          <t>LIM</t>
        </is>
      </c>
      <c r="D466">
        <f>VLOOKUP(C466,Insumos!$A:$G,2,FALSE)</f>
        <v/>
      </c>
      <c r="E466" s="4" t="n">
        <v>0.25</v>
      </c>
      <c r="F466" t="inlineStr">
        <is>
          <t>pz</t>
        </is>
      </c>
      <c r="G466">
        <f>E466*VLOOKUP(C466,Insumos!$A:$G,7,FALSE)</f>
        <v/>
      </c>
      <c r="H466" t="inlineStr">
        <is>
          <t>Jugo convertido a piezas (limón ≈ 40 ml, naranja ≈ 80 ml)</t>
        </is>
      </c>
    </row>
    <row r="467">
      <c r="A467" t="n">
        <v>34</v>
      </c>
      <c r="B467" t="inlineStr">
        <is>
          <t>10 g Levadura seca activa de panadero</t>
        </is>
      </c>
      <c r="C467" t="inlineStr">
        <is>
          <t>LEV</t>
        </is>
      </c>
      <c r="D467">
        <f>VLOOKUP(C467,Insumos!$A:$G,2,FALSE)</f>
        <v/>
      </c>
      <c r="E467" s="4" t="n">
        <v>10</v>
      </c>
      <c r="F467" t="inlineStr">
        <is>
          <t>g</t>
        </is>
      </c>
      <c r="G467">
        <f>E467*VLOOKUP(C467,Insumos!$A:$G,7,FALSE)</f>
        <v/>
      </c>
      <c r="H467" t="inlineStr"/>
    </row>
    <row r="468">
      <c r="A468" t="n">
        <v>34</v>
      </c>
      <c r="B468" t="inlineStr">
        <is>
          <t>15 g Inulina de agave pura (alimento de la levadura, indispensable)</t>
        </is>
      </c>
      <c r="C468" t="inlineStr">
        <is>
          <t>INU</t>
        </is>
      </c>
      <c r="D468">
        <f>VLOOKUP(C468,Insumos!$A:$G,2,FALSE)</f>
        <v/>
      </c>
      <c r="E468" s="4" t="n">
        <v>15</v>
      </c>
      <c r="F468" t="inlineStr">
        <is>
          <t>g</t>
        </is>
      </c>
      <c r="G468">
        <f>E468*VLOOKUP(C468,Insumos!$A:$G,7,FALSE)</f>
        <v/>
      </c>
      <c r="H468" t="inlineStr"/>
    </row>
    <row r="469">
      <c r="A469" t="n">
        <v>34</v>
      </c>
      <c r="B469" t="inlineStr">
        <is>
          <t>60 ml Agua tibia (35 °C)</t>
        </is>
      </c>
      <c r="C469" t="inlineStr">
        <is>
          <t>AGU</t>
        </is>
      </c>
      <c r="D469">
        <f>VLOOKUP(C469,Insumos!$A:$G,2,FALSE)</f>
        <v/>
      </c>
      <c r="E469" s="4" t="n">
        <v>60</v>
      </c>
      <c r="F469" t="inlineStr">
        <is>
          <t>ml</t>
        </is>
      </c>
      <c r="G469">
        <f>E469*VLOOKUP(C469,Insumos!$A:$G,7,FALSE)</f>
        <v/>
      </c>
      <c r="H469" t="inlineStr"/>
    </row>
    <row r="470">
      <c r="A470" t="n">
        <v>34</v>
      </c>
      <c r="B470" t="inlineStr">
        <is>
          <t>25 g Polvo fino de cáscara de Psyllium (Psyllium husk powder)</t>
        </is>
      </c>
      <c r="C470" t="inlineStr">
        <is>
          <t>PSY</t>
        </is>
      </c>
      <c r="D470">
        <f>VLOOKUP(C470,Insumos!$A:$G,2,FALSE)</f>
        <v/>
      </c>
      <c r="E470" s="4" t="n">
        <v>25</v>
      </c>
      <c r="F470" t="inlineStr">
        <is>
          <t>g</t>
        </is>
      </c>
      <c r="G470">
        <f>E470*VLOOKUP(C470,Insumos!$A:$G,7,FALSE)</f>
        <v/>
      </c>
      <c r="H470" t="inlineStr"/>
    </row>
    <row r="471">
      <c r="A471" t="n">
        <v>34</v>
      </c>
      <c r="B471" t="inlineStr">
        <is>
          <t>180 ml Agua hirviendo (100 °C)</t>
        </is>
      </c>
      <c r="C471" t="inlineStr">
        <is>
          <t>AGU</t>
        </is>
      </c>
      <c r="D471">
        <f>VLOOKUP(C471,Insumos!$A:$G,2,FALSE)</f>
        <v/>
      </c>
      <c r="E471" s="4" t="n">
        <v>180</v>
      </c>
      <c r="F471" t="inlineStr">
        <is>
          <t>ml</t>
        </is>
      </c>
      <c r="G471">
        <f>E471*VLOOKUP(C471,Insumos!$A:$G,7,FALSE)</f>
        <v/>
      </c>
      <c r="H471" t="inlineStr"/>
    </row>
    <row r="472">
      <c r="A472" t="n">
        <v>34</v>
      </c>
      <c r="B472" t="inlineStr">
        <is>
          <t>200 g Harina de almendra fina + 30 g Harina de coco</t>
        </is>
      </c>
      <c r="C472" t="inlineStr">
        <is>
          <t>HAL</t>
        </is>
      </c>
      <c r="D472">
        <f>VLOOKUP(C472,Insumos!$A:$G,2,FALSE)</f>
        <v/>
      </c>
      <c r="E472" s="4" t="n">
        <v>200</v>
      </c>
      <c r="F472" t="inlineStr">
        <is>
          <t>g</t>
        </is>
      </c>
      <c r="G472">
        <f>E472*VLOOKUP(C472,Insumos!$A:$G,7,FALSE)</f>
        <v/>
      </c>
      <c r="H472" t="inlineStr"/>
    </row>
    <row r="473">
      <c r="A473" t="n">
        <v>34</v>
      </c>
      <c r="B473" t="inlineStr">
        <is>
          <t>200 g Harina de almendra fina + 30 g Harina de coco</t>
        </is>
      </c>
      <c r="C473" t="inlineStr">
        <is>
          <t>HCO</t>
        </is>
      </c>
      <c r="D473">
        <f>VLOOKUP(C473,Insumos!$A:$G,2,FALSE)</f>
        <v/>
      </c>
      <c r="E473" s="4" t="n">
        <v>30</v>
      </c>
      <c r="F473" t="inlineStr">
        <is>
          <t>g</t>
        </is>
      </c>
      <c r="G473">
        <f>E473*VLOOKUP(C473,Insumos!$A:$G,7,FALSE)</f>
        <v/>
      </c>
      <c r="H473" t="inlineStr"/>
    </row>
    <row r="474">
      <c r="A474" t="n">
        <v>34</v>
      </c>
      <c r="B474" t="inlineStr">
        <is>
          <t>80 g Alulosa pura cristalina</t>
        </is>
      </c>
      <c r="C474" t="inlineStr">
        <is>
          <t>ALU</t>
        </is>
      </c>
      <c r="D474">
        <f>VLOOKUP(C474,Insumos!$A:$G,2,FALSE)</f>
        <v/>
      </c>
      <c r="E474" s="4" t="n">
        <v>80</v>
      </c>
      <c r="F474" t="inlineStr">
        <is>
          <t>g</t>
        </is>
      </c>
      <c r="G474">
        <f>E474*VLOOKUP(C474,Insumos!$A:$G,7,FALSE)</f>
        <v/>
      </c>
      <c r="H474" t="inlineStr"/>
    </row>
    <row r="475">
      <c r="A475" t="n">
        <v>34</v>
      </c>
      <c r="B475" t="inlineStr">
        <is>
          <t>6 g Polvo para hornear + 3 g Sal fina</t>
        </is>
      </c>
      <c r="C475" t="inlineStr">
        <is>
          <t>PPH</t>
        </is>
      </c>
      <c r="D475">
        <f>VLOOKUP(C475,Insumos!$A:$G,2,FALSE)</f>
        <v/>
      </c>
      <c r="E475" s="4" t="n">
        <v>6</v>
      </c>
      <c r="F475" t="inlineStr">
        <is>
          <t>g</t>
        </is>
      </c>
      <c r="G475">
        <f>E475*VLOOKUP(C475,Insumos!$A:$G,7,FALSE)</f>
        <v/>
      </c>
      <c r="H475" t="inlineStr"/>
    </row>
    <row r="476">
      <c r="A476" t="n">
        <v>34</v>
      </c>
      <c r="B476" t="inlineStr">
        <is>
          <t>6 g Polvo para hornear + 3 g Sal fina</t>
        </is>
      </c>
      <c r="C476" t="inlineStr">
        <is>
          <t>SAL</t>
        </is>
      </c>
      <c r="D476">
        <f>VLOOKUP(C476,Insumos!$A:$G,2,FALSE)</f>
        <v/>
      </c>
      <c r="E476" s="4" t="n">
        <v>3</v>
      </c>
      <c r="F476" t="inlineStr">
        <is>
          <t>g</t>
        </is>
      </c>
      <c r="G476">
        <f>E476*VLOOKUP(C476,Insumos!$A:$G,7,FALSE)</f>
        <v/>
      </c>
      <c r="H476" t="inlineStr"/>
    </row>
    <row r="477">
      <c r="A477" t="n">
        <v>34</v>
      </c>
      <c r="B477" t="inlineStr">
        <is>
          <t>2 Huevos enteros L (100 g) a temperatura ambiente</t>
        </is>
      </c>
      <c r="C477" t="inlineStr">
        <is>
          <t>HUE</t>
        </is>
      </c>
      <c r="D477">
        <f>VLOOKUP(C477,Insumos!$A:$G,2,FALSE)</f>
        <v/>
      </c>
      <c r="E477" s="4" t="n">
        <v>100</v>
      </c>
      <c r="F477" t="inlineStr">
        <is>
          <t>g</t>
        </is>
      </c>
      <c r="G477">
        <f>E477*VLOOKUP(C477,Insumos!$A:$G,7,FALSE)</f>
        <v/>
      </c>
      <c r="H477" t="inlineStr"/>
    </row>
    <row r="478">
      <c r="A478" t="n">
        <v>34</v>
      </c>
      <c r="B478" t="inlineStr">
        <is>
          <t>40 g Mantequilla sin sal fundida tibia</t>
        </is>
      </c>
      <c r="C478" t="inlineStr">
        <is>
          <t>MAN</t>
        </is>
      </c>
      <c r="D478">
        <f>VLOOKUP(C478,Insumos!$A:$G,2,FALSE)</f>
        <v/>
      </c>
      <c r="E478" s="4" t="n">
        <v>40</v>
      </c>
      <c r="F478" t="inlineStr">
        <is>
          <t>g</t>
        </is>
      </c>
      <c r="G478">
        <f>E478*VLOOKUP(C478,Insumos!$A:$G,7,FALSE)</f>
        <v/>
      </c>
      <c r="H478" t="inlineStr"/>
    </row>
    <row r="479">
      <c r="A479" t="n">
        <v>34</v>
      </c>
      <c r="B479" t="inlineStr">
        <is>
          <t>10 ml Agua de azahar pura + 5 ml Vainilla + Ralladura de 1 naranja</t>
        </is>
      </c>
      <c r="C479" t="inlineStr">
        <is>
          <t>AZA</t>
        </is>
      </c>
      <c r="D479">
        <f>VLOOKUP(C479,Insumos!$A:$G,2,FALSE)</f>
        <v/>
      </c>
      <c r="E479" s="4" t="n">
        <v>10</v>
      </c>
      <c r="F479" t="inlineStr">
        <is>
          <t>ml</t>
        </is>
      </c>
      <c r="G479">
        <f>E479*VLOOKUP(C479,Insumos!$A:$G,7,FALSE)</f>
        <v/>
      </c>
      <c r="H479" t="inlineStr"/>
    </row>
    <row r="480">
      <c r="A480" t="n">
        <v>34</v>
      </c>
      <c r="B480" t="inlineStr">
        <is>
          <t>10 ml Agua de azahar pura + 5 ml Vainilla + Ralladura de 1 naranja</t>
        </is>
      </c>
      <c r="C480" t="inlineStr">
        <is>
          <t>VAE</t>
        </is>
      </c>
      <c r="D480">
        <f>VLOOKUP(C480,Insumos!$A:$G,2,FALSE)</f>
        <v/>
      </c>
      <c r="E480" s="4" t="n">
        <v>5</v>
      </c>
      <c r="F480" t="inlineStr">
        <is>
          <t>ml</t>
        </is>
      </c>
      <c r="G480">
        <f>E480*VLOOKUP(C480,Insumos!$A:$G,7,FALSE)</f>
        <v/>
      </c>
      <c r="H480" t="inlineStr"/>
    </row>
    <row r="481">
      <c r="A481" t="n">
        <v>34</v>
      </c>
      <c r="B481" t="inlineStr">
        <is>
          <t>10 ml Agua de azahar pura + 5 ml Vainilla + Ralladura de 1 naranja</t>
        </is>
      </c>
      <c r="C481" t="inlineStr">
        <is>
          <t>NAR</t>
        </is>
      </c>
      <c r="D481">
        <f>VLOOKUP(C481,Insumos!$A:$G,2,FALSE)</f>
        <v/>
      </c>
      <c r="E481" s="4" t="n">
        <v>1</v>
      </c>
      <c r="F481" t="inlineStr">
        <is>
          <t>pz</t>
        </is>
      </c>
      <c r="G481">
        <f>E481*VLOOKUP(C481,Insumos!$A:$G,7,FALSE)</f>
        <v/>
      </c>
      <c r="H481" t="inlineStr">
        <is>
          <t>Solo la ralladura; se costea la fruta completa</t>
        </is>
      </c>
    </row>
    <row r="482">
      <c r="A482" t="n">
        <v>34</v>
      </c>
      <c r="B482" t="inlineStr">
        <is>
          <t>50 g Harina de almendra + 30 g Eritritol polvo + 30 g Mantequilla pomada + 10 g Cacao puro (para color oscuro opcional) + 1 Yema de huevo. Amasar hasta formar pasta moldeable.</t>
        </is>
      </c>
      <c r="C482" t="inlineStr">
        <is>
          <t>HAL</t>
        </is>
      </c>
      <c r="D482">
        <f>VLOOKUP(C482,Insumos!$A:$G,2,FALSE)</f>
        <v/>
      </c>
      <c r="E482" s="4" t="n">
        <v>50</v>
      </c>
      <c r="F482" t="inlineStr">
        <is>
          <t>g</t>
        </is>
      </c>
      <c r="G482">
        <f>E482*VLOOKUP(C482,Insumos!$A:$G,7,FALSE)</f>
        <v/>
      </c>
      <c r="H482" t="inlineStr"/>
    </row>
    <row r="483">
      <c r="A483" t="n">
        <v>34</v>
      </c>
      <c r="B483" t="inlineStr">
        <is>
          <t>50 g Harina de almendra + 30 g Eritritol polvo + 30 g Mantequilla pomada + 10 g Cacao puro (para color oscuro opcional) + 1 Yema de huevo. Amasar hasta formar pasta moldeable.</t>
        </is>
      </c>
      <c r="C483" t="inlineStr">
        <is>
          <t>ERP</t>
        </is>
      </c>
      <c r="D483">
        <f>VLOOKUP(C483,Insumos!$A:$G,2,FALSE)</f>
        <v/>
      </c>
      <c r="E483" s="4" t="n">
        <v>30</v>
      </c>
      <c r="F483" t="inlineStr">
        <is>
          <t>g</t>
        </is>
      </c>
      <c r="G483">
        <f>E483*VLOOKUP(C483,Insumos!$A:$G,7,FALSE)</f>
        <v/>
      </c>
      <c r="H483" t="inlineStr"/>
    </row>
    <row r="484">
      <c r="A484" t="n">
        <v>34</v>
      </c>
      <c r="B484" t="inlineStr">
        <is>
          <t>50 g Harina de almendra + 30 g Eritritol polvo + 30 g Mantequilla pomada + 10 g Cacao puro (para color oscuro opcional) + 1 Yema de huevo. Amasar hasta formar pasta moldeable.</t>
        </is>
      </c>
      <c r="C484" t="inlineStr">
        <is>
          <t>MAN</t>
        </is>
      </c>
      <c r="D484">
        <f>VLOOKUP(C484,Insumos!$A:$G,2,FALSE)</f>
        <v/>
      </c>
      <c r="E484" s="4" t="n">
        <v>30</v>
      </c>
      <c r="F484" t="inlineStr">
        <is>
          <t>g</t>
        </is>
      </c>
      <c r="G484">
        <f>E484*VLOOKUP(C484,Insumos!$A:$G,7,FALSE)</f>
        <v/>
      </c>
      <c r="H484" t="inlineStr"/>
    </row>
    <row r="485">
      <c r="A485" t="n">
        <v>34</v>
      </c>
      <c r="B485" t="inlineStr">
        <is>
          <t>50 g Harina de almendra + 30 g Eritritol polvo + 30 g Mantequilla pomada + 10 g Cacao puro (para color oscuro opcional) + 1 Yema de huevo. Amasar hasta formar pasta moldeable.</t>
        </is>
      </c>
      <c r="C485" t="inlineStr">
        <is>
          <t>CAN</t>
        </is>
      </c>
      <c r="D485">
        <f>VLOOKUP(C485,Insumos!$A:$G,2,FALSE)</f>
        <v/>
      </c>
      <c r="E485" s="4" t="n">
        <v>10</v>
      </c>
      <c r="F485" t="inlineStr">
        <is>
          <t>g</t>
        </is>
      </c>
      <c r="G485">
        <f>E485*VLOOKUP(C485,Insumos!$A:$G,7,FALSE)</f>
        <v/>
      </c>
      <c r="H485" t="inlineStr"/>
    </row>
    <row r="486">
      <c r="A486" t="n">
        <v>34</v>
      </c>
      <c r="B486" t="inlineStr">
        <is>
          <t>50 g Harina de almendra + 30 g Eritritol polvo + 30 g Mantequilla pomada + 10 g Cacao puro (para color oscuro opcional) + 1 Yema de huevo. Amasar hasta formar pasta moldeable.</t>
        </is>
      </c>
      <c r="C486" t="inlineStr">
        <is>
          <t>YEM</t>
        </is>
      </c>
      <c r="D486">
        <f>VLOOKUP(C486,Insumos!$A:$G,2,FALSE)</f>
        <v/>
      </c>
      <c r="E486" s="4" t="n">
        <v>20</v>
      </c>
      <c r="F486" t="inlineStr">
        <is>
          <t>g</t>
        </is>
      </c>
      <c r="G486">
        <f>E486*VLOOKUP(C486,Insumos!$A:$G,7,FALSE)</f>
        <v/>
      </c>
      <c r="H486" t="inlineStr">
        <is>
          <t>Convertido a gramos (pieza L)</t>
        </is>
      </c>
    </row>
    <row r="487">
      <c r="A487" t="n">
        <v>35</v>
      </c>
      <c r="B487" t="inlineStr">
        <is>
          <t>160 g Mantequilla de vaca sin sal (82% MG)</t>
        </is>
      </c>
      <c r="C487" t="inlineStr">
        <is>
          <t>MAN</t>
        </is>
      </c>
      <c r="D487">
        <f>VLOOKUP(C487,Insumos!$A:$G,2,FALSE)</f>
        <v/>
      </c>
      <c r="E487" s="4" t="n">
        <v>160</v>
      </c>
      <c r="F487" t="inlineStr">
        <is>
          <t>g</t>
        </is>
      </c>
      <c r="G487">
        <f>E487*VLOOKUP(C487,Insumos!$A:$G,7,FALSE)</f>
        <v/>
      </c>
      <c r="H487" t="inlineStr"/>
    </row>
    <row r="488">
      <c r="A488" t="n">
        <v>35</v>
      </c>
      <c r="B488" t="inlineStr">
        <is>
          <t>100 g Cobertura de chocolate amargo 100% cacao (licor de cacao)</t>
        </is>
      </c>
      <c r="C488" t="inlineStr">
        <is>
          <t>CH100</t>
        </is>
      </c>
      <c r="D488">
        <f>VLOOKUP(C488,Insumos!$A:$G,2,FALSE)</f>
        <v/>
      </c>
      <c r="E488" s="4" t="n">
        <v>100</v>
      </c>
      <c r="F488" t="inlineStr">
        <is>
          <t>g</t>
        </is>
      </c>
      <c r="G488">
        <f>E488*VLOOKUP(C488,Insumos!$A:$G,7,FALSE)</f>
        <v/>
      </c>
      <c r="H488" t="inlineStr"/>
    </row>
    <row r="489">
      <c r="A489" t="n">
        <v>35</v>
      </c>
      <c r="B489" t="inlineStr">
        <is>
          <t>3 Huevos enteros L (150 g) a temperatura ambiente</t>
        </is>
      </c>
      <c r="C489" t="inlineStr">
        <is>
          <t>HUE</t>
        </is>
      </c>
      <c r="D489">
        <f>VLOOKUP(C489,Insumos!$A:$G,2,FALSE)</f>
        <v/>
      </c>
      <c r="E489" s="4" t="n">
        <v>150</v>
      </c>
      <c r="F489" t="inlineStr">
        <is>
          <t>g</t>
        </is>
      </c>
      <c r="G489">
        <f>E489*VLOOKUP(C489,Insumos!$A:$G,7,FALSE)</f>
        <v/>
      </c>
      <c r="H489" t="inlineStr"/>
    </row>
    <row r="490">
      <c r="A490" t="n">
        <v>35</v>
      </c>
      <c r="B490" t="inlineStr">
        <is>
          <t>180 g Alulosa pura cristalina (OBLIGATORIO: no usar eritritol)</t>
        </is>
      </c>
      <c r="C490" t="inlineStr">
        <is>
          <t>ALU</t>
        </is>
      </c>
      <c r="D490">
        <f>VLOOKUP(C490,Insumos!$A:$G,2,FALSE)</f>
        <v/>
      </c>
      <c r="E490" s="4" t="n">
        <v>180</v>
      </c>
      <c r="F490" t="inlineStr">
        <is>
          <t>g</t>
        </is>
      </c>
      <c r="G490">
        <f>E490*VLOOKUP(C490,Insumos!$A:$G,7,FALSE)</f>
        <v/>
      </c>
      <c r="H490" t="inlineStr"/>
    </row>
    <row r="491">
      <c r="A491" t="n">
        <v>35</v>
      </c>
      <c r="B491" t="inlineStr">
        <is>
          <t>15 ml Extracto puro natural de vainilla</t>
        </is>
      </c>
      <c r="C491" t="inlineStr">
        <is>
          <t>VAE</t>
        </is>
      </c>
      <c r="D491">
        <f>VLOOKUP(C491,Insumos!$A:$G,2,FALSE)</f>
        <v/>
      </c>
      <c r="E491" s="4" t="n">
        <v>15</v>
      </c>
      <c r="F491" t="inlineStr">
        <is>
          <t>ml</t>
        </is>
      </c>
      <c r="G491">
        <f>E491*VLOOKUP(C491,Insumos!$A:$G,7,FALSE)</f>
        <v/>
      </c>
      <c r="H491" t="inlineStr"/>
    </row>
    <row r="492">
      <c r="A492" t="n">
        <v>35</v>
      </c>
      <c r="B492" t="inlineStr">
        <is>
          <t>80 g Harina de almendra fina sin piel</t>
        </is>
      </c>
      <c r="C492" t="inlineStr">
        <is>
          <t>HAL</t>
        </is>
      </c>
      <c r="D492">
        <f>VLOOKUP(C492,Insumos!$A:$G,2,FALSE)</f>
        <v/>
      </c>
      <c r="E492" s="4" t="n">
        <v>80</v>
      </c>
      <c r="F492" t="inlineStr">
        <is>
          <t>g</t>
        </is>
      </c>
      <c r="G492">
        <f>E492*VLOOKUP(C492,Insumos!$A:$G,7,FALSE)</f>
        <v/>
      </c>
      <c r="H492" t="inlineStr"/>
    </row>
    <row r="493">
      <c r="A493" t="n">
        <v>35</v>
      </c>
      <c r="B493" t="inlineStr">
        <is>
          <t>40 g Cacao en polvo alcalinizado holandés (22% MG)</t>
        </is>
      </c>
      <c r="C493" t="inlineStr">
        <is>
          <t>CAA</t>
        </is>
      </c>
      <c r="D493">
        <f>VLOOKUP(C493,Insumos!$A:$G,2,FALSE)</f>
        <v/>
      </c>
      <c r="E493" s="4" t="n">
        <v>40</v>
      </c>
      <c r="F493" t="inlineStr">
        <is>
          <t>g</t>
        </is>
      </c>
      <c r="G493">
        <f>E493*VLOOKUP(C493,Insumos!$A:$G,7,FALSE)</f>
        <v/>
      </c>
      <c r="H493" t="inlineStr"/>
    </row>
    <row r="494">
      <c r="A494" t="n">
        <v>35</v>
      </c>
      <c r="B494" t="inlineStr">
        <is>
          <t>3 g Sal marina fina (realza el cacao)</t>
        </is>
      </c>
      <c r="C494" t="inlineStr">
        <is>
          <t>SAL</t>
        </is>
      </c>
      <c r="D494">
        <f>VLOOKUP(C494,Insumos!$A:$G,2,FALSE)</f>
        <v/>
      </c>
      <c r="E494" s="4" t="n">
        <v>3</v>
      </c>
      <c r="F494" t="inlineStr">
        <is>
          <t>g</t>
        </is>
      </c>
      <c r="G494">
        <f>E494*VLOOKUP(C494,Insumos!$A:$G,7,FALSE)</f>
        <v/>
      </c>
      <c r="H494" t="inlineStr"/>
    </row>
    <row r="495">
      <c r="A495" t="n">
        <v>35</v>
      </c>
      <c r="B495" t="inlineStr">
        <is>
          <t>1 g Goma xantana</t>
        </is>
      </c>
      <c r="C495" t="inlineStr">
        <is>
          <t>XAN</t>
        </is>
      </c>
      <c r="D495">
        <f>VLOOKUP(C495,Insumos!$A:$G,2,FALSE)</f>
        <v/>
      </c>
      <c r="E495" s="4" t="n">
        <v>1</v>
      </c>
      <c r="F495" t="inlineStr">
        <is>
          <t>g</t>
        </is>
      </c>
      <c r="G495">
        <f>E495*VLOOKUP(C495,Insumos!$A:$G,7,FALSE)</f>
        <v/>
      </c>
      <c r="H495" t="inlineStr"/>
    </row>
    <row r="496">
      <c r="A496" t="n">
        <v>35</v>
      </c>
      <c r="B496" t="inlineStr">
        <is>
          <t>80 g Chispas de chocolate amargo sin azúcar o nueces picadas</t>
        </is>
      </c>
      <c r="C496" t="inlineStr">
        <is>
          <t>CHI</t>
        </is>
      </c>
      <c r="D496">
        <f>VLOOKUP(C496,Insumos!$A:$G,2,FALSE)</f>
        <v/>
      </c>
      <c r="E496" s="4" t="n">
        <v>80</v>
      </c>
      <c r="F496" t="inlineStr">
        <is>
          <t>g</t>
        </is>
      </c>
      <c r="G496">
        <f>E496*VLOOKUP(C496,Insumos!$A:$G,7,FALSE)</f>
        <v/>
      </c>
      <c r="H496" t="inlineStr"/>
    </row>
    <row r="497">
      <c r="A497" t="n">
        <v>36</v>
      </c>
      <c r="B497" t="inlineStr">
        <is>
          <t>180 g Mantequilla de vaca sin sal (rendirá aprox. 140 g tras evaporar el agua)</t>
        </is>
      </c>
      <c r="C497" t="inlineStr">
        <is>
          <t>MAN</t>
        </is>
      </c>
      <c r="D497">
        <f>VLOOKUP(C497,Insumos!$A:$G,2,FALSE)</f>
        <v/>
      </c>
      <c r="E497" s="4" t="n">
        <v>180</v>
      </c>
      <c r="F497" t="inlineStr">
        <is>
          <t>g</t>
        </is>
      </c>
      <c r="G497">
        <f>E497*VLOOKUP(C497,Insumos!$A:$G,7,FALSE)</f>
        <v/>
      </c>
      <c r="H497" t="inlineStr"/>
    </row>
    <row r="498">
      <c r="A498" t="n">
        <v>36</v>
      </c>
      <c r="B498" t="inlineStr">
        <is>
          <t>120 g Alulosa pura cristalina</t>
        </is>
      </c>
      <c r="C498" t="inlineStr">
        <is>
          <t>ALU</t>
        </is>
      </c>
      <c r="D498">
        <f>VLOOKUP(C498,Insumos!$A:$G,2,FALSE)</f>
        <v/>
      </c>
      <c r="E498" s="4" t="n">
        <v>120</v>
      </c>
      <c r="F498" t="inlineStr">
        <is>
          <t>g</t>
        </is>
      </c>
      <c r="G498">
        <f>E498*VLOOKUP(C498,Insumos!$A:$G,7,FALSE)</f>
        <v/>
      </c>
      <c r="H498" t="inlineStr"/>
    </row>
    <row r="499">
      <c r="A499" t="n">
        <v>36</v>
      </c>
      <c r="B499" t="inlineStr">
        <is>
          <t>80 g Eritritol granulado</t>
        </is>
      </c>
      <c r="C499" t="inlineStr">
        <is>
          <t>ERG</t>
        </is>
      </c>
      <c r="D499">
        <f>VLOOKUP(C499,Insumos!$A:$G,2,FALSE)</f>
        <v/>
      </c>
      <c r="E499" s="4" t="n">
        <v>80</v>
      </c>
      <c r="F499" t="inlineStr">
        <is>
          <t>g</t>
        </is>
      </c>
      <c r="G499">
        <f>E499*VLOOKUP(C499,Insumos!$A:$G,7,FALSE)</f>
        <v/>
      </c>
      <c r="H499" t="inlineStr"/>
    </row>
    <row r="500">
      <c r="A500" t="n">
        <v>36</v>
      </c>
      <c r="B500" t="inlineStr">
        <is>
          <t>2 Huevos enteros L (100 g) a temperatura ambiente</t>
        </is>
      </c>
      <c r="C500" t="inlineStr">
        <is>
          <t>HUE</t>
        </is>
      </c>
      <c r="D500">
        <f>VLOOKUP(C500,Insumos!$A:$G,2,FALSE)</f>
        <v/>
      </c>
      <c r="E500" s="4" t="n">
        <v>100</v>
      </c>
      <c r="F500" t="inlineStr">
        <is>
          <t>g</t>
        </is>
      </c>
      <c r="G500">
        <f>E500*VLOOKUP(C500,Insumos!$A:$G,7,FALSE)</f>
        <v/>
      </c>
      <c r="H500" t="inlineStr"/>
    </row>
    <row r="501">
      <c r="A501" t="n">
        <v>36</v>
      </c>
      <c r="B501" t="inlineStr">
        <is>
          <t>15 ml Extracto de vainilla Bourbon</t>
        </is>
      </c>
      <c r="C501" t="inlineStr">
        <is>
          <t>VAE</t>
        </is>
      </c>
      <c r="D501">
        <f>VLOOKUP(C501,Insumos!$A:$G,2,FALSE)</f>
        <v/>
      </c>
      <c r="E501" s="4" t="n">
        <v>15</v>
      </c>
      <c r="F501" t="inlineStr">
        <is>
          <t>ml</t>
        </is>
      </c>
      <c r="G501">
        <f>E501*VLOOKUP(C501,Insumos!$A:$G,7,FALSE)</f>
        <v/>
      </c>
      <c r="H501" t="inlineStr"/>
    </row>
    <row r="502">
      <c r="A502" t="n">
        <v>36</v>
      </c>
      <c r="B502" t="inlineStr">
        <is>
          <t>180 g Harina de almendra fina sin piel</t>
        </is>
      </c>
      <c r="C502" t="inlineStr">
        <is>
          <t>HAL</t>
        </is>
      </c>
      <c r="D502">
        <f>VLOOKUP(C502,Insumos!$A:$G,2,FALSE)</f>
        <v/>
      </c>
      <c r="E502" s="4" t="n">
        <v>180</v>
      </c>
      <c r="F502" t="inlineStr">
        <is>
          <t>g</t>
        </is>
      </c>
      <c r="G502">
        <f>E502*VLOOKUP(C502,Insumos!$A:$G,7,FALSE)</f>
        <v/>
      </c>
      <c r="H502" t="inlineStr"/>
    </row>
    <row r="503">
      <c r="A503" t="n">
        <v>36</v>
      </c>
      <c r="B503" t="inlineStr">
        <is>
          <t>40 g Harina de lupino dulce (o harina de coco en su defecto, pero el lupino da mejor textura)</t>
        </is>
      </c>
      <c r="C503" t="inlineStr">
        <is>
          <t>HLU</t>
        </is>
      </c>
      <c r="D503">
        <f>VLOOKUP(C503,Insumos!$A:$G,2,FALSE)</f>
        <v/>
      </c>
      <c r="E503" s="4" t="n">
        <v>40</v>
      </c>
      <c r="F503" t="inlineStr">
        <is>
          <t>g</t>
        </is>
      </c>
      <c r="G503">
        <f>E503*VLOOKUP(C503,Insumos!$A:$G,7,FALSE)</f>
        <v/>
      </c>
      <c r="H503" t="inlineStr"/>
    </row>
    <row r="504">
      <c r="A504" t="n">
        <v>36</v>
      </c>
      <c r="B504" t="inlineStr">
        <is>
          <t>4 g Polvo para hornear + 2 g Goma xantana</t>
        </is>
      </c>
      <c r="C504" t="inlineStr">
        <is>
          <t>PPH</t>
        </is>
      </c>
      <c r="D504">
        <f>VLOOKUP(C504,Insumos!$A:$G,2,FALSE)</f>
        <v/>
      </c>
      <c r="E504" s="4" t="n">
        <v>4</v>
      </c>
      <c r="F504" t="inlineStr">
        <is>
          <t>g</t>
        </is>
      </c>
      <c r="G504">
        <f>E504*VLOOKUP(C504,Insumos!$A:$G,7,FALSE)</f>
        <v/>
      </c>
      <c r="H504" t="inlineStr"/>
    </row>
    <row r="505">
      <c r="A505" t="n">
        <v>36</v>
      </c>
      <c r="B505" t="inlineStr">
        <is>
          <t>4 g Polvo para hornear + 2 g Goma xantana</t>
        </is>
      </c>
      <c r="C505" t="inlineStr">
        <is>
          <t>XAN</t>
        </is>
      </c>
      <c r="D505">
        <f>VLOOKUP(C505,Insumos!$A:$G,2,FALSE)</f>
        <v/>
      </c>
      <c r="E505" s="4" t="n">
        <v>2</v>
      </c>
      <c r="F505" t="inlineStr">
        <is>
          <t>g</t>
        </is>
      </c>
      <c r="G505">
        <f>E505*VLOOKUP(C505,Insumos!$A:$G,7,FALSE)</f>
        <v/>
      </c>
      <c r="H505" t="inlineStr"/>
    </row>
    <row r="506">
      <c r="A506" t="n">
        <v>36</v>
      </c>
      <c r="B506" t="inlineStr">
        <is>
          <t>3 g Sal marina gruesa</t>
        </is>
      </c>
      <c r="C506" t="inlineStr">
        <is>
          <t>SAE</t>
        </is>
      </c>
      <c r="D506">
        <f>VLOOKUP(C506,Insumos!$A:$G,2,FALSE)</f>
        <v/>
      </c>
      <c r="E506" s="4" t="n">
        <v>3</v>
      </c>
      <c r="F506" t="inlineStr">
        <is>
          <t>g</t>
        </is>
      </c>
      <c r="G506">
        <f>E506*VLOOKUP(C506,Insumos!$A:$G,7,FALSE)</f>
        <v/>
      </c>
      <c r="H506" t="inlineStr"/>
    </row>
    <row r="507">
      <c r="A507" t="n">
        <v>36</v>
      </c>
      <c r="B507" t="inlineStr">
        <is>
          <t>100 g Nueces pecanas tostadas troceadas</t>
        </is>
      </c>
      <c r="C507" t="inlineStr">
        <is>
          <t>NPE</t>
        </is>
      </c>
      <c r="D507">
        <f>VLOOKUP(C507,Insumos!$A:$G,2,FALSE)</f>
        <v/>
      </c>
      <c r="E507" s="4" t="n">
        <v>100</v>
      </c>
      <c r="F507" t="inlineStr">
        <is>
          <t>g</t>
        </is>
      </c>
      <c r="G507">
        <f>E507*VLOOKUP(C507,Insumos!$A:$G,7,FALSE)</f>
        <v/>
      </c>
      <c r="H507" t="inlineStr"/>
    </row>
    <row r="508">
      <c r="A508" t="n">
        <v>36</v>
      </c>
      <c r="B508" t="inlineStr">
        <is>
          <t>50 g Chispas de chocolate blanco sin azúcar (opcional)</t>
        </is>
      </c>
      <c r="C508" t="inlineStr">
        <is>
          <t>CHB</t>
        </is>
      </c>
      <c r="D508">
        <f>VLOOKUP(C508,Insumos!$A:$G,2,FALSE)</f>
        <v/>
      </c>
      <c r="E508" s="4" t="n">
        <v>50</v>
      </c>
      <c r="F508" t="inlineStr">
        <is>
          <t>g</t>
        </is>
      </c>
      <c r="G508">
        <f>E508*VLOOKUP(C508,Insumos!$A:$G,7,FALSE)</f>
        <v/>
      </c>
      <c r="H508" t="inlineStr"/>
    </row>
    <row r="509">
      <c r="A509" t="n">
        <v>37</v>
      </c>
      <c r="B509" t="inlineStr">
        <is>
          <t>100 g Mantequilla sin sal pomada</t>
        </is>
      </c>
      <c r="C509" t="inlineStr">
        <is>
          <t>MAN</t>
        </is>
      </c>
      <c r="D509">
        <f>VLOOKUP(C509,Insumos!$A:$G,2,FALSE)</f>
        <v/>
      </c>
      <c r="E509" s="4" t="n">
        <v>100</v>
      </c>
      <c r="F509" t="inlineStr">
        <is>
          <t>g</t>
        </is>
      </c>
      <c r="G509">
        <f>E509*VLOOKUP(C509,Insumos!$A:$G,7,FALSE)</f>
        <v/>
      </c>
      <c r="H509" t="inlineStr"/>
    </row>
    <row r="510">
      <c r="A510" t="n">
        <v>37</v>
      </c>
      <c r="B510" t="inlineStr">
        <is>
          <t>100 g Queso crema entero pomada</t>
        </is>
      </c>
      <c r="C510" t="inlineStr">
        <is>
          <t>QCR</t>
        </is>
      </c>
      <c r="D510">
        <f>VLOOKUP(C510,Insumos!$A:$G,2,FALSE)</f>
        <v/>
      </c>
      <c r="E510" s="4" t="n">
        <v>100</v>
      </c>
      <c r="F510" t="inlineStr">
        <is>
          <t>g</t>
        </is>
      </c>
      <c r="G510">
        <f>E510*VLOOKUP(C510,Insumos!$A:$G,7,FALSE)</f>
        <v/>
      </c>
      <c r="H510" t="inlineStr"/>
    </row>
    <row r="511">
      <c r="A511" t="n">
        <v>37</v>
      </c>
      <c r="B511" t="inlineStr">
        <is>
          <t>120 g Alulosa pura cristalina</t>
        </is>
      </c>
      <c r="C511" t="inlineStr">
        <is>
          <t>ALU</t>
        </is>
      </c>
      <c r="D511">
        <f>VLOOKUP(C511,Insumos!$A:$G,2,FALSE)</f>
        <v/>
      </c>
      <c r="E511" s="4" t="n">
        <v>120</v>
      </c>
      <c r="F511" t="inlineStr">
        <is>
          <t>g</t>
        </is>
      </c>
      <c r="G511">
        <f>E511*VLOOKUP(C511,Insumos!$A:$G,7,FALSE)</f>
        <v/>
      </c>
      <c r="H511" t="inlineStr"/>
    </row>
    <row r="512">
      <c r="A512" t="n">
        <v>37</v>
      </c>
      <c r="B512" t="inlineStr">
        <is>
          <t>50 g Eritritol pulverizado</t>
        </is>
      </c>
      <c r="C512" t="inlineStr">
        <is>
          <t>ERP</t>
        </is>
      </c>
      <c r="D512">
        <f>VLOOKUP(C512,Insumos!$A:$G,2,FALSE)</f>
        <v/>
      </c>
      <c r="E512" s="4" t="n">
        <v>50</v>
      </c>
      <c r="F512" t="inlineStr">
        <is>
          <t>g</t>
        </is>
      </c>
      <c r="G512">
        <f>E512*VLOOKUP(C512,Insumos!$A:$G,7,FALSE)</f>
        <v/>
      </c>
      <c r="H512" t="inlineStr"/>
    </row>
    <row r="513">
      <c r="A513" t="n">
        <v>37</v>
      </c>
      <c r="B513" t="inlineStr">
        <is>
          <t>3 Huevos enteros L (150 g) a temperatura ambiente</t>
        </is>
      </c>
      <c r="C513" t="inlineStr">
        <is>
          <t>HUE</t>
        </is>
      </c>
      <c r="D513">
        <f>VLOOKUP(C513,Insumos!$A:$G,2,FALSE)</f>
        <v/>
      </c>
      <c r="E513" s="4" t="n">
        <v>150</v>
      </c>
      <c r="F513" t="inlineStr">
        <is>
          <t>g</t>
        </is>
      </c>
      <c r="G513">
        <f>E513*VLOOKUP(C513,Insumos!$A:$G,7,FALSE)</f>
        <v/>
      </c>
      <c r="H513" t="inlineStr"/>
    </row>
    <row r="514">
      <c r="A514" t="n">
        <v>37</v>
      </c>
      <c r="B514" t="inlineStr">
        <is>
          <t>180 g Harina de almendra fina</t>
        </is>
      </c>
      <c r="C514" t="inlineStr">
        <is>
          <t>HAL</t>
        </is>
      </c>
      <c r="D514">
        <f>VLOOKUP(C514,Insumos!$A:$G,2,FALSE)</f>
        <v/>
      </c>
      <c r="E514" s="4" t="n">
        <v>180</v>
      </c>
      <c r="F514" t="inlineStr">
        <is>
          <t>g</t>
        </is>
      </c>
      <c r="G514">
        <f>E514*VLOOKUP(C514,Insumos!$A:$G,7,FALSE)</f>
        <v/>
      </c>
      <c r="H514" t="inlineStr"/>
    </row>
    <row r="515">
      <c r="A515" t="n">
        <v>37</v>
      </c>
      <c r="B515" t="inlineStr">
        <is>
          <t>15 g Harina de coco desgrasada</t>
        </is>
      </c>
      <c r="C515" t="inlineStr">
        <is>
          <t>HCO</t>
        </is>
      </c>
      <c r="D515">
        <f>VLOOKUP(C515,Insumos!$A:$G,2,FALSE)</f>
        <v/>
      </c>
      <c r="E515" s="4" t="n">
        <v>15</v>
      </c>
      <c r="F515" t="inlineStr">
        <is>
          <t>g</t>
        </is>
      </c>
      <c r="G515">
        <f>E515*VLOOKUP(C515,Insumos!$A:$G,7,FALSE)</f>
        <v/>
      </c>
      <c r="H515" t="inlineStr"/>
    </row>
    <row r="516">
      <c r="A516" t="n">
        <v>37</v>
      </c>
      <c r="B516" t="inlineStr">
        <is>
          <t>6 g Polvo para hornear doble acción + 2 g Goma xantana + 2 g Sal</t>
        </is>
      </c>
      <c r="C516" t="inlineStr">
        <is>
          <t>PPH</t>
        </is>
      </c>
      <c r="D516">
        <f>VLOOKUP(C516,Insumos!$A:$G,2,FALSE)</f>
        <v/>
      </c>
      <c r="E516" s="4" t="n">
        <v>6</v>
      </c>
      <c r="F516" t="inlineStr">
        <is>
          <t>g</t>
        </is>
      </c>
      <c r="G516">
        <f>E516*VLOOKUP(C516,Insumos!$A:$G,7,FALSE)</f>
        <v/>
      </c>
      <c r="H516" t="inlineStr"/>
    </row>
    <row r="517">
      <c r="A517" t="n">
        <v>37</v>
      </c>
      <c r="B517" t="inlineStr">
        <is>
          <t>6 g Polvo para hornear doble acción + 2 g Goma xantana + 2 g Sal</t>
        </is>
      </c>
      <c r="C517" t="inlineStr">
        <is>
          <t>XAN</t>
        </is>
      </c>
      <c r="D517">
        <f>VLOOKUP(C517,Insumos!$A:$G,2,FALSE)</f>
        <v/>
      </c>
      <c r="E517" s="4" t="n">
        <v>2</v>
      </c>
      <c r="F517" t="inlineStr">
        <is>
          <t>g</t>
        </is>
      </c>
      <c r="G517">
        <f>E517*VLOOKUP(C517,Insumos!$A:$G,7,FALSE)</f>
        <v/>
      </c>
      <c r="H517" t="inlineStr"/>
    </row>
    <row r="518">
      <c r="A518" t="n">
        <v>37</v>
      </c>
      <c r="B518" t="inlineStr">
        <is>
          <t>6 g Polvo para hornear doble acción + 2 g Goma xantana + 2 g Sal</t>
        </is>
      </c>
      <c r="C518" t="inlineStr">
        <is>
          <t>SAL</t>
        </is>
      </c>
      <c r="D518">
        <f>VLOOKUP(C518,Insumos!$A:$G,2,FALSE)</f>
        <v/>
      </c>
      <c r="E518" s="4" t="n">
        <v>2</v>
      </c>
      <c r="F518" t="inlineStr">
        <is>
          <t>g</t>
        </is>
      </c>
      <c r="G518">
        <f>E518*VLOOKUP(C518,Insumos!$A:$G,7,FALSE)</f>
        <v/>
      </c>
      <c r="H518" t="inlineStr"/>
    </row>
    <row r="519">
      <c r="A519" t="n">
        <v>37</v>
      </c>
      <c r="B519" t="inlineStr">
        <is>
          <t>10 ml Extracto puro de vainilla</t>
        </is>
      </c>
      <c r="C519" t="inlineStr">
        <is>
          <t>VAE</t>
        </is>
      </c>
      <c r="D519">
        <f>VLOOKUP(C519,Insumos!$A:$G,2,FALSE)</f>
        <v/>
      </c>
      <c r="E519" s="4" t="n">
        <v>10</v>
      </c>
      <c r="F519" t="inlineStr">
        <is>
          <t>ml</t>
        </is>
      </c>
      <c r="G519">
        <f>E519*VLOOKUP(C519,Insumos!$A:$G,7,FALSE)</f>
        <v/>
      </c>
      <c r="H519" t="inlineStr"/>
    </row>
    <row r="520">
      <c r="A520" t="n">
        <v>37</v>
      </c>
      <c r="B520" t="inlineStr">
        <is>
          <t>20 g Cacao puro alcalinizado en polvo</t>
        </is>
      </c>
      <c r="C520" t="inlineStr">
        <is>
          <t>CAA</t>
        </is>
      </c>
      <c r="D520">
        <f>VLOOKUP(C520,Insumos!$A:$G,2,FALSE)</f>
        <v/>
      </c>
      <c r="E520" s="4" t="n">
        <v>20</v>
      </c>
      <c r="F520" t="inlineStr">
        <is>
          <t>g</t>
        </is>
      </c>
      <c r="G520">
        <f>E520*VLOOKUP(C520,Insumos!$A:$G,7,FALSE)</f>
        <v/>
      </c>
      <c r="H520" t="inlineStr"/>
    </row>
    <row r="521">
      <c r="A521" t="n">
        <v>37</v>
      </c>
      <c r="B521" t="inlineStr">
        <is>
          <t>20 ml Crema para batir líquida o café espresso frío (calibrador de viscosidad)</t>
        </is>
      </c>
      <c r="C521" t="inlineStr">
        <is>
          <t>CRE</t>
        </is>
      </c>
      <c r="D521">
        <f>VLOOKUP(C521,Insumos!$A:$G,2,FALSE)</f>
        <v/>
      </c>
      <c r="E521" s="4" t="n">
        <v>20</v>
      </c>
      <c r="F521" t="inlineStr">
        <is>
          <t>ml</t>
        </is>
      </c>
      <c r="G521">
        <f>E521*VLOOKUP(C521,Insumos!$A:$G,7,FALSE)</f>
        <v/>
      </c>
      <c r="H521" t="inlineStr"/>
    </row>
    <row r="522">
      <c r="A522" t="n">
        <v>37</v>
      </c>
      <c r="B522" t="inlineStr">
        <is>
          <t>5 ml Extracto de vainilla extra</t>
        </is>
      </c>
      <c r="C522" t="inlineStr">
        <is>
          <t>VAE</t>
        </is>
      </c>
      <c r="D522">
        <f>VLOOKUP(C522,Insumos!$A:$G,2,FALSE)</f>
        <v/>
      </c>
      <c r="E522" s="4" t="n">
        <v>5</v>
      </c>
      <c r="F522" t="inlineStr">
        <is>
          <t>ml</t>
        </is>
      </c>
      <c r="G522">
        <f>E522*VLOOKUP(C522,Insumos!$A:$G,7,FALSE)</f>
        <v/>
      </c>
      <c r="H522" t="inlineStr"/>
    </row>
    <row r="523">
      <c r="A523" t="n">
        <v>38</v>
      </c>
      <c r="B523" t="inlineStr">
        <is>
          <t>60 g Harina de almendra fina</t>
        </is>
      </c>
      <c r="C523" t="inlineStr">
        <is>
          <t>HAL</t>
        </is>
      </c>
      <c r="D523">
        <f>VLOOKUP(C523,Insumos!$A:$G,2,FALSE)</f>
        <v/>
      </c>
      <c r="E523" s="4" t="n">
        <v>60</v>
      </c>
      <c r="F523" t="inlineStr">
        <is>
          <t>g</t>
        </is>
      </c>
      <c r="G523">
        <f>E523*VLOOKUP(C523,Insumos!$A:$G,7,FALSE)</f>
        <v/>
      </c>
      <c r="H523" t="inlineStr"/>
    </row>
    <row r="524">
      <c r="A524" t="n">
        <v>38</v>
      </c>
      <c r="B524" t="inlineStr">
        <is>
          <t>25 g Harina de coco desgrasada</t>
        </is>
      </c>
      <c r="C524" t="inlineStr">
        <is>
          <t>HCO</t>
        </is>
      </c>
      <c r="D524">
        <f>VLOOKUP(C524,Insumos!$A:$G,2,FALSE)</f>
        <v/>
      </c>
      <c r="E524" s="4" t="n">
        <v>25</v>
      </c>
      <c r="F524" t="inlineStr">
        <is>
          <t>g</t>
        </is>
      </c>
      <c r="G524">
        <f>E524*VLOOKUP(C524,Insumos!$A:$G,7,FALSE)</f>
        <v/>
      </c>
      <c r="H524" t="inlineStr"/>
    </row>
    <row r="525">
      <c r="A525" t="n">
        <v>38</v>
      </c>
      <c r="B525" t="inlineStr">
        <is>
          <t>15 g Proteína aislada de suero WPI (aporta estructura para que no se rompan al desmoldar)</t>
        </is>
      </c>
      <c r="C525" t="inlineStr">
        <is>
          <t>WPI</t>
        </is>
      </c>
      <c r="D525">
        <f>VLOOKUP(C525,Insumos!$A:$G,2,FALSE)</f>
        <v/>
      </c>
      <c r="E525" s="4" t="n">
        <v>15</v>
      </c>
      <c r="F525" t="inlineStr">
        <is>
          <t>g</t>
        </is>
      </c>
      <c r="G525">
        <f>E525*VLOOKUP(C525,Insumos!$A:$G,7,FALSE)</f>
        <v/>
      </c>
      <c r="H525" t="inlineStr"/>
    </row>
    <row r="526">
      <c r="A526" t="n">
        <v>38</v>
      </c>
      <c r="B526" t="inlineStr">
        <is>
          <t>60 g Alulosa pura cristalina</t>
        </is>
      </c>
      <c r="C526" t="inlineStr">
        <is>
          <t>ALU</t>
        </is>
      </c>
      <c r="D526">
        <f>VLOOKUP(C526,Insumos!$A:$G,2,FALSE)</f>
        <v/>
      </c>
      <c r="E526" s="4" t="n">
        <v>60</v>
      </c>
      <c r="F526" t="inlineStr">
        <is>
          <t>g</t>
        </is>
      </c>
      <c r="G526">
        <f>E526*VLOOKUP(C526,Insumos!$A:$G,7,FALSE)</f>
        <v/>
      </c>
      <c r="H526" t="inlineStr"/>
    </row>
    <row r="527">
      <c r="A527" t="n">
        <v>38</v>
      </c>
      <c r="B527" t="inlineStr">
        <is>
          <t>4 g Polvo para hornear + 1 g Sal marina</t>
        </is>
      </c>
      <c r="C527" t="inlineStr">
        <is>
          <t>PPH</t>
        </is>
      </c>
      <c r="D527">
        <f>VLOOKUP(C527,Insumos!$A:$G,2,FALSE)</f>
        <v/>
      </c>
      <c r="E527" s="4" t="n">
        <v>4</v>
      </c>
      <c r="F527" t="inlineStr">
        <is>
          <t>g</t>
        </is>
      </c>
      <c r="G527">
        <f>E527*VLOOKUP(C527,Insumos!$A:$G,7,FALSE)</f>
        <v/>
      </c>
      <c r="H527" t="inlineStr"/>
    </row>
    <row r="528">
      <c r="A528" t="n">
        <v>38</v>
      </c>
      <c r="B528" t="inlineStr">
        <is>
          <t>4 g Polvo para hornear + 1 g Sal marina</t>
        </is>
      </c>
      <c r="C528" t="inlineStr">
        <is>
          <t>SAL</t>
        </is>
      </c>
      <c r="D528">
        <f>VLOOKUP(C528,Insumos!$A:$G,2,FALSE)</f>
        <v/>
      </c>
      <c r="E528" s="4" t="n">
        <v>1</v>
      </c>
      <c r="F528" t="inlineStr">
        <is>
          <t>g</t>
        </is>
      </c>
      <c r="G528">
        <f>E528*VLOOKUP(C528,Insumos!$A:$G,7,FALSE)</f>
        <v/>
      </c>
      <c r="H528" t="inlineStr"/>
    </row>
    <row r="529">
      <c r="A529" t="n">
        <v>38</v>
      </c>
      <c r="B529" t="inlineStr">
        <is>
          <t>2 Huevos L (100 g)</t>
        </is>
      </c>
      <c r="C529" t="inlineStr">
        <is>
          <t>HUE</t>
        </is>
      </c>
      <c r="D529">
        <f>VLOOKUP(C529,Insumos!$A:$G,2,FALSE)</f>
        <v/>
      </c>
      <c r="E529" s="4" t="n">
        <v>100</v>
      </c>
      <c r="F529" t="inlineStr">
        <is>
          <t>g</t>
        </is>
      </c>
      <c r="G529">
        <f>E529*VLOOKUP(C529,Insumos!$A:$G,7,FALSE)</f>
        <v/>
      </c>
      <c r="H529" t="inlineStr"/>
    </row>
    <row r="530">
      <c r="A530" t="n">
        <v>38</v>
      </c>
      <c r="B530" t="inlineStr">
        <is>
          <t>30 g Mantequilla derretida o aceite de coco</t>
        </is>
      </c>
      <c r="C530" t="inlineStr">
        <is>
          <t>MAN</t>
        </is>
      </c>
      <c r="D530">
        <f>VLOOKUP(C530,Insumos!$A:$G,2,FALSE)</f>
        <v/>
      </c>
      <c r="E530" s="4" t="n">
        <v>30</v>
      </c>
      <c r="F530" t="inlineStr">
        <is>
          <t>g</t>
        </is>
      </c>
      <c r="G530">
        <f>E530*VLOOKUP(C530,Insumos!$A:$G,7,FALSE)</f>
        <v/>
      </c>
      <c r="H530" t="inlineStr"/>
    </row>
    <row r="531">
      <c r="A531" t="n">
        <v>38</v>
      </c>
      <c r="B531" t="inlineStr">
        <is>
          <t>40 ml Leche de almendras sin azúcar</t>
        </is>
      </c>
      <c r="C531" t="inlineStr">
        <is>
          <t>LAL</t>
        </is>
      </c>
      <c r="D531">
        <f>VLOOKUP(C531,Insumos!$A:$G,2,FALSE)</f>
        <v/>
      </c>
      <c r="E531" s="4" t="n">
        <v>40</v>
      </c>
      <c r="F531" t="inlineStr">
        <is>
          <t>ml</t>
        </is>
      </c>
      <c r="G531">
        <f>E531*VLOOKUP(C531,Insumos!$A:$G,7,FALSE)</f>
        <v/>
      </c>
      <c r="H531" t="inlineStr"/>
    </row>
    <row r="532">
      <c r="A532" t="n">
        <v>38</v>
      </c>
      <c r="B532" t="inlineStr">
        <is>
          <t>5 ml Vinagre de manzana (para reaccionar con el polvo de hornear)</t>
        </is>
      </c>
      <c r="C532" t="inlineStr">
        <is>
          <t>VIN</t>
        </is>
      </c>
      <c r="D532">
        <f>VLOOKUP(C532,Insumos!$A:$G,2,FALSE)</f>
        <v/>
      </c>
      <c r="E532" s="4" t="n">
        <v>5</v>
      </c>
      <c r="F532" t="inlineStr">
        <is>
          <t>ml</t>
        </is>
      </c>
      <c r="G532">
        <f>E532*VLOOKUP(C532,Insumos!$A:$G,7,FALSE)</f>
        <v/>
      </c>
      <c r="H532" t="inlineStr"/>
    </row>
    <row r="533">
      <c r="A533" t="n">
        <v>38</v>
      </c>
      <c r="B533" t="inlineStr">
        <is>
          <t>5 ml Extracto de vainilla</t>
        </is>
      </c>
      <c r="C533" t="inlineStr">
        <is>
          <t>VAE</t>
        </is>
      </c>
      <c r="D533">
        <f>VLOOKUP(C533,Insumos!$A:$G,2,FALSE)</f>
        <v/>
      </c>
      <c r="E533" s="4" t="n">
        <v>5</v>
      </c>
      <c r="F533" t="inlineStr">
        <is>
          <t>ml</t>
        </is>
      </c>
      <c r="G533">
        <f>E533*VLOOKUP(C533,Insumos!$A:$G,7,FALSE)</f>
        <v/>
      </c>
      <c r="H533" t="inlineStr"/>
    </row>
    <row r="534">
      <c r="A534" t="n">
        <v>38</v>
      </c>
      <c r="B534" t="inlineStr">
        <is>
          <t>80 g Eritritol 100% puro micronizado grado glas (NO sustituir por alulosa)</t>
        </is>
      </c>
      <c r="C534" t="inlineStr">
        <is>
          <t>ERP</t>
        </is>
      </c>
      <c r="D534">
        <f>VLOOKUP(C534,Insumos!$A:$G,2,FALSE)</f>
        <v/>
      </c>
      <c r="E534" s="4" t="n">
        <v>80</v>
      </c>
      <c r="F534" t="inlineStr">
        <is>
          <t>g</t>
        </is>
      </c>
      <c r="G534">
        <f>E534*VLOOKUP(C534,Insumos!$A:$G,7,FALSE)</f>
        <v/>
      </c>
      <c r="H534" t="inlineStr"/>
    </row>
    <row r="535">
      <c r="A535" t="n">
        <v>38</v>
      </c>
      <c r="B535" t="inlineStr">
        <is>
          <t>15 ml Crema para batir pesada o leche de almendras tibia</t>
        </is>
      </c>
      <c r="C535" t="inlineStr">
        <is>
          <t>CRE</t>
        </is>
      </c>
      <c r="D535">
        <f>VLOOKUP(C535,Insumos!$A:$G,2,FALSE)</f>
        <v/>
      </c>
      <c r="E535" s="4" t="n">
        <v>15</v>
      </c>
      <c r="F535" t="inlineStr">
        <is>
          <t>ml</t>
        </is>
      </c>
      <c r="G535">
        <f>E535*VLOOKUP(C535,Insumos!$A:$G,7,FALSE)</f>
        <v/>
      </c>
      <c r="H535" t="inlineStr"/>
    </row>
    <row r="536">
      <c r="A536" t="n">
        <v>38</v>
      </c>
      <c r="B536" t="inlineStr">
        <is>
          <t>2 ml Extracto de vainilla transparente (opcional)</t>
        </is>
      </c>
      <c r="C536" t="inlineStr">
        <is>
          <t>VAE</t>
        </is>
      </c>
      <c r="D536">
        <f>VLOOKUP(C536,Insumos!$A:$G,2,FALSE)</f>
        <v/>
      </c>
      <c r="E536" s="4" t="n">
        <v>2</v>
      </c>
      <c r="F536" t="inlineStr">
        <is>
          <t>ml</t>
        </is>
      </c>
      <c r="G536">
        <f>E536*VLOOKUP(C536,Insumos!$A:$G,7,FALSE)</f>
        <v/>
      </c>
      <c r="H536" t="inlineStr"/>
    </row>
    <row r="537">
      <c r="A537" t="n">
        <v>39</v>
      </c>
      <c r="B537" t="inlineStr">
        <is>
          <t>350 g Pan keto viejo o restos de panqués/bizcochos sin gluten, cortado en dados de 2.5 cm</t>
        </is>
      </c>
      <c r="C537" t="inlineStr">
        <is>
          <t>SUB1</t>
        </is>
      </c>
      <c r="D537">
        <f>VLOOKUP(C537,Insumos!$A:$G,2,FALSE)</f>
        <v/>
      </c>
      <c r="E537" s="4" t="n">
        <v>350</v>
      </c>
      <c r="F537" t="inlineStr">
        <is>
          <t>g</t>
        </is>
      </c>
      <c r="G537">
        <f>E537*VLOOKUP(C537,Insumos!$A:$G,7,FALSE)</f>
        <v/>
      </c>
      <c r="H537" t="inlineStr">
        <is>
          <t>Sub-receta: se costea con la Base B-1</t>
        </is>
      </c>
    </row>
    <row r="538">
      <c r="A538" t="n">
        <v>39</v>
      </c>
      <c r="B538" t="inlineStr">
        <is>
          <t>50 g Arándanos rojos secos (cranberries) endulzados con jugo de manzana o eritritol (sustituto de las pasas altas en azúcar)</t>
        </is>
      </c>
      <c r="C538" t="inlineStr">
        <is>
          <t>ARS</t>
        </is>
      </c>
      <c r="D538">
        <f>VLOOKUP(C538,Insumos!$A:$G,2,FALSE)</f>
        <v/>
      </c>
      <c r="E538" s="4" t="n">
        <v>50</v>
      </c>
      <c r="F538" t="inlineStr">
        <is>
          <t>g</t>
        </is>
      </c>
      <c r="G538">
        <f>E538*VLOOKUP(C538,Insumos!$A:$G,7,FALSE)</f>
        <v/>
      </c>
      <c r="H538" t="inlineStr"/>
    </row>
    <row r="539">
      <c r="A539" t="n">
        <v>39</v>
      </c>
      <c r="B539" t="inlineStr">
        <is>
          <t>4 Huevos enteros L (200 g)</t>
        </is>
      </c>
      <c r="C539" t="inlineStr">
        <is>
          <t>HUE</t>
        </is>
      </c>
      <c r="D539">
        <f>VLOOKUP(C539,Insumos!$A:$G,2,FALSE)</f>
        <v/>
      </c>
      <c r="E539" s="4" t="n">
        <v>200</v>
      </c>
      <c r="F539" t="inlineStr">
        <is>
          <t>g</t>
        </is>
      </c>
      <c r="G539">
        <f>E539*VLOOKUP(C539,Insumos!$A:$G,7,FALSE)</f>
        <v/>
      </c>
      <c r="H539" t="inlineStr"/>
    </row>
    <row r="540">
      <c r="A540" t="n">
        <v>39</v>
      </c>
      <c r="B540" t="inlineStr">
        <is>
          <t>300 ml Crema para batir pesada (35% MG)</t>
        </is>
      </c>
      <c r="C540" t="inlineStr">
        <is>
          <t>CRE</t>
        </is>
      </c>
      <c r="D540">
        <f>VLOOKUP(C540,Insumos!$A:$G,2,FALSE)</f>
        <v/>
      </c>
      <c r="E540" s="4" t="n">
        <v>300</v>
      </c>
      <c r="F540" t="inlineStr">
        <is>
          <t>ml</t>
        </is>
      </c>
      <c r="G540">
        <f>E540*VLOOKUP(C540,Insumos!$A:$G,7,FALSE)</f>
        <v/>
      </c>
      <c r="H540" t="inlineStr"/>
    </row>
    <row r="541">
      <c r="A541" t="n">
        <v>39</v>
      </c>
      <c r="B541" t="inlineStr">
        <is>
          <t>300 ml Leche de almendras sin azúcar</t>
        </is>
      </c>
      <c r="C541" t="inlineStr">
        <is>
          <t>LAL</t>
        </is>
      </c>
      <c r="D541">
        <f>VLOOKUP(C541,Insumos!$A:$G,2,FALSE)</f>
        <v/>
      </c>
      <c r="E541" s="4" t="n">
        <v>300</v>
      </c>
      <c r="F541" t="inlineStr">
        <is>
          <t>ml</t>
        </is>
      </c>
      <c r="G541">
        <f>E541*VLOOKUP(C541,Insumos!$A:$G,7,FALSE)</f>
        <v/>
      </c>
      <c r="H541" t="inlineStr"/>
    </row>
    <row r="542">
      <c r="A542" t="n">
        <v>39</v>
      </c>
      <c r="B542" t="inlineStr">
        <is>
          <t>120 g Alulosa pura cristalina</t>
        </is>
      </c>
      <c r="C542" t="inlineStr">
        <is>
          <t>ALU</t>
        </is>
      </c>
      <c r="D542">
        <f>VLOOKUP(C542,Insumos!$A:$G,2,FALSE)</f>
        <v/>
      </c>
      <c r="E542" s="4" t="n">
        <v>120</v>
      </c>
      <c r="F542" t="inlineStr">
        <is>
          <t>g</t>
        </is>
      </c>
      <c r="G542">
        <f>E542*VLOOKUP(C542,Insumos!$A:$G,7,FALSE)</f>
        <v/>
      </c>
      <c r="H542" t="inlineStr"/>
    </row>
    <row r="543">
      <c r="A543" t="n">
        <v>39</v>
      </c>
      <c r="B543" t="inlineStr">
        <is>
          <t>20 ml Extracto de vainilla</t>
        </is>
      </c>
      <c r="C543" t="inlineStr">
        <is>
          <t>VAE</t>
        </is>
      </c>
      <c r="D543">
        <f>VLOOKUP(C543,Insumos!$A:$G,2,FALSE)</f>
        <v/>
      </c>
      <c r="E543" s="4" t="n">
        <v>20</v>
      </c>
      <c r="F543" t="inlineStr">
        <is>
          <t>ml</t>
        </is>
      </c>
      <c r="G543">
        <f>E543*VLOOKUP(C543,Insumos!$A:$G,7,FALSE)</f>
        <v/>
      </c>
      <c r="H543" t="inlineStr"/>
    </row>
    <row r="544">
      <c r="A544" t="n">
        <v>39</v>
      </c>
      <c r="B544" t="inlineStr">
        <is>
          <t>5 g Canela de Ceilán en polvo + 1 g Nuez moscada recién rallada</t>
        </is>
      </c>
      <c r="C544" t="inlineStr">
        <is>
          <t>CAP</t>
        </is>
      </c>
      <c r="D544">
        <f>VLOOKUP(C544,Insumos!$A:$G,2,FALSE)</f>
        <v/>
      </c>
      <c r="E544" s="4" t="n">
        <v>5</v>
      </c>
      <c r="F544" t="inlineStr">
        <is>
          <t>g</t>
        </is>
      </c>
      <c r="G544">
        <f>E544*VLOOKUP(C544,Insumos!$A:$G,7,FALSE)</f>
        <v/>
      </c>
      <c r="H544" t="inlineStr"/>
    </row>
    <row r="545">
      <c r="A545" t="n">
        <v>39</v>
      </c>
      <c r="B545" t="inlineStr">
        <is>
          <t>5 g Canela de Ceilán en polvo + 1 g Nuez moscada recién rallada</t>
        </is>
      </c>
      <c r="C545" t="inlineStr">
        <is>
          <t>ESP</t>
        </is>
      </c>
      <c r="D545">
        <f>VLOOKUP(C545,Insumos!$A:$G,2,FALSE)</f>
        <v/>
      </c>
      <c r="E545" s="4" t="n">
        <v>1</v>
      </c>
      <c r="F545" t="inlineStr">
        <is>
          <t>g</t>
        </is>
      </c>
      <c r="G545">
        <f>E545*VLOOKUP(C545,Insumos!$A:$G,7,FALSE)</f>
        <v/>
      </c>
      <c r="H545" t="inlineStr"/>
    </row>
    <row r="546">
      <c r="A546" t="n">
        <v>39</v>
      </c>
      <c r="B546" t="inlineStr">
        <is>
          <t>2 g Sal marina fina</t>
        </is>
      </c>
      <c r="C546" t="inlineStr">
        <is>
          <t>SAL</t>
        </is>
      </c>
      <c r="D546">
        <f>VLOOKUP(C546,Insumos!$A:$G,2,FALSE)</f>
        <v/>
      </c>
      <c r="E546" s="4" t="n">
        <v>2</v>
      </c>
      <c r="F546" t="inlineStr">
        <is>
          <t>g</t>
        </is>
      </c>
      <c r="G546">
        <f>E546*VLOOKUP(C546,Insumos!$A:$G,7,FALSE)</f>
        <v/>
      </c>
      <c r="H546" t="inlineStr"/>
    </row>
    <row r="547">
      <c r="A547" t="n">
        <v>39</v>
      </c>
      <c r="B547" t="inlineStr">
        <is>
          <t>30 g Mantequilla sin sal fundida</t>
        </is>
      </c>
      <c r="C547" t="inlineStr">
        <is>
          <t>MAN</t>
        </is>
      </c>
      <c r="D547">
        <f>VLOOKUP(C547,Insumos!$A:$G,2,FALSE)</f>
        <v/>
      </c>
      <c r="E547" s="4" t="n">
        <v>30</v>
      </c>
      <c r="F547" t="inlineStr">
        <is>
          <t>g</t>
        </is>
      </c>
      <c r="G547">
        <f>E547*VLOOKUP(C547,Insumos!$A:$G,7,FALSE)</f>
        <v/>
      </c>
      <c r="H547" t="inlineStr"/>
    </row>
    <row r="548">
      <c r="A548" t="n">
        <v>39</v>
      </c>
      <c r="B548" t="inlineStr">
        <is>
          <t>20 g Eritritol granulado con canela (para espolvorear la superficie)</t>
        </is>
      </c>
      <c r="C548" t="inlineStr">
        <is>
          <t>ERG</t>
        </is>
      </c>
      <c r="D548">
        <f>VLOOKUP(C548,Insumos!$A:$G,2,FALSE)</f>
        <v/>
      </c>
      <c r="E548" s="4" t="n">
        <v>20</v>
      </c>
      <c r="F548" t="inlineStr">
        <is>
          <t>g</t>
        </is>
      </c>
      <c r="G548">
        <f>E548*VLOOKUP(C548,Insumos!$A:$G,7,FALSE)</f>
        <v/>
      </c>
      <c r="H548" t="inlineStr"/>
    </row>
    <row r="549">
      <c r="A549" t="n">
        <v>40</v>
      </c>
      <c r="B549" t="inlineStr">
        <is>
          <t>250 g Cobertura de chocolate amargo sin azúcar al 70 % (endulzado con estevia/eritritol, en grageas o finamente picado)</t>
        </is>
      </c>
      <c r="C549" t="inlineStr">
        <is>
          <t>CH70</t>
        </is>
      </c>
      <c r="D549">
        <f>VLOOKUP(C549,Insumos!$A:$G,2,FALSE)</f>
        <v/>
      </c>
      <c r="E549" s="4" t="n">
        <v>250</v>
      </c>
      <c r="F549" t="inlineStr">
        <is>
          <t>g</t>
        </is>
      </c>
      <c r="G549">
        <f>E549*VLOOKUP(C549,Insumos!$A:$G,7,FALSE)</f>
        <v/>
      </c>
      <c r="H549" t="inlineStr"/>
    </row>
    <row r="550">
      <c r="A550" t="n">
        <v>40</v>
      </c>
      <c r="B550" t="inlineStr">
        <is>
          <t>30 g Mantequilla de vaca sin sal pomada</t>
        </is>
      </c>
      <c r="C550" t="inlineStr">
        <is>
          <t>MAN</t>
        </is>
      </c>
      <c r="D550">
        <f>VLOOKUP(C550,Insumos!$A:$G,2,FALSE)</f>
        <v/>
      </c>
      <c r="E550" s="4" t="n">
        <v>30</v>
      </c>
      <c r="F550" t="inlineStr">
        <is>
          <t>g</t>
        </is>
      </c>
      <c r="G550">
        <f>E550*VLOOKUP(C550,Insumos!$A:$G,7,FALSE)</f>
        <v/>
      </c>
      <c r="H550" t="inlineStr"/>
    </row>
    <row r="551">
      <c r="A551" t="n">
        <v>40</v>
      </c>
      <c r="B551" t="inlineStr">
        <is>
          <t>120 ml Crema para batir pasteurizada de vaca (35 % MG)</t>
        </is>
      </c>
      <c r="C551" t="inlineStr">
        <is>
          <t>CRE</t>
        </is>
      </c>
      <c r="D551">
        <f>VLOOKUP(C551,Insumos!$A:$G,2,FALSE)</f>
        <v/>
      </c>
      <c r="E551" s="4" t="n">
        <v>120</v>
      </c>
      <c r="F551" t="inlineStr">
        <is>
          <t>ml</t>
        </is>
      </c>
      <c r="G551">
        <f>E551*VLOOKUP(C551,Insumos!$A:$G,7,FALSE)</f>
        <v/>
      </c>
      <c r="H551" t="inlineStr"/>
    </row>
    <row r="552">
      <c r="A552" t="n">
        <v>40</v>
      </c>
      <c r="B552" t="inlineStr">
        <is>
          <t>40 g Alulosa pura cristalina (OBLIGATORIA, no usar eritritol)</t>
        </is>
      </c>
      <c r="C552" t="inlineStr">
        <is>
          <t>ALU</t>
        </is>
      </c>
      <c r="D552">
        <f>VLOOKUP(C552,Insumos!$A:$G,2,FALSE)</f>
        <v/>
      </c>
      <c r="E552" s="4" t="n">
        <v>40</v>
      </c>
      <c r="F552" t="inlineStr">
        <is>
          <t>g</t>
        </is>
      </c>
      <c r="G552">
        <f>E552*VLOOKUP(C552,Insumos!$A:$G,7,FALSE)</f>
        <v/>
      </c>
      <c r="H552" t="inlineStr"/>
    </row>
    <row r="553">
      <c r="A553" t="n">
        <v>40</v>
      </c>
      <c r="B553" t="inlineStr">
        <is>
          <t>Ralladura fina (solo flavedo) de 1 naranja Valencia</t>
        </is>
      </c>
      <c r="C553" t="inlineStr">
        <is>
          <t>NAR</t>
        </is>
      </c>
      <c r="D553">
        <f>VLOOKUP(C553,Insumos!$A:$G,2,FALSE)</f>
        <v/>
      </c>
      <c r="E553" s="4" t="n">
        <v>1</v>
      </c>
      <c r="F553" t="inlineStr">
        <is>
          <t>pz</t>
        </is>
      </c>
      <c r="G553">
        <f>E553*VLOOKUP(C553,Insumos!$A:$G,7,FALSE)</f>
        <v/>
      </c>
      <c r="H553" t="inlineStr">
        <is>
          <t>Solo la ralladura; se costea la fruta completa</t>
        </is>
      </c>
    </row>
    <row r="554">
      <c r="A554" t="n">
        <v>40</v>
      </c>
      <c r="B554" t="inlineStr">
        <is>
          <t>1 g Sal en escamas o sal marina gruesa</t>
        </is>
      </c>
      <c r="C554" t="inlineStr">
        <is>
          <t>SAE</t>
        </is>
      </c>
      <c r="D554">
        <f>VLOOKUP(C554,Insumos!$A:$G,2,FALSE)</f>
        <v/>
      </c>
      <c r="E554" s="4" t="n">
        <v>1</v>
      </c>
      <c r="F554" t="inlineStr">
        <is>
          <t>g</t>
        </is>
      </c>
      <c r="G554">
        <f>E554*VLOOKUP(C554,Insumos!$A:$G,7,FALSE)</f>
        <v/>
      </c>
      <c r="H554" t="inlineStr"/>
    </row>
    <row r="555">
      <c r="A555" t="n">
        <v>40</v>
      </c>
      <c r="B555" t="inlineStr">
        <is>
          <t>5 ml Licor de naranja sin azúcar (extracto natural) o Cointreau (el alcohol se evapora, aporta ésteres)</t>
        </is>
      </c>
      <c r="C555" t="inlineStr">
        <is>
          <t>LIC</t>
        </is>
      </c>
      <c r="D555">
        <f>VLOOKUP(C555,Insumos!$A:$G,2,FALSE)</f>
        <v/>
      </c>
      <c r="E555" s="4" t="n">
        <v>5</v>
      </c>
      <c r="F555" t="inlineStr">
        <is>
          <t>ml</t>
        </is>
      </c>
      <c r="G555">
        <f>E555*VLOOKUP(C555,Insumos!$A:$G,7,FALSE)</f>
        <v/>
      </c>
      <c r="H555" t="inlineStr"/>
    </row>
    <row r="556">
      <c r="A556" t="n">
        <v>40</v>
      </c>
      <c r="B556" t="inlineStr">
        <is>
          <t>40 g Cacao puro alcalinizado en polvo (para rebozar)</t>
        </is>
      </c>
      <c r="C556" t="inlineStr">
        <is>
          <t>CAA</t>
        </is>
      </c>
      <c r="D556">
        <f>VLOOKUP(C556,Insumos!$A:$G,2,FALSE)</f>
        <v/>
      </c>
      <c r="E556" s="4" t="n">
        <v>40</v>
      </c>
      <c r="F556" t="inlineStr">
        <is>
          <t>g</t>
        </is>
      </c>
      <c r="G556">
        <f>E556*VLOOKUP(C556,Insumos!$A:$G,7,FALSE)</f>
        <v/>
      </c>
      <c r="H556" t="inlineStr"/>
    </row>
    <row r="557">
      <c r="A557" t="n">
        <v>41</v>
      </c>
      <c r="B557" t="inlineStr">
        <is>
          <t>100 g Cobertura de chocolate oscuro sin azúcar (70 % cacao) picada</t>
        </is>
      </c>
      <c r="C557" t="inlineStr">
        <is>
          <t>CH70</t>
        </is>
      </c>
      <c r="D557">
        <f>VLOOKUP(C557,Insumos!$A:$G,2,FALSE)</f>
        <v/>
      </c>
      <c r="E557" s="4" t="n">
        <v>100</v>
      </c>
      <c r="F557" t="inlineStr">
        <is>
          <t>g</t>
        </is>
      </c>
      <c r="G557">
        <f>E557*VLOOKUP(C557,Insumos!$A:$G,7,FALSE)</f>
        <v/>
      </c>
      <c r="H557" t="inlineStr"/>
    </row>
    <row r="558">
      <c r="A558" t="n">
        <v>41</v>
      </c>
      <c r="B558" t="inlineStr">
        <is>
          <t>100 g Mantequilla sin sal</t>
        </is>
      </c>
      <c r="C558" t="inlineStr">
        <is>
          <t>MAN</t>
        </is>
      </c>
      <c r="D558">
        <f>VLOOKUP(C558,Insumos!$A:$G,2,FALSE)</f>
        <v/>
      </c>
      <c r="E558" s="4" t="n">
        <v>100</v>
      </c>
      <c r="F558" t="inlineStr">
        <is>
          <t>g</t>
        </is>
      </c>
      <c r="G558">
        <f>E558*VLOOKUP(C558,Insumos!$A:$G,7,FALSE)</f>
        <v/>
      </c>
      <c r="H558" t="inlineStr"/>
    </row>
    <row r="559">
      <c r="A559" t="n">
        <v>41</v>
      </c>
      <c r="B559" t="inlineStr">
        <is>
          <t>2 Huevos enteros L (100 g) a temperatura ambiente</t>
        </is>
      </c>
      <c r="C559" t="inlineStr">
        <is>
          <t>HUE</t>
        </is>
      </c>
      <c r="D559">
        <f>VLOOKUP(C559,Insumos!$A:$G,2,FALSE)</f>
        <v/>
      </c>
      <c r="E559" s="4" t="n">
        <v>100</v>
      </c>
      <c r="F559" t="inlineStr">
        <is>
          <t>g</t>
        </is>
      </c>
      <c r="G559">
        <f>E559*VLOOKUP(C559,Insumos!$A:$G,7,FALSE)</f>
        <v/>
      </c>
      <c r="H559" t="inlineStr"/>
    </row>
    <row r="560">
      <c r="A560" t="n">
        <v>41</v>
      </c>
      <c r="B560" t="inlineStr">
        <is>
          <t>2 Yemas de huevo L (40 g)</t>
        </is>
      </c>
      <c r="C560" t="inlineStr">
        <is>
          <t>YEM</t>
        </is>
      </c>
      <c r="D560">
        <f>VLOOKUP(C560,Insumos!$A:$G,2,FALSE)</f>
        <v/>
      </c>
      <c r="E560" s="4" t="n">
        <v>40</v>
      </c>
      <c r="F560" t="inlineStr">
        <is>
          <t>g</t>
        </is>
      </c>
      <c r="G560">
        <f>E560*VLOOKUP(C560,Insumos!$A:$G,7,FALSE)</f>
        <v/>
      </c>
      <c r="H560" t="inlineStr"/>
    </row>
    <row r="561">
      <c r="A561" t="n">
        <v>41</v>
      </c>
      <c r="B561" t="inlineStr">
        <is>
          <t>80 g Alulosa pura cristalina</t>
        </is>
      </c>
      <c r="C561" t="inlineStr">
        <is>
          <t>ALU</t>
        </is>
      </c>
      <c r="D561">
        <f>VLOOKUP(C561,Insumos!$A:$G,2,FALSE)</f>
        <v/>
      </c>
      <c r="E561" s="4" t="n">
        <v>80</v>
      </c>
      <c r="F561" t="inlineStr">
        <is>
          <t>g</t>
        </is>
      </c>
      <c r="G561">
        <f>E561*VLOOKUP(C561,Insumos!$A:$G,7,FALSE)</f>
        <v/>
      </c>
      <c r="H561" t="inlineStr"/>
    </row>
    <row r="562">
      <c r="A562" t="n">
        <v>41</v>
      </c>
      <c r="B562" t="inlineStr">
        <is>
          <t>5 ml Extracto puro de vainilla + 1 g Sal marina</t>
        </is>
      </c>
      <c r="C562" t="inlineStr">
        <is>
          <t>VAE</t>
        </is>
      </c>
      <c r="D562">
        <f>VLOOKUP(C562,Insumos!$A:$G,2,FALSE)</f>
        <v/>
      </c>
      <c r="E562" s="4" t="n">
        <v>5</v>
      </c>
      <c r="F562" t="inlineStr">
        <is>
          <t>ml</t>
        </is>
      </c>
      <c r="G562">
        <f>E562*VLOOKUP(C562,Insumos!$A:$G,7,FALSE)</f>
        <v/>
      </c>
      <c r="H562" t="inlineStr"/>
    </row>
    <row r="563">
      <c r="A563" t="n">
        <v>41</v>
      </c>
      <c r="B563" t="inlineStr">
        <is>
          <t>5 ml Extracto puro de vainilla + 1 g Sal marina</t>
        </is>
      </c>
      <c r="C563" t="inlineStr">
        <is>
          <t>SAL</t>
        </is>
      </c>
      <c r="D563">
        <f>VLOOKUP(C563,Insumos!$A:$G,2,FALSE)</f>
        <v/>
      </c>
      <c r="E563" s="4" t="n">
        <v>1</v>
      </c>
      <c r="F563" t="inlineStr">
        <is>
          <t>g</t>
        </is>
      </c>
      <c r="G563">
        <f>E563*VLOOKUP(C563,Insumos!$A:$G,7,FALSE)</f>
        <v/>
      </c>
      <c r="H563" t="inlineStr"/>
    </row>
    <row r="564">
      <c r="A564" t="n">
        <v>41</v>
      </c>
      <c r="B564" t="inlineStr">
        <is>
          <t>20 g Harina de almendra fina sin piel (la mínima indispensable para sostener las paredes)</t>
        </is>
      </c>
      <c r="C564" t="inlineStr">
        <is>
          <t>HAL</t>
        </is>
      </c>
      <c r="D564">
        <f>VLOOKUP(C564,Insumos!$A:$G,2,FALSE)</f>
        <v/>
      </c>
      <c r="E564" s="4" t="n">
        <v>20</v>
      </c>
      <c r="F564" t="inlineStr">
        <is>
          <t>g</t>
        </is>
      </c>
      <c r="G564">
        <f>E564*VLOOKUP(C564,Insumos!$A:$G,7,FALSE)</f>
        <v/>
      </c>
      <c r="H564" t="inlineStr"/>
    </row>
    <row r="565">
      <c r="A565" t="n">
        <v>41</v>
      </c>
      <c r="B565" t="inlineStr">
        <is>
          <t>10 g Cacao puro en polvo alcalinizado</t>
        </is>
      </c>
      <c r="C565" t="inlineStr">
        <is>
          <t>CAA</t>
        </is>
      </c>
      <c r="D565">
        <f>VLOOKUP(C565,Insumos!$A:$G,2,FALSE)</f>
        <v/>
      </c>
      <c r="E565" s="4" t="n">
        <v>10</v>
      </c>
      <c r="F565" t="inlineStr">
        <is>
          <t>g</t>
        </is>
      </c>
      <c r="G565">
        <f>E565*VLOOKUP(C565,Insumos!$A:$G,7,FALSE)</f>
        <v/>
      </c>
      <c r="H565" t="inlineStr"/>
    </row>
    <row r="566">
      <c r="A566" t="n">
        <v>41</v>
      </c>
      <c r="B566" t="inlineStr">
        <is>
          <t>Mantequilla blanda y cacao en polvo para encamisar (forrar) los ramekines.</t>
        </is>
      </c>
      <c r="C566" t="inlineStr">
        <is>
          <t>MAN</t>
        </is>
      </c>
      <c r="D566">
        <f>VLOOKUP(C566,Insumos!$A:$G,2,FALSE)</f>
        <v/>
      </c>
      <c r="E566" s="4" t="n">
        <v>10</v>
      </c>
      <c r="F566" t="inlineStr">
        <is>
          <t>g</t>
        </is>
      </c>
      <c r="G566">
        <f>E566*VLOOKUP(C566,Insumos!$A:$G,7,FALSE)</f>
        <v/>
      </c>
      <c r="H566" t="inlineStr">
        <is>
          <t>Cantidad estimada</t>
        </is>
      </c>
    </row>
    <row r="567">
      <c r="A567" t="n">
        <v>41</v>
      </c>
      <c r="B567" t="inlineStr">
        <is>
          <t>Mantequilla blanda y cacao en polvo para encamisar (forrar) los ramekines.</t>
        </is>
      </c>
      <c r="C567" t="inlineStr">
        <is>
          <t>CAA</t>
        </is>
      </c>
      <c r="D567">
        <f>VLOOKUP(C567,Insumos!$A:$G,2,FALSE)</f>
        <v/>
      </c>
      <c r="E567" s="4" t="n">
        <v>5</v>
      </c>
      <c r="F567" t="inlineStr">
        <is>
          <t>g</t>
        </is>
      </c>
      <c r="G567">
        <f>E567*VLOOKUP(C567,Insumos!$A:$G,7,FALSE)</f>
        <v/>
      </c>
      <c r="H567" t="inlineStr">
        <is>
          <t>Cantidad estimada</t>
        </is>
      </c>
    </row>
    <row r="568">
      <c r="A568" t="n">
        <v>42</v>
      </c>
      <c r="B568" t="inlineStr">
        <is>
          <t>250 g Cobertura de chocolate oscuro sin azúcar (70 % cacao, preferiblemente en grageas de alta fluidez)</t>
        </is>
      </c>
      <c r="C568" t="inlineStr">
        <is>
          <t>CH70</t>
        </is>
      </c>
      <c r="D568">
        <f>VLOOKUP(C568,Insumos!$A:$G,2,FALSE)</f>
        <v/>
      </c>
      <c r="E568" s="4" t="n">
        <v>250</v>
      </c>
      <c r="F568" t="inlineStr">
        <is>
          <t>g</t>
        </is>
      </c>
      <c r="G568">
        <f>E568*VLOOKUP(C568,Insumos!$A:$G,7,FALSE)</f>
        <v/>
      </c>
      <c r="H568" t="inlineStr"/>
    </row>
    <row r="569">
      <c r="A569" t="n">
        <v>42</v>
      </c>
      <c r="B569" t="inlineStr">
        <is>
          <t>100 g Crema o mantequilla de cacahuate 100 % pura (sin aceites hidrogenados ni azúcar)</t>
        </is>
      </c>
      <c r="C569" t="inlineStr">
        <is>
          <t>MCC</t>
        </is>
      </c>
      <c r="D569">
        <f>VLOOKUP(C569,Insumos!$A:$G,2,FALSE)</f>
        <v/>
      </c>
      <c r="E569" s="4" t="n">
        <v>100</v>
      </c>
      <c r="F569" t="inlineStr">
        <is>
          <t>g</t>
        </is>
      </c>
      <c r="G569">
        <f>E569*VLOOKUP(C569,Insumos!$A:$G,7,FALSE)</f>
        <v/>
      </c>
      <c r="H569" t="inlineStr"/>
    </row>
    <row r="570">
      <c r="A570" t="n">
        <v>42</v>
      </c>
      <c r="B570" t="inlineStr">
        <is>
          <t>30 g Alulosa pura cristalina</t>
        </is>
      </c>
      <c r="C570" t="inlineStr">
        <is>
          <t>ALU</t>
        </is>
      </c>
      <c r="D570">
        <f>VLOOKUP(C570,Insumos!$A:$G,2,FALSE)</f>
        <v/>
      </c>
      <c r="E570" s="4" t="n">
        <v>30</v>
      </c>
      <c r="F570" t="inlineStr">
        <is>
          <t>g</t>
        </is>
      </c>
      <c r="G570">
        <f>E570*VLOOKUP(C570,Insumos!$A:$G,7,FALSE)</f>
        <v/>
      </c>
      <c r="H570" t="inlineStr"/>
    </row>
    <row r="571">
      <c r="A571" t="n">
        <v>42</v>
      </c>
      <c r="B571" t="inlineStr">
        <is>
          <t>15 g Harina de coco desgrasada (el absorbente de grasa)</t>
        </is>
      </c>
      <c r="C571" t="inlineStr">
        <is>
          <t>HCO</t>
        </is>
      </c>
      <c r="D571">
        <f>VLOOKUP(C571,Insumos!$A:$G,2,FALSE)</f>
        <v/>
      </c>
      <c r="E571" s="4" t="n">
        <v>15</v>
      </c>
      <c r="F571" t="inlineStr">
        <is>
          <t>g</t>
        </is>
      </c>
      <c r="G571">
        <f>E571*VLOOKUP(C571,Insumos!$A:$G,7,FALSE)</f>
        <v/>
      </c>
      <c r="H571" t="inlineStr"/>
    </row>
    <row r="572">
      <c r="A572" t="n">
        <v>42</v>
      </c>
      <c r="B572" t="inlineStr">
        <is>
          <t>15 g Mantequilla sin sal fundida</t>
        </is>
      </c>
      <c r="C572" t="inlineStr">
        <is>
          <t>MAN</t>
        </is>
      </c>
      <c r="D572">
        <f>VLOOKUP(C572,Insumos!$A:$G,2,FALSE)</f>
        <v/>
      </c>
      <c r="E572" s="4" t="n">
        <v>15</v>
      </c>
      <c r="F572" t="inlineStr">
        <is>
          <t>g</t>
        </is>
      </c>
      <c r="G572">
        <f>E572*VLOOKUP(C572,Insumos!$A:$G,7,FALSE)</f>
        <v/>
      </c>
      <c r="H572" t="inlineStr"/>
    </row>
    <row r="573">
      <c r="A573" t="n">
        <v>42</v>
      </c>
      <c r="B573" t="inlineStr">
        <is>
          <t>3 ml Extracto de vainilla</t>
        </is>
      </c>
      <c r="C573" t="inlineStr">
        <is>
          <t>VAE</t>
        </is>
      </c>
      <c r="D573">
        <f>VLOOKUP(C573,Insumos!$A:$G,2,FALSE)</f>
        <v/>
      </c>
      <c r="E573" s="4" t="n">
        <v>3</v>
      </c>
      <c r="F573" t="inlineStr">
        <is>
          <t>ml</t>
        </is>
      </c>
      <c r="G573">
        <f>E573*VLOOKUP(C573,Insumos!$A:$G,7,FALSE)</f>
        <v/>
      </c>
      <c r="H573" t="inlineStr"/>
    </row>
    <row r="574">
      <c r="A574" t="n">
        <v>42</v>
      </c>
      <c r="B574" t="inlineStr">
        <is>
          <t>2 g Sal de mar en escamas (tipo Maldon)</t>
        </is>
      </c>
      <c r="C574" t="inlineStr">
        <is>
          <t>SAE</t>
        </is>
      </c>
      <c r="D574">
        <f>VLOOKUP(C574,Insumos!$A:$G,2,FALSE)</f>
        <v/>
      </c>
      <c r="E574" s="4" t="n">
        <v>2</v>
      </c>
      <c r="F574" t="inlineStr">
        <is>
          <t>g</t>
        </is>
      </c>
      <c r="G574">
        <f>E574*VLOOKUP(C574,Insumos!$A:$G,7,FALSE)</f>
        <v/>
      </c>
      <c r="H574" t="inlineStr"/>
    </row>
    <row r="575">
      <c r="A575" t="n">
        <v>43</v>
      </c>
      <c r="B575" t="inlineStr">
        <is>
          <t>10 g Gelatina neutra en polvo de 200Bloom</t>
        </is>
      </c>
      <c r="C575" t="inlineStr">
        <is>
          <t>GEL</t>
        </is>
      </c>
      <c r="D575">
        <f>VLOOKUP(C575,Insumos!$A:$G,2,FALSE)</f>
        <v/>
      </c>
      <c r="E575" s="4" t="n">
        <v>10</v>
      </c>
      <c r="F575" t="inlineStr">
        <is>
          <t>g</t>
        </is>
      </c>
      <c r="G575">
        <f>E575*VLOOKUP(C575,Insumos!$A:$G,7,FALSE)</f>
        <v/>
      </c>
      <c r="H575" t="inlineStr"/>
    </row>
    <row r="576">
      <c r="A576" t="n">
        <v>43</v>
      </c>
      <c r="B576" t="inlineStr">
        <is>
          <t>50 ml Agua desmineralizada fría</t>
        </is>
      </c>
      <c r="C576" t="inlineStr">
        <is>
          <t>AGU</t>
        </is>
      </c>
      <c r="D576">
        <f>VLOOKUP(C576,Insumos!$A:$G,2,FALSE)</f>
        <v/>
      </c>
      <c r="E576" s="4" t="n">
        <v>50</v>
      </c>
      <c r="F576" t="inlineStr">
        <is>
          <t>ml</t>
        </is>
      </c>
      <c r="G576">
        <f>E576*VLOOKUP(C576,Insumos!$A:$G,7,FALSE)</f>
        <v/>
      </c>
      <c r="H576" t="inlineStr"/>
    </row>
    <row r="577">
      <c r="A577" t="n">
        <v>43</v>
      </c>
      <c r="B577" t="inlineStr">
        <is>
          <t>100 ml Agua purificada</t>
        </is>
      </c>
      <c r="C577" t="inlineStr">
        <is>
          <t>AGU</t>
        </is>
      </c>
      <c r="D577">
        <f>VLOOKUP(C577,Insumos!$A:$G,2,FALSE)</f>
        <v/>
      </c>
      <c r="E577" s="4" t="n">
        <v>100</v>
      </c>
      <c r="F577" t="inlineStr">
        <is>
          <t>ml</t>
        </is>
      </c>
      <c r="G577">
        <f>E577*VLOOKUP(C577,Insumos!$A:$G,7,FALSE)</f>
        <v/>
      </c>
      <c r="H577" t="inlineStr"/>
    </row>
    <row r="578">
      <c r="A578" t="n">
        <v>43</v>
      </c>
      <c r="B578" t="inlineStr">
        <is>
          <t>150 g Alulosa pura cristalina (indispensable, no usar eritritol en absoluto)</t>
        </is>
      </c>
      <c r="C578" t="inlineStr">
        <is>
          <t>ALU</t>
        </is>
      </c>
      <c r="D578">
        <f>VLOOKUP(C578,Insumos!$A:$G,2,FALSE)</f>
        <v/>
      </c>
      <c r="E578" s="4" t="n">
        <v>150</v>
      </c>
      <c r="F578" t="inlineStr">
        <is>
          <t>g</t>
        </is>
      </c>
      <c r="G578">
        <f>E578*VLOOKUP(C578,Insumos!$A:$G,7,FALSE)</f>
        <v/>
      </c>
      <c r="H578" t="inlineStr"/>
    </row>
    <row r="579">
      <c r="A579" t="n">
        <v>43</v>
      </c>
      <c r="B579" t="inlineStr">
        <is>
          <t>100 ml Crema para batir pasteurizada (35 % MG, temperatura ambiente)</t>
        </is>
      </c>
      <c r="C579" t="inlineStr">
        <is>
          <t>CRE</t>
        </is>
      </c>
      <c r="D579">
        <f>VLOOKUP(C579,Insumos!$A:$G,2,FALSE)</f>
        <v/>
      </c>
      <c r="E579" s="4" t="n">
        <v>100</v>
      </c>
      <c r="F579" t="inlineStr">
        <is>
          <t>ml</t>
        </is>
      </c>
      <c r="G579">
        <f>E579*VLOOKUP(C579,Insumos!$A:$G,7,FALSE)</f>
        <v/>
      </c>
      <c r="H579" t="inlineStr"/>
    </row>
    <row r="580">
      <c r="A580" t="n">
        <v>43</v>
      </c>
      <c r="B580" t="inlineStr">
        <is>
          <t>50 g Cacao puro en polvo alcalinizado holandés (22% - 24% MG, tamizado fino)</t>
        </is>
      </c>
      <c r="C580" t="inlineStr">
        <is>
          <t>CAA</t>
        </is>
      </c>
      <c r="D580">
        <f>VLOOKUP(C580,Insumos!$A:$G,2,FALSE)</f>
        <v/>
      </c>
      <c r="E580" s="4" t="n">
        <v>50</v>
      </c>
      <c r="F580" t="inlineStr">
        <is>
          <t>g</t>
        </is>
      </c>
      <c r="G580">
        <f>E580*VLOOKUP(C580,Insumos!$A:$G,7,FALSE)</f>
        <v/>
      </c>
      <c r="H580" t="inlineStr"/>
    </row>
    <row r="581">
      <c r="A581" t="n">
        <v>44</v>
      </c>
      <c r="B581" t="inlineStr">
        <is>
          <t>80 g Harina de avellana pura + 40 g Harina de almendra fina</t>
        </is>
      </c>
      <c r="C581" t="inlineStr">
        <is>
          <t>HAV</t>
        </is>
      </c>
      <c r="D581">
        <f>VLOOKUP(C581,Insumos!$A:$G,2,FALSE)</f>
        <v/>
      </c>
      <c r="E581" s="4" t="n">
        <v>80</v>
      </c>
      <c r="F581" t="inlineStr">
        <is>
          <t>g</t>
        </is>
      </c>
      <c r="G581">
        <f>E581*VLOOKUP(C581,Insumos!$A:$G,7,FALSE)</f>
        <v/>
      </c>
      <c r="H581" t="inlineStr"/>
    </row>
    <row r="582">
      <c r="A582" t="n">
        <v>44</v>
      </c>
      <c r="B582" t="inlineStr">
        <is>
          <t>80 g Harina de avellana pura + 40 g Harina de almendra fina</t>
        </is>
      </c>
      <c r="C582" t="inlineStr">
        <is>
          <t>HAL</t>
        </is>
      </c>
      <c r="D582">
        <f>VLOOKUP(C582,Insumos!$A:$G,2,FALSE)</f>
        <v/>
      </c>
      <c r="E582" s="4" t="n">
        <v>40</v>
      </c>
      <c r="F582" t="inlineStr">
        <is>
          <t>g</t>
        </is>
      </c>
      <c r="G582">
        <f>E582*VLOOKUP(C582,Insumos!$A:$G,7,FALSE)</f>
        <v/>
      </c>
      <c r="H582" t="inlineStr"/>
    </row>
    <row r="583">
      <c r="A583" t="n">
        <v>44</v>
      </c>
      <c r="B583" t="inlineStr">
        <is>
          <t>60 g Alulosa pura cristalina</t>
        </is>
      </c>
      <c r="C583" t="inlineStr">
        <is>
          <t>ALU</t>
        </is>
      </c>
      <c r="D583">
        <f>VLOOKUP(C583,Insumos!$A:$G,2,FALSE)</f>
        <v/>
      </c>
      <c r="E583" s="4" t="n">
        <v>60</v>
      </c>
      <c r="F583" t="inlineStr">
        <is>
          <t>g</t>
        </is>
      </c>
      <c r="G583">
        <f>E583*VLOOKUP(C583,Insumos!$A:$G,7,FALSE)</f>
        <v/>
      </c>
      <c r="H583" t="inlineStr"/>
    </row>
    <row r="584">
      <c r="A584" t="n">
        <v>44</v>
      </c>
      <c r="B584" t="inlineStr">
        <is>
          <t>2 Huevos L enteros + 2 Claras montadas a punto de nieve con 15 g de eritritol</t>
        </is>
      </c>
      <c r="C584" t="inlineStr">
        <is>
          <t>HUE</t>
        </is>
      </c>
      <c r="D584">
        <f>VLOOKUP(C584,Insumos!$A:$G,2,FALSE)</f>
        <v/>
      </c>
      <c r="E584" s="4" t="n">
        <v>100</v>
      </c>
      <c r="F584" t="inlineStr">
        <is>
          <t>g</t>
        </is>
      </c>
      <c r="G584">
        <f>E584*VLOOKUP(C584,Insumos!$A:$G,7,FALSE)</f>
        <v/>
      </c>
      <c r="H584" t="inlineStr"/>
    </row>
    <row r="585">
      <c r="A585" t="n">
        <v>44</v>
      </c>
      <c r="B585" t="inlineStr">
        <is>
          <t>2 Huevos L enteros + 2 Claras montadas a punto de nieve con 15 g de eritritol</t>
        </is>
      </c>
      <c r="C585" t="inlineStr">
        <is>
          <t>CLA</t>
        </is>
      </c>
      <c r="D585">
        <f>VLOOKUP(C585,Insumos!$A:$G,2,FALSE)</f>
        <v/>
      </c>
      <c r="E585" s="4" t="n">
        <v>60</v>
      </c>
      <c r="F585" t="inlineStr">
        <is>
          <t>g</t>
        </is>
      </c>
      <c r="G585">
        <f>E585*VLOOKUP(C585,Insumos!$A:$G,7,FALSE)</f>
        <v/>
      </c>
      <c r="H585" t="inlineStr">
        <is>
          <t>Convertido a gramos (pieza L)</t>
        </is>
      </c>
    </row>
    <row r="586">
      <c r="A586" t="n">
        <v>44</v>
      </c>
      <c r="B586" t="inlineStr">
        <is>
          <t>2 Huevos L enteros + 2 Claras montadas a punto de nieve con 15 g de eritritol</t>
        </is>
      </c>
      <c r="C586" t="inlineStr">
        <is>
          <t>ERG</t>
        </is>
      </c>
      <c r="D586">
        <f>VLOOKUP(C586,Insumos!$A:$G,2,FALSE)</f>
        <v/>
      </c>
      <c r="E586" s="4" t="n">
        <v>15</v>
      </c>
      <c r="F586" t="inlineStr">
        <is>
          <t>g</t>
        </is>
      </c>
      <c r="G586">
        <f>E586*VLOOKUP(C586,Insumos!$A:$G,7,FALSE)</f>
        <v/>
      </c>
      <c r="H586" t="inlineStr"/>
    </row>
    <row r="587">
      <c r="A587" t="n">
        <v>44</v>
      </c>
      <c r="B587" t="inlineStr">
        <is>
          <t>15 g Mantequilla derretida tibia</t>
        </is>
      </c>
      <c r="C587" t="inlineStr">
        <is>
          <t>MAN</t>
        </is>
      </c>
      <c r="D587">
        <f>VLOOKUP(C587,Insumos!$A:$G,2,FALSE)</f>
        <v/>
      </c>
      <c r="E587" s="4" t="n">
        <v>15</v>
      </c>
      <c r="F587" t="inlineStr">
        <is>
          <t>g</t>
        </is>
      </c>
      <c r="G587">
        <f>E587*VLOOKUP(C587,Insumos!$A:$G,7,FALSE)</f>
        <v/>
      </c>
      <c r="H587" t="inlineStr"/>
    </row>
    <row r="588">
      <c r="A588" t="n">
        <v>44</v>
      </c>
      <c r="B588" t="inlineStr">
        <is>
          <t>300 g Cobertura de chocolate amargo 70 % sin azúcar</t>
        </is>
      </c>
      <c r="C588" t="inlineStr">
        <is>
          <t>CH70</t>
        </is>
      </c>
      <c r="D588">
        <f>VLOOKUP(C588,Insumos!$A:$G,2,FALSE)</f>
        <v/>
      </c>
      <c r="E588" s="4" t="n">
        <v>300</v>
      </c>
      <c r="F588" t="inlineStr">
        <is>
          <t>g</t>
        </is>
      </c>
      <c r="G588">
        <f>E588*VLOOKUP(C588,Insumos!$A:$G,7,FALSE)</f>
        <v/>
      </c>
      <c r="H588" t="inlineStr"/>
    </row>
    <row r="589">
      <c r="A589" t="n">
        <v>44</v>
      </c>
      <c r="B589" t="inlineStr">
        <is>
          <t>150 ml Leche de almendras hirviendo (85 °C)</t>
        </is>
      </c>
      <c r="C589" t="inlineStr">
        <is>
          <t>LAL</t>
        </is>
      </c>
      <c r="D589">
        <f>VLOOKUP(C589,Insumos!$A:$G,2,FALSE)</f>
        <v/>
      </c>
      <c r="E589" s="4" t="n">
        <v>150</v>
      </c>
      <c r="F589" t="inlineStr">
        <is>
          <t>ml</t>
        </is>
      </c>
      <c r="G589">
        <f>E589*VLOOKUP(C589,Insumos!$A:$G,7,FALSE)</f>
        <v/>
      </c>
      <c r="H589" t="inlineStr"/>
    </row>
    <row r="590">
      <c r="A590" t="n">
        <v>44</v>
      </c>
      <c r="B590" t="inlineStr">
        <is>
          <t>10 g Gelatina 200Bloom (hidratada en 50 ml de agua fría)</t>
        </is>
      </c>
      <c r="C590" t="inlineStr">
        <is>
          <t>GEL</t>
        </is>
      </c>
      <c r="D590">
        <f>VLOOKUP(C590,Insumos!$A:$G,2,FALSE)</f>
        <v/>
      </c>
      <c r="E590" s="4" t="n">
        <v>10</v>
      </c>
      <c r="F590" t="inlineStr">
        <is>
          <t>g</t>
        </is>
      </c>
      <c r="G590">
        <f>E590*VLOOKUP(C590,Insumos!$A:$G,7,FALSE)</f>
        <v/>
      </c>
      <c r="H590" t="inlineStr"/>
    </row>
    <row r="591">
      <c r="A591" t="n">
        <v>44</v>
      </c>
      <c r="B591" t="inlineStr">
        <is>
          <t>60 g Alulosa cristalina + 3 Yemas de huevo (Batidas)</t>
        </is>
      </c>
      <c r="C591" t="inlineStr">
        <is>
          <t>ALU</t>
        </is>
      </c>
      <c r="D591">
        <f>VLOOKUP(C591,Insumos!$A:$G,2,FALSE)</f>
        <v/>
      </c>
      <c r="E591" s="4" t="n">
        <v>60</v>
      </c>
      <c r="F591" t="inlineStr">
        <is>
          <t>g</t>
        </is>
      </c>
      <c r="G591">
        <f>E591*VLOOKUP(C591,Insumos!$A:$G,7,FALSE)</f>
        <v/>
      </c>
      <c r="H591" t="inlineStr"/>
    </row>
    <row r="592">
      <c r="A592" t="n">
        <v>44</v>
      </c>
      <c r="B592" t="inlineStr">
        <is>
          <t>60 g Alulosa cristalina + 3 Yemas de huevo (Batidas)</t>
        </is>
      </c>
      <c r="C592" t="inlineStr">
        <is>
          <t>YEM</t>
        </is>
      </c>
      <c r="D592">
        <f>VLOOKUP(C592,Insumos!$A:$G,2,FALSE)</f>
        <v/>
      </c>
      <c r="E592" s="4" t="n">
        <v>60</v>
      </c>
      <c r="F592" t="inlineStr">
        <is>
          <t>g</t>
        </is>
      </c>
      <c r="G592">
        <f>E592*VLOOKUP(C592,Insumos!$A:$G,7,FALSE)</f>
        <v/>
      </c>
      <c r="H592" t="inlineStr">
        <is>
          <t>Convertido a gramos (pieza L)</t>
        </is>
      </c>
    </row>
    <row r="593">
      <c r="A593" t="n">
        <v>44</v>
      </c>
      <c r="B593" t="inlineStr">
        <is>
          <t>400 ml Crema para batir (35 % MG) montada a picos suaves</t>
        </is>
      </c>
      <c r="C593" t="inlineStr">
        <is>
          <t>CRE</t>
        </is>
      </c>
      <c r="D593">
        <f>VLOOKUP(C593,Insumos!$A:$G,2,FALSE)</f>
        <v/>
      </c>
      <c r="E593" s="4" t="n">
        <v>400</v>
      </c>
      <c r="F593" t="inlineStr">
        <is>
          <t>ml</t>
        </is>
      </c>
      <c r="G593">
        <f>E593*VLOOKUP(C593,Insumos!$A:$G,7,FALSE)</f>
        <v/>
      </c>
      <c r="H593" t="inlineStr"/>
    </row>
    <row r="594">
      <c r="A594" t="n">
        <v>44</v>
      </c>
      <c r="B594" t="inlineStr">
        <is>
          <t>1 Disco de Panna Cotta de Vainilla (Fórmula 13) cuajado y congelado en aro de 18 cm.</t>
        </is>
      </c>
      <c r="C594" t="inlineStr">
        <is>
          <t>CRE</t>
        </is>
      </c>
      <c r="D594">
        <f>VLOOKUP(C594,Insumos!$A:$G,2,FALSE)</f>
        <v/>
      </c>
      <c r="E594" s="4" t="n">
        <v>250</v>
      </c>
      <c r="F594" t="inlineStr">
        <is>
          <t>ml</t>
        </is>
      </c>
      <c r="G594">
        <f>E594*VLOOKUP(C594,Insumos!$A:$G,7,FALSE)</f>
        <v/>
      </c>
      <c r="H594" t="inlineStr">
        <is>
          <t>Disco de panna cotta desglosado (estimado de la Fórmula 13)</t>
        </is>
      </c>
    </row>
    <row r="595">
      <c r="A595" t="n">
        <v>44</v>
      </c>
      <c r="B595" t="inlineStr">
        <is>
          <t>1 Disco de Panna Cotta de Vainilla (Fórmula 13) cuajado y congelado en aro de 18 cm.</t>
        </is>
      </c>
      <c r="C595" t="inlineStr">
        <is>
          <t>ALU</t>
        </is>
      </c>
      <c r="D595">
        <f>VLOOKUP(C595,Insumos!$A:$G,2,FALSE)</f>
        <v/>
      </c>
      <c r="E595" s="4" t="n">
        <v>30</v>
      </c>
      <c r="F595" t="inlineStr">
        <is>
          <t>g</t>
        </is>
      </c>
      <c r="G595">
        <f>E595*VLOOKUP(C595,Insumos!$A:$G,7,FALSE)</f>
        <v/>
      </c>
      <c r="H595" t="inlineStr">
        <is>
          <t>Ídem</t>
        </is>
      </c>
    </row>
    <row r="596">
      <c r="A596" t="n">
        <v>44</v>
      </c>
      <c r="B596" t="inlineStr">
        <is>
          <t>1 Disco de Panna Cotta de Vainilla (Fórmula 13) cuajado y congelado en aro de 18 cm.</t>
        </is>
      </c>
      <c r="C596" t="inlineStr">
        <is>
          <t>GEL</t>
        </is>
      </c>
      <c r="D596">
        <f>VLOOKUP(C596,Insumos!$A:$G,2,FALSE)</f>
        <v/>
      </c>
      <c r="E596" s="4" t="n">
        <v>4</v>
      </c>
      <c r="F596" t="inlineStr">
        <is>
          <t>g</t>
        </is>
      </c>
      <c r="G596">
        <f>E596*VLOOKUP(C596,Insumos!$A:$G,7,FALSE)</f>
        <v/>
      </c>
      <c r="H596" t="inlineStr">
        <is>
          <t>Ídem</t>
        </is>
      </c>
    </row>
    <row r="597">
      <c r="A597" t="n">
        <v>44</v>
      </c>
      <c r="B597" t="inlineStr">
        <is>
          <t>1 Disco de Panna Cotta de Vainilla (Fórmula 13) cuajado y congelado en aro de 18 cm.</t>
        </is>
      </c>
      <c r="C597" t="inlineStr">
        <is>
          <t>VAE</t>
        </is>
      </c>
      <c r="D597">
        <f>VLOOKUP(C597,Insumos!$A:$G,2,FALSE)</f>
        <v/>
      </c>
      <c r="E597" s="4" t="n">
        <v>3</v>
      </c>
      <c r="F597" t="inlineStr">
        <is>
          <t>ml</t>
        </is>
      </c>
      <c r="G597">
        <f>E597*VLOOKUP(C597,Insumos!$A:$G,7,FALSE)</f>
        <v/>
      </c>
      <c r="H597" t="inlineStr">
        <is>
          <t>Ídem</t>
        </is>
      </c>
    </row>
    <row r="598">
      <c r="A598" t="n">
        <v>45</v>
      </c>
      <c r="B598" t="inlineStr">
        <is>
          <t>150 g Mantequilla de vaca sin sal (82 % MG) a temperatura pomada (20 °C)</t>
        </is>
      </c>
      <c r="C598" t="inlineStr">
        <is>
          <t>MAN</t>
        </is>
      </c>
      <c r="D598">
        <f>VLOOKUP(C598,Insumos!$A:$G,2,FALSE)</f>
        <v/>
      </c>
      <c r="E598" s="4" t="n">
        <v>150</v>
      </c>
      <c r="F598" t="inlineStr">
        <is>
          <t>g</t>
        </is>
      </c>
      <c r="G598">
        <f>E598*VLOOKUP(C598,Insumos!$A:$G,7,FALSE)</f>
        <v/>
      </c>
      <c r="H598" t="inlineStr"/>
    </row>
    <row r="599">
      <c r="A599" t="n">
        <v>45</v>
      </c>
      <c r="B599" t="inlineStr">
        <is>
          <t>300 g Queso crema estilo Philadelphia entero (34 % MG) ligeramente frío (10 °C, sacado de la nevera 15 minutos antes)</t>
        </is>
      </c>
      <c r="C599" t="inlineStr">
        <is>
          <t>QCR</t>
        </is>
      </c>
      <c r="D599">
        <f>VLOOKUP(C599,Insumos!$A:$G,2,FALSE)</f>
        <v/>
      </c>
      <c r="E599" s="4" t="n">
        <v>300</v>
      </c>
      <c r="F599" t="inlineStr">
        <is>
          <t>g</t>
        </is>
      </c>
      <c r="G599">
        <f>E599*VLOOKUP(C599,Insumos!$A:$G,7,FALSE)</f>
        <v/>
      </c>
      <c r="H599" t="inlineStr"/>
    </row>
    <row r="600">
      <c r="A600" t="n">
        <v>45</v>
      </c>
      <c r="B600" t="inlineStr">
        <is>
          <t>140 g Alulosa pura pulverizada (procesada en licuadora seca hasta textura impalpable)</t>
        </is>
      </c>
      <c r="C600" t="inlineStr">
        <is>
          <t>ALUP</t>
        </is>
      </c>
      <c r="D600">
        <f>VLOOKUP(C600,Insumos!$A:$G,2,FALSE)</f>
        <v/>
      </c>
      <c r="E600" s="4" t="n">
        <v>140</v>
      </c>
      <c r="F600" t="inlineStr">
        <is>
          <t>g</t>
        </is>
      </c>
      <c r="G600">
        <f>E600*VLOOKUP(C600,Insumos!$A:$G,7,FALSE)</f>
        <v/>
      </c>
      <c r="H600" t="inlineStr"/>
    </row>
    <row r="601">
      <c r="A601" t="n">
        <v>45</v>
      </c>
      <c r="B601" t="inlineStr">
        <is>
          <t>0.5 g Goma xantana (mezclada en seco con la alulosa)</t>
        </is>
      </c>
      <c r="C601" t="inlineStr">
        <is>
          <t>XAN</t>
        </is>
      </c>
      <c r="D601">
        <f>VLOOKUP(C601,Insumos!$A:$G,2,FALSE)</f>
        <v/>
      </c>
      <c r="E601" s="4" t="n">
        <v>0.5</v>
      </c>
      <c r="F601" t="inlineStr">
        <is>
          <t>g</t>
        </is>
      </c>
      <c r="G601">
        <f>E601*VLOOKUP(C601,Insumos!$A:$G,7,FALSE)</f>
        <v/>
      </c>
      <c r="H601" t="inlineStr"/>
    </row>
    <row r="602">
      <c r="A602" t="n">
        <v>45</v>
      </c>
      <c r="B602" t="inlineStr">
        <is>
          <t>10 ml Extracto transparente de vainilla (para mantener el color blanco)</t>
        </is>
      </c>
      <c r="C602" t="inlineStr">
        <is>
          <t>VAE</t>
        </is>
      </c>
      <c r="D602">
        <f>VLOOKUP(C602,Insumos!$A:$G,2,FALSE)</f>
        <v/>
      </c>
      <c r="E602" s="4" t="n">
        <v>10</v>
      </c>
      <c r="F602" t="inlineStr">
        <is>
          <t>ml</t>
        </is>
      </c>
      <c r="G602">
        <f>E602*VLOOKUP(C602,Insumos!$A:$G,7,FALSE)</f>
        <v/>
      </c>
      <c r="H602" t="inlineStr"/>
    </row>
    <row r="603">
      <c r="A603" t="n">
        <v>45</v>
      </c>
      <c r="B603" t="inlineStr">
        <is>
          <t>1 g Sal marina fina</t>
        </is>
      </c>
      <c r="C603" t="inlineStr">
        <is>
          <t>SAL</t>
        </is>
      </c>
      <c r="D603">
        <f>VLOOKUP(C603,Insumos!$A:$G,2,FALSE)</f>
        <v/>
      </c>
      <c r="E603" s="4" t="n">
        <v>1</v>
      </c>
      <c r="F603" t="inlineStr">
        <is>
          <t>g</t>
        </is>
      </c>
      <c r="G603">
        <f>E603*VLOOKUP(C603,Insumos!$A:$G,7,FALSE)</f>
        <v/>
      </c>
      <c r="H603" t="inlineStr"/>
    </row>
    <row r="604">
      <c r="A604" t="n">
        <v>46</v>
      </c>
      <c r="B604" t="inlineStr">
        <is>
          <t>3 g Gelatina neutra en polvo (200Bloom) hidratada en 15 ml de agua fría</t>
        </is>
      </c>
      <c r="C604" t="inlineStr">
        <is>
          <t>GEL</t>
        </is>
      </c>
      <c r="D604">
        <f>VLOOKUP(C604,Insumos!$A:$G,2,FALSE)</f>
        <v/>
      </c>
      <c r="E604" s="4" t="n">
        <v>3</v>
      </c>
      <c r="F604" t="inlineStr">
        <is>
          <t>g</t>
        </is>
      </c>
      <c r="G604">
        <f>E604*VLOOKUP(C604,Insumos!$A:$G,7,FALSE)</f>
        <v/>
      </c>
      <c r="H604" t="inlineStr"/>
    </row>
    <row r="605">
      <c r="A605" t="n">
        <v>46</v>
      </c>
      <c r="B605" t="inlineStr">
        <is>
          <t>100 g Manteca de cacao pura grado alimenticio (o 150 g de chocolate blanco keto de excelente calidad)</t>
        </is>
      </c>
      <c r="C605" t="inlineStr">
        <is>
          <t>MCA</t>
        </is>
      </c>
      <c r="D605">
        <f>VLOOKUP(C605,Insumos!$A:$G,2,FALSE)</f>
        <v/>
      </c>
      <c r="E605" s="4" t="n">
        <v>100</v>
      </c>
      <c r="F605" t="inlineStr">
        <is>
          <t>g</t>
        </is>
      </c>
      <c r="G605">
        <f>E605*VLOOKUP(C605,Insumos!$A:$G,7,FALSE)</f>
        <v/>
      </c>
      <c r="H605" t="inlineStr"/>
    </row>
    <row r="606">
      <c r="A606" t="n">
        <v>46</v>
      </c>
      <c r="B606" t="inlineStr">
        <is>
          <t>150 ml Crema para batir pasteurizada (35 % MG)</t>
        </is>
      </c>
      <c r="C606" t="inlineStr">
        <is>
          <t>CRE</t>
        </is>
      </c>
      <c r="D606">
        <f>VLOOKUP(C606,Insumos!$A:$G,2,FALSE)</f>
        <v/>
      </c>
      <c r="E606" s="4" t="n">
        <v>150</v>
      </c>
      <c r="F606" t="inlineStr">
        <is>
          <t>ml</t>
        </is>
      </c>
      <c r="G606">
        <f>E606*VLOOKUP(C606,Insumos!$A:$G,7,FALSE)</f>
        <v/>
      </c>
      <c r="H606" t="inlineStr"/>
    </row>
    <row r="607">
      <c r="A607" t="n">
        <v>46</v>
      </c>
      <c r="B607" t="inlineStr">
        <is>
          <t>80 g Alulosa pura cristalina</t>
        </is>
      </c>
      <c r="C607" t="inlineStr">
        <is>
          <t>ALU</t>
        </is>
      </c>
      <c r="D607">
        <f>VLOOKUP(C607,Insumos!$A:$G,2,FALSE)</f>
        <v/>
      </c>
      <c r="E607" s="4" t="n">
        <v>80</v>
      </c>
      <c r="F607" t="inlineStr">
        <is>
          <t>g</t>
        </is>
      </c>
      <c r="G607">
        <f>E607*VLOOKUP(C607,Insumos!$A:$G,7,FALSE)</f>
        <v/>
      </c>
      <c r="H607" t="inlineStr"/>
    </row>
    <row r="608">
      <c r="A608" t="n">
        <v>46</v>
      </c>
      <c r="B608" t="inlineStr">
        <is>
          <t>1 Vaina de vainilla (semillas)</t>
        </is>
      </c>
      <c r="C608" t="inlineStr">
        <is>
          <t>VAV</t>
        </is>
      </c>
      <c r="D608">
        <f>VLOOKUP(C608,Insumos!$A:$G,2,FALSE)</f>
        <v/>
      </c>
      <c r="E608" s="4" t="n">
        <v>1</v>
      </c>
      <c r="F608" t="inlineStr">
        <is>
          <t>pz</t>
        </is>
      </c>
      <c r="G608">
        <f>E608*VLOOKUP(C608,Insumos!$A:$G,7,FALSE)</f>
        <v/>
      </c>
      <c r="H608" t="inlineStr"/>
    </row>
    <row r="609">
      <c r="A609" t="n">
        <v>46</v>
      </c>
      <c r="B609" t="inlineStr">
        <is>
          <t>200 ml Crema para batir pasteurizada (35 % MG) muy fría (2 °C)</t>
        </is>
      </c>
      <c r="C609" t="inlineStr">
        <is>
          <t>CRE</t>
        </is>
      </c>
      <c r="D609">
        <f>VLOOKUP(C609,Insumos!$A:$G,2,FALSE)</f>
        <v/>
      </c>
      <c r="E609" s="4" t="n">
        <v>200</v>
      </c>
      <c r="F609" t="inlineStr">
        <is>
          <t>ml</t>
        </is>
      </c>
      <c r="G609">
        <f>E609*VLOOKUP(C609,Insumos!$A:$G,7,FALSE)</f>
        <v/>
      </c>
      <c r="H609" t="inlineStr"/>
    </row>
    <row r="610">
      <c r="A610" t="n">
        <v>47</v>
      </c>
      <c r="B610" t="inlineStr">
        <is>
          <t>200 g Avellanas enteras crudas (o almendras)</t>
        </is>
      </c>
      <c r="C610" t="inlineStr">
        <is>
          <t>AVE</t>
        </is>
      </c>
      <c r="D610">
        <f>VLOOKUP(C610,Insumos!$A:$G,2,FALSE)</f>
        <v/>
      </c>
      <c r="E610" s="4" t="n">
        <v>200</v>
      </c>
      <c r="F610" t="inlineStr">
        <is>
          <t>g</t>
        </is>
      </c>
      <c r="G610">
        <f>E610*VLOOKUP(C610,Insumos!$A:$G,7,FALSE)</f>
        <v/>
      </c>
      <c r="H610" t="inlineStr"/>
    </row>
    <row r="611">
      <c r="A611" t="n">
        <v>47</v>
      </c>
      <c r="B611" t="inlineStr">
        <is>
          <t>150 g Alulosa pura cristalina</t>
        </is>
      </c>
      <c r="C611" t="inlineStr">
        <is>
          <t>ALU</t>
        </is>
      </c>
      <c r="D611">
        <f>VLOOKUP(C611,Insumos!$A:$G,2,FALSE)</f>
        <v/>
      </c>
      <c r="E611" s="4" t="n">
        <v>150</v>
      </c>
      <c r="F611" t="inlineStr">
        <is>
          <t>g</t>
        </is>
      </c>
      <c r="G611">
        <f>E611*VLOOKUP(C611,Insumos!$A:$G,7,FALSE)</f>
        <v/>
      </c>
      <c r="H611" t="inlineStr"/>
    </row>
    <row r="612">
      <c r="A612" t="n">
        <v>47</v>
      </c>
      <c r="B612" t="inlineStr">
        <is>
          <t>2 g Sal marina de grano grueso (en escamas)</t>
        </is>
      </c>
      <c r="C612" t="inlineStr">
        <is>
          <t>SAE</t>
        </is>
      </c>
      <c r="D612">
        <f>VLOOKUP(C612,Insumos!$A:$G,2,FALSE)</f>
        <v/>
      </c>
      <c r="E612" s="4" t="n">
        <v>2</v>
      </c>
      <c r="F612" t="inlineStr">
        <is>
          <t>g</t>
        </is>
      </c>
      <c r="G612">
        <f>E612*VLOOKUP(C612,Insumos!$A:$G,7,FALSE)</f>
        <v/>
      </c>
      <c r="H612" t="inlineStr"/>
    </row>
    <row r="613">
      <c r="A613" t="n">
        <v>48</v>
      </c>
      <c r="B613" t="inlineStr">
        <is>
          <t>250 g Cobertura de chocolate amargo sin azúcar (70 % cacao) picada</t>
        </is>
      </c>
      <c r="C613" t="inlineStr">
        <is>
          <t>CH70</t>
        </is>
      </c>
      <c r="D613">
        <f>VLOOKUP(C613,Insumos!$A:$G,2,FALSE)</f>
        <v/>
      </c>
      <c r="E613" s="4" t="n">
        <v>250</v>
      </c>
      <c r="F613" t="inlineStr">
        <is>
          <t>g</t>
        </is>
      </c>
      <c r="G613">
        <f>E613*VLOOKUP(C613,Insumos!$A:$G,7,FALSE)</f>
        <v/>
      </c>
      <c r="H613" t="inlineStr"/>
    </row>
    <row r="614">
      <c r="A614" t="n">
        <v>48</v>
      </c>
      <c r="B614" t="inlineStr">
        <is>
          <t>35 g Aceite de coco virgen desodorizado (o aceite de macadamia/pepita de uva)</t>
        </is>
      </c>
      <c r="C614" t="inlineStr">
        <is>
          <t>ACO</t>
        </is>
      </c>
      <c r="D614">
        <f>VLOOKUP(C614,Insumos!$A:$G,2,FALSE)</f>
        <v/>
      </c>
      <c r="E614" s="4" t="n">
        <v>35</v>
      </c>
      <c r="F614" t="inlineStr">
        <is>
          <t>ml</t>
        </is>
      </c>
      <c r="G614">
        <f>E614*VLOOKUP(C614,Insumos!$A:$G,7,FALSE)</f>
        <v/>
      </c>
      <c r="H614" t="inlineStr"/>
    </row>
    <row r="615">
      <c r="A615" t="n">
        <v>48</v>
      </c>
      <c r="B615" t="inlineStr">
        <is>
          <t>65 g Almendra tostada en granillo (picada a tamaño de 2a3mm, sin polvillo) o avellana tostada picada.</t>
        </is>
      </c>
      <c r="C615" t="inlineStr">
        <is>
          <t>ALG</t>
        </is>
      </c>
      <c r="D615">
        <f>VLOOKUP(C615,Insumos!$A:$G,2,FALSE)</f>
        <v/>
      </c>
      <c r="E615" s="4" t="n">
        <v>65</v>
      </c>
      <c r="F615" t="inlineStr">
        <is>
          <t>g</t>
        </is>
      </c>
      <c r="G615">
        <f>E615*VLOOKUP(C615,Insumos!$A:$G,7,FALSE)</f>
        <v/>
      </c>
      <c r="H615" t="inlineStr"/>
    </row>
    <row r="616">
      <c r="A616" t="n">
        <v>49</v>
      </c>
      <c r="B616" t="inlineStr">
        <is>
          <t>100 g Mantequilla de vaca sin sal</t>
        </is>
      </c>
      <c r="C616" t="inlineStr">
        <is>
          <t>MAN</t>
        </is>
      </c>
      <c r="D616">
        <f>VLOOKUP(C616,Insumos!$A:$G,2,FALSE)</f>
        <v/>
      </c>
      <c r="E616" s="4" t="n">
        <v>100</v>
      </c>
      <c r="F616" t="inlineStr">
        <is>
          <t>g</t>
        </is>
      </c>
      <c r="G616">
        <f>E616*VLOOKUP(C616,Insumos!$A:$G,7,FALSE)</f>
        <v/>
      </c>
      <c r="H616" t="inlineStr"/>
    </row>
    <row r="617">
      <c r="A617" t="n">
        <v>49</v>
      </c>
      <c r="B617" t="inlineStr">
        <is>
          <t>150 g Alulosa pura cristalina</t>
        </is>
      </c>
      <c r="C617" t="inlineStr">
        <is>
          <t>ALU</t>
        </is>
      </c>
      <c r="D617">
        <f>VLOOKUP(C617,Insumos!$A:$G,2,FALSE)</f>
        <v/>
      </c>
      <c r="E617" s="4" t="n">
        <v>150</v>
      </c>
      <c r="F617" t="inlineStr">
        <is>
          <t>g</t>
        </is>
      </c>
      <c r="G617">
        <f>E617*VLOOKUP(C617,Insumos!$A:$G,7,FALSE)</f>
        <v/>
      </c>
      <c r="H617" t="inlineStr"/>
    </row>
    <row r="618">
      <c r="A618" t="n">
        <v>49</v>
      </c>
      <c r="B618" t="inlineStr">
        <is>
          <t>120 ml Crema para batir pesada (35 % MG) a temperatura ambiente</t>
        </is>
      </c>
      <c r="C618" t="inlineStr">
        <is>
          <t>CRE</t>
        </is>
      </c>
      <c r="D618">
        <f>VLOOKUP(C618,Insumos!$A:$G,2,FALSE)</f>
        <v/>
      </c>
      <c r="E618" s="4" t="n">
        <v>120</v>
      </c>
      <c r="F618" t="inlineStr">
        <is>
          <t>ml</t>
        </is>
      </c>
      <c r="G618">
        <f>E618*VLOOKUP(C618,Insumos!$A:$G,7,FALSE)</f>
        <v/>
      </c>
      <c r="H618" t="inlineStr"/>
    </row>
    <row r="619">
      <c r="A619" t="n">
        <v>49</v>
      </c>
      <c r="B619" t="inlineStr">
        <is>
          <t>30 ml Café espresso intenso recién extraído (caliente)</t>
        </is>
      </c>
      <c r="C619" t="inlineStr">
        <is>
          <t>CAF</t>
        </is>
      </c>
      <c r="D619">
        <f>VLOOKUP(C619,Insumos!$A:$G,2,FALSE)</f>
        <v/>
      </c>
      <c r="E619" s="4" t="n">
        <v>30</v>
      </c>
      <c r="F619" t="inlineStr">
        <is>
          <t>ml</t>
        </is>
      </c>
      <c r="G619">
        <f>E619*VLOOKUP(C619,Insumos!$A:$G,7,FALSE)</f>
        <v/>
      </c>
      <c r="H619" t="inlineStr"/>
    </row>
    <row r="620">
      <c r="A620" t="n">
        <v>49</v>
      </c>
      <c r="B620" t="inlineStr">
        <is>
          <t>5 ml Extracto de vainilla</t>
        </is>
      </c>
      <c r="C620" t="inlineStr">
        <is>
          <t>VAE</t>
        </is>
      </c>
      <c r="D620">
        <f>VLOOKUP(C620,Insumos!$A:$G,2,FALSE)</f>
        <v/>
      </c>
      <c r="E620" s="4" t="n">
        <v>5</v>
      </c>
      <c r="F620" t="inlineStr">
        <is>
          <t>ml</t>
        </is>
      </c>
      <c r="G620">
        <f>E620*VLOOKUP(C620,Insumos!$A:$G,7,FALSE)</f>
        <v/>
      </c>
      <c r="H620" t="inlineStr"/>
    </row>
    <row r="621">
      <c r="A621" t="n">
        <v>49</v>
      </c>
      <c r="B621" t="inlineStr">
        <is>
          <t>3 g Flor de sal, sal Maldon o escamas de sal marina</t>
        </is>
      </c>
      <c r="C621" t="inlineStr">
        <is>
          <t>SAE</t>
        </is>
      </c>
      <c r="D621">
        <f>VLOOKUP(C621,Insumos!$A:$G,2,FALSE)</f>
        <v/>
      </c>
      <c r="E621" s="4" t="n">
        <v>3</v>
      </c>
      <c r="F621" t="inlineStr">
        <is>
          <t>g</t>
        </is>
      </c>
      <c r="G621">
        <f>E621*VLOOKUP(C621,Insumos!$A:$G,7,FALSE)</f>
        <v/>
      </c>
      <c r="H621" t="inlineStr"/>
    </row>
  </sheetData>
  <autoFilter ref="A1:H6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Gastos fijos mensuales</t>
        </is>
      </c>
      <c r="B1" s="4" t="n">
        <v>12000</v>
      </c>
    </row>
    <row r="2">
      <c r="A2" t="inlineStr">
        <is>
          <t>Piezas vendidas al mes</t>
        </is>
      </c>
      <c r="B2" s="4" t="n">
        <v>6000</v>
      </c>
    </row>
    <row r="3">
      <c r="A3" t="inlineStr">
        <is>
          <t>Sueldo mensual de producción</t>
        </is>
      </c>
      <c r="B3" s="4" t="n">
        <v>15000</v>
      </c>
    </row>
    <row r="4">
      <c r="A4" t="inlineStr">
        <is>
          <t>Horas trabajadas al mes</t>
        </is>
      </c>
      <c r="B4" s="4" t="n">
        <v>200</v>
      </c>
    </row>
    <row r="5">
      <c r="A5" t="inlineStr">
        <is>
          <t>% merma</t>
        </is>
      </c>
      <c r="B5" s="4" t="n">
        <v>0.08</v>
      </c>
    </row>
    <row r="7">
      <c r="A7" t="inlineStr">
        <is>
          <t>Overhead por pieza</t>
        </is>
      </c>
      <c r="B7">
        <f>B1/B2</f>
        <v/>
      </c>
    </row>
    <row r="8">
      <c r="A8" t="inlineStr">
        <is>
          <t>Mano de obra por minuto</t>
        </is>
      </c>
      <c r="B8">
        <f>B3/B4/60</f>
        <v/>
      </c>
    </row>
    <row r="10">
      <c r="A10" t="inlineStr">
        <is>
          <t>Canal</t>
        </is>
      </c>
      <c r="B10" t="inlineStr">
        <is>
          <t>Margen</t>
        </is>
      </c>
    </row>
    <row r="11">
      <c r="A11" t="inlineStr">
        <is>
          <t>Mostrador</t>
        </is>
      </c>
      <c r="B11" s="4" t="n">
        <v>0.5</v>
      </c>
    </row>
    <row r="12">
      <c r="A12" t="inlineStr">
        <is>
          <t>Pedido y regalo</t>
        </is>
      </c>
      <c r="B12" s="4" t="n">
        <v>0.6</v>
      </c>
    </row>
    <row r="13">
      <c r="A13" t="inlineStr">
        <is>
          <t>Cafetería y restaurante</t>
        </is>
      </c>
      <c r="B13" s="4" t="n">
        <v>0.35</v>
      </c>
    </row>
    <row r="14">
      <c r="A14" t="inlineStr">
        <is>
          <t>Mayoreo tienda saludable</t>
        </is>
      </c>
      <c r="B14" s="4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2" max="2"/>
  </cols>
  <sheetData>
    <row r="1">
      <c r="A1" s="3" t="inlineStr">
        <is>
          <t>#</t>
        </is>
      </c>
      <c r="B1" s="3" t="inlineStr">
        <is>
          <t>Receta</t>
        </is>
      </c>
      <c r="C1" s="3" t="inlineStr">
        <is>
          <t>Base madre</t>
        </is>
      </c>
      <c r="D1" s="3" t="inlineStr">
        <is>
          <t>Dificultad</t>
        </is>
      </c>
      <c r="E1" s="3" t="inlineStr">
        <is>
          <t>Piezas que rinde</t>
        </is>
      </c>
      <c r="F1" s="3" t="inlineStr">
        <is>
          <t>Unidad</t>
        </is>
      </c>
      <c r="G1" s="3" t="inlineStr">
        <is>
          <t>Min. activos lote</t>
        </is>
      </c>
      <c r="H1" s="3" t="inlineStr">
        <is>
          <t>Empaque/pza</t>
        </is>
      </c>
      <c r="I1" s="3" t="inlineStr">
        <is>
          <t>Energía lote</t>
        </is>
      </c>
      <c r="J1" s="3" t="inlineStr">
        <is>
          <t>Insumos lote</t>
        </is>
      </c>
      <c r="K1" s="3" t="inlineStr">
        <is>
          <t>Insumos/pza</t>
        </is>
      </c>
      <c r="L1" s="3" t="inlineStr">
        <is>
          <t>Mano de obra/pza</t>
        </is>
      </c>
      <c r="M1" s="3" t="inlineStr">
        <is>
          <t>Energía/pza</t>
        </is>
      </c>
      <c r="N1" s="3" t="inlineStr">
        <is>
          <t>Overhead/pza</t>
        </is>
      </c>
      <c r="O1" s="3" t="inlineStr">
        <is>
          <t>Costo base</t>
        </is>
      </c>
      <c r="P1" s="3" t="inlineStr">
        <is>
          <t>Costo total</t>
        </is>
      </c>
      <c r="Q1" s="3" t="inlineStr">
        <is>
          <t>Costo variable</t>
        </is>
      </c>
      <c r="R1" s="3" t="inlineStr">
        <is>
          <t>PVP Mostrador</t>
        </is>
      </c>
      <c r="S1" s="3" t="inlineStr">
        <is>
          <t>PVP Pedido y regalo</t>
        </is>
      </c>
      <c r="T1" s="3" t="inlineStr">
        <is>
          <t>PVP Cafetería y restaurante</t>
        </is>
      </c>
      <c r="U1" s="3" t="inlineStr">
        <is>
          <t>PVP Mayoreo tienda saludable</t>
        </is>
      </c>
      <c r="V1" s="3" t="inlineStr">
        <is>
          <t>Utilidad mostrador</t>
        </is>
      </c>
    </row>
    <row r="2">
      <c r="A2" t="n">
        <v>1</v>
      </c>
      <c r="B2" t="inlineStr">
        <is>
          <t>Pastel Red Velvet Tradicional con Frosting de Queso Crema a la Alulosa</t>
        </is>
      </c>
      <c r="C2" t="inlineStr">
        <is>
          <t>B1</t>
        </is>
      </c>
      <c r="D2" t="inlineStr">
        <is>
          <t>Intermedio</t>
        </is>
      </c>
      <c r="E2" s="4" t="n">
        <v>12</v>
      </c>
      <c r="F2" t="inlineStr">
        <is>
          <t>rebanada</t>
        </is>
      </c>
      <c r="G2" s="4" t="n">
        <v>75</v>
      </c>
      <c r="H2" s="4" t="n">
        <v>4.5</v>
      </c>
      <c r="I2" s="4" t="n">
        <v>14</v>
      </c>
      <c r="J2" s="5">
        <f>SUMIF(Ingredientes!$A$2:$A$621,A2,Ingredientes!$G$2:$G$621)</f>
        <v/>
      </c>
      <c r="K2" s="5">
        <f>J2/E2</f>
        <v/>
      </c>
      <c r="L2" s="5">
        <f>G2/E2*'Mi negocio'!$B$8</f>
        <v/>
      </c>
      <c r="M2" s="5">
        <f>I2/E2</f>
        <v/>
      </c>
      <c r="N2" s="5">
        <f>'Mi negocio'!$B$7</f>
        <v/>
      </c>
      <c r="O2" s="5">
        <f>K2+H2+M2+L2+N2</f>
        <v/>
      </c>
      <c r="P2" s="5">
        <f>O2/(1-'Mi negocio'!$B$5)</f>
        <v/>
      </c>
      <c r="Q2" s="5">
        <f>(O2-N2)/(1-'Mi negocio'!$B$5)</f>
        <v/>
      </c>
      <c r="R2" s="5">
        <f>CEILING(ROUND(P2/(1-'Mi negocio'!$B$11),6),1)</f>
        <v/>
      </c>
      <c r="S2" s="5">
        <f>CEILING(ROUND(P2/(1-'Mi negocio'!$B$12),6),1)</f>
        <v/>
      </c>
      <c r="T2" s="5">
        <f>CEILING(ROUND(P2/(1-'Mi negocio'!$B$13),6),1)</f>
        <v/>
      </c>
      <c r="U2" s="5">
        <f>CEILING(ROUND(P2/(1-'Mi negocio'!$B$14),6),1)</f>
        <v/>
      </c>
      <c r="V2" s="5">
        <f>R2-P2</f>
        <v/>
      </c>
    </row>
    <row r="3">
      <c r="A3" t="n">
        <v>2</v>
      </c>
      <c r="B3" t="inlineStr">
        <is>
          <t>Tarta Selva Negra con Bizcocho de Cacao Alcalino y Mousse de Kirsch</t>
        </is>
      </c>
      <c r="C3" t="inlineStr">
        <is>
          <t>B1</t>
        </is>
      </c>
      <c r="D3" t="inlineStr">
        <is>
          <t>Avanzado</t>
        </is>
      </c>
      <c r="E3" s="4" t="n">
        <v>14</v>
      </c>
      <c r="F3" t="inlineStr">
        <is>
          <t>rebanada</t>
        </is>
      </c>
      <c r="G3" s="4" t="n">
        <v>95</v>
      </c>
      <c r="H3" s="4" t="n">
        <v>4.5</v>
      </c>
      <c r="I3" s="4" t="n">
        <v>13</v>
      </c>
      <c r="J3" s="5">
        <f>SUMIF(Ingredientes!$A$2:$A$621,A3,Ingredientes!$G$2:$G$621)</f>
        <v/>
      </c>
      <c r="K3" s="5">
        <f>J3/E3</f>
        <v/>
      </c>
      <c r="L3" s="5">
        <f>G3/E3*'Mi negocio'!$B$8</f>
        <v/>
      </c>
      <c r="M3" s="5">
        <f>I3/E3</f>
        <v/>
      </c>
      <c r="N3" s="5">
        <f>'Mi negocio'!$B$7</f>
        <v/>
      </c>
      <c r="O3" s="5">
        <f>K3+H3+M3+L3+N3</f>
        <v/>
      </c>
      <c r="P3" s="5">
        <f>O3/(1-'Mi negocio'!$B$5)</f>
        <v/>
      </c>
      <c r="Q3" s="5">
        <f>(O3-N3)/(1-'Mi negocio'!$B$5)</f>
        <v/>
      </c>
      <c r="R3" s="5">
        <f>CEILING(ROUND(P3/(1-'Mi negocio'!$B$11),6),1)</f>
        <v/>
      </c>
      <c r="S3" s="5">
        <f>CEILING(ROUND(P3/(1-'Mi negocio'!$B$12),6),1)</f>
        <v/>
      </c>
      <c r="T3" s="5">
        <f>CEILING(ROUND(P3/(1-'Mi negocio'!$B$13),6),1)</f>
        <v/>
      </c>
      <c r="U3" s="5">
        <f>CEILING(ROUND(P3/(1-'Mi negocio'!$B$14),6),1)</f>
        <v/>
      </c>
      <c r="V3" s="5">
        <f>R3-P3</f>
        <v/>
      </c>
    </row>
    <row r="4">
      <c r="A4" t="n">
        <v>3</v>
      </c>
      <c r="B4" t="inlineStr">
        <is>
          <t>Tarta Húmeda de Zanahoria con Nueces Pecanas y Especias de Ceilán</t>
        </is>
      </c>
      <c r="C4" t="inlineStr">
        <is>
          <t>B1</t>
        </is>
      </c>
      <c r="D4" t="inlineStr">
        <is>
          <t>Intermedio</t>
        </is>
      </c>
      <c r="E4" s="4" t="n">
        <v>14</v>
      </c>
      <c r="F4" t="inlineStr">
        <is>
          <t>rebanada</t>
        </is>
      </c>
      <c r="G4" s="4" t="n">
        <v>70</v>
      </c>
      <c r="H4" s="4" t="n">
        <v>4.5</v>
      </c>
      <c r="I4" s="4" t="n">
        <v>14</v>
      </c>
      <c r="J4" s="5">
        <f>SUMIF(Ingredientes!$A$2:$A$621,A4,Ingredientes!$G$2:$G$621)</f>
        <v/>
      </c>
      <c r="K4" s="5">
        <f>J4/E4</f>
        <v/>
      </c>
      <c r="L4" s="5">
        <f>G4/E4*'Mi negocio'!$B$8</f>
        <v/>
      </c>
      <c r="M4" s="5">
        <f>I4/E4</f>
        <v/>
      </c>
      <c r="N4" s="5">
        <f>'Mi negocio'!$B$7</f>
        <v/>
      </c>
      <c r="O4" s="5">
        <f>K4+H4+M4+L4+N4</f>
        <v/>
      </c>
      <c r="P4" s="5">
        <f>O4/(1-'Mi negocio'!$B$5)</f>
        <v/>
      </c>
      <c r="Q4" s="5">
        <f>(O4-N4)/(1-'Mi negocio'!$B$5)</f>
        <v/>
      </c>
      <c r="R4" s="5">
        <f>CEILING(ROUND(P4/(1-'Mi negocio'!$B$11),6),1)</f>
        <v/>
      </c>
      <c r="S4" s="5">
        <f>CEILING(ROUND(P4/(1-'Mi negocio'!$B$12),6),1)</f>
        <v/>
      </c>
      <c r="T4" s="5">
        <f>CEILING(ROUND(P4/(1-'Mi negocio'!$B$13),6),1)</f>
        <v/>
      </c>
      <c r="U4" s="5">
        <f>CEILING(ROUND(P4/(1-'Mi negocio'!$B$14),6),1)</f>
        <v/>
      </c>
      <c r="V4" s="5">
        <f>R4-P4</f>
        <v/>
      </c>
    </row>
    <row r="5">
      <c r="A5" t="n">
        <v>4</v>
      </c>
      <c r="B5" t="inlineStr">
        <is>
          <t>Tarta de Chocolate Trufado y Avellanas Piamonte</t>
        </is>
      </c>
      <c r="C5" t="inlineStr">
        <is>
          <t>B5</t>
        </is>
      </c>
      <c r="D5" t="inlineStr">
        <is>
          <t>Intermedio</t>
        </is>
      </c>
      <c r="E5" s="4" t="n">
        <v>12</v>
      </c>
      <c r="F5" t="inlineStr">
        <is>
          <t>rebanada</t>
        </is>
      </c>
      <c r="G5" s="4" t="n">
        <v>60</v>
      </c>
      <c r="H5" s="4" t="n">
        <v>4.5</v>
      </c>
      <c r="I5" s="4" t="n">
        <v>12</v>
      </c>
      <c r="J5" s="5">
        <f>SUMIF(Ingredientes!$A$2:$A$621,A5,Ingredientes!$G$2:$G$621)</f>
        <v/>
      </c>
      <c r="K5" s="5">
        <f>J5/E5</f>
        <v/>
      </c>
      <c r="L5" s="5">
        <f>G5/E5*'Mi negocio'!$B$8</f>
        <v/>
      </c>
      <c r="M5" s="5">
        <f>I5/E5</f>
        <v/>
      </c>
      <c r="N5" s="5">
        <f>'Mi negocio'!$B$7</f>
        <v/>
      </c>
      <c r="O5" s="5">
        <f>K5+H5+M5+L5+N5</f>
        <v/>
      </c>
      <c r="P5" s="5">
        <f>O5/(1-'Mi negocio'!$B$5)</f>
        <v/>
      </c>
      <c r="Q5" s="5">
        <f>(O5-N5)/(1-'Mi negocio'!$B$5)</f>
        <v/>
      </c>
      <c r="R5" s="5">
        <f>CEILING(ROUND(P5/(1-'Mi negocio'!$B$11),6),1)</f>
        <v/>
      </c>
      <c r="S5" s="5">
        <f>CEILING(ROUND(P5/(1-'Mi negocio'!$B$12),6),1)</f>
        <v/>
      </c>
      <c r="T5" s="5">
        <f>CEILING(ROUND(P5/(1-'Mi negocio'!$B$13),6),1)</f>
        <v/>
      </c>
      <c r="U5" s="5">
        <f>CEILING(ROUND(P5/(1-'Mi negocio'!$B$14),6),1)</f>
        <v/>
      </c>
      <c r="V5" s="5">
        <f>R5-P5</f>
        <v/>
      </c>
    </row>
    <row r="6">
      <c r="A6" t="n">
        <v>5</v>
      </c>
      <c r="B6" t="inlineStr">
        <is>
          <t>Pastel Ópera Francés con Bizcocho Joconde de Café y Crema de Mantequilla</t>
        </is>
      </c>
      <c r="C6" t="inlineStr">
        <is>
          <t>B1</t>
        </is>
      </c>
      <c r="D6" t="inlineStr">
        <is>
          <t>Avanzado</t>
        </is>
      </c>
      <c r="E6" s="4" t="n">
        <v>10</v>
      </c>
      <c r="F6" t="inlineStr">
        <is>
          <t>porción</t>
        </is>
      </c>
      <c r="G6" s="4" t="n">
        <v>120</v>
      </c>
      <c r="H6" s="4" t="n">
        <v>4.5</v>
      </c>
      <c r="I6" s="4" t="n">
        <v>12</v>
      </c>
      <c r="J6" s="5">
        <f>SUMIF(Ingredientes!$A$2:$A$621,A6,Ingredientes!$G$2:$G$621)</f>
        <v/>
      </c>
      <c r="K6" s="5">
        <f>J6/E6</f>
        <v/>
      </c>
      <c r="L6" s="5">
        <f>G6/E6*'Mi negocio'!$B$8</f>
        <v/>
      </c>
      <c r="M6" s="5">
        <f>I6/E6</f>
        <v/>
      </c>
      <c r="N6" s="5">
        <f>'Mi negocio'!$B$7</f>
        <v/>
      </c>
      <c r="O6" s="5">
        <f>K6+H6+M6+L6+N6</f>
        <v/>
      </c>
      <c r="P6" s="5">
        <f>O6/(1-'Mi negocio'!$B$5)</f>
        <v/>
      </c>
      <c r="Q6" s="5">
        <f>(O6-N6)/(1-'Mi negocio'!$B$5)</f>
        <v/>
      </c>
      <c r="R6" s="5">
        <f>CEILING(ROUND(P6/(1-'Mi negocio'!$B$11),6),1)</f>
        <v/>
      </c>
      <c r="S6" s="5">
        <f>CEILING(ROUND(P6/(1-'Mi negocio'!$B$12),6),1)</f>
        <v/>
      </c>
      <c r="T6" s="5">
        <f>CEILING(ROUND(P6/(1-'Mi negocio'!$B$13),6),1)</f>
        <v/>
      </c>
      <c r="U6" s="5">
        <f>CEILING(ROUND(P6/(1-'Mi negocio'!$B$14),6),1)</f>
        <v/>
      </c>
      <c r="V6" s="5">
        <f>R6-P6</f>
        <v/>
      </c>
    </row>
    <row r="7">
      <c r="A7" t="n">
        <v>6</v>
      </c>
      <c r="B7" t="inlineStr">
        <is>
          <t>Pastel Tres Leches Tradicional con Merengue Suizo a la Alulosa</t>
        </is>
      </c>
      <c r="C7" t="inlineStr">
        <is>
          <t>B1</t>
        </is>
      </c>
      <c r="D7" t="inlineStr">
        <is>
          <t>Intermedio</t>
        </is>
      </c>
      <c r="E7" s="4" t="n">
        <v>12</v>
      </c>
      <c r="F7" t="inlineStr">
        <is>
          <t>rebanada</t>
        </is>
      </c>
      <c r="G7" s="4" t="n">
        <v>80</v>
      </c>
      <c r="H7" s="4" t="n">
        <v>4.5</v>
      </c>
      <c r="I7" s="4" t="n">
        <v>13</v>
      </c>
      <c r="J7" s="5">
        <f>SUMIF(Ingredientes!$A$2:$A$621,A7,Ingredientes!$G$2:$G$621)</f>
        <v/>
      </c>
      <c r="K7" s="5">
        <f>J7/E7</f>
        <v/>
      </c>
      <c r="L7" s="5">
        <f>G7/E7*'Mi negocio'!$B$8</f>
        <v/>
      </c>
      <c r="M7" s="5">
        <f>I7/E7</f>
        <v/>
      </c>
      <c r="N7" s="5">
        <f>'Mi negocio'!$B$7</f>
        <v/>
      </c>
      <c r="O7" s="5">
        <f>K7+H7+M7+L7+N7</f>
        <v/>
      </c>
      <c r="P7" s="5">
        <f>O7/(1-'Mi negocio'!$B$5)</f>
        <v/>
      </c>
      <c r="Q7" s="5">
        <f>(O7-N7)/(1-'Mi negocio'!$B$5)</f>
        <v/>
      </c>
      <c r="R7" s="5">
        <f>CEILING(ROUND(P7/(1-'Mi negocio'!$B$11),6),1)</f>
        <v/>
      </c>
      <c r="S7" s="5">
        <f>CEILING(ROUND(P7/(1-'Mi negocio'!$B$12),6),1)</f>
        <v/>
      </c>
      <c r="T7" s="5">
        <f>CEILING(ROUND(P7/(1-'Mi negocio'!$B$13),6),1)</f>
        <v/>
      </c>
      <c r="U7" s="5">
        <f>CEILING(ROUND(P7/(1-'Mi negocio'!$B$14),6),1)</f>
        <v/>
      </c>
      <c r="V7" s="5">
        <f>R7-P7</f>
        <v/>
      </c>
    </row>
    <row r="8">
      <c r="A8" t="n">
        <v>7</v>
      </c>
      <c r="B8" t="inlineStr">
        <is>
          <t>Tarta Tiramisú con Savoiardi Caseros sin Gluten y Crema de Mascarpone</t>
        </is>
      </c>
      <c r="C8" t="inlineStr">
        <is>
          <t>B3</t>
        </is>
      </c>
      <c r="D8" t="inlineStr">
        <is>
          <t>Intermedio</t>
        </is>
      </c>
      <c r="E8" s="4" t="n">
        <v>12</v>
      </c>
      <c r="F8" t="inlineStr">
        <is>
          <t>porción</t>
        </is>
      </c>
      <c r="G8" s="4" t="n">
        <v>70</v>
      </c>
      <c r="H8" s="4" t="n">
        <v>4.5</v>
      </c>
      <c r="I8" s="4" t="n">
        <v>8</v>
      </c>
      <c r="J8" s="5">
        <f>SUMIF(Ingredientes!$A$2:$A$621,A8,Ingredientes!$G$2:$G$621)</f>
        <v/>
      </c>
      <c r="K8" s="5">
        <f>J8/E8</f>
        <v/>
      </c>
      <c r="L8" s="5">
        <f>G8/E8*'Mi negocio'!$B$8</f>
        <v/>
      </c>
      <c r="M8" s="5">
        <f>I8/E8</f>
        <v/>
      </c>
      <c r="N8" s="5">
        <f>'Mi negocio'!$B$7</f>
        <v/>
      </c>
      <c r="O8" s="5">
        <f>K8+H8+M8+L8+N8</f>
        <v/>
      </c>
      <c r="P8" s="5">
        <f>O8/(1-'Mi negocio'!$B$5)</f>
        <v/>
      </c>
      <c r="Q8" s="5">
        <f>(O8-N8)/(1-'Mi negocio'!$B$5)</f>
        <v/>
      </c>
      <c r="R8" s="5">
        <f>CEILING(ROUND(P8/(1-'Mi negocio'!$B$11),6),1)</f>
        <v/>
      </c>
      <c r="S8" s="5">
        <f>CEILING(ROUND(P8/(1-'Mi negocio'!$B$12),6),1)</f>
        <v/>
      </c>
      <c r="T8" s="5">
        <f>CEILING(ROUND(P8/(1-'Mi negocio'!$B$13),6),1)</f>
        <v/>
      </c>
      <c r="U8" s="5">
        <f>CEILING(ROUND(P8/(1-'Mi negocio'!$B$14),6),1)</f>
        <v/>
      </c>
      <c r="V8" s="5">
        <f>R8-P8</f>
        <v/>
      </c>
    </row>
    <row r="9">
      <c r="A9" t="n">
        <v>8</v>
      </c>
      <c r="B9" t="inlineStr">
        <is>
          <t>Pastel Alemán de Chocolate con Cobertura de Coco, Nueces Pecanas y Caramelo de Alulosa</t>
        </is>
      </c>
      <c r="C9" t="inlineStr">
        <is>
          <t>B1</t>
        </is>
      </c>
      <c r="D9" t="inlineStr">
        <is>
          <t>Intermedio</t>
        </is>
      </c>
      <c r="E9" s="4" t="n">
        <v>14</v>
      </c>
      <c r="F9" t="inlineStr">
        <is>
          <t>rebanada</t>
        </is>
      </c>
      <c r="G9" s="4" t="n">
        <v>80</v>
      </c>
      <c r="H9" s="4" t="n">
        <v>4.5</v>
      </c>
      <c r="I9" s="4" t="n">
        <v>14</v>
      </c>
      <c r="J9" s="5">
        <f>SUMIF(Ingredientes!$A$2:$A$621,A9,Ingredientes!$G$2:$G$621)</f>
        <v/>
      </c>
      <c r="K9" s="5">
        <f>J9/E9</f>
        <v/>
      </c>
      <c r="L9" s="5">
        <f>G9/E9*'Mi negocio'!$B$8</f>
        <v/>
      </c>
      <c r="M9" s="5">
        <f>I9/E9</f>
        <v/>
      </c>
      <c r="N9" s="5">
        <f>'Mi negocio'!$B$7</f>
        <v/>
      </c>
      <c r="O9" s="5">
        <f>K9+H9+M9+L9+N9</f>
        <v/>
      </c>
      <c r="P9" s="5">
        <f>O9/(1-'Mi negocio'!$B$5)</f>
        <v/>
      </c>
      <c r="Q9" s="5">
        <f>(O9-N9)/(1-'Mi negocio'!$B$5)</f>
        <v/>
      </c>
      <c r="R9" s="5">
        <f>CEILING(ROUND(P9/(1-'Mi negocio'!$B$11),6),1)</f>
        <v/>
      </c>
      <c r="S9" s="5">
        <f>CEILING(ROUND(P9/(1-'Mi negocio'!$B$12),6),1)</f>
        <v/>
      </c>
      <c r="T9" s="5">
        <f>CEILING(ROUND(P9/(1-'Mi negocio'!$B$13),6),1)</f>
        <v/>
      </c>
      <c r="U9" s="5">
        <f>CEILING(ROUND(P9/(1-'Mi negocio'!$B$14),6),1)</f>
        <v/>
      </c>
      <c r="V9" s="5">
        <f>R9-P9</f>
        <v/>
      </c>
    </row>
    <row r="10">
      <c r="A10" t="n">
        <v>9</v>
      </c>
      <c r="B10" t="inlineStr">
        <is>
          <t>Victoria Sponge Cake Clásico con Crema Chantilly y Confitura de Frambuesa</t>
        </is>
      </c>
      <c r="C10" t="inlineStr">
        <is>
          <t>B1</t>
        </is>
      </c>
      <c r="D10" t="inlineStr">
        <is>
          <t>Fácil</t>
        </is>
      </c>
      <c r="E10" s="4" t="n">
        <v>10</v>
      </c>
      <c r="F10" t="inlineStr">
        <is>
          <t>rebanada</t>
        </is>
      </c>
      <c r="G10" s="4" t="n">
        <v>50</v>
      </c>
      <c r="H10" s="4" t="n">
        <v>4.5</v>
      </c>
      <c r="I10" s="4" t="n">
        <v>10</v>
      </c>
      <c r="J10" s="5">
        <f>SUMIF(Ingredientes!$A$2:$A$621,A10,Ingredientes!$G$2:$G$621)</f>
        <v/>
      </c>
      <c r="K10" s="5">
        <f>J10/E10</f>
        <v/>
      </c>
      <c r="L10" s="5">
        <f>G10/E10*'Mi negocio'!$B$8</f>
        <v/>
      </c>
      <c r="M10" s="5">
        <f>I10/E10</f>
        <v/>
      </c>
      <c r="N10" s="5">
        <f>'Mi negocio'!$B$7</f>
        <v/>
      </c>
      <c r="O10" s="5">
        <f>K10+H10+M10+L10+N10</f>
        <v/>
      </c>
      <c r="P10" s="5">
        <f>O10/(1-'Mi negocio'!$B$5)</f>
        <v/>
      </c>
      <c r="Q10" s="5">
        <f>(O10-N10)/(1-'Mi negocio'!$B$5)</f>
        <v/>
      </c>
      <c r="R10" s="5">
        <f>CEILING(ROUND(P10/(1-'Mi negocio'!$B$11),6),1)</f>
        <v/>
      </c>
      <c r="S10" s="5">
        <f>CEILING(ROUND(P10/(1-'Mi negocio'!$B$12),6),1)</f>
        <v/>
      </c>
      <c r="T10" s="5">
        <f>CEILING(ROUND(P10/(1-'Mi negocio'!$B$13),6),1)</f>
        <v/>
      </c>
      <c r="U10" s="5">
        <f>CEILING(ROUND(P10/(1-'Mi negocio'!$B$14),6),1)</f>
        <v/>
      </c>
      <c r="V10" s="5">
        <f>R10-P10</f>
        <v/>
      </c>
    </row>
    <row r="11">
      <c r="A11" t="n">
        <v>10</v>
      </c>
      <c r="B11" t="inlineStr">
        <is>
          <t>Tarta de Limón Merengada con Curd Cítrico y Masa Sablée de Almendra</t>
        </is>
      </c>
      <c r="C11" t="inlineStr">
        <is>
          <t>B2</t>
        </is>
      </c>
      <c r="D11" t="inlineStr">
        <is>
          <t>Avanzado</t>
        </is>
      </c>
      <c r="E11" s="4" t="n">
        <v>10</v>
      </c>
      <c r="F11" t="inlineStr">
        <is>
          <t>rebanada</t>
        </is>
      </c>
      <c r="G11" s="4" t="n">
        <v>85</v>
      </c>
      <c r="H11" s="4" t="n">
        <v>4.5</v>
      </c>
      <c r="I11" s="4" t="n">
        <v>12</v>
      </c>
      <c r="J11" s="5">
        <f>SUMIF(Ingredientes!$A$2:$A$621,A11,Ingredientes!$G$2:$G$621)</f>
        <v/>
      </c>
      <c r="K11" s="5">
        <f>J11/E11</f>
        <v/>
      </c>
      <c r="L11" s="5">
        <f>G11/E11*'Mi negocio'!$B$8</f>
        <v/>
      </c>
      <c r="M11" s="5">
        <f>I11/E11</f>
        <v/>
      </c>
      <c r="N11" s="5">
        <f>'Mi negocio'!$B$7</f>
        <v/>
      </c>
      <c r="O11" s="5">
        <f>K11+H11+M11+L11+N11</f>
        <v/>
      </c>
      <c r="P11" s="5">
        <f>O11/(1-'Mi negocio'!$B$5)</f>
        <v/>
      </c>
      <c r="Q11" s="5">
        <f>(O11-N11)/(1-'Mi negocio'!$B$5)</f>
        <v/>
      </c>
      <c r="R11" s="5">
        <f>CEILING(ROUND(P11/(1-'Mi negocio'!$B$11),6),1)</f>
        <v/>
      </c>
      <c r="S11" s="5">
        <f>CEILING(ROUND(P11/(1-'Mi negocio'!$B$12),6),1)</f>
        <v/>
      </c>
      <c r="T11" s="5">
        <f>CEILING(ROUND(P11/(1-'Mi negocio'!$B$13),6),1)</f>
        <v/>
      </c>
      <c r="U11" s="5">
        <f>CEILING(ROUND(P11/(1-'Mi negocio'!$B$14),6),1)</f>
        <v/>
      </c>
      <c r="V11" s="5">
        <f>R11-P11</f>
        <v/>
      </c>
    </row>
    <row r="12">
      <c r="A12" t="n">
        <v>11</v>
      </c>
      <c r="B12" t="inlineStr">
        <is>
          <t>New York Cheesecake Clásico Horneado con Base Sablée de Almendra</t>
        </is>
      </c>
      <c r="C12" t="inlineStr">
        <is>
          <t>B4</t>
        </is>
      </c>
      <c r="D12" t="inlineStr">
        <is>
          <t>Intermedio</t>
        </is>
      </c>
      <c r="E12" s="4" t="n">
        <v>12</v>
      </c>
      <c r="F12" t="inlineStr">
        <is>
          <t>rebanada</t>
        </is>
      </c>
      <c r="G12" s="4" t="n">
        <v>60</v>
      </c>
      <c r="H12" s="4" t="n">
        <v>4.5</v>
      </c>
      <c r="I12" s="4" t="n">
        <v>22</v>
      </c>
      <c r="J12" s="5">
        <f>SUMIF(Ingredientes!$A$2:$A$621,A12,Ingredientes!$G$2:$G$621)</f>
        <v/>
      </c>
      <c r="K12" s="5">
        <f>J12/E12</f>
        <v/>
      </c>
      <c r="L12" s="5">
        <f>G12/E12*'Mi negocio'!$B$8</f>
        <v/>
      </c>
      <c r="M12" s="5">
        <f>I12/E12</f>
        <v/>
      </c>
      <c r="N12" s="5">
        <f>'Mi negocio'!$B$7</f>
        <v/>
      </c>
      <c r="O12" s="5">
        <f>K12+H12+M12+L12+N12</f>
        <v/>
      </c>
      <c r="P12" s="5">
        <f>O12/(1-'Mi negocio'!$B$5)</f>
        <v/>
      </c>
      <c r="Q12" s="5">
        <f>(O12-N12)/(1-'Mi negocio'!$B$5)</f>
        <v/>
      </c>
      <c r="R12" s="5">
        <f>CEILING(ROUND(P12/(1-'Mi negocio'!$B$11),6),1)</f>
        <v/>
      </c>
      <c r="S12" s="5">
        <f>CEILING(ROUND(P12/(1-'Mi negocio'!$B$12),6),1)</f>
        <v/>
      </c>
      <c r="T12" s="5">
        <f>CEILING(ROUND(P12/(1-'Mi negocio'!$B$13),6),1)</f>
        <v/>
      </c>
      <c r="U12" s="5">
        <f>CEILING(ROUND(P12/(1-'Mi negocio'!$B$14),6),1)</f>
        <v/>
      </c>
      <c r="V12" s="5">
        <f>R12-P12</f>
        <v/>
      </c>
    </row>
    <row r="13">
      <c r="A13" t="n">
        <v>12</v>
      </c>
      <c r="B13" t="inlineStr">
        <is>
          <t>Mousse de Chocolate Amargo 70% Sedosa al Aceite de Oliva</t>
        </is>
      </c>
      <c r="C13" t="inlineStr">
        <is>
          <t>B5</t>
        </is>
      </c>
      <c r="D13" t="inlineStr">
        <is>
          <t>Fácil</t>
        </is>
      </c>
      <c r="E13" s="4" t="n">
        <v>10</v>
      </c>
      <c r="F13" t="inlineStr">
        <is>
          <t>vaso</t>
        </is>
      </c>
      <c r="G13" s="4" t="n">
        <v>35</v>
      </c>
      <c r="H13" s="4" t="n">
        <v>6</v>
      </c>
      <c r="I13" s="4" t="n">
        <v>3</v>
      </c>
      <c r="J13" s="5">
        <f>SUMIF(Ingredientes!$A$2:$A$621,A13,Ingredientes!$G$2:$G$621)</f>
        <v/>
      </c>
      <c r="K13" s="5">
        <f>J13/E13</f>
        <v/>
      </c>
      <c r="L13" s="5">
        <f>G13/E13*'Mi negocio'!$B$8</f>
        <v/>
      </c>
      <c r="M13" s="5">
        <f>I13/E13</f>
        <v/>
      </c>
      <c r="N13" s="5">
        <f>'Mi negocio'!$B$7</f>
        <v/>
      </c>
      <c r="O13" s="5">
        <f>K13+H13+M13+L13+N13</f>
        <v/>
      </c>
      <c r="P13" s="5">
        <f>O13/(1-'Mi negocio'!$B$5)</f>
        <v/>
      </c>
      <c r="Q13" s="5">
        <f>(O13-N13)/(1-'Mi negocio'!$B$5)</f>
        <v/>
      </c>
      <c r="R13" s="5">
        <f>CEILING(ROUND(P13/(1-'Mi negocio'!$B$11),6),1)</f>
        <v/>
      </c>
      <c r="S13" s="5">
        <f>CEILING(ROUND(P13/(1-'Mi negocio'!$B$12),6),1)</f>
        <v/>
      </c>
      <c r="T13" s="5">
        <f>CEILING(ROUND(P13/(1-'Mi negocio'!$B$13),6),1)</f>
        <v/>
      </c>
      <c r="U13" s="5">
        <f>CEILING(ROUND(P13/(1-'Mi negocio'!$B$14),6),1)</f>
        <v/>
      </c>
      <c r="V13" s="5">
        <f>R13-P13</f>
        <v/>
      </c>
    </row>
    <row r="14">
      <c r="A14" t="n">
        <v>13</v>
      </c>
      <c r="B14" t="inlineStr">
        <is>
          <t>Panna Cotta de Vainilla Bourbon con Coulis de Frutos Rojos Frescos</t>
        </is>
      </c>
      <c r="C14" t="inlineStr">
        <is>
          <t>B3</t>
        </is>
      </c>
      <c r="D14" t="inlineStr">
        <is>
          <t>Fácil</t>
        </is>
      </c>
      <c r="E14" s="4" t="n">
        <v>8</v>
      </c>
      <c r="F14" t="inlineStr">
        <is>
          <t>vaso</t>
        </is>
      </c>
      <c r="G14" s="4" t="n">
        <v>30</v>
      </c>
      <c r="H14" s="4" t="n">
        <v>6</v>
      </c>
      <c r="I14" s="4" t="n">
        <v>3</v>
      </c>
      <c r="J14" s="5">
        <f>SUMIF(Ingredientes!$A$2:$A$621,A14,Ingredientes!$G$2:$G$621)</f>
        <v/>
      </c>
      <c r="K14" s="5">
        <f>J14/E14</f>
        <v/>
      </c>
      <c r="L14" s="5">
        <f>G14/E14*'Mi negocio'!$B$8</f>
        <v/>
      </c>
      <c r="M14" s="5">
        <f>I14/E14</f>
        <v/>
      </c>
      <c r="N14" s="5">
        <f>'Mi negocio'!$B$7</f>
        <v/>
      </c>
      <c r="O14" s="5">
        <f>K14+H14+M14+L14+N14</f>
        <v/>
      </c>
      <c r="P14" s="5">
        <f>O14/(1-'Mi negocio'!$B$5)</f>
        <v/>
      </c>
      <c r="Q14" s="5">
        <f>(O14-N14)/(1-'Mi negocio'!$B$5)</f>
        <v/>
      </c>
      <c r="R14" s="5">
        <f>CEILING(ROUND(P14/(1-'Mi negocio'!$B$11),6),1)</f>
        <v/>
      </c>
      <c r="S14" s="5">
        <f>CEILING(ROUND(P14/(1-'Mi negocio'!$B$12),6),1)</f>
        <v/>
      </c>
      <c r="T14" s="5">
        <f>CEILING(ROUND(P14/(1-'Mi negocio'!$B$13),6),1)</f>
        <v/>
      </c>
      <c r="U14" s="5">
        <f>CEILING(ROUND(P14/(1-'Mi negocio'!$B$14),6),1)</f>
        <v/>
      </c>
      <c r="V14" s="5">
        <f>R14-P14</f>
        <v/>
      </c>
    </row>
    <row r="15">
      <c r="A15" t="n">
        <v>14</v>
      </c>
      <c r="B15" t="inlineStr">
        <is>
          <t>Crème Brûlée Clásica de Vainilla Francesa con Costra Quebradiza de Eritritol</t>
        </is>
      </c>
      <c r="C15" t="inlineStr">
        <is>
          <t>B3</t>
        </is>
      </c>
      <c r="D15" t="inlineStr">
        <is>
          <t>Intermedio</t>
        </is>
      </c>
      <c r="E15" s="4" t="n">
        <v>6</v>
      </c>
      <c r="F15" t="inlineStr">
        <is>
          <t>ramekín</t>
        </is>
      </c>
      <c r="G15" s="4" t="n">
        <v>40</v>
      </c>
      <c r="H15" s="4" t="n">
        <v>8</v>
      </c>
      <c r="I15" s="4" t="n">
        <v>9</v>
      </c>
      <c r="J15" s="5">
        <f>SUMIF(Ingredientes!$A$2:$A$621,A15,Ingredientes!$G$2:$G$621)</f>
        <v/>
      </c>
      <c r="K15" s="5">
        <f>J15/E15</f>
        <v/>
      </c>
      <c r="L15" s="5">
        <f>G15/E15*'Mi negocio'!$B$8</f>
        <v/>
      </c>
      <c r="M15" s="5">
        <f>I15/E15</f>
        <v/>
      </c>
      <c r="N15" s="5">
        <f>'Mi negocio'!$B$7</f>
        <v/>
      </c>
      <c r="O15" s="5">
        <f>K15+H15+M15+L15+N15</f>
        <v/>
      </c>
      <c r="P15" s="5">
        <f>O15/(1-'Mi negocio'!$B$5)</f>
        <v/>
      </c>
      <c r="Q15" s="5">
        <f>(O15-N15)/(1-'Mi negocio'!$B$5)</f>
        <v/>
      </c>
      <c r="R15" s="5">
        <f>CEILING(ROUND(P15/(1-'Mi negocio'!$B$11),6),1)</f>
        <v/>
      </c>
      <c r="S15" s="5">
        <f>CEILING(ROUND(P15/(1-'Mi negocio'!$B$12),6),1)</f>
        <v/>
      </c>
      <c r="T15" s="5">
        <f>CEILING(ROUND(P15/(1-'Mi negocio'!$B$13),6),1)</f>
        <v/>
      </c>
      <c r="U15" s="5">
        <f>CEILING(ROUND(P15/(1-'Mi negocio'!$B$14),6),1)</f>
        <v/>
      </c>
      <c r="V15" s="5">
        <f>R15-P15</f>
        <v/>
      </c>
    </row>
    <row r="16">
      <c r="A16" t="n">
        <v>15</v>
      </c>
      <c r="B16" t="inlineStr">
        <is>
          <t>Tarta de Queso Vasca Quemada con Centro Cremoso</t>
        </is>
      </c>
      <c r="C16" t="inlineStr">
        <is>
          <t>B4</t>
        </is>
      </c>
      <c r="D16" t="inlineStr">
        <is>
          <t>Fácil</t>
        </is>
      </c>
      <c r="E16" s="4" t="n">
        <v>10</v>
      </c>
      <c r="F16" t="inlineStr">
        <is>
          <t>rebanada</t>
        </is>
      </c>
      <c r="G16" s="4" t="n">
        <v>30</v>
      </c>
      <c r="H16" s="4" t="n">
        <v>4.5</v>
      </c>
      <c r="I16" s="4" t="n">
        <v>10</v>
      </c>
      <c r="J16" s="5">
        <f>SUMIF(Ingredientes!$A$2:$A$621,A16,Ingredientes!$G$2:$G$621)</f>
        <v/>
      </c>
      <c r="K16" s="5">
        <f>J16/E16</f>
        <v/>
      </c>
      <c r="L16" s="5">
        <f>G16/E16*'Mi negocio'!$B$8</f>
        <v/>
      </c>
      <c r="M16" s="5">
        <f>I16/E16</f>
        <v/>
      </c>
      <c r="N16" s="5">
        <f>'Mi negocio'!$B$7</f>
        <v/>
      </c>
      <c r="O16" s="5">
        <f>K16+H16+M16+L16+N16</f>
        <v/>
      </c>
      <c r="P16" s="5">
        <f>O16/(1-'Mi negocio'!$B$5)</f>
        <v/>
      </c>
      <c r="Q16" s="5">
        <f>(O16-N16)/(1-'Mi negocio'!$B$5)</f>
        <v/>
      </c>
      <c r="R16" s="5">
        <f>CEILING(ROUND(P16/(1-'Mi negocio'!$B$11),6),1)</f>
        <v/>
      </c>
      <c r="S16" s="5">
        <f>CEILING(ROUND(P16/(1-'Mi negocio'!$B$12),6),1)</f>
        <v/>
      </c>
      <c r="T16" s="5">
        <f>CEILING(ROUND(P16/(1-'Mi negocio'!$B$13),6),1)</f>
        <v/>
      </c>
      <c r="U16" s="5">
        <f>CEILING(ROUND(P16/(1-'Mi negocio'!$B$14),6),1)</f>
        <v/>
      </c>
      <c r="V16" s="5">
        <f>R16-P16</f>
        <v/>
      </c>
    </row>
    <row r="17">
      <c r="A17" t="n">
        <v>16</v>
      </c>
      <c r="B17" t="inlineStr">
        <is>
          <t>Cheesecake Frío de Zarzamora y Limón sin Horno</t>
        </is>
      </c>
      <c r="C17" t="inlineStr">
        <is>
          <t>B4</t>
        </is>
      </c>
      <c r="D17" t="inlineStr">
        <is>
          <t>Intermedio</t>
        </is>
      </c>
      <c r="E17" s="4" t="n">
        <v>10</v>
      </c>
      <c r="F17" t="inlineStr">
        <is>
          <t>rebanada</t>
        </is>
      </c>
      <c r="G17" s="4" t="n">
        <v>50</v>
      </c>
      <c r="H17" s="4" t="n">
        <v>4.5</v>
      </c>
      <c r="I17" s="4" t="n">
        <v>4</v>
      </c>
      <c r="J17" s="5">
        <f>SUMIF(Ingredientes!$A$2:$A$621,A17,Ingredientes!$G$2:$G$621)</f>
        <v/>
      </c>
      <c r="K17" s="5">
        <f>J17/E17</f>
        <v/>
      </c>
      <c r="L17" s="5">
        <f>G17/E17*'Mi negocio'!$B$8</f>
        <v/>
      </c>
      <c r="M17" s="5">
        <f>I17/E17</f>
        <v/>
      </c>
      <c r="N17" s="5">
        <f>'Mi negocio'!$B$7</f>
        <v/>
      </c>
      <c r="O17" s="5">
        <f>K17+H17+M17+L17+N17</f>
        <v/>
      </c>
      <c r="P17" s="5">
        <f>O17/(1-'Mi negocio'!$B$5)</f>
        <v/>
      </c>
      <c r="Q17" s="5">
        <f>(O17-N17)/(1-'Mi negocio'!$B$5)</f>
        <v/>
      </c>
      <c r="R17" s="5">
        <f>CEILING(ROUND(P17/(1-'Mi negocio'!$B$11),6),1)</f>
        <v/>
      </c>
      <c r="S17" s="5">
        <f>CEILING(ROUND(P17/(1-'Mi negocio'!$B$12),6),1)</f>
        <v/>
      </c>
      <c r="T17" s="5">
        <f>CEILING(ROUND(P17/(1-'Mi negocio'!$B$13),6),1)</f>
        <v/>
      </c>
      <c r="U17" s="5">
        <f>CEILING(ROUND(P17/(1-'Mi negocio'!$B$14),6),1)</f>
        <v/>
      </c>
      <c r="V17" s="5">
        <f>R17-P17</f>
        <v/>
      </c>
    </row>
    <row r="18">
      <c r="A18" t="n">
        <v>17</v>
      </c>
      <c r="B18" t="inlineStr">
        <is>
          <t>Flan Napolitano Tradicional Horneado con Caramelo Líquido de Alulosa</t>
        </is>
      </c>
      <c r="C18" t="inlineStr">
        <is>
          <t>B3</t>
        </is>
      </c>
      <c r="D18" t="inlineStr">
        <is>
          <t>Fácil</t>
        </is>
      </c>
      <c r="E18" s="4" t="n">
        <v>10</v>
      </c>
      <c r="F18" t="inlineStr">
        <is>
          <t>porción</t>
        </is>
      </c>
      <c r="G18" s="4" t="n">
        <v>35</v>
      </c>
      <c r="H18" s="4" t="n">
        <v>4</v>
      </c>
      <c r="I18" s="4" t="n">
        <v>10</v>
      </c>
      <c r="J18" s="5">
        <f>SUMIF(Ingredientes!$A$2:$A$621,A18,Ingredientes!$G$2:$G$621)</f>
        <v/>
      </c>
      <c r="K18" s="5">
        <f>J18/E18</f>
        <v/>
      </c>
      <c r="L18" s="5">
        <f>G18/E18*'Mi negocio'!$B$8</f>
        <v/>
      </c>
      <c r="M18" s="5">
        <f>I18/E18</f>
        <v/>
      </c>
      <c r="N18" s="5">
        <f>'Mi negocio'!$B$7</f>
        <v/>
      </c>
      <c r="O18" s="5">
        <f>K18+H18+M18+L18+N18</f>
        <v/>
      </c>
      <c r="P18" s="5">
        <f>O18/(1-'Mi negocio'!$B$5)</f>
        <v/>
      </c>
      <c r="Q18" s="5">
        <f>(O18-N18)/(1-'Mi negocio'!$B$5)</f>
        <v/>
      </c>
      <c r="R18" s="5">
        <f>CEILING(ROUND(P18/(1-'Mi negocio'!$B$11),6),1)</f>
        <v/>
      </c>
      <c r="S18" s="5">
        <f>CEILING(ROUND(P18/(1-'Mi negocio'!$B$12),6),1)</f>
        <v/>
      </c>
      <c r="T18" s="5">
        <f>CEILING(ROUND(P18/(1-'Mi negocio'!$B$13),6),1)</f>
        <v/>
      </c>
      <c r="U18" s="5">
        <f>CEILING(ROUND(P18/(1-'Mi negocio'!$B$14),6),1)</f>
        <v/>
      </c>
      <c r="V18" s="5">
        <f>R18-P18</f>
        <v/>
      </c>
    </row>
    <row r="19">
      <c r="A19" t="n">
        <v>18</v>
      </c>
      <c r="B19" t="inlineStr">
        <is>
          <t>Trifle Inglés de Frutos Rojos y Crema Pastelera Keto</t>
        </is>
      </c>
      <c r="C19" t="inlineStr">
        <is>
          <t>B3</t>
        </is>
      </c>
      <c r="D19" t="inlineStr">
        <is>
          <t>Intermedio</t>
        </is>
      </c>
      <c r="E19" s="4" t="n">
        <v>7</v>
      </c>
      <c r="F19" t="inlineStr">
        <is>
          <t>copa</t>
        </is>
      </c>
      <c r="G19" s="4" t="n">
        <v>45</v>
      </c>
      <c r="H19" s="4" t="n">
        <v>8</v>
      </c>
      <c r="I19" s="4" t="n">
        <v>3</v>
      </c>
      <c r="J19" s="5">
        <f>SUMIF(Ingredientes!$A$2:$A$621,A19,Ingredientes!$G$2:$G$621)</f>
        <v/>
      </c>
      <c r="K19" s="5">
        <f>J19/E19</f>
        <v/>
      </c>
      <c r="L19" s="5">
        <f>G19/E19*'Mi negocio'!$B$8</f>
        <v/>
      </c>
      <c r="M19" s="5">
        <f>I19/E19</f>
        <v/>
      </c>
      <c r="N19" s="5">
        <f>'Mi negocio'!$B$7</f>
        <v/>
      </c>
      <c r="O19" s="5">
        <f>K19+H19+M19+L19+N19</f>
        <v/>
      </c>
      <c r="P19" s="5">
        <f>O19/(1-'Mi negocio'!$B$5)</f>
        <v/>
      </c>
      <c r="Q19" s="5">
        <f>(O19-N19)/(1-'Mi negocio'!$B$5)</f>
        <v/>
      </c>
      <c r="R19" s="5">
        <f>CEILING(ROUND(P19/(1-'Mi negocio'!$B$11),6),1)</f>
        <v/>
      </c>
      <c r="S19" s="5">
        <f>CEILING(ROUND(P19/(1-'Mi negocio'!$B$12),6),1)</f>
        <v/>
      </c>
      <c r="T19" s="5">
        <f>CEILING(ROUND(P19/(1-'Mi negocio'!$B$13),6),1)</f>
        <v/>
      </c>
      <c r="U19" s="5">
        <f>CEILING(ROUND(P19/(1-'Mi negocio'!$B$14),6),1)</f>
        <v/>
      </c>
      <c r="V19" s="5">
        <f>R19-P19</f>
        <v/>
      </c>
    </row>
    <row r="20">
      <c r="A20" t="n">
        <v>19</v>
      </c>
      <c r="B20" t="inlineStr">
        <is>
          <t>"Arroz" con Leche Cremoso de Corazones de Cáñamo y Chía</t>
        </is>
      </c>
      <c r="C20" t="inlineStr">
        <is>
          <t>B3</t>
        </is>
      </c>
      <c r="D20" t="inlineStr">
        <is>
          <t>Fácil</t>
        </is>
      </c>
      <c r="E20" s="4" t="n">
        <v>6</v>
      </c>
      <c r="F20" t="inlineStr">
        <is>
          <t>vaso</t>
        </is>
      </c>
      <c r="G20" s="4" t="n">
        <v>25</v>
      </c>
      <c r="H20" s="4" t="n">
        <v>6</v>
      </c>
      <c r="I20" s="4" t="n">
        <v>4</v>
      </c>
      <c r="J20" s="5">
        <f>SUMIF(Ingredientes!$A$2:$A$621,A20,Ingredientes!$G$2:$G$621)</f>
        <v/>
      </c>
      <c r="K20" s="5">
        <f>J20/E20</f>
        <v/>
      </c>
      <c r="L20" s="5">
        <f>G20/E20*'Mi negocio'!$B$8</f>
        <v/>
      </c>
      <c r="M20" s="5">
        <f>I20/E20</f>
        <v/>
      </c>
      <c r="N20" s="5">
        <f>'Mi negocio'!$B$7</f>
        <v/>
      </c>
      <c r="O20" s="5">
        <f>K20+H20+M20+L20+N20</f>
        <v/>
      </c>
      <c r="P20" s="5">
        <f>O20/(1-'Mi negocio'!$B$5)</f>
        <v/>
      </c>
      <c r="Q20" s="5">
        <f>(O20-N20)/(1-'Mi negocio'!$B$5)</f>
        <v/>
      </c>
      <c r="R20" s="5">
        <f>CEILING(ROUND(P20/(1-'Mi negocio'!$B$11),6),1)</f>
        <v/>
      </c>
      <c r="S20" s="5">
        <f>CEILING(ROUND(P20/(1-'Mi negocio'!$B$12),6),1)</f>
        <v/>
      </c>
      <c r="T20" s="5">
        <f>CEILING(ROUND(P20/(1-'Mi negocio'!$B$13),6),1)</f>
        <v/>
      </c>
      <c r="U20" s="5">
        <f>CEILING(ROUND(P20/(1-'Mi negocio'!$B$14),6),1)</f>
        <v/>
      </c>
      <c r="V20" s="5">
        <f>R20-P20</f>
        <v/>
      </c>
    </row>
    <row r="21">
      <c r="A21" t="n">
        <v>20</v>
      </c>
      <c r="B21" t="inlineStr">
        <is>
          <t>Galleta Estilo New York Chocochip con Centro Fundente</t>
        </is>
      </c>
      <c r="C21" t="inlineStr">
        <is>
          <t>B2</t>
        </is>
      </c>
      <c r="D21" t="inlineStr">
        <is>
          <t>Intermedio</t>
        </is>
      </c>
      <c r="E21" s="4" t="n">
        <v>10</v>
      </c>
      <c r="F21" t="inlineStr">
        <is>
          <t>galleta</t>
        </is>
      </c>
      <c r="G21" s="4" t="n">
        <v>35</v>
      </c>
      <c r="H21" s="4" t="n">
        <v>1.8</v>
      </c>
      <c r="I21" s="4" t="n">
        <v>6</v>
      </c>
      <c r="J21" s="5">
        <f>SUMIF(Ingredientes!$A$2:$A$621,A21,Ingredientes!$G$2:$G$621)</f>
        <v/>
      </c>
      <c r="K21" s="5">
        <f>J21/E21</f>
        <v/>
      </c>
      <c r="L21" s="5">
        <f>G21/E21*'Mi negocio'!$B$8</f>
        <v/>
      </c>
      <c r="M21" s="5">
        <f>I21/E21</f>
        <v/>
      </c>
      <c r="N21" s="5">
        <f>'Mi negocio'!$B$7</f>
        <v/>
      </c>
      <c r="O21" s="5">
        <f>K21+H21+M21+L21+N21</f>
        <v/>
      </c>
      <c r="P21" s="5">
        <f>O21/(1-'Mi negocio'!$B$5)</f>
        <v/>
      </c>
      <c r="Q21" s="5">
        <f>(O21-N21)/(1-'Mi negocio'!$B$5)</f>
        <v/>
      </c>
      <c r="R21" s="5">
        <f>CEILING(ROUND(P21/(1-'Mi negocio'!$B$11),6),1)</f>
        <v/>
      </c>
      <c r="S21" s="5">
        <f>CEILING(ROUND(P21/(1-'Mi negocio'!$B$12),6),1)</f>
        <v/>
      </c>
      <c r="T21" s="5">
        <f>CEILING(ROUND(P21/(1-'Mi negocio'!$B$13),6),1)</f>
        <v/>
      </c>
      <c r="U21" s="5">
        <f>CEILING(ROUND(P21/(1-'Mi negocio'!$B$14),6),1)</f>
        <v/>
      </c>
      <c r="V21" s="5">
        <f>R21-P21</f>
        <v/>
      </c>
    </row>
    <row r="22">
      <c r="A22" t="n">
        <v>21</v>
      </c>
      <c r="B22" t="inlineStr">
        <is>
          <t>Shortbread Clásico de Mantequilla Escocesa</t>
        </is>
      </c>
      <c r="C22" t="inlineStr">
        <is>
          <t>B2</t>
        </is>
      </c>
      <c r="D22" t="inlineStr">
        <is>
          <t>Fácil</t>
        </is>
      </c>
      <c r="E22" s="4" t="n">
        <v>20</v>
      </c>
      <c r="F22" t="inlineStr">
        <is>
          <t>bastón</t>
        </is>
      </c>
      <c r="G22" s="4" t="n">
        <v>25</v>
      </c>
      <c r="H22" s="4" t="n">
        <v>1.5</v>
      </c>
      <c r="I22" s="4" t="n">
        <v>5</v>
      </c>
      <c r="J22" s="5">
        <f>SUMIF(Ingredientes!$A$2:$A$621,A22,Ingredientes!$G$2:$G$621)</f>
        <v/>
      </c>
      <c r="K22" s="5">
        <f>J22/E22</f>
        <v/>
      </c>
      <c r="L22" s="5">
        <f>G22/E22*'Mi negocio'!$B$8</f>
        <v/>
      </c>
      <c r="M22" s="5">
        <f>I22/E22</f>
        <v/>
      </c>
      <c r="N22" s="5">
        <f>'Mi negocio'!$B$7</f>
        <v/>
      </c>
      <c r="O22" s="5">
        <f>K22+H22+M22+L22+N22</f>
        <v/>
      </c>
      <c r="P22" s="5">
        <f>O22/(1-'Mi negocio'!$B$5)</f>
        <v/>
      </c>
      <c r="Q22" s="5">
        <f>(O22-N22)/(1-'Mi negocio'!$B$5)</f>
        <v/>
      </c>
      <c r="R22" s="5">
        <f>CEILING(ROUND(P22/(1-'Mi negocio'!$B$11),6),1)</f>
        <v/>
      </c>
      <c r="S22" s="5">
        <f>CEILING(ROUND(P22/(1-'Mi negocio'!$B$12),6),1)</f>
        <v/>
      </c>
      <c r="T22" s="5">
        <f>CEILING(ROUND(P22/(1-'Mi negocio'!$B$13),6),1)</f>
        <v/>
      </c>
      <c r="U22" s="5">
        <f>CEILING(ROUND(P22/(1-'Mi negocio'!$B$14),6),1)</f>
        <v/>
      </c>
      <c r="V22" s="5">
        <f>R22-P22</f>
        <v/>
      </c>
    </row>
    <row r="23">
      <c r="A23" t="n">
        <v>22</v>
      </c>
      <c r="B23" t="inlineStr">
        <is>
          <t>Alfajores de Nuez Pecana con Dulce de Leche Keto</t>
        </is>
      </c>
      <c r="C23" t="inlineStr">
        <is>
          <t>B2</t>
        </is>
      </c>
      <c r="D23" t="inlineStr">
        <is>
          <t>Intermedio</t>
        </is>
      </c>
      <c r="E23" s="4" t="n">
        <v>12</v>
      </c>
      <c r="F23" t="inlineStr">
        <is>
          <t>alfajor</t>
        </is>
      </c>
      <c r="G23" s="4" t="n">
        <v>50</v>
      </c>
      <c r="H23" s="4" t="n">
        <v>1.5</v>
      </c>
      <c r="I23" s="4" t="n">
        <v>6</v>
      </c>
      <c r="J23" s="5">
        <f>SUMIF(Ingredientes!$A$2:$A$621,A23,Ingredientes!$G$2:$G$621)</f>
        <v/>
      </c>
      <c r="K23" s="5">
        <f>J23/E23</f>
        <v/>
      </c>
      <c r="L23" s="5">
        <f>G23/E23*'Mi negocio'!$B$8</f>
        <v/>
      </c>
      <c r="M23" s="5">
        <f>I23/E23</f>
        <v/>
      </c>
      <c r="N23" s="5">
        <f>'Mi negocio'!$B$7</f>
        <v/>
      </c>
      <c r="O23" s="5">
        <f>K23+H23+M23+L23+N23</f>
        <v/>
      </c>
      <c r="P23" s="5">
        <f>O23/(1-'Mi negocio'!$B$5)</f>
        <v/>
      </c>
      <c r="Q23" s="5">
        <f>(O23-N23)/(1-'Mi negocio'!$B$5)</f>
        <v/>
      </c>
      <c r="R23" s="5">
        <f>CEILING(ROUND(P23/(1-'Mi negocio'!$B$11),6),1)</f>
        <v/>
      </c>
      <c r="S23" s="5">
        <f>CEILING(ROUND(P23/(1-'Mi negocio'!$B$12),6),1)</f>
        <v/>
      </c>
      <c r="T23" s="5">
        <f>CEILING(ROUND(P23/(1-'Mi negocio'!$B$13),6),1)</f>
        <v/>
      </c>
      <c r="U23" s="5">
        <f>CEILING(ROUND(P23/(1-'Mi negocio'!$B$14),6),1)</f>
        <v/>
      </c>
      <c r="V23" s="5">
        <f>R23-P23</f>
        <v/>
      </c>
    </row>
    <row r="24">
      <c r="A24" t="n">
        <v>23</v>
      </c>
      <c r="B24" t="inlineStr">
        <is>
          <t>Tartaleta Crujiente de Frutas Frescas con Crema Pastelera Keto</t>
        </is>
      </c>
      <c r="C24" t="inlineStr">
        <is>
          <t>B2</t>
        </is>
      </c>
      <c r="D24" t="inlineStr">
        <is>
          <t>Avanzado</t>
        </is>
      </c>
      <c r="E24" s="4" t="n">
        <v>8</v>
      </c>
      <c r="F24" t="inlineStr">
        <is>
          <t>tartaleta</t>
        </is>
      </c>
      <c r="G24" s="4" t="n">
        <v>70</v>
      </c>
      <c r="H24" s="4" t="n">
        <v>4</v>
      </c>
      <c r="I24" s="4" t="n">
        <v>6</v>
      </c>
      <c r="J24" s="5">
        <f>SUMIF(Ingredientes!$A$2:$A$621,A24,Ingredientes!$G$2:$G$621)</f>
        <v/>
      </c>
      <c r="K24" s="5">
        <f>J24/E24</f>
        <v/>
      </c>
      <c r="L24" s="5">
        <f>G24/E24*'Mi negocio'!$B$8</f>
        <v/>
      </c>
      <c r="M24" s="5">
        <f>I24/E24</f>
        <v/>
      </c>
      <c r="N24" s="5">
        <f>'Mi negocio'!$B$7</f>
        <v/>
      </c>
      <c r="O24" s="5">
        <f>K24+H24+M24+L24+N24</f>
        <v/>
      </c>
      <c r="P24" s="5">
        <f>O24/(1-'Mi negocio'!$B$5)</f>
        <v/>
      </c>
      <c r="Q24" s="5">
        <f>(O24-N24)/(1-'Mi negocio'!$B$5)</f>
        <v/>
      </c>
      <c r="R24" s="5">
        <f>CEILING(ROUND(P24/(1-'Mi negocio'!$B$11),6),1)</f>
        <v/>
      </c>
      <c r="S24" s="5">
        <f>CEILING(ROUND(P24/(1-'Mi negocio'!$B$12),6),1)</f>
        <v/>
      </c>
      <c r="T24" s="5">
        <f>CEILING(ROUND(P24/(1-'Mi negocio'!$B$13),6),1)</f>
        <v/>
      </c>
      <c r="U24" s="5">
        <f>CEILING(ROUND(P24/(1-'Mi negocio'!$B$14),6),1)</f>
        <v/>
      </c>
      <c r="V24" s="5">
        <f>R24-P24</f>
        <v/>
      </c>
    </row>
    <row r="25">
      <c r="A25" t="n">
        <v>24</v>
      </c>
      <c r="B25" t="inlineStr">
        <is>
          <t>Polvorones Sevillanos de Almendra Tostada y Naranja</t>
        </is>
      </c>
      <c r="C25" t="inlineStr">
        <is>
          <t>B2</t>
        </is>
      </c>
      <c r="D25" t="inlineStr">
        <is>
          <t>Fácil</t>
        </is>
      </c>
      <c r="E25" s="4" t="n">
        <v>20</v>
      </c>
      <c r="F25" t="inlineStr">
        <is>
          <t>polvorón</t>
        </is>
      </c>
      <c r="G25" s="4" t="n">
        <v>25</v>
      </c>
      <c r="H25" s="4" t="n">
        <v>1</v>
      </c>
      <c r="I25" s="4" t="n">
        <v>5</v>
      </c>
      <c r="J25" s="5">
        <f>SUMIF(Ingredientes!$A$2:$A$621,A25,Ingredientes!$G$2:$G$621)</f>
        <v/>
      </c>
      <c r="K25" s="5">
        <f>J25/E25</f>
        <v/>
      </c>
      <c r="L25" s="5">
        <f>G25/E25*'Mi negocio'!$B$8</f>
        <v/>
      </c>
      <c r="M25" s="5">
        <f>I25/E25</f>
        <v/>
      </c>
      <c r="N25" s="5">
        <f>'Mi negocio'!$B$7</f>
        <v/>
      </c>
      <c r="O25" s="5">
        <f>K25+H25+M25+L25+N25</f>
        <v/>
      </c>
      <c r="P25" s="5">
        <f>O25/(1-'Mi negocio'!$B$5)</f>
        <v/>
      </c>
      <c r="Q25" s="5">
        <f>(O25-N25)/(1-'Mi negocio'!$B$5)</f>
        <v/>
      </c>
      <c r="R25" s="5">
        <f>CEILING(ROUND(P25/(1-'Mi negocio'!$B$11),6),1)</f>
        <v/>
      </c>
      <c r="S25" s="5">
        <f>CEILING(ROUND(P25/(1-'Mi negocio'!$B$12),6),1)</f>
        <v/>
      </c>
      <c r="T25" s="5">
        <f>CEILING(ROUND(P25/(1-'Mi negocio'!$B$13),6),1)</f>
        <v/>
      </c>
      <c r="U25" s="5">
        <f>CEILING(ROUND(P25/(1-'Mi negocio'!$B$14),6),1)</f>
        <v/>
      </c>
      <c r="V25" s="5">
        <f>R25-P25</f>
        <v/>
      </c>
    </row>
    <row r="26">
      <c r="A26" t="n">
        <v>25</v>
      </c>
      <c r="B26" t="inlineStr">
        <is>
          <t>Galletas Amaretti Italianas de Centro Masticable</t>
        </is>
      </c>
      <c r="C26" t="inlineStr">
        <is>
          <t>B2</t>
        </is>
      </c>
      <c r="D26" t="inlineStr">
        <is>
          <t>Fácil</t>
        </is>
      </c>
      <c r="E26" s="4" t="n">
        <v>18</v>
      </c>
      <c r="F26" t="inlineStr">
        <is>
          <t>galleta</t>
        </is>
      </c>
      <c r="G26" s="4" t="n">
        <v>20</v>
      </c>
      <c r="H26" s="4" t="n">
        <v>1</v>
      </c>
      <c r="I26" s="4" t="n">
        <v>4</v>
      </c>
      <c r="J26" s="5">
        <f>SUMIF(Ingredientes!$A$2:$A$621,A26,Ingredientes!$G$2:$G$621)</f>
        <v/>
      </c>
      <c r="K26" s="5">
        <f>J26/E26</f>
        <v/>
      </c>
      <c r="L26" s="5">
        <f>G26/E26*'Mi negocio'!$B$8</f>
        <v/>
      </c>
      <c r="M26" s="5">
        <f>I26/E26</f>
        <v/>
      </c>
      <c r="N26" s="5">
        <f>'Mi negocio'!$B$7</f>
        <v/>
      </c>
      <c r="O26" s="5">
        <f>K26+H26+M26+L26+N26</f>
        <v/>
      </c>
      <c r="P26" s="5">
        <f>O26/(1-'Mi negocio'!$B$5)</f>
        <v/>
      </c>
      <c r="Q26" s="5">
        <f>(O26-N26)/(1-'Mi negocio'!$B$5)</f>
        <v/>
      </c>
      <c r="R26" s="5">
        <f>CEILING(ROUND(P26/(1-'Mi negocio'!$B$11),6),1)</f>
        <v/>
      </c>
      <c r="S26" s="5">
        <f>CEILING(ROUND(P26/(1-'Mi negocio'!$B$12),6),1)</f>
        <v/>
      </c>
      <c r="T26" s="5">
        <f>CEILING(ROUND(P26/(1-'Mi negocio'!$B$13),6),1)</f>
        <v/>
      </c>
      <c r="U26" s="5">
        <f>CEILING(ROUND(P26/(1-'Mi negocio'!$B$14),6),1)</f>
        <v/>
      </c>
      <c r="V26" s="5">
        <f>R26-P26</f>
        <v/>
      </c>
    </row>
    <row r="27">
      <c r="A27" t="n">
        <v>26</v>
      </c>
      <c r="B27" t="inlineStr">
        <is>
          <t>Linzer Cookies de Avellana con Mermelada de Frambuesa</t>
        </is>
      </c>
      <c r="C27" t="inlineStr">
        <is>
          <t>B2</t>
        </is>
      </c>
      <c r="D27" t="inlineStr">
        <is>
          <t>Intermedio</t>
        </is>
      </c>
      <c r="E27" s="4" t="n">
        <v>12</v>
      </c>
      <c r="F27" t="inlineStr">
        <is>
          <t>galleta</t>
        </is>
      </c>
      <c r="G27" s="4" t="n">
        <v>45</v>
      </c>
      <c r="H27" s="4" t="n">
        <v>1.5</v>
      </c>
      <c r="I27" s="4" t="n">
        <v>5</v>
      </c>
      <c r="J27" s="5">
        <f>SUMIF(Ingredientes!$A$2:$A$621,A27,Ingredientes!$G$2:$G$621)</f>
        <v/>
      </c>
      <c r="K27" s="5">
        <f>J27/E27</f>
        <v/>
      </c>
      <c r="L27" s="5">
        <f>G27/E27*'Mi negocio'!$B$8</f>
        <v/>
      </c>
      <c r="M27" s="5">
        <f>I27/E27</f>
        <v/>
      </c>
      <c r="N27" s="5">
        <f>'Mi negocio'!$B$7</f>
        <v/>
      </c>
      <c r="O27" s="5">
        <f>K27+H27+M27+L27+N27</f>
        <v/>
      </c>
      <c r="P27" s="5">
        <f>O27/(1-'Mi negocio'!$B$5)</f>
        <v/>
      </c>
      <c r="Q27" s="5">
        <f>(O27-N27)/(1-'Mi negocio'!$B$5)</f>
        <v/>
      </c>
      <c r="R27" s="5">
        <f>CEILING(ROUND(P27/(1-'Mi negocio'!$B$11),6),1)</f>
        <v/>
      </c>
      <c r="S27" s="5">
        <f>CEILING(ROUND(P27/(1-'Mi negocio'!$B$12),6),1)</f>
        <v/>
      </c>
      <c r="T27" s="5">
        <f>CEILING(ROUND(P27/(1-'Mi negocio'!$B$13),6),1)</f>
        <v/>
      </c>
      <c r="U27" s="5">
        <f>CEILING(ROUND(P27/(1-'Mi negocio'!$B$14),6),1)</f>
        <v/>
      </c>
      <c r="V27" s="5">
        <f>R27-P27</f>
        <v/>
      </c>
    </row>
    <row r="28">
      <c r="A28" t="n">
        <v>27</v>
      </c>
      <c r="B28" t="inlineStr">
        <is>
          <t>Masa Quebrada Neutra para Quiche y Tartas Rústicas</t>
        </is>
      </c>
      <c r="C28" t="inlineStr">
        <is>
          <t>B2</t>
        </is>
      </c>
      <c r="D28" t="inlineStr">
        <is>
          <t>Fácil</t>
        </is>
      </c>
      <c r="E28" s="4" t="n">
        <v>1</v>
      </c>
      <c r="F28" t="inlineStr">
        <is>
          <t>fondo de tarta</t>
        </is>
      </c>
      <c r="G28" s="4" t="n">
        <v>20</v>
      </c>
      <c r="H28" s="4" t="n">
        <v>6</v>
      </c>
      <c r="I28" s="4" t="n">
        <v>5</v>
      </c>
      <c r="J28" s="5">
        <f>SUMIF(Ingredientes!$A$2:$A$621,A28,Ingredientes!$G$2:$G$621)</f>
        <v/>
      </c>
      <c r="K28" s="5">
        <f>J28/E28</f>
        <v/>
      </c>
      <c r="L28" s="5">
        <f>G28/E28*'Mi negocio'!$B$8</f>
        <v/>
      </c>
      <c r="M28" s="5">
        <f>I28/E28</f>
        <v/>
      </c>
      <c r="N28" s="5">
        <f>'Mi negocio'!$B$7</f>
        <v/>
      </c>
      <c r="O28" s="5">
        <f>K28+H28+M28+L28+N28</f>
        <v/>
      </c>
      <c r="P28" s="5">
        <f>O28/(1-'Mi negocio'!$B$5)</f>
        <v/>
      </c>
      <c r="Q28" s="5">
        <f>(O28-N28)/(1-'Mi negocio'!$B$5)</f>
        <v/>
      </c>
      <c r="R28" s="5">
        <f>CEILING(ROUND(P28/(1-'Mi negocio'!$B$11),6),1)</f>
        <v/>
      </c>
      <c r="S28" s="5">
        <f>CEILING(ROUND(P28/(1-'Mi negocio'!$B$12),6),1)</f>
        <v/>
      </c>
      <c r="T28" s="5">
        <f>CEILING(ROUND(P28/(1-'Mi negocio'!$B$13),6),1)</f>
        <v/>
      </c>
      <c r="U28" s="5">
        <f>CEILING(ROUND(P28/(1-'Mi negocio'!$B$14),6),1)</f>
        <v/>
      </c>
      <c r="V28" s="5">
        <f>R28-P28</f>
        <v/>
      </c>
    </row>
    <row r="29">
      <c r="A29" t="n">
        <v>28</v>
      </c>
      <c r="B29" t="inlineStr">
        <is>
          <t>Tartaleta de Nuez Pecana Estilo "Pecan Pie" Keto</t>
        </is>
      </c>
      <c r="C29" t="inlineStr">
        <is>
          <t>B6</t>
        </is>
      </c>
      <c r="D29" t="inlineStr">
        <is>
          <t>Intermedio</t>
        </is>
      </c>
      <c r="E29" s="4" t="n">
        <v>6</v>
      </c>
      <c r="F29" t="inlineStr">
        <is>
          <t>tartaleta</t>
        </is>
      </c>
      <c r="G29" s="4" t="n">
        <v>45</v>
      </c>
      <c r="H29" s="4" t="n">
        <v>4</v>
      </c>
      <c r="I29" s="4" t="n">
        <v>8</v>
      </c>
      <c r="J29" s="5">
        <f>SUMIF(Ingredientes!$A$2:$A$621,A29,Ingredientes!$G$2:$G$621)</f>
        <v/>
      </c>
      <c r="K29" s="5">
        <f>J29/E29</f>
        <v/>
      </c>
      <c r="L29" s="5">
        <f>G29/E29*'Mi negocio'!$B$8</f>
        <v/>
      </c>
      <c r="M29" s="5">
        <f>I29/E29</f>
        <v/>
      </c>
      <c r="N29" s="5">
        <f>'Mi negocio'!$B$7</f>
        <v/>
      </c>
      <c r="O29" s="5">
        <f>K29+H29+M29+L29+N29</f>
        <v/>
      </c>
      <c r="P29" s="5">
        <f>O29/(1-'Mi negocio'!$B$5)</f>
        <v/>
      </c>
      <c r="Q29" s="5">
        <f>(O29-N29)/(1-'Mi negocio'!$B$5)</f>
        <v/>
      </c>
      <c r="R29" s="5">
        <f>CEILING(ROUND(P29/(1-'Mi negocio'!$B$11),6),1)</f>
        <v/>
      </c>
      <c r="S29" s="5">
        <f>CEILING(ROUND(P29/(1-'Mi negocio'!$B$12),6),1)</f>
        <v/>
      </c>
      <c r="T29" s="5">
        <f>CEILING(ROUND(P29/(1-'Mi negocio'!$B$13),6),1)</f>
        <v/>
      </c>
      <c r="U29" s="5">
        <f>CEILING(ROUND(P29/(1-'Mi negocio'!$B$14),6),1)</f>
        <v/>
      </c>
      <c r="V29" s="5">
        <f>R29-P29</f>
        <v/>
      </c>
    </row>
    <row r="30">
      <c r="A30" t="n">
        <v>29</v>
      </c>
      <c r="B30" t="inlineStr">
        <is>
          <t>Biscotti Cantuccini Clásico de Almendra y Naranja</t>
        </is>
      </c>
      <c r="C30" t="inlineStr">
        <is>
          <t>B2</t>
        </is>
      </c>
      <c r="D30" t="inlineStr">
        <is>
          <t>Fácil</t>
        </is>
      </c>
      <c r="E30" s="4" t="n">
        <v>19</v>
      </c>
      <c r="F30" t="inlineStr">
        <is>
          <t>biscotti</t>
        </is>
      </c>
      <c r="G30" s="4" t="n">
        <v>30</v>
      </c>
      <c r="H30" s="4" t="n">
        <v>1</v>
      </c>
      <c r="I30" s="4" t="n">
        <v>7</v>
      </c>
      <c r="J30" s="5">
        <f>SUMIF(Ingredientes!$A$2:$A$621,A30,Ingredientes!$G$2:$G$621)</f>
        <v/>
      </c>
      <c r="K30" s="5">
        <f>J30/E30</f>
        <v/>
      </c>
      <c r="L30" s="5">
        <f>G30/E30*'Mi negocio'!$B$8</f>
        <v/>
      </c>
      <c r="M30" s="5">
        <f>I30/E30</f>
        <v/>
      </c>
      <c r="N30" s="5">
        <f>'Mi negocio'!$B$7</f>
        <v/>
      </c>
      <c r="O30" s="5">
        <f>K30+H30+M30+L30+N30</f>
        <v/>
      </c>
      <c r="P30" s="5">
        <f>O30/(1-'Mi negocio'!$B$5)</f>
        <v/>
      </c>
      <c r="Q30" s="5">
        <f>(O30-N30)/(1-'Mi negocio'!$B$5)</f>
        <v/>
      </c>
      <c r="R30" s="5">
        <f>CEILING(ROUND(P30/(1-'Mi negocio'!$B$11),6),1)</f>
        <v/>
      </c>
      <c r="S30" s="5">
        <f>CEILING(ROUND(P30/(1-'Mi negocio'!$B$12),6),1)</f>
        <v/>
      </c>
      <c r="T30" s="5">
        <f>CEILING(ROUND(P30/(1-'Mi negocio'!$B$13),6),1)</f>
        <v/>
      </c>
      <c r="U30" s="5">
        <f>CEILING(ROUND(P30/(1-'Mi negocio'!$B$14),6),1)</f>
        <v/>
      </c>
      <c r="V30" s="5">
        <f>R30-P30</f>
        <v/>
      </c>
    </row>
    <row r="31">
      <c r="A31" t="n">
        <v>30</v>
      </c>
      <c r="B31" t="inlineStr">
        <is>
          <t>Panqué Húmedo de Plátano y Nueces Pecanas</t>
        </is>
      </c>
      <c r="C31" t="inlineStr">
        <is>
          <t>B1</t>
        </is>
      </c>
      <c r="D31" t="inlineStr">
        <is>
          <t>Fácil</t>
        </is>
      </c>
      <c r="E31" s="4" t="n">
        <v>12</v>
      </c>
      <c r="F31" t="inlineStr">
        <is>
          <t>rebanada</t>
        </is>
      </c>
      <c r="G31" s="4" t="n">
        <v>25</v>
      </c>
      <c r="H31" s="4" t="n">
        <v>3</v>
      </c>
      <c r="I31" s="4" t="n">
        <v>9</v>
      </c>
      <c r="J31" s="5">
        <f>SUMIF(Ingredientes!$A$2:$A$621,A31,Ingredientes!$G$2:$G$621)</f>
        <v/>
      </c>
      <c r="K31" s="5">
        <f>J31/E31</f>
        <v/>
      </c>
      <c r="L31" s="5">
        <f>G31/E31*'Mi negocio'!$B$8</f>
        <v/>
      </c>
      <c r="M31" s="5">
        <f>I31/E31</f>
        <v/>
      </c>
      <c r="N31" s="5">
        <f>'Mi negocio'!$B$7</f>
        <v/>
      </c>
      <c r="O31" s="5">
        <f>K31+H31+M31+L31+N31</f>
        <v/>
      </c>
      <c r="P31" s="5">
        <f>O31/(1-'Mi negocio'!$B$5)</f>
        <v/>
      </c>
      <c r="Q31" s="5">
        <f>(O31-N31)/(1-'Mi negocio'!$B$5)</f>
        <v/>
      </c>
      <c r="R31" s="5">
        <f>CEILING(ROUND(P31/(1-'Mi negocio'!$B$11),6),1)</f>
        <v/>
      </c>
      <c r="S31" s="5">
        <f>CEILING(ROUND(P31/(1-'Mi negocio'!$B$12),6),1)</f>
        <v/>
      </c>
      <c r="T31" s="5">
        <f>CEILING(ROUND(P31/(1-'Mi negocio'!$B$13),6),1)</f>
        <v/>
      </c>
      <c r="U31" s="5">
        <f>CEILING(ROUND(P31/(1-'Mi negocio'!$B$14),6),1)</f>
        <v/>
      </c>
      <c r="V31" s="5">
        <f>R31-P31</f>
        <v/>
      </c>
    </row>
    <row r="32">
      <c r="A32" t="n">
        <v>31</v>
      </c>
      <c r="B32" t="inlineStr">
        <is>
          <t>Roles de Canela y Nuez con Glaseado de Queso Crema</t>
        </is>
      </c>
      <c r="C32" t="inlineStr">
        <is>
          <t>B7</t>
        </is>
      </c>
      <c r="D32" t="inlineStr">
        <is>
          <t>Intermedio</t>
        </is>
      </c>
      <c r="E32" s="4" t="n">
        <v>8</v>
      </c>
      <c r="F32" t="inlineStr">
        <is>
          <t>rol</t>
        </is>
      </c>
      <c r="G32" s="4" t="n">
        <v>45</v>
      </c>
      <c r="H32" s="4" t="n">
        <v>3</v>
      </c>
      <c r="I32" s="4" t="n">
        <v>6</v>
      </c>
      <c r="J32" s="5">
        <f>SUMIF(Ingredientes!$A$2:$A$621,A32,Ingredientes!$G$2:$G$621)</f>
        <v/>
      </c>
      <c r="K32" s="5">
        <f>J32/E32</f>
        <v/>
      </c>
      <c r="L32" s="5">
        <f>G32/E32*'Mi negocio'!$B$8</f>
        <v/>
      </c>
      <c r="M32" s="5">
        <f>I32/E32</f>
        <v/>
      </c>
      <c r="N32" s="5">
        <f>'Mi negocio'!$B$7</f>
        <v/>
      </c>
      <c r="O32" s="5">
        <f>K32+H32+M32+L32+N32</f>
        <v/>
      </c>
      <c r="P32" s="5">
        <f>O32/(1-'Mi negocio'!$B$5)</f>
        <v/>
      </c>
      <c r="Q32" s="5">
        <f>(O32-N32)/(1-'Mi negocio'!$B$5)</f>
        <v/>
      </c>
      <c r="R32" s="5">
        <f>CEILING(ROUND(P32/(1-'Mi negocio'!$B$11),6),1)</f>
        <v/>
      </c>
      <c r="S32" s="5">
        <f>CEILING(ROUND(P32/(1-'Mi negocio'!$B$12),6),1)</f>
        <v/>
      </c>
      <c r="T32" s="5">
        <f>CEILING(ROUND(P32/(1-'Mi negocio'!$B$13),6),1)</f>
        <v/>
      </c>
      <c r="U32" s="5">
        <f>CEILING(ROUND(P32/(1-'Mi negocio'!$B$14),6),1)</f>
        <v/>
      </c>
      <c r="V32" s="5">
        <f>R32-P32</f>
        <v/>
      </c>
    </row>
    <row r="33">
      <c r="A33" t="n">
        <v>32</v>
      </c>
      <c r="B33" t="inlineStr">
        <is>
          <t>Muffins Esponjosos de Arándano Azul con Costra de Limón</t>
        </is>
      </c>
      <c r="C33" t="inlineStr">
        <is>
          <t>B1</t>
        </is>
      </c>
      <c r="D33" t="inlineStr">
        <is>
          <t>Fácil</t>
        </is>
      </c>
      <c r="E33" s="4" t="n">
        <v>12</v>
      </c>
      <c r="F33" t="inlineStr">
        <is>
          <t>muffin</t>
        </is>
      </c>
      <c r="G33" s="4" t="n">
        <v>25</v>
      </c>
      <c r="H33" s="4" t="n">
        <v>3</v>
      </c>
      <c r="I33" s="4" t="n">
        <v>5</v>
      </c>
      <c r="J33" s="5">
        <f>SUMIF(Ingredientes!$A$2:$A$621,A33,Ingredientes!$G$2:$G$621)</f>
        <v/>
      </c>
      <c r="K33" s="5">
        <f>J33/E33</f>
        <v/>
      </c>
      <c r="L33" s="5">
        <f>G33/E33*'Mi negocio'!$B$8</f>
        <v/>
      </c>
      <c r="M33" s="5">
        <f>I33/E33</f>
        <v/>
      </c>
      <c r="N33" s="5">
        <f>'Mi negocio'!$B$7</f>
        <v/>
      </c>
      <c r="O33" s="5">
        <f>K33+H33+M33+L33+N33</f>
        <v/>
      </c>
      <c r="P33" s="5">
        <f>O33/(1-'Mi negocio'!$B$5)</f>
        <v/>
      </c>
      <c r="Q33" s="5">
        <f>(O33-N33)/(1-'Mi negocio'!$B$5)</f>
        <v/>
      </c>
      <c r="R33" s="5">
        <f>CEILING(ROUND(P33/(1-'Mi negocio'!$B$11),6),1)</f>
        <v/>
      </c>
      <c r="S33" s="5">
        <f>CEILING(ROUND(P33/(1-'Mi negocio'!$B$12),6),1)</f>
        <v/>
      </c>
      <c r="T33" s="5">
        <f>CEILING(ROUND(P33/(1-'Mi negocio'!$B$13),6),1)</f>
        <v/>
      </c>
      <c r="U33" s="5">
        <f>CEILING(ROUND(P33/(1-'Mi negocio'!$B$14),6),1)</f>
        <v/>
      </c>
      <c r="V33" s="5">
        <f>R33-P33</f>
        <v/>
      </c>
    </row>
    <row r="34">
      <c r="A34" t="n">
        <v>33</v>
      </c>
      <c r="B34" t="inlineStr">
        <is>
          <t>Pound Cake de Limón Glaseado Estilo Starbucks</t>
        </is>
      </c>
      <c r="C34" t="inlineStr">
        <is>
          <t>B1</t>
        </is>
      </c>
      <c r="D34" t="inlineStr">
        <is>
          <t>Fácil</t>
        </is>
      </c>
      <c r="E34" s="4" t="n">
        <v>10</v>
      </c>
      <c r="F34" t="inlineStr">
        <is>
          <t>rebanada</t>
        </is>
      </c>
      <c r="G34" s="4" t="n">
        <v>30</v>
      </c>
      <c r="H34" s="4" t="n">
        <v>3</v>
      </c>
      <c r="I34" s="4" t="n">
        <v>9</v>
      </c>
      <c r="J34" s="5">
        <f>SUMIF(Ingredientes!$A$2:$A$621,A34,Ingredientes!$G$2:$G$621)</f>
        <v/>
      </c>
      <c r="K34" s="5">
        <f>J34/E34</f>
        <v/>
      </c>
      <c r="L34" s="5">
        <f>G34/E34*'Mi negocio'!$B$8</f>
        <v/>
      </c>
      <c r="M34" s="5">
        <f>I34/E34</f>
        <v/>
      </c>
      <c r="N34" s="5">
        <f>'Mi negocio'!$B$7</f>
        <v/>
      </c>
      <c r="O34" s="5">
        <f>K34+H34+M34+L34+N34</f>
        <v/>
      </c>
      <c r="P34" s="5">
        <f>O34/(1-'Mi negocio'!$B$5)</f>
        <v/>
      </c>
      <c r="Q34" s="5">
        <f>(O34-N34)/(1-'Mi negocio'!$B$5)</f>
        <v/>
      </c>
      <c r="R34" s="5">
        <f>CEILING(ROUND(P34/(1-'Mi negocio'!$B$11),6),1)</f>
        <v/>
      </c>
      <c r="S34" s="5">
        <f>CEILING(ROUND(P34/(1-'Mi negocio'!$B$12),6),1)</f>
        <v/>
      </c>
      <c r="T34" s="5">
        <f>CEILING(ROUND(P34/(1-'Mi negocio'!$B$13),6),1)</f>
        <v/>
      </c>
      <c r="U34" s="5">
        <f>CEILING(ROUND(P34/(1-'Mi negocio'!$B$14),6),1)</f>
        <v/>
      </c>
      <c r="V34" s="5">
        <f>R34-P34</f>
        <v/>
      </c>
    </row>
    <row r="35">
      <c r="A35" t="n">
        <v>34</v>
      </c>
      <c r="B35" t="inlineStr">
        <is>
          <t>Rosca de Reyes Keto / Pan de Muerto Artesanal</t>
        </is>
      </c>
      <c r="C35" t="inlineStr">
        <is>
          <t>B7</t>
        </is>
      </c>
      <c r="D35" t="inlineStr">
        <is>
          <t>Avanzado</t>
        </is>
      </c>
      <c r="E35" s="4" t="n">
        <v>10</v>
      </c>
      <c r="F35" t="inlineStr">
        <is>
          <t>rebanada</t>
        </is>
      </c>
      <c r="G35" s="4" t="n">
        <v>70</v>
      </c>
      <c r="H35" s="4" t="n">
        <v>3.5</v>
      </c>
      <c r="I35" s="4" t="n">
        <v>8</v>
      </c>
      <c r="J35" s="5">
        <f>SUMIF(Ingredientes!$A$2:$A$621,A35,Ingredientes!$G$2:$G$621)</f>
        <v/>
      </c>
      <c r="K35" s="5">
        <f>J35/E35</f>
        <v/>
      </c>
      <c r="L35" s="5">
        <f>G35/E35*'Mi negocio'!$B$8</f>
        <v/>
      </c>
      <c r="M35" s="5">
        <f>I35/E35</f>
        <v/>
      </c>
      <c r="N35" s="5">
        <f>'Mi negocio'!$B$7</f>
        <v/>
      </c>
      <c r="O35" s="5">
        <f>K35+H35+M35+L35+N35</f>
        <v/>
      </c>
      <c r="P35" s="5">
        <f>O35/(1-'Mi negocio'!$B$5)</f>
        <v/>
      </c>
      <c r="Q35" s="5">
        <f>(O35-N35)/(1-'Mi negocio'!$B$5)</f>
        <v/>
      </c>
      <c r="R35" s="5">
        <f>CEILING(ROUND(P35/(1-'Mi negocio'!$B$11),6),1)</f>
        <v/>
      </c>
      <c r="S35" s="5">
        <f>CEILING(ROUND(P35/(1-'Mi negocio'!$B$12),6),1)</f>
        <v/>
      </c>
      <c r="T35" s="5">
        <f>CEILING(ROUND(P35/(1-'Mi negocio'!$B$13),6),1)</f>
        <v/>
      </c>
      <c r="U35" s="5">
        <f>CEILING(ROUND(P35/(1-'Mi negocio'!$B$14),6),1)</f>
        <v/>
      </c>
      <c r="V35" s="5">
        <f>R35-P35</f>
        <v/>
      </c>
    </row>
    <row r="36">
      <c r="A36" t="n">
        <v>35</v>
      </c>
      <c r="B36" t="inlineStr">
        <is>
          <t>Brownies Fudgy de Doble Chocolate con Centro Fundente</t>
        </is>
      </c>
      <c r="C36" t="inlineStr">
        <is>
          <t>B1</t>
        </is>
      </c>
      <c r="D36" t="inlineStr">
        <is>
          <t>Fácil</t>
        </is>
      </c>
      <c r="E36" s="4" t="n">
        <v>16</v>
      </c>
      <c r="F36" t="inlineStr">
        <is>
          <t>brownie</t>
        </is>
      </c>
      <c r="G36" s="4" t="n">
        <v>25</v>
      </c>
      <c r="H36" s="4" t="n">
        <v>2</v>
      </c>
      <c r="I36" s="4" t="n">
        <v>6</v>
      </c>
      <c r="J36" s="5">
        <f>SUMIF(Ingredientes!$A$2:$A$621,A36,Ingredientes!$G$2:$G$621)</f>
        <v/>
      </c>
      <c r="K36" s="5">
        <f>J36/E36</f>
        <v/>
      </c>
      <c r="L36" s="5">
        <f>G36/E36*'Mi negocio'!$B$8</f>
        <v/>
      </c>
      <c r="M36" s="5">
        <f>I36/E36</f>
        <v/>
      </c>
      <c r="N36" s="5">
        <f>'Mi negocio'!$B$7</f>
        <v/>
      </c>
      <c r="O36" s="5">
        <f>K36+H36+M36+L36+N36</f>
        <v/>
      </c>
      <c r="P36" s="5">
        <f>O36/(1-'Mi negocio'!$B$5)</f>
        <v/>
      </c>
      <c r="Q36" s="5">
        <f>(O36-N36)/(1-'Mi negocio'!$B$5)</f>
        <v/>
      </c>
      <c r="R36" s="5">
        <f>CEILING(ROUND(P36/(1-'Mi negocio'!$B$11),6),1)</f>
        <v/>
      </c>
      <c r="S36" s="5">
        <f>CEILING(ROUND(P36/(1-'Mi negocio'!$B$12),6),1)</f>
        <v/>
      </c>
      <c r="T36" s="5">
        <f>CEILING(ROUND(P36/(1-'Mi negocio'!$B$13),6),1)</f>
        <v/>
      </c>
      <c r="U36" s="5">
        <f>CEILING(ROUND(P36/(1-'Mi negocio'!$B$14),6),1)</f>
        <v/>
      </c>
      <c r="V36" s="5">
        <f>R36-P36</f>
        <v/>
      </c>
    </row>
    <row r="37">
      <c r="A37" t="n">
        <v>36</v>
      </c>
      <c r="B37" t="inlineStr">
        <is>
          <t>Blondies de Pecana y Mantequilla Avellanada</t>
        </is>
      </c>
      <c r="C37" t="inlineStr">
        <is>
          <t>B1</t>
        </is>
      </c>
      <c r="D37" t="inlineStr">
        <is>
          <t>Fácil</t>
        </is>
      </c>
      <c r="E37" s="4" t="n">
        <v>16</v>
      </c>
      <c r="F37" t="inlineStr">
        <is>
          <t>blondie</t>
        </is>
      </c>
      <c r="G37" s="4" t="n">
        <v>25</v>
      </c>
      <c r="H37" s="4" t="n">
        <v>2</v>
      </c>
      <c r="I37" s="4" t="n">
        <v>6</v>
      </c>
      <c r="J37" s="5">
        <f>SUMIF(Ingredientes!$A$2:$A$621,A37,Ingredientes!$G$2:$G$621)</f>
        <v/>
      </c>
      <c r="K37" s="5">
        <f>J37/E37</f>
        <v/>
      </c>
      <c r="L37" s="5">
        <f>G37/E37*'Mi negocio'!$B$8</f>
        <v/>
      </c>
      <c r="M37" s="5">
        <f>I37/E37</f>
        <v/>
      </c>
      <c r="N37" s="5">
        <f>'Mi negocio'!$B$7</f>
        <v/>
      </c>
      <c r="O37" s="5">
        <f>K37+H37+M37+L37+N37</f>
        <v/>
      </c>
      <c r="P37" s="5">
        <f>O37/(1-'Mi negocio'!$B$5)</f>
        <v/>
      </c>
      <c r="Q37" s="5">
        <f>(O37-N37)/(1-'Mi negocio'!$B$5)</f>
        <v/>
      </c>
      <c r="R37" s="5">
        <f>CEILING(ROUND(P37/(1-'Mi negocio'!$B$11),6),1)</f>
        <v/>
      </c>
      <c r="S37" s="5">
        <f>CEILING(ROUND(P37/(1-'Mi negocio'!$B$12),6),1)</f>
        <v/>
      </c>
      <c r="T37" s="5">
        <f>CEILING(ROUND(P37/(1-'Mi negocio'!$B$13),6),1)</f>
        <v/>
      </c>
      <c r="U37" s="5">
        <f>CEILING(ROUND(P37/(1-'Mi negocio'!$B$14),6),1)</f>
        <v/>
      </c>
      <c r="V37" s="5">
        <f>R37-P37</f>
        <v/>
      </c>
    </row>
    <row r="38">
      <c r="A38" t="n">
        <v>37</v>
      </c>
      <c r="B38" t="inlineStr">
        <is>
          <t>Panqué Mármol de Vainilla y Cacao Alcalino</t>
        </is>
      </c>
      <c r="C38" t="inlineStr">
        <is>
          <t>B1</t>
        </is>
      </c>
      <c r="D38" t="inlineStr">
        <is>
          <t>Fácil</t>
        </is>
      </c>
      <c r="E38" s="4" t="n">
        <v>10</v>
      </c>
      <c r="F38" t="inlineStr">
        <is>
          <t>rebanada</t>
        </is>
      </c>
      <c r="G38" s="4" t="n">
        <v>30</v>
      </c>
      <c r="H38" s="4" t="n">
        <v>3</v>
      </c>
      <c r="I38" s="4" t="n">
        <v>9</v>
      </c>
      <c r="J38" s="5">
        <f>SUMIF(Ingredientes!$A$2:$A$621,A38,Ingredientes!$G$2:$G$621)</f>
        <v/>
      </c>
      <c r="K38" s="5">
        <f>J38/E38</f>
        <v/>
      </c>
      <c r="L38" s="5">
        <f>G38/E38*'Mi negocio'!$B$8</f>
        <v/>
      </c>
      <c r="M38" s="5">
        <f>I38/E38</f>
        <v/>
      </c>
      <c r="N38" s="5">
        <f>'Mi negocio'!$B$7</f>
        <v/>
      </c>
      <c r="O38" s="5">
        <f>K38+H38+M38+L38+N38</f>
        <v/>
      </c>
      <c r="P38" s="5">
        <f>O38/(1-'Mi negocio'!$B$5)</f>
        <v/>
      </c>
      <c r="Q38" s="5">
        <f>(O38-N38)/(1-'Mi negocio'!$B$5)</f>
        <v/>
      </c>
      <c r="R38" s="5">
        <f>CEILING(ROUND(P38/(1-'Mi negocio'!$B$11),6),1)</f>
        <v/>
      </c>
      <c r="S38" s="5">
        <f>CEILING(ROUND(P38/(1-'Mi negocio'!$B$12),6),1)</f>
        <v/>
      </c>
      <c r="T38" s="5">
        <f>CEILING(ROUND(P38/(1-'Mi negocio'!$B$13),6),1)</f>
        <v/>
      </c>
      <c r="U38" s="5">
        <f>CEILING(ROUND(P38/(1-'Mi negocio'!$B$14),6),1)</f>
        <v/>
      </c>
      <c r="V38" s="5">
        <f>R38-P38</f>
        <v/>
      </c>
    </row>
    <row r="39">
      <c r="A39" t="n">
        <v>38</v>
      </c>
      <c r="B39" t="inlineStr">
        <is>
          <t>Donas Horneadas Glaseadas Clásicas</t>
        </is>
      </c>
      <c r="C39" t="inlineStr">
        <is>
          <t>B1</t>
        </is>
      </c>
      <c r="D39" t="inlineStr">
        <is>
          <t>Intermedio</t>
        </is>
      </c>
      <c r="E39" s="4" t="n">
        <v>6</v>
      </c>
      <c r="F39" t="inlineStr">
        <is>
          <t>dona</t>
        </is>
      </c>
      <c r="G39" s="4" t="n">
        <v>30</v>
      </c>
      <c r="H39" s="4" t="n">
        <v>3</v>
      </c>
      <c r="I39" s="4" t="n">
        <v>3</v>
      </c>
      <c r="J39" s="5">
        <f>SUMIF(Ingredientes!$A$2:$A$621,A39,Ingredientes!$G$2:$G$621)</f>
        <v/>
      </c>
      <c r="K39" s="5">
        <f>J39/E39</f>
        <v/>
      </c>
      <c r="L39" s="5">
        <f>G39/E39*'Mi negocio'!$B$8</f>
        <v/>
      </c>
      <c r="M39" s="5">
        <f>I39/E39</f>
        <v/>
      </c>
      <c r="N39" s="5">
        <f>'Mi negocio'!$B$7</f>
        <v/>
      </c>
      <c r="O39" s="5">
        <f>K39+H39+M39+L39+N39</f>
        <v/>
      </c>
      <c r="P39" s="5">
        <f>O39/(1-'Mi negocio'!$B$5)</f>
        <v/>
      </c>
      <c r="Q39" s="5">
        <f>(O39-N39)/(1-'Mi negocio'!$B$5)</f>
        <v/>
      </c>
      <c r="R39" s="5">
        <f>CEILING(ROUND(P39/(1-'Mi negocio'!$B$11),6),1)</f>
        <v/>
      </c>
      <c r="S39" s="5">
        <f>CEILING(ROUND(P39/(1-'Mi negocio'!$B$12),6),1)</f>
        <v/>
      </c>
      <c r="T39" s="5">
        <f>CEILING(ROUND(P39/(1-'Mi negocio'!$B$13),6),1)</f>
        <v/>
      </c>
      <c r="U39" s="5">
        <f>CEILING(ROUND(P39/(1-'Mi negocio'!$B$14),6),1)</f>
        <v/>
      </c>
      <c r="V39" s="5">
        <f>R39-P39</f>
        <v/>
      </c>
    </row>
    <row r="40">
      <c r="A40" t="n">
        <v>39</v>
      </c>
      <c r="B40" t="inlineStr">
        <is>
          <t>Budín de Pan Keto con Especias, Custard de Vainilla y "Pasas" de Arándano</t>
        </is>
      </c>
      <c r="C40" t="inlineStr">
        <is>
          <t>B3</t>
        </is>
      </c>
      <c r="D40" t="inlineStr">
        <is>
          <t>Fácil</t>
        </is>
      </c>
      <c r="E40" s="4" t="n">
        <v>8</v>
      </c>
      <c r="F40" t="inlineStr">
        <is>
          <t>porción</t>
        </is>
      </c>
      <c r="G40" s="4" t="n">
        <v>25</v>
      </c>
      <c r="H40" s="4" t="n">
        <v>6</v>
      </c>
      <c r="I40" s="4" t="n">
        <v>8</v>
      </c>
      <c r="J40" s="5">
        <f>SUMIF(Ingredientes!$A$2:$A$621,A40,Ingredientes!$G$2:$G$621)</f>
        <v/>
      </c>
      <c r="K40" s="5">
        <f>J40/E40</f>
        <v/>
      </c>
      <c r="L40" s="5">
        <f>G40/E40*'Mi negocio'!$B$8</f>
        <v/>
      </c>
      <c r="M40" s="5">
        <f>I40/E40</f>
        <v/>
      </c>
      <c r="N40" s="5">
        <f>'Mi negocio'!$B$7</f>
        <v/>
      </c>
      <c r="O40" s="5">
        <f>K40+H40+M40+L40+N40</f>
        <v/>
      </c>
      <c r="P40" s="5">
        <f>O40/(1-'Mi negocio'!$B$5)</f>
        <v/>
      </c>
      <c r="Q40" s="5">
        <f>(O40-N40)/(1-'Mi negocio'!$B$5)</f>
        <v/>
      </c>
      <c r="R40" s="5">
        <f>CEILING(ROUND(P40/(1-'Mi negocio'!$B$11),6),1)</f>
        <v/>
      </c>
      <c r="S40" s="5">
        <f>CEILING(ROUND(P40/(1-'Mi negocio'!$B$12),6),1)</f>
        <v/>
      </c>
      <c r="T40" s="5">
        <f>CEILING(ROUND(P40/(1-'Mi negocio'!$B$13),6),1)</f>
        <v/>
      </c>
      <c r="U40" s="5">
        <f>CEILING(ROUND(P40/(1-'Mi negocio'!$B$14),6),1)</f>
        <v/>
      </c>
      <c r="V40" s="5">
        <f>R40-P40</f>
        <v/>
      </c>
    </row>
    <row r="41">
      <c r="A41" t="n">
        <v>40</v>
      </c>
      <c r="B41" t="inlineStr">
        <is>
          <t>Trufas Clásicas de Ganache Oscura al 70% y Naranja</t>
        </is>
      </c>
      <c r="C41" t="inlineStr">
        <is>
          <t>B5</t>
        </is>
      </c>
      <c r="D41" t="inlineStr">
        <is>
          <t>Intermedio</t>
        </is>
      </c>
      <c r="E41" s="4" t="n">
        <v>30</v>
      </c>
      <c r="F41" t="inlineStr">
        <is>
          <t>trufa</t>
        </is>
      </c>
      <c r="G41" s="4" t="n">
        <v>50</v>
      </c>
      <c r="H41" s="4" t="n">
        <v>1.2</v>
      </c>
      <c r="I41" s="4" t="n">
        <v>1</v>
      </c>
      <c r="J41" s="5">
        <f>SUMIF(Ingredientes!$A$2:$A$621,A41,Ingredientes!$G$2:$G$621)</f>
        <v/>
      </c>
      <c r="K41" s="5">
        <f>J41/E41</f>
        <v/>
      </c>
      <c r="L41" s="5">
        <f>G41/E41*'Mi negocio'!$B$8</f>
        <v/>
      </c>
      <c r="M41" s="5">
        <f>I41/E41</f>
        <v/>
      </c>
      <c r="N41" s="5">
        <f>'Mi negocio'!$B$7</f>
        <v/>
      </c>
      <c r="O41" s="5">
        <f>K41+H41+M41+L41+N41</f>
        <v/>
      </c>
      <c r="P41" s="5">
        <f>O41/(1-'Mi negocio'!$B$5)</f>
        <v/>
      </c>
      <c r="Q41" s="5">
        <f>(O41-N41)/(1-'Mi negocio'!$B$5)</f>
        <v/>
      </c>
      <c r="R41" s="5">
        <f>CEILING(ROUND(P41/(1-'Mi negocio'!$B$11),6),1)</f>
        <v/>
      </c>
      <c r="S41" s="5">
        <f>CEILING(ROUND(P41/(1-'Mi negocio'!$B$12),6),1)</f>
        <v/>
      </c>
      <c r="T41" s="5">
        <f>CEILING(ROUND(P41/(1-'Mi negocio'!$B$13),6),1)</f>
        <v/>
      </c>
      <c r="U41" s="5">
        <f>CEILING(ROUND(P41/(1-'Mi negocio'!$B$14),6),1)</f>
        <v/>
      </c>
      <c r="V41" s="5">
        <f>R41-P41</f>
        <v/>
      </c>
    </row>
    <row r="42">
      <c r="A42" t="n">
        <v>41</v>
      </c>
      <c r="B42" t="inlineStr">
        <is>
          <t>Volcán de Chocolate Fundente</t>
        </is>
      </c>
      <c r="C42" t="inlineStr">
        <is>
          <t>B5</t>
        </is>
      </c>
      <c r="D42" t="inlineStr">
        <is>
          <t>Intermedio</t>
        </is>
      </c>
      <c r="E42" s="4" t="n">
        <v>4</v>
      </c>
      <c r="F42" t="inlineStr">
        <is>
          <t>volcán</t>
        </is>
      </c>
      <c r="G42" s="4" t="n">
        <v>25</v>
      </c>
      <c r="H42" s="4" t="n">
        <v>5</v>
      </c>
      <c r="I42" s="4" t="n">
        <v>3</v>
      </c>
      <c r="J42" s="5">
        <f>SUMIF(Ingredientes!$A$2:$A$621,A42,Ingredientes!$G$2:$G$621)</f>
        <v/>
      </c>
      <c r="K42" s="5">
        <f>J42/E42</f>
        <v/>
      </c>
      <c r="L42" s="5">
        <f>G42/E42*'Mi negocio'!$B$8</f>
        <v/>
      </c>
      <c r="M42" s="5">
        <f>I42/E42</f>
        <v/>
      </c>
      <c r="N42" s="5">
        <f>'Mi negocio'!$B$7</f>
        <v/>
      </c>
      <c r="O42" s="5">
        <f>K42+H42+M42+L42+N42</f>
        <v/>
      </c>
      <c r="P42" s="5">
        <f>O42/(1-'Mi negocio'!$B$5)</f>
        <v/>
      </c>
      <c r="Q42" s="5">
        <f>(O42-N42)/(1-'Mi negocio'!$B$5)</f>
        <v/>
      </c>
      <c r="R42" s="5">
        <f>CEILING(ROUND(P42/(1-'Mi negocio'!$B$11),6),1)</f>
        <v/>
      </c>
      <c r="S42" s="5">
        <f>CEILING(ROUND(P42/(1-'Mi negocio'!$B$12),6),1)</f>
        <v/>
      </c>
      <c r="T42" s="5">
        <f>CEILING(ROUND(P42/(1-'Mi negocio'!$B$13),6),1)</f>
        <v/>
      </c>
      <c r="U42" s="5">
        <f>CEILING(ROUND(P42/(1-'Mi negocio'!$B$14),6),1)</f>
        <v/>
      </c>
      <c r="V42" s="5">
        <f>R42-P42</f>
        <v/>
      </c>
    </row>
    <row r="43">
      <c r="A43" t="n">
        <v>42</v>
      </c>
      <c r="B43" t="inlineStr">
        <is>
          <t>Bombones de Manteca de Cacahuate y Sal Marina</t>
        </is>
      </c>
      <c r="C43" t="inlineStr">
        <is>
          <t>B5</t>
        </is>
      </c>
      <c r="D43" t="inlineStr">
        <is>
          <t>Avanzado</t>
        </is>
      </c>
      <c r="E43" s="4" t="n">
        <v>15</v>
      </c>
      <c r="F43" t="inlineStr">
        <is>
          <t>bombón</t>
        </is>
      </c>
      <c r="G43" s="4" t="n">
        <v>60</v>
      </c>
      <c r="H43" s="4" t="n">
        <v>1.2</v>
      </c>
      <c r="I43" s="4" t="n">
        <v>1</v>
      </c>
      <c r="J43" s="5">
        <f>SUMIF(Ingredientes!$A$2:$A$621,A43,Ingredientes!$G$2:$G$621)</f>
        <v/>
      </c>
      <c r="K43" s="5">
        <f>J43/E43</f>
        <v/>
      </c>
      <c r="L43" s="5">
        <f>G43/E43*'Mi negocio'!$B$8</f>
        <v/>
      </c>
      <c r="M43" s="5">
        <f>I43/E43</f>
        <v/>
      </c>
      <c r="N43" s="5">
        <f>'Mi negocio'!$B$7</f>
        <v/>
      </c>
      <c r="O43" s="5">
        <f>K43+H43+M43+L43+N43</f>
        <v/>
      </c>
      <c r="P43" s="5">
        <f>O43/(1-'Mi negocio'!$B$5)</f>
        <v/>
      </c>
      <c r="Q43" s="5">
        <f>(O43-N43)/(1-'Mi negocio'!$B$5)</f>
        <v/>
      </c>
      <c r="R43" s="5">
        <f>CEILING(ROUND(P43/(1-'Mi negocio'!$B$11),6),1)</f>
        <v/>
      </c>
      <c r="S43" s="5">
        <f>CEILING(ROUND(P43/(1-'Mi negocio'!$B$12),6),1)</f>
        <v/>
      </c>
      <c r="T43" s="5">
        <f>CEILING(ROUND(P43/(1-'Mi negocio'!$B$13),6),1)</f>
        <v/>
      </c>
      <c r="U43" s="5">
        <f>CEILING(ROUND(P43/(1-'Mi negocio'!$B$14),6),1)</f>
        <v/>
      </c>
      <c r="V43" s="5">
        <f>R43-P43</f>
        <v/>
      </c>
    </row>
    <row r="44">
      <c r="A44" t="n">
        <v>43</v>
      </c>
      <c r="B44" t="inlineStr">
        <is>
          <t>Glaseado Espejo de Cacao Brillante</t>
        </is>
      </c>
      <c r="C44" t="inlineStr">
        <is>
          <t>B5</t>
        </is>
      </c>
      <c r="D44" t="inlineStr">
        <is>
          <t>Avanzado</t>
        </is>
      </c>
      <c r="E44" s="4" t="n">
        <v>1</v>
      </c>
      <c r="F44" t="inlineStr">
        <is>
          <t>lote (1 pastel)</t>
        </is>
      </c>
      <c r="G44" s="4" t="n">
        <v>30</v>
      </c>
      <c r="H44" s="4" t="n">
        <v>0</v>
      </c>
      <c r="I44" s="4" t="n">
        <v>2</v>
      </c>
      <c r="J44" s="5">
        <f>SUMIF(Ingredientes!$A$2:$A$621,A44,Ingredientes!$G$2:$G$621)</f>
        <v/>
      </c>
      <c r="K44" s="5">
        <f>J44/E44</f>
        <v/>
      </c>
      <c r="L44" s="5">
        <f>G44/E44*'Mi negocio'!$B$8</f>
        <v/>
      </c>
      <c r="M44" s="5">
        <f>I44/E44</f>
        <v/>
      </c>
      <c r="N44" s="5">
        <f>'Mi negocio'!$B$7</f>
        <v/>
      </c>
      <c r="O44" s="5">
        <f>K44+H44+M44+L44+N44</f>
        <v/>
      </c>
      <c r="P44" s="5">
        <f>O44/(1-'Mi negocio'!$B$5)</f>
        <v/>
      </c>
      <c r="Q44" s="5">
        <f>(O44-N44)/(1-'Mi negocio'!$B$5)</f>
        <v/>
      </c>
      <c r="R44" s="5">
        <f>CEILING(ROUND(P44/(1-'Mi negocio'!$B$11),6),1)</f>
        <v/>
      </c>
      <c r="S44" s="5">
        <f>CEILING(ROUND(P44/(1-'Mi negocio'!$B$12),6),1)</f>
        <v/>
      </c>
      <c r="T44" s="5">
        <f>CEILING(ROUND(P44/(1-'Mi negocio'!$B$13),6),1)</f>
        <v/>
      </c>
      <c r="U44" s="5">
        <f>CEILING(ROUND(P44/(1-'Mi negocio'!$B$14),6),1)</f>
        <v/>
      </c>
      <c r="V44" s="5">
        <f>R44-P44</f>
        <v/>
      </c>
    </row>
    <row r="45">
      <c r="A45" t="n">
        <v>44</v>
      </c>
      <c r="B45" t="inlineStr">
        <is>
          <t>Mousse Entremet de Chocolate y Avellana con Base Joconde</t>
        </is>
      </c>
      <c r="C45" t="inlineStr">
        <is>
          <t>B5</t>
        </is>
      </c>
      <c r="D45" t="inlineStr">
        <is>
          <t>Avanzado</t>
        </is>
      </c>
      <c r="E45" s="4" t="n">
        <v>10</v>
      </c>
      <c r="F45" t="inlineStr">
        <is>
          <t>rebanada</t>
        </is>
      </c>
      <c r="G45" s="4" t="n">
        <v>120</v>
      </c>
      <c r="H45" s="4" t="n">
        <v>4.5</v>
      </c>
      <c r="I45" s="4" t="n">
        <v>6</v>
      </c>
      <c r="J45" s="5">
        <f>SUMIF(Ingredientes!$A$2:$A$621,A45,Ingredientes!$G$2:$G$621)</f>
        <v/>
      </c>
      <c r="K45" s="5">
        <f>J45/E45</f>
        <v/>
      </c>
      <c r="L45" s="5">
        <f>G45/E45*'Mi negocio'!$B$8</f>
        <v/>
      </c>
      <c r="M45" s="5">
        <f>I45/E45</f>
        <v/>
      </c>
      <c r="N45" s="5">
        <f>'Mi negocio'!$B$7</f>
        <v/>
      </c>
      <c r="O45" s="5">
        <f>K45+H45+M45+L45+N45</f>
        <v/>
      </c>
      <c r="P45" s="5">
        <f>O45/(1-'Mi negocio'!$B$5)</f>
        <v/>
      </c>
      <c r="Q45" s="5">
        <f>(O45-N45)/(1-'Mi negocio'!$B$5)</f>
        <v/>
      </c>
      <c r="R45" s="5">
        <f>CEILING(ROUND(P45/(1-'Mi negocio'!$B$11),6),1)</f>
        <v/>
      </c>
      <c r="S45" s="5">
        <f>CEILING(ROUND(P45/(1-'Mi negocio'!$B$12),6),1)</f>
        <v/>
      </c>
      <c r="T45" s="5">
        <f>CEILING(ROUND(P45/(1-'Mi negocio'!$B$13),6),1)</f>
        <v/>
      </c>
      <c r="U45" s="5">
        <f>CEILING(ROUND(P45/(1-'Mi negocio'!$B$14),6),1)</f>
        <v/>
      </c>
      <c r="V45" s="5">
        <f>R45-P45</f>
        <v/>
      </c>
    </row>
    <row r="46">
      <c r="A46" t="n">
        <v>45</v>
      </c>
      <c r="B46" t="inlineStr">
        <is>
          <t>Frosting de Queso Crema Estable para Manga Pastelera</t>
        </is>
      </c>
      <c r="C46" t="inlineStr">
        <is>
          <t>B4</t>
        </is>
      </c>
      <c r="D46" t="inlineStr">
        <is>
          <t>Fácil</t>
        </is>
      </c>
      <c r="E46" s="4" t="n">
        <v>1</v>
      </c>
      <c r="F46" t="inlineStr">
        <is>
          <t>lote (600 g)</t>
        </is>
      </c>
      <c r="G46" s="4" t="n">
        <v>15</v>
      </c>
      <c r="H46" s="4" t="n">
        <v>10</v>
      </c>
      <c r="I46" s="4" t="n">
        <v>0</v>
      </c>
      <c r="J46" s="5">
        <f>SUMIF(Ingredientes!$A$2:$A$621,A46,Ingredientes!$G$2:$G$621)</f>
        <v/>
      </c>
      <c r="K46" s="5">
        <f>J46/E46</f>
        <v/>
      </c>
      <c r="L46" s="5">
        <f>G46/E46*'Mi negocio'!$B$8</f>
        <v/>
      </c>
      <c r="M46" s="5">
        <f>I46/E46</f>
        <v/>
      </c>
      <c r="N46" s="5">
        <f>'Mi negocio'!$B$7</f>
        <v/>
      </c>
      <c r="O46" s="5">
        <f>K46+H46+M46+L46+N46</f>
        <v/>
      </c>
      <c r="P46" s="5">
        <f>O46/(1-'Mi negocio'!$B$5)</f>
        <v/>
      </c>
      <c r="Q46" s="5">
        <f>(O46-N46)/(1-'Mi negocio'!$B$5)</f>
        <v/>
      </c>
      <c r="R46" s="5">
        <f>CEILING(ROUND(P46/(1-'Mi negocio'!$B$11),6),1)</f>
        <v/>
      </c>
      <c r="S46" s="5">
        <f>CEILING(ROUND(P46/(1-'Mi negocio'!$B$12),6),1)</f>
        <v/>
      </c>
      <c r="T46" s="5">
        <f>CEILING(ROUND(P46/(1-'Mi negocio'!$B$13),6),1)</f>
        <v/>
      </c>
      <c r="U46" s="5">
        <f>CEILING(ROUND(P46/(1-'Mi negocio'!$B$14),6),1)</f>
        <v/>
      </c>
      <c r="V46" s="5">
        <f>R46-P46</f>
        <v/>
      </c>
    </row>
    <row r="47">
      <c r="A47" t="n">
        <v>46</v>
      </c>
      <c r="B47" t="inlineStr">
        <is>
          <t>Ganache Montada de Vainilla Blanca</t>
        </is>
      </c>
      <c r="C47" t="inlineStr">
        <is>
          <t>B5</t>
        </is>
      </c>
      <c r="D47" t="inlineStr">
        <is>
          <t>Intermedio</t>
        </is>
      </c>
      <c r="E47" s="4" t="n">
        <v>1</v>
      </c>
      <c r="F47" t="inlineStr">
        <is>
          <t>lote (600 g)</t>
        </is>
      </c>
      <c r="G47" s="4" t="n">
        <v>20</v>
      </c>
      <c r="H47" s="4" t="n">
        <v>10</v>
      </c>
      <c r="I47" s="4" t="n">
        <v>1</v>
      </c>
      <c r="J47" s="5">
        <f>SUMIF(Ingredientes!$A$2:$A$621,A47,Ingredientes!$G$2:$G$621)</f>
        <v/>
      </c>
      <c r="K47" s="5">
        <f>J47/E47</f>
        <v/>
      </c>
      <c r="L47" s="5">
        <f>G47/E47*'Mi negocio'!$B$8</f>
        <v/>
      </c>
      <c r="M47" s="5">
        <f>I47/E47</f>
        <v/>
      </c>
      <c r="N47" s="5">
        <f>'Mi negocio'!$B$7</f>
        <v/>
      </c>
      <c r="O47" s="5">
        <f>K47+H47+M47+L47+N47</f>
        <v/>
      </c>
      <c r="P47" s="5">
        <f>O47/(1-'Mi negocio'!$B$5)</f>
        <v/>
      </c>
      <c r="Q47" s="5">
        <f>(O47-N47)/(1-'Mi negocio'!$B$5)</f>
        <v/>
      </c>
      <c r="R47" s="5">
        <f>CEILING(ROUND(P47/(1-'Mi negocio'!$B$11),6),1)</f>
        <v/>
      </c>
      <c r="S47" s="5">
        <f>CEILING(ROUND(P47/(1-'Mi negocio'!$B$12),6),1)</f>
        <v/>
      </c>
      <c r="T47" s="5">
        <f>CEILING(ROUND(P47/(1-'Mi negocio'!$B$13),6),1)</f>
        <v/>
      </c>
      <c r="U47" s="5">
        <f>CEILING(ROUND(P47/(1-'Mi negocio'!$B$14),6),1)</f>
        <v/>
      </c>
      <c r="V47" s="5">
        <f>R47-P47</f>
        <v/>
      </c>
    </row>
    <row r="48">
      <c r="A48" t="n">
        <v>47</v>
      </c>
      <c r="B48" t="inlineStr">
        <is>
          <t>Praliné Keto de Avellana y Caramelo de Alulosa</t>
        </is>
      </c>
      <c r="C48" t="inlineStr">
        <is>
          <t>B6</t>
        </is>
      </c>
      <c r="D48" t="inlineStr">
        <is>
          <t>Intermedio</t>
        </is>
      </c>
      <c r="E48" s="4" t="n">
        <v>1</v>
      </c>
      <c r="F48" t="inlineStr">
        <is>
          <t>frasco (350 g)</t>
        </is>
      </c>
      <c r="G48" s="4" t="n">
        <v>35</v>
      </c>
      <c r="H48" s="4" t="n">
        <v>14</v>
      </c>
      <c r="I48" s="4" t="n">
        <v>4</v>
      </c>
      <c r="J48" s="5">
        <f>SUMIF(Ingredientes!$A$2:$A$621,A48,Ingredientes!$G$2:$G$621)</f>
        <v/>
      </c>
      <c r="K48" s="5">
        <f>J48/E48</f>
        <v/>
      </c>
      <c r="L48" s="5">
        <f>G48/E48*'Mi negocio'!$B$8</f>
        <v/>
      </c>
      <c r="M48" s="5">
        <f>I48/E48</f>
        <v/>
      </c>
      <c r="N48" s="5">
        <f>'Mi negocio'!$B$7</f>
        <v/>
      </c>
      <c r="O48" s="5">
        <f>K48+H48+M48+L48+N48</f>
        <v/>
      </c>
      <c r="P48" s="5">
        <f>O48/(1-'Mi negocio'!$B$5)</f>
        <v/>
      </c>
      <c r="Q48" s="5">
        <f>(O48-N48)/(1-'Mi negocio'!$B$5)</f>
        <v/>
      </c>
      <c r="R48" s="5">
        <f>CEILING(ROUND(P48/(1-'Mi negocio'!$B$11),6),1)</f>
        <v/>
      </c>
      <c r="S48" s="5">
        <f>CEILING(ROUND(P48/(1-'Mi negocio'!$B$12),6),1)</f>
        <v/>
      </c>
      <c r="T48" s="5">
        <f>CEILING(ROUND(P48/(1-'Mi negocio'!$B$13),6),1)</f>
        <v/>
      </c>
      <c r="U48" s="5">
        <f>CEILING(ROUND(P48/(1-'Mi negocio'!$B$14),6),1)</f>
        <v/>
      </c>
      <c r="V48" s="5">
        <f>R48-P48</f>
        <v/>
      </c>
    </row>
    <row r="49">
      <c r="A49" t="n">
        <v>48</v>
      </c>
      <c r="B49" t="inlineStr">
        <is>
          <t>Cobertura Ferrero Rocosa de Chocolate y Almendra</t>
        </is>
      </c>
      <c r="C49" t="inlineStr">
        <is>
          <t>B5</t>
        </is>
      </c>
      <c r="D49" t="inlineStr">
        <is>
          <t>Fácil</t>
        </is>
      </c>
      <c r="E49" s="4" t="n">
        <v>1</v>
      </c>
      <c r="F49" t="inlineStr">
        <is>
          <t>lote (350 g)</t>
        </is>
      </c>
      <c r="G49" s="4" t="n">
        <v>15</v>
      </c>
      <c r="H49" s="4" t="n">
        <v>10</v>
      </c>
      <c r="I49" s="4" t="n">
        <v>1</v>
      </c>
      <c r="J49" s="5">
        <f>SUMIF(Ingredientes!$A$2:$A$621,A49,Ingredientes!$G$2:$G$621)</f>
        <v/>
      </c>
      <c r="K49" s="5">
        <f>J49/E49</f>
        <v/>
      </c>
      <c r="L49" s="5">
        <f>G49/E49*'Mi negocio'!$B$8</f>
        <v/>
      </c>
      <c r="M49" s="5">
        <f>I49/E49</f>
        <v/>
      </c>
      <c r="N49" s="5">
        <f>'Mi negocio'!$B$7</f>
        <v/>
      </c>
      <c r="O49" s="5">
        <f>K49+H49+M49+L49+N49</f>
        <v/>
      </c>
      <c r="P49" s="5">
        <f>O49/(1-'Mi negocio'!$B$5)</f>
        <v/>
      </c>
      <c r="Q49" s="5">
        <f>(O49-N49)/(1-'Mi negocio'!$B$5)</f>
        <v/>
      </c>
      <c r="R49" s="5">
        <f>CEILING(ROUND(P49/(1-'Mi negocio'!$B$11),6),1)</f>
        <v/>
      </c>
      <c r="S49" s="5">
        <f>CEILING(ROUND(P49/(1-'Mi negocio'!$B$12),6),1)</f>
        <v/>
      </c>
      <c r="T49" s="5">
        <f>CEILING(ROUND(P49/(1-'Mi negocio'!$B$13),6),1)</f>
        <v/>
      </c>
      <c r="U49" s="5">
        <f>CEILING(ROUND(P49/(1-'Mi negocio'!$B$14),6),1)</f>
        <v/>
      </c>
      <c r="V49" s="5">
        <f>R49-P49</f>
        <v/>
      </c>
    </row>
    <row r="50">
      <c r="A50" t="n">
        <v>49</v>
      </c>
      <c r="B50" t="inlineStr">
        <is>
          <t>Caramelo Salado Macchiato para Bañar</t>
        </is>
      </c>
      <c r="C50" t="inlineStr">
        <is>
          <t>B6</t>
        </is>
      </c>
      <c r="D50" t="inlineStr">
        <is>
          <t>Fácil</t>
        </is>
      </c>
      <c r="E50" s="4" t="n">
        <v>1</v>
      </c>
      <c r="F50" t="inlineStr">
        <is>
          <t>frasco (350 g)</t>
        </is>
      </c>
      <c r="G50" s="4" t="n">
        <v>20</v>
      </c>
      <c r="H50" s="4" t="n">
        <v>14</v>
      </c>
      <c r="I50" s="4" t="n">
        <v>2</v>
      </c>
      <c r="J50" s="5">
        <f>SUMIF(Ingredientes!$A$2:$A$621,A50,Ingredientes!$G$2:$G$621)</f>
        <v/>
      </c>
      <c r="K50" s="5">
        <f>J50/E50</f>
        <v/>
      </c>
      <c r="L50" s="5">
        <f>G50/E50*'Mi negocio'!$B$8</f>
        <v/>
      </c>
      <c r="M50" s="5">
        <f>I50/E50</f>
        <v/>
      </c>
      <c r="N50" s="5">
        <f>'Mi negocio'!$B$7</f>
        <v/>
      </c>
      <c r="O50" s="5">
        <f>K50+H50+M50+L50+N50</f>
        <v/>
      </c>
      <c r="P50" s="5">
        <f>O50/(1-'Mi negocio'!$B$5)</f>
        <v/>
      </c>
      <c r="Q50" s="5">
        <f>(O50-N50)/(1-'Mi negocio'!$B$5)</f>
        <v/>
      </c>
      <c r="R50" s="5">
        <f>CEILING(ROUND(P50/(1-'Mi negocio'!$B$11),6),1)</f>
        <v/>
      </c>
      <c r="S50" s="5">
        <f>CEILING(ROUND(P50/(1-'Mi negocio'!$B$12),6),1)</f>
        <v/>
      </c>
      <c r="T50" s="5">
        <f>CEILING(ROUND(P50/(1-'Mi negocio'!$B$13),6),1)</f>
        <v/>
      </c>
      <c r="U50" s="5">
        <f>CEILING(ROUND(P50/(1-'Mi negocio'!$B$14),6),1)</f>
        <v/>
      </c>
      <c r="V50" s="5">
        <f>R50-P50</f>
        <v/>
      </c>
    </row>
  </sheetData>
  <autoFilter ref="A1:V50"/>
  <conditionalFormatting sqref="V2:V50">
    <cfRule type="cellIs" priority="1" operator="lessThan" dxfId="0">
      <formula>20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2" max="2"/>
  </cols>
  <sheetData>
    <row r="1">
      <c r="A1" s="3" t="inlineStr">
        <is>
          <t>#</t>
        </is>
      </c>
      <c r="B1" s="3" t="inlineStr">
        <is>
          <t>Receta</t>
        </is>
      </c>
      <c r="C1" s="3" t="inlineStr">
        <is>
          <t>Piezas a producir</t>
        </is>
      </c>
      <c r="D1" s="3" t="inlineStr">
        <is>
          <t>Piezas por lote</t>
        </is>
      </c>
      <c r="E1" s="3" t="inlineStr">
        <is>
          <t>Lotes</t>
        </is>
      </c>
      <c r="F1" s="3" t="inlineStr">
        <is>
          <t>Costo insumos</t>
        </is>
      </c>
    </row>
    <row r="2">
      <c r="A2" t="n">
        <v>1</v>
      </c>
      <c r="B2">
        <f>VLOOKUP(A2,'Recetas y precios'!$A:$B,2,FALSE)</f>
        <v/>
      </c>
      <c r="C2" s="4" t="n">
        <v>0</v>
      </c>
      <c r="D2">
        <f>VLOOKUP(A2,'Recetas y precios'!$A:$E,5,FALSE)</f>
        <v/>
      </c>
      <c r="E2">
        <f>IF(C2&gt;0,CEILING(C2/D2,1),0)</f>
        <v/>
      </c>
      <c r="F2">
        <f>E2*VLOOKUP(A2,'Recetas y precios'!$A:$J,10,FALSE)</f>
        <v/>
      </c>
    </row>
    <row r="3">
      <c r="A3" t="n">
        <v>2</v>
      </c>
      <c r="B3">
        <f>VLOOKUP(A3,'Recetas y precios'!$A:$B,2,FALSE)</f>
        <v/>
      </c>
      <c r="C3" s="4" t="n">
        <v>0</v>
      </c>
      <c r="D3">
        <f>VLOOKUP(A3,'Recetas y precios'!$A:$E,5,FALSE)</f>
        <v/>
      </c>
      <c r="E3">
        <f>IF(C3&gt;0,CEILING(C3/D3,1),0)</f>
        <v/>
      </c>
      <c r="F3">
        <f>E3*VLOOKUP(A3,'Recetas y precios'!$A:$J,10,FALSE)</f>
        <v/>
      </c>
    </row>
    <row r="4">
      <c r="A4" t="n">
        <v>3</v>
      </c>
      <c r="B4">
        <f>VLOOKUP(A4,'Recetas y precios'!$A:$B,2,FALSE)</f>
        <v/>
      </c>
      <c r="C4" s="4" t="n">
        <v>0</v>
      </c>
      <c r="D4">
        <f>VLOOKUP(A4,'Recetas y precios'!$A:$E,5,FALSE)</f>
        <v/>
      </c>
      <c r="E4">
        <f>IF(C4&gt;0,CEILING(C4/D4,1),0)</f>
        <v/>
      </c>
      <c r="F4">
        <f>E4*VLOOKUP(A4,'Recetas y precios'!$A:$J,10,FALSE)</f>
        <v/>
      </c>
    </row>
    <row r="5">
      <c r="A5" t="n">
        <v>4</v>
      </c>
      <c r="B5">
        <f>VLOOKUP(A5,'Recetas y precios'!$A:$B,2,FALSE)</f>
        <v/>
      </c>
      <c r="C5" s="4" t="n">
        <v>0</v>
      </c>
      <c r="D5">
        <f>VLOOKUP(A5,'Recetas y precios'!$A:$E,5,FALSE)</f>
        <v/>
      </c>
      <c r="E5">
        <f>IF(C5&gt;0,CEILING(C5/D5,1),0)</f>
        <v/>
      </c>
      <c r="F5">
        <f>E5*VLOOKUP(A5,'Recetas y precios'!$A:$J,10,FALSE)</f>
        <v/>
      </c>
    </row>
    <row r="6">
      <c r="A6" t="n">
        <v>5</v>
      </c>
      <c r="B6">
        <f>VLOOKUP(A6,'Recetas y precios'!$A:$B,2,FALSE)</f>
        <v/>
      </c>
      <c r="C6" s="4" t="n">
        <v>0</v>
      </c>
      <c r="D6">
        <f>VLOOKUP(A6,'Recetas y precios'!$A:$E,5,FALSE)</f>
        <v/>
      </c>
      <c r="E6">
        <f>IF(C6&gt;0,CEILING(C6/D6,1),0)</f>
        <v/>
      </c>
      <c r="F6">
        <f>E6*VLOOKUP(A6,'Recetas y precios'!$A:$J,10,FALSE)</f>
        <v/>
      </c>
    </row>
    <row r="7">
      <c r="A7" t="n">
        <v>6</v>
      </c>
      <c r="B7">
        <f>VLOOKUP(A7,'Recetas y precios'!$A:$B,2,FALSE)</f>
        <v/>
      </c>
      <c r="C7" s="4" t="n">
        <v>0</v>
      </c>
      <c r="D7">
        <f>VLOOKUP(A7,'Recetas y precios'!$A:$E,5,FALSE)</f>
        <v/>
      </c>
      <c r="E7">
        <f>IF(C7&gt;0,CEILING(C7/D7,1),0)</f>
        <v/>
      </c>
      <c r="F7">
        <f>E7*VLOOKUP(A7,'Recetas y precios'!$A:$J,10,FALSE)</f>
        <v/>
      </c>
    </row>
    <row r="8">
      <c r="A8" t="n">
        <v>7</v>
      </c>
      <c r="B8">
        <f>VLOOKUP(A8,'Recetas y precios'!$A:$B,2,FALSE)</f>
        <v/>
      </c>
      <c r="C8" s="4" t="n">
        <v>0</v>
      </c>
      <c r="D8">
        <f>VLOOKUP(A8,'Recetas y precios'!$A:$E,5,FALSE)</f>
        <v/>
      </c>
      <c r="E8">
        <f>IF(C8&gt;0,CEILING(C8/D8,1),0)</f>
        <v/>
      </c>
      <c r="F8">
        <f>E8*VLOOKUP(A8,'Recetas y precios'!$A:$J,10,FALSE)</f>
        <v/>
      </c>
    </row>
    <row r="9">
      <c r="A9" t="n">
        <v>8</v>
      </c>
      <c r="B9">
        <f>VLOOKUP(A9,'Recetas y precios'!$A:$B,2,FALSE)</f>
        <v/>
      </c>
      <c r="C9" s="4" t="n">
        <v>0</v>
      </c>
      <c r="D9">
        <f>VLOOKUP(A9,'Recetas y precios'!$A:$E,5,FALSE)</f>
        <v/>
      </c>
      <c r="E9">
        <f>IF(C9&gt;0,CEILING(C9/D9,1),0)</f>
        <v/>
      </c>
      <c r="F9">
        <f>E9*VLOOKUP(A9,'Recetas y precios'!$A:$J,10,FALSE)</f>
        <v/>
      </c>
    </row>
    <row r="10">
      <c r="A10" t="n">
        <v>9</v>
      </c>
      <c r="B10">
        <f>VLOOKUP(A10,'Recetas y precios'!$A:$B,2,FALSE)</f>
        <v/>
      </c>
      <c r="C10" s="4" t="n">
        <v>0</v>
      </c>
      <c r="D10">
        <f>VLOOKUP(A10,'Recetas y precios'!$A:$E,5,FALSE)</f>
        <v/>
      </c>
      <c r="E10">
        <f>IF(C10&gt;0,CEILING(C10/D10,1),0)</f>
        <v/>
      </c>
      <c r="F10">
        <f>E10*VLOOKUP(A10,'Recetas y precios'!$A:$J,10,FALSE)</f>
        <v/>
      </c>
    </row>
    <row r="11">
      <c r="A11" t="n">
        <v>10</v>
      </c>
      <c r="B11">
        <f>VLOOKUP(A11,'Recetas y precios'!$A:$B,2,FALSE)</f>
        <v/>
      </c>
      <c r="C11" s="4" t="n">
        <v>0</v>
      </c>
      <c r="D11">
        <f>VLOOKUP(A11,'Recetas y precios'!$A:$E,5,FALSE)</f>
        <v/>
      </c>
      <c r="E11">
        <f>IF(C11&gt;0,CEILING(C11/D11,1),0)</f>
        <v/>
      </c>
      <c r="F11">
        <f>E11*VLOOKUP(A11,'Recetas y precios'!$A:$J,10,FALSE)</f>
        <v/>
      </c>
    </row>
    <row r="12">
      <c r="A12" t="n">
        <v>11</v>
      </c>
      <c r="B12">
        <f>VLOOKUP(A12,'Recetas y precios'!$A:$B,2,FALSE)</f>
        <v/>
      </c>
      <c r="C12" s="4" t="n">
        <v>0</v>
      </c>
      <c r="D12">
        <f>VLOOKUP(A12,'Recetas y precios'!$A:$E,5,FALSE)</f>
        <v/>
      </c>
      <c r="E12">
        <f>IF(C12&gt;0,CEILING(C12/D12,1),0)</f>
        <v/>
      </c>
      <c r="F12">
        <f>E12*VLOOKUP(A12,'Recetas y precios'!$A:$J,10,FALSE)</f>
        <v/>
      </c>
    </row>
    <row r="13">
      <c r="A13" t="n">
        <v>12</v>
      </c>
      <c r="B13">
        <f>VLOOKUP(A13,'Recetas y precios'!$A:$B,2,FALSE)</f>
        <v/>
      </c>
      <c r="C13" s="4" t="n">
        <v>0</v>
      </c>
      <c r="D13">
        <f>VLOOKUP(A13,'Recetas y precios'!$A:$E,5,FALSE)</f>
        <v/>
      </c>
      <c r="E13">
        <f>IF(C13&gt;0,CEILING(C13/D13,1),0)</f>
        <v/>
      </c>
      <c r="F13">
        <f>E13*VLOOKUP(A13,'Recetas y precios'!$A:$J,10,FALSE)</f>
        <v/>
      </c>
    </row>
    <row r="14">
      <c r="A14" t="n">
        <v>13</v>
      </c>
      <c r="B14">
        <f>VLOOKUP(A14,'Recetas y precios'!$A:$B,2,FALSE)</f>
        <v/>
      </c>
      <c r="C14" s="4" t="n">
        <v>0</v>
      </c>
      <c r="D14">
        <f>VLOOKUP(A14,'Recetas y precios'!$A:$E,5,FALSE)</f>
        <v/>
      </c>
      <c r="E14">
        <f>IF(C14&gt;0,CEILING(C14/D14,1),0)</f>
        <v/>
      </c>
      <c r="F14">
        <f>E14*VLOOKUP(A14,'Recetas y precios'!$A:$J,10,FALSE)</f>
        <v/>
      </c>
    </row>
    <row r="15">
      <c r="A15" t="n">
        <v>14</v>
      </c>
      <c r="B15">
        <f>VLOOKUP(A15,'Recetas y precios'!$A:$B,2,FALSE)</f>
        <v/>
      </c>
      <c r="C15" s="4" t="n">
        <v>0</v>
      </c>
      <c r="D15">
        <f>VLOOKUP(A15,'Recetas y precios'!$A:$E,5,FALSE)</f>
        <v/>
      </c>
      <c r="E15">
        <f>IF(C15&gt;0,CEILING(C15/D15,1),0)</f>
        <v/>
      </c>
      <c r="F15">
        <f>E15*VLOOKUP(A15,'Recetas y precios'!$A:$J,10,FALSE)</f>
        <v/>
      </c>
    </row>
    <row r="16">
      <c r="A16" t="n">
        <v>15</v>
      </c>
      <c r="B16">
        <f>VLOOKUP(A16,'Recetas y precios'!$A:$B,2,FALSE)</f>
        <v/>
      </c>
      <c r="C16" s="4" t="n">
        <v>0</v>
      </c>
      <c r="D16">
        <f>VLOOKUP(A16,'Recetas y precios'!$A:$E,5,FALSE)</f>
        <v/>
      </c>
      <c r="E16">
        <f>IF(C16&gt;0,CEILING(C16/D16,1),0)</f>
        <v/>
      </c>
      <c r="F16">
        <f>E16*VLOOKUP(A16,'Recetas y precios'!$A:$J,10,FALSE)</f>
        <v/>
      </c>
    </row>
    <row r="17">
      <c r="A17" t="n">
        <v>16</v>
      </c>
      <c r="B17">
        <f>VLOOKUP(A17,'Recetas y precios'!$A:$B,2,FALSE)</f>
        <v/>
      </c>
      <c r="C17" s="4" t="n">
        <v>0</v>
      </c>
      <c r="D17">
        <f>VLOOKUP(A17,'Recetas y precios'!$A:$E,5,FALSE)</f>
        <v/>
      </c>
      <c r="E17">
        <f>IF(C17&gt;0,CEILING(C17/D17,1),0)</f>
        <v/>
      </c>
      <c r="F17">
        <f>E17*VLOOKUP(A17,'Recetas y precios'!$A:$J,10,FALSE)</f>
        <v/>
      </c>
    </row>
    <row r="18">
      <c r="A18" t="n">
        <v>17</v>
      </c>
      <c r="B18">
        <f>VLOOKUP(A18,'Recetas y precios'!$A:$B,2,FALSE)</f>
        <v/>
      </c>
      <c r="C18" s="4" t="n">
        <v>0</v>
      </c>
      <c r="D18">
        <f>VLOOKUP(A18,'Recetas y precios'!$A:$E,5,FALSE)</f>
        <v/>
      </c>
      <c r="E18">
        <f>IF(C18&gt;0,CEILING(C18/D18,1),0)</f>
        <v/>
      </c>
      <c r="F18">
        <f>E18*VLOOKUP(A18,'Recetas y precios'!$A:$J,10,FALSE)</f>
        <v/>
      </c>
    </row>
    <row r="19">
      <c r="A19" t="n">
        <v>18</v>
      </c>
      <c r="B19">
        <f>VLOOKUP(A19,'Recetas y precios'!$A:$B,2,FALSE)</f>
        <v/>
      </c>
      <c r="C19" s="4" t="n">
        <v>0</v>
      </c>
      <c r="D19">
        <f>VLOOKUP(A19,'Recetas y precios'!$A:$E,5,FALSE)</f>
        <v/>
      </c>
      <c r="E19">
        <f>IF(C19&gt;0,CEILING(C19/D19,1),0)</f>
        <v/>
      </c>
      <c r="F19">
        <f>E19*VLOOKUP(A19,'Recetas y precios'!$A:$J,10,FALSE)</f>
        <v/>
      </c>
    </row>
    <row r="20">
      <c r="A20" t="n">
        <v>19</v>
      </c>
      <c r="B20">
        <f>VLOOKUP(A20,'Recetas y precios'!$A:$B,2,FALSE)</f>
        <v/>
      </c>
      <c r="C20" s="4" t="n">
        <v>0</v>
      </c>
      <c r="D20">
        <f>VLOOKUP(A20,'Recetas y precios'!$A:$E,5,FALSE)</f>
        <v/>
      </c>
      <c r="E20">
        <f>IF(C20&gt;0,CEILING(C20/D20,1),0)</f>
        <v/>
      </c>
      <c r="F20">
        <f>E20*VLOOKUP(A20,'Recetas y precios'!$A:$J,10,FALSE)</f>
        <v/>
      </c>
    </row>
    <row r="21">
      <c r="A21" t="n">
        <v>20</v>
      </c>
      <c r="B21">
        <f>VLOOKUP(A21,'Recetas y precios'!$A:$B,2,FALSE)</f>
        <v/>
      </c>
      <c r="C21" s="4" t="n">
        <v>0</v>
      </c>
      <c r="D21">
        <f>VLOOKUP(A21,'Recetas y precios'!$A:$E,5,FALSE)</f>
        <v/>
      </c>
      <c r="E21">
        <f>IF(C21&gt;0,CEILING(C21/D21,1),0)</f>
        <v/>
      </c>
      <c r="F21">
        <f>E21*VLOOKUP(A21,'Recetas y precios'!$A:$J,10,FALSE)</f>
        <v/>
      </c>
    </row>
    <row r="22">
      <c r="A22" t="n">
        <v>21</v>
      </c>
      <c r="B22">
        <f>VLOOKUP(A22,'Recetas y precios'!$A:$B,2,FALSE)</f>
        <v/>
      </c>
      <c r="C22" s="4" t="n">
        <v>0</v>
      </c>
      <c r="D22">
        <f>VLOOKUP(A22,'Recetas y precios'!$A:$E,5,FALSE)</f>
        <v/>
      </c>
      <c r="E22">
        <f>IF(C22&gt;0,CEILING(C22/D22,1),0)</f>
        <v/>
      </c>
      <c r="F22">
        <f>E22*VLOOKUP(A22,'Recetas y precios'!$A:$J,10,FALSE)</f>
        <v/>
      </c>
    </row>
    <row r="23">
      <c r="A23" t="n">
        <v>22</v>
      </c>
      <c r="B23">
        <f>VLOOKUP(A23,'Recetas y precios'!$A:$B,2,FALSE)</f>
        <v/>
      </c>
      <c r="C23" s="4" t="n">
        <v>0</v>
      </c>
      <c r="D23">
        <f>VLOOKUP(A23,'Recetas y precios'!$A:$E,5,FALSE)</f>
        <v/>
      </c>
      <c r="E23">
        <f>IF(C23&gt;0,CEILING(C23/D23,1),0)</f>
        <v/>
      </c>
      <c r="F23">
        <f>E23*VLOOKUP(A23,'Recetas y precios'!$A:$J,10,FALSE)</f>
        <v/>
      </c>
    </row>
    <row r="24">
      <c r="A24" t="n">
        <v>23</v>
      </c>
      <c r="B24">
        <f>VLOOKUP(A24,'Recetas y precios'!$A:$B,2,FALSE)</f>
        <v/>
      </c>
      <c r="C24" s="4" t="n">
        <v>0</v>
      </c>
      <c r="D24">
        <f>VLOOKUP(A24,'Recetas y precios'!$A:$E,5,FALSE)</f>
        <v/>
      </c>
      <c r="E24">
        <f>IF(C24&gt;0,CEILING(C24/D24,1),0)</f>
        <v/>
      </c>
      <c r="F24">
        <f>E24*VLOOKUP(A24,'Recetas y precios'!$A:$J,10,FALSE)</f>
        <v/>
      </c>
    </row>
    <row r="25">
      <c r="A25" t="n">
        <v>24</v>
      </c>
      <c r="B25">
        <f>VLOOKUP(A25,'Recetas y precios'!$A:$B,2,FALSE)</f>
        <v/>
      </c>
      <c r="C25" s="4" t="n">
        <v>0</v>
      </c>
      <c r="D25">
        <f>VLOOKUP(A25,'Recetas y precios'!$A:$E,5,FALSE)</f>
        <v/>
      </c>
      <c r="E25">
        <f>IF(C25&gt;0,CEILING(C25/D25,1),0)</f>
        <v/>
      </c>
      <c r="F25">
        <f>E25*VLOOKUP(A25,'Recetas y precios'!$A:$J,10,FALSE)</f>
        <v/>
      </c>
    </row>
    <row r="26">
      <c r="A26" t="n">
        <v>25</v>
      </c>
      <c r="B26">
        <f>VLOOKUP(A26,'Recetas y precios'!$A:$B,2,FALSE)</f>
        <v/>
      </c>
      <c r="C26" s="4" t="n">
        <v>0</v>
      </c>
      <c r="D26">
        <f>VLOOKUP(A26,'Recetas y precios'!$A:$E,5,FALSE)</f>
        <v/>
      </c>
      <c r="E26">
        <f>IF(C26&gt;0,CEILING(C26/D26,1),0)</f>
        <v/>
      </c>
      <c r="F26">
        <f>E26*VLOOKUP(A26,'Recetas y precios'!$A:$J,10,FALSE)</f>
        <v/>
      </c>
    </row>
    <row r="27">
      <c r="A27" t="n">
        <v>26</v>
      </c>
      <c r="B27">
        <f>VLOOKUP(A27,'Recetas y precios'!$A:$B,2,FALSE)</f>
        <v/>
      </c>
      <c r="C27" s="4" t="n">
        <v>0</v>
      </c>
      <c r="D27">
        <f>VLOOKUP(A27,'Recetas y precios'!$A:$E,5,FALSE)</f>
        <v/>
      </c>
      <c r="E27">
        <f>IF(C27&gt;0,CEILING(C27/D27,1),0)</f>
        <v/>
      </c>
      <c r="F27">
        <f>E27*VLOOKUP(A27,'Recetas y precios'!$A:$J,10,FALSE)</f>
        <v/>
      </c>
    </row>
    <row r="28">
      <c r="A28" t="n">
        <v>27</v>
      </c>
      <c r="B28">
        <f>VLOOKUP(A28,'Recetas y precios'!$A:$B,2,FALSE)</f>
        <v/>
      </c>
      <c r="C28" s="4" t="n">
        <v>0</v>
      </c>
      <c r="D28">
        <f>VLOOKUP(A28,'Recetas y precios'!$A:$E,5,FALSE)</f>
        <v/>
      </c>
      <c r="E28">
        <f>IF(C28&gt;0,CEILING(C28/D28,1),0)</f>
        <v/>
      </c>
      <c r="F28">
        <f>E28*VLOOKUP(A28,'Recetas y precios'!$A:$J,10,FALSE)</f>
        <v/>
      </c>
    </row>
    <row r="29">
      <c r="A29" t="n">
        <v>28</v>
      </c>
      <c r="B29">
        <f>VLOOKUP(A29,'Recetas y precios'!$A:$B,2,FALSE)</f>
        <v/>
      </c>
      <c r="C29" s="4" t="n">
        <v>0</v>
      </c>
      <c r="D29">
        <f>VLOOKUP(A29,'Recetas y precios'!$A:$E,5,FALSE)</f>
        <v/>
      </c>
      <c r="E29">
        <f>IF(C29&gt;0,CEILING(C29/D29,1),0)</f>
        <v/>
      </c>
      <c r="F29">
        <f>E29*VLOOKUP(A29,'Recetas y precios'!$A:$J,10,FALSE)</f>
        <v/>
      </c>
    </row>
    <row r="30">
      <c r="A30" t="n">
        <v>29</v>
      </c>
      <c r="B30">
        <f>VLOOKUP(A30,'Recetas y precios'!$A:$B,2,FALSE)</f>
        <v/>
      </c>
      <c r="C30" s="4" t="n">
        <v>0</v>
      </c>
      <c r="D30">
        <f>VLOOKUP(A30,'Recetas y precios'!$A:$E,5,FALSE)</f>
        <v/>
      </c>
      <c r="E30">
        <f>IF(C30&gt;0,CEILING(C30/D30,1),0)</f>
        <v/>
      </c>
      <c r="F30">
        <f>E30*VLOOKUP(A30,'Recetas y precios'!$A:$J,10,FALSE)</f>
        <v/>
      </c>
    </row>
    <row r="31">
      <c r="A31" t="n">
        <v>30</v>
      </c>
      <c r="B31">
        <f>VLOOKUP(A31,'Recetas y precios'!$A:$B,2,FALSE)</f>
        <v/>
      </c>
      <c r="C31" s="4" t="n">
        <v>0</v>
      </c>
      <c r="D31">
        <f>VLOOKUP(A31,'Recetas y precios'!$A:$E,5,FALSE)</f>
        <v/>
      </c>
      <c r="E31">
        <f>IF(C31&gt;0,CEILING(C31/D31,1),0)</f>
        <v/>
      </c>
      <c r="F31">
        <f>E31*VLOOKUP(A31,'Recetas y precios'!$A:$J,10,FALSE)</f>
        <v/>
      </c>
    </row>
    <row r="32">
      <c r="A32" t="n">
        <v>31</v>
      </c>
      <c r="B32">
        <f>VLOOKUP(A32,'Recetas y precios'!$A:$B,2,FALSE)</f>
        <v/>
      </c>
      <c r="C32" s="4" t="n">
        <v>0</v>
      </c>
      <c r="D32">
        <f>VLOOKUP(A32,'Recetas y precios'!$A:$E,5,FALSE)</f>
        <v/>
      </c>
      <c r="E32">
        <f>IF(C32&gt;0,CEILING(C32/D32,1),0)</f>
        <v/>
      </c>
      <c r="F32">
        <f>E32*VLOOKUP(A32,'Recetas y precios'!$A:$J,10,FALSE)</f>
        <v/>
      </c>
    </row>
    <row r="33">
      <c r="A33" t="n">
        <v>32</v>
      </c>
      <c r="B33">
        <f>VLOOKUP(A33,'Recetas y precios'!$A:$B,2,FALSE)</f>
        <v/>
      </c>
      <c r="C33" s="4" t="n">
        <v>0</v>
      </c>
      <c r="D33">
        <f>VLOOKUP(A33,'Recetas y precios'!$A:$E,5,FALSE)</f>
        <v/>
      </c>
      <c r="E33">
        <f>IF(C33&gt;0,CEILING(C33/D33,1),0)</f>
        <v/>
      </c>
      <c r="F33">
        <f>E33*VLOOKUP(A33,'Recetas y precios'!$A:$J,10,FALSE)</f>
        <v/>
      </c>
    </row>
    <row r="34">
      <c r="A34" t="n">
        <v>33</v>
      </c>
      <c r="B34">
        <f>VLOOKUP(A34,'Recetas y precios'!$A:$B,2,FALSE)</f>
        <v/>
      </c>
      <c r="C34" s="4" t="n">
        <v>0</v>
      </c>
      <c r="D34">
        <f>VLOOKUP(A34,'Recetas y precios'!$A:$E,5,FALSE)</f>
        <v/>
      </c>
      <c r="E34">
        <f>IF(C34&gt;0,CEILING(C34/D34,1),0)</f>
        <v/>
      </c>
      <c r="F34">
        <f>E34*VLOOKUP(A34,'Recetas y precios'!$A:$J,10,FALSE)</f>
        <v/>
      </c>
    </row>
    <row r="35">
      <c r="A35" t="n">
        <v>34</v>
      </c>
      <c r="B35">
        <f>VLOOKUP(A35,'Recetas y precios'!$A:$B,2,FALSE)</f>
        <v/>
      </c>
      <c r="C35" s="4" t="n">
        <v>0</v>
      </c>
      <c r="D35">
        <f>VLOOKUP(A35,'Recetas y precios'!$A:$E,5,FALSE)</f>
        <v/>
      </c>
      <c r="E35">
        <f>IF(C35&gt;0,CEILING(C35/D35,1),0)</f>
        <v/>
      </c>
      <c r="F35">
        <f>E35*VLOOKUP(A35,'Recetas y precios'!$A:$J,10,FALSE)</f>
        <v/>
      </c>
    </row>
    <row r="36">
      <c r="A36" t="n">
        <v>35</v>
      </c>
      <c r="B36">
        <f>VLOOKUP(A36,'Recetas y precios'!$A:$B,2,FALSE)</f>
        <v/>
      </c>
      <c r="C36" s="4" t="n">
        <v>0</v>
      </c>
      <c r="D36">
        <f>VLOOKUP(A36,'Recetas y precios'!$A:$E,5,FALSE)</f>
        <v/>
      </c>
      <c r="E36">
        <f>IF(C36&gt;0,CEILING(C36/D36,1),0)</f>
        <v/>
      </c>
      <c r="F36">
        <f>E36*VLOOKUP(A36,'Recetas y precios'!$A:$J,10,FALSE)</f>
        <v/>
      </c>
    </row>
    <row r="37">
      <c r="A37" t="n">
        <v>36</v>
      </c>
      <c r="B37">
        <f>VLOOKUP(A37,'Recetas y precios'!$A:$B,2,FALSE)</f>
        <v/>
      </c>
      <c r="C37" s="4" t="n">
        <v>0</v>
      </c>
      <c r="D37">
        <f>VLOOKUP(A37,'Recetas y precios'!$A:$E,5,FALSE)</f>
        <v/>
      </c>
      <c r="E37">
        <f>IF(C37&gt;0,CEILING(C37/D37,1),0)</f>
        <v/>
      </c>
      <c r="F37">
        <f>E37*VLOOKUP(A37,'Recetas y precios'!$A:$J,10,FALSE)</f>
        <v/>
      </c>
    </row>
    <row r="38">
      <c r="A38" t="n">
        <v>37</v>
      </c>
      <c r="B38">
        <f>VLOOKUP(A38,'Recetas y precios'!$A:$B,2,FALSE)</f>
        <v/>
      </c>
      <c r="C38" s="4" t="n">
        <v>0</v>
      </c>
      <c r="D38">
        <f>VLOOKUP(A38,'Recetas y precios'!$A:$E,5,FALSE)</f>
        <v/>
      </c>
      <c r="E38">
        <f>IF(C38&gt;0,CEILING(C38/D38,1),0)</f>
        <v/>
      </c>
      <c r="F38">
        <f>E38*VLOOKUP(A38,'Recetas y precios'!$A:$J,10,FALSE)</f>
        <v/>
      </c>
    </row>
    <row r="39">
      <c r="A39" t="n">
        <v>38</v>
      </c>
      <c r="B39">
        <f>VLOOKUP(A39,'Recetas y precios'!$A:$B,2,FALSE)</f>
        <v/>
      </c>
      <c r="C39" s="4" t="n">
        <v>0</v>
      </c>
      <c r="D39">
        <f>VLOOKUP(A39,'Recetas y precios'!$A:$E,5,FALSE)</f>
        <v/>
      </c>
      <c r="E39">
        <f>IF(C39&gt;0,CEILING(C39/D39,1),0)</f>
        <v/>
      </c>
      <c r="F39">
        <f>E39*VLOOKUP(A39,'Recetas y precios'!$A:$J,10,FALSE)</f>
        <v/>
      </c>
    </row>
    <row r="40">
      <c r="A40" t="n">
        <v>39</v>
      </c>
      <c r="B40">
        <f>VLOOKUP(A40,'Recetas y precios'!$A:$B,2,FALSE)</f>
        <v/>
      </c>
      <c r="C40" s="4" t="n">
        <v>0</v>
      </c>
      <c r="D40">
        <f>VLOOKUP(A40,'Recetas y precios'!$A:$E,5,FALSE)</f>
        <v/>
      </c>
      <c r="E40">
        <f>IF(C40&gt;0,CEILING(C40/D40,1),0)</f>
        <v/>
      </c>
      <c r="F40">
        <f>E40*VLOOKUP(A40,'Recetas y precios'!$A:$J,10,FALSE)</f>
        <v/>
      </c>
    </row>
    <row r="41">
      <c r="A41" t="n">
        <v>40</v>
      </c>
      <c r="B41">
        <f>VLOOKUP(A41,'Recetas y precios'!$A:$B,2,FALSE)</f>
        <v/>
      </c>
      <c r="C41" s="4" t="n">
        <v>0</v>
      </c>
      <c r="D41">
        <f>VLOOKUP(A41,'Recetas y precios'!$A:$E,5,FALSE)</f>
        <v/>
      </c>
      <c r="E41">
        <f>IF(C41&gt;0,CEILING(C41/D41,1),0)</f>
        <v/>
      </c>
      <c r="F41">
        <f>E41*VLOOKUP(A41,'Recetas y precios'!$A:$J,10,FALSE)</f>
        <v/>
      </c>
    </row>
    <row r="42">
      <c r="A42" t="n">
        <v>41</v>
      </c>
      <c r="B42">
        <f>VLOOKUP(A42,'Recetas y precios'!$A:$B,2,FALSE)</f>
        <v/>
      </c>
      <c r="C42" s="4" t="n">
        <v>0</v>
      </c>
      <c r="D42">
        <f>VLOOKUP(A42,'Recetas y precios'!$A:$E,5,FALSE)</f>
        <v/>
      </c>
      <c r="E42">
        <f>IF(C42&gt;0,CEILING(C42/D42,1),0)</f>
        <v/>
      </c>
      <c r="F42">
        <f>E42*VLOOKUP(A42,'Recetas y precios'!$A:$J,10,FALSE)</f>
        <v/>
      </c>
    </row>
    <row r="43">
      <c r="A43" t="n">
        <v>42</v>
      </c>
      <c r="B43">
        <f>VLOOKUP(A43,'Recetas y precios'!$A:$B,2,FALSE)</f>
        <v/>
      </c>
      <c r="C43" s="4" t="n">
        <v>0</v>
      </c>
      <c r="D43">
        <f>VLOOKUP(A43,'Recetas y precios'!$A:$E,5,FALSE)</f>
        <v/>
      </c>
      <c r="E43">
        <f>IF(C43&gt;0,CEILING(C43/D43,1),0)</f>
        <v/>
      </c>
      <c r="F43">
        <f>E43*VLOOKUP(A43,'Recetas y precios'!$A:$J,10,FALSE)</f>
        <v/>
      </c>
    </row>
    <row r="44">
      <c r="A44" t="n">
        <v>43</v>
      </c>
      <c r="B44">
        <f>VLOOKUP(A44,'Recetas y precios'!$A:$B,2,FALSE)</f>
        <v/>
      </c>
      <c r="C44" s="4" t="n">
        <v>0</v>
      </c>
      <c r="D44">
        <f>VLOOKUP(A44,'Recetas y precios'!$A:$E,5,FALSE)</f>
        <v/>
      </c>
      <c r="E44">
        <f>IF(C44&gt;0,CEILING(C44/D44,1),0)</f>
        <v/>
      </c>
      <c r="F44">
        <f>E44*VLOOKUP(A44,'Recetas y precios'!$A:$J,10,FALSE)</f>
        <v/>
      </c>
    </row>
    <row r="45">
      <c r="A45" t="n">
        <v>44</v>
      </c>
      <c r="B45">
        <f>VLOOKUP(A45,'Recetas y precios'!$A:$B,2,FALSE)</f>
        <v/>
      </c>
      <c r="C45" s="4" t="n">
        <v>0</v>
      </c>
      <c r="D45">
        <f>VLOOKUP(A45,'Recetas y precios'!$A:$E,5,FALSE)</f>
        <v/>
      </c>
      <c r="E45">
        <f>IF(C45&gt;0,CEILING(C45/D45,1),0)</f>
        <v/>
      </c>
      <c r="F45">
        <f>E45*VLOOKUP(A45,'Recetas y precios'!$A:$J,10,FALSE)</f>
        <v/>
      </c>
    </row>
    <row r="46">
      <c r="A46" t="n">
        <v>45</v>
      </c>
      <c r="B46">
        <f>VLOOKUP(A46,'Recetas y precios'!$A:$B,2,FALSE)</f>
        <v/>
      </c>
      <c r="C46" s="4" t="n">
        <v>0</v>
      </c>
      <c r="D46">
        <f>VLOOKUP(A46,'Recetas y precios'!$A:$E,5,FALSE)</f>
        <v/>
      </c>
      <c r="E46">
        <f>IF(C46&gt;0,CEILING(C46/D46,1),0)</f>
        <v/>
      </c>
      <c r="F46">
        <f>E46*VLOOKUP(A46,'Recetas y precios'!$A:$J,10,FALSE)</f>
        <v/>
      </c>
    </row>
    <row r="47">
      <c r="A47" t="n">
        <v>46</v>
      </c>
      <c r="B47">
        <f>VLOOKUP(A47,'Recetas y precios'!$A:$B,2,FALSE)</f>
        <v/>
      </c>
      <c r="C47" s="4" t="n">
        <v>0</v>
      </c>
      <c r="D47">
        <f>VLOOKUP(A47,'Recetas y precios'!$A:$E,5,FALSE)</f>
        <v/>
      </c>
      <c r="E47">
        <f>IF(C47&gt;0,CEILING(C47/D47,1),0)</f>
        <v/>
      </c>
      <c r="F47">
        <f>E47*VLOOKUP(A47,'Recetas y precios'!$A:$J,10,FALSE)</f>
        <v/>
      </c>
    </row>
    <row r="48">
      <c r="A48" t="n">
        <v>47</v>
      </c>
      <c r="B48">
        <f>VLOOKUP(A48,'Recetas y precios'!$A:$B,2,FALSE)</f>
        <v/>
      </c>
      <c r="C48" s="4" t="n">
        <v>0</v>
      </c>
      <c r="D48">
        <f>VLOOKUP(A48,'Recetas y precios'!$A:$E,5,FALSE)</f>
        <v/>
      </c>
      <c r="E48">
        <f>IF(C48&gt;0,CEILING(C48/D48,1),0)</f>
        <v/>
      </c>
      <c r="F48">
        <f>E48*VLOOKUP(A48,'Recetas y precios'!$A:$J,10,FALSE)</f>
        <v/>
      </c>
    </row>
    <row r="49">
      <c r="A49" t="n">
        <v>48</v>
      </c>
      <c r="B49">
        <f>VLOOKUP(A49,'Recetas y precios'!$A:$B,2,FALSE)</f>
        <v/>
      </c>
      <c r="C49" s="4" t="n">
        <v>0</v>
      </c>
      <c r="D49">
        <f>VLOOKUP(A49,'Recetas y precios'!$A:$E,5,FALSE)</f>
        <v/>
      </c>
      <c r="E49">
        <f>IF(C49&gt;0,CEILING(C49/D49,1),0)</f>
        <v/>
      </c>
      <c r="F49">
        <f>E49*VLOOKUP(A49,'Recetas y precios'!$A:$J,10,FALSE)</f>
        <v/>
      </c>
    </row>
    <row r="50">
      <c r="A50" t="n">
        <v>49</v>
      </c>
      <c r="B50">
        <f>VLOOKUP(A50,'Recetas y precios'!$A:$B,2,FALSE)</f>
        <v/>
      </c>
      <c r="C50" s="4" t="n">
        <v>0</v>
      </c>
      <c r="D50">
        <f>VLOOKUP(A50,'Recetas y precios'!$A:$E,5,FALSE)</f>
        <v/>
      </c>
      <c r="E50">
        <f>IF(C50&gt;0,CEILING(C50/D50,1),0)</f>
        <v/>
      </c>
      <c r="F50">
        <f>E50*VLOOKUP(A50,'Recetas y precios'!$A:$J,10,FALSE)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3" max="3"/>
  </cols>
  <sheetData>
    <row r="1">
      <c r="A1" s="3" t="inlineStr">
        <is>
          <t>Fecha</t>
        </is>
      </c>
      <c r="B1" s="3" t="inlineStr">
        <is>
          <t>#</t>
        </is>
      </c>
      <c r="C1" s="3" t="inlineStr">
        <is>
          <t>Receta</t>
        </is>
      </c>
      <c r="D1" s="3" t="inlineStr">
        <is>
          <t>Canal</t>
        </is>
      </c>
      <c r="E1" s="3" t="inlineStr">
        <is>
          <t>Piezas</t>
        </is>
      </c>
      <c r="F1" s="3" t="inlineStr">
        <is>
          <t>Precio unitario</t>
        </is>
      </c>
      <c r="G1" s="3" t="inlineStr">
        <is>
          <t>Ingreso</t>
        </is>
      </c>
      <c r="H1" s="3" t="inlineStr">
        <is>
          <t>Costo</t>
        </is>
      </c>
      <c r="I1" s="3" t="inlineStr">
        <is>
          <t>Utilidad</t>
        </is>
      </c>
    </row>
    <row r="2">
      <c r="A2" s="4" t="n"/>
      <c r="B2" s="4" t="n"/>
      <c r="C2">
        <f>IFERROR(VLOOKUP(B2,'Recetas y precios'!$A:$B,2,FALSE),"")</f>
        <v/>
      </c>
      <c r="D2" s="4" t="n"/>
      <c r="E2" s="4" t="n"/>
      <c r="F2" s="4" t="n"/>
      <c r="G2">
        <f>E2*F2</f>
        <v/>
      </c>
      <c r="H2">
        <f>IFERROR(E2*VLOOKUP(B2,'Recetas y precios'!$A:$P,16,FALSE),0)</f>
        <v/>
      </c>
      <c r="I2">
        <f>G2-H2</f>
        <v/>
      </c>
    </row>
    <row r="3">
      <c r="A3" s="4" t="n"/>
      <c r="B3" s="4" t="n"/>
      <c r="C3">
        <f>IFERROR(VLOOKUP(B3,'Recetas y precios'!$A:$B,2,FALSE),"")</f>
        <v/>
      </c>
      <c r="D3" s="4" t="n"/>
      <c r="E3" s="4" t="n"/>
      <c r="F3" s="4" t="n"/>
      <c r="G3">
        <f>E3*F3</f>
        <v/>
      </c>
      <c r="H3">
        <f>IFERROR(E3*VLOOKUP(B3,'Recetas y precios'!$A:$P,16,FALSE),0)</f>
        <v/>
      </c>
      <c r="I3">
        <f>G3-H3</f>
        <v/>
      </c>
    </row>
    <row r="4">
      <c r="A4" s="4" t="n"/>
      <c r="B4" s="4" t="n"/>
      <c r="C4">
        <f>IFERROR(VLOOKUP(B4,'Recetas y precios'!$A:$B,2,FALSE),"")</f>
        <v/>
      </c>
      <c r="D4" s="4" t="n"/>
      <c r="E4" s="4" t="n"/>
      <c r="F4" s="4" t="n"/>
      <c r="G4">
        <f>E4*F4</f>
        <v/>
      </c>
      <c r="H4">
        <f>IFERROR(E4*VLOOKUP(B4,'Recetas y precios'!$A:$P,16,FALSE),0)</f>
        <v/>
      </c>
      <c r="I4">
        <f>G4-H4</f>
        <v/>
      </c>
    </row>
    <row r="5">
      <c r="A5" s="4" t="n"/>
      <c r="B5" s="4" t="n"/>
      <c r="C5">
        <f>IFERROR(VLOOKUP(B5,'Recetas y precios'!$A:$B,2,FALSE),"")</f>
        <v/>
      </c>
      <c r="D5" s="4" t="n"/>
      <c r="E5" s="4" t="n"/>
      <c r="F5" s="4" t="n"/>
      <c r="G5">
        <f>E5*F5</f>
        <v/>
      </c>
      <c r="H5">
        <f>IFERROR(E5*VLOOKUP(B5,'Recetas y precios'!$A:$P,16,FALSE),0)</f>
        <v/>
      </c>
      <c r="I5">
        <f>G5-H5</f>
        <v/>
      </c>
    </row>
    <row r="6">
      <c r="A6" s="4" t="n"/>
      <c r="B6" s="4" t="n"/>
      <c r="C6">
        <f>IFERROR(VLOOKUP(B6,'Recetas y precios'!$A:$B,2,FALSE),"")</f>
        <v/>
      </c>
      <c r="D6" s="4" t="n"/>
      <c r="E6" s="4" t="n"/>
      <c r="F6" s="4" t="n"/>
      <c r="G6">
        <f>E6*F6</f>
        <v/>
      </c>
      <c r="H6">
        <f>IFERROR(E6*VLOOKUP(B6,'Recetas y precios'!$A:$P,16,FALSE),0)</f>
        <v/>
      </c>
      <c r="I6">
        <f>G6-H6</f>
        <v/>
      </c>
    </row>
    <row r="7">
      <c r="A7" s="4" t="n"/>
      <c r="B7" s="4" t="n"/>
      <c r="C7">
        <f>IFERROR(VLOOKUP(B7,'Recetas y precios'!$A:$B,2,FALSE),"")</f>
        <v/>
      </c>
      <c r="D7" s="4" t="n"/>
      <c r="E7" s="4" t="n"/>
      <c r="F7" s="4" t="n"/>
      <c r="G7">
        <f>E7*F7</f>
        <v/>
      </c>
      <c r="H7">
        <f>IFERROR(E7*VLOOKUP(B7,'Recetas y precios'!$A:$P,16,FALSE),0)</f>
        <v/>
      </c>
      <c r="I7">
        <f>G7-H7</f>
        <v/>
      </c>
    </row>
    <row r="8">
      <c r="A8" s="4" t="n"/>
      <c r="B8" s="4" t="n"/>
      <c r="C8">
        <f>IFERROR(VLOOKUP(B8,'Recetas y precios'!$A:$B,2,FALSE),"")</f>
        <v/>
      </c>
      <c r="D8" s="4" t="n"/>
      <c r="E8" s="4" t="n"/>
      <c r="F8" s="4" t="n"/>
      <c r="G8">
        <f>E8*F8</f>
        <v/>
      </c>
      <c r="H8">
        <f>IFERROR(E8*VLOOKUP(B8,'Recetas y precios'!$A:$P,16,FALSE),0)</f>
        <v/>
      </c>
      <c r="I8">
        <f>G8-H8</f>
        <v/>
      </c>
    </row>
    <row r="9">
      <c r="A9" s="4" t="n"/>
      <c r="B9" s="4" t="n"/>
      <c r="C9">
        <f>IFERROR(VLOOKUP(B9,'Recetas y precios'!$A:$B,2,FALSE),"")</f>
        <v/>
      </c>
      <c r="D9" s="4" t="n"/>
      <c r="E9" s="4" t="n"/>
      <c r="F9" s="4" t="n"/>
      <c r="G9">
        <f>E9*F9</f>
        <v/>
      </c>
      <c r="H9">
        <f>IFERROR(E9*VLOOKUP(B9,'Recetas y precios'!$A:$P,16,FALSE),0)</f>
        <v/>
      </c>
      <c r="I9">
        <f>G9-H9</f>
        <v/>
      </c>
    </row>
    <row r="10">
      <c r="A10" s="4" t="n"/>
      <c r="B10" s="4" t="n"/>
      <c r="C10">
        <f>IFERROR(VLOOKUP(B10,'Recetas y precios'!$A:$B,2,FALSE),"")</f>
        <v/>
      </c>
      <c r="D10" s="4" t="n"/>
      <c r="E10" s="4" t="n"/>
      <c r="F10" s="4" t="n"/>
      <c r="G10">
        <f>E10*F10</f>
        <v/>
      </c>
      <c r="H10">
        <f>IFERROR(E10*VLOOKUP(B10,'Recetas y precios'!$A:$P,16,FALSE),0)</f>
        <v/>
      </c>
      <c r="I10">
        <f>G10-H10</f>
        <v/>
      </c>
    </row>
    <row r="11">
      <c r="A11" s="4" t="n"/>
      <c r="B11" s="4" t="n"/>
      <c r="C11">
        <f>IFERROR(VLOOKUP(B11,'Recetas y precios'!$A:$B,2,FALSE),"")</f>
        <v/>
      </c>
      <c r="D11" s="4" t="n"/>
      <c r="E11" s="4" t="n"/>
      <c r="F11" s="4" t="n"/>
      <c r="G11">
        <f>E11*F11</f>
        <v/>
      </c>
      <c r="H11">
        <f>IFERROR(E11*VLOOKUP(B11,'Recetas y precios'!$A:$P,16,FALSE),0)</f>
        <v/>
      </c>
      <c r="I11">
        <f>G11-H11</f>
        <v/>
      </c>
    </row>
    <row r="12">
      <c r="A12" s="4" t="n"/>
      <c r="B12" s="4" t="n"/>
      <c r="C12">
        <f>IFERROR(VLOOKUP(B12,'Recetas y precios'!$A:$B,2,FALSE),"")</f>
        <v/>
      </c>
      <c r="D12" s="4" t="n"/>
      <c r="E12" s="4" t="n"/>
      <c r="F12" s="4" t="n"/>
      <c r="G12">
        <f>E12*F12</f>
        <v/>
      </c>
      <c r="H12">
        <f>IFERROR(E12*VLOOKUP(B12,'Recetas y precios'!$A:$P,16,FALSE),0)</f>
        <v/>
      </c>
      <c r="I12">
        <f>G12-H12</f>
        <v/>
      </c>
    </row>
    <row r="13">
      <c r="A13" s="4" t="n"/>
      <c r="B13" s="4" t="n"/>
      <c r="C13">
        <f>IFERROR(VLOOKUP(B13,'Recetas y precios'!$A:$B,2,FALSE),"")</f>
        <v/>
      </c>
      <c r="D13" s="4" t="n"/>
      <c r="E13" s="4" t="n"/>
      <c r="F13" s="4" t="n"/>
      <c r="G13">
        <f>E13*F13</f>
        <v/>
      </c>
      <c r="H13">
        <f>IFERROR(E13*VLOOKUP(B13,'Recetas y precios'!$A:$P,16,FALSE),0)</f>
        <v/>
      </c>
      <c r="I13">
        <f>G13-H13</f>
        <v/>
      </c>
    </row>
    <row r="14">
      <c r="A14" s="4" t="n"/>
      <c r="B14" s="4" t="n"/>
      <c r="C14">
        <f>IFERROR(VLOOKUP(B14,'Recetas y precios'!$A:$B,2,FALSE),"")</f>
        <v/>
      </c>
      <c r="D14" s="4" t="n"/>
      <c r="E14" s="4" t="n"/>
      <c r="F14" s="4" t="n"/>
      <c r="G14">
        <f>E14*F14</f>
        <v/>
      </c>
      <c r="H14">
        <f>IFERROR(E14*VLOOKUP(B14,'Recetas y precios'!$A:$P,16,FALSE),0)</f>
        <v/>
      </c>
      <c r="I14">
        <f>G14-H14</f>
        <v/>
      </c>
    </row>
    <row r="15">
      <c r="A15" s="4" t="n"/>
      <c r="B15" s="4" t="n"/>
      <c r="C15">
        <f>IFERROR(VLOOKUP(B15,'Recetas y precios'!$A:$B,2,FALSE),"")</f>
        <v/>
      </c>
      <c r="D15" s="4" t="n"/>
      <c r="E15" s="4" t="n"/>
      <c r="F15" s="4" t="n"/>
      <c r="G15">
        <f>E15*F15</f>
        <v/>
      </c>
      <c r="H15">
        <f>IFERROR(E15*VLOOKUP(B15,'Recetas y precios'!$A:$P,16,FALSE),0)</f>
        <v/>
      </c>
      <c r="I15">
        <f>G15-H15</f>
        <v/>
      </c>
    </row>
    <row r="16">
      <c r="A16" s="4" t="n"/>
      <c r="B16" s="4" t="n"/>
      <c r="C16">
        <f>IFERROR(VLOOKUP(B16,'Recetas y precios'!$A:$B,2,FALSE),"")</f>
        <v/>
      </c>
      <c r="D16" s="4" t="n"/>
      <c r="E16" s="4" t="n"/>
      <c r="F16" s="4" t="n"/>
      <c r="G16">
        <f>E16*F16</f>
        <v/>
      </c>
      <c r="H16">
        <f>IFERROR(E16*VLOOKUP(B16,'Recetas y precios'!$A:$P,16,FALSE),0)</f>
        <v/>
      </c>
      <c r="I16">
        <f>G16-H16</f>
        <v/>
      </c>
    </row>
    <row r="17">
      <c r="A17" s="4" t="n"/>
      <c r="B17" s="4" t="n"/>
      <c r="C17">
        <f>IFERROR(VLOOKUP(B17,'Recetas y precios'!$A:$B,2,FALSE),"")</f>
        <v/>
      </c>
      <c r="D17" s="4" t="n"/>
      <c r="E17" s="4" t="n"/>
      <c r="F17" s="4" t="n"/>
      <c r="G17">
        <f>E17*F17</f>
        <v/>
      </c>
      <c r="H17">
        <f>IFERROR(E17*VLOOKUP(B17,'Recetas y precios'!$A:$P,16,FALSE),0)</f>
        <v/>
      </c>
      <c r="I17">
        <f>G17-H17</f>
        <v/>
      </c>
    </row>
    <row r="18">
      <c r="A18" s="4" t="n"/>
      <c r="B18" s="4" t="n"/>
      <c r="C18">
        <f>IFERROR(VLOOKUP(B18,'Recetas y precios'!$A:$B,2,FALSE),"")</f>
        <v/>
      </c>
      <c r="D18" s="4" t="n"/>
      <c r="E18" s="4" t="n"/>
      <c r="F18" s="4" t="n"/>
      <c r="G18">
        <f>E18*F18</f>
        <v/>
      </c>
      <c r="H18">
        <f>IFERROR(E18*VLOOKUP(B18,'Recetas y precios'!$A:$P,16,FALSE),0)</f>
        <v/>
      </c>
      <c r="I18">
        <f>G18-H18</f>
        <v/>
      </c>
    </row>
    <row r="19">
      <c r="A19" s="4" t="n"/>
      <c r="B19" s="4" t="n"/>
      <c r="C19">
        <f>IFERROR(VLOOKUP(B19,'Recetas y precios'!$A:$B,2,FALSE),"")</f>
        <v/>
      </c>
      <c r="D19" s="4" t="n"/>
      <c r="E19" s="4" t="n"/>
      <c r="F19" s="4" t="n"/>
      <c r="G19">
        <f>E19*F19</f>
        <v/>
      </c>
      <c r="H19">
        <f>IFERROR(E19*VLOOKUP(B19,'Recetas y precios'!$A:$P,16,FALSE),0)</f>
        <v/>
      </c>
      <c r="I19">
        <f>G19-H19</f>
        <v/>
      </c>
    </row>
    <row r="20">
      <c r="A20" s="4" t="n"/>
      <c r="B20" s="4" t="n"/>
      <c r="C20">
        <f>IFERROR(VLOOKUP(B20,'Recetas y precios'!$A:$B,2,FALSE),"")</f>
        <v/>
      </c>
      <c r="D20" s="4" t="n"/>
      <c r="E20" s="4" t="n"/>
      <c r="F20" s="4" t="n"/>
      <c r="G20">
        <f>E20*F20</f>
        <v/>
      </c>
      <c r="H20">
        <f>IFERROR(E20*VLOOKUP(B20,'Recetas y precios'!$A:$P,16,FALSE),0)</f>
        <v/>
      </c>
      <c r="I20">
        <f>G20-H20</f>
        <v/>
      </c>
    </row>
    <row r="21">
      <c r="A21" s="4" t="n"/>
      <c r="B21" s="4" t="n"/>
      <c r="C21">
        <f>IFERROR(VLOOKUP(B21,'Recetas y precios'!$A:$B,2,FALSE),"")</f>
        <v/>
      </c>
      <c r="D21" s="4" t="n"/>
      <c r="E21" s="4" t="n"/>
      <c r="F21" s="4" t="n"/>
      <c r="G21">
        <f>E21*F21</f>
        <v/>
      </c>
      <c r="H21">
        <f>IFERROR(E21*VLOOKUP(B21,'Recetas y precios'!$A:$P,16,FALSE),0)</f>
        <v/>
      </c>
      <c r="I21">
        <f>G21-H21</f>
        <v/>
      </c>
    </row>
    <row r="22">
      <c r="A22" s="4" t="n"/>
      <c r="B22" s="4" t="n"/>
      <c r="C22">
        <f>IFERROR(VLOOKUP(B22,'Recetas y precios'!$A:$B,2,FALSE),"")</f>
        <v/>
      </c>
      <c r="D22" s="4" t="n"/>
      <c r="E22" s="4" t="n"/>
      <c r="F22" s="4" t="n"/>
      <c r="G22">
        <f>E22*F22</f>
        <v/>
      </c>
      <c r="H22">
        <f>IFERROR(E22*VLOOKUP(B22,'Recetas y precios'!$A:$P,16,FALSE),0)</f>
        <v/>
      </c>
      <c r="I22">
        <f>G22-H22</f>
        <v/>
      </c>
    </row>
    <row r="23">
      <c r="A23" s="4" t="n"/>
      <c r="B23" s="4" t="n"/>
      <c r="C23">
        <f>IFERROR(VLOOKUP(B23,'Recetas y precios'!$A:$B,2,FALSE),"")</f>
        <v/>
      </c>
      <c r="D23" s="4" t="n"/>
      <c r="E23" s="4" t="n"/>
      <c r="F23" s="4" t="n"/>
      <c r="G23">
        <f>E23*F23</f>
        <v/>
      </c>
      <c r="H23">
        <f>IFERROR(E23*VLOOKUP(B23,'Recetas y precios'!$A:$P,16,FALSE),0)</f>
        <v/>
      </c>
      <c r="I23">
        <f>G23-H23</f>
        <v/>
      </c>
    </row>
    <row r="24">
      <c r="A24" s="4" t="n"/>
      <c r="B24" s="4" t="n"/>
      <c r="C24">
        <f>IFERROR(VLOOKUP(B24,'Recetas y precios'!$A:$B,2,FALSE),"")</f>
        <v/>
      </c>
      <c r="D24" s="4" t="n"/>
      <c r="E24" s="4" t="n"/>
      <c r="F24" s="4" t="n"/>
      <c r="G24">
        <f>E24*F24</f>
        <v/>
      </c>
      <c r="H24">
        <f>IFERROR(E24*VLOOKUP(B24,'Recetas y precios'!$A:$P,16,FALSE),0)</f>
        <v/>
      </c>
      <c r="I24">
        <f>G24-H24</f>
        <v/>
      </c>
    </row>
    <row r="25">
      <c r="A25" s="4" t="n"/>
      <c r="B25" s="4" t="n"/>
      <c r="C25">
        <f>IFERROR(VLOOKUP(B25,'Recetas y precios'!$A:$B,2,FALSE),"")</f>
        <v/>
      </c>
      <c r="D25" s="4" t="n"/>
      <c r="E25" s="4" t="n"/>
      <c r="F25" s="4" t="n"/>
      <c r="G25">
        <f>E25*F25</f>
        <v/>
      </c>
      <c r="H25">
        <f>IFERROR(E25*VLOOKUP(B25,'Recetas y precios'!$A:$P,16,FALSE),0)</f>
        <v/>
      </c>
      <c r="I25">
        <f>G25-H25</f>
        <v/>
      </c>
    </row>
    <row r="26">
      <c r="A26" s="4" t="n"/>
      <c r="B26" s="4" t="n"/>
      <c r="C26">
        <f>IFERROR(VLOOKUP(B26,'Recetas y precios'!$A:$B,2,FALSE),"")</f>
        <v/>
      </c>
      <c r="D26" s="4" t="n"/>
      <c r="E26" s="4" t="n"/>
      <c r="F26" s="4" t="n"/>
      <c r="G26">
        <f>E26*F26</f>
        <v/>
      </c>
      <c r="H26">
        <f>IFERROR(E26*VLOOKUP(B26,'Recetas y precios'!$A:$P,16,FALSE),0)</f>
        <v/>
      </c>
      <c r="I26">
        <f>G26-H26</f>
        <v/>
      </c>
    </row>
    <row r="27">
      <c r="A27" s="4" t="n"/>
      <c r="B27" s="4" t="n"/>
      <c r="C27">
        <f>IFERROR(VLOOKUP(B27,'Recetas y precios'!$A:$B,2,FALSE),"")</f>
        <v/>
      </c>
      <c r="D27" s="4" t="n"/>
      <c r="E27" s="4" t="n"/>
      <c r="F27" s="4" t="n"/>
      <c r="G27">
        <f>E27*F27</f>
        <v/>
      </c>
      <c r="H27">
        <f>IFERROR(E27*VLOOKUP(B27,'Recetas y precios'!$A:$P,16,FALSE),0)</f>
        <v/>
      </c>
      <c r="I27">
        <f>G27-H27</f>
        <v/>
      </c>
    </row>
    <row r="28">
      <c r="A28" s="4" t="n"/>
      <c r="B28" s="4" t="n"/>
      <c r="C28">
        <f>IFERROR(VLOOKUP(B28,'Recetas y precios'!$A:$B,2,FALSE),"")</f>
        <v/>
      </c>
      <c r="D28" s="4" t="n"/>
      <c r="E28" s="4" t="n"/>
      <c r="F28" s="4" t="n"/>
      <c r="G28">
        <f>E28*F28</f>
        <v/>
      </c>
      <c r="H28">
        <f>IFERROR(E28*VLOOKUP(B28,'Recetas y precios'!$A:$P,16,FALSE),0)</f>
        <v/>
      </c>
      <c r="I28">
        <f>G28-H28</f>
        <v/>
      </c>
    </row>
    <row r="29">
      <c r="A29" s="4" t="n"/>
      <c r="B29" s="4" t="n"/>
      <c r="C29">
        <f>IFERROR(VLOOKUP(B29,'Recetas y precios'!$A:$B,2,FALSE),"")</f>
        <v/>
      </c>
      <c r="D29" s="4" t="n"/>
      <c r="E29" s="4" t="n"/>
      <c r="F29" s="4" t="n"/>
      <c r="G29">
        <f>E29*F29</f>
        <v/>
      </c>
      <c r="H29">
        <f>IFERROR(E29*VLOOKUP(B29,'Recetas y precios'!$A:$P,16,FALSE),0)</f>
        <v/>
      </c>
      <c r="I29">
        <f>G29-H29</f>
        <v/>
      </c>
    </row>
    <row r="30">
      <c r="A30" s="4" t="n"/>
      <c r="B30" s="4" t="n"/>
      <c r="C30">
        <f>IFERROR(VLOOKUP(B30,'Recetas y precios'!$A:$B,2,FALSE),"")</f>
        <v/>
      </c>
      <c r="D30" s="4" t="n"/>
      <c r="E30" s="4" t="n"/>
      <c r="F30" s="4" t="n"/>
      <c r="G30">
        <f>E30*F30</f>
        <v/>
      </c>
      <c r="H30">
        <f>IFERROR(E30*VLOOKUP(B30,'Recetas y precios'!$A:$P,16,FALSE),0)</f>
        <v/>
      </c>
      <c r="I30">
        <f>G30-H30</f>
        <v/>
      </c>
    </row>
    <row r="31">
      <c r="A31" s="4" t="n"/>
      <c r="B31" s="4" t="n"/>
      <c r="C31">
        <f>IFERROR(VLOOKUP(B31,'Recetas y precios'!$A:$B,2,FALSE),"")</f>
        <v/>
      </c>
      <c r="D31" s="4" t="n"/>
      <c r="E31" s="4" t="n"/>
      <c r="F31" s="4" t="n"/>
      <c r="G31">
        <f>E31*F31</f>
        <v/>
      </c>
      <c r="H31">
        <f>IFERROR(E31*VLOOKUP(B31,'Recetas y precios'!$A:$P,16,FALSE),0)</f>
        <v/>
      </c>
      <c r="I31">
        <f>G31-H31</f>
        <v/>
      </c>
    </row>
    <row r="32">
      <c r="A32" s="4" t="n"/>
      <c r="B32" s="4" t="n"/>
      <c r="C32">
        <f>IFERROR(VLOOKUP(B32,'Recetas y precios'!$A:$B,2,FALSE),"")</f>
        <v/>
      </c>
      <c r="D32" s="4" t="n"/>
      <c r="E32" s="4" t="n"/>
      <c r="F32" s="4" t="n"/>
      <c r="G32">
        <f>E32*F32</f>
        <v/>
      </c>
      <c r="H32">
        <f>IFERROR(E32*VLOOKUP(B32,'Recetas y precios'!$A:$P,16,FALSE),0)</f>
        <v/>
      </c>
      <c r="I32">
        <f>G32-H32</f>
        <v/>
      </c>
    </row>
    <row r="33">
      <c r="A33" s="4" t="n"/>
      <c r="B33" s="4" t="n"/>
      <c r="C33">
        <f>IFERROR(VLOOKUP(B33,'Recetas y precios'!$A:$B,2,FALSE),"")</f>
        <v/>
      </c>
      <c r="D33" s="4" t="n"/>
      <c r="E33" s="4" t="n"/>
      <c r="F33" s="4" t="n"/>
      <c r="G33">
        <f>E33*F33</f>
        <v/>
      </c>
      <c r="H33">
        <f>IFERROR(E33*VLOOKUP(B33,'Recetas y precios'!$A:$P,16,FALSE),0)</f>
        <v/>
      </c>
      <c r="I33">
        <f>G33-H33</f>
        <v/>
      </c>
    </row>
    <row r="34">
      <c r="A34" s="4" t="n"/>
      <c r="B34" s="4" t="n"/>
      <c r="C34">
        <f>IFERROR(VLOOKUP(B34,'Recetas y precios'!$A:$B,2,FALSE),"")</f>
        <v/>
      </c>
      <c r="D34" s="4" t="n"/>
      <c r="E34" s="4" t="n"/>
      <c r="F34" s="4" t="n"/>
      <c r="G34">
        <f>E34*F34</f>
        <v/>
      </c>
      <c r="H34">
        <f>IFERROR(E34*VLOOKUP(B34,'Recetas y precios'!$A:$P,16,FALSE),0)</f>
        <v/>
      </c>
      <c r="I34">
        <f>G34-H34</f>
        <v/>
      </c>
    </row>
    <row r="35">
      <c r="A35" s="4" t="n"/>
      <c r="B35" s="4" t="n"/>
      <c r="C35">
        <f>IFERROR(VLOOKUP(B35,'Recetas y precios'!$A:$B,2,FALSE),"")</f>
        <v/>
      </c>
      <c r="D35" s="4" t="n"/>
      <c r="E35" s="4" t="n"/>
      <c r="F35" s="4" t="n"/>
      <c r="G35">
        <f>E35*F35</f>
        <v/>
      </c>
      <c r="H35">
        <f>IFERROR(E35*VLOOKUP(B35,'Recetas y precios'!$A:$P,16,FALSE),0)</f>
        <v/>
      </c>
      <c r="I35">
        <f>G35-H35</f>
        <v/>
      </c>
    </row>
    <row r="36">
      <c r="A36" s="4" t="n"/>
      <c r="B36" s="4" t="n"/>
      <c r="C36">
        <f>IFERROR(VLOOKUP(B36,'Recetas y precios'!$A:$B,2,FALSE),"")</f>
        <v/>
      </c>
      <c r="D36" s="4" t="n"/>
      <c r="E36" s="4" t="n"/>
      <c r="F36" s="4" t="n"/>
      <c r="G36">
        <f>E36*F36</f>
        <v/>
      </c>
      <c r="H36">
        <f>IFERROR(E36*VLOOKUP(B36,'Recetas y precios'!$A:$P,16,FALSE),0)</f>
        <v/>
      </c>
      <c r="I36">
        <f>G36-H36</f>
        <v/>
      </c>
    </row>
    <row r="37">
      <c r="A37" s="4" t="n"/>
      <c r="B37" s="4" t="n"/>
      <c r="C37">
        <f>IFERROR(VLOOKUP(B37,'Recetas y precios'!$A:$B,2,FALSE),"")</f>
        <v/>
      </c>
      <c r="D37" s="4" t="n"/>
      <c r="E37" s="4" t="n"/>
      <c r="F37" s="4" t="n"/>
      <c r="G37">
        <f>E37*F37</f>
        <v/>
      </c>
      <c r="H37">
        <f>IFERROR(E37*VLOOKUP(B37,'Recetas y precios'!$A:$P,16,FALSE),0)</f>
        <v/>
      </c>
      <c r="I37">
        <f>G37-H37</f>
        <v/>
      </c>
    </row>
    <row r="38">
      <c r="A38" s="4" t="n"/>
      <c r="B38" s="4" t="n"/>
      <c r="C38">
        <f>IFERROR(VLOOKUP(B38,'Recetas y precios'!$A:$B,2,FALSE),"")</f>
        <v/>
      </c>
      <c r="D38" s="4" t="n"/>
      <c r="E38" s="4" t="n"/>
      <c r="F38" s="4" t="n"/>
      <c r="G38">
        <f>E38*F38</f>
        <v/>
      </c>
      <c r="H38">
        <f>IFERROR(E38*VLOOKUP(B38,'Recetas y precios'!$A:$P,16,FALSE),0)</f>
        <v/>
      </c>
      <c r="I38">
        <f>G38-H38</f>
        <v/>
      </c>
    </row>
    <row r="39">
      <c r="A39" s="4" t="n"/>
      <c r="B39" s="4" t="n"/>
      <c r="C39">
        <f>IFERROR(VLOOKUP(B39,'Recetas y precios'!$A:$B,2,FALSE),"")</f>
        <v/>
      </c>
      <c r="D39" s="4" t="n"/>
      <c r="E39" s="4" t="n"/>
      <c r="F39" s="4" t="n"/>
      <c r="G39">
        <f>E39*F39</f>
        <v/>
      </c>
      <c r="H39">
        <f>IFERROR(E39*VLOOKUP(B39,'Recetas y precios'!$A:$P,16,FALSE),0)</f>
        <v/>
      </c>
      <c r="I39">
        <f>G39-H39</f>
        <v/>
      </c>
    </row>
    <row r="40">
      <c r="A40" s="4" t="n"/>
      <c r="B40" s="4" t="n"/>
      <c r="C40">
        <f>IFERROR(VLOOKUP(B40,'Recetas y precios'!$A:$B,2,FALSE),"")</f>
        <v/>
      </c>
      <c r="D40" s="4" t="n"/>
      <c r="E40" s="4" t="n"/>
      <c r="F40" s="4" t="n"/>
      <c r="G40">
        <f>E40*F40</f>
        <v/>
      </c>
      <c r="H40">
        <f>IFERROR(E40*VLOOKUP(B40,'Recetas y precios'!$A:$P,16,FALSE),0)</f>
        <v/>
      </c>
      <c r="I40">
        <f>G40-H40</f>
        <v/>
      </c>
    </row>
    <row r="41">
      <c r="A41" s="4" t="n"/>
      <c r="B41" s="4" t="n"/>
      <c r="C41">
        <f>IFERROR(VLOOKUP(B41,'Recetas y precios'!$A:$B,2,FALSE),"")</f>
        <v/>
      </c>
      <c r="D41" s="4" t="n"/>
      <c r="E41" s="4" t="n"/>
      <c r="F41" s="4" t="n"/>
      <c r="G41">
        <f>E41*F41</f>
        <v/>
      </c>
      <c r="H41">
        <f>IFERROR(E41*VLOOKUP(B41,'Recetas y precios'!$A:$P,16,FALSE),0)</f>
        <v/>
      </c>
      <c r="I41">
        <f>G41-H41</f>
        <v/>
      </c>
    </row>
    <row r="42">
      <c r="A42" s="4" t="n"/>
      <c r="B42" s="4" t="n"/>
      <c r="C42">
        <f>IFERROR(VLOOKUP(B42,'Recetas y precios'!$A:$B,2,FALSE),"")</f>
        <v/>
      </c>
      <c r="D42" s="4" t="n"/>
      <c r="E42" s="4" t="n"/>
      <c r="F42" s="4" t="n"/>
      <c r="G42">
        <f>E42*F42</f>
        <v/>
      </c>
      <c r="H42">
        <f>IFERROR(E42*VLOOKUP(B42,'Recetas y precios'!$A:$P,16,FALSE),0)</f>
        <v/>
      </c>
      <c r="I42">
        <f>G42-H42</f>
        <v/>
      </c>
    </row>
    <row r="43">
      <c r="A43" s="4" t="n"/>
      <c r="B43" s="4" t="n"/>
      <c r="C43">
        <f>IFERROR(VLOOKUP(B43,'Recetas y precios'!$A:$B,2,FALSE),"")</f>
        <v/>
      </c>
      <c r="D43" s="4" t="n"/>
      <c r="E43" s="4" t="n"/>
      <c r="F43" s="4" t="n"/>
      <c r="G43">
        <f>E43*F43</f>
        <v/>
      </c>
      <c r="H43">
        <f>IFERROR(E43*VLOOKUP(B43,'Recetas y precios'!$A:$P,16,FALSE),0)</f>
        <v/>
      </c>
      <c r="I43">
        <f>G43-H43</f>
        <v/>
      </c>
    </row>
    <row r="44">
      <c r="A44" s="4" t="n"/>
      <c r="B44" s="4" t="n"/>
      <c r="C44">
        <f>IFERROR(VLOOKUP(B44,'Recetas y precios'!$A:$B,2,FALSE),"")</f>
        <v/>
      </c>
      <c r="D44" s="4" t="n"/>
      <c r="E44" s="4" t="n"/>
      <c r="F44" s="4" t="n"/>
      <c r="G44">
        <f>E44*F44</f>
        <v/>
      </c>
      <c r="H44">
        <f>IFERROR(E44*VLOOKUP(B44,'Recetas y precios'!$A:$P,16,FALSE),0)</f>
        <v/>
      </c>
      <c r="I44">
        <f>G44-H44</f>
        <v/>
      </c>
    </row>
    <row r="45">
      <c r="A45" s="4" t="n"/>
      <c r="B45" s="4" t="n"/>
      <c r="C45">
        <f>IFERROR(VLOOKUP(B45,'Recetas y precios'!$A:$B,2,FALSE),"")</f>
        <v/>
      </c>
      <c r="D45" s="4" t="n"/>
      <c r="E45" s="4" t="n"/>
      <c r="F45" s="4" t="n"/>
      <c r="G45">
        <f>E45*F45</f>
        <v/>
      </c>
      <c r="H45">
        <f>IFERROR(E45*VLOOKUP(B45,'Recetas y precios'!$A:$P,16,FALSE),0)</f>
        <v/>
      </c>
      <c r="I45">
        <f>G45-H45</f>
        <v/>
      </c>
    </row>
    <row r="46">
      <c r="A46" s="4" t="n"/>
      <c r="B46" s="4" t="n"/>
      <c r="C46">
        <f>IFERROR(VLOOKUP(B46,'Recetas y precios'!$A:$B,2,FALSE),"")</f>
        <v/>
      </c>
      <c r="D46" s="4" t="n"/>
      <c r="E46" s="4" t="n"/>
      <c r="F46" s="4" t="n"/>
      <c r="G46">
        <f>E46*F46</f>
        <v/>
      </c>
      <c r="H46">
        <f>IFERROR(E46*VLOOKUP(B46,'Recetas y precios'!$A:$P,16,FALSE),0)</f>
        <v/>
      </c>
      <c r="I46">
        <f>G46-H46</f>
        <v/>
      </c>
    </row>
    <row r="47">
      <c r="A47" s="4" t="n"/>
      <c r="B47" s="4" t="n"/>
      <c r="C47">
        <f>IFERROR(VLOOKUP(B47,'Recetas y precios'!$A:$B,2,FALSE),"")</f>
        <v/>
      </c>
      <c r="D47" s="4" t="n"/>
      <c r="E47" s="4" t="n"/>
      <c r="F47" s="4" t="n"/>
      <c r="G47">
        <f>E47*F47</f>
        <v/>
      </c>
      <c r="H47">
        <f>IFERROR(E47*VLOOKUP(B47,'Recetas y precios'!$A:$P,16,FALSE),0)</f>
        <v/>
      </c>
      <c r="I47">
        <f>G47-H47</f>
        <v/>
      </c>
    </row>
    <row r="48">
      <c r="A48" s="4" t="n"/>
      <c r="B48" s="4" t="n"/>
      <c r="C48">
        <f>IFERROR(VLOOKUP(B48,'Recetas y precios'!$A:$B,2,FALSE),"")</f>
        <v/>
      </c>
      <c r="D48" s="4" t="n"/>
      <c r="E48" s="4" t="n"/>
      <c r="F48" s="4" t="n"/>
      <c r="G48">
        <f>E48*F48</f>
        <v/>
      </c>
      <c r="H48">
        <f>IFERROR(E48*VLOOKUP(B48,'Recetas y precios'!$A:$P,16,FALSE),0)</f>
        <v/>
      </c>
      <c r="I48">
        <f>G48-H48</f>
        <v/>
      </c>
    </row>
    <row r="49">
      <c r="A49" s="4" t="n"/>
      <c r="B49" s="4" t="n"/>
      <c r="C49">
        <f>IFERROR(VLOOKUP(B49,'Recetas y precios'!$A:$B,2,FALSE),"")</f>
        <v/>
      </c>
      <c r="D49" s="4" t="n"/>
      <c r="E49" s="4" t="n"/>
      <c r="F49" s="4" t="n"/>
      <c r="G49">
        <f>E49*F49</f>
        <v/>
      </c>
      <c r="H49">
        <f>IFERROR(E49*VLOOKUP(B49,'Recetas y precios'!$A:$P,16,FALSE),0)</f>
        <v/>
      </c>
      <c r="I49">
        <f>G49-H49</f>
        <v/>
      </c>
    </row>
    <row r="50">
      <c r="A50" s="4" t="n"/>
      <c r="B50" s="4" t="n"/>
      <c r="C50">
        <f>IFERROR(VLOOKUP(B50,'Recetas y precios'!$A:$B,2,FALSE),"")</f>
        <v/>
      </c>
      <c r="D50" s="4" t="n"/>
      <c r="E50" s="4" t="n"/>
      <c r="F50" s="4" t="n"/>
      <c r="G50">
        <f>E50*F50</f>
        <v/>
      </c>
      <c r="H50">
        <f>IFERROR(E50*VLOOKUP(B50,'Recetas y precios'!$A:$P,16,FALSE),0)</f>
        <v/>
      </c>
      <c r="I50">
        <f>G50-H50</f>
        <v/>
      </c>
    </row>
    <row r="51">
      <c r="A51" s="4" t="n"/>
      <c r="B51" s="4" t="n"/>
      <c r="C51">
        <f>IFERROR(VLOOKUP(B51,'Recetas y precios'!$A:$B,2,FALSE),"")</f>
        <v/>
      </c>
      <c r="D51" s="4" t="n"/>
      <c r="E51" s="4" t="n"/>
      <c r="F51" s="4" t="n"/>
      <c r="G51">
        <f>E51*F51</f>
        <v/>
      </c>
      <c r="H51">
        <f>IFERROR(E51*VLOOKUP(B51,'Recetas y precios'!$A:$P,16,FALSE),0)</f>
        <v/>
      </c>
      <c r="I51">
        <f>G51-H51</f>
        <v/>
      </c>
    </row>
    <row r="52">
      <c r="A52" s="4" t="n"/>
      <c r="B52" s="4" t="n"/>
      <c r="C52">
        <f>IFERROR(VLOOKUP(B52,'Recetas y precios'!$A:$B,2,FALSE),"")</f>
        <v/>
      </c>
      <c r="D52" s="4" t="n"/>
      <c r="E52" s="4" t="n"/>
      <c r="F52" s="4" t="n"/>
      <c r="G52">
        <f>E52*F52</f>
        <v/>
      </c>
      <c r="H52">
        <f>IFERROR(E52*VLOOKUP(B52,'Recetas y precios'!$A:$P,16,FALSE),0)</f>
        <v/>
      </c>
      <c r="I52">
        <f>G52-H52</f>
        <v/>
      </c>
    </row>
    <row r="53">
      <c r="A53" s="4" t="n"/>
      <c r="B53" s="4" t="n"/>
      <c r="C53">
        <f>IFERROR(VLOOKUP(B53,'Recetas y precios'!$A:$B,2,FALSE),"")</f>
        <v/>
      </c>
      <c r="D53" s="4" t="n"/>
      <c r="E53" s="4" t="n"/>
      <c r="F53" s="4" t="n"/>
      <c r="G53">
        <f>E53*F53</f>
        <v/>
      </c>
      <c r="H53">
        <f>IFERROR(E53*VLOOKUP(B53,'Recetas y precios'!$A:$P,16,FALSE),0)</f>
        <v/>
      </c>
      <c r="I53">
        <f>G53-H53</f>
        <v/>
      </c>
    </row>
    <row r="54">
      <c r="A54" s="4" t="n"/>
      <c r="B54" s="4" t="n"/>
      <c r="C54">
        <f>IFERROR(VLOOKUP(B54,'Recetas y precios'!$A:$B,2,FALSE),"")</f>
        <v/>
      </c>
      <c r="D54" s="4" t="n"/>
      <c r="E54" s="4" t="n"/>
      <c r="F54" s="4" t="n"/>
      <c r="G54">
        <f>E54*F54</f>
        <v/>
      </c>
      <c r="H54">
        <f>IFERROR(E54*VLOOKUP(B54,'Recetas y precios'!$A:$P,16,FALSE),0)</f>
        <v/>
      </c>
      <c r="I54">
        <f>G54-H54</f>
        <v/>
      </c>
    </row>
    <row r="55">
      <c r="A55" s="4" t="n"/>
      <c r="B55" s="4" t="n"/>
      <c r="C55">
        <f>IFERROR(VLOOKUP(B55,'Recetas y precios'!$A:$B,2,FALSE),"")</f>
        <v/>
      </c>
      <c r="D55" s="4" t="n"/>
      <c r="E55" s="4" t="n"/>
      <c r="F55" s="4" t="n"/>
      <c r="G55">
        <f>E55*F55</f>
        <v/>
      </c>
      <c r="H55">
        <f>IFERROR(E55*VLOOKUP(B55,'Recetas y precios'!$A:$P,16,FALSE),0)</f>
        <v/>
      </c>
      <c r="I55">
        <f>G55-H55</f>
        <v/>
      </c>
    </row>
    <row r="56">
      <c r="A56" s="4" t="n"/>
      <c r="B56" s="4" t="n"/>
      <c r="C56">
        <f>IFERROR(VLOOKUP(B56,'Recetas y precios'!$A:$B,2,FALSE),"")</f>
        <v/>
      </c>
      <c r="D56" s="4" t="n"/>
      <c r="E56" s="4" t="n"/>
      <c r="F56" s="4" t="n"/>
      <c r="G56">
        <f>E56*F56</f>
        <v/>
      </c>
      <c r="H56">
        <f>IFERROR(E56*VLOOKUP(B56,'Recetas y precios'!$A:$P,16,FALSE),0)</f>
        <v/>
      </c>
      <c r="I56">
        <f>G56-H56</f>
        <v/>
      </c>
    </row>
    <row r="57">
      <c r="A57" s="4" t="n"/>
      <c r="B57" s="4" t="n"/>
      <c r="C57">
        <f>IFERROR(VLOOKUP(B57,'Recetas y precios'!$A:$B,2,FALSE),"")</f>
        <v/>
      </c>
      <c r="D57" s="4" t="n"/>
      <c r="E57" s="4" t="n"/>
      <c r="F57" s="4" t="n"/>
      <c r="G57">
        <f>E57*F57</f>
        <v/>
      </c>
      <c r="H57">
        <f>IFERROR(E57*VLOOKUP(B57,'Recetas y precios'!$A:$P,16,FALSE),0)</f>
        <v/>
      </c>
      <c r="I57">
        <f>G57-H57</f>
        <v/>
      </c>
    </row>
    <row r="58">
      <c r="A58" s="4" t="n"/>
      <c r="B58" s="4" t="n"/>
      <c r="C58">
        <f>IFERROR(VLOOKUP(B58,'Recetas y precios'!$A:$B,2,FALSE),"")</f>
        <v/>
      </c>
      <c r="D58" s="4" t="n"/>
      <c r="E58" s="4" t="n"/>
      <c r="F58" s="4" t="n"/>
      <c r="G58">
        <f>E58*F58</f>
        <v/>
      </c>
      <c r="H58">
        <f>IFERROR(E58*VLOOKUP(B58,'Recetas y precios'!$A:$P,16,FALSE),0)</f>
        <v/>
      </c>
      <c r="I58">
        <f>G58-H58</f>
        <v/>
      </c>
    </row>
    <row r="59">
      <c r="A59" s="4" t="n"/>
      <c r="B59" s="4" t="n"/>
      <c r="C59">
        <f>IFERROR(VLOOKUP(B59,'Recetas y precios'!$A:$B,2,FALSE),"")</f>
        <v/>
      </c>
      <c r="D59" s="4" t="n"/>
      <c r="E59" s="4" t="n"/>
      <c r="F59" s="4" t="n"/>
      <c r="G59">
        <f>E59*F59</f>
        <v/>
      </c>
      <c r="H59">
        <f>IFERROR(E59*VLOOKUP(B59,'Recetas y precios'!$A:$P,16,FALSE),0)</f>
        <v/>
      </c>
      <c r="I59">
        <f>G59-H59</f>
        <v/>
      </c>
    </row>
    <row r="60">
      <c r="A60" s="4" t="n"/>
      <c r="B60" s="4" t="n"/>
      <c r="C60">
        <f>IFERROR(VLOOKUP(B60,'Recetas y precios'!$A:$B,2,FALSE),"")</f>
        <v/>
      </c>
      <c r="D60" s="4" t="n"/>
      <c r="E60" s="4" t="n"/>
      <c r="F60" s="4" t="n"/>
      <c r="G60">
        <f>E60*F60</f>
        <v/>
      </c>
      <c r="H60">
        <f>IFERROR(E60*VLOOKUP(B60,'Recetas y precios'!$A:$P,16,FALSE),0)</f>
        <v/>
      </c>
      <c r="I60">
        <f>G60-H60</f>
        <v/>
      </c>
    </row>
    <row r="61">
      <c r="A61" s="4" t="n"/>
      <c r="B61" s="4" t="n"/>
      <c r="C61">
        <f>IFERROR(VLOOKUP(B61,'Recetas y precios'!$A:$B,2,FALSE),"")</f>
        <v/>
      </c>
      <c r="D61" s="4" t="n"/>
      <c r="E61" s="4" t="n"/>
      <c r="F61" s="4" t="n"/>
      <c r="G61">
        <f>E61*F61</f>
        <v/>
      </c>
      <c r="H61">
        <f>IFERROR(E61*VLOOKUP(B61,'Recetas y precios'!$A:$P,16,FALSE),0)</f>
        <v/>
      </c>
      <c r="I61">
        <f>G61-H61</f>
        <v/>
      </c>
    </row>
    <row r="62">
      <c r="A62" s="4" t="n"/>
      <c r="B62" s="4" t="n"/>
      <c r="C62">
        <f>IFERROR(VLOOKUP(B62,'Recetas y precios'!$A:$B,2,FALSE),"")</f>
        <v/>
      </c>
      <c r="D62" s="4" t="n"/>
      <c r="E62" s="4" t="n"/>
      <c r="F62" s="4" t="n"/>
      <c r="G62">
        <f>E62*F62</f>
        <v/>
      </c>
      <c r="H62">
        <f>IFERROR(E62*VLOOKUP(B62,'Recetas y precios'!$A:$P,16,FALSE),0)</f>
        <v/>
      </c>
      <c r="I62">
        <f>G62-H62</f>
        <v/>
      </c>
    </row>
    <row r="63">
      <c r="A63" s="4" t="n"/>
      <c r="B63" s="4" t="n"/>
      <c r="C63">
        <f>IFERROR(VLOOKUP(B63,'Recetas y precios'!$A:$B,2,FALSE),"")</f>
        <v/>
      </c>
      <c r="D63" s="4" t="n"/>
      <c r="E63" s="4" t="n"/>
      <c r="F63" s="4" t="n"/>
      <c r="G63">
        <f>E63*F63</f>
        <v/>
      </c>
      <c r="H63">
        <f>IFERROR(E63*VLOOKUP(B63,'Recetas y precios'!$A:$P,16,FALSE),0)</f>
        <v/>
      </c>
      <c r="I63">
        <f>G63-H63</f>
        <v/>
      </c>
    </row>
    <row r="64">
      <c r="A64" s="4" t="n"/>
      <c r="B64" s="4" t="n"/>
      <c r="C64">
        <f>IFERROR(VLOOKUP(B64,'Recetas y precios'!$A:$B,2,FALSE),"")</f>
        <v/>
      </c>
      <c r="D64" s="4" t="n"/>
      <c r="E64" s="4" t="n"/>
      <c r="F64" s="4" t="n"/>
      <c r="G64">
        <f>E64*F64</f>
        <v/>
      </c>
      <c r="H64">
        <f>IFERROR(E64*VLOOKUP(B64,'Recetas y precios'!$A:$P,16,FALSE),0)</f>
        <v/>
      </c>
      <c r="I64">
        <f>G64-H64</f>
        <v/>
      </c>
    </row>
    <row r="65">
      <c r="A65" s="4" t="n"/>
      <c r="B65" s="4" t="n"/>
      <c r="C65">
        <f>IFERROR(VLOOKUP(B65,'Recetas y precios'!$A:$B,2,FALSE),"")</f>
        <v/>
      </c>
      <c r="D65" s="4" t="n"/>
      <c r="E65" s="4" t="n"/>
      <c r="F65" s="4" t="n"/>
      <c r="G65">
        <f>E65*F65</f>
        <v/>
      </c>
      <c r="H65">
        <f>IFERROR(E65*VLOOKUP(B65,'Recetas y precios'!$A:$P,16,FALSE),0)</f>
        <v/>
      </c>
      <c r="I65">
        <f>G65-H65</f>
        <v/>
      </c>
    </row>
    <row r="66">
      <c r="A66" s="4" t="n"/>
      <c r="B66" s="4" t="n"/>
      <c r="C66">
        <f>IFERROR(VLOOKUP(B66,'Recetas y precios'!$A:$B,2,FALSE),"")</f>
        <v/>
      </c>
      <c r="D66" s="4" t="n"/>
      <c r="E66" s="4" t="n"/>
      <c r="F66" s="4" t="n"/>
      <c r="G66">
        <f>E66*F66</f>
        <v/>
      </c>
      <c r="H66">
        <f>IFERROR(E66*VLOOKUP(B66,'Recetas y precios'!$A:$P,16,FALSE),0)</f>
        <v/>
      </c>
      <c r="I66">
        <f>G66-H66</f>
        <v/>
      </c>
    </row>
    <row r="67">
      <c r="A67" s="4" t="n"/>
      <c r="B67" s="4" t="n"/>
      <c r="C67">
        <f>IFERROR(VLOOKUP(B67,'Recetas y precios'!$A:$B,2,FALSE),"")</f>
        <v/>
      </c>
      <c r="D67" s="4" t="n"/>
      <c r="E67" s="4" t="n"/>
      <c r="F67" s="4" t="n"/>
      <c r="G67">
        <f>E67*F67</f>
        <v/>
      </c>
      <c r="H67">
        <f>IFERROR(E67*VLOOKUP(B67,'Recetas y precios'!$A:$P,16,FALSE),0)</f>
        <v/>
      </c>
      <c r="I67">
        <f>G67-H67</f>
        <v/>
      </c>
    </row>
    <row r="68">
      <c r="A68" s="4" t="n"/>
      <c r="B68" s="4" t="n"/>
      <c r="C68">
        <f>IFERROR(VLOOKUP(B68,'Recetas y precios'!$A:$B,2,FALSE),"")</f>
        <v/>
      </c>
      <c r="D68" s="4" t="n"/>
      <c r="E68" s="4" t="n"/>
      <c r="F68" s="4" t="n"/>
      <c r="G68">
        <f>E68*F68</f>
        <v/>
      </c>
      <c r="H68">
        <f>IFERROR(E68*VLOOKUP(B68,'Recetas y precios'!$A:$P,16,FALSE),0)</f>
        <v/>
      </c>
      <c r="I68">
        <f>G68-H68</f>
        <v/>
      </c>
    </row>
    <row r="69">
      <c r="A69" s="4" t="n"/>
      <c r="B69" s="4" t="n"/>
      <c r="C69">
        <f>IFERROR(VLOOKUP(B69,'Recetas y precios'!$A:$B,2,FALSE),"")</f>
        <v/>
      </c>
      <c r="D69" s="4" t="n"/>
      <c r="E69" s="4" t="n"/>
      <c r="F69" s="4" t="n"/>
      <c r="G69">
        <f>E69*F69</f>
        <v/>
      </c>
      <c r="H69">
        <f>IFERROR(E69*VLOOKUP(B69,'Recetas y precios'!$A:$P,16,FALSE),0)</f>
        <v/>
      </c>
      <c r="I69">
        <f>G69-H69</f>
        <v/>
      </c>
    </row>
    <row r="70">
      <c r="A70" s="4" t="n"/>
      <c r="B70" s="4" t="n"/>
      <c r="C70">
        <f>IFERROR(VLOOKUP(B70,'Recetas y precios'!$A:$B,2,FALSE),"")</f>
        <v/>
      </c>
      <c r="D70" s="4" t="n"/>
      <c r="E70" s="4" t="n"/>
      <c r="F70" s="4" t="n"/>
      <c r="G70">
        <f>E70*F70</f>
        <v/>
      </c>
      <c r="H70">
        <f>IFERROR(E70*VLOOKUP(B70,'Recetas y precios'!$A:$P,16,FALSE),0)</f>
        <v/>
      </c>
      <c r="I70">
        <f>G70-H70</f>
        <v/>
      </c>
    </row>
    <row r="71">
      <c r="A71" s="4" t="n"/>
      <c r="B71" s="4" t="n"/>
      <c r="C71">
        <f>IFERROR(VLOOKUP(B71,'Recetas y precios'!$A:$B,2,FALSE),"")</f>
        <v/>
      </c>
      <c r="D71" s="4" t="n"/>
      <c r="E71" s="4" t="n"/>
      <c r="F71" s="4" t="n"/>
      <c r="G71">
        <f>E71*F71</f>
        <v/>
      </c>
      <c r="H71">
        <f>IFERROR(E71*VLOOKUP(B71,'Recetas y precios'!$A:$P,16,FALSE),0)</f>
        <v/>
      </c>
      <c r="I71">
        <f>G71-H71</f>
        <v/>
      </c>
    </row>
    <row r="72">
      <c r="A72" s="4" t="n"/>
      <c r="B72" s="4" t="n"/>
      <c r="C72">
        <f>IFERROR(VLOOKUP(B72,'Recetas y precios'!$A:$B,2,FALSE),"")</f>
        <v/>
      </c>
      <c r="D72" s="4" t="n"/>
      <c r="E72" s="4" t="n"/>
      <c r="F72" s="4" t="n"/>
      <c r="G72">
        <f>E72*F72</f>
        <v/>
      </c>
      <c r="H72">
        <f>IFERROR(E72*VLOOKUP(B72,'Recetas y precios'!$A:$P,16,FALSE),0)</f>
        <v/>
      </c>
      <c r="I72">
        <f>G72-H72</f>
        <v/>
      </c>
    </row>
    <row r="73">
      <c r="A73" s="4" t="n"/>
      <c r="B73" s="4" t="n"/>
      <c r="C73">
        <f>IFERROR(VLOOKUP(B73,'Recetas y precios'!$A:$B,2,FALSE),"")</f>
        <v/>
      </c>
      <c r="D73" s="4" t="n"/>
      <c r="E73" s="4" t="n"/>
      <c r="F73" s="4" t="n"/>
      <c r="G73">
        <f>E73*F73</f>
        <v/>
      </c>
      <c r="H73">
        <f>IFERROR(E73*VLOOKUP(B73,'Recetas y precios'!$A:$P,16,FALSE),0)</f>
        <v/>
      </c>
      <c r="I73">
        <f>G73-H73</f>
        <v/>
      </c>
    </row>
    <row r="74">
      <c r="A74" s="4" t="n"/>
      <c r="B74" s="4" t="n"/>
      <c r="C74">
        <f>IFERROR(VLOOKUP(B74,'Recetas y precios'!$A:$B,2,FALSE),"")</f>
        <v/>
      </c>
      <c r="D74" s="4" t="n"/>
      <c r="E74" s="4" t="n"/>
      <c r="F74" s="4" t="n"/>
      <c r="G74">
        <f>E74*F74</f>
        <v/>
      </c>
      <c r="H74">
        <f>IFERROR(E74*VLOOKUP(B74,'Recetas y precios'!$A:$P,16,FALSE),0)</f>
        <v/>
      </c>
      <c r="I74">
        <f>G74-H74</f>
        <v/>
      </c>
    </row>
    <row r="75">
      <c r="A75" s="4" t="n"/>
      <c r="B75" s="4" t="n"/>
      <c r="C75">
        <f>IFERROR(VLOOKUP(B75,'Recetas y precios'!$A:$B,2,FALSE),"")</f>
        <v/>
      </c>
      <c r="D75" s="4" t="n"/>
      <c r="E75" s="4" t="n"/>
      <c r="F75" s="4" t="n"/>
      <c r="G75">
        <f>E75*F75</f>
        <v/>
      </c>
      <c r="H75">
        <f>IFERROR(E75*VLOOKUP(B75,'Recetas y precios'!$A:$P,16,FALSE),0)</f>
        <v/>
      </c>
      <c r="I75">
        <f>G75-H75</f>
        <v/>
      </c>
    </row>
    <row r="76">
      <c r="A76" s="4" t="n"/>
      <c r="B76" s="4" t="n"/>
      <c r="C76">
        <f>IFERROR(VLOOKUP(B76,'Recetas y precios'!$A:$B,2,FALSE),"")</f>
        <v/>
      </c>
      <c r="D76" s="4" t="n"/>
      <c r="E76" s="4" t="n"/>
      <c r="F76" s="4" t="n"/>
      <c r="G76">
        <f>E76*F76</f>
        <v/>
      </c>
      <c r="H76">
        <f>IFERROR(E76*VLOOKUP(B76,'Recetas y precios'!$A:$P,16,FALSE),0)</f>
        <v/>
      </c>
      <c r="I76">
        <f>G76-H76</f>
        <v/>
      </c>
    </row>
    <row r="77">
      <c r="A77" s="4" t="n"/>
      <c r="B77" s="4" t="n"/>
      <c r="C77">
        <f>IFERROR(VLOOKUP(B77,'Recetas y precios'!$A:$B,2,FALSE),"")</f>
        <v/>
      </c>
      <c r="D77" s="4" t="n"/>
      <c r="E77" s="4" t="n"/>
      <c r="F77" s="4" t="n"/>
      <c r="G77">
        <f>E77*F77</f>
        <v/>
      </c>
      <c r="H77">
        <f>IFERROR(E77*VLOOKUP(B77,'Recetas y precios'!$A:$P,16,FALSE),0)</f>
        <v/>
      </c>
      <c r="I77">
        <f>G77-H77</f>
        <v/>
      </c>
    </row>
    <row r="78">
      <c r="A78" s="4" t="n"/>
      <c r="B78" s="4" t="n"/>
      <c r="C78">
        <f>IFERROR(VLOOKUP(B78,'Recetas y precios'!$A:$B,2,FALSE),"")</f>
        <v/>
      </c>
      <c r="D78" s="4" t="n"/>
      <c r="E78" s="4" t="n"/>
      <c r="F78" s="4" t="n"/>
      <c r="G78">
        <f>E78*F78</f>
        <v/>
      </c>
      <c r="H78">
        <f>IFERROR(E78*VLOOKUP(B78,'Recetas y precios'!$A:$P,16,FALSE),0)</f>
        <v/>
      </c>
      <c r="I78">
        <f>G78-H78</f>
        <v/>
      </c>
    </row>
    <row r="79">
      <c r="A79" s="4" t="n"/>
      <c r="B79" s="4" t="n"/>
      <c r="C79">
        <f>IFERROR(VLOOKUP(B79,'Recetas y precios'!$A:$B,2,FALSE),"")</f>
        <v/>
      </c>
      <c r="D79" s="4" t="n"/>
      <c r="E79" s="4" t="n"/>
      <c r="F79" s="4" t="n"/>
      <c r="G79">
        <f>E79*F79</f>
        <v/>
      </c>
      <c r="H79">
        <f>IFERROR(E79*VLOOKUP(B79,'Recetas y precios'!$A:$P,16,FALSE),0)</f>
        <v/>
      </c>
      <c r="I79">
        <f>G79-H79</f>
        <v/>
      </c>
    </row>
    <row r="80">
      <c r="A80" s="4" t="n"/>
      <c r="B80" s="4" t="n"/>
      <c r="C80">
        <f>IFERROR(VLOOKUP(B80,'Recetas y precios'!$A:$B,2,FALSE),"")</f>
        <v/>
      </c>
      <c r="D80" s="4" t="n"/>
      <c r="E80" s="4" t="n"/>
      <c r="F80" s="4" t="n"/>
      <c r="G80">
        <f>E80*F80</f>
        <v/>
      </c>
      <c r="H80">
        <f>IFERROR(E80*VLOOKUP(B80,'Recetas y precios'!$A:$P,16,FALSE),0)</f>
        <v/>
      </c>
      <c r="I80">
        <f>G80-H80</f>
        <v/>
      </c>
    </row>
    <row r="81">
      <c r="A81" s="4" t="n"/>
      <c r="B81" s="4" t="n"/>
      <c r="C81">
        <f>IFERROR(VLOOKUP(B81,'Recetas y precios'!$A:$B,2,FALSE),"")</f>
        <v/>
      </c>
      <c r="D81" s="4" t="n"/>
      <c r="E81" s="4" t="n"/>
      <c r="F81" s="4" t="n"/>
      <c r="G81">
        <f>E81*F81</f>
        <v/>
      </c>
      <c r="H81">
        <f>IFERROR(E81*VLOOKUP(B81,'Recetas y precios'!$A:$P,16,FALSE),0)</f>
        <v/>
      </c>
      <c r="I81">
        <f>G81-H81</f>
        <v/>
      </c>
    </row>
    <row r="82">
      <c r="A82" s="4" t="n"/>
      <c r="B82" s="4" t="n"/>
      <c r="C82">
        <f>IFERROR(VLOOKUP(B82,'Recetas y precios'!$A:$B,2,FALSE),"")</f>
        <v/>
      </c>
      <c r="D82" s="4" t="n"/>
      <c r="E82" s="4" t="n"/>
      <c r="F82" s="4" t="n"/>
      <c r="G82">
        <f>E82*F82</f>
        <v/>
      </c>
      <c r="H82">
        <f>IFERROR(E82*VLOOKUP(B82,'Recetas y precios'!$A:$P,16,FALSE),0)</f>
        <v/>
      </c>
      <c r="I82">
        <f>G82-H82</f>
        <v/>
      </c>
    </row>
    <row r="83">
      <c r="A83" s="4" t="n"/>
      <c r="B83" s="4" t="n"/>
      <c r="C83">
        <f>IFERROR(VLOOKUP(B83,'Recetas y precios'!$A:$B,2,FALSE),"")</f>
        <v/>
      </c>
      <c r="D83" s="4" t="n"/>
      <c r="E83" s="4" t="n"/>
      <c r="F83" s="4" t="n"/>
      <c r="G83">
        <f>E83*F83</f>
        <v/>
      </c>
      <c r="H83">
        <f>IFERROR(E83*VLOOKUP(B83,'Recetas y precios'!$A:$P,16,FALSE),0)</f>
        <v/>
      </c>
      <c r="I83">
        <f>G83-H83</f>
        <v/>
      </c>
    </row>
    <row r="84">
      <c r="A84" s="4" t="n"/>
      <c r="B84" s="4" t="n"/>
      <c r="C84">
        <f>IFERROR(VLOOKUP(B84,'Recetas y precios'!$A:$B,2,FALSE),"")</f>
        <v/>
      </c>
      <c r="D84" s="4" t="n"/>
      <c r="E84" s="4" t="n"/>
      <c r="F84" s="4" t="n"/>
      <c r="G84">
        <f>E84*F84</f>
        <v/>
      </c>
      <c r="H84">
        <f>IFERROR(E84*VLOOKUP(B84,'Recetas y precios'!$A:$P,16,FALSE),0)</f>
        <v/>
      </c>
      <c r="I84">
        <f>G84-H84</f>
        <v/>
      </c>
    </row>
    <row r="85">
      <c r="A85" s="4" t="n"/>
      <c r="B85" s="4" t="n"/>
      <c r="C85">
        <f>IFERROR(VLOOKUP(B85,'Recetas y precios'!$A:$B,2,FALSE),"")</f>
        <v/>
      </c>
      <c r="D85" s="4" t="n"/>
      <c r="E85" s="4" t="n"/>
      <c r="F85" s="4" t="n"/>
      <c r="G85">
        <f>E85*F85</f>
        <v/>
      </c>
      <c r="H85">
        <f>IFERROR(E85*VLOOKUP(B85,'Recetas y precios'!$A:$P,16,FALSE),0)</f>
        <v/>
      </c>
      <c r="I85">
        <f>G85-H85</f>
        <v/>
      </c>
    </row>
    <row r="86">
      <c r="A86" s="4" t="n"/>
      <c r="B86" s="4" t="n"/>
      <c r="C86">
        <f>IFERROR(VLOOKUP(B86,'Recetas y precios'!$A:$B,2,FALSE),"")</f>
        <v/>
      </c>
      <c r="D86" s="4" t="n"/>
      <c r="E86" s="4" t="n"/>
      <c r="F86" s="4" t="n"/>
      <c r="G86">
        <f>E86*F86</f>
        <v/>
      </c>
      <c r="H86">
        <f>IFERROR(E86*VLOOKUP(B86,'Recetas y precios'!$A:$P,16,FALSE),0)</f>
        <v/>
      </c>
      <c r="I86">
        <f>G86-H86</f>
        <v/>
      </c>
    </row>
    <row r="87">
      <c r="A87" s="4" t="n"/>
      <c r="B87" s="4" t="n"/>
      <c r="C87">
        <f>IFERROR(VLOOKUP(B87,'Recetas y precios'!$A:$B,2,FALSE),"")</f>
        <v/>
      </c>
      <c r="D87" s="4" t="n"/>
      <c r="E87" s="4" t="n"/>
      <c r="F87" s="4" t="n"/>
      <c r="G87">
        <f>E87*F87</f>
        <v/>
      </c>
      <c r="H87">
        <f>IFERROR(E87*VLOOKUP(B87,'Recetas y precios'!$A:$P,16,FALSE),0)</f>
        <v/>
      </c>
      <c r="I87">
        <f>G87-H87</f>
        <v/>
      </c>
    </row>
    <row r="88">
      <c r="A88" s="4" t="n"/>
      <c r="B88" s="4" t="n"/>
      <c r="C88">
        <f>IFERROR(VLOOKUP(B88,'Recetas y precios'!$A:$B,2,FALSE),"")</f>
        <v/>
      </c>
      <c r="D88" s="4" t="n"/>
      <c r="E88" s="4" t="n"/>
      <c r="F88" s="4" t="n"/>
      <c r="G88">
        <f>E88*F88</f>
        <v/>
      </c>
      <c r="H88">
        <f>IFERROR(E88*VLOOKUP(B88,'Recetas y precios'!$A:$P,16,FALSE),0)</f>
        <v/>
      </c>
      <c r="I88">
        <f>G88-H88</f>
        <v/>
      </c>
    </row>
    <row r="89">
      <c r="A89" s="4" t="n"/>
      <c r="B89" s="4" t="n"/>
      <c r="C89">
        <f>IFERROR(VLOOKUP(B89,'Recetas y precios'!$A:$B,2,FALSE),"")</f>
        <v/>
      </c>
      <c r="D89" s="4" t="n"/>
      <c r="E89" s="4" t="n"/>
      <c r="F89" s="4" t="n"/>
      <c r="G89">
        <f>E89*F89</f>
        <v/>
      </c>
      <c r="H89">
        <f>IFERROR(E89*VLOOKUP(B89,'Recetas y precios'!$A:$P,16,FALSE),0)</f>
        <v/>
      </c>
      <c r="I89">
        <f>G89-H89</f>
        <v/>
      </c>
    </row>
    <row r="90">
      <c r="A90" s="4" t="n"/>
      <c r="B90" s="4" t="n"/>
      <c r="C90">
        <f>IFERROR(VLOOKUP(B90,'Recetas y precios'!$A:$B,2,FALSE),"")</f>
        <v/>
      </c>
      <c r="D90" s="4" t="n"/>
      <c r="E90" s="4" t="n"/>
      <c r="F90" s="4" t="n"/>
      <c r="G90">
        <f>E90*F90</f>
        <v/>
      </c>
      <c r="H90">
        <f>IFERROR(E90*VLOOKUP(B90,'Recetas y precios'!$A:$P,16,FALSE),0)</f>
        <v/>
      </c>
      <c r="I90">
        <f>G90-H90</f>
        <v/>
      </c>
    </row>
    <row r="91">
      <c r="A91" s="4" t="n"/>
      <c r="B91" s="4" t="n"/>
      <c r="C91">
        <f>IFERROR(VLOOKUP(B91,'Recetas y precios'!$A:$B,2,FALSE),"")</f>
        <v/>
      </c>
      <c r="D91" s="4" t="n"/>
      <c r="E91" s="4" t="n"/>
      <c r="F91" s="4" t="n"/>
      <c r="G91">
        <f>E91*F91</f>
        <v/>
      </c>
      <c r="H91">
        <f>IFERROR(E91*VLOOKUP(B91,'Recetas y precios'!$A:$P,16,FALSE),0)</f>
        <v/>
      </c>
      <c r="I91">
        <f>G91-H91</f>
        <v/>
      </c>
    </row>
    <row r="92">
      <c r="A92" s="4" t="n"/>
      <c r="B92" s="4" t="n"/>
      <c r="C92">
        <f>IFERROR(VLOOKUP(B92,'Recetas y precios'!$A:$B,2,FALSE),"")</f>
        <v/>
      </c>
      <c r="D92" s="4" t="n"/>
      <c r="E92" s="4" t="n"/>
      <c r="F92" s="4" t="n"/>
      <c r="G92">
        <f>E92*F92</f>
        <v/>
      </c>
      <c r="H92">
        <f>IFERROR(E92*VLOOKUP(B92,'Recetas y precios'!$A:$P,16,FALSE),0)</f>
        <v/>
      </c>
      <c r="I92">
        <f>G92-H92</f>
        <v/>
      </c>
    </row>
    <row r="93">
      <c r="A93" s="4" t="n"/>
      <c r="B93" s="4" t="n"/>
      <c r="C93">
        <f>IFERROR(VLOOKUP(B93,'Recetas y precios'!$A:$B,2,FALSE),"")</f>
        <v/>
      </c>
      <c r="D93" s="4" t="n"/>
      <c r="E93" s="4" t="n"/>
      <c r="F93" s="4" t="n"/>
      <c r="G93">
        <f>E93*F93</f>
        <v/>
      </c>
      <c r="H93">
        <f>IFERROR(E93*VLOOKUP(B93,'Recetas y precios'!$A:$P,16,FALSE),0)</f>
        <v/>
      </c>
      <c r="I93">
        <f>G93-H93</f>
        <v/>
      </c>
    </row>
    <row r="94">
      <c r="A94" s="4" t="n"/>
      <c r="B94" s="4" t="n"/>
      <c r="C94">
        <f>IFERROR(VLOOKUP(B94,'Recetas y precios'!$A:$B,2,FALSE),"")</f>
        <v/>
      </c>
      <c r="D94" s="4" t="n"/>
      <c r="E94" s="4" t="n"/>
      <c r="F94" s="4" t="n"/>
      <c r="G94">
        <f>E94*F94</f>
        <v/>
      </c>
      <c r="H94">
        <f>IFERROR(E94*VLOOKUP(B94,'Recetas y precios'!$A:$P,16,FALSE),0)</f>
        <v/>
      </c>
      <c r="I94">
        <f>G94-H94</f>
        <v/>
      </c>
    </row>
    <row r="95">
      <c r="A95" s="4" t="n"/>
      <c r="B95" s="4" t="n"/>
      <c r="C95">
        <f>IFERROR(VLOOKUP(B95,'Recetas y precios'!$A:$B,2,FALSE),"")</f>
        <v/>
      </c>
      <c r="D95" s="4" t="n"/>
      <c r="E95" s="4" t="n"/>
      <c r="F95" s="4" t="n"/>
      <c r="G95">
        <f>E95*F95</f>
        <v/>
      </c>
      <c r="H95">
        <f>IFERROR(E95*VLOOKUP(B95,'Recetas y precios'!$A:$P,16,FALSE),0)</f>
        <v/>
      </c>
      <c r="I95">
        <f>G95-H95</f>
        <v/>
      </c>
    </row>
    <row r="96">
      <c r="A96" s="4" t="n"/>
      <c r="B96" s="4" t="n"/>
      <c r="C96">
        <f>IFERROR(VLOOKUP(B96,'Recetas y precios'!$A:$B,2,FALSE),"")</f>
        <v/>
      </c>
      <c r="D96" s="4" t="n"/>
      <c r="E96" s="4" t="n"/>
      <c r="F96" s="4" t="n"/>
      <c r="G96">
        <f>E96*F96</f>
        <v/>
      </c>
      <c r="H96">
        <f>IFERROR(E96*VLOOKUP(B96,'Recetas y precios'!$A:$P,16,FALSE),0)</f>
        <v/>
      </c>
      <c r="I96">
        <f>G96-H96</f>
        <v/>
      </c>
    </row>
    <row r="97">
      <c r="A97" s="4" t="n"/>
      <c r="B97" s="4" t="n"/>
      <c r="C97">
        <f>IFERROR(VLOOKUP(B97,'Recetas y precios'!$A:$B,2,FALSE),"")</f>
        <v/>
      </c>
      <c r="D97" s="4" t="n"/>
      <c r="E97" s="4" t="n"/>
      <c r="F97" s="4" t="n"/>
      <c r="G97">
        <f>E97*F97</f>
        <v/>
      </c>
      <c r="H97">
        <f>IFERROR(E97*VLOOKUP(B97,'Recetas y precios'!$A:$P,16,FALSE),0)</f>
        <v/>
      </c>
      <c r="I97">
        <f>G97-H97</f>
        <v/>
      </c>
    </row>
    <row r="98">
      <c r="A98" s="4" t="n"/>
      <c r="B98" s="4" t="n"/>
      <c r="C98">
        <f>IFERROR(VLOOKUP(B98,'Recetas y precios'!$A:$B,2,FALSE),"")</f>
        <v/>
      </c>
      <c r="D98" s="4" t="n"/>
      <c r="E98" s="4" t="n"/>
      <c r="F98" s="4" t="n"/>
      <c r="G98">
        <f>E98*F98</f>
        <v/>
      </c>
      <c r="H98">
        <f>IFERROR(E98*VLOOKUP(B98,'Recetas y precios'!$A:$P,16,FALSE),0)</f>
        <v/>
      </c>
      <c r="I98">
        <f>G98-H98</f>
        <v/>
      </c>
    </row>
    <row r="99">
      <c r="A99" s="4" t="n"/>
      <c r="B99" s="4" t="n"/>
      <c r="C99">
        <f>IFERROR(VLOOKUP(B99,'Recetas y precios'!$A:$B,2,FALSE),"")</f>
        <v/>
      </c>
      <c r="D99" s="4" t="n"/>
      <c r="E99" s="4" t="n"/>
      <c r="F99" s="4" t="n"/>
      <c r="G99">
        <f>E99*F99</f>
        <v/>
      </c>
      <c r="H99">
        <f>IFERROR(E99*VLOOKUP(B99,'Recetas y precios'!$A:$P,16,FALSE),0)</f>
        <v/>
      </c>
      <c r="I99">
        <f>G99-H99</f>
        <v/>
      </c>
    </row>
    <row r="100">
      <c r="A100" s="4" t="n"/>
      <c r="B100" s="4" t="n"/>
      <c r="C100">
        <f>IFERROR(VLOOKUP(B100,'Recetas y precios'!$A:$B,2,FALSE),"")</f>
        <v/>
      </c>
      <c r="D100" s="4" t="n"/>
      <c r="E100" s="4" t="n"/>
      <c r="F100" s="4" t="n"/>
      <c r="G100">
        <f>E100*F100</f>
        <v/>
      </c>
      <c r="H100">
        <f>IFERROR(E100*VLOOKUP(B100,'Recetas y precios'!$A:$P,16,FALSE),0)</f>
        <v/>
      </c>
      <c r="I100">
        <f>G100-H100</f>
        <v/>
      </c>
    </row>
    <row r="101">
      <c r="A101" s="4" t="n"/>
      <c r="B101" s="4" t="n"/>
      <c r="C101">
        <f>IFERROR(VLOOKUP(B101,'Recetas y precios'!$A:$B,2,FALSE),"")</f>
        <v/>
      </c>
      <c r="D101" s="4" t="n"/>
      <c r="E101" s="4" t="n"/>
      <c r="F101" s="4" t="n"/>
      <c r="G101">
        <f>E101*F101</f>
        <v/>
      </c>
      <c r="H101">
        <f>IFERROR(E101*VLOOKUP(B101,'Recetas y precios'!$A:$P,16,FALSE),0)</f>
        <v/>
      </c>
      <c r="I101">
        <f>G101-H101</f>
        <v/>
      </c>
    </row>
    <row r="102">
      <c r="A102" s="4" t="n"/>
      <c r="B102" s="4" t="n"/>
      <c r="C102">
        <f>IFERROR(VLOOKUP(B102,'Recetas y precios'!$A:$B,2,FALSE),"")</f>
        <v/>
      </c>
      <c r="D102" s="4" t="n"/>
      <c r="E102" s="4" t="n"/>
      <c r="F102" s="4" t="n"/>
      <c r="G102">
        <f>E102*F102</f>
        <v/>
      </c>
      <c r="H102">
        <f>IFERROR(E102*VLOOKUP(B102,'Recetas y precios'!$A:$P,16,FALSE),0)</f>
        <v/>
      </c>
      <c r="I102">
        <f>G102-H102</f>
        <v/>
      </c>
    </row>
    <row r="103">
      <c r="A103" s="4" t="n"/>
      <c r="B103" s="4" t="n"/>
      <c r="C103">
        <f>IFERROR(VLOOKUP(B103,'Recetas y precios'!$A:$B,2,FALSE),"")</f>
        <v/>
      </c>
      <c r="D103" s="4" t="n"/>
      <c r="E103" s="4" t="n"/>
      <c r="F103" s="4" t="n"/>
      <c r="G103">
        <f>E103*F103</f>
        <v/>
      </c>
      <c r="H103">
        <f>IFERROR(E103*VLOOKUP(B103,'Recetas y precios'!$A:$P,16,FALSE),0)</f>
        <v/>
      </c>
      <c r="I103">
        <f>G103-H103</f>
        <v/>
      </c>
    </row>
    <row r="104">
      <c r="A104" s="4" t="n"/>
      <c r="B104" s="4" t="n"/>
      <c r="C104">
        <f>IFERROR(VLOOKUP(B104,'Recetas y precios'!$A:$B,2,FALSE),"")</f>
        <v/>
      </c>
      <c r="D104" s="4" t="n"/>
      <c r="E104" s="4" t="n"/>
      <c r="F104" s="4" t="n"/>
      <c r="G104">
        <f>E104*F104</f>
        <v/>
      </c>
      <c r="H104">
        <f>IFERROR(E104*VLOOKUP(B104,'Recetas y precios'!$A:$P,16,FALSE),0)</f>
        <v/>
      </c>
      <c r="I104">
        <f>G104-H104</f>
        <v/>
      </c>
    </row>
    <row r="105">
      <c r="A105" s="4" t="n"/>
      <c r="B105" s="4" t="n"/>
      <c r="C105">
        <f>IFERROR(VLOOKUP(B105,'Recetas y precios'!$A:$B,2,FALSE),"")</f>
        <v/>
      </c>
      <c r="D105" s="4" t="n"/>
      <c r="E105" s="4" t="n"/>
      <c r="F105" s="4" t="n"/>
      <c r="G105">
        <f>E105*F105</f>
        <v/>
      </c>
      <c r="H105">
        <f>IFERROR(E105*VLOOKUP(B105,'Recetas y precios'!$A:$P,16,FALSE),0)</f>
        <v/>
      </c>
      <c r="I105">
        <f>G105-H105</f>
        <v/>
      </c>
    </row>
    <row r="106">
      <c r="A106" s="4" t="n"/>
      <c r="B106" s="4" t="n"/>
      <c r="C106">
        <f>IFERROR(VLOOKUP(B106,'Recetas y precios'!$A:$B,2,FALSE),"")</f>
        <v/>
      </c>
      <c r="D106" s="4" t="n"/>
      <c r="E106" s="4" t="n"/>
      <c r="F106" s="4" t="n"/>
      <c r="G106">
        <f>E106*F106</f>
        <v/>
      </c>
      <c r="H106">
        <f>IFERROR(E106*VLOOKUP(B106,'Recetas y precios'!$A:$P,16,FALSE),0)</f>
        <v/>
      </c>
      <c r="I106">
        <f>G106-H106</f>
        <v/>
      </c>
    </row>
    <row r="107">
      <c r="A107" s="4" t="n"/>
      <c r="B107" s="4" t="n"/>
      <c r="C107">
        <f>IFERROR(VLOOKUP(B107,'Recetas y precios'!$A:$B,2,FALSE),"")</f>
        <v/>
      </c>
      <c r="D107" s="4" t="n"/>
      <c r="E107" s="4" t="n"/>
      <c r="F107" s="4" t="n"/>
      <c r="G107">
        <f>E107*F107</f>
        <v/>
      </c>
      <c r="H107">
        <f>IFERROR(E107*VLOOKUP(B107,'Recetas y precios'!$A:$P,16,FALSE),0)</f>
        <v/>
      </c>
      <c r="I107">
        <f>G107-H107</f>
        <v/>
      </c>
    </row>
    <row r="108">
      <c r="A108" s="4" t="n"/>
      <c r="B108" s="4" t="n"/>
      <c r="C108">
        <f>IFERROR(VLOOKUP(B108,'Recetas y precios'!$A:$B,2,FALSE),"")</f>
        <v/>
      </c>
      <c r="D108" s="4" t="n"/>
      <c r="E108" s="4" t="n"/>
      <c r="F108" s="4" t="n"/>
      <c r="G108">
        <f>E108*F108</f>
        <v/>
      </c>
      <c r="H108">
        <f>IFERROR(E108*VLOOKUP(B108,'Recetas y precios'!$A:$P,16,FALSE),0)</f>
        <v/>
      </c>
      <c r="I108">
        <f>G108-H108</f>
        <v/>
      </c>
    </row>
    <row r="109">
      <c r="A109" s="4" t="n"/>
      <c r="B109" s="4" t="n"/>
      <c r="C109">
        <f>IFERROR(VLOOKUP(B109,'Recetas y precios'!$A:$B,2,FALSE),"")</f>
        <v/>
      </c>
      <c r="D109" s="4" t="n"/>
      <c r="E109" s="4" t="n"/>
      <c r="F109" s="4" t="n"/>
      <c r="G109">
        <f>E109*F109</f>
        <v/>
      </c>
      <c r="H109">
        <f>IFERROR(E109*VLOOKUP(B109,'Recetas y precios'!$A:$P,16,FALSE),0)</f>
        <v/>
      </c>
      <c r="I109">
        <f>G109-H109</f>
        <v/>
      </c>
    </row>
    <row r="110">
      <c r="A110" s="4" t="n"/>
      <c r="B110" s="4" t="n"/>
      <c r="C110">
        <f>IFERROR(VLOOKUP(B110,'Recetas y precios'!$A:$B,2,FALSE),"")</f>
        <v/>
      </c>
      <c r="D110" s="4" t="n"/>
      <c r="E110" s="4" t="n"/>
      <c r="F110" s="4" t="n"/>
      <c r="G110">
        <f>E110*F110</f>
        <v/>
      </c>
      <c r="H110">
        <f>IFERROR(E110*VLOOKUP(B110,'Recetas y precios'!$A:$P,16,FALSE),0)</f>
        <v/>
      </c>
      <c r="I110">
        <f>G110-H110</f>
        <v/>
      </c>
    </row>
    <row r="111">
      <c r="A111" s="4" t="n"/>
      <c r="B111" s="4" t="n"/>
      <c r="C111">
        <f>IFERROR(VLOOKUP(B111,'Recetas y precios'!$A:$B,2,FALSE),"")</f>
        <v/>
      </c>
      <c r="D111" s="4" t="n"/>
      <c r="E111" s="4" t="n"/>
      <c r="F111" s="4" t="n"/>
      <c r="G111">
        <f>E111*F111</f>
        <v/>
      </c>
      <c r="H111">
        <f>IFERROR(E111*VLOOKUP(B111,'Recetas y precios'!$A:$P,16,FALSE),0)</f>
        <v/>
      </c>
      <c r="I111">
        <f>G111-H111</f>
        <v/>
      </c>
    </row>
    <row r="112">
      <c r="A112" s="4" t="n"/>
      <c r="B112" s="4" t="n"/>
      <c r="C112">
        <f>IFERROR(VLOOKUP(B112,'Recetas y precios'!$A:$B,2,FALSE),"")</f>
        <v/>
      </c>
      <c r="D112" s="4" t="n"/>
      <c r="E112" s="4" t="n"/>
      <c r="F112" s="4" t="n"/>
      <c r="G112">
        <f>E112*F112</f>
        <v/>
      </c>
      <c r="H112">
        <f>IFERROR(E112*VLOOKUP(B112,'Recetas y precios'!$A:$P,16,FALSE),0)</f>
        <v/>
      </c>
      <c r="I112">
        <f>G112-H112</f>
        <v/>
      </c>
    </row>
    <row r="113">
      <c r="A113" s="4" t="n"/>
      <c r="B113" s="4" t="n"/>
      <c r="C113">
        <f>IFERROR(VLOOKUP(B113,'Recetas y precios'!$A:$B,2,FALSE),"")</f>
        <v/>
      </c>
      <c r="D113" s="4" t="n"/>
      <c r="E113" s="4" t="n"/>
      <c r="F113" s="4" t="n"/>
      <c r="G113">
        <f>E113*F113</f>
        <v/>
      </c>
      <c r="H113">
        <f>IFERROR(E113*VLOOKUP(B113,'Recetas y precios'!$A:$P,16,FALSE),0)</f>
        <v/>
      </c>
      <c r="I113">
        <f>G113-H113</f>
        <v/>
      </c>
    </row>
    <row r="114">
      <c r="A114" s="4" t="n"/>
      <c r="B114" s="4" t="n"/>
      <c r="C114">
        <f>IFERROR(VLOOKUP(B114,'Recetas y precios'!$A:$B,2,FALSE),"")</f>
        <v/>
      </c>
      <c r="D114" s="4" t="n"/>
      <c r="E114" s="4" t="n"/>
      <c r="F114" s="4" t="n"/>
      <c r="G114">
        <f>E114*F114</f>
        <v/>
      </c>
      <c r="H114">
        <f>IFERROR(E114*VLOOKUP(B114,'Recetas y precios'!$A:$P,16,FALSE),0)</f>
        <v/>
      </c>
      <c r="I114">
        <f>G114-H114</f>
        <v/>
      </c>
    </row>
    <row r="115">
      <c r="A115" s="4" t="n"/>
      <c r="B115" s="4" t="n"/>
      <c r="C115">
        <f>IFERROR(VLOOKUP(B115,'Recetas y precios'!$A:$B,2,FALSE),"")</f>
        <v/>
      </c>
      <c r="D115" s="4" t="n"/>
      <c r="E115" s="4" t="n"/>
      <c r="F115" s="4" t="n"/>
      <c r="G115">
        <f>E115*F115</f>
        <v/>
      </c>
      <c r="H115">
        <f>IFERROR(E115*VLOOKUP(B115,'Recetas y precios'!$A:$P,16,FALSE),0)</f>
        <v/>
      </c>
      <c r="I115">
        <f>G115-H115</f>
        <v/>
      </c>
    </row>
    <row r="116">
      <c r="A116" s="4" t="n"/>
      <c r="B116" s="4" t="n"/>
      <c r="C116">
        <f>IFERROR(VLOOKUP(B116,'Recetas y precios'!$A:$B,2,FALSE),"")</f>
        <v/>
      </c>
      <c r="D116" s="4" t="n"/>
      <c r="E116" s="4" t="n"/>
      <c r="F116" s="4" t="n"/>
      <c r="G116">
        <f>E116*F116</f>
        <v/>
      </c>
      <c r="H116">
        <f>IFERROR(E116*VLOOKUP(B116,'Recetas y precios'!$A:$P,16,FALSE),0)</f>
        <v/>
      </c>
      <c r="I116">
        <f>G116-H116</f>
        <v/>
      </c>
    </row>
    <row r="117">
      <c r="A117" s="4" t="n"/>
      <c r="B117" s="4" t="n"/>
      <c r="C117">
        <f>IFERROR(VLOOKUP(B117,'Recetas y precios'!$A:$B,2,FALSE),"")</f>
        <v/>
      </c>
      <c r="D117" s="4" t="n"/>
      <c r="E117" s="4" t="n"/>
      <c r="F117" s="4" t="n"/>
      <c r="G117">
        <f>E117*F117</f>
        <v/>
      </c>
      <c r="H117">
        <f>IFERROR(E117*VLOOKUP(B117,'Recetas y precios'!$A:$P,16,FALSE),0)</f>
        <v/>
      </c>
      <c r="I117">
        <f>G117-H117</f>
        <v/>
      </c>
    </row>
    <row r="118">
      <c r="A118" s="4" t="n"/>
      <c r="B118" s="4" t="n"/>
      <c r="C118">
        <f>IFERROR(VLOOKUP(B118,'Recetas y precios'!$A:$B,2,FALSE),"")</f>
        <v/>
      </c>
      <c r="D118" s="4" t="n"/>
      <c r="E118" s="4" t="n"/>
      <c r="F118" s="4" t="n"/>
      <c r="G118">
        <f>E118*F118</f>
        <v/>
      </c>
      <c r="H118">
        <f>IFERROR(E118*VLOOKUP(B118,'Recetas y precios'!$A:$P,16,FALSE),0)</f>
        <v/>
      </c>
      <c r="I118">
        <f>G118-H118</f>
        <v/>
      </c>
    </row>
    <row r="119">
      <c r="A119" s="4" t="n"/>
      <c r="B119" s="4" t="n"/>
      <c r="C119">
        <f>IFERROR(VLOOKUP(B119,'Recetas y precios'!$A:$B,2,FALSE),"")</f>
        <v/>
      </c>
      <c r="D119" s="4" t="n"/>
      <c r="E119" s="4" t="n"/>
      <c r="F119" s="4" t="n"/>
      <c r="G119">
        <f>E119*F119</f>
        <v/>
      </c>
      <c r="H119">
        <f>IFERROR(E119*VLOOKUP(B119,'Recetas y precios'!$A:$P,16,FALSE),0)</f>
        <v/>
      </c>
      <c r="I119">
        <f>G119-H119</f>
        <v/>
      </c>
    </row>
    <row r="120">
      <c r="A120" s="4" t="n"/>
      <c r="B120" s="4" t="n"/>
      <c r="C120">
        <f>IFERROR(VLOOKUP(B120,'Recetas y precios'!$A:$B,2,FALSE),"")</f>
        <v/>
      </c>
      <c r="D120" s="4" t="n"/>
      <c r="E120" s="4" t="n"/>
      <c r="F120" s="4" t="n"/>
      <c r="G120">
        <f>E120*F120</f>
        <v/>
      </c>
      <c r="H120">
        <f>IFERROR(E120*VLOOKUP(B120,'Recetas y precios'!$A:$P,16,FALSE),0)</f>
        <v/>
      </c>
      <c r="I120">
        <f>G120-H120</f>
        <v/>
      </c>
    </row>
    <row r="121">
      <c r="A121" s="4" t="n"/>
      <c r="B121" s="4" t="n"/>
      <c r="C121">
        <f>IFERROR(VLOOKUP(B121,'Recetas y precios'!$A:$B,2,FALSE),"")</f>
        <v/>
      </c>
      <c r="D121" s="4" t="n"/>
      <c r="E121" s="4" t="n"/>
      <c r="F121" s="4" t="n"/>
      <c r="G121">
        <f>E121*F121</f>
        <v/>
      </c>
      <c r="H121">
        <f>IFERROR(E121*VLOOKUP(B121,'Recetas y precios'!$A:$P,16,FALSE),0)</f>
        <v/>
      </c>
      <c r="I121">
        <f>G121-H121</f>
        <v/>
      </c>
    </row>
    <row r="122">
      <c r="A122" s="4" t="n"/>
      <c r="B122" s="4" t="n"/>
      <c r="C122">
        <f>IFERROR(VLOOKUP(B122,'Recetas y precios'!$A:$B,2,FALSE),"")</f>
        <v/>
      </c>
      <c r="D122" s="4" t="n"/>
      <c r="E122" s="4" t="n"/>
      <c r="F122" s="4" t="n"/>
      <c r="G122">
        <f>E122*F122</f>
        <v/>
      </c>
      <c r="H122">
        <f>IFERROR(E122*VLOOKUP(B122,'Recetas y precios'!$A:$P,16,FALSE),0)</f>
        <v/>
      </c>
      <c r="I122">
        <f>G122-H122</f>
        <v/>
      </c>
    </row>
    <row r="123">
      <c r="A123" s="4" t="n"/>
      <c r="B123" s="4" t="n"/>
      <c r="C123">
        <f>IFERROR(VLOOKUP(B123,'Recetas y precios'!$A:$B,2,FALSE),"")</f>
        <v/>
      </c>
      <c r="D123" s="4" t="n"/>
      <c r="E123" s="4" t="n"/>
      <c r="F123" s="4" t="n"/>
      <c r="G123">
        <f>E123*F123</f>
        <v/>
      </c>
      <c r="H123">
        <f>IFERROR(E123*VLOOKUP(B123,'Recetas y precios'!$A:$P,16,FALSE),0)</f>
        <v/>
      </c>
      <c r="I123">
        <f>G123-H123</f>
        <v/>
      </c>
    </row>
    <row r="124">
      <c r="A124" s="4" t="n"/>
      <c r="B124" s="4" t="n"/>
      <c r="C124">
        <f>IFERROR(VLOOKUP(B124,'Recetas y precios'!$A:$B,2,FALSE),"")</f>
        <v/>
      </c>
      <c r="D124" s="4" t="n"/>
      <c r="E124" s="4" t="n"/>
      <c r="F124" s="4" t="n"/>
      <c r="G124">
        <f>E124*F124</f>
        <v/>
      </c>
      <c r="H124">
        <f>IFERROR(E124*VLOOKUP(B124,'Recetas y precios'!$A:$P,16,FALSE),0)</f>
        <v/>
      </c>
      <c r="I124">
        <f>G124-H124</f>
        <v/>
      </c>
    </row>
    <row r="125">
      <c r="A125" s="4" t="n"/>
      <c r="B125" s="4" t="n"/>
      <c r="C125">
        <f>IFERROR(VLOOKUP(B125,'Recetas y precios'!$A:$B,2,FALSE),"")</f>
        <v/>
      </c>
      <c r="D125" s="4" t="n"/>
      <c r="E125" s="4" t="n"/>
      <c r="F125" s="4" t="n"/>
      <c r="G125">
        <f>E125*F125</f>
        <v/>
      </c>
      <c r="H125">
        <f>IFERROR(E125*VLOOKUP(B125,'Recetas y precios'!$A:$P,16,FALSE),0)</f>
        <v/>
      </c>
      <c r="I125">
        <f>G125-H125</f>
        <v/>
      </c>
    </row>
    <row r="126">
      <c r="A126" s="4" t="n"/>
      <c r="B126" s="4" t="n"/>
      <c r="C126">
        <f>IFERROR(VLOOKUP(B126,'Recetas y precios'!$A:$B,2,FALSE),"")</f>
        <v/>
      </c>
      <c r="D126" s="4" t="n"/>
      <c r="E126" s="4" t="n"/>
      <c r="F126" s="4" t="n"/>
      <c r="G126">
        <f>E126*F126</f>
        <v/>
      </c>
      <c r="H126">
        <f>IFERROR(E126*VLOOKUP(B126,'Recetas y precios'!$A:$P,16,FALSE),0)</f>
        <v/>
      </c>
      <c r="I126">
        <f>G126-H126</f>
        <v/>
      </c>
    </row>
    <row r="127">
      <c r="A127" s="4" t="n"/>
      <c r="B127" s="4" t="n"/>
      <c r="C127">
        <f>IFERROR(VLOOKUP(B127,'Recetas y precios'!$A:$B,2,FALSE),"")</f>
        <v/>
      </c>
      <c r="D127" s="4" t="n"/>
      <c r="E127" s="4" t="n"/>
      <c r="F127" s="4" t="n"/>
      <c r="G127">
        <f>E127*F127</f>
        <v/>
      </c>
      <c r="H127">
        <f>IFERROR(E127*VLOOKUP(B127,'Recetas y precios'!$A:$P,16,FALSE),0)</f>
        <v/>
      </c>
      <c r="I127">
        <f>G127-H127</f>
        <v/>
      </c>
    </row>
    <row r="128">
      <c r="A128" s="4" t="n"/>
      <c r="B128" s="4" t="n"/>
      <c r="C128">
        <f>IFERROR(VLOOKUP(B128,'Recetas y precios'!$A:$B,2,FALSE),"")</f>
        <v/>
      </c>
      <c r="D128" s="4" t="n"/>
      <c r="E128" s="4" t="n"/>
      <c r="F128" s="4" t="n"/>
      <c r="G128">
        <f>E128*F128</f>
        <v/>
      </c>
      <c r="H128">
        <f>IFERROR(E128*VLOOKUP(B128,'Recetas y precios'!$A:$P,16,FALSE),0)</f>
        <v/>
      </c>
      <c r="I128">
        <f>G128-H128</f>
        <v/>
      </c>
    </row>
    <row r="129">
      <c r="A129" s="4" t="n"/>
      <c r="B129" s="4" t="n"/>
      <c r="C129">
        <f>IFERROR(VLOOKUP(B129,'Recetas y precios'!$A:$B,2,FALSE),"")</f>
        <v/>
      </c>
      <c r="D129" s="4" t="n"/>
      <c r="E129" s="4" t="n"/>
      <c r="F129" s="4" t="n"/>
      <c r="G129">
        <f>E129*F129</f>
        <v/>
      </c>
      <c r="H129">
        <f>IFERROR(E129*VLOOKUP(B129,'Recetas y precios'!$A:$P,16,FALSE),0)</f>
        <v/>
      </c>
      <c r="I129">
        <f>G129-H129</f>
        <v/>
      </c>
    </row>
    <row r="130">
      <c r="A130" s="4" t="n"/>
      <c r="B130" s="4" t="n"/>
      <c r="C130">
        <f>IFERROR(VLOOKUP(B130,'Recetas y precios'!$A:$B,2,FALSE),"")</f>
        <v/>
      </c>
      <c r="D130" s="4" t="n"/>
      <c r="E130" s="4" t="n"/>
      <c r="F130" s="4" t="n"/>
      <c r="G130">
        <f>E130*F130</f>
        <v/>
      </c>
      <c r="H130">
        <f>IFERROR(E130*VLOOKUP(B130,'Recetas y precios'!$A:$P,16,FALSE),0)</f>
        <v/>
      </c>
      <c r="I130">
        <f>G130-H130</f>
        <v/>
      </c>
    </row>
    <row r="131">
      <c r="A131" s="4" t="n"/>
      <c r="B131" s="4" t="n"/>
      <c r="C131">
        <f>IFERROR(VLOOKUP(B131,'Recetas y precios'!$A:$B,2,FALSE),"")</f>
        <v/>
      </c>
      <c r="D131" s="4" t="n"/>
      <c r="E131" s="4" t="n"/>
      <c r="F131" s="4" t="n"/>
      <c r="G131">
        <f>E131*F131</f>
        <v/>
      </c>
      <c r="H131">
        <f>IFERROR(E131*VLOOKUP(B131,'Recetas y precios'!$A:$P,16,FALSE),0)</f>
        <v/>
      </c>
      <c r="I131">
        <f>G131-H131</f>
        <v/>
      </c>
    </row>
    <row r="132">
      <c r="A132" s="4" t="n"/>
      <c r="B132" s="4" t="n"/>
      <c r="C132">
        <f>IFERROR(VLOOKUP(B132,'Recetas y precios'!$A:$B,2,FALSE),"")</f>
        <v/>
      </c>
      <c r="D132" s="4" t="n"/>
      <c r="E132" s="4" t="n"/>
      <c r="F132" s="4" t="n"/>
      <c r="G132">
        <f>E132*F132</f>
        <v/>
      </c>
      <c r="H132">
        <f>IFERROR(E132*VLOOKUP(B132,'Recetas y precios'!$A:$P,16,FALSE),0)</f>
        <v/>
      </c>
      <c r="I132">
        <f>G132-H132</f>
        <v/>
      </c>
    </row>
    <row r="133">
      <c r="A133" s="4" t="n"/>
      <c r="B133" s="4" t="n"/>
      <c r="C133">
        <f>IFERROR(VLOOKUP(B133,'Recetas y precios'!$A:$B,2,FALSE),"")</f>
        <v/>
      </c>
      <c r="D133" s="4" t="n"/>
      <c r="E133" s="4" t="n"/>
      <c r="F133" s="4" t="n"/>
      <c r="G133">
        <f>E133*F133</f>
        <v/>
      </c>
      <c r="H133">
        <f>IFERROR(E133*VLOOKUP(B133,'Recetas y precios'!$A:$P,16,FALSE),0)</f>
        <v/>
      </c>
      <c r="I133">
        <f>G133-H133</f>
        <v/>
      </c>
    </row>
    <row r="134">
      <c r="A134" s="4" t="n"/>
      <c r="B134" s="4" t="n"/>
      <c r="C134">
        <f>IFERROR(VLOOKUP(B134,'Recetas y precios'!$A:$B,2,FALSE),"")</f>
        <v/>
      </c>
      <c r="D134" s="4" t="n"/>
      <c r="E134" s="4" t="n"/>
      <c r="F134" s="4" t="n"/>
      <c r="G134">
        <f>E134*F134</f>
        <v/>
      </c>
      <c r="H134">
        <f>IFERROR(E134*VLOOKUP(B134,'Recetas y precios'!$A:$P,16,FALSE),0)</f>
        <v/>
      </c>
      <c r="I134">
        <f>G134-H134</f>
        <v/>
      </c>
    </row>
    <row r="135">
      <c r="A135" s="4" t="n"/>
      <c r="B135" s="4" t="n"/>
      <c r="C135">
        <f>IFERROR(VLOOKUP(B135,'Recetas y precios'!$A:$B,2,FALSE),"")</f>
        <v/>
      </c>
      <c r="D135" s="4" t="n"/>
      <c r="E135" s="4" t="n"/>
      <c r="F135" s="4" t="n"/>
      <c r="G135">
        <f>E135*F135</f>
        <v/>
      </c>
      <c r="H135">
        <f>IFERROR(E135*VLOOKUP(B135,'Recetas y precios'!$A:$P,16,FALSE),0)</f>
        <v/>
      </c>
      <c r="I135">
        <f>G135-H135</f>
        <v/>
      </c>
    </row>
    <row r="136">
      <c r="A136" s="4" t="n"/>
      <c r="B136" s="4" t="n"/>
      <c r="C136">
        <f>IFERROR(VLOOKUP(B136,'Recetas y precios'!$A:$B,2,FALSE),"")</f>
        <v/>
      </c>
      <c r="D136" s="4" t="n"/>
      <c r="E136" s="4" t="n"/>
      <c r="F136" s="4" t="n"/>
      <c r="G136">
        <f>E136*F136</f>
        <v/>
      </c>
      <c r="H136">
        <f>IFERROR(E136*VLOOKUP(B136,'Recetas y precios'!$A:$P,16,FALSE),0)</f>
        <v/>
      </c>
      <c r="I136">
        <f>G136-H136</f>
        <v/>
      </c>
    </row>
    <row r="137">
      <c r="A137" s="4" t="n"/>
      <c r="B137" s="4" t="n"/>
      <c r="C137">
        <f>IFERROR(VLOOKUP(B137,'Recetas y precios'!$A:$B,2,FALSE),"")</f>
        <v/>
      </c>
      <c r="D137" s="4" t="n"/>
      <c r="E137" s="4" t="n"/>
      <c r="F137" s="4" t="n"/>
      <c r="G137">
        <f>E137*F137</f>
        <v/>
      </c>
      <c r="H137">
        <f>IFERROR(E137*VLOOKUP(B137,'Recetas y precios'!$A:$P,16,FALSE),0)</f>
        <v/>
      </c>
      <c r="I137">
        <f>G137-H137</f>
        <v/>
      </c>
    </row>
    <row r="138">
      <c r="A138" s="4" t="n"/>
      <c r="B138" s="4" t="n"/>
      <c r="C138">
        <f>IFERROR(VLOOKUP(B138,'Recetas y precios'!$A:$B,2,FALSE),"")</f>
        <v/>
      </c>
      <c r="D138" s="4" t="n"/>
      <c r="E138" s="4" t="n"/>
      <c r="F138" s="4" t="n"/>
      <c r="G138">
        <f>E138*F138</f>
        <v/>
      </c>
      <c r="H138">
        <f>IFERROR(E138*VLOOKUP(B138,'Recetas y precios'!$A:$P,16,FALSE),0)</f>
        <v/>
      </c>
      <c r="I138">
        <f>G138-H138</f>
        <v/>
      </c>
    </row>
    <row r="139">
      <c r="A139" s="4" t="n"/>
      <c r="B139" s="4" t="n"/>
      <c r="C139">
        <f>IFERROR(VLOOKUP(B139,'Recetas y precios'!$A:$B,2,FALSE),"")</f>
        <v/>
      </c>
      <c r="D139" s="4" t="n"/>
      <c r="E139" s="4" t="n"/>
      <c r="F139" s="4" t="n"/>
      <c r="G139">
        <f>E139*F139</f>
        <v/>
      </c>
      <c r="H139">
        <f>IFERROR(E139*VLOOKUP(B139,'Recetas y precios'!$A:$P,16,FALSE),0)</f>
        <v/>
      </c>
      <c r="I139">
        <f>G139-H139</f>
        <v/>
      </c>
    </row>
    <row r="140">
      <c r="A140" s="4" t="n"/>
      <c r="B140" s="4" t="n"/>
      <c r="C140">
        <f>IFERROR(VLOOKUP(B140,'Recetas y precios'!$A:$B,2,FALSE),"")</f>
        <v/>
      </c>
      <c r="D140" s="4" t="n"/>
      <c r="E140" s="4" t="n"/>
      <c r="F140" s="4" t="n"/>
      <c r="G140">
        <f>E140*F140</f>
        <v/>
      </c>
      <c r="H140">
        <f>IFERROR(E140*VLOOKUP(B140,'Recetas y precios'!$A:$P,16,FALSE),0)</f>
        <v/>
      </c>
      <c r="I140">
        <f>G140-H140</f>
        <v/>
      </c>
    </row>
    <row r="141">
      <c r="A141" s="4" t="n"/>
      <c r="B141" s="4" t="n"/>
      <c r="C141">
        <f>IFERROR(VLOOKUP(B141,'Recetas y precios'!$A:$B,2,FALSE),"")</f>
        <v/>
      </c>
      <c r="D141" s="4" t="n"/>
      <c r="E141" s="4" t="n"/>
      <c r="F141" s="4" t="n"/>
      <c r="G141">
        <f>E141*F141</f>
        <v/>
      </c>
      <c r="H141">
        <f>IFERROR(E141*VLOOKUP(B141,'Recetas y precios'!$A:$P,16,FALSE),0)</f>
        <v/>
      </c>
      <c r="I141">
        <f>G141-H141</f>
        <v/>
      </c>
    </row>
    <row r="142">
      <c r="A142" s="4" t="n"/>
      <c r="B142" s="4" t="n"/>
      <c r="C142">
        <f>IFERROR(VLOOKUP(B142,'Recetas y precios'!$A:$B,2,FALSE),"")</f>
        <v/>
      </c>
      <c r="D142" s="4" t="n"/>
      <c r="E142" s="4" t="n"/>
      <c r="F142" s="4" t="n"/>
      <c r="G142">
        <f>E142*F142</f>
        <v/>
      </c>
      <c r="H142">
        <f>IFERROR(E142*VLOOKUP(B142,'Recetas y precios'!$A:$P,16,FALSE),0)</f>
        <v/>
      </c>
      <c r="I142">
        <f>G142-H142</f>
        <v/>
      </c>
    </row>
    <row r="143">
      <c r="A143" s="4" t="n"/>
      <c r="B143" s="4" t="n"/>
      <c r="C143">
        <f>IFERROR(VLOOKUP(B143,'Recetas y precios'!$A:$B,2,FALSE),"")</f>
        <v/>
      </c>
      <c r="D143" s="4" t="n"/>
      <c r="E143" s="4" t="n"/>
      <c r="F143" s="4" t="n"/>
      <c r="G143">
        <f>E143*F143</f>
        <v/>
      </c>
      <c r="H143">
        <f>IFERROR(E143*VLOOKUP(B143,'Recetas y precios'!$A:$P,16,FALSE),0)</f>
        <v/>
      </c>
      <c r="I143">
        <f>G143-H143</f>
        <v/>
      </c>
    </row>
    <row r="144">
      <c r="A144" s="4" t="n"/>
      <c r="B144" s="4" t="n"/>
      <c r="C144">
        <f>IFERROR(VLOOKUP(B144,'Recetas y precios'!$A:$B,2,FALSE),"")</f>
        <v/>
      </c>
      <c r="D144" s="4" t="n"/>
      <c r="E144" s="4" t="n"/>
      <c r="F144" s="4" t="n"/>
      <c r="G144">
        <f>E144*F144</f>
        <v/>
      </c>
      <c r="H144">
        <f>IFERROR(E144*VLOOKUP(B144,'Recetas y precios'!$A:$P,16,FALSE),0)</f>
        <v/>
      </c>
      <c r="I144">
        <f>G144-H144</f>
        <v/>
      </c>
    </row>
    <row r="145">
      <c r="A145" s="4" t="n"/>
      <c r="B145" s="4" t="n"/>
      <c r="C145">
        <f>IFERROR(VLOOKUP(B145,'Recetas y precios'!$A:$B,2,FALSE),"")</f>
        <v/>
      </c>
      <c r="D145" s="4" t="n"/>
      <c r="E145" s="4" t="n"/>
      <c r="F145" s="4" t="n"/>
      <c r="G145">
        <f>E145*F145</f>
        <v/>
      </c>
      <c r="H145">
        <f>IFERROR(E145*VLOOKUP(B145,'Recetas y precios'!$A:$P,16,FALSE),0)</f>
        <v/>
      </c>
      <c r="I145">
        <f>G145-H145</f>
        <v/>
      </c>
    </row>
    <row r="146">
      <c r="A146" s="4" t="n"/>
      <c r="B146" s="4" t="n"/>
      <c r="C146">
        <f>IFERROR(VLOOKUP(B146,'Recetas y precios'!$A:$B,2,FALSE),"")</f>
        <v/>
      </c>
      <c r="D146" s="4" t="n"/>
      <c r="E146" s="4" t="n"/>
      <c r="F146" s="4" t="n"/>
      <c r="G146">
        <f>E146*F146</f>
        <v/>
      </c>
      <c r="H146">
        <f>IFERROR(E146*VLOOKUP(B146,'Recetas y precios'!$A:$P,16,FALSE),0)</f>
        <v/>
      </c>
      <c r="I146">
        <f>G146-H146</f>
        <v/>
      </c>
    </row>
    <row r="147">
      <c r="A147" s="4" t="n"/>
      <c r="B147" s="4" t="n"/>
      <c r="C147">
        <f>IFERROR(VLOOKUP(B147,'Recetas y precios'!$A:$B,2,FALSE),"")</f>
        <v/>
      </c>
      <c r="D147" s="4" t="n"/>
      <c r="E147" s="4" t="n"/>
      <c r="F147" s="4" t="n"/>
      <c r="G147">
        <f>E147*F147</f>
        <v/>
      </c>
      <c r="H147">
        <f>IFERROR(E147*VLOOKUP(B147,'Recetas y precios'!$A:$P,16,FALSE),0)</f>
        <v/>
      </c>
      <c r="I147">
        <f>G147-H147</f>
        <v/>
      </c>
    </row>
    <row r="148">
      <c r="A148" s="4" t="n"/>
      <c r="B148" s="4" t="n"/>
      <c r="C148">
        <f>IFERROR(VLOOKUP(B148,'Recetas y precios'!$A:$B,2,FALSE),"")</f>
        <v/>
      </c>
      <c r="D148" s="4" t="n"/>
      <c r="E148" s="4" t="n"/>
      <c r="F148" s="4" t="n"/>
      <c r="G148">
        <f>E148*F148</f>
        <v/>
      </c>
      <c r="H148">
        <f>IFERROR(E148*VLOOKUP(B148,'Recetas y precios'!$A:$P,16,FALSE),0)</f>
        <v/>
      </c>
      <c r="I148">
        <f>G148-H148</f>
        <v/>
      </c>
    </row>
    <row r="149">
      <c r="A149" s="4" t="n"/>
      <c r="B149" s="4" t="n"/>
      <c r="C149">
        <f>IFERROR(VLOOKUP(B149,'Recetas y precios'!$A:$B,2,FALSE),"")</f>
        <v/>
      </c>
      <c r="D149" s="4" t="n"/>
      <c r="E149" s="4" t="n"/>
      <c r="F149" s="4" t="n"/>
      <c r="G149">
        <f>E149*F149</f>
        <v/>
      </c>
      <c r="H149">
        <f>IFERROR(E149*VLOOKUP(B149,'Recetas y precios'!$A:$P,16,FALSE),0)</f>
        <v/>
      </c>
      <c r="I149">
        <f>G149-H149</f>
        <v/>
      </c>
    </row>
    <row r="150">
      <c r="A150" s="4" t="n"/>
      <c r="B150" s="4" t="n"/>
      <c r="C150">
        <f>IFERROR(VLOOKUP(B150,'Recetas y precios'!$A:$B,2,FALSE),"")</f>
        <v/>
      </c>
      <c r="D150" s="4" t="n"/>
      <c r="E150" s="4" t="n"/>
      <c r="F150" s="4" t="n"/>
      <c r="G150">
        <f>E150*F150</f>
        <v/>
      </c>
      <c r="H150">
        <f>IFERROR(E150*VLOOKUP(B150,'Recetas y precios'!$A:$P,16,FALSE),0)</f>
        <v/>
      </c>
      <c r="I150">
        <f>G150-H150</f>
        <v/>
      </c>
    </row>
    <row r="151">
      <c r="A151" s="4" t="n"/>
      <c r="B151" s="4" t="n"/>
      <c r="C151">
        <f>IFERROR(VLOOKUP(B151,'Recetas y precios'!$A:$B,2,FALSE),"")</f>
        <v/>
      </c>
      <c r="D151" s="4" t="n"/>
      <c r="E151" s="4" t="n"/>
      <c r="F151" s="4" t="n"/>
      <c r="G151">
        <f>E151*F151</f>
        <v/>
      </c>
      <c r="H151">
        <f>IFERROR(E151*VLOOKUP(B151,'Recetas y precios'!$A:$P,16,FALSE),0)</f>
        <v/>
      </c>
      <c r="I151">
        <f>G151-H151</f>
        <v/>
      </c>
    </row>
    <row r="152">
      <c r="A152" s="4" t="n"/>
      <c r="B152" s="4" t="n"/>
      <c r="C152">
        <f>IFERROR(VLOOKUP(B152,'Recetas y precios'!$A:$B,2,FALSE),"")</f>
        <v/>
      </c>
      <c r="D152" s="4" t="n"/>
      <c r="E152" s="4" t="n"/>
      <c r="F152" s="4" t="n"/>
      <c r="G152">
        <f>E152*F152</f>
        <v/>
      </c>
      <c r="H152">
        <f>IFERROR(E152*VLOOKUP(B152,'Recetas y precios'!$A:$P,16,FALSE),0)</f>
        <v/>
      </c>
      <c r="I152">
        <f>G152-H152</f>
        <v/>
      </c>
    </row>
    <row r="153">
      <c r="A153" s="4" t="n"/>
      <c r="B153" s="4" t="n"/>
      <c r="C153">
        <f>IFERROR(VLOOKUP(B153,'Recetas y precios'!$A:$B,2,FALSE),"")</f>
        <v/>
      </c>
      <c r="D153" s="4" t="n"/>
      <c r="E153" s="4" t="n"/>
      <c r="F153" s="4" t="n"/>
      <c r="G153">
        <f>E153*F153</f>
        <v/>
      </c>
      <c r="H153">
        <f>IFERROR(E153*VLOOKUP(B153,'Recetas y precios'!$A:$P,16,FALSE),0)</f>
        <v/>
      </c>
      <c r="I153">
        <f>G153-H153</f>
        <v/>
      </c>
    </row>
    <row r="154">
      <c r="A154" s="4" t="n"/>
      <c r="B154" s="4" t="n"/>
      <c r="C154">
        <f>IFERROR(VLOOKUP(B154,'Recetas y precios'!$A:$B,2,FALSE),"")</f>
        <v/>
      </c>
      <c r="D154" s="4" t="n"/>
      <c r="E154" s="4" t="n"/>
      <c r="F154" s="4" t="n"/>
      <c r="G154">
        <f>E154*F154</f>
        <v/>
      </c>
      <c r="H154">
        <f>IFERROR(E154*VLOOKUP(B154,'Recetas y precios'!$A:$P,16,FALSE),0)</f>
        <v/>
      </c>
      <c r="I154">
        <f>G154-H154</f>
        <v/>
      </c>
    </row>
    <row r="155">
      <c r="A155" s="4" t="n"/>
      <c r="B155" s="4" t="n"/>
      <c r="C155">
        <f>IFERROR(VLOOKUP(B155,'Recetas y precios'!$A:$B,2,FALSE),"")</f>
        <v/>
      </c>
      <c r="D155" s="4" t="n"/>
      <c r="E155" s="4" t="n"/>
      <c r="F155" s="4" t="n"/>
      <c r="G155">
        <f>E155*F155</f>
        <v/>
      </c>
      <c r="H155">
        <f>IFERROR(E155*VLOOKUP(B155,'Recetas y precios'!$A:$P,16,FALSE),0)</f>
        <v/>
      </c>
      <c r="I155">
        <f>G155-H155</f>
        <v/>
      </c>
    </row>
    <row r="156">
      <c r="A156" s="4" t="n"/>
      <c r="B156" s="4" t="n"/>
      <c r="C156">
        <f>IFERROR(VLOOKUP(B156,'Recetas y precios'!$A:$B,2,FALSE),"")</f>
        <v/>
      </c>
      <c r="D156" s="4" t="n"/>
      <c r="E156" s="4" t="n"/>
      <c r="F156" s="4" t="n"/>
      <c r="G156">
        <f>E156*F156</f>
        <v/>
      </c>
      <c r="H156">
        <f>IFERROR(E156*VLOOKUP(B156,'Recetas y precios'!$A:$P,16,FALSE),0)</f>
        <v/>
      </c>
      <c r="I156">
        <f>G156-H156</f>
        <v/>
      </c>
    </row>
    <row r="157">
      <c r="A157" s="4" t="n"/>
      <c r="B157" s="4" t="n"/>
      <c r="C157">
        <f>IFERROR(VLOOKUP(B157,'Recetas y precios'!$A:$B,2,FALSE),"")</f>
        <v/>
      </c>
      <c r="D157" s="4" t="n"/>
      <c r="E157" s="4" t="n"/>
      <c r="F157" s="4" t="n"/>
      <c r="G157">
        <f>E157*F157</f>
        <v/>
      </c>
      <c r="H157">
        <f>IFERROR(E157*VLOOKUP(B157,'Recetas y precios'!$A:$P,16,FALSE),0)</f>
        <v/>
      </c>
      <c r="I157">
        <f>G157-H157</f>
        <v/>
      </c>
    </row>
    <row r="158">
      <c r="A158" s="4" t="n"/>
      <c r="B158" s="4" t="n"/>
      <c r="C158">
        <f>IFERROR(VLOOKUP(B158,'Recetas y precios'!$A:$B,2,FALSE),"")</f>
        <v/>
      </c>
      <c r="D158" s="4" t="n"/>
      <c r="E158" s="4" t="n"/>
      <c r="F158" s="4" t="n"/>
      <c r="G158">
        <f>E158*F158</f>
        <v/>
      </c>
      <c r="H158">
        <f>IFERROR(E158*VLOOKUP(B158,'Recetas y precios'!$A:$P,16,FALSE),0)</f>
        <v/>
      </c>
      <c r="I158">
        <f>G158-H158</f>
        <v/>
      </c>
    </row>
    <row r="159">
      <c r="A159" s="4" t="n"/>
      <c r="B159" s="4" t="n"/>
      <c r="C159">
        <f>IFERROR(VLOOKUP(B159,'Recetas y precios'!$A:$B,2,FALSE),"")</f>
        <v/>
      </c>
      <c r="D159" s="4" t="n"/>
      <c r="E159" s="4" t="n"/>
      <c r="F159" s="4" t="n"/>
      <c r="G159">
        <f>E159*F159</f>
        <v/>
      </c>
      <c r="H159">
        <f>IFERROR(E159*VLOOKUP(B159,'Recetas y precios'!$A:$P,16,FALSE),0)</f>
        <v/>
      </c>
      <c r="I159">
        <f>G159-H159</f>
        <v/>
      </c>
    </row>
    <row r="160">
      <c r="A160" s="4" t="n"/>
      <c r="B160" s="4" t="n"/>
      <c r="C160">
        <f>IFERROR(VLOOKUP(B160,'Recetas y precios'!$A:$B,2,FALSE),"")</f>
        <v/>
      </c>
      <c r="D160" s="4" t="n"/>
      <c r="E160" s="4" t="n"/>
      <c r="F160" s="4" t="n"/>
      <c r="G160">
        <f>E160*F160</f>
        <v/>
      </c>
      <c r="H160">
        <f>IFERROR(E160*VLOOKUP(B160,'Recetas y precios'!$A:$P,16,FALSE),0)</f>
        <v/>
      </c>
      <c r="I160">
        <f>G160-H160</f>
        <v/>
      </c>
    </row>
    <row r="161">
      <c r="A161" s="4" t="n"/>
      <c r="B161" s="4" t="n"/>
      <c r="C161">
        <f>IFERROR(VLOOKUP(B161,'Recetas y precios'!$A:$B,2,FALSE),"")</f>
        <v/>
      </c>
      <c r="D161" s="4" t="n"/>
      <c r="E161" s="4" t="n"/>
      <c r="F161" s="4" t="n"/>
      <c r="G161">
        <f>E161*F161</f>
        <v/>
      </c>
      <c r="H161">
        <f>IFERROR(E161*VLOOKUP(B161,'Recetas y precios'!$A:$P,16,FALSE),0)</f>
        <v/>
      </c>
      <c r="I161">
        <f>G161-H161</f>
        <v/>
      </c>
    </row>
    <row r="162">
      <c r="A162" s="4" t="n"/>
      <c r="B162" s="4" t="n"/>
      <c r="C162">
        <f>IFERROR(VLOOKUP(B162,'Recetas y precios'!$A:$B,2,FALSE),"")</f>
        <v/>
      </c>
      <c r="D162" s="4" t="n"/>
      <c r="E162" s="4" t="n"/>
      <c r="F162" s="4" t="n"/>
      <c r="G162">
        <f>E162*F162</f>
        <v/>
      </c>
      <c r="H162">
        <f>IFERROR(E162*VLOOKUP(B162,'Recetas y precios'!$A:$P,16,FALSE),0)</f>
        <v/>
      </c>
      <c r="I162">
        <f>G162-H162</f>
        <v/>
      </c>
    </row>
    <row r="163">
      <c r="A163" s="4" t="n"/>
      <c r="B163" s="4" t="n"/>
      <c r="C163">
        <f>IFERROR(VLOOKUP(B163,'Recetas y precios'!$A:$B,2,FALSE),"")</f>
        <v/>
      </c>
      <c r="D163" s="4" t="n"/>
      <c r="E163" s="4" t="n"/>
      <c r="F163" s="4" t="n"/>
      <c r="G163">
        <f>E163*F163</f>
        <v/>
      </c>
      <c r="H163">
        <f>IFERROR(E163*VLOOKUP(B163,'Recetas y precios'!$A:$P,16,FALSE),0)</f>
        <v/>
      </c>
      <c r="I163">
        <f>G163-H163</f>
        <v/>
      </c>
    </row>
    <row r="164">
      <c r="A164" s="4" t="n"/>
      <c r="B164" s="4" t="n"/>
      <c r="C164">
        <f>IFERROR(VLOOKUP(B164,'Recetas y precios'!$A:$B,2,FALSE),"")</f>
        <v/>
      </c>
      <c r="D164" s="4" t="n"/>
      <c r="E164" s="4" t="n"/>
      <c r="F164" s="4" t="n"/>
      <c r="G164">
        <f>E164*F164</f>
        <v/>
      </c>
      <c r="H164">
        <f>IFERROR(E164*VLOOKUP(B164,'Recetas y precios'!$A:$P,16,FALSE),0)</f>
        <v/>
      </c>
      <c r="I164">
        <f>G164-H164</f>
        <v/>
      </c>
    </row>
    <row r="165">
      <c r="A165" s="4" t="n"/>
      <c r="B165" s="4" t="n"/>
      <c r="C165">
        <f>IFERROR(VLOOKUP(B165,'Recetas y precios'!$A:$B,2,FALSE),"")</f>
        <v/>
      </c>
      <c r="D165" s="4" t="n"/>
      <c r="E165" s="4" t="n"/>
      <c r="F165" s="4" t="n"/>
      <c r="G165">
        <f>E165*F165</f>
        <v/>
      </c>
      <c r="H165">
        <f>IFERROR(E165*VLOOKUP(B165,'Recetas y precios'!$A:$P,16,FALSE),0)</f>
        <v/>
      </c>
      <c r="I165">
        <f>G165-H165</f>
        <v/>
      </c>
    </row>
    <row r="166">
      <c r="A166" s="4" t="n"/>
      <c r="B166" s="4" t="n"/>
      <c r="C166">
        <f>IFERROR(VLOOKUP(B166,'Recetas y precios'!$A:$B,2,FALSE),"")</f>
        <v/>
      </c>
      <c r="D166" s="4" t="n"/>
      <c r="E166" s="4" t="n"/>
      <c r="F166" s="4" t="n"/>
      <c r="G166">
        <f>E166*F166</f>
        <v/>
      </c>
      <c r="H166">
        <f>IFERROR(E166*VLOOKUP(B166,'Recetas y precios'!$A:$P,16,FALSE),0)</f>
        <v/>
      </c>
      <c r="I166">
        <f>G166-H166</f>
        <v/>
      </c>
    </row>
    <row r="167">
      <c r="A167" s="4" t="n"/>
      <c r="B167" s="4" t="n"/>
      <c r="C167">
        <f>IFERROR(VLOOKUP(B167,'Recetas y precios'!$A:$B,2,FALSE),"")</f>
        <v/>
      </c>
      <c r="D167" s="4" t="n"/>
      <c r="E167" s="4" t="n"/>
      <c r="F167" s="4" t="n"/>
      <c r="G167">
        <f>E167*F167</f>
        <v/>
      </c>
      <c r="H167">
        <f>IFERROR(E167*VLOOKUP(B167,'Recetas y precios'!$A:$P,16,FALSE),0)</f>
        <v/>
      </c>
      <c r="I167">
        <f>G167-H167</f>
        <v/>
      </c>
    </row>
    <row r="168">
      <c r="A168" s="4" t="n"/>
      <c r="B168" s="4" t="n"/>
      <c r="C168">
        <f>IFERROR(VLOOKUP(B168,'Recetas y precios'!$A:$B,2,FALSE),"")</f>
        <v/>
      </c>
      <c r="D168" s="4" t="n"/>
      <c r="E168" s="4" t="n"/>
      <c r="F168" s="4" t="n"/>
      <c r="G168">
        <f>E168*F168</f>
        <v/>
      </c>
      <c r="H168">
        <f>IFERROR(E168*VLOOKUP(B168,'Recetas y precios'!$A:$P,16,FALSE),0)</f>
        <v/>
      </c>
      <c r="I168">
        <f>G168-H168</f>
        <v/>
      </c>
    </row>
    <row r="169">
      <c r="A169" s="4" t="n"/>
      <c r="B169" s="4" t="n"/>
      <c r="C169">
        <f>IFERROR(VLOOKUP(B169,'Recetas y precios'!$A:$B,2,FALSE),"")</f>
        <v/>
      </c>
      <c r="D169" s="4" t="n"/>
      <c r="E169" s="4" t="n"/>
      <c r="F169" s="4" t="n"/>
      <c r="G169">
        <f>E169*F169</f>
        <v/>
      </c>
      <c r="H169">
        <f>IFERROR(E169*VLOOKUP(B169,'Recetas y precios'!$A:$P,16,FALSE),0)</f>
        <v/>
      </c>
      <c r="I169">
        <f>G169-H169</f>
        <v/>
      </c>
    </row>
    <row r="170">
      <c r="A170" s="4" t="n"/>
      <c r="B170" s="4" t="n"/>
      <c r="C170">
        <f>IFERROR(VLOOKUP(B170,'Recetas y precios'!$A:$B,2,FALSE),"")</f>
        <v/>
      </c>
      <c r="D170" s="4" t="n"/>
      <c r="E170" s="4" t="n"/>
      <c r="F170" s="4" t="n"/>
      <c r="G170">
        <f>E170*F170</f>
        <v/>
      </c>
      <c r="H170">
        <f>IFERROR(E170*VLOOKUP(B170,'Recetas y precios'!$A:$P,16,FALSE),0)</f>
        <v/>
      </c>
      <c r="I170">
        <f>G170-H170</f>
        <v/>
      </c>
    </row>
    <row r="171">
      <c r="A171" s="4" t="n"/>
      <c r="B171" s="4" t="n"/>
      <c r="C171">
        <f>IFERROR(VLOOKUP(B171,'Recetas y precios'!$A:$B,2,FALSE),"")</f>
        <v/>
      </c>
      <c r="D171" s="4" t="n"/>
      <c r="E171" s="4" t="n"/>
      <c r="F171" s="4" t="n"/>
      <c r="G171">
        <f>E171*F171</f>
        <v/>
      </c>
      <c r="H171">
        <f>IFERROR(E171*VLOOKUP(B171,'Recetas y precios'!$A:$P,16,FALSE),0)</f>
        <v/>
      </c>
      <c r="I171">
        <f>G171-H171</f>
        <v/>
      </c>
    </row>
    <row r="172">
      <c r="A172" s="4" t="n"/>
      <c r="B172" s="4" t="n"/>
      <c r="C172">
        <f>IFERROR(VLOOKUP(B172,'Recetas y precios'!$A:$B,2,FALSE),"")</f>
        <v/>
      </c>
      <c r="D172" s="4" t="n"/>
      <c r="E172" s="4" t="n"/>
      <c r="F172" s="4" t="n"/>
      <c r="G172">
        <f>E172*F172</f>
        <v/>
      </c>
      <c r="H172">
        <f>IFERROR(E172*VLOOKUP(B172,'Recetas y precios'!$A:$P,16,FALSE),0)</f>
        <v/>
      </c>
      <c r="I172">
        <f>G172-H172</f>
        <v/>
      </c>
    </row>
    <row r="173">
      <c r="A173" s="4" t="n"/>
      <c r="B173" s="4" t="n"/>
      <c r="C173">
        <f>IFERROR(VLOOKUP(B173,'Recetas y precios'!$A:$B,2,FALSE),"")</f>
        <v/>
      </c>
      <c r="D173" s="4" t="n"/>
      <c r="E173" s="4" t="n"/>
      <c r="F173" s="4" t="n"/>
      <c r="G173">
        <f>E173*F173</f>
        <v/>
      </c>
      <c r="H173">
        <f>IFERROR(E173*VLOOKUP(B173,'Recetas y precios'!$A:$P,16,FALSE),0)</f>
        <v/>
      </c>
      <c r="I173">
        <f>G173-H173</f>
        <v/>
      </c>
    </row>
    <row r="174">
      <c r="A174" s="4" t="n"/>
      <c r="B174" s="4" t="n"/>
      <c r="C174">
        <f>IFERROR(VLOOKUP(B174,'Recetas y precios'!$A:$B,2,FALSE),"")</f>
        <v/>
      </c>
      <c r="D174" s="4" t="n"/>
      <c r="E174" s="4" t="n"/>
      <c r="F174" s="4" t="n"/>
      <c r="G174">
        <f>E174*F174</f>
        <v/>
      </c>
      <c r="H174">
        <f>IFERROR(E174*VLOOKUP(B174,'Recetas y precios'!$A:$P,16,FALSE),0)</f>
        <v/>
      </c>
      <c r="I174">
        <f>G174-H174</f>
        <v/>
      </c>
    </row>
    <row r="175">
      <c r="A175" s="4" t="n"/>
      <c r="B175" s="4" t="n"/>
      <c r="C175">
        <f>IFERROR(VLOOKUP(B175,'Recetas y precios'!$A:$B,2,FALSE),"")</f>
        <v/>
      </c>
      <c r="D175" s="4" t="n"/>
      <c r="E175" s="4" t="n"/>
      <c r="F175" s="4" t="n"/>
      <c r="G175">
        <f>E175*F175</f>
        <v/>
      </c>
      <c r="H175">
        <f>IFERROR(E175*VLOOKUP(B175,'Recetas y precios'!$A:$P,16,FALSE),0)</f>
        <v/>
      </c>
      <c r="I175">
        <f>G175-H175</f>
        <v/>
      </c>
    </row>
    <row r="176">
      <c r="A176" s="4" t="n"/>
      <c r="B176" s="4" t="n"/>
      <c r="C176">
        <f>IFERROR(VLOOKUP(B176,'Recetas y precios'!$A:$B,2,FALSE),"")</f>
        <v/>
      </c>
      <c r="D176" s="4" t="n"/>
      <c r="E176" s="4" t="n"/>
      <c r="F176" s="4" t="n"/>
      <c r="G176">
        <f>E176*F176</f>
        <v/>
      </c>
      <c r="H176">
        <f>IFERROR(E176*VLOOKUP(B176,'Recetas y precios'!$A:$P,16,FALSE),0)</f>
        <v/>
      </c>
      <c r="I176">
        <f>G176-H176</f>
        <v/>
      </c>
    </row>
    <row r="177">
      <c r="A177" s="4" t="n"/>
      <c r="B177" s="4" t="n"/>
      <c r="C177">
        <f>IFERROR(VLOOKUP(B177,'Recetas y precios'!$A:$B,2,FALSE),"")</f>
        <v/>
      </c>
      <c r="D177" s="4" t="n"/>
      <c r="E177" s="4" t="n"/>
      <c r="F177" s="4" t="n"/>
      <c r="G177">
        <f>E177*F177</f>
        <v/>
      </c>
      <c r="H177">
        <f>IFERROR(E177*VLOOKUP(B177,'Recetas y precios'!$A:$P,16,FALSE),0)</f>
        <v/>
      </c>
      <c r="I177">
        <f>G177-H177</f>
        <v/>
      </c>
    </row>
    <row r="178">
      <c r="A178" s="4" t="n"/>
      <c r="B178" s="4" t="n"/>
      <c r="C178">
        <f>IFERROR(VLOOKUP(B178,'Recetas y precios'!$A:$B,2,FALSE),"")</f>
        <v/>
      </c>
      <c r="D178" s="4" t="n"/>
      <c r="E178" s="4" t="n"/>
      <c r="F178" s="4" t="n"/>
      <c r="G178">
        <f>E178*F178</f>
        <v/>
      </c>
      <c r="H178">
        <f>IFERROR(E178*VLOOKUP(B178,'Recetas y precios'!$A:$P,16,FALSE),0)</f>
        <v/>
      </c>
      <c r="I178">
        <f>G178-H178</f>
        <v/>
      </c>
    </row>
    <row r="179">
      <c r="A179" s="4" t="n"/>
      <c r="B179" s="4" t="n"/>
      <c r="C179">
        <f>IFERROR(VLOOKUP(B179,'Recetas y precios'!$A:$B,2,FALSE),"")</f>
        <v/>
      </c>
      <c r="D179" s="4" t="n"/>
      <c r="E179" s="4" t="n"/>
      <c r="F179" s="4" t="n"/>
      <c r="G179">
        <f>E179*F179</f>
        <v/>
      </c>
      <c r="H179">
        <f>IFERROR(E179*VLOOKUP(B179,'Recetas y precios'!$A:$P,16,FALSE),0)</f>
        <v/>
      </c>
      <c r="I179">
        <f>G179-H179</f>
        <v/>
      </c>
    </row>
    <row r="180">
      <c r="A180" s="4" t="n"/>
      <c r="B180" s="4" t="n"/>
      <c r="C180">
        <f>IFERROR(VLOOKUP(B180,'Recetas y precios'!$A:$B,2,FALSE),"")</f>
        <v/>
      </c>
      <c r="D180" s="4" t="n"/>
      <c r="E180" s="4" t="n"/>
      <c r="F180" s="4" t="n"/>
      <c r="G180">
        <f>E180*F180</f>
        <v/>
      </c>
      <c r="H180">
        <f>IFERROR(E180*VLOOKUP(B180,'Recetas y precios'!$A:$P,16,FALSE),0)</f>
        <v/>
      </c>
      <c r="I180">
        <f>G180-H180</f>
        <v/>
      </c>
    </row>
    <row r="181">
      <c r="A181" s="4" t="n"/>
      <c r="B181" s="4" t="n"/>
      <c r="C181">
        <f>IFERROR(VLOOKUP(B181,'Recetas y precios'!$A:$B,2,FALSE),"")</f>
        <v/>
      </c>
      <c r="D181" s="4" t="n"/>
      <c r="E181" s="4" t="n"/>
      <c r="F181" s="4" t="n"/>
      <c r="G181">
        <f>E181*F181</f>
        <v/>
      </c>
      <c r="H181">
        <f>IFERROR(E181*VLOOKUP(B181,'Recetas y precios'!$A:$P,16,FALSE),0)</f>
        <v/>
      </c>
      <c r="I181">
        <f>G181-H181</f>
        <v/>
      </c>
    </row>
    <row r="182">
      <c r="A182" s="4" t="n"/>
      <c r="B182" s="4" t="n"/>
      <c r="C182">
        <f>IFERROR(VLOOKUP(B182,'Recetas y precios'!$A:$B,2,FALSE),"")</f>
        <v/>
      </c>
      <c r="D182" s="4" t="n"/>
      <c r="E182" s="4" t="n"/>
      <c r="F182" s="4" t="n"/>
      <c r="G182">
        <f>E182*F182</f>
        <v/>
      </c>
      <c r="H182">
        <f>IFERROR(E182*VLOOKUP(B182,'Recetas y precios'!$A:$P,16,FALSE),0)</f>
        <v/>
      </c>
      <c r="I182">
        <f>G182-H182</f>
        <v/>
      </c>
    </row>
    <row r="183">
      <c r="A183" s="4" t="n"/>
      <c r="B183" s="4" t="n"/>
      <c r="C183">
        <f>IFERROR(VLOOKUP(B183,'Recetas y precios'!$A:$B,2,FALSE),"")</f>
        <v/>
      </c>
      <c r="D183" s="4" t="n"/>
      <c r="E183" s="4" t="n"/>
      <c r="F183" s="4" t="n"/>
      <c r="G183">
        <f>E183*F183</f>
        <v/>
      </c>
      <c r="H183">
        <f>IFERROR(E183*VLOOKUP(B183,'Recetas y precios'!$A:$P,16,FALSE),0)</f>
        <v/>
      </c>
      <c r="I183">
        <f>G183-H183</f>
        <v/>
      </c>
    </row>
    <row r="184">
      <c r="A184" s="4" t="n"/>
      <c r="B184" s="4" t="n"/>
      <c r="C184">
        <f>IFERROR(VLOOKUP(B184,'Recetas y precios'!$A:$B,2,FALSE),"")</f>
        <v/>
      </c>
      <c r="D184" s="4" t="n"/>
      <c r="E184" s="4" t="n"/>
      <c r="F184" s="4" t="n"/>
      <c r="G184">
        <f>E184*F184</f>
        <v/>
      </c>
      <c r="H184">
        <f>IFERROR(E184*VLOOKUP(B184,'Recetas y precios'!$A:$P,16,FALSE),0)</f>
        <v/>
      </c>
      <c r="I184">
        <f>G184-H184</f>
        <v/>
      </c>
    </row>
    <row r="185">
      <c r="A185" s="4" t="n"/>
      <c r="B185" s="4" t="n"/>
      <c r="C185">
        <f>IFERROR(VLOOKUP(B185,'Recetas y precios'!$A:$B,2,FALSE),"")</f>
        <v/>
      </c>
      <c r="D185" s="4" t="n"/>
      <c r="E185" s="4" t="n"/>
      <c r="F185" s="4" t="n"/>
      <c r="G185">
        <f>E185*F185</f>
        <v/>
      </c>
      <c r="H185">
        <f>IFERROR(E185*VLOOKUP(B185,'Recetas y precios'!$A:$P,16,FALSE),0)</f>
        <v/>
      </c>
      <c r="I185">
        <f>G185-H185</f>
        <v/>
      </c>
    </row>
    <row r="186">
      <c r="A186" s="4" t="n"/>
      <c r="B186" s="4" t="n"/>
      <c r="C186">
        <f>IFERROR(VLOOKUP(B186,'Recetas y precios'!$A:$B,2,FALSE),"")</f>
        <v/>
      </c>
      <c r="D186" s="4" t="n"/>
      <c r="E186" s="4" t="n"/>
      <c r="F186" s="4" t="n"/>
      <c r="G186">
        <f>E186*F186</f>
        <v/>
      </c>
      <c r="H186">
        <f>IFERROR(E186*VLOOKUP(B186,'Recetas y precios'!$A:$P,16,FALSE),0)</f>
        <v/>
      </c>
      <c r="I186">
        <f>G186-H186</f>
        <v/>
      </c>
    </row>
    <row r="187">
      <c r="A187" s="4" t="n"/>
      <c r="B187" s="4" t="n"/>
      <c r="C187">
        <f>IFERROR(VLOOKUP(B187,'Recetas y precios'!$A:$B,2,FALSE),"")</f>
        <v/>
      </c>
      <c r="D187" s="4" t="n"/>
      <c r="E187" s="4" t="n"/>
      <c r="F187" s="4" t="n"/>
      <c r="G187">
        <f>E187*F187</f>
        <v/>
      </c>
      <c r="H187">
        <f>IFERROR(E187*VLOOKUP(B187,'Recetas y precios'!$A:$P,16,FALSE),0)</f>
        <v/>
      </c>
      <c r="I187">
        <f>G187-H187</f>
        <v/>
      </c>
    </row>
    <row r="188">
      <c r="A188" s="4" t="n"/>
      <c r="B188" s="4" t="n"/>
      <c r="C188">
        <f>IFERROR(VLOOKUP(B188,'Recetas y precios'!$A:$B,2,FALSE),"")</f>
        <v/>
      </c>
      <c r="D188" s="4" t="n"/>
      <c r="E188" s="4" t="n"/>
      <c r="F188" s="4" t="n"/>
      <c r="G188">
        <f>E188*F188</f>
        <v/>
      </c>
      <c r="H188">
        <f>IFERROR(E188*VLOOKUP(B188,'Recetas y precios'!$A:$P,16,FALSE),0)</f>
        <v/>
      </c>
      <c r="I188">
        <f>G188-H188</f>
        <v/>
      </c>
    </row>
    <row r="189">
      <c r="A189" s="4" t="n"/>
      <c r="B189" s="4" t="n"/>
      <c r="C189">
        <f>IFERROR(VLOOKUP(B189,'Recetas y precios'!$A:$B,2,FALSE),"")</f>
        <v/>
      </c>
      <c r="D189" s="4" t="n"/>
      <c r="E189" s="4" t="n"/>
      <c r="F189" s="4" t="n"/>
      <c r="G189">
        <f>E189*F189</f>
        <v/>
      </c>
      <c r="H189">
        <f>IFERROR(E189*VLOOKUP(B189,'Recetas y precios'!$A:$P,16,FALSE),0)</f>
        <v/>
      </c>
      <c r="I189">
        <f>G189-H189</f>
        <v/>
      </c>
    </row>
    <row r="190">
      <c r="A190" s="4" t="n"/>
      <c r="B190" s="4" t="n"/>
      <c r="C190">
        <f>IFERROR(VLOOKUP(B190,'Recetas y precios'!$A:$B,2,FALSE),"")</f>
        <v/>
      </c>
      <c r="D190" s="4" t="n"/>
      <c r="E190" s="4" t="n"/>
      <c r="F190" s="4" t="n"/>
      <c r="G190">
        <f>E190*F190</f>
        <v/>
      </c>
      <c r="H190">
        <f>IFERROR(E190*VLOOKUP(B190,'Recetas y precios'!$A:$P,16,FALSE),0)</f>
        <v/>
      </c>
      <c r="I190">
        <f>G190-H190</f>
        <v/>
      </c>
    </row>
    <row r="191">
      <c r="A191" s="4" t="n"/>
      <c r="B191" s="4" t="n"/>
      <c r="C191">
        <f>IFERROR(VLOOKUP(B191,'Recetas y precios'!$A:$B,2,FALSE),"")</f>
        <v/>
      </c>
      <c r="D191" s="4" t="n"/>
      <c r="E191" s="4" t="n"/>
      <c r="F191" s="4" t="n"/>
      <c r="G191">
        <f>E191*F191</f>
        <v/>
      </c>
      <c r="H191">
        <f>IFERROR(E191*VLOOKUP(B191,'Recetas y precios'!$A:$P,16,FALSE),0)</f>
        <v/>
      </c>
      <c r="I191">
        <f>G191-H191</f>
        <v/>
      </c>
    </row>
    <row r="192">
      <c r="A192" s="4" t="n"/>
      <c r="B192" s="4" t="n"/>
      <c r="C192">
        <f>IFERROR(VLOOKUP(B192,'Recetas y precios'!$A:$B,2,FALSE),"")</f>
        <v/>
      </c>
      <c r="D192" s="4" t="n"/>
      <c r="E192" s="4" t="n"/>
      <c r="F192" s="4" t="n"/>
      <c r="G192">
        <f>E192*F192</f>
        <v/>
      </c>
      <c r="H192">
        <f>IFERROR(E192*VLOOKUP(B192,'Recetas y precios'!$A:$P,16,FALSE),0)</f>
        <v/>
      </c>
      <c r="I192">
        <f>G192-H192</f>
        <v/>
      </c>
    </row>
    <row r="193">
      <c r="A193" s="4" t="n"/>
      <c r="B193" s="4" t="n"/>
      <c r="C193">
        <f>IFERROR(VLOOKUP(B193,'Recetas y precios'!$A:$B,2,FALSE),"")</f>
        <v/>
      </c>
      <c r="D193" s="4" t="n"/>
      <c r="E193" s="4" t="n"/>
      <c r="F193" s="4" t="n"/>
      <c r="G193">
        <f>E193*F193</f>
        <v/>
      </c>
      <c r="H193">
        <f>IFERROR(E193*VLOOKUP(B193,'Recetas y precios'!$A:$P,16,FALSE),0)</f>
        <v/>
      </c>
      <c r="I193">
        <f>G193-H193</f>
        <v/>
      </c>
    </row>
    <row r="194">
      <c r="A194" s="4" t="n"/>
      <c r="B194" s="4" t="n"/>
      <c r="C194">
        <f>IFERROR(VLOOKUP(B194,'Recetas y precios'!$A:$B,2,FALSE),"")</f>
        <v/>
      </c>
      <c r="D194" s="4" t="n"/>
      <c r="E194" s="4" t="n"/>
      <c r="F194" s="4" t="n"/>
      <c r="G194">
        <f>E194*F194</f>
        <v/>
      </c>
      <c r="H194">
        <f>IFERROR(E194*VLOOKUP(B194,'Recetas y precios'!$A:$P,16,FALSE),0)</f>
        <v/>
      </c>
      <c r="I194">
        <f>G194-H194</f>
        <v/>
      </c>
    </row>
    <row r="195">
      <c r="A195" s="4" t="n"/>
      <c r="B195" s="4" t="n"/>
      <c r="C195">
        <f>IFERROR(VLOOKUP(B195,'Recetas y precios'!$A:$B,2,FALSE),"")</f>
        <v/>
      </c>
      <c r="D195" s="4" t="n"/>
      <c r="E195" s="4" t="n"/>
      <c r="F195" s="4" t="n"/>
      <c r="G195">
        <f>E195*F195</f>
        <v/>
      </c>
      <c r="H195">
        <f>IFERROR(E195*VLOOKUP(B195,'Recetas y precios'!$A:$P,16,FALSE),0)</f>
        <v/>
      </c>
      <c r="I195">
        <f>G195-H195</f>
        <v/>
      </c>
    </row>
    <row r="196">
      <c r="A196" s="4" t="n"/>
      <c r="B196" s="4" t="n"/>
      <c r="C196">
        <f>IFERROR(VLOOKUP(B196,'Recetas y precios'!$A:$B,2,FALSE),"")</f>
        <v/>
      </c>
      <c r="D196" s="4" t="n"/>
      <c r="E196" s="4" t="n"/>
      <c r="F196" s="4" t="n"/>
      <c r="G196">
        <f>E196*F196</f>
        <v/>
      </c>
      <c r="H196">
        <f>IFERROR(E196*VLOOKUP(B196,'Recetas y precios'!$A:$P,16,FALSE),0)</f>
        <v/>
      </c>
      <c r="I196">
        <f>G196-H196</f>
        <v/>
      </c>
    </row>
    <row r="197">
      <c r="A197" s="4" t="n"/>
      <c r="B197" s="4" t="n"/>
      <c r="C197">
        <f>IFERROR(VLOOKUP(B197,'Recetas y precios'!$A:$B,2,FALSE),"")</f>
        <v/>
      </c>
      <c r="D197" s="4" t="n"/>
      <c r="E197" s="4" t="n"/>
      <c r="F197" s="4" t="n"/>
      <c r="G197">
        <f>E197*F197</f>
        <v/>
      </c>
      <c r="H197">
        <f>IFERROR(E197*VLOOKUP(B197,'Recetas y precios'!$A:$P,16,FALSE),0)</f>
        <v/>
      </c>
      <c r="I197">
        <f>G197-H197</f>
        <v/>
      </c>
    </row>
    <row r="198">
      <c r="A198" s="4" t="n"/>
      <c r="B198" s="4" t="n"/>
      <c r="C198">
        <f>IFERROR(VLOOKUP(B198,'Recetas y precios'!$A:$B,2,FALSE),"")</f>
        <v/>
      </c>
      <c r="D198" s="4" t="n"/>
      <c r="E198" s="4" t="n"/>
      <c r="F198" s="4" t="n"/>
      <c r="G198">
        <f>E198*F198</f>
        <v/>
      </c>
      <c r="H198">
        <f>IFERROR(E198*VLOOKUP(B198,'Recetas y precios'!$A:$P,16,FALSE),0)</f>
        <v/>
      </c>
      <c r="I198">
        <f>G198-H198</f>
        <v/>
      </c>
    </row>
    <row r="199">
      <c r="A199" s="4" t="n"/>
      <c r="B199" s="4" t="n"/>
      <c r="C199">
        <f>IFERROR(VLOOKUP(B199,'Recetas y precios'!$A:$B,2,FALSE),"")</f>
        <v/>
      </c>
      <c r="D199" s="4" t="n"/>
      <c r="E199" s="4" t="n"/>
      <c r="F199" s="4" t="n"/>
      <c r="G199">
        <f>E199*F199</f>
        <v/>
      </c>
      <c r="H199">
        <f>IFERROR(E199*VLOOKUP(B199,'Recetas y precios'!$A:$P,16,FALSE),0)</f>
        <v/>
      </c>
      <c r="I199">
        <f>G199-H199</f>
        <v/>
      </c>
    </row>
    <row r="200">
      <c r="A200" s="4" t="n"/>
      <c r="B200" s="4" t="n"/>
      <c r="C200">
        <f>IFERROR(VLOOKUP(B200,'Recetas y precios'!$A:$B,2,FALSE),"")</f>
        <v/>
      </c>
      <c r="D200" s="4" t="n"/>
      <c r="E200" s="4" t="n"/>
      <c r="F200" s="4" t="n"/>
      <c r="G200">
        <f>E200*F200</f>
        <v/>
      </c>
      <c r="H200">
        <f>IFERROR(E200*VLOOKUP(B200,'Recetas y precios'!$A:$P,16,FALSE),0)</f>
        <v/>
      </c>
      <c r="I200">
        <f>G200-H200</f>
        <v/>
      </c>
    </row>
    <row r="201">
      <c r="A201" s="4" t="n"/>
      <c r="B201" s="4" t="n"/>
      <c r="C201">
        <f>IFERROR(VLOOKUP(B201,'Recetas y precios'!$A:$B,2,FALSE),"")</f>
        <v/>
      </c>
      <c r="D201" s="4" t="n"/>
      <c r="E201" s="4" t="n"/>
      <c r="F201" s="4" t="n"/>
      <c r="G201">
        <f>E201*F201</f>
        <v/>
      </c>
      <c r="H201">
        <f>IFERROR(E201*VLOOKUP(B201,'Recetas y precios'!$A:$P,16,FALSE),0)</f>
        <v/>
      </c>
      <c r="I201">
        <f>G201-H201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Tablero</t>
        </is>
      </c>
    </row>
    <row r="3">
      <c r="A3" t="inlineStr">
        <is>
          <t>Recetas costeadas</t>
        </is>
      </c>
      <c r="B3">
        <f>COUNTIF('Recetas y precios'!A2:A50,"&gt;0")</f>
        <v/>
      </c>
    </row>
    <row r="4">
      <c r="A4" t="inlineStr">
        <is>
          <t>PVP mostrador promedio</t>
        </is>
      </c>
      <c r="B4">
        <f>AVERAGE('Recetas y precios'!R2:R50)</f>
        <v/>
      </c>
    </row>
    <row r="5">
      <c r="A5" t="inlineStr">
        <is>
          <t>Costo variable promedio</t>
        </is>
      </c>
      <c r="B5">
        <f>AVERAGE('Recetas y precios'!Q2:Q50)</f>
        <v/>
      </c>
    </row>
    <row r="6">
      <c r="A6" t="inlineStr">
        <is>
          <t>Punto de equilibrio (piezas/mes)</t>
        </is>
      </c>
      <c r="B6">
        <f>CEILING('Mi negocio'!B1/(B4-B5),1)</f>
        <v/>
      </c>
    </row>
    <row r="7">
      <c r="A7" t="inlineStr">
        <is>
          <t>Punto de equilibrio (piezas/día, 26 días)</t>
        </is>
      </c>
      <c r="B7">
        <f>CEILING(B6/26,1)</f>
        <v/>
      </c>
    </row>
    <row r="8">
      <c r="A8" t="inlineStr">
        <is>
          <t>Ingresos registrados</t>
        </is>
      </c>
      <c r="B8">
        <f>SUM(Ventas!G2:G201)</f>
        <v/>
      </c>
    </row>
    <row r="9">
      <c r="A9" t="inlineStr">
        <is>
          <t>Utilidad registrada</t>
        </is>
      </c>
      <c r="B9">
        <f>SUM(Ventas!I2:I201)</f>
        <v/>
      </c>
    </row>
    <row r="10">
      <c r="A10" t="inlineStr">
        <is>
          <t>Costo de producción planeada</t>
        </is>
      </c>
      <c r="B10">
        <f>SUM(Producción!F2:F50)</f>
        <v/>
      </c>
    </row>
    <row r="13">
      <c r="A13" s="2" t="inlineStr">
        <is>
          <t>Endulcora × Levent · Pastelería Científica para Diabéticos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2026-10-17T16:59:11Z</dcterms:created>
  <dcterms:modified xmlns:dcterms="http://purl.org/dc/terms/" xmlns:xsi="http://www.w3.org/2001/XMLSchema-instance" xsi:type="dcterms:W3CDTF">2026-10-17T16:59:11Z</dcterms:modified>
</cp:coreProperties>
</file>